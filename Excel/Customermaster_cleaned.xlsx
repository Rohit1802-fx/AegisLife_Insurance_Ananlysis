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147199D137C34A9C/Documents/"/>
    </mc:Choice>
  </mc:AlternateContent>
  <xr:revisionPtr revIDLastSave="876" documentId="8_{96150911-E023-4EBF-BADB-BE609324EA30}" xr6:coauthVersionLast="47" xr6:coauthVersionMax="47" xr10:uidLastSave="{9475467B-9802-4284-B19B-ACAB6D6A36A3}"/>
  <bookViews>
    <workbookView xWindow="-96" yWindow="0" windowWidth="11712" windowHeight="12336" activeTab="1" xr2:uid="{715FBF6F-9149-4138-BB8F-5ECDD8A177B7}"/>
  </bookViews>
  <sheets>
    <sheet name="Raw_data" sheetId="1" r:id="rId1"/>
    <sheet name="CM_Cleaned" sheetId="2" r:id="rId2"/>
    <sheet name="Pivot Analysis" sheetId="3" r:id="rId3"/>
    <sheet name="Dashboard" sheetId="4" r:id="rId4"/>
    <sheet name="Insights" sheetId="5" r:id="rId5"/>
  </sheets>
  <definedNames>
    <definedName name="ExternalData_1" localSheetId="1" hidden="1">CM_Cleaned!$A$1:$K$1649</definedName>
    <definedName name="Slicer_Age_Group">#N/A</definedName>
    <definedName name="Slicer_gender">#N/A</definedName>
    <definedName name="Slicer_occupation">#N/A</definedName>
    <definedName name="Slicer_region">#N/A</definedName>
    <definedName name="Slicer_smoking_status">#N/A</definedName>
    <definedName name="Slicer_Year">#N/A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2" l="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115F3D-AC88-4274-BD93-0C7FB15B50FD}"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<sst xmlns="http://schemas.openxmlformats.org/spreadsheetml/2006/main" count="26551" uniqueCount="3391">
  <si>
    <t>customer_id</t>
  </si>
  <si>
    <t>full_name</t>
  </si>
  <si>
    <t>age</t>
  </si>
  <si>
    <t>gender</t>
  </si>
  <si>
    <t>marital_status</t>
  </si>
  <si>
    <t>occupation</t>
  </si>
  <si>
    <t>region</t>
  </si>
  <si>
    <t>smoking_status</t>
  </si>
  <si>
    <t>pre_existing_illness</t>
  </si>
  <si>
    <t>risk_score</t>
  </si>
  <si>
    <t>date_joined</t>
  </si>
  <si>
    <t>CUST10000</t>
  </si>
  <si>
    <t>Yahvi Chander</t>
  </si>
  <si>
    <t>Male</t>
  </si>
  <si>
    <t>Single</t>
  </si>
  <si>
    <t>Student</t>
  </si>
  <si>
    <t>West</t>
  </si>
  <si>
    <t>No</t>
  </si>
  <si>
    <t>Yes</t>
  </si>
  <si>
    <t>CUST10001</t>
  </si>
  <si>
    <t>Gautami Batta</t>
  </si>
  <si>
    <t>Female</t>
  </si>
  <si>
    <t>Divorced</t>
  </si>
  <si>
    <t>Salaried</t>
  </si>
  <si>
    <t>East</t>
  </si>
  <si>
    <t>CUST10002</t>
  </si>
  <si>
    <t>Zehaan Randhawa</t>
  </si>
  <si>
    <t>North</t>
  </si>
  <si>
    <t>CUST10003</t>
  </si>
  <si>
    <t>Aarnav Bhandari</t>
  </si>
  <si>
    <t>Married</t>
  </si>
  <si>
    <t>Self-employed</t>
  </si>
  <si>
    <t>South</t>
  </si>
  <si>
    <t>CUST10005</t>
  </si>
  <si>
    <t>Tripti Parekh</t>
  </si>
  <si>
    <t>CUST10006</t>
  </si>
  <si>
    <t>Gopal Yogi</t>
  </si>
  <si>
    <t>Retired</t>
  </si>
  <si>
    <t>CUST10007</t>
  </si>
  <si>
    <t>Kevin Bobal</t>
  </si>
  <si>
    <t>CUST10008</t>
  </si>
  <si>
    <t>Neel Chakraborty</t>
  </si>
  <si>
    <t>CUST10009</t>
  </si>
  <si>
    <t>Ethan Singh</t>
  </si>
  <si>
    <t>CUST10011</t>
  </si>
  <si>
    <t>Tejas Dar</t>
  </si>
  <si>
    <t>CUST10012</t>
  </si>
  <si>
    <t>Adya Kota</t>
  </si>
  <si>
    <t>CUST10013</t>
  </si>
  <si>
    <t>Ekalinga Ram</t>
  </si>
  <si>
    <t>CUST10014</t>
  </si>
  <si>
    <t>Nicholas Dora</t>
  </si>
  <si>
    <t>CUST10015</t>
  </si>
  <si>
    <t>Samaksh Dani</t>
  </si>
  <si>
    <t>CUST10016</t>
  </si>
  <si>
    <t>Vidhi Atwal</t>
  </si>
  <si>
    <t>CUST10018</t>
  </si>
  <si>
    <t>Omisha Ramaswamy</t>
  </si>
  <si>
    <t>CUST10020</t>
  </si>
  <si>
    <t>Meera Dua</t>
  </si>
  <si>
    <t>CUST10021</t>
  </si>
  <si>
    <t>Yauvani Ramesh</t>
  </si>
  <si>
    <t>CUST10022</t>
  </si>
  <si>
    <t>Janaki Bhasin</t>
  </si>
  <si>
    <t>CUST10025</t>
  </si>
  <si>
    <t>Mahika Hegde</t>
  </si>
  <si>
    <t>North-East</t>
  </si>
  <si>
    <t>CUST10026</t>
  </si>
  <si>
    <t>Ranbir Kar</t>
  </si>
  <si>
    <t>CUST10027</t>
  </si>
  <si>
    <t>Hemangini Anand</t>
  </si>
  <si>
    <t>CUST10029</t>
  </si>
  <si>
    <t>Ranveer Dayal</t>
  </si>
  <si>
    <t>CUST10030</t>
  </si>
  <si>
    <t>Lekha Desai</t>
  </si>
  <si>
    <t>CUST10031</t>
  </si>
  <si>
    <t>Jacob Chakrabarti</t>
  </si>
  <si>
    <t>CUST10032</t>
  </si>
  <si>
    <t>Manan Kumer</t>
  </si>
  <si>
    <t>CUST10033</t>
  </si>
  <si>
    <t>Nirja Devan</t>
  </si>
  <si>
    <t>Central</t>
  </si>
  <si>
    <t>CUST10035</t>
  </si>
  <si>
    <t>Harrison Varma</t>
  </si>
  <si>
    <t>CUST10036</t>
  </si>
  <si>
    <t>Waida Chaudhari</t>
  </si>
  <si>
    <t>CUST10037</t>
  </si>
  <si>
    <t>Manbir Khatri</t>
  </si>
  <si>
    <t>CUST10038</t>
  </si>
  <si>
    <t>Frado Rai</t>
  </si>
  <si>
    <t>CUST10039</t>
  </si>
  <si>
    <t>Thomas Iyer</t>
  </si>
  <si>
    <t>CUST10040</t>
  </si>
  <si>
    <t>Wriddhish Desai</t>
  </si>
  <si>
    <t>CUST10041</t>
  </si>
  <si>
    <t>Triveni Grover</t>
  </si>
  <si>
    <t>CUST10042</t>
  </si>
  <si>
    <t>Dakshesh Patla</t>
  </si>
  <si>
    <t>CUST10043</t>
  </si>
  <si>
    <t>Umang Korpal</t>
  </si>
  <si>
    <t>CUST10044</t>
  </si>
  <si>
    <t>Samaksh Banerjee</t>
  </si>
  <si>
    <t>CUST10045</t>
  </si>
  <si>
    <t>Faras Brar</t>
  </si>
  <si>
    <t>CUST10048</t>
  </si>
  <si>
    <t>Unni Ramakrishnan</t>
  </si>
  <si>
    <t>CUST10049</t>
  </si>
  <si>
    <t>Xalak Narayanan</t>
  </si>
  <si>
    <t>CUST10050</t>
  </si>
  <si>
    <t>Neelima Loyal</t>
  </si>
  <si>
    <t>CUST10057</t>
  </si>
  <si>
    <t>Hemal Mangal</t>
  </si>
  <si>
    <t>CUST10059</t>
  </si>
  <si>
    <t>Gaurangi Mohan</t>
  </si>
  <si>
    <t>CUST10061</t>
  </si>
  <si>
    <t>Luke Naidu</t>
  </si>
  <si>
    <t>CUST10063</t>
  </si>
  <si>
    <t>Sanya Gopal</t>
  </si>
  <si>
    <t>CUST10064</t>
  </si>
  <si>
    <t>Wriddhish Arya</t>
  </si>
  <si>
    <t>CUST10065</t>
  </si>
  <si>
    <t>Anya Deshpande</t>
  </si>
  <si>
    <t>CUST10066</t>
  </si>
  <si>
    <t>Jhalak Dani</t>
  </si>
  <si>
    <t>CUST10069</t>
  </si>
  <si>
    <t>Rohan Kota</t>
  </si>
  <si>
    <t>CUST10070</t>
  </si>
  <si>
    <t>Ojasvi Dada</t>
  </si>
  <si>
    <t>CUST10073</t>
  </si>
  <si>
    <t>Thomas Shankar</t>
  </si>
  <si>
    <t>CUST10074</t>
  </si>
  <si>
    <t>Hemang Badami</t>
  </si>
  <si>
    <t>CUST10075</t>
  </si>
  <si>
    <t>Jairaj Tandon</t>
  </si>
  <si>
    <t>CUST10076</t>
  </si>
  <si>
    <t>Oliver Dhar</t>
  </si>
  <si>
    <t>CUST10077</t>
  </si>
  <si>
    <t>Fariq Pillay</t>
  </si>
  <si>
    <t>CUST10079</t>
  </si>
  <si>
    <t>Naksh Kadakia</t>
  </si>
  <si>
    <t>CUST10080</t>
  </si>
  <si>
    <t>Ati Goda</t>
  </si>
  <si>
    <t>CUST10082</t>
  </si>
  <si>
    <t>Amara Tara</t>
  </si>
  <si>
    <t>CUST10085</t>
  </si>
  <si>
    <t>Harita Divan</t>
  </si>
  <si>
    <t>CUST10086</t>
  </si>
  <si>
    <t>Sai Shere</t>
  </si>
  <si>
    <t>CUST10088</t>
  </si>
  <si>
    <t>Ekiya Ray</t>
  </si>
  <si>
    <t>CUST10089</t>
  </si>
  <si>
    <t>Robert Sidhu</t>
  </si>
  <si>
    <t>CUST10090</t>
  </si>
  <si>
    <t>Isaac Mallick</t>
  </si>
  <si>
    <t>CUST10092</t>
  </si>
  <si>
    <t>Reva Yadav</t>
  </si>
  <si>
    <t>CUST10097</t>
  </si>
  <si>
    <t>Dayamai Grewal</t>
  </si>
  <si>
    <t>CUST10098</t>
  </si>
  <si>
    <t>Ubika Hayer</t>
  </si>
  <si>
    <t>CUST10099</t>
  </si>
  <si>
    <t>Pavani Bala</t>
  </si>
  <si>
    <t>CUST10100</t>
  </si>
  <si>
    <t>Utkarsh Dasgupta</t>
  </si>
  <si>
    <t>CUST10101</t>
  </si>
  <si>
    <t>Mitali Wadhwa</t>
  </si>
  <si>
    <t>CUST10102</t>
  </si>
  <si>
    <t>Warda Gala</t>
  </si>
  <si>
    <t>CUST10104</t>
  </si>
  <si>
    <t>Kritika Pal</t>
  </si>
  <si>
    <t>CUST10105</t>
  </si>
  <si>
    <t>Mitesh Vasa</t>
  </si>
  <si>
    <t>CUST10108</t>
  </si>
  <si>
    <t>Joshua Prakash</t>
  </si>
  <si>
    <t>CUST10110</t>
  </si>
  <si>
    <t>Omkaar Dora</t>
  </si>
  <si>
    <t>CUST10112</t>
  </si>
  <si>
    <t>Aarav Mani</t>
  </si>
  <si>
    <t>CUST10113</t>
  </si>
  <si>
    <t>Urvi Kapadia</t>
  </si>
  <si>
    <t>CUST10115</t>
  </si>
  <si>
    <t>Pallavi Sane</t>
  </si>
  <si>
    <t>CUST10117</t>
  </si>
  <si>
    <t>Upasna Ranganathan</t>
  </si>
  <si>
    <t>CUST10119</t>
  </si>
  <si>
    <t>Yasti Grover</t>
  </si>
  <si>
    <t>CUST10120</t>
  </si>
  <si>
    <t>Widisha Dara</t>
  </si>
  <si>
    <t>CUST10121</t>
  </si>
  <si>
    <t>Ryan Raj</t>
  </si>
  <si>
    <t>CUST10123</t>
  </si>
  <si>
    <t>Jeet Dugal</t>
  </si>
  <si>
    <t>CUST10130</t>
  </si>
  <si>
    <t>Tarak Dua</t>
  </si>
  <si>
    <t>CUST10131</t>
  </si>
  <si>
    <t>Neel Trivedi</t>
  </si>
  <si>
    <t>CUST10132</t>
  </si>
  <si>
    <t>Hitesh Master</t>
  </si>
  <si>
    <t>CUST10133</t>
  </si>
  <si>
    <t>Mitesh Pal</t>
  </si>
  <si>
    <t>CUST10135</t>
  </si>
  <si>
    <t>Nidhi Bhandari</t>
  </si>
  <si>
    <t>CUST10136</t>
  </si>
  <si>
    <t>Qadim Nazareth</t>
  </si>
  <si>
    <t>CUST10137</t>
  </si>
  <si>
    <t>Kamya Bawa</t>
  </si>
  <si>
    <t>CUST10138</t>
  </si>
  <si>
    <t>Xavier Srinivas</t>
  </si>
  <si>
    <t>CUST10140</t>
  </si>
  <si>
    <t>Anita Ranganathan</t>
  </si>
  <si>
    <t>CUST10141</t>
  </si>
  <si>
    <t>Anya Cheema</t>
  </si>
  <si>
    <t>CUST10142</t>
  </si>
  <si>
    <t>Abeer Sunder</t>
  </si>
  <si>
    <t>CUST10143</t>
  </si>
  <si>
    <t>Veer Mody</t>
  </si>
  <si>
    <t>CUST10144</t>
  </si>
  <si>
    <t>Ekiya Dixit</t>
  </si>
  <si>
    <t>CUST10145</t>
  </si>
  <si>
    <t>Ekbal Kannan</t>
  </si>
  <si>
    <t>CUST10147</t>
  </si>
  <si>
    <t>Yashoda Mangat</t>
  </si>
  <si>
    <t>CUST10149</t>
  </si>
  <si>
    <t>Libni Bhatnagar</t>
  </si>
  <si>
    <t>CUST10150</t>
  </si>
  <si>
    <t>Aradhana Soni</t>
  </si>
  <si>
    <t>CUST10151</t>
  </si>
  <si>
    <t>Janaki Nagar</t>
  </si>
  <si>
    <t>CUST10152</t>
  </si>
  <si>
    <t>Elijah Ghosh</t>
  </si>
  <si>
    <t>CUST10153</t>
  </si>
  <si>
    <t>Jyoti Chadha</t>
  </si>
  <si>
    <t>CUST10154</t>
  </si>
  <si>
    <t>Amrita Bora</t>
  </si>
  <si>
    <t>CUST10155</t>
  </si>
  <si>
    <t>Hema Narayan</t>
  </si>
  <si>
    <t>CUST10156</t>
  </si>
  <si>
    <t>Anita Badal</t>
  </si>
  <si>
    <t>CUST10160</t>
  </si>
  <si>
    <t>Aadi Devan</t>
  </si>
  <si>
    <t>CUST10161</t>
  </si>
  <si>
    <t>Zehaan Ganguly</t>
  </si>
  <si>
    <t>CUST10165</t>
  </si>
  <si>
    <t>Ethan Jaggi</t>
  </si>
  <si>
    <t>CUST10169</t>
  </si>
  <si>
    <t>Nitesh Sandhu</t>
  </si>
  <si>
    <t>CUST10170</t>
  </si>
  <si>
    <t>Veda Kashyap</t>
  </si>
  <si>
    <t>CUST10173</t>
  </si>
  <si>
    <t>Harinakshi Wali</t>
  </si>
  <si>
    <t>CUST10174</t>
  </si>
  <si>
    <t>Osha Pandey</t>
  </si>
  <si>
    <t>CUST10177</t>
  </si>
  <si>
    <t>Falguni More</t>
  </si>
  <si>
    <t>CUST10178</t>
  </si>
  <si>
    <t>Azaan Vala</t>
  </si>
  <si>
    <t>CUST10180</t>
  </si>
  <si>
    <t>Maanav Bath</t>
  </si>
  <si>
    <t>CUST10181</t>
  </si>
  <si>
    <t>Jai Biswas</t>
  </si>
  <si>
    <t>CUST10184</t>
  </si>
  <si>
    <t>Tanmayi Mander</t>
  </si>
  <si>
    <t>CUST10186</t>
  </si>
  <si>
    <t>Logan Salvi</t>
  </si>
  <si>
    <t>CUST10189</t>
  </si>
  <si>
    <t>Chameli Sem</t>
  </si>
  <si>
    <t>CUST10190</t>
  </si>
  <si>
    <t>Dayamai Chakraborty</t>
  </si>
  <si>
    <t>CUST10191</t>
  </si>
  <si>
    <t>Saksham Rajan</t>
  </si>
  <si>
    <t>CUST10192</t>
  </si>
  <si>
    <t>Pooja Bandi</t>
  </si>
  <si>
    <t>CUST10194</t>
  </si>
  <si>
    <t>Niharika Konda</t>
  </si>
  <si>
    <t>CUST10195</t>
  </si>
  <si>
    <t>Divya Kannan</t>
  </si>
  <si>
    <t>CUST10198</t>
  </si>
  <si>
    <t>Ucchal Sastry</t>
  </si>
  <si>
    <t>CUST10200</t>
  </si>
  <si>
    <t>Lajita Kapoor</t>
  </si>
  <si>
    <t>CUST10202</t>
  </si>
  <si>
    <t>Unnati Anand</t>
  </si>
  <si>
    <t>CUST10204</t>
  </si>
  <si>
    <t>Neel Wadhwa</t>
  </si>
  <si>
    <t>CUST10205</t>
  </si>
  <si>
    <t>Turvi Sachdev</t>
  </si>
  <si>
    <t>CUST10206</t>
  </si>
  <si>
    <t>Pooja Mistry</t>
  </si>
  <si>
    <t>CUST10207</t>
  </si>
  <si>
    <t>Farhan Murthy</t>
  </si>
  <si>
    <t>CUST10208</t>
  </si>
  <si>
    <t>Gautami Ramaswamy</t>
  </si>
  <si>
    <t>CUST10209</t>
  </si>
  <si>
    <t>Baghyawati Sachdev</t>
  </si>
  <si>
    <t>CUST10210</t>
  </si>
  <si>
    <t>Yug Misra</t>
  </si>
  <si>
    <t>CUST10212</t>
  </si>
  <si>
    <t>Damyanti Kurian</t>
  </si>
  <si>
    <t>CUST10214</t>
  </si>
  <si>
    <t>Yash Kibe</t>
  </si>
  <si>
    <t>CUST10216</t>
  </si>
  <si>
    <t>Upkaar Madan</t>
  </si>
  <si>
    <t>CUST10217</t>
  </si>
  <si>
    <t>Aishani Badal</t>
  </si>
  <si>
    <t>CUST10218</t>
  </si>
  <si>
    <t>Madhav Kapur</t>
  </si>
  <si>
    <t>CUST10219</t>
  </si>
  <si>
    <t>Falguni Tella</t>
  </si>
  <si>
    <t>CUST10220</t>
  </si>
  <si>
    <t>Kabir Sood</t>
  </si>
  <si>
    <t>CUST10222</t>
  </si>
  <si>
    <t>Nakul Chawla</t>
  </si>
  <si>
    <t>CUST10223</t>
  </si>
  <si>
    <t>Sanaya Dayal</t>
  </si>
  <si>
    <t>CUST10226</t>
  </si>
  <si>
    <t>Charvi Venkataraman</t>
  </si>
  <si>
    <t>CUST10227</t>
  </si>
  <si>
    <t>Reyansh Mangat</t>
  </si>
  <si>
    <t>CUST10228</t>
  </si>
  <si>
    <t>Kamala Nayar</t>
  </si>
  <si>
    <t>CUST10229</t>
  </si>
  <si>
    <t>Kevin Dass</t>
  </si>
  <si>
    <t>CUST10230</t>
  </si>
  <si>
    <t>Yash Anne</t>
  </si>
  <si>
    <t>CUST10231</t>
  </si>
  <si>
    <t>Chasmum Mall</t>
  </si>
  <si>
    <t>CUST10232</t>
  </si>
  <si>
    <t>Daksha Raj</t>
  </si>
  <si>
    <t>CUST10233</t>
  </si>
  <si>
    <t>Manbir Kapoor</t>
  </si>
  <si>
    <t>CUST10234</t>
  </si>
  <si>
    <t>Ayaan Dhaliwal</t>
  </si>
  <si>
    <t>CUST10235</t>
  </si>
  <si>
    <t>Hredhaan Deshpande</t>
  </si>
  <si>
    <t>CUST10236</t>
  </si>
  <si>
    <t>Samar Shenoy</t>
  </si>
  <si>
    <t>CUST10238</t>
  </si>
  <si>
    <t>Ranveer Narayanan</t>
  </si>
  <si>
    <t>CUST10239</t>
  </si>
  <si>
    <t>Urishilla Agate</t>
  </si>
  <si>
    <t>CUST10241</t>
  </si>
  <si>
    <t>Advika Patel</t>
  </si>
  <si>
    <t>CUST10242</t>
  </si>
  <si>
    <t>Ranbir Lad</t>
  </si>
  <si>
    <t>CUST10243</t>
  </si>
  <si>
    <t>Mekhala Rama</t>
  </si>
  <si>
    <t>CUST10244</t>
  </si>
  <si>
    <t>Frado Bora</t>
  </si>
  <si>
    <t>CUST10246</t>
  </si>
  <si>
    <t>Chaman Goswami</t>
  </si>
  <si>
    <t>CUST10248</t>
  </si>
  <si>
    <t>Bahadurjit Kothari</t>
  </si>
  <si>
    <t>CUST10250</t>
  </si>
  <si>
    <t>Qadim Lanka</t>
  </si>
  <si>
    <t>CUST10251</t>
  </si>
  <si>
    <t>Sarthak Chokshi</t>
  </si>
  <si>
    <t>CUST10252</t>
  </si>
  <si>
    <t>Charvi Kata</t>
  </si>
  <si>
    <t>CUST10255</t>
  </si>
  <si>
    <t>Lohit Mand</t>
  </si>
  <si>
    <t>CUST10256</t>
  </si>
  <si>
    <t>Chandresh Dua</t>
  </si>
  <si>
    <t>CUST10257</t>
  </si>
  <si>
    <t>Vidhi Sarma</t>
  </si>
  <si>
    <t>CUST10258</t>
  </si>
  <si>
    <t>Devansh Shroff</t>
  </si>
  <si>
    <t>CUST10259</t>
  </si>
  <si>
    <t>Raghav Barad</t>
  </si>
  <si>
    <t>CUST10260</t>
  </si>
  <si>
    <t>Sarthak Nagar</t>
  </si>
  <si>
    <t>CUST10264</t>
  </si>
  <si>
    <t>Hamsini Golla</t>
  </si>
  <si>
    <t>CUST10265</t>
  </si>
  <si>
    <t>Gayathri Dutta</t>
  </si>
  <si>
    <t>CUST10268</t>
  </si>
  <si>
    <t>Amol Desai</t>
  </si>
  <si>
    <t>CUST10269</t>
  </si>
  <si>
    <t>Nandini Chokshi</t>
  </si>
  <si>
    <t>CUST10270</t>
  </si>
  <si>
    <t>Samarth Anne</t>
  </si>
  <si>
    <t>CUST10272</t>
  </si>
  <si>
    <t>Zehaan Rege</t>
  </si>
  <si>
    <t>CUST10273</t>
  </si>
  <si>
    <t>Ridhi Bir</t>
  </si>
  <si>
    <t>CUST10274</t>
  </si>
  <si>
    <t>Priya Shan</t>
  </si>
  <si>
    <t>CUST10275</t>
  </si>
  <si>
    <t>Advaith Sarma</t>
  </si>
  <si>
    <t>CUST10276</t>
  </si>
  <si>
    <t>Lucky Sridhar</t>
  </si>
  <si>
    <t>CUST10278</t>
  </si>
  <si>
    <t>Oscar Mall</t>
  </si>
  <si>
    <t>CUST10283</t>
  </si>
  <si>
    <t>Karan Batra</t>
  </si>
  <si>
    <t>CUST10285</t>
  </si>
  <si>
    <t>Amol Chand</t>
  </si>
  <si>
    <t>CUST10286</t>
  </si>
  <si>
    <t>Nicholas Gade</t>
  </si>
  <si>
    <t>CUST10291</t>
  </si>
  <si>
    <t>Abha Sachdev</t>
  </si>
  <si>
    <t>CUST10293</t>
  </si>
  <si>
    <t>Libni Parsa</t>
  </si>
  <si>
    <t>CUST10294</t>
  </si>
  <si>
    <t>Ridhi Dube</t>
  </si>
  <si>
    <t>CUST10296</t>
  </si>
  <si>
    <t>Pranit Dugal</t>
  </si>
  <si>
    <t>CUST10297</t>
  </si>
  <si>
    <t>Banjeet Oza</t>
  </si>
  <si>
    <t>CUST10299</t>
  </si>
  <si>
    <t>Aachal Tripathi</t>
  </si>
  <si>
    <t>CUST10300</t>
  </si>
  <si>
    <t>Yug Sunder</t>
  </si>
  <si>
    <t>CUST10302</t>
  </si>
  <si>
    <t>Quincy Chaudhry</t>
  </si>
  <si>
    <t>CUST10303</t>
  </si>
  <si>
    <t>Frado Chadha</t>
  </si>
  <si>
    <t>CUST10304</t>
  </si>
  <si>
    <t>Jagdish Wali</t>
  </si>
  <si>
    <t>CUST10305</t>
  </si>
  <si>
    <t>Yochana Barman</t>
  </si>
  <si>
    <t>CUST10307</t>
  </si>
  <si>
    <t>Ethan Sha</t>
  </si>
  <si>
    <t>CUST10309</t>
  </si>
  <si>
    <t>Umang Dora</t>
  </si>
  <si>
    <t>CUST10310</t>
  </si>
  <si>
    <t>Hemang Krishnamurthy</t>
  </si>
  <si>
    <t>CUST10311</t>
  </si>
  <si>
    <t>Pranav Nadkarni</t>
  </si>
  <si>
    <t>CUST10312</t>
  </si>
  <si>
    <t>Wakeeta Chaudry</t>
  </si>
  <si>
    <t>CUST10314</t>
  </si>
  <si>
    <t>Lipika Kumar</t>
  </si>
  <si>
    <t>CUST10315</t>
  </si>
  <si>
    <t>Thomas Sha</t>
  </si>
  <si>
    <t>CUST10316</t>
  </si>
  <si>
    <t>Nihal Bail</t>
  </si>
  <si>
    <t>CUST10317</t>
  </si>
  <si>
    <t>Bimala Doctor</t>
  </si>
  <si>
    <t>CUST10318</t>
  </si>
  <si>
    <t>Isaiah Prashad</t>
  </si>
  <si>
    <t>CUST10319</t>
  </si>
  <si>
    <t>Krisha Nagi</t>
  </si>
  <si>
    <t>CUST10326</t>
  </si>
  <si>
    <t>Anika Shetty</t>
  </si>
  <si>
    <t>CUST10327</t>
  </si>
  <si>
    <t>Ojas Anne</t>
  </si>
  <si>
    <t>CUST10328</t>
  </si>
  <si>
    <t>Krishna Tripathi</t>
  </si>
  <si>
    <t>CUST10329</t>
  </si>
  <si>
    <t>Ekbal Munshi</t>
  </si>
  <si>
    <t>CUST10330</t>
  </si>
  <si>
    <t>Sara Taneja</t>
  </si>
  <si>
    <t>CUST10333</t>
  </si>
  <si>
    <t>Oeshi Kaul</t>
  </si>
  <si>
    <t>CUST10335</t>
  </si>
  <si>
    <t>Urvi Nagar</t>
  </si>
  <si>
    <t>CUST10336</t>
  </si>
  <si>
    <t>Nathaniel Parmer</t>
  </si>
  <si>
    <t>CUST10339</t>
  </si>
  <si>
    <t>Lucky Desai</t>
  </si>
  <si>
    <t>CUST10341</t>
  </si>
  <si>
    <t>Bhavika Dada</t>
  </si>
  <si>
    <t>CUST10345</t>
  </si>
  <si>
    <t>Rajata Konda</t>
  </si>
  <si>
    <t>CUST10346</t>
  </si>
  <si>
    <t>Mitesh Rege</t>
  </si>
  <si>
    <t>CUST10347</t>
  </si>
  <si>
    <t>Chaman Gole</t>
  </si>
  <si>
    <t>CUST10348</t>
  </si>
  <si>
    <t>Raagini Purohit</t>
  </si>
  <si>
    <t>CUST10349</t>
  </si>
  <si>
    <t>Gautami Lad</t>
  </si>
  <si>
    <t>CUST10350</t>
  </si>
  <si>
    <t>Harinakshi Chatterjee</t>
  </si>
  <si>
    <t>CUST10352</t>
  </si>
  <si>
    <t>Banjeet Bassi</t>
  </si>
  <si>
    <t>CUST10353</t>
  </si>
  <si>
    <t>Udarsh Dugar</t>
  </si>
  <si>
    <t>CUST10357</t>
  </si>
  <si>
    <t>Kashish Yohannan</t>
  </si>
  <si>
    <t>CUST10358</t>
  </si>
  <si>
    <t>Radhika Sahni</t>
  </si>
  <si>
    <t>CUST10359</t>
  </si>
  <si>
    <t>Neelima Misra</t>
  </si>
  <si>
    <t>CUST10360</t>
  </si>
  <si>
    <t>Hemang Choudhary</t>
  </si>
  <si>
    <t>CUST10362</t>
  </si>
  <si>
    <t>Lopa More</t>
  </si>
  <si>
    <t>CUST10363</t>
  </si>
  <si>
    <t>Kiaan Acharya</t>
  </si>
  <si>
    <t>CUST10365</t>
  </si>
  <si>
    <t>Riya Vohra</t>
  </si>
  <si>
    <t>CUST10366</t>
  </si>
  <si>
    <t>Yash Murthy</t>
  </si>
  <si>
    <t>CUST10367</t>
  </si>
  <si>
    <t>Lipika Ratti</t>
  </si>
  <si>
    <t>CUST10369</t>
  </si>
  <si>
    <t>Radhika Dayal</t>
  </si>
  <si>
    <t>CUST10370</t>
  </si>
  <si>
    <t>CUST10371</t>
  </si>
  <si>
    <t>Lohit Sarin</t>
  </si>
  <si>
    <t>CUST10372</t>
  </si>
  <si>
    <t>Praneel Borde</t>
  </si>
  <si>
    <t>CUST10374</t>
  </si>
  <si>
    <t>Devansh Bath</t>
  </si>
  <si>
    <t>CUST10375</t>
  </si>
  <si>
    <t>Nihal Kulkarni</t>
  </si>
  <si>
    <t>CUST10378</t>
  </si>
  <si>
    <t>Urishilla Sekhon</t>
  </si>
  <si>
    <t>CUST10379</t>
  </si>
  <si>
    <t>Niharika Mall</t>
  </si>
  <si>
    <t>CUST10380</t>
  </si>
  <si>
    <t>Naveen Varkey</t>
  </si>
  <si>
    <t>CUST10381</t>
  </si>
  <si>
    <t>Indrajit Bahri</t>
  </si>
  <si>
    <t>CUST10383</t>
  </si>
  <si>
    <t>Nimrat Bail</t>
  </si>
  <si>
    <t>CUST10386</t>
  </si>
  <si>
    <t>Gayathri Hari</t>
  </si>
  <si>
    <t>CUST10388</t>
  </si>
  <si>
    <t>Ekanta Batra</t>
  </si>
  <si>
    <t>CUST10390</t>
  </si>
  <si>
    <t>Wahab Agarwal</t>
  </si>
  <si>
    <t>CUST10393</t>
  </si>
  <si>
    <t>Mitali Walla</t>
  </si>
  <si>
    <t>CUST10394</t>
  </si>
  <si>
    <t>Nihal Shankar</t>
  </si>
  <si>
    <t>CUST10395</t>
  </si>
  <si>
    <t>Yagnesh Karan</t>
  </si>
  <si>
    <t>CUST10396</t>
  </si>
  <si>
    <t>Samuel Thaker</t>
  </si>
  <si>
    <t>CUST10397</t>
  </si>
  <si>
    <t>Samar Kala</t>
  </si>
  <si>
    <t>CUST10398</t>
  </si>
  <si>
    <t>Nikita Chacko</t>
  </si>
  <si>
    <t>CUST10401</t>
  </si>
  <si>
    <t>Yug Saraf</t>
  </si>
  <si>
    <t>CUST10402</t>
  </si>
  <si>
    <t>Ikbal Acharya</t>
  </si>
  <si>
    <t>CUST10403</t>
  </si>
  <si>
    <t>Ranveer Dubey</t>
  </si>
  <si>
    <t>CUST10405</t>
  </si>
  <si>
    <t>Hardik Zachariah</t>
  </si>
  <si>
    <t>CUST10406</t>
  </si>
  <si>
    <t>Ikshita Grover</t>
  </si>
  <si>
    <t>CUST10407</t>
  </si>
  <si>
    <t>Dev Wadhwa</t>
  </si>
  <si>
    <t>CUST10410</t>
  </si>
  <si>
    <t>Girish Bassi</t>
  </si>
  <si>
    <t>CUST10411</t>
  </si>
  <si>
    <t>Kamala Ganesh</t>
  </si>
  <si>
    <t>CUST10412</t>
  </si>
  <si>
    <t>Harish Lata</t>
  </si>
  <si>
    <t>CUST10413</t>
  </si>
  <si>
    <t>Falan Datta</t>
  </si>
  <si>
    <t>CUST10416</t>
  </si>
  <si>
    <t>Indira Saini</t>
  </si>
  <si>
    <t>CUST10417</t>
  </si>
  <si>
    <t>Chandani Palla</t>
  </si>
  <si>
    <t>CUST10421</t>
  </si>
  <si>
    <t>Onkar Pandya</t>
  </si>
  <si>
    <t>CUST10422</t>
  </si>
  <si>
    <t>Lakshit Naik</t>
  </si>
  <si>
    <t>CUST10425</t>
  </si>
  <si>
    <t>Anjali Saran</t>
  </si>
  <si>
    <t>CUST10427</t>
  </si>
  <si>
    <t>Arin Saxena</t>
  </si>
  <si>
    <t>CUST10428</t>
  </si>
  <si>
    <t>Vaishnavi Dhar</t>
  </si>
  <si>
    <t>CUST10430</t>
  </si>
  <si>
    <t>Raksha Randhawa</t>
  </si>
  <si>
    <t>CUST10431</t>
  </si>
  <si>
    <t>Anthony Aggarwal</t>
  </si>
  <si>
    <t>CUST10433</t>
  </si>
  <si>
    <t>Indira Mane</t>
  </si>
  <si>
    <t>CUST10435</t>
  </si>
  <si>
    <t>Yamini Mittal</t>
  </si>
  <si>
    <t>CUST10436</t>
  </si>
  <si>
    <t>Nirja Shere</t>
  </si>
  <si>
    <t>CUST10437</t>
  </si>
  <si>
    <t>Bhavya Shanker</t>
  </si>
  <si>
    <t>CUST10439</t>
  </si>
  <si>
    <t>Lajita Master</t>
  </si>
  <si>
    <t>CUST10441</t>
  </si>
  <si>
    <t>Advaith Ganesan</t>
  </si>
  <si>
    <t>CUST10442</t>
  </si>
  <si>
    <t>Advaith Narain</t>
  </si>
  <si>
    <t>CUST10443</t>
  </si>
  <si>
    <t>Jagat Balay</t>
  </si>
  <si>
    <t>CUST10444</t>
  </si>
  <si>
    <t>Mohini Dewan</t>
  </si>
  <si>
    <t>CUST10447</t>
  </si>
  <si>
    <t>Praneel Madan</t>
  </si>
  <si>
    <t>CUST10448</t>
  </si>
  <si>
    <t>Jagrati Venkatesh</t>
  </si>
  <si>
    <t>CUST10449</t>
  </si>
  <si>
    <t>Timothy Acharya</t>
  </si>
  <si>
    <t>CUST10451</t>
  </si>
  <si>
    <t>Dalaja Zachariah</t>
  </si>
  <si>
    <t>CUST10452</t>
  </si>
  <si>
    <t>Urvi Lala</t>
  </si>
  <si>
    <t>CUST10453</t>
  </si>
  <si>
    <t>Idika Sagar</t>
  </si>
  <si>
    <t>CUST10454</t>
  </si>
  <si>
    <t>Akshay Dixit</t>
  </si>
  <si>
    <t>CUST10456</t>
  </si>
  <si>
    <t>Aadi Kala</t>
  </si>
  <si>
    <t>CUST10457</t>
  </si>
  <si>
    <t>Hemani Ramakrishnan</t>
  </si>
  <si>
    <t>CUST10459</t>
  </si>
  <si>
    <t>Anay Parmar</t>
  </si>
  <si>
    <t>CUST10460</t>
  </si>
  <si>
    <t>Brinda Chatterjee</t>
  </si>
  <si>
    <t>CUST10461</t>
  </si>
  <si>
    <t>Rehaan Sarma</t>
  </si>
  <si>
    <t>CUST10462</t>
  </si>
  <si>
    <t>Rachana Sen</t>
  </si>
  <si>
    <t>CUST10464</t>
  </si>
  <si>
    <t>Jagat Wali</t>
  </si>
  <si>
    <t>CUST10465</t>
  </si>
  <si>
    <t>Neel Sachdeva</t>
  </si>
  <si>
    <t>CUST10466</t>
  </si>
  <si>
    <t>Azaan Chowdhury</t>
  </si>
  <si>
    <t>CUST10468</t>
  </si>
  <si>
    <t>Champak Kashyap</t>
  </si>
  <si>
    <t>CUST10469</t>
  </si>
  <si>
    <t>Chakrika Mitter</t>
  </si>
  <si>
    <t>CUST10470</t>
  </si>
  <si>
    <t>Karan Bassi</t>
  </si>
  <si>
    <t>CUST10471</t>
  </si>
  <si>
    <t>Veda Mahal</t>
  </si>
  <si>
    <t>CUST10472</t>
  </si>
  <si>
    <t>Pahal Rattan</t>
  </si>
  <si>
    <t>CUST10473</t>
  </si>
  <si>
    <t>Nitesh Mitra</t>
  </si>
  <si>
    <t>CUST10474</t>
  </si>
  <si>
    <t>Krishna Dhar</t>
  </si>
  <si>
    <t>CUST10475</t>
  </si>
  <si>
    <t>Jackson Naik</t>
  </si>
  <si>
    <t>CUST10476</t>
  </si>
  <si>
    <t>Rajata Sridhar</t>
  </si>
  <si>
    <t>CUST10478</t>
  </si>
  <si>
    <t>Qarin Golla</t>
  </si>
  <si>
    <t>CUST10479</t>
  </si>
  <si>
    <t>Abhiram Narula</t>
  </si>
  <si>
    <t>CUST10480</t>
  </si>
  <si>
    <t>Tanveer Menon</t>
  </si>
  <si>
    <t>CUST10482</t>
  </si>
  <si>
    <t>Damyanti Srinivasan</t>
  </si>
  <si>
    <t>CUST10484</t>
  </si>
  <si>
    <t>Kashish Kapoor</t>
  </si>
  <si>
    <t>CUST10485</t>
  </si>
  <si>
    <t>Eta Garde</t>
  </si>
  <si>
    <t>CUST10486</t>
  </si>
  <si>
    <t>Vincent Warrior</t>
  </si>
  <si>
    <t>CUST10487</t>
  </si>
  <si>
    <t>Dhriti Ahuja</t>
  </si>
  <si>
    <t>CUST10489</t>
  </si>
  <si>
    <t>Gauri Pall</t>
  </si>
  <si>
    <t>CUST10494</t>
  </si>
  <si>
    <t>Luke Sheth</t>
  </si>
  <si>
    <t>CUST10495</t>
  </si>
  <si>
    <t>Naksh Sandal</t>
  </si>
  <si>
    <t>CUST10497</t>
  </si>
  <si>
    <t>Ekani Nair</t>
  </si>
  <si>
    <t>CUST10499</t>
  </si>
  <si>
    <t>Hiral Dey</t>
  </si>
  <si>
    <t>CUST10501</t>
  </si>
  <si>
    <t>Yadavi Narang</t>
  </si>
  <si>
    <t>CUST10502</t>
  </si>
  <si>
    <t>Jyoti Chad</t>
  </si>
  <si>
    <t>CUST10503</t>
  </si>
  <si>
    <t>Ekalinga Bhakta</t>
  </si>
  <si>
    <t>CUST10505</t>
  </si>
  <si>
    <t>Janani Morar</t>
  </si>
  <si>
    <t>CUST10506</t>
  </si>
  <si>
    <t>Aarna Sem</t>
  </si>
  <si>
    <t>CUST10507</t>
  </si>
  <si>
    <t>Damyanti Luthra</t>
  </si>
  <si>
    <t>CUST10510</t>
  </si>
  <si>
    <t>Raksha Wadhwa</t>
  </si>
  <si>
    <t>CUST10511</t>
  </si>
  <si>
    <t>Isaac Shenoy</t>
  </si>
  <si>
    <t>CUST10513</t>
  </si>
  <si>
    <t>Ryan Lad</t>
  </si>
  <si>
    <t>CUST10515</t>
  </si>
  <si>
    <t>Vihaan Suresh</t>
  </si>
  <si>
    <t>CUST10517</t>
  </si>
  <si>
    <t>Teerth Sama</t>
  </si>
  <si>
    <t>CUST10518</t>
  </si>
  <si>
    <t>Ekapad Iyer</t>
  </si>
  <si>
    <t>CUST10519</t>
  </si>
  <si>
    <t>Qabil Sane</t>
  </si>
  <si>
    <t>CUST10520</t>
  </si>
  <si>
    <t>Yochana Som</t>
  </si>
  <si>
    <t>CUST10523</t>
  </si>
  <si>
    <t>Aditya Mangal</t>
  </si>
  <si>
    <t>CUST10524</t>
  </si>
  <si>
    <t>Qarin Mutti</t>
  </si>
  <si>
    <t>CUST10527</t>
  </si>
  <si>
    <t>Eta Kala</t>
  </si>
  <si>
    <t>CUST10529</t>
  </si>
  <si>
    <t>Harrison Vala</t>
  </si>
  <si>
    <t>CUST10530</t>
  </si>
  <si>
    <t>Ishani Sandal</t>
  </si>
  <si>
    <t>CUST10531</t>
  </si>
  <si>
    <t>Raghav Master</t>
  </si>
  <si>
    <t>CUST10532</t>
  </si>
  <si>
    <t>Lakshmi Taneja</t>
  </si>
  <si>
    <t>CUST10537</t>
  </si>
  <si>
    <t>Krisha Sani</t>
  </si>
  <si>
    <t>CUST10538</t>
  </si>
  <si>
    <t>Harita Ben</t>
  </si>
  <si>
    <t>CUST10540</t>
  </si>
  <si>
    <t>Harini Srinivasan</t>
  </si>
  <si>
    <t>CUST10541</t>
  </si>
  <si>
    <t>Anay Wali</t>
  </si>
  <si>
    <t>CUST10542</t>
  </si>
  <si>
    <t>Harini Gade</t>
  </si>
  <si>
    <t>CUST10544</t>
  </si>
  <si>
    <t>Bina Mani</t>
  </si>
  <si>
    <t>CUST10545</t>
  </si>
  <si>
    <t>Chaitaly Ramakrishnan</t>
  </si>
  <si>
    <t>CUST10546</t>
  </si>
  <si>
    <t>Yoshita Varughese</t>
  </si>
  <si>
    <t>CUST10548</t>
  </si>
  <si>
    <t>Onkar Prabhakar</t>
  </si>
  <si>
    <t>CUST10550</t>
  </si>
  <si>
    <t>Zarna Choudhry</t>
  </si>
  <si>
    <t>CUST10551</t>
  </si>
  <si>
    <t>Praneel Dhar</t>
  </si>
  <si>
    <t>CUST10553</t>
  </si>
  <si>
    <t>Laksh Mistry</t>
  </si>
  <si>
    <t>CUST10554</t>
  </si>
  <si>
    <t>Siya Bumb</t>
  </si>
  <si>
    <t>CUST10555</t>
  </si>
  <si>
    <t>Akshay Narasimhan</t>
  </si>
  <si>
    <t>CUST10556</t>
  </si>
  <si>
    <t>Adweta Narasimhan</t>
  </si>
  <si>
    <t>CUST10557</t>
  </si>
  <si>
    <t>Amaira Jhaveri</t>
  </si>
  <si>
    <t>CUST10559</t>
  </si>
  <si>
    <t>Henry Butala</t>
  </si>
  <si>
    <t>CUST10560</t>
  </si>
  <si>
    <t>Teerth Balan</t>
  </si>
  <si>
    <t>CUST10561</t>
  </si>
  <si>
    <t>Yadavi Om</t>
  </si>
  <si>
    <t>CUST10563</t>
  </si>
  <si>
    <t>Vyanjana Yohannan</t>
  </si>
  <si>
    <t>CUST10565</t>
  </si>
  <si>
    <t>Arin Ganesan</t>
  </si>
  <si>
    <t>CUST10566</t>
  </si>
  <si>
    <t>Sai Sidhu</t>
  </si>
  <si>
    <t>CUST10567</t>
  </si>
  <si>
    <t>Kamala Mutti</t>
  </si>
  <si>
    <t>CUST10568</t>
  </si>
  <si>
    <t>Pavani Sampath</t>
  </si>
  <si>
    <t>CUST10569</t>
  </si>
  <si>
    <t>Timothy Prakash</t>
  </si>
  <si>
    <t>CUST10570</t>
  </si>
  <si>
    <t>Dhriti Thaman</t>
  </si>
  <si>
    <t>CUST10572</t>
  </si>
  <si>
    <t>Robert Date</t>
  </si>
  <si>
    <t>CUST10573</t>
  </si>
  <si>
    <t>Anmol Dara</t>
  </si>
  <si>
    <t>CUST10574</t>
  </si>
  <si>
    <t>Wridesh Buch</t>
  </si>
  <si>
    <t>CUST10575</t>
  </si>
  <si>
    <t>Yuvraj Walia</t>
  </si>
  <si>
    <t>CUST10576</t>
  </si>
  <si>
    <t>Urvi Mohanty</t>
  </si>
  <si>
    <t>CUST10577</t>
  </si>
  <si>
    <t>Divya Palla</t>
  </si>
  <si>
    <t>CUST10578</t>
  </si>
  <si>
    <t>Yagnesh Sandhu</t>
  </si>
  <si>
    <t>CUST10580</t>
  </si>
  <si>
    <t>Harrison Thakkar</t>
  </si>
  <si>
    <t>CUST10583</t>
  </si>
  <si>
    <t>Simon Shenoy</t>
  </si>
  <si>
    <t>CUST10586</t>
  </si>
  <si>
    <t>Neelima Dey</t>
  </si>
  <si>
    <t>CUST10587</t>
  </si>
  <si>
    <t>Farhan Kalla</t>
  </si>
  <si>
    <t>CUST10588</t>
  </si>
  <si>
    <t>Yashodhara Rattan</t>
  </si>
  <si>
    <t>CUST10591</t>
  </si>
  <si>
    <t>Ekanta Sani</t>
  </si>
  <si>
    <t>CUST10592</t>
  </si>
  <si>
    <t>Jeevika Manne</t>
  </si>
  <si>
    <t>CUST10595</t>
  </si>
  <si>
    <t>Vinaya Grewal</t>
  </si>
  <si>
    <t>CUST10597</t>
  </si>
  <si>
    <t>Ladli Mannan</t>
  </si>
  <si>
    <t>CUST10598</t>
  </si>
  <si>
    <t>Maya Basak</t>
  </si>
  <si>
    <t>CUST10599</t>
  </si>
  <si>
    <t>Yashoda Khatri</t>
  </si>
  <si>
    <t>CUST10600</t>
  </si>
  <si>
    <t>Vedika Gopal</t>
  </si>
  <si>
    <t>CUST10601</t>
  </si>
  <si>
    <t>Ayaan Dutt</t>
  </si>
  <si>
    <t>CUST10602</t>
  </si>
  <si>
    <t>Kritika Rout</t>
  </si>
  <si>
    <t>CUST10603</t>
  </si>
  <si>
    <t>Hemal Krish</t>
  </si>
  <si>
    <t>CUST10605</t>
  </si>
  <si>
    <t>Krishna Kumer</t>
  </si>
  <si>
    <t>CUST10606</t>
  </si>
  <si>
    <t>Ekapad Sachar</t>
  </si>
  <si>
    <t>CUST10608</t>
  </si>
  <si>
    <t>Ekiya Jayaraman</t>
  </si>
  <si>
    <t>CUST10613</t>
  </si>
  <si>
    <t>Abhiram Lalla</t>
  </si>
  <si>
    <t>CUST10614</t>
  </si>
  <si>
    <t>Vidhi Saini</t>
  </si>
  <si>
    <t>CUST10615</t>
  </si>
  <si>
    <t>Pahal Desai</t>
  </si>
  <si>
    <t>CUST10616</t>
  </si>
  <si>
    <t>Adya Lad</t>
  </si>
  <si>
    <t>CUST10617</t>
  </si>
  <si>
    <t>Sudiksha D’Alia</t>
  </si>
  <si>
    <t>CUST10618</t>
  </si>
  <si>
    <t>Edhitha Kakar</t>
  </si>
  <si>
    <t>CUST10619</t>
  </si>
  <si>
    <t>Nisha Basu</t>
  </si>
  <si>
    <t>CUST10624</t>
  </si>
  <si>
    <t>Ekaja Panchal</t>
  </si>
  <si>
    <t>CUST10625</t>
  </si>
  <si>
    <t>Warjas Narasimhan</t>
  </si>
  <si>
    <t>CUST10626</t>
  </si>
  <si>
    <t>Laban Swaminathan</t>
  </si>
  <si>
    <t>CUST10627</t>
  </si>
  <si>
    <t>Sudiksha Lata</t>
  </si>
  <si>
    <t>CUST10628</t>
  </si>
  <si>
    <t>Ansh Sandal</t>
  </si>
  <si>
    <t>CUST10629</t>
  </si>
  <si>
    <t>Hitesh Rajagopal</t>
  </si>
  <si>
    <t>CUST10630</t>
  </si>
  <si>
    <t>Bakhshi Jain</t>
  </si>
  <si>
    <t>CUST10632</t>
  </si>
  <si>
    <t>Yashica Tak</t>
  </si>
  <si>
    <t>CUST10634</t>
  </si>
  <si>
    <t>Yauvani Kapadia</t>
  </si>
  <si>
    <t>CUST10635</t>
  </si>
  <si>
    <t>Tanish Ravel</t>
  </si>
  <si>
    <t>CUST10637</t>
  </si>
  <si>
    <t>Zayan Chandra</t>
  </si>
  <si>
    <t>CUST10638</t>
  </si>
  <si>
    <t>Abhiram Arora</t>
  </si>
  <si>
    <t>CUST10639</t>
  </si>
  <si>
    <t>Ikshita Hans</t>
  </si>
  <si>
    <t>CUST10642</t>
  </si>
  <si>
    <t>Aishani Ganesan</t>
  </si>
  <si>
    <t>CUST10643</t>
  </si>
  <si>
    <t>Adweta Bir</t>
  </si>
  <si>
    <t>CUST10645</t>
  </si>
  <si>
    <t>Ishani Seshadri</t>
  </si>
  <si>
    <t>CUST10646</t>
  </si>
  <si>
    <t>Krish Amble</t>
  </si>
  <si>
    <t>CUST10647</t>
  </si>
  <si>
    <t>Ati Bhatti</t>
  </si>
  <si>
    <t>CUST10652</t>
  </si>
  <si>
    <t>Dayamai Chaudhary</t>
  </si>
  <si>
    <t>CUST10653</t>
  </si>
  <si>
    <t>Maanas Malhotra</t>
  </si>
  <si>
    <t>CUST10654</t>
  </si>
  <si>
    <t>Ayaan Soman</t>
  </si>
  <si>
    <t>CUST10655</t>
  </si>
  <si>
    <t>Madhavi Kumer</t>
  </si>
  <si>
    <t>CUST10656</t>
  </si>
  <si>
    <t>Samarth Goswami</t>
  </si>
  <si>
    <t>CUST10659</t>
  </si>
  <si>
    <t>Bimala Atwal</t>
  </si>
  <si>
    <t>CUST10660</t>
  </si>
  <si>
    <t>Tanish Gera</t>
  </si>
  <si>
    <t>CUST10663</t>
  </si>
  <si>
    <t>Lavanya Vora</t>
  </si>
  <si>
    <t>CUST10667</t>
  </si>
  <si>
    <t>Omkaar Bhalla</t>
  </si>
  <si>
    <t>CUST10672</t>
  </si>
  <si>
    <t>Advaith Nori</t>
  </si>
  <si>
    <t>CUST10673</t>
  </si>
  <si>
    <t>Vamakshi Munshi</t>
  </si>
  <si>
    <t>CUST10674</t>
  </si>
  <si>
    <t>Darpan Char</t>
  </si>
  <si>
    <t>CUST10675</t>
  </si>
  <si>
    <t>Yagnesh Deshpande</t>
  </si>
  <si>
    <t>CUST10676</t>
  </si>
  <si>
    <t>Advik Bal</t>
  </si>
  <si>
    <t>CUST10678</t>
  </si>
  <si>
    <t>Ranveer Banerjee</t>
  </si>
  <si>
    <t>CUST10680</t>
  </si>
  <si>
    <t>Ikbal Jayaraman</t>
  </si>
  <si>
    <t>CUST10681</t>
  </si>
  <si>
    <t>Benjamin Upadhyay</t>
  </si>
  <si>
    <t>CUST10682</t>
  </si>
  <si>
    <t>Faqid Ramakrishnan</t>
  </si>
  <si>
    <t>CUST10683</t>
  </si>
  <si>
    <t>Lucky Grewal</t>
  </si>
  <si>
    <t>CUST10684</t>
  </si>
  <si>
    <t>Aryan Kulkarni</t>
  </si>
  <si>
    <t>CUST10687</t>
  </si>
  <si>
    <t>Ekapad Som</t>
  </si>
  <si>
    <t>CUST10688</t>
  </si>
  <si>
    <t>Suhani Kunda</t>
  </si>
  <si>
    <t>CUST10689</t>
  </si>
  <si>
    <t>Yash Ray</t>
  </si>
  <si>
    <t>CUST10690</t>
  </si>
  <si>
    <t>Maanav Kar</t>
  </si>
  <si>
    <t>CUST10691</t>
  </si>
  <si>
    <t>Chaaya Deep</t>
  </si>
  <si>
    <t>CUST10692</t>
  </si>
  <si>
    <t>Jalsa Dhawan</t>
  </si>
  <si>
    <t>CUST10693</t>
  </si>
  <si>
    <t>Mekhala Aurora</t>
  </si>
  <si>
    <t>CUST10695</t>
  </si>
  <si>
    <t>Anamika Butala</t>
  </si>
  <si>
    <t>CUST10696</t>
  </si>
  <si>
    <t>Anay Magar</t>
  </si>
  <si>
    <t>CUST10698</t>
  </si>
  <si>
    <t>Keya Bajaj</t>
  </si>
  <si>
    <t>CUST10701</t>
  </si>
  <si>
    <t>Kalpit Singhal</t>
  </si>
  <si>
    <t>CUST10702</t>
  </si>
  <si>
    <t>Farhan Shroff</t>
  </si>
  <si>
    <t>CUST10703</t>
  </si>
  <si>
    <t>Arjun Desai</t>
  </si>
  <si>
    <t>CUST10704</t>
  </si>
  <si>
    <t>Hemani Parmer</t>
  </si>
  <si>
    <t>CUST10706</t>
  </si>
  <si>
    <t>Karan Cherian</t>
  </si>
  <si>
    <t>CUST10707</t>
  </si>
  <si>
    <t>Indrajit Nagarajan</t>
  </si>
  <si>
    <t>CUST10708</t>
  </si>
  <si>
    <t>Onkar Sani</t>
  </si>
  <si>
    <t>CUST10710</t>
  </si>
  <si>
    <t>Aadhya Srinivas</t>
  </si>
  <si>
    <t>CUST10712</t>
  </si>
  <si>
    <t>Tanish Sheth</t>
  </si>
  <si>
    <t>CUST10713</t>
  </si>
  <si>
    <t>Daniel Andra</t>
  </si>
  <si>
    <t>CUST10714</t>
  </si>
  <si>
    <t>Devika Shan</t>
  </si>
  <si>
    <t>CUST10718</t>
  </si>
  <si>
    <t>Kalpit Chada</t>
  </si>
  <si>
    <t>CUST10723</t>
  </si>
  <si>
    <t>Amruta Uppal</t>
  </si>
  <si>
    <t>CUST10724</t>
  </si>
  <si>
    <t>Anamika Sen</t>
  </si>
  <si>
    <t>CUST10725</t>
  </si>
  <si>
    <t>Yamini Dugar</t>
  </si>
  <si>
    <t>CUST10726</t>
  </si>
  <si>
    <t>Udarsh Wable</t>
  </si>
  <si>
    <t>CUST10727</t>
  </si>
  <si>
    <t>Eiravati Mahal</t>
  </si>
  <si>
    <t>CUST10728</t>
  </si>
  <si>
    <t>Rachit Divan</t>
  </si>
  <si>
    <t>CUST10729</t>
  </si>
  <si>
    <t>Om Bhatti</t>
  </si>
  <si>
    <t>CUST10731</t>
  </si>
  <si>
    <t>Akshay Parmer</t>
  </si>
  <si>
    <t>CUST10732</t>
  </si>
  <si>
    <t>Aarav Joshi</t>
  </si>
  <si>
    <t>CUST10733</t>
  </si>
  <si>
    <t>Aarnav Bhat</t>
  </si>
  <si>
    <t>CUST10734</t>
  </si>
  <si>
    <t>Andrew Venkataraman</t>
  </si>
  <si>
    <t>CUST10737</t>
  </si>
  <si>
    <t>Aayush Aggarwal</t>
  </si>
  <si>
    <t>CUST10738</t>
  </si>
  <si>
    <t>Jairaj Krishnan</t>
  </si>
  <si>
    <t>CUST10742</t>
  </si>
  <si>
    <t>Saksham Shan</t>
  </si>
  <si>
    <t>CUST10743</t>
  </si>
  <si>
    <t>Chaitanya Rama</t>
  </si>
  <si>
    <t>CUST10745</t>
  </si>
  <si>
    <t>Pavani Srinivasan</t>
  </si>
  <si>
    <t>CUST10746</t>
  </si>
  <si>
    <t>Lipika Konda</t>
  </si>
  <si>
    <t>CUST10747</t>
  </si>
  <si>
    <t>Chandresh Bajaj</t>
  </si>
  <si>
    <t>CUST10749</t>
  </si>
  <si>
    <t>Jagat Chatterjee</t>
  </si>
  <si>
    <t>CUST10750</t>
  </si>
  <si>
    <t>Sanaya Butala</t>
  </si>
  <si>
    <t>CUST10752</t>
  </si>
  <si>
    <t>Kala Lad</t>
  </si>
  <si>
    <t>CUST10753</t>
  </si>
  <si>
    <t>Yachana Dhaliwal</t>
  </si>
  <si>
    <t>CUST10756</t>
  </si>
  <si>
    <t>Janani Jani</t>
  </si>
  <si>
    <t>CUST10757</t>
  </si>
  <si>
    <t>William Mall</t>
  </si>
  <si>
    <t>CUST10758</t>
  </si>
  <si>
    <t>Nirja Balan</t>
  </si>
  <si>
    <t>CUST10759</t>
  </si>
  <si>
    <t>Ekanta Prashad</t>
  </si>
  <si>
    <t>CUST10760</t>
  </si>
  <si>
    <t>Bhanumati Mahajan</t>
  </si>
  <si>
    <t>CUST10761</t>
  </si>
  <si>
    <t>Rachana Sathe</t>
  </si>
  <si>
    <t>CUST10762</t>
  </si>
  <si>
    <t>Chatresh Chandran</t>
  </si>
  <si>
    <t>CUST10763</t>
  </si>
  <si>
    <t>Lakshit Loke</t>
  </si>
  <si>
    <t>CUST10765</t>
  </si>
  <si>
    <t>Yashica Doshi</t>
  </si>
  <si>
    <t>CUST10766</t>
  </si>
  <si>
    <t>Tristan Varghese</t>
  </si>
  <si>
    <t>CUST10767</t>
  </si>
  <si>
    <t>Bhavya Agarwal</t>
  </si>
  <si>
    <t>CUST10768</t>
  </si>
  <si>
    <t>Mahika Dhaliwal</t>
  </si>
  <si>
    <t>CUST10769</t>
  </si>
  <si>
    <t>Hiral Tella</t>
  </si>
  <si>
    <t>CUST10770</t>
  </si>
  <si>
    <t>Watika Lala</t>
  </si>
  <si>
    <t>CUST10773</t>
  </si>
  <si>
    <t>Devika Dutta</t>
  </si>
  <si>
    <t>CUST10774</t>
  </si>
  <si>
    <t>Hemangini Sha</t>
  </si>
  <si>
    <t>CUST10779</t>
  </si>
  <si>
    <t>Falak Pal</t>
  </si>
  <si>
    <t>CUST10781</t>
  </si>
  <si>
    <t>Azad Bhat</t>
  </si>
  <si>
    <t>CUST10783</t>
  </si>
  <si>
    <t>Aishani Sandhu</t>
  </si>
  <si>
    <t>CUST10784</t>
  </si>
  <si>
    <t>Arjun Bhagat</t>
  </si>
  <si>
    <t>CUST10785</t>
  </si>
  <si>
    <t>Joshua Kibe</t>
  </si>
  <si>
    <t>CUST10787</t>
  </si>
  <si>
    <t>Gaurav Gill</t>
  </si>
  <si>
    <t>CUST10789</t>
  </si>
  <si>
    <t>Indali Chakraborty</t>
  </si>
  <si>
    <t>CUST10790</t>
  </si>
  <si>
    <t>Ayushman Lalla</t>
  </si>
  <si>
    <t>CUST10792</t>
  </si>
  <si>
    <t>Radhika Nair</t>
  </si>
  <si>
    <t>CUST10793</t>
  </si>
  <si>
    <t>Aarna Muni</t>
  </si>
  <si>
    <t>CUST10794</t>
  </si>
  <si>
    <t>Chakradhar Mody</t>
  </si>
  <si>
    <t>CUST10795</t>
  </si>
  <si>
    <t>Maanas Sarraf</t>
  </si>
  <si>
    <t>CUST10796</t>
  </si>
  <si>
    <t>Theodore Mital</t>
  </si>
  <si>
    <t>CUST10797</t>
  </si>
  <si>
    <t>Aryan Chhabra</t>
  </si>
  <si>
    <t>CUST10799</t>
  </si>
  <si>
    <t>Jasmit Tata</t>
  </si>
  <si>
    <t>CUST10800</t>
  </si>
  <si>
    <t>Dayamai Swamy</t>
  </si>
  <si>
    <t>CUST10801</t>
  </si>
  <si>
    <t>Aashi Keer</t>
  </si>
  <si>
    <t>CUST10802</t>
  </si>
  <si>
    <t>Oviya Chacko</t>
  </si>
  <si>
    <t>CUST10803</t>
  </si>
  <si>
    <t>Nimrat Warrior</t>
  </si>
  <si>
    <t>CUST10804</t>
  </si>
  <si>
    <t>Nihal Nadkarni</t>
  </si>
  <si>
    <t>CUST10805</t>
  </si>
  <si>
    <t>Jonathan Shanker</t>
  </si>
  <si>
    <t>CUST10806</t>
  </si>
  <si>
    <t>Meera Sethi</t>
  </si>
  <si>
    <t>CUST10808</t>
  </si>
  <si>
    <t>Lila Panchal</t>
  </si>
  <si>
    <t>CUST10809</t>
  </si>
  <si>
    <t>Michael De</t>
  </si>
  <si>
    <t>CUST10810</t>
  </si>
  <si>
    <t>Faraj Sathe</t>
  </si>
  <si>
    <t>CUST10812</t>
  </si>
  <si>
    <t>Chaaya Solanki</t>
  </si>
  <si>
    <t>CUST10813</t>
  </si>
  <si>
    <t>Faris Dutta</t>
  </si>
  <si>
    <t>CUST10816</t>
  </si>
  <si>
    <t>Yashvi Mitter</t>
  </si>
  <si>
    <t>CUST10817</t>
  </si>
  <si>
    <t>Charvi Dhingra</t>
  </si>
  <si>
    <t>CUST10818</t>
  </si>
  <si>
    <t>Wahab Munshi</t>
  </si>
  <si>
    <t>CUST10820</t>
  </si>
  <si>
    <t>Damyanti Saini</t>
  </si>
  <si>
    <t>CUST10822</t>
  </si>
  <si>
    <t>Gabriel Nayar</t>
  </si>
  <si>
    <t>CUST10823</t>
  </si>
  <si>
    <t>Zayyan Parekh</t>
  </si>
  <si>
    <t>CUST10825</t>
  </si>
  <si>
    <t>Anay Ratta</t>
  </si>
  <si>
    <t>CUST10827</t>
  </si>
  <si>
    <t>Harrison Tailor</t>
  </si>
  <si>
    <t>CUST10830</t>
  </si>
  <si>
    <t>Pushti Kaur</t>
  </si>
  <si>
    <t>CUST10831</t>
  </si>
  <si>
    <t>Umang Nazareth</t>
  </si>
  <si>
    <t>CUST10832</t>
  </si>
  <si>
    <t>Xiti Thakkar</t>
  </si>
  <si>
    <t>CUST10833</t>
  </si>
  <si>
    <t>Dhruv Wable</t>
  </si>
  <si>
    <t>CUST10837</t>
  </si>
  <si>
    <t>Harrison Bassi</t>
  </si>
  <si>
    <t>CUST10839</t>
  </si>
  <si>
    <t>Deepa Hayre</t>
  </si>
  <si>
    <t>CUST10841</t>
  </si>
  <si>
    <t>Ayushman Dani</t>
  </si>
  <si>
    <t>CUST10843</t>
  </si>
  <si>
    <t>Aayush Khatri</t>
  </si>
  <si>
    <t>CUST10844</t>
  </si>
  <si>
    <t>Lucky Chaudhry</t>
  </si>
  <si>
    <t>CUST10845</t>
  </si>
  <si>
    <t>Chatresh Bhardwaj</t>
  </si>
  <si>
    <t>CUST10847</t>
  </si>
  <si>
    <t>Henry Sekhon</t>
  </si>
  <si>
    <t>CUST10850</t>
  </si>
  <si>
    <t>Chameli Soman</t>
  </si>
  <si>
    <t>CUST10851</t>
  </si>
  <si>
    <t>Wridesh Chhabra</t>
  </si>
  <si>
    <t>CUST10852</t>
  </si>
  <si>
    <t>Hardik Shukla</t>
  </si>
  <si>
    <t>CUST10853</t>
  </si>
  <si>
    <t>Chakradev Cheema</t>
  </si>
  <si>
    <t>CUST10856</t>
  </si>
  <si>
    <t>Bhavani Shukla</t>
  </si>
  <si>
    <t>CUST10859</t>
  </si>
  <si>
    <t>Harini Kapoor</t>
  </si>
  <si>
    <t>CUST10860</t>
  </si>
  <si>
    <t>Noah Dar</t>
  </si>
  <si>
    <t>CUST10861</t>
  </si>
  <si>
    <t>Urmi Ganesan</t>
  </si>
  <si>
    <t>CUST10862</t>
  </si>
  <si>
    <t>Aarush Sinha</t>
  </si>
  <si>
    <t>CUST10863</t>
  </si>
  <si>
    <t>Upadhriti Bhalla</t>
  </si>
  <si>
    <t>CUST10864</t>
  </si>
  <si>
    <t>Upadhriti Choudhury</t>
  </si>
  <si>
    <t>CUST10870</t>
  </si>
  <si>
    <t>Vedhika Nigam</t>
  </si>
  <si>
    <t>CUST10871</t>
  </si>
  <si>
    <t>Banjeet Sem</t>
  </si>
  <si>
    <t>CUST10872</t>
  </si>
  <si>
    <t>Hitesh Amble</t>
  </si>
  <si>
    <t>CUST10873</t>
  </si>
  <si>
    <t>Bhavini Aurora</t>
  </si>
  <si>
    <t>CUST10875</t>
  </si>
  <si>
    <t>Alexander Gara</t>
  </si>
  <si>
    <t>CUST10876</t>
  </si>
  <si>
    <t>Chaaya Hari</t>
  </si>
  <si>
    <t>CUST10881</t>
  </si>
  <si>
    <t>Mitali Sodhi</t>
  </si>
  <si>
    <t>CUST10884</t>
  </si>
  <si>
    <t>Yatan Patla</t>
  </si>
  <si>
    <t>CUST10885</t>
  </si>
  <si>
    <t>Gaurav Nagy</t>
  </si>
  <si>
    <t>CUST10887</t>
  </si>
  <si>
    <t>Maanav Rama</t>
  </si>
  <si>
    <t>CUST10888</t>
  </si>
  <si>
    <t>Aayush Srinivasan</t>
  </si>
  <si>
    <t>CUST10889</t>
  </si>
  <si>
    <t>Teerth Hora</t>
  </si>
  <si>
    <t>CUST10890</t>
  </si>
  <si>
    <t>Chakradhar Virk</t>
  </si>
  <si>
    <t>CUST10891</t>
  </si>
  <si>
    <t>Naksh Manda</t>
  </si>
  <si>
    <t>CUST10892</t>
  </si>
  <si>
    <t>Isaiah Yohannan</t>
  </si>
  <si>
    <t>CUST10895</t>
  </si>
  <si>
    <t>Arjun Anne</t>
  </si>
  <si>
    <t>CUST10896</t>
  </si>
  <si>
    <t>Hredhaan Sandal</t>
  </si>
  <si>
    <t>CUST10898</t>
  </si>
  <si>
    <t>Chakradhar Din</t>
  </si>
  <si>
    <t>CUST10899</t>
  </si>
  <si>
    <t>Jyoti Bobal</t>
  </si>
  <si>
    <t>CUST10900</t>
  </si>
  <si>
    <t>Vamakshi Patla</t>
  </si>
  <si>
    <t>CUST10902</t>
  </si>
  <si>
    <t>Vihaan Narayan</t>
  </si>
  <si>
    <t>CUST10904</t>
  </si>
  <si>
    <t>Aarush Nanda</t>
  </si>
  <si>
    <t>CUST10906</t>
  </si>
  <si>
    <t>Osha Lad</t>
  </si>
  <si>
    <t>CUST10907</t>
  </si>
  <si>
    <t>Vritti Tiwari</t>
  </si>
  <si>
    <t>CUST10909</t>
  </si>
  <si>
    <t>Yatin Nazareth</t>
  </si>
  <si>
    <t>CUST10910</t>
  </si>
  <si>
    <t>Indrajit Devan</t>
  </si>
  <si>
    <t>CUST10911</t>
  </si>
  <si>
    <t>Saumya Tailor</t>
  </si>
  <si>
    <t>CUST10912</t>
  </si>
  <si>
    <t>Guneet Desai</t>
  </si>
  <si>
    <t>CUST10913</t>
  </si>
  <si>
    <t>Kashish Tank</t>
  </si>
  <si>
    <t>CUST10915</t>
  </si>
  <si>
    <t>Mohammed Puri</t>
  </si>
  <si>
    <t>CUST10916</t>
  </si>
  <si>
    <t>Triya Dyal</t>
  </si>
  <si>
    <t>CUST10917</t>
  </si>
  <si>
    <t>Leela Bahl</t>
  </si>
  <si>
    <t>CUST10918</t>
  </si>
  <si>
    <t>Chakrika Master</t>
  </si>
  <si>
    <t>CUST10921</t>
  </si>
  <si>
    <t>Balhaar Parmar</t>
  </si>
  <si>
    <t>CUST10923</t>
  </si>
  <si>
    <t>Triveni Jani</t>
  </si>
  <si>
    <t>CUST10924</t>
  </si>
  <si>
    <t>Xiti Sheth</t>
  </si>
  <si>
    <t>CUST10925</t>
  </si>
  <si>
    <t>Janaki Rajagopalan</t>
  </si>
  <si>
    <t>CUST10926</t>
  </si>
  <si>
    <t>Vasana Wali</t>
  </si>
  <si>
    <t>CUST10927</t>
  </si>
  <si>
    <t>Vasana Bhat</t>
  </si>
  <si>
    <t>CUST10928</t>
  </si>
  <si>
    <t>Guneet Sur</t>
  </si>
  <si>
    <t>CUST10930</t>
  </si>
  <si>
    <t>Quincy Sathe</t>
  </si>
  <si>
    <t>CUST10931</t>
  </si>
  <si>
    <t>Elijah Mitra</t>
  </si>
  <si>
    <t>CUST10932</t>
  </si>
  <si>
    <t>Tripti Golla</t>
  </si>
  <si>
    <t>CUST10933</t>
  </si>
  <si>
    <t>Chandresh Edwin</t>
  </si>
  <si>
    <t>CUST10934</t>
  </si>
  <si>
    <t>Gaurangi Lad</t>
  </si>
  <si>
    <t>CUST10935</t>
  </si>
  <si>
    <t>Neha Divan</t>
  </si>
  <si>
    <t>CUST10936</t>
  </si>
  <si>
    <t>Quincy Varty</t>
  </si>
  <si>
    <t>CUST10937</t>
  </si>
  <si>
    <t>Chakradev Sen</t>
  </si>
  <si>
    <t>CUST10938</t>
  </si>
  <si>
    <t>Priya Krishna</t>
  </si>
  <si>
    <t>CUST10939</t>
  </si>
  <si>
    <t>Advaith Sehgal</t>
  </si>
  <si>
    <t>CUST10940</t>
  </si>
  <si>
    <t>Samuel Dhawan</t>
  </si>
  <si>
    <t>CUST10941</t>
  </si>
  <si>
    <t>Ekansh Jhaveri</t>
  </si>
  <si>
    <t>CUST10942</t>
  </si>
  <si>
    <t>Sathvik Rattan</t>
  </si>
  <si>
    <t>CUST10944</t>
  </si>
  <si>
    <t>Jeremiah Kamdar</t>
  </si>
  <si>
    <t>CUST10945</t>
  </si>
  <si>
    <t>Yamini Soman</t>
  </si>
  <si>
    <t>CUST10946</t>
  </si>
  <si>
    <t>Niharika Balan</t>
  </si>
  <si>
    <t>CUST10947</t>
  </si>
  <si>
    <t>Zansi Virk</t>
  </si>
  <si>
    <t>CUST10948</t>
  </si>
  <si>
    <t>Vivaan Goda</t>
  </si>
  <si>
    <t>CUST10949</t>
  </si>
  <si>
    <t>Gaurika Prabhakar</t>
  </si>
  <si>
    <t>CUST10950</t>
  </si>
  <si>
    <t>Aashi Ahuja</t>
  </si>
  <si>
    <t>CUST10953</t>
  </si>
  <si>
    <t>Fiyaz Narang</t>
  </si>
  <si>
    <t>CUST10955</t>
  </si>
  <si>
    <t>Dipta Handa</t>
  </si>
  <si>
    <t>CUST10956</t>
  </si>
  <si>
    <t>Nisha Seshadri</t>
  </si>
  <si>
    <t>CUST10957</t>
  </si>
  <si>
    <t>Urvi Tella</t>
  </si>
  <si>
    <t>CUST10958</t>
  </si>
  <si>
    <t>Xalak Nori</t>
  </si>
  <si>
    <t>CUST10959</t>
  </si>
  <si>
    <t>Aachal Dutt</t>
  </si>
  <si>
    <t>CUST10961</t>
  </si>
  <si>
    <t>Aashi Din</t>
  </si>
  <si>
    <t>CUST10962</t>
  </si>
  <si>
    <t>Vansha Kade</t>
  </si>
  <si>
    <t>CUST10965</t>
  </si>
  <si>
    <t>Parth Din</t>
  </si>
  <si>
    <t>CUST10966</t>
  </si>
  <si>
    <t>Harshil Cherian</t>
  </si>
  <si>
    <t>CUST10967</t>
  </si>
  <si>
    <t>Ucchal Prabhakar</t>
  </si>
  <si>
    <t>CUST10968</t>
  </si>
  <si>
    <t>Pooja Dara</t>
  </si>
  <si>
    <t>CUST10969</t>
  </si>
  <si>
    <t>Hredhaan Sampath</t>
  </si>
  <si>
    <t>CUST10970</t>
  </si>
  <si>
    <t>Dakshesh Menon</t>
  </si>
  <si>
    <t>CUST10973</t>
  </si>
  <si>
    <t>Bachittar Prasad</t>
  </si>
  <si>
    <t>CUST10974</t>
  </si>
  <si>
    <t>Hemang Sandal</t>
  </si>
  <si>
    <t>CUST10978</t>
  </si>
  <si>
    <t>Qarin Rao</t>
  </si>
  <si>
    <t>CUST10980</t>
  </si>
  <si>
    <t>Pahal Bakshi</t>
  </si>
  <si>
    <t>CUST10981</t>
  </si>
  <si>
    <t>Shravya Shetty</t>
  </si>
  <si>
    <t>CUST10983</t>
  </si>
  <si>
    <t>Rishi Sehgal</t>
  </si>
  <si>
    <t>CUST10985</t>
  </si>
  <si>
    <t>Bishakha Issac</t>
  </si>
  <si>
    <t>CUST10986</t>
  </si>
  <si>
    <t>Qasim Sachdev</t>
  </si>
  <si>
    <t>CUST10987</t>
  </si>
  <si>
    <t>Qadim Kulkarni</t>
  </si>
  <si>
    <t>CUST10990</t>
  </si>
  <si>
    <t>Sachi Sant</t>
  </si>
  <si>
    <t>CUST10991</t>
  </si>
  <si>
    <t>Abdul Zacharia</t>
  </si>
  <si>
    <t>CUST10992</t>
  </si>
  <si>
    <t>Bachittar Rao</t>
  </si>
  <si>
    <t>CUST10994</t>
  </si>
  <si>
    <t>Inaya Nair</t>
  </si>
  <si>
    <t>CUST10995</t>
  </si>
  <si>
    <t>Theodore Kar</t>
  </si>
  <si>
    <t>CUST10996</t>
  </si>
  <si>
    <t>Turvi Dugar</t>
  </si>
  <si>
    <t>CUST10997</t>
  </si>
  <si>
    <t>Pranit Zachariah</t>
  </si>
  <si>
    <t>CUST10998</t>
  </si>
  <si>
    <t>Nathaniel Dalal</t>
  </si>
  <si>
    <t>CUST10999</t>
  </si>
  <si>
    <t>Tristan Pall</t>
  </si>
  <si>
    <t>CUST11000</t>
  </si>
  <si>
    <t>Chanchal Sanghvi</t>
  </si>
  <si>
    <t>CUST11003</t>
  </si>
  <si>
    <t>Onveer Setty</t>
  </si>
  <si>
    <t>CUST11005</t>
  </si>
  <si>
    <t>Vrinda Lanka</t>
  </si>
  <si>
    <t>CUST11007</t>
  </si>
  <si>
    <t>Yashasvi Saran</t>
  </si>
  <si>
    <t>CUST11008</t>
  </si>
  <si>
    <t>Aarnav Sahota</t>
  </si>
  <si>
    <t>CUST11009</t>
  </si>
  <si>
    <t>Januja Sachar</t>
  </si>
  <si>
    <t>CUST11010</t>
  </si>
  <si>
    <t>Omkaar Basu</t>
  </si>
  <si>
    <t>CUST11011</t>
  </si>
  <si>
    <t>Harshil Garg</t>
  </si>
  <si>
    <t>CUST11012</t>
  </si>
  <si>
    <t>Noah Grewal</t>
  </si>
  <si>
    <t>CUST11013</t>
  </si>
  <si>
    <t>Kamya Mistry</t>
  </si>
  <si>
    <t>CUST11014</t>
  </si>
  <si>
    <t>Bachittar Mammen</t>
  </si>
  <si>
    <t>CUST11015</t>
  </si>
  <si>
    <t>Bakhshi Kar</t>
  </si>
  <si>
    <t>CUST11017</t>
  </si>
  <si>
    <t>Yug Jhaveri</t>
  </si>
  <si>
    <t>CUST11019</t>
  </si>
  <si>
    <t>Ishita Bhavsar</t>
  </si>
  <si>
    <t>CUST11020</t>
  </si>
  <si>
    <t>Mitesh Prasad</t>
  </si>
  <si>
    <t>CUST11021</t>
  </si>
  <si>
    <t>Hemangini Bhargava</t>
  </si>
  <si>
    <t>CUST11022</t>
  </si>
  <si>
    <t>Upkaar Nazareth</t>
  </si>
  <si>
    <t>CUST11024</t>
  </si>
  <si>
    <t>Nidhi Thaman</t>
  </si>
  <si>
    <t>CUST11025</t>
  </si>
  <si>
    <t>Sathvik Hari</t>
  </si>
  <si>
    <t>CUST11027</t>
  </si>
  <si>
    <t>Yatin Ramesh</t>
  </si>
  <si>
    <t>CUST11028</t>
  </si>
  <si>
    <t>Pooja Deo</t>
  </si>
  <si>
    <t>CUST11029</t>
  </si>
  <si>
    <t>Avi Palan</t>
  </si>
  <si>
    <t>CUST11030</t>
  </si>
  <si>
    <t>Jason Date</t>
  </si>
  <si>
    <t>CUST11032</t>
  </si>
  <si>
    <t>Dakshesh Sawhney</t>
  </si>
  <si>
    <t>CUST11033</t>
  </si>
  <si>
    <t>Maya Munshi</t>
  </si>
  <si>
    <t>CUST11035</t>
  </si>
  <si>
    <t>Xavier Taneja</t>
  </si>
  <si>
    <t>CUST11036</t>
  </si>
  <si>
    <t>Rudra Borra</t>
  </si>
  <si>
    <t>CUST11039</t>
  </si>
  <si>
    <t>Alexander Rajagopalan</t>
  </si>
  <si>
    <t>CUST11040</t>
  </si>
  <si>
    <t>Amrita Chander</t>
  </si>
  <si>
    <t>CUST11041</t>
  </si>
  <si>
    <t>Sara Oommen</t>
  </si>
  <si>
    <t>CUST11042</t>
  </si>
  <si>
    <t>Kevin Golla</t>
  </si>
  <si>
    <t>CUST11045</t>
  </si>
  <si>
    <t>Vincent Rattan</t>
  </si>
  <si>
    <t>CUST11046</t>
  </si>
  <si>
    <t>Pallavi Mahal</t>
  </si>
  <si>
    <t>CUST11047</t>
  </si>
  <si>
    <t>Eiravati Dora</t>
  </si>
  <si>
    <t>CUST11049</t>
  </si>
  <si>
    <t>Lucky Bal</t>
  </si>
  <si>
    <t>CUST11050</t>
  </si>
  <si>
    <t>Jai Sen</t>
  </si>
  <si>
    <t>CUST11051</t>
  </si>
  <si>
    <t>Avi Agrawal</t>
  </si>
  <si>
    <t>CUST11053</t>
  </si>
  <si>
    <t>Anamika Bhat</t>
  </si>
  <si>
    <t>CUST11055</t>
  </si>
  <si>
    <t>Irya Karpe</t>
  </si>
  <si>
    <t>CUST11056</t>
  </si>
  <si>
    <t>Isha Anne</t>
  </si>
  <si>
    <t>CUST11058</t>
  </si>
  <si>
    <t>Liam Chaudhry</t>
  </si>
  <si>
    <t>CUST11061</t>
  </si>
  <si>
    <t>Triya Dey</t>
  </si>
  <si>
    <t>CUST11062</t>
  </si>
  <si>
    <t>Unnati Date</t>
  </si>
  <si>
    <t>CUST11063</t>
  </si>
  <si>
    <t>Zayan Deep</t>
  </si>
  <si>
    <t>CUST11064</t>
  </si>
  <si>
    <t>Girik Thaker</t>
  </si>
  <si>
    <t>CUST11065</t>
  </si>
  <si>
    <t>Aachal Nagy</t>
  </si>
  <si>
    <t>CUST11066</t>
  </si>
  <si>
    <t>Pranit Amble</t>
  </si>
  <si>
    <t>CUST11067</t>
  </si>
  <si>
    <t>Vasudha Tailor</t>
  </si>
  <si>
    <t>CUST11068</t>
  </si>
  <si>
    <t>Raagini Tailor</t>
  </si>
  <si>
    <t>CUST11071</t>
  </si>
  <si>
    <t>Girish Parmar</t>
  </si>
  <si>
    <t>CUST11072</t>
  </si>
  <si>
    <t>Noah Oak</t>
  </si>
  <si>
    <t>CUST11073</t>
  </si>
  <si>
    <t>Bimala Sant</t>
  </si>
  <si>
    <t>CUST11075</t>
  </si>
  <si>
    <t>Yahvi Parmer</t>
  </si>
  <si>
    <t>CUST11077</t>
  </si>
  <si>
    <t>Vanya Deshmukh</t>
  </si>
  <si>
    <t>CUST11079</t>
  </si>
  <si>
    <t>Mitali Subramaniam</t>
  </si>
  <si>
    <t>CUST11080</t>
  </si>
  <si>
    <t>Om Patil</t>
  </si>
  <si>
    <t>CUST11081</t>
  </si>
  <si>
    <t>Tarak Nagar</t>
  </si>
  <si>
    <t>CUST11083</t>
  </si>
  <si>
    <t>Nathan Gera</t>
  </si>
  <si>
    <t>CUST11085</t>
  </si>
  <si>
    <t>Qadim Pandit</t>
  </si>
  <si>
    <t>CUST11086</t>
  </si>
  <si>
    <t>Om Mital</t>
  </si>
  <si>
    <t>CUST11087</t>
  </si>
  <si>
    <t>Orinder Sabharwal</t>
  </si>
  <si>
    <t>CUST11088</t>
  </si>
  <si>
    <t>Zayan Gole</t>
  </si>
  <si>
    <t>CUST11090</t>
  </si>
  <si>
    <t>Yatan Mahal</t>
  </si>
  <si>
    <t>CUST11091</t>
  </si>
  <si>
    <t>Bhavna Gill</t>
  </si>
  <si>
    <t>CUST11092</t>
  </si>
  <si>
    <t>Agastya Sahni</t>
  </si>
  <si>
    <t>CUST11093</t>
  </si>
  <si>
    <t>Onkar Sawhney</t>
  </si>
  <si>
    <t>CUST11094</t>
  </si>
  <si>
    <t>Krish Rout</t>
  </si>
  <si>
    <t>CUST11095</t>
  </si>
  <si>
    <t>Aadi Lala</t>
  </si>
  <si>
    <t>CUST11098</t>
  </si>
  <si>
    <t>Vansha Mane</t>
  </si>
  <si>
    <t>CUST11099</t>
  </si>
  <si>
    <t>Anirudh Kata</t>
  </si>
  <si>
    <t>CUST11100</t>
  </si>
  <si>
    <t>Chandresh Chad</t>
  </si>
  <si>
    <t>CUST11101</t>
  </si>
  <si>
    <t>Yatan Prabhakar</t>
  </si>
  <si>
    <t>CUST11104</t>
  </si>
  <si>
    <t>Gabriel Kapadia</t>
  </si>
  <si>
    <t>CUST11105</t>
  </si>
  <si>
    <t>Abdul Batra</t>
  </si>
  <si>
    <t>CUST11107</t>
  </si>
  <si>
    <t>Triya Sunder</t>
  </si>
  <si>
    <t>CUST11108</t>
  </si>
  <si>
    <t>Ekani Ratta</t>
  </si>
  <si>
    <t>CUST11112</t>
  </si>
  <si>
    <t>Tejas Vora</t>
  </si>
  <si>
    <t>CUST11114</t>
  </si>
  <si>
    <t>Vedant Sheth</t>
  </si>
  <si>
    <t>CUST11115</t>
  </si>
  <si>
    <t>Ryan Madan</t>
  </si>
  <si>
    <t>CUST11116</t>
  </si>
  <si>
    <t>Gautam Saxena</t>
  </si>
  <si>
    <t>CUST11119</t>
  </si>
  <si>
    <t>Ishwar Arora</t>
  </si>
  <si>
    <t>CUST11120</t>
  </si>
  <si>
    <t>Barkha Chander</t>
  </si>
  <si>
    <t>CUST11121</t>
  </si>
  <si>
    <t>Chandani Devan</t>
  </si>
  <si>
    <t>CUST11122</t>
  </si>
  <si>
    <t>Hardik Ramachandran</t>
  </si>
  <si>
    <t>CUST11124</t>
  </si>
  <si>
    <t>Ronith Sharaf</t>
  </si>
  <si>
    <t>CUST11125</t>
  </si>
  <si>
    <t>Ucchal Singhal</t>
  </si>
  <si>
    <t>CUST11126</t>
  </si>
  <si>
    <t>Janaki Sood</t>
  </si>
  <si>
    <t>CUST11127</t>
  </si>
  <si>
    <t>Azad Sami</t>
  </si>
  <si>
    <t>CUST11129</t>
  </si>
  <si>
    <t>Chakradev Mall</t>
  </si>
  <si>
    <t>CUST11131</t>
  </si>
  <si>
    <t>Harini Chaudhry</t>
  </si>
  <si>
    <t>CUST11132</t>
  </si>
  <si>
    <t>Anmol Chadha</t>
  </si>
  <si>
    <t>CUST11133</t>
  </si>
  <si>
    <t>Ranbir Gera</t>
  </si>
  <si>
    <t>CUST11134</t>
  </si>
  <si>
    <t>Qadim Barman</t>
  </si>
  <si>
    <t>CUST11135</t>
  </si>
  <si>
    <t>Bhavini Kanda</t>
  </si>
  <si>
    <t>CUST11136</t>
  </si>
  <si>
    <t>Darika Loke</t>
  </si>
  <si>
    <t>CUST11138</t>
  </si>
  <si>
    <t>Theodore Luthra</t>
  </si>
  <si>
    <t>CUST11139</t>
  </si>
  <si>
    <t>Priya Nayak</t>
  </si>
  <si>
    <t>CUST11141</t>
  </si>
  <si>
    <t>Saumya Apte</t>
  </si>
  <si>
    <t>CUST11143</t>
  </si>
  <si>
    <t>Umang Radhakrishnan</t>
  </si>
  <si>
    <t>CUST11144</t>
  </si>
  <si>
    <t>Omya Barman</t>
  </si>
  <si>
    <t>CUST11145</t>
  </si>
  <si>
    <t>Unni Ghose</t>
  </si>
  <si>
    <t>CUST11146</t>
  </si>
  <si>
    <t>Zaitra Saraf</t>
  </si>
  <si>
    <t>CUST11147</t>
  </si>
  <si>
    <t>Dev Arora</t>
  </si>
  <si>
    <t>CUST11151</t>
  </si>
  <si>
    <t>Arya Keer</t>
  </si>
  <si>
    <t>CUST11154</t>
  </si>
  <si>
    <t>Adweta Sane</t>
  </si>
  <si>
    <t>CUST11158</t>
  </si>
  <si>
    <t>Anya Kala</t>
  </si>
  <si>
    <t>CUST11161</t>
  </si>
  <si>
    <t>Ojasvi Kunda</t>
  </si>
  <si>
    <t>CUST11162</t>
  </si>
  <si>
    <t>Unni Deep</t>
  </si>
  <si>
    <t>CUST11163</t>
  </si>
  <si>
    <t>Vivaan Raval</t>
  </si>
  <si>
    <t>CUST11164</t>
  </si>
  <si>
    <t>Jhalak Mishra</t>
  </si>
  <si>
    <t>CUST11165</t>
  </si>
  <si>
    <t>Zilmil Pradhan</t>
  </si>
  <si>
    <t>CUST11166</t>
  </si>
  <si>
    <t>Darpan Dixit</t>
  </si>
  <si>
    <t>CUST11167</t>
  </si>
  <si>
    <t>Vaishnavi Ganesan</t>
  </si>
  <si>
    <t>CUST11169</t>
  </si>
  <si>
    <t>Gaurika Baria</t>
  </si>
  <si>
    <t>CUST11172</t>
  </si>
  <si>
    <t>Priya Bandi</t>
  </si>
  <si>
    <t>CUST11175</t>
  </si>
  <si>
    <t>Yashodhara Korpal</t>
  </si>
  <si>
    <t>CUST11179</t>
  </si>
  <si>
    <t>Krishna Goswami</t>
  </si>
  <si>
    <t>CUST11181</t>
  </si>
  <si>
    <t>Avni Bumb</t>
  </si>
  <si>
    <t>CUST11182</t>
  </si>
  <si>
    <t>Yauvani Seth</t>
  </si>
  <si>
    <t>CUST11186</t>
  </si>
  <si>
    <t>Daksha Gara</t>
  </si>
  <si>
    <t>CUST11187</t>
  </si>
  <si>
    <t>Mugdha Bajwa</t>
  </si>
  <si>
    <t>CUST11188</t>
  </si>
  <si>
    <t>Ekantika Bains</t>
  </si>
  <si>
    <t>CUST11189</t>
  </si>
  <si>
    <t>Lakshit Dewan</t>
  </si>
  <si>
    <t>CUST11191</t>
  </si>
  <si>
    <t>Pahal Brahmbhatt</t>
  </si>
  <si>
    <t>CUST11192</t>
  </si>
  <si>
    <t>Saanvi Balan</t>
  </si>
  <si>
    <t>CUST11193</t>
  </si>
  <si>
    <t>Mahika Jha</t>
  </si>
  <si>
    <t>CUST11195</t>
  </si>
  <si>
    <t>Nicholas Aurora</t>
  </si>
  <si>
    <t>CUST11196</t>
  </si>
  <si>
    <t>Rehaan Goel</t>
  </si>
  <si>
    <t>CUST11197</t>
  </si>
  <si>
    <t>Nathaniel Swaminathan</t>
  </si>
  <si>
    <t>CUST11198</t>
  </si>
  <si>
    <t>Mitesh Sahota</t>
  </si>
  <si>
    <t>CUST11199</t>
  </si>
  <si>
    <t>Samar Kaul</t>
  </si>
  <si>
    <t>CUST11200</t>
  </si>
  <si>
    <t>Gautam Shankar</t>
  </si>
  <si>
    <t>CUST11201</t>
  </si>
  <si>
    <t>Pallavi Morar</t>
  </si>
  <si>
    <t>CUST11202</t>
  </si>
  <si>
    <t>Onveer Ravel</t>
  </si>
  <si>
    <t>CUST11203</t>
  </si>
  <si>
    <t>Nakul Balan</t>
  </si>
  <si>
    <t>CUST11205</t>
  </si>
  <si>
    <t>Eta Mittal</t>
  </si>
  <si>
    <t>CUST11208</t>
  </si>
  <si>
    <t>Lajita Gola</t>
  </si>
  <si>
    <t>CUST11209</t>
  </si>
  <si>
    <t>Harini Yohannan</t>
  </si>
  <si>
    <t>CUST11210</t>
  </si>
  <si>
    <t>Ranveer Agate</t>
  </si>
  <si>
    <t>CUST11211</t>
  </si>
  <si>
    <t>Aarna Wali</t>
  </si>
  <si>
    <t>CUST11212</t>
  </si>
  <si>
    <t>Anita Kata</t>
  </si>
  <si>
    <t>CUST11213</t>
  </si>
  <si>
    <t>Yatan Bhagat</t>
  </si>
  <si>
    <t>CUST11214</t>
  </si>
  <si>
    <t>Faqid Shukla</t>
  </si>
  <si>
    <t>CUST11215</t>
  </si>
  <si>
    <t>Oeshi Sinha</t>
  </si>
  <si>
    <t>CUST11216</t>
  </si>
  <si>
    <t>Libni Puri</t>
  </si>
  <si>
    <t>CUST11217</t>
  </si>
  <si>
    <t>Tristan Comar</t>
  </si>
  <si>
    <t>CUST11218</t>
  </si>
  <si>
    <t>Charles Chauhan</t>
  </si>
  <si>
    <t>CUST11221</t>
  </si>
  <si>
    <t>Saumya Batra</t>
  </si>
  <si>
    <t>CUST11222</t>
  </si>
  <si>
    <t>Vamakshi Bhagat</t>
  </si>
  <si>
    <t>CUST11223</t>
  </si>
  <si>
    <t>Nitara Misra</t>
  </si>
  <si>
    <t>CUST11224</t>
  </si>
  <si>
    <t>Sanaya Bava</t>
  </si>
  <si>
    <t>CUST11225</t>
  </si>
  <si>
    <t>Azaan Varghese</t>
  </si>
  <si>
    <t>CUST11226</t>
  </si>
  <si>
    <t>Zarna Bhatti</t>
  </si>
  <si>
    <t>CUST11227</t>
  </si>
  <si>
    <t>Nathaniel Ratti</t>
  </si>
  <si>
    <t>CUST11230</t>
  </si>
  <si>
    <t>Ayushman Bahl</t>
  </si>
  <si>
    <t>CUST11232</t>
  </si>
  <si>
    <t>Qarin Sibal</t>
  </si>
  <si>
    <t>CUST11234</t>
  </si>
  <si>
    <t>Aarnav Sampath</t>
  </si>
  <si>
    <t>CUST11236</t>
  </si>
  <si>
    <t>Urmi Ravi</t>
  </si>
  <si>
    <t>CUST11237</t>
  </si>
  <si>
    <t>Kevin Aurora</t>
  </si>
  <si>
    <t>CUST11239</t>
  </si>
  <si>
    <t>Jagdish Shan</t>
  </si>
  <si>
    <t>CUST11241</t>
  </si>
  <si>
    <t>Aishani Mand</t>
  </si>
  <si>
    <t>CUST11242</t>
  </si>
  <si>
    <t>Tejas Nanda</t>
  </si>
  <si>
    <t>CUST11243</t>
  </si>
  <si>
    <t>Qarin Kulkarni</t>
  </si>
  <si>
    <t>CUST11246</t>
  </si>
  <si>
    <t>Luke Misra</t>
  </si>
  <si>
    <t>CUST11249</t>
  </si>
  <si>
    <t>Udant Shanker</t>
  </si>
  <si>
    <t>CUST11253</t>
  </si>
  <si>
    <t>Saumya Acharya</t>
  </si>
  <si>
    <t>CUST11255</t>
  </si>
  <si>
    <t>Eesha Deol</t>
  </si>
  <si>
    <t>CUST11256</t>
  </si>
  <si>
    <t>Brijesh Pandey</t>
  </si>
  <si>
    <t>CUST11258</t>
  </si>
  <si>
    <t>Yachana Buch</t>
  </si>
  <si>
    <t>CUST11260</t>
  </si>
  <si>
    <t>Xavier Ratta</t>
  </si>
  <si>
    <t>CUST11262</t>
  </si>
  <si>
    <t>Indira Seth</t>
  </si>
  <si>
    <t>CUST11263</t>
  </si>
  <si>
    <t>Yuvraj Vasa</t>
  </si>
  <si>
    <t>CUST11264</t>
  </si>
  <si>
    <t>Aradhana Ratta</t>
  </si>
  <si>
    <t>CUST11267</t>
  </si>
  <si>
    <t>Lakshmi Rau</t>
  </si>
  <si>
    <t>CUST11269</t>
  </si>
  <si>
    <t>Kai Pradhan</t>
  </si>
  <si>
    <t>CUST11270</t>
  </si>
  <si>
    <t>Vedhika Ghosh</t>
  </si>
  <si>
    <t>CUST11271</t>
  </si>
  <si>
    <t>Chandresh Kunda</t>
  </si>
  <si>
    <t>CUST11272</t>
  </si>
  <si>
    <t>Lila Gour</t>
  </si>
  <si>
    <t>CUST11273</t>
  </si>
  <si>
    <t>Nirja Dave</t>
  </si>
  <si>
    <t>CUST11274</t>
  </si>
  <si>
    <t>Leena Saha</t>
  </si>
  <si>
    <t>CUST11276</t>
  </si>
  <si>
    <t>Peter Gulati</t>
  </si>
  <si>
    <t>CUST11277</t>
  </si>
  <si>
    <t>Krishna Dubey</t>
  </si>
  <si>
    <t>CUST11278</t>
  </si>
  <si>
    <t>Tanveer Nagi</t>
  </si>
  <si>
    <t>CUST11279</t>
  </si>
  <si>
    <t>Mugdha Varma</t>
  </si>
  <si>
    <t>CUST11281</t>
  </si>
  <si>
    <t>Kashish Saraf</t>
  </si>
  <si>
    <t>CUST11282</t>
  </si>
  <si>
    <t>Charvi Dara</t>
  </si>
  <si>
    <t>CUST11283</t>
  </si>
  <si>
    <t>Aachal Vohra</t>
  </si>
  <si>
    <t>CUST11284</t>
  </si>
  <si>
    <t>Chandran Virk</t>
  </si>
  <si>
    <t>CUST11285</t>
  </si>
  <si>
    <t>Yatin Chandran</t>
  </si>
  <si>
    <t>CUST11287</t>
  </si>
  <si>
    <t>Frado Dubey</t>
  </si>
  <si>
    <t>CUST11288</t>
  </si>
  <si>
    <t>Neha Anne</t>
  </si>
  <si>
    <t>CUST11289</t>
  </si>
  <si>
    <t>Aayush Bhavsar</t>
  </si>
  <si>
    <t>CUST11290</t>
  </si>
  <si>
    <t>Chameli Bawa</t>
  </si>
  <si>
    <t>CUST11292</t>
  </si>
  <si>
    <t>Dalaja Karan</t>
  </si>
  <si>
    <t>CUST11296</t>
  </si>
  <si>
    <t>Ekanta Doshi</t>
  </si>
  <si>
    <t>CUST11297</t>
  </si>
  <si>
    <t>Kevin Bali</t>
  </si>
  <si>
    <t>CUST11299</t>
  </si>
  <si>
    <t>Nathaniel Deshmukh</t>
  </si>
  <si>
    <t>CUST11300</t>
  </si>
  <si>
    <t>Advay Narayan</t>
  </si>
  <si>
    <t>CUST11302</t>
  </si>
  <si>
    <t>Vivaan Nayar</t>
  </si>
  <si>
    <t>CUST11304</t>
  </si>
  <si>
    <t>Priya Chaudry</t>
  </si>
  <si>
    <t>CUST11305</t>
  </si>
  <si>
    <t>Nandini Dass</t>
  </si>
  <si>
    <t>CUST11306</t>
  </si>
  <si>
    <t>Kala Ratti</t>
  </si>
  <si>
    <t>CUST11309</t>
  </si>
  <si>
    <t>Saumya Rege</t>
  </si>
  <si>
    <t>CUST11310</t>
  </si>
  <si>
    <t>Harish Vora</t>
  </si>
  <si>
    <t>CUST11311</t>
  </si>
  <si>
    <t>Gauri Srinivasan</t>
  </si>
  <si>
    <t>CUST11312</t>
  </si>
  <si>
    <t>Bina Ahuja</t>
  </si>
  <si>
    <t>CUST11313</t>
  </si>
  <si>
    <t>Yug Mohanty</t>
  </si>
  <si>
    <t>CUST11314</t>
  </si>
  <si>
    <t>Aarini Dara</t>
  </si>
  <si>
    <t>CUST11315</t>
  </si>
  <si>
    <t>Eesha Kar</t>
  </si>
  <si>
    <t>CUST11316</t>
  </si>
  <si>
    <t>Rishi Subramaniam</t>
  </si>
  <si>
    <t>CUST11317</t>
  </si>
  <si>
    <t>Nidhi Chatterjee</t>
  </si>
  <si>
    <t>CUST11319</t>
  </si>
  <si>
    <t>Warhi Hegde</t>
  </si>
  <si>
    <t>CUST11320</t>
  </si>
  <si>
    <t>Ethan Taneja</t>
  </si>
  <si>
    <t>CUST11321</t>
  </si>
  <si>
    <t>David Kara</t>
  </si>
  <si>
    <t>CUST11322</t>
  </si>
  <si>
    <t>Gabriel Gola</t>
  </si>
  <si>
    <t>CUST11323</t>
  </si>
  <si>
    <t>Manan Nath</t>
  </si>
  <si>
    <t>CUST11324</t>
  </si>
  <si>
    <t>Rushil Varty</t>
  </si>
  <si>
    <t>CUST11325</t>
  </si>
  <si>
    <t>Rishi Kade</t>
  </si>
  <si>
    <t>CUST11326</t>
  </si>
  <si>
    <t>Banjeet Gupta</t>
  </si>
  <si>
    <t>CUST11327</t>
  </si>
  <si>
    <t>Qarin Memon</t>
  </si>
  <si>
    <t>CUST11328</t>
  </si>
  <si>
    <t>Anvi Sen</t>
  </si>
  <si>
    <t>CUST11329</t>
  </si>
  <si>
    <t>Aadi Madan</t>
  </si>
  <si>
    <t>CUST11330</t>
  </si>
  <si>
    <t>Raagini Bal</t>
  </si>
  <si>
    <t>CUST11332</t>
  </si>
  <si>
    <t>Divya Bhatti</t>
  </si>
  <si>
    <t>CUST11334</t>
  </si>
  <si>
    <t>Faraj Bora</t>
  </si>
  <si>
    <t>CUST11337</t>
  </si>
  <si>
    <t>Idika Brar</t>
  </si>
  <si>
    <t>CUST11338</t>
  </si>
  <si>
    <t>Indira Rajagopal</t>
  </si>
  <si>
    <t>CUST11339</t>
  </si>
  <si>
    <t>Aadhya Bansal</t>
  </si>
  <si>
    <t>CUST11340</t>
  </si>
  <si>
    <t>Irya Upadhyay</t>
  </si>
  <si>
    <t>CUST11341</t>
  </si>
  <si>
    <t>Hemangini Pal</t>
  </si>
  <si>
    <t>CUST11342</t>
  </si>
  <si>
    <t>Girish Nagi</t>
  </si>
  <si>
    <t>CUST11343</t>
  </si>
  <si>
    <t>Abha Madan</t>
  </si>
  <si>
    <t>CUST11344</t>
  </si>
  <si>
    <t>Jasmit Kothari</t>
  </si>
  <si>
    <t>CUST11345</t>
  </si>
  <si>
    <t>Mitali Batta</t>
  </si>
  <si>
    <t>CUST11346</t>
  </si>
  <si>
    <t>Urvashi Agate</t>
  </si>
  <si>
    <t>CUST11348</t>
  </si>
  <si>
    <t>Advik Mukhopadhyay</t>
  </si>
  <si>
    <t>CUST11352</t>
  </si>
  <si>
    <t>Shaurya Raja</t>
  </si>
  <si>
    <t>CUST11354</t>
  </si>
  <si>
    <t>Yoshita Prabhu</t>
  </si>
  <si>
    <t>CUST11355</t>
  </si>
  <si>
    <t>Arya Bail</t>
  </si>
  <si>
    <t>CUST11357</t>
  </si>
  <si>
    <t>Ekanta Dugar</t>
  </si>
  <si>
    <t>CUST11359</t>
  </si>
  <si>
    <t>Rajeshri Jhaveri</t>
  </si>
  <si>
    <t>CUST11362</t>
  </si>
  <si>
    <t>Ranveer Sidhu</t>
  </si>
  <si>
    <t>CUST11363</t>
  </si>
  <si>
    <t>Adya Bail</t>
  </si>
  <si>
    <t>CUST11364</t>
  </si>
  <si>
    <t>Rachana Sura</t>
  </si>
  <si>
    <t>CUST11367</t>
  </si>
  <si>
    <t>George Zachariah</t>
  </si>
  <si>
    <t>CUST11369</t>
  </si>
  <si>
    <t>Ryan Dhillon</t>
  </si>
  <si>
    <t>CUST11370</t>
  </si>
  <si>
    <t>Kritika Chaudhry</t>
  </si>
  <si>
    <t>CUST11372</t>
  </si>
  <si>
    <t>Hamsini Batta</t>
  </si>
  <si>
    <t>CUST11374</t>
  </si>
  <si>
    <t>Quincy Dar</t>
  </si>
  <si>
    <t>CUST11375</t>
  </si>
  <si>
    <t>Neha Bali</t>
  </si>
  <si>
    <t>CUST11377</t>
  </si>
  <si>
    <t>Andrew Murthy</t>
  </si>
  <si>
    <t>CUST11378</t>
  </si>
  <si>
    <t>Upma Amble</t>
  </si>
  <si>
    <t>CUST11382</t>
  </si>
  <si>
    <t>Ronith Buch</t>
  </si>
  <si>
    <t>CUST11384</t>
  </si>
  <si>
    <t>Ethan Nori</t>
  </si>
  <si>
    <t>CUST11385</t>
  </si>
  <si>
    <t>Anita Sama</t>
  </si>
  <si>
    <t>CUST11386</t>
  </si>
  <si>
    <t>Lila Reddy</t>
  </si>
  <si>
    <t>CUST11387</t>
  </si>
  <si>
    <t>Nikita Gole</t>
  </si>
  <si>
    <t>CUST11388</t>
  </si>
  <si>
    <t>Eta Prashad</t>
  </si>
  <si>
    <t>CUST11389</t>
  </si>
  <si>
    <t>Januja Kata</t>
  </si>
  <si>
    <t>CUST11391</t>
  </si>
  <si>
    <t>Charvi Babu</t>
  </si>
  <si>
    <t>CUST11392</t>
  </si>
  <si>
    <t>Kashvi Sunder</t>
  </si>
  <si>
    <t>CUST11393</t>
  </si>
  <si>
    <t>Abeer Kalita</t>
  </si>
  <si>
    <t>CUST11395</t>
  </si>
  <si>
    <t>Ganga Ben</t>
  </si>
  <si>
    <t>CUST11397</t>
  </si>
  <si>
    <t>Meghana Khare</t>
  </si>
  <si>
    <t>CUST11399</t>
  </si>
  <si>
    <t>Kai Wali</t>
  </si>
  <si>
    <t>CUST11400</t>
  </si>
  <si>
    <t>Pushti Lata</t>
  </si>
  <si>
    <t>CUST11401</t>
  </si>
  <si>
    <t>Jai Apte</t>
  </si>
  <si>
    <t>CUST11402</t>
  </si>
  <si>
    <t>Caleb Dani</t>
  </si>
  <si>
    <t>CUST11403</t>
  </si>
  <si>
    <t>Daniel Khalsa</t>
  </si>
  <si>
    <t>CUST11404</t>
  </si>
  <si>
    <t>Luke Patla</t>
  </si>
  <si>
    <t>CUST11405</t>
  </si>
  <si>
    <t>Arin Lala</t>
  </si>
  <si>
    <t>CUST11406</t>
  </si>
  <si>
    <t>Nakul Iyengar</t>
  </si>
  <si>
    <t>CUST11408</t>
  </si>
  <si>
    <t>Vihaan Choudhury</t>
  </si>
  <si>
    <t>CUST11412</t>
  </si>
  <si>
    <t>Chakrika Nagy</t>
  </si>
  <si>
    <t>CUST11413</t>
  </si>
  <si>
    <t>Anjali Devan</t>
  </si>
  <si>
    <t>CUST11414</t>
  </si>
  <si>
    <t>Eiravati Mangal</t>
  </si>
  <si>
    <t>CUST11416</t>
  </si>
  <si>
    <t>Yoshita Chana</t>
  </si>
  <si>
    <t>CUST11417</t>
  </si>
  <si>
    <t>Amol Dara</t>
  </si>
  <si>
    <t>CUST11418</t>
  </si>
  <si>
    <t>Ijaya Palla</t>
  </si>
  <si>
    <t>CUST11419</t>
  </si>
  <si>
    <t>Bhanumati Mandal</t>
  </si>
  <si>
    <t>CUST11421</t>
  </si>
  <si>
    <t>Oliver Prabhakar</t>
  </si>
  <si>
    <t>CUST11423</t>
  </si>
  <si>
    <t>Charles Murty</t>
  </si>
  <si>
    <t>CUST11424</t>
  </si>
  <si>
    <t>Lajita Arora</t>
  </si>
  <si>
    <t>CUST11426</t>
  </si>
  <si>
    <t>Liam Mukherjee</t>
  </si>
  <si>
    <t>CUST11431</t>
  </si>
  <si>
    <t>Dev Pau</t>
  </si>
  <si>
    <t>CUST11434</t>
  </si>
  <si>
    <t>Ridhi Karpe</t>
  </si>
  <si>
    <t>CUST11435</t>
  </si>
  <si>
    <t>Pallavi Taneja</t>
  </si>
  <si>
    <t>CUST11436</t>
  </si>
  <si>
    <t>Diya Sampath</t>
  </si>
  <si>
    <t>CUST11437</t>
  </si>
  <si>
    <t>Idika Vyas</t>
  </si>
  <si>
    <t>CUST11439</t>
  </si>
  <si>
    <t>Praneel Kumer</t>
  </si>
  <si>
    <t>CUST11440</t>
  </si>
  <si>
    <t>Falan Kadakia</t>
  </si>
  <si>
    <t>CUST11441</t>
  </si>
  <si>
    <t>Eta Mohanty</t>
  </si>
  <si>
    <t>CUST11443</t>
  </si>
  <si>
    <t>Aishani Pau</t>
  </si>
  <si>
    <t>CUST11444</t>
  </si>
  <si>
    <t>Gunbir Nagarajan</t>
  </si>
  <si>
    <t>CUST11450</t>
  </si>
  <si>
    <t>Robert Naidu</t>
  </si>
  <si>
    <t>CUST11451</t>
  </si>
  <si>
    <t>Aishani Sharma</t>
  </si>
  <si>
    <t>CUST11452</t>
  </si>
  <si>
    <t>Abhimanyu Prasad</t>
  </si>
  <si>
    <t>CUST11453</t>
  </si>
  <si>
    <t>Chandran Grewal</t>
  </si>
  <si>
    <t>CUST11454</t>
  </si>
  <si>
    <t>Vanya Som</t>
  </si>
  <si>
    <t>CUST11455</t>
  </si>
  <si>
    <t>Alka Konda</t>
  </si>
  <si>
    <t>CUST11457</t>
  </si>
  <si>
    <t>Atharv Parsa</t>
  </si>
  <si>
    <t>CUST11458</t>
  </si>
  <si>
    <t>Vrinda Khurana</t>
  </si>
  <si>
    <t>CUST11459</t>
  </si>
  <si>
    <t>Ranveer Dhawan</t>
  </si>
  <si>
    <t>CUST11461</t>
  </si>
  <si>
    <t>Nidhi Mann</t>
  </si>
  <si>
    <t>CUST11463</t>
  </si>
  <si>
    <t>Ekanta Khatri</t>
  </si>
  <si>
    <t>CUST11464</t>
  </si>
  <si>
    <t>Megha Sharma</t>
  </si>
  <si>
    <t>CUST11465</t>
  </si>
  <si>
    <t>Rachit Kuruvilla</t>
  </si>
  <si>
    <t>CUST11466</t>
  </si>
  <si>
    <t>Reva Solanki</t>
  </si>
  <si>
    <t>CUST11468</t>
  </si>
  <si>
    <t>Lohit Batra</t>
  </si>
  <si>
    <t>CUST11469</t>
  </si>
  <si>
    <t>William Gopal</t>
  </si>
  <si>
    <t>CUST11470</t>
  </si>
  <si>
    <t>Girindra Krishnamurthy</t>
  </si>
  <si>
    <t>CUST11471</t>
  </si>
  <si>
    <t>Dhruv Sampath</t>
  </si>
  <si>
    <t>CUST11472</t>
  </si>
  <si>
    <t>Vedant Gill</t>
  </si>
  <si>
    <t>CUST11473</t>
  </si>
  <si>
    <t>Chaaya Devi</t>
  </si>
  <si>
    <t>CUST11475</t>
  </si>
  <si>
    <t>Manthan Andra</t>
  </si>
  <si>
    <t>CUST11477</t>
  </si>
  <si>
    <t>Falguni Luthra</t>
  </si>
  <si>
    <t>CUST11478</t>
  </si>
  <si>
    <t>Jonathan Ramachandran</t>
  </si>
  <si>
    <t>CUST11479</t>
  </si>
  <si>
    <t>Saanvi Naik</t>
  </si>
  <si>
    <t>CUST11483</t>
  </si>
  <si>
    <t>Tanay Dubey</t>
  </si>
  <si>
    <t>CUST11484</t>
  </si>
  <si>
    <t>Rachana Dora</t>
  </si>
  <si>
    <t>CUST11485</t>
  </si>
  <si>
    <t>Waida Sengupta</t>
  </si>
  <si>
    <t>CUST11486</t>
  </si>
  <si>
    <t>Unni Kamdar</t>
  </si>
  <si>
    <t>CUST11487</t>
  </si>
  <si>
    <t>Faqid Sachdeva</t>
  </si>
  <si>
    <t>CUST11488</t>
  </si>
  <si>
    <t>Mitali Ratti</t>
  </si>
  <si>
    <t>CUST11489</t>
  </si>
  <si>
    <t>Vanya Bala</t>
  </si>
  <si>
    <t>CUST11490</t>
  </si>
  <si>
    <t>Aarush Johal</t>
  </si>
  <si>
    <t>CUST11491</t>
  </si>
  <si>
    <t>Charles Khanna</t>
  </si>
  <si>
    <t>CUST11492</t>
  </si>
  <si>
    <t>Bakhshi Nayak</t>
  </si>
  <si>
    <t>CUST11493</t>
  </si>
  <si>
    <t>Omkaar Thakur</t>
  </si>
  <si>
    <t>CUST11494</t>
  </si>
  <si>
    <t>Krishna Mani</t>
  </si>
  <si>
    <t>CUST11495</t>
  </si>
  <si>
    <t>Baljiwan Solanki</t>
  </si>
  <si>
    <t>CUST11497</t>
  </si>
  <si>
    <t>Anamika Badami</t>
  </si>
  <si>
    <t>CUST11499</t>
  </si>
  <si>
    <t>Priya Setty</t>
  </si>
  <si>
    <t>CUST11500</t>
  </si>
  <si>
    <t>Lakshit Prabhu</t>
  </si>
  <si>
    <t>CUST11502</t>
  </si>
  <si>
    <t>Balveer Konda</t>
  </si>
  <si>
    <t>CUST11506</t>
  </si>
  <si>
    <t>Amara Murty</t>
  </si>
  <si>
    <t>CUST11507</t>
  </si>
  <si>
    <t>Sathvik Chawla</t>
  </si>
  <si>
    <t>CUST11508</t>
  </si>
  <si>
    <t>Vedhika Mall</t>
  </si>
  <si>
    <t>CUST11509</t>
  </si>
  <si>
    <t>Aarini Toor</t>
  </si>
  <si>
    <t>CUST11510</t>
  </si>
  <si>
    <t>Bakhshi Murty</t>
  </si>
  <si>
    <t>CUST11512</t>
  </si>
  <si>
    <t>Luke Saha</t>
  </si>
  <si>
    <t>CUST11513</t>
  </si>
  <si>
    <t>Chaman Kalita</t>
  </si>
  <si>
    <t>CUST11514</t>
  </si>
  <si>
    <t>Karan Kapadia</t>
  </si>
  <si>
    <t>CUST11515</t>
  </si>
  <si>
    <t>Lakshmi Chaudhuri</t>
  </si>
  <si>
    <t>CUST11518</t>
  </si>
  <si>
    <t>Harinakshi Kari</t>
  </si>
  <si>
    <t>CUST11519</t>
  </si>
  <si>
    <t>Amol Agrawal</t>
  </si>
  <si>
    <t>CUST11520</t>
  </si>
  <si>
    <t>Qabil Seshadri</t>
  </si>
  <si>
    <t>CUST11521</t>
  </si>
  <si>
    <t>Nihal Devan</t>
  </si>
  <si>
    <t>CUST11523</t>
  </si>
  <si>
    <t>Orinder Edwin</t>
  </si>
  <si>
    <t>CUST11524</t>
  </si>
  <si>
    <t>Mitali Shenoy</t>
  </si>
  <si>
    <t>CUST11526</t>
  </si>
  <si>
    <t>Kabir Jayaraman</t>
  </si>
  <si>
    <t>CUST11527</t>
  </si>
  <si>
    <t>Vasudha Bhardwaj</t>
  </si>
  <si>
    <t>CUST11528</t>
  </si>
  <si>
    <t>Bina Bir</t>
  </si>
  <si>
    <t>CUST11529</t>
  </si>
  <si>
    <t>Chandran Rajagopalan</t>
  </si>
  <si>
    <t>CUST11530</t>
  </si>
  <si>
    <t>Ryan Kumer</t>
  </si>
  <si>
    <t>CUST11534</t>
  </si>
  <si>
    <t>Sachi Luthra</t>
  </si>
  <si>
    <t>CUST11535</t>
  </si>
  <si>
    <t>Reyansh Khurana</t>
  </si>
  <si>
    <t>CUST11536</t>
  </si>
  <si>
    <t>Sai Dube</t>
  </si>
  <si>
    <t>CUST11537</t>
  </si>
  <si>
    <t>Megha Dar</t>
  </si>
  <si>
    <t>CUST11538</t>
  </si>
  <si>
    <t>Daniel Dhaliwal</t>
  </si>
  <si>
    <t>CUST11540</t>
  </si>
  <si>
    <t>Kevin Amble</t>
  </si>
  <si>
    <t>CUST11541</t>
  </si>
  <si>
    <t>Omya Naidu</t>
  </si>
  <si>
    <t>CUST11543</t>
  </si>
  <si>
    <t>Arunima Narayanan</t>
  </si>
  <si>
    <t>CUST11544</t>
  </si>
  <si>
    <t>Mohini Naidu</t>
  </si>
  <si>
    <t>CUST11545</t>
  </si>
  <si>
    <t>Jagrati Tak</t>
  </si>
  <si>
    <t>CUST11546</t>
  </si>
  <si>
    <t>Harish Gera</t>
  </si>
  <si>
    <t>CUST11547</t>
  </si>
  <si>
    <t>Upma Sankar</t>
  </si>
  <si>
    <t>CUST11549</t>
  </si>
  <si>
    <t>Libni Viswanathan</t>
  </si>
  <si>
    <t>CUST11550</t>
  </si>
  <si>
    <t>Geetika Verma</t>
  </si>
  <si>
    <t>CUST11551</t>
  </si>
  <si>
    <t>Kevin Manne</t>
  </si>
  <si>
    <t>CUST11552</t>
  </si>
  <si>
    <t>Ishanvi Bora</t>
  </si>
  <si>
    <t>CUST11554</t>
  </si>
  <si>
    <t>Ekta Chhabra</t>
  </si>
  <si>
    <t>CUST11555</t>
  </si>
  <si>
    <t>Parth Kunda</t>
  </si>
  <si>
    <t>CUST11556</t>
  </si>
  <si>
    <t>Abha Biswas</t>
  </si>
  <si>
    <t>CUST11557</t>
  </si>
  <si>
    <t>Chaman Ahluwalia</t>
  </si>
  <si>
    <t>CUST11558</t>
  </si>
  <si>
    <t>Saksham Jaggi</t>
  </si>
  <si>
    <t>CUST11559</t>
  </si>
  <si>
    <t>Pooja Badal</t>
  </si>
  <si>
    <t>CUST11561</t>
  </si>
  <si>
    <t>Devansh Sethi</t>
  </si>
  <si>
    <t>CUST11564</t>
  </si>
  <si>
    <t>Mitesh Kala</t>
  </si>
  <si>
    <t>CUST11565</t>
  </si>
  <si>
    <t>Darsh Ghose</t>
  </si>
  <si>
    <t>CUST11566</t>
  </si>
  <si>
    <t>Gaurangi Bava</t>
  </si>
  <si>
    <t>CUST11567</t>
  </si>
  <si>
    <t>Azaan Mall</t>
  </si>
  <si>
    <t>CUST11569</t>
  </si>
  <si>
    <t>Rachita Bhatti</t>
  </si>
  <si>
    <t>CUST11570</t>
  </si>
  <si>
    <t>Vedhika Sur</t>
  </si>
  <si>
    <t>CUST11571</t>
  </si>
  <si>
    <t>Anjali Nayar</t>
  </si>
  <si>
    <t>CUST11573</t>
  </si>
  <si>
    <t>Janani Ramachandran</t>
  </si>
  <si>
    <t>CUST11574</t>
  </si>
  <si>
    <t>Agastya Misra</t>
  </si>
  <si>
    <t>CUST11576</t>
  </si>
  <si>
    <t>Irya Purohit</t>
  </si>
  <si>
    <t>CUST11577</t>
  </si>
  <si>
    <t>Chandani Upadhyay</t>
  </si>
  <si>
    <t>CUST11579</t>
  </si>
  <si>
    <t>Zayan Bahl</t>
  </si>
  <si>
    <t>CUST11580</t>
  </si>
  <si>
    <t>Chakradev Dey</t>
  </si>
  <si>
    <t>CUST11581</t>
  </si>
  <si>
    <t>Aarav Ganguly</t>
  </si>
  <si>
    <t>CUST11582</t>
  </si>
  <si>
    <t>Anamika Din</t>
  </si>
  <si>
    <t>CUST11583</t>
  </si>
  <si>
    <t>Viraj Chana</t>
  </si>
  <si>
    <t>CUST11584</t>
  </si>
  <si>
    <t>Logan Natarajan</t>
  </si>
  <si>
    <t>CUST11586</t>
  </si>
  <si>
    <t>Devika Dube</t>
  </si>
  <si>
    <t>CUST11587</t>
  </si>
  <si>
    <t>Utkarsh Char</t>
  </si>
  <si>
    <t>CUST11589</t>
  </si>
  <si>
    <t>Rajeshri Sharma</t>
  </si>
  <si>
    <t>CUST11590</t>
  </si>
  <si>
    <t>Jasmit Comar</t>
  </si>
  <si>
    <t>CUST11591</t>
  </si>
  <si>
    <t>Ekalinga Varghese</t>
  </si>
  <si>
    <t>CUST11592</t>
  </si>
  <si>
    <t>Amara Virk</t>
  </si>
  <si>
    <t>CUST11593</t>
  </si>
  <si>
    <t>Saksham Aggarwal</t>
  </si>
  <si>
    <t>CUST11594</t>
  </si>
  <si>
    <t>Ekaja Venkatesh</t>
  </si>
  <si>
    <t>CUST11595</t>
  </si>
  <si>
    <t>Yoshita Malhotra</t>
  </si>
  <si>
    <t>CUST11596</t>
  </si>
  <si>
    <t>Osha Dutt</t>
  </si>
  <si>
    <t>CUST11598</t>
  </si>
  <si>
    <t>Azaan Patel</t>
  </si>
  <si>
    <t>CUST11599</t>
  </si>
  <si>
    <t>Ati Gandhi</t>
  </si>
  <si>
    <t>CUST11603</t>
  </si>
  <si>
    <t>Leena Rau</t>
  </si>
  <si>
    <t>CUST11604</t>
  </si>
  <si>
    <t>Tanay Chadha</t>
  </si>
  <si>
    <t>CUST11607</t>
  </si>
  <si>
    <t>Chaitaly Din</t>
  </si>
  <si>
    <t>CUST11609</t>
  </si>
  <si>
    <t>Oeshi Bajaj</t>
  </si>
  <si>
    <t>CUST11610</t>
  </si>
  <si>
    <t>Michael Keer</t>
  </si>
  <si>
    <t>CUST11612</t>
  </si>
  <si>
    <t>Urvi Dani</t>
  </si>
  <si>
    <t>CUST11613</t>
  </si>
  <si>
    <t>Yadavi Bala</t>
  </si>
  <si>
    <t>CUST11614</t>
  </si>
  <si>
    <t>Onveer Kari</t>
  </si>
  <si>
    <t>CUST11615</t>
  </si>
  <si>
    <t>Daksh Banik</t>
  </si>
  <si>
    <t>CUST11616</t>
  </si>
  <si>
    <t>Diya Mahajan</t>
  </si>
  <si>
    <t>CUST11618</t>
  </si>
  <si>
    <t>Sanya Naidu</t>
  </si>
  <si>
    <t>CUST11619</t>
  </si>
  <si>
    <t>Ekavir Saxena</t>
  </si>
  <si>
    <t>CUST11621</t>
  </si>
  <si>
    <t>Samaksh Vohra</t>
  </si>
  <si>
    <t>CUST11622</t>
  </si>
  <si>
    <t>Balveer Sethi</t>
  </si>
  <si>
    <t>CUST11623</t>
  </si>
  <si>
    <t>Turvi Varkey</t>
  </si>
  <si>
    <t>CUST11625</t>
  </si>
  <si>
    <t>Wakeeta Bhardwaj</t>
  </si>
  <si>
    <t>CUST11626</t>
  </si>
  <si>
    <t>Kala Uppal</t>
  </si>
  <si>
    <t>CUST11629</t>
  </si>
  <si>
    <t>Nirja Jha</t>
  </si>
  <si>
    <t>CUST11630</t>
  </si>
  <si>
    <t>Nachiket Badal</t>
  </si>
  <si>
    <t>CUST11631</t>
  </si>
  <si>
    <t>Mohini Buch</t>
  </si>
  <si>
    <t>CUST11632</t>
  </si>
  <si>
    <t>Wazir Rastogi</t>
  </si>
  <si>
    <t>CUST11634</t>
  </si>
  <si>
    <t>Gauri Chakrabarti</t>
  </si>
  <si>
    <t>CUST11635</t>
  </si>
  <si>
    <t>Mohammed Zacharia</t>
  </si>
  <si>
    <t>CUST11637</t>
  </si>
  <si>
    <t>Avi Suresh</t>
  </si>
  <si>
    <t>CUST11638</t>
  </si>
  <si>
    <t>Neelima Rama</t>
  </si>
  <si>
    <t>CUST11639</t>
  </si>
  <si>
    <t>Jagat Batta</t>
  </si>
  <si>
    <t>CUST11640</t>
  </si>
  <si>
    <t>Kevin Kanda</t>
  </si>
  <si>
    <t>CUST11644</t>
  </si>
  <si>
    <t>Suhani Batra</t>
  </si>
  <si>
    <t>CUST11645</t>
  </si>
  <si>
    <t>Diya Basu</t>
  </si>
  <si>
    <t>CUST11646</t>
  </si>
  <si>
    <t>Vritti Narang</t>
  </si>
  <si>
    <t>CUST11649</t>
  </si>
  <si>
    <t>Sanaya Arya</t>
  </si>
  <si>
    <t>CUST11650</t>
  </si>
  <si>
    <t>Riya Keer</t>
  </si>
  <si>
    <t>CUST11652</t>
  </si>
  <si>
    <t>Ekantika Narayan</t>
  </si>
  <si>
    <t>CUST11653</t>
  </si>
  <si>
    <t>Brijesh Nadkarni</t>
  </si>
  <si>
    <t>CUST11654</t>
  </si>
  <si>
    <t>Bachittar Parmar</t>
  </si>
  <si>
    <t>CUST11655</t>
  </si>
  <si>
    <t>Girik Vohra</t>
  </si>
  <si>
    <t>CUST11656</t>
  </si>
  <si>
    <t>Tristan Varty</t>
  </si>
  <si>
    <t>CUST11657</t>
  </si>
  <si>
    <t>Ati Lall</t>
  </si>
  <si>
    <t>CUST11658</t>
  </si>
  <si>
    <t>Deepa Pillai</t>
  </si>
  <si>
    <t>CUST11659</t>
  </si>
  <si>
    <t>Henry Bose</t>
  </si>
  <si>
    <t>CUST11661</t>
  </si>
  <si>
    <t>Charan Chaudry</t>
  </si>
  <si>
    <t>CUST11662</t>
  </si>
  <si>
    <t>Utkarsh Naidu</t>
  </si>
  <si>
    <t>CUST11666</t>
  </si>
  <si>
    <t>Shravya Sekhon</t>
  </si>
  <si>
    <t>CUST11667</t>
  </si>
  <si>
    <t>Lucky Kata</t>
  </si>
  <si>
    <t>CUST11669</t>
  </si>
  <si>
    <t>Yauvani Manne</t>
  </si>
  <si>
    <t>CUST11670</t>
  </si>
  <si>
    <t>Nisha Solanki</t>
  </si>
  <si>
    <t>CUST11671</t>
  </si>
  <si>
    <t>Aryan Kata</t>
  </si>
  <si>
    <t>CUST11673</t>
  </si>
  <si>
    <t>Dominic Sankaran</t>
  </si>
  <si>
    <t>CUST11675</t>
  </si>
  <si>
    <t>Tejas Tara</t>
  </si>
  <si>
    <t>CUST11676</t>
  </si>
  <si>
    <t>Jagat Pant</t>
  </si>
  <si>
    <t>CUST11677</t>
  </si>
  <si>
    <t>Jasmit Sethi</t>
  </si>
  <si>
    <t>CUST11678</t>
  </si>
  <si>
    <t>Manan Sarna</t>
  </si>
  <si>
    <t>CUST11680</t>
  </si>
  <si>
    <t>Sathvik Barad</t>
  </si>
  <si>
    <t>CUST11682</t>
  </si>
  <si>
    <t>Daksha Gade</t>
  </si>
  <si>
    <t>CUST11683</t>
  </si>
  <si>
    <t>Utkarsh Gill</t>
  </si>
  <si>
    <t>CUST11684</t>
  </si>
  <si>
    <t>Gautam Prashad</t>
  </si>
  <si>
    <t>CUST11685</t>
  </si>
  <si>
    <t>Ekapad Palan</t>
  </si>
  <si>
    <t>CUST11686</t>
  </si>
  <si>
    <t>Yug Sant</t>
  </si>
  <si>
    <t>CUST11687</t>
  </si>
  <si>
    <t>Arjun Shukla</t>
  </si>
  <si>
    <t>CUST11688</t>
  </si>
  <si>
    <t>Charita Manne</t>
  </si>
  <si>
    <t>CUST11690</t>
  </si>
  <si>
    <t>Patrick Das</t>
  </si>
  <si>
    <t>CUST11691</t>
  </si>
  <si>
    <t>Ishanvi Mander</t>
  </si>
  <si>
    <t>CUST11694</t>
  </si>
  <si>
    <t>Aarush Nayar</t>
  </si>
  <si>
    <t>CUST11696</t>
  </si>
  <si>
    <t>Yochana Chandra</t>
  </si>
  <si>
    <t>CUST11697</t>
  </si>
  <si>
    <t>Ekbal Mangat</t>
  </si>
  <si>
    <t>CUST11698</t>
  </si>
  <si>
    <t>Vedant Mital</t>
  </si>
  <si>
    <t>CUST11699</t>
  </si>
  <si>
    <t>Varsha Raju</t>
  </si>
  <si>
    <t>CUST11700</t>
  </si>
  <si>
    <t>Aadhya Jani</t>
  </si>
  <si>
    <t>CUST11701</t>
  </si>
  <si>
    <t>Shivani Mani</t>
  </si>
  <si>
    <t>CUST11703</t>
  </si>
  <si>
    <t>Bhavya Khurana</t>
  </si>
  <si>
    <t>CUST11704</t>
  </si>
  <si>
    <t>Ayush Doshi</t>
  </si>
  <si>
    <t>CUST11705</t>
  </si>
  <si>
    <t>Ijaya Balan</t>
  </si>
  <si>
    <t>CUST11706</t>
  </si>
  <si>
    <t>Rachit Dada</t>
  </si>
  <si>
    <t>CUST11708</t>
  </si>
  <si>
    <t>Tripti Dasgupta</t>
  </si>
  <si>
    <t>CUST11710</t>
  </si>
  <si>
    <t>Faras Agarwal</t>
  </si>
  <si>
    <t>CUST11711</t>
  </si>
  <si>
    <t>Dhriti Ramesh</t>
  </si>
  <si>
    <t>CUST11712</t>
  </si>
  <si>
    <t>Arunima Ghosh</t>
  </si>
  <si>
    <t>CUST11713</t>
  </si>
  <si>
    <t>Krish Dave</t>
  </si>
  <si>
    <t>CUST11715</t>
  </si>
  <si>
    <t>Elijah Joshi</t>
  </si>
  <si>
    <t>CUST11716</t>
  </si>
  <si>
    <t>Pallavi Kant</t>
  </si>
  <si>
    <t>CUST11719</t>
  </si>
  <si>
    <t>Ekbal Narang</t>
  </si>
  <si>
    <t>CUST11720</t>
  </si>
  <si>
    <t>Daksha Majumdar</t>
  </si>
  <si>
    <t>CUST11721</t>
  </si>
  <si>
    <t>Jai Mahal</t>
  </si>
  <si>
    <t>CUST11724</t>
  </si>
  <si>
    <t>Tanvi Modi</t>
  </si>
  <si>
    <t>CUST11725</t>
  </si>
  <si>
    <t>Jalsa Saraf</t>
  </si>
  <si>
    <t>CUST11726</t>
  </si>
  <si>
    <t>Logan Puri</t>
  </si>
  <si>
    <t>CUST11728</t>
  </si>
  <si>
    <t>Vrishti Dave</t>
  </si>
  <si>
    <t>CUST11729</t>
  </si>
  <si>
    <t>Tejas Bhavsar</t>
  </si>
  <si>
    <t>CUST11732</t>
  </si>
  <si>
    <t>Reva Prashad</t>
  </si>
  <si>
    <t>CUST11733</t>
  </si>
  <si>
    <t>George Misra</t>
  </si>
  <si>
    <t>CUST11735</t>
  </si>
  <si>
    <t>Aarnav Gola</t>
  </si>
  <si>
    <t>CUST11738</t>
  </si>
  <si>
    <t>Mohini Srivastava</t>
  </si>
  <si>
    <t>CUST11739</t>
  </si>
  <si>
    <t>Pranit Walla</t>
  </si>
  <si>
    <t>CUST11740</t>
  </si>
  <si>
    <t>Aadi Mital</t>
  </si>
  <si>
    <t>CUST11742</t>
  </si>
  <si>
    <t>Zayyan Patel</t>
  </si>
  <si>
    <t>CUST11743</t>
  </si>
  <si>
    <t>Kritika Chacko</t>
  </si>
  <si>
    <t>CUST11745</t>
  </si>
  <si>
    <t>Manthan Parmar</t>
  </si>
  <si>
    <t>CUST11746</t>
  </si>
  <si>
    <t>Ishwar Lad</t>
  </si>
  <si>
    <t>CUST11747</t>
  </si>
  <si>
    <t>Zansi Shukla</t>
  </si>
  <si>
    <t>CUST11748</t>
  </si>
  <si>
    <t>Tanay Bhatt</t>
  </si>
  <si>
    <t>CUST11749</t>
  </si>
  <si>
    <t>Abhiram Mann</t>
  </si>
  <si>
    <t>CUST11750</t>
  </si>
  <si>
    <t>Ekanta Mangal</t>
  </si>
  <si>
    <t>CUST11753</t>
  </si>
  <si>
    <t>Charles Wadhwa</t>
  </si>
  <si>
    <t>CUST11754</t>
  </si>
  <si>
    <t>Yadavi Behl</t>
  </si>
  <si>
    <t>CUST11755</t>
  </si>
  <si>
    <t>Harish Wason</t>
  </si>
  <si>
    <t>CUST11757</t>
  </si>
  <si>
    <t>Samuel Chad</t>
  </si>
  <si>
    <t>CUST11760</t>
  </si>
  <si>
    <t>Nitara Garde</t>
  </si>
  <si>
    <t>CUST11761</t>
  </si>
  <si>
    <t>Alexander Sunder</t>
  </si>
  <si>
    <t>CUST11764</t>
  </si>
  <si>
    <t>Pallavi Mitra</t>
  </si>
  <si>
    <t>CUST11765</t>
  </si>
  <si>
    <t>Ganga Sha</t>
  </si>
  <si>
    <t>CUST11767</t>
  </si>
  <si>
    <t>Priya Hora</t>
  </si>
  <si>
    <t>CUST11768</t>
  </si>
  <si>
    <t>Ekbal Pradhan</t>
  </si>
  <si>
    <t>CUST11771</t>
  </si>
  <si>
    <t>Qasim Hayer</t>
  </si>
  <si>
    <t>CUST11776</t>
  </si>
  <si>
    <t>Bimala Dube</t>
  </si>
  <si>
    <t>CUST11777</t>
  </si>
  <si>
    <t>Netra Rege</t>
  </si>
  <si>
    <t>CUST11780</t>
  </si>
  <si>
    <t>Lucky Bahl</t>
  </si>
  <si>
    <t>CUST11781</t>
  </si>
  <si>
    <t>Neelima Samra</t>
  </si>
  <si>
    <t>CUST11782</t>
  </si>
  <si>
    <t>Samesh Venkataraman</t>
  </si>
  <si>
    <t>CUST11783</t>
  </si>
  <si>
    <t>Kabir Deshmukh</t>
  </si>
  <si>
    <t>CUST11784</t>
  </si>
  <si>
    <t>Arunima Barad</t>
  </si>
  <si>
    <t>CUST11785</t>
  </si>
  <si>
    <t>Ekaja Kata</t>
  </si>
  <si>
    <t>CUST11786</t>
  </si>
  <si>
    <t>Qarin Goda</t>
  </si>
  <si>
    <t>CUST11788</t>
  </si>
  <si>
    <t>Ayaan Chandran</t>
  </si>
  <si>
    <t>CUST11790</t>
  </si>
  <si>
    <t>Aahana Warrior</t>
  </si>
  <si>
    <t>CUST11792</t>
  </si>
  <si>
    <t>Reyansh Kari</t>
  </si>
  <si>
    <t>CUST11793</t>
  </si>
  <si>
    <t>Januja Golla</t>
  </si>
  <si>
    <t>CUST11794</t>
  </si>
  <si>
    <t>Jackson Kala</t>
  </si>
  <si>
    <t>CUST11795</t>
  </si>
  <si>
    <t>Yagnesh Kumar</t>
  </si>
  <si>
    <t>CUST11797</t>
  </si>
  <si>
    <t>Jonathan Kalita</t>
  </si>
  <si>
    <t>CUST11798</t>
  </si>
  <si>
    <t>Quincy Tella</t>
  </si>
  <si>
    <t>CUST11799</t>
  </si>
  <si>
    <t>Chanchal Misra</t>
  </si>
  <si>
    <t>CUST11800</t>
  </si>
  <si>
    <t>Priya Ahluwalia</t>
  </si>
  <si>
    <t>CUST11802</t>
  </si>
  <si>
    <t>Pushti Hans</t>
  </si>
  <si>
    <t>CUST11803</t>
  </si>
  <si>
    <t>Owen Bhagat</t>
  </si>
  <si>
    <t>CUST11804</t>
  </si>
  <si>
    <t>Yug Sarkar</t>
  </si>
  <si>
    <t>CUST11806</t>
  </si>
  <si>
    <t>Jalsa Goel</t>
  </si>
  <si>
    <t>CUST11807</t>
  </si>
  <si>
    <t>Vincent Parekh</t>
  </si>
  <si>
    <t>CUST11810</t>
  </si>
  <si>
    <t>Gaurangi Bhatti</t>
  </si>
  <si>
    <t>CUST11811</t>
  </si>
  <si>
    <t>Vinaya Ramakrishnan</t>
  </si>
  <si>
    <t>CUST11812</t>
  </si>
  <si>
    <t>Kala Koshy</t>
  </si>
  <si>
    <t>CUST11815</t>
  </si>
  <si>
    <t>Kala Kanda</t>
  </si>
  <si>
    <t>CUST11816</t>
  </si>
  <si>
    <t>Nidhi Prabhakar</t>
  </si>
  <si>
    <t>CUST11817</t>
  </si>
  <si>
    <t>Bhavya Sathe</t>
  </si>
  <si>
    <t>CUST11818</t>
  </si>
  <si>
    <t>Meera Saraf</t>
  </si>
  <si>
    <t>CUST11819</t>
  </si>
  <si>
    <t>Viraj Nigam</t>
  </si>
  <si>
    <t>CUST11820</t>
  </si>
  <si>
    <t>Nikita Datta</t>
  </si>
  <si>
    <t>CUST11821</t>
  </si>
  <si>
    <t>Zaid Dube</t>
  </si>
  <si>
    <t>CUST11822</t>
  </si>
  <si>
    <t>Samaksh Rama</t>
  </si>
  <si>
    <t>CUST11824</t>
  </si>
  <si>
    <t>Hamsini Soman</t>
  </si>
  <si>
    <t>CUST11825</t>
  </si>
  <si>
    <t>Naksh Shankar</t>
  </si>
  <si>
    <t>CUST11826</t>
  </si>
  <si>
    <t>Ronith Kapur</t>
  </si>
  <si>
    <t>CUST11828</t>
  </si>
  <si>
    <t>Nirja Narasimhan</t>
  </si>
  <si>
    <t>CUST11829</t>
  </si>
  <si>
    <t>Yatin Bal</t>
  </si>
  <si>
    <t>CUST11831</t>
  </si>
  <si>
    <t>Chaman Singhal</t>
  </si>
  <si>
    <t>CUST11832</t>
  </si>
  <si>
    <t>Faras Sagar</t>
  </si>
  <si>
    <t>CUST11837</t>
  </si>
  <si>
    <t>Sathvik Som</t>
  </si>
  <si>
    <t>CUST11838</t>
  </si>
  <si>
    <t>Ladli Bhargava</t>
  </si>
  <si>
    <t>CUST11839</t>
  </si>
  <si>
    <t>Ojas Agrawal</t>
  </si>
  <si>
    <t>CUST11841</t>
  </si>
  <si>
    <t>Vasatika Bahl</t>
  </si>
  <si>
    <t>CUST11843</t>
  </si>
  <si>
    <t>Jacob Deep</t>
  </si>
  <si>
    <t>CUST11845</t>
  </si>
  <si>
    <t>Chameli Sathe</t>
  </si>
  <si>
    <t>CUST11846</t>
  </si>
  <si>
    <t>Qarin Naik</t>
  </si>
  <si>
    <t>CUST11847</t>
  </si>
  <si>
    <t>Maanas Gala</t>
  </si>
  <si>
    <t>CUST11849</t>
  </si>
  <si>
    <t>Samesh Halder</t>
  </si>
  <si>
    <t>CUST11850</t>
  </si>
  <si>
    <t>Triveni Dewan</t>
  </si>
  <si>
    <t>CUST11852</t>
  </si>
  <si>
    <t>Adweta Tiwari</t>
  </si>
  <si>
    <t>CUST11853</t>
  </si>
  <si>
    <t>Imaran Golla</t>
  </si>
  <si>
    <t>CUST11854</t>
  </si>
  <si>
    <t>Leela Master</t>
  </si>
  <si>
    <t>CUST11858</t>
  </si>
  <si>
    <t>Indrajit Bali</t>
  </si>
  <si>
    <t>CUST11861</t>
  </si>
  <si>
    <t>Nandini Koshy</t>
  </si>
  <si>
    <t>CUST11862</t>
  </si>
  <si>
    <t>Bahadurjit Bumb</t>
  </si>
  <si>
    <t>CUST11863</t>
  </si>
  <si>
    <t>Upkaar Kata</t>
  </si>
  <si>
    <t>CUST11866</t>
  </si>
  <si>
    <t>Anusha Walla</t>
  </si>
  <si>
    <t>CUST11867</t>
  </si>
  <si>
    <t>Baghyawati Bath</t>
  </si>
  <si>
    <t>CUST11868</t>
  </si>
  <si>
    <t>Gaurang Bhatia</t>
  </si>
  <si>
    <t>CUST11869</t>
  </si>
  <si>
    <t>Radha Tak</t>
  </si>
  <si>
    <t>CUST11870</t>
  </si>
  <si>
    <t>Baljiwan Borah</t>
  </si>
  <si>
    <t>CUST11871</t>
  </si>
  <si>
    <t>Gavin Chawla</t>
  </si>
  <si>
    <t>CUST11872</t>
  </si>
  <si>
    <t>Advaith Mandal</t>
  </si>
  <si>
    <t>CUST11873</t>
  </si>
  <si>
    <t>Aryan Batta</t>
  </si>
  <si>
    <t>CUST11875</t>
  </si>
  <si>
    <t>Omisha Sahni</t>
  </si>
  <si>
    <t>CUST11877</t>
  </si>
  <si>
    <t>Balveer Koshy</t>
  </si>
  <si>
    <t>CUST11879</t>
  </si>
  <si>
    <t>Aarna Thaker</t>
  </si>
  <si>
    <t>CUST11880</t>
  </si>
  <si>
    <t>Chasmum Lal</t>
  </si>
  <si>
    <t>CUST11881</t>
  </si>
  <si>
    <t>Darpan Kadakia</t>
  </si>
  <si>
    <t>CUST11882</t>
  </si>
  <si>
    <t>Rudra Borde</t>
  </si>
  <si>
    <t>CUST11883</t>
  </si>
  <si>
    <t>Darsh Sridhar</t>
  </si>
  <si>
    <t>CUST11884</t>
  </si>
  <si>
    <t>Vedika Chaudhry</t>
  </si>
  <si>
    <t>CUST11885</t>
  </si>
  <si>
    <t>Lavanya Bhargava</t>
  </si>
  <si>
    <t>CUST11886</t>
  </si>
  <si>
    <t>Ekiya Srivastava</t>
  </si>
  <si>
    <t>CUST11887</t>
  </si>
  <si>
    <t>Gabriel Tandon</t>
  </si>
  <si>
    <t>CUST11888</t>
  </si>
  <si>
    <t>Samar Deshmukh</t>
  </si>
  <si>
    <t>CUST11890</t>
  </si>
  <si>
    <t>Chavvi Shetty</t>
  </si>
  <si>
    <t>CUST11891</t>
  </si>
  <si>
    <t>Neel Verma</t>
  </si>
  <si>
    <t>CUST11892</t>
  </si>
  <si>
    <t>Bimala Chanda</t>
  </si>
  <si>
    <t>CUST11893</t>
  </si>
  <si>
    <t>Kevin Walla</t>
  </si>
  <si>
    <t>CUST11894</t>
  </si>
  <si>
    <t>Chandani Nadig</t>
  </si>
  <si>
    <t>CUST11895</t>
  </si>
  <si>
    <t>Vedhika Borde</t>
  </si>
  <si>
    <t>CUST11897</t>
  </si>
  <si>
    <t>Vritti Rai</t>
  </si>
  <si>
    <t>CUST11899</t>
  </si>
  <si>
    <t>William Buch</t>
  </si>
  <si>
    <t>CUST11903</t>
  </si>
  <si>
    <t>Jagat Pall</t>
  </si>
  <si>
    <t>CUST11904</t>
  </si>
  <si>
    <t>Chanakya Borra</t>
  </si>
  <si>
    <t>CUST11905</t>
  </si>
  <si>
    <t>Fitan Nayak</t>
  </si>
  <si>
    <t>CUST11907</t>
  </si>
  <si>
    <t>Rachita Goyal</t>
  </si>
  <si>
    <t>CUST11909</t>
  </si>
  <si>
    <t>Hemangini Nazareth</t>
  </si>
  <si>
    <t>CUST11911</t>
  </si>
  <si>
    <t>Devika Borde</t>
  </si>
  <si>
    <t>CUST11912</t>
  </si>
  <si>
    <t>Liam Patla</t>
  </si>
  <si>
    <t>CUST11913</t>
  </si>
  <si>
    <t>Vidhi Bhattacharyya</t>
  </si>
  <si>
    <t>CUST11914</t>
  </si>
  <si>
    <t>Anya Verma</t>
  </si>
  <si>
    <t>CUST11917</t>
  </si>
  <si>
    <t>Azaan Pingle</t>
  </si>
  <si>
    <t>CUST11918</t>
  </si>
  <si>
    <t>Harini Sant</t>
  </si>
  <si>
    <t>CUST11919</t>
  </si>
  <si>
    <t>Ijaya Ratti</t>
  </si>
  <si>
    <t>CUST11920</t>
  </si>
  <si>
    <t>Jasmit Patla</t>
  </si>
  <si>
    <t>CUST11922</t>
  </si>
  <si>
    <t>Gabriel Shah</t>
  </si>
  <si>
    <t>CUST11923</t>
  </si>
  <si>
    <t>Madhavi Raval</t>
  </si>
  <si>
    <t>CUST11924</t>
  </si>
  <si>
    <t>Janaki Ravel</t>
  </si>
  <si>
    <t>CUST11925</t>
  </si>
  <si>
    <t>Atharv Lad</t>
  </si>
  <si>
    <t>CUST11926</t>
  </si>
  <si>
    <t>Abhiram Soni</t>
  </si>
  <si>
    <t>CUST11927</t>
  </si>
  <si>
    <t>Brijesh Butala</t>
  </si>
  <si>
    <t>CUST11928</t>
  </si>
  <si>
    <t>Anvi Choudhry</t>
  </si>
  <si>
    <t>CUST11929</t>
  </si>
  <si>
    <t>Abdul Radhakrishnan</t>
  </si>
  <si>
    <t>CUST11932</t>
  </si>
  <si>
    <t>Abdul Aggarwal</t>
  </si>
  <si>
    <t>CUST11933</t>
  </si>
  <si>
    <t>Nilima Bhargava</t>
  </si>
  <si>
    <t>CUST11934</t>
  </si>
  <si>
    <t>Harish Sunder</t>
  </si>
  <si>
    <t>CUST11935</t>
  </si>
  <si>
    <t>Lohit Amble</t>
  </si>
  <si>
    <t>CUST11936</t>
  </si>
  <si>
    <t>Nikita Ganguly</t>
  </si>
  <si>
    <t>CUST11937</t>
  </si>
  <si>
    <t>Yachana Choudhry</t>
  </si>
  <si>
    <t>CUST11938</t>
  </si>
  <si>
    <t>Indali Edwin</t>
  </si>
  <si>
    <t>CUST11940</t>
  </si>
  <si>
    <t>Pratyush Gill</t>
  </si>
  <si>
    <t>CUST11941</t>
  </si>
  <si>
    <t>Bhanumati Arya</t>
  </si>
  <si>
    <t>CUST11942</t>
  </si>
  <si>
    <t>Urishilla Narain</t>
  </si>
  <si>
    <t>CUST11943</t>
  </si>
  <si>
    <t>Reyansh Parmar</t>
  </si>
  <si>
    <t>CUST11944</t>
  </si>
  <si>
    <t>Azad Agarwal</t>
  </si>
  <si>
    <t>CUST11949</t>
  </si>
  <si>
    <t>Dipta Hari</t>
  </si>
  <si>
    <t>CUST11950</t>
  </si>
  <si>
    <t>Saanvi Dhingra</t>
  </si>
  <si>
    <t>CUST11951</t>
  </si>
  <si>
    <t>Karan Amble</t>
  </si>
  <si>
    <t>CUST11952</t>
  </si>
  <si>
    <t>Bimala Dalal</t>
  </si>
  <si>
    <t>CUST11953</t>
  </si>
  <si>
    <t>Vrishti Baria</t>
  </si>
  <si>
    <t>CUST11955</t>
  </si>
  <si>
    <t>Anay Bora</t>
  </si>
  <si>
    <t>CUST11956</t>
  </si>
  <si>
    <t>Charita Chaudry</t>
  </si>
  <si>
    <t>CUST11958</t>
  </si>
  <si>
    <t>Faras Natarajan</t>
  </si>
  <si>
    <t>CUST11960</t>
  </si>
  <si>
    <t>Bhavna Singh</t>
  </si>
  <si>
    <t>CUST11961</t>
  </si>
  <si>
    <t>Suhani Mani</t>
  </si>
  <si>
    <t>CUST11962</t>
  </si>
  <si>
    <t>Balhaar Gill</t>
  </si>
  <si>
    <t>CUST11963</t>
  </si>
  <si>
    <t>Yashvi Kapoor</t>
  </si>
  <si>
    <t>CUST11964</t>
  </si>
  <si>
    <t>Lekha Kapadia</t>
  </si>
  <si>
    <t>CUST11966</t>
  </si>
  <si>
    <t>Ucchal D’Alia</t>
  </si>
  <si>
    <t>CUST11967</t>
  </si>
  <si>
    <t>Gunbir Kapadia</t>
  </si>
  <si>
    <t>CUST11971</t>
  </si>
  <si>
    <t>Kashish Mohan</t>
  </si>
  <si>
    <t>CUST11973</t>
  </si>
  <si>
    <t>Oni Sani</t>
  </si>
  <si>
    <t>CUST11974</t>
  </si>
  <si>
    <t>Chanchal Parmer</t>
  </si>
  <si>
    <t>CUST11977</t>
  </si>
  <si>
    <t>Lipika Narula</t>
  </si>
  <si>
    <t>CUST11978</t>
  </si>
  <si>
    <t>Tripti Khosla</t>
  </si>
  <si>
    <t>CUST11980</t>
  </si>
  <si>
    <t>Sachi Bassi</t>
  </si>
  <si>
    <t>CUST11981</t>
  </si>
  <si>
    <t>Mohini Nadkarni</t>
  </si>
  <si>
    <t>CUST11982</t>
  </si>
  <si>
    <t>Sachi Sachdeva</t>
  </si>
  <si>
    <t>CUST11983</t>
  </si>
  <si>
    <t>Udant Sahota</t>
  </si>
  <si>
    <t>CUST11985</t>
  </si>
  <si>
    <t>Ishita Kannan</t>
  </si>
  <si>
    <t>CUST11986</t>
  </si>
  <si>
    <t>Yauvani Mand</t>
  </si>
  <si>
    <t>CUST11987</t>
  </si>
  <si>
    <t>Varenya Rastogi</t>
  </si>
  <si>
    <t>CUST11988</t>
  </si>
  <si>
    <t>Mitali Merchant</t>
  </si>
  <si>
    <t>CUST11989</t>
  </si>
  <si>
    <t>Charvi Sharaf</t>
  </si>
  <si>
    <t>CUST11992</t>
  </si>
  <si>
    <t>Lohit Krishna</t>
  </si>
  <si>
    <t>CUST11994</t>
  </si>
  <si>
    <t>Azad Mahal</t>
  </si>
  <si>
    <t>CUST11996</t>
  </si>
  <si>
    <t>Indrajit Narayanan</t>
  </si>
  <si>
    <t>CUST11998</t>
  </si>
  <si>
    <t>Falak Warrior</t>
  </si>
  <si>
    <t>CUST11999</t>
  </si>
  <si>
    <t>Divya Shanker</t>
  </si>
  <si>
    <t>CUST12000</t>
  </si>
  <si>
    <t>Ayush Rajagopalan</t>
  </si>
  <si>
    <t>CUST12003</t>
  </si>
  <si>
    <t>Jyoti Sethi</t>
  </si>
  <si>
    <t>CUST12005</t>
  </si>
  <si>
    <t>Maanas Nigam</t>
  </si>
  <si>
    <t>CUST12006</t>
  </si>
  <si>
    <t>Jagrati Golla</t>
  </si>
  <si>
    <t>CUST12007</t>
  </si>
  <si>
    <t>Fitan Nagy</t>
  </si>
  <si>
    <t>CUST12008</t>
  </si>
  <si>
    <t>Lila Kara</t>
  </si>
  <si>
    <t>CUST12009</t>
  </si>
  <si>
    <t>Ati Bahri</t>
  </si>
  <si>
    <t>CUST12010</t>
  </si>
  <si>
    <t>Radhika Ramanathan</t>
  </si>
  <si>
    <t>CUST12011</t>
  </si>
  <si>
    <t>Gautam Savant</t>
  </si>
  <si>
    <t>CUST12012</t>
  </si>
  <si>
    <t>Hardik Sunder</t>
  </si>
  <si>
    <t>CUST12013</t>
  </si>
  <si>
    <t>Naksh Dewan</t>
  </si>
  <si>
    <t>CUST12014</t>
  </si>
  <si>
    <t>Avi Mittal</t>
  </si>
  <si>
    <t>CUST12016</t>
  </si>
  <si>
    <t>Jagdish Parmer</t>
  </si>
  <si>
    <t>CUST12020</t>
  </si>
  <si>
    <t>Isha Bali</t>
  </si>
  <si>
    <t>CUST12022</t>
  </si>
  <si>
    <t>Xiti Bath</t>
  </si>
  <si>
    <t>CUST12023</t>
  </si>
  <si>
    <t>Ishita Amble</t>
  </si>
  <si>
    <t>CUST12024</t>
  </si>
  <si>
    <t>Matthew Bath</t>
  </si>
  <si>
    <t>CUST12026</t>
  </si>
  <si>
    <t>Wriddhish Kohli</t>
  </si>
  <si>
    <t>CUST12027</t>
  </si>
  <si>
    <t>Kashvi Kara</t>
  </si>
  <si>
    <t>CUST12028</t>
  </si>
  <si>
    <t>Vidhi Chad</t>
  </si>
  <si>
    <t>CUST12032</t>
  </si>
  <si>
    <t>Qarin Oak</t>
  </si>
  <si>
    <t>CUST12033</t>
  </si>
  <si>
    <t>Avni Tailor</t>
  </si>
  <si>
    <t>CUST12034</t>
  </si>
  <si>
    <t>Yoshita Pillay</t>
  </si>
  <si>
    <t>CUST12035</t>
  </si>
  <si>
    <t>Dayamai Agate</t>
  </si>
  <si>
    <t>CUST12038</t>
  </si>
  <si>
    <t>Laban Kaur</t>
  </si>
  <si>
    <t>CUST12039</t>
  </si>
  <si>
    <t>Lekha Sidhu</t>
  </si>
  <si>
    <t>CUST12040</t>
  </si>
  <si>
    <t>Faqid Mane</t>
  </si>
  <si>
    <t>CUST12041</t>
  </si>
  <si>
    <t>Krisha Mann</t>
  </si>
  <si>
    <t>CUST12042</t>
  </si>
  <si>
    <t>Bhavna Konda</t>
  </si>
  <si>
    <t>CUST12044</t>
  </si>
  <si>
    <t>Ira Hayre</t>
  </si>
  <si>
    <t>CUST12046</t>
  </si>
  <si>
    <t>Priya Salvi</t>
  </si>
  <si>
    <t>CUST12047</t>
  </si>
  <si>
    <t>Harini Bhardwaj</t>
  </si>
  <si>
    <t>CUST12048</t>
  </si>
  <si>
    <t>Peter Sinha</t>
  </si>
  <si>
    <t>CUST12051</t>
  </si>
  <si>
    <t>Vansha Bhakta</t>
  </si>
  <si>
    <t>CUST12053</t>
  </si>
  <si>
    <t>Kevin Korpal</t>
  </si>
  <si>
    <t>CUST12054</t>
  </si>
  <si>
    <t>Ishaan Raman</t>
  </si>
  <si>
    <t>CUST12055</t>
  </si>
  <si>
    <t>Riya Bajwa</t>
  </si>
  <si>
    <t>CUST12060</t>
  </si>
  <si>
    <t>Nachiket Bora</t>
  </si>
  <si>
    <t>CUST12061</t>
  </si>
  <si>
    <t>Kritika Varughese</t>
  </si>
  <si>
    <t>CUST12062</t>
  </si>
  <si>
    <t>Yauvani Pillai</t>
  </si>
  <si>
    <t>CUST12063</t>
  </si>
  <si>
    <t>Thomas Tank</t>
  </si>
  <si>
    <t>CUST12065</t>
  </si>
  <si>
    <t>Devika Hans</t>
  </si>
  <si>
    <t>CUST12067</t>
  </si>
  <si>
    <t>Sudiksha Nayar</t>
  </si>
  <si>
    <t>CUST12068</t>
  </si>
  <si>
    <t>Manthan Kohli</t>
  </si>
  <si>
    <t>CUST12069</t>
  </si>
  <si>
    <t>Sarthak Dhar</t>
  </si>
  <si>
    <t>CUST12070</t>
  </si>
  <si>
    <t>Rajeshri Padmanabhan</t>
  </si>
  <si>
    <t>CUST12072</t>
  </si>
  <si>
    <t>Varenya Wason</t>
  </si>
  <si>
    <t>CUST12076</t>
  </si>
  <si>
    <t>Liam Barman</t>
  </si>
  <si>
    <t>CUST12079</t>
  </si>
  <si>
    <t>Priya Ramaswamy</t>
  </si>
  <si>
    <t>CUST12082</t>
  </si>
  <si>
    <t>Maanas Sura</t>
  </si>
  <si>
    <t>CUST12083</t>
  </si>
  <si>
    <t>Ati Mutti</t>
  </si>
  <si>
    <t>CUST12084</t>
  </si>
  <si>
    <t>Thomas Kothari</t>
  </si>
  <si>
    <t>CUST12086</t>
  </si>
  <si>
    <t>Libni Singh</t>
  </si>
  <si>
    <t>CUST12087</t>
  </si>
  <si>
    <t>Abha Wadhwa</t>
  </si>
  <si>
    <t>CUST12089</t>
  </si>
  <si>
    <t>Nathaniel Gala</t>
  </si>
  <si>
    <t>CUST12091</t>
  </si>
  <si>
    <t>Anthony Mohanty</t>
  </si>
  <si>
    <t>CUST12092</t>
  </si>
  <si>
    <t>Lakshit Murty</t>
  </si>
  <si>
    <t>CUST12093</t>
  </si>
  <si>
    <t>Odika Dayal</t>
  </si>
  <si>
    <t>CUST12094</t>
  </si>
  <si>
    <t>Eta Rajagopal</t>
  </si>
  <si>
    <t>CUST12098</t>
  </si>
  <si>
    <t>Vihaan Nagarajan</t>
  </si>
  <si>
    <t>CUST12100</t>
  </si>
  <si>
    <t>Amruta Devi</t>
  </si>
  <si>
    <t>CUST12101</t>
  </si>
  <si>
    <t>Karan Choudhary</t>
  </si>
  <si>
    <t>CUST12103</t>
  </si>
  <si>
    <t>Quincy Din</t>
  </si>
  <si>
    <t>CUST12105</t>
  </si>
  <si>
    <t>Abeer Mangat</t>
  </si>
  <si>
    <t>CUST12106</t>
  </si>
  <si>
    <t>Waida Sheth</t>
  </si>
  <si>
    <t>CUST12107</t>
  </si>
  <si>
    <t>Kashvi Dada</t>
  </si>
  <si>
    <t>CUST12109</t>
  </si>
  <si>
    <t>Samar Karpe</t>
  </si>
  <si>
    <t>CUST12110</t>
  </si>
  <si>
    <t>Girik Master</t>
  </si>
  <si>
    <t>CUST12111</t>
  </si>
  <si>
    <t>Maanas Kibe</t>
  </si>
  <si>
    <t>CUST12112</t>
  </si>
  <si>
    <t>Sai Dugal</t>
  </si>
  <si>
    <t>CUST12113</t>
  </si>
  <si>
    <t>Anamika Nadig</t>
  </si>
  <si>
    <t>CUST12116</t>
  </si>
  <si>
    <t>Ronith Ray</t>
  </si>
  <si>
    <t>CUST12117</t>
  </si>
  <si>
    <t>Logan Venkatesh</t>
  </si>
  <si>
    <t>CUST12118</t>
  </si>
  <si>
    <t>Sai Agrawal</t>
  </si>
  <si>
    <t>CUST12119</t>
  </si>
  <si>
    <t>Ekalinga Devi</t>
  </si>
  <si>
    <t>CUST12120</t>
  </si>
  <si>
    <t>Avi Bawa</t>
  </si>
  <si>
    <t>CUST12121</t>
  </si>
  <si>
    <t>Yahvi Loyal</t>
  </si>
  <si>
    <t>CUST12124</t>
  </si>
  <si>
    <t>Siya Raj</t>
  </si>
  <si>
    <t>CUST12125</t>
  </si>
  <si>
    <t>Yashodhara Ganesan</t>
  </si>
  <si>
    <t>CUST12126</t>
  </si>
  <si>
    <t>Wishi Chada</t>
  </si>
  <si>
    <t>CUST12127</t>
  </si>
  <si>
    <t>Lakshmi Anand</t>
  </si>
  <si>
    <t>CUST12135</t>
  </si>
  <si>
    <t>Garima Manne</t>
  </si>
  <si>
    <t>CUST12136</t>
  </si>
  <si>
    <t>Imaran Soman</t>
  </si>
  <si>
    <t>CUST12137</t>
  </si>
  <si>
    <t>Darpan Zachariah</t>
  </si>
  <si>
    <t>CUST12138</t>
  </si>
  <si>
    <t>Tarak Viswanathan</t>
  </si>
  <si>
    <t>CUST12139</t>
  </si>
  <si>
    <t>Bhavika Kumer</t>
  </si>
  <si>
    <t>CUST12140</t>
  </si>
  <si>
    <t>Darsh Manda</t>
  </si>
  <si>
    <t>CUST12141</t>
  </si>
  <si>
    <t>Anita Khurana</t>
  </si>
  <si>
    <t>CUST12142</t>
  </si>
  <si>
    <t>Ijaya Ravi</t>
  </si>
  <si>
    <t>CUST12143</t>
  </si>
  <si>
    <t>Yashodhara Oak</t>
  </si>
  <si>
    <t>CUST12145</t>
  </si>
  <si>
    <t>Harshil Maharaj</t>
  </si>
  <si>
    <t>CUST12146</t>
  </si>
  <si>
    <t>Vansha Mukherjee</t>
  </si>
  <si>
    <t>CUST12147</t>
  </si>
  <si>
    <t>Ekaja Pandey</t>
  </si>
  <si>
    <t>CUST12149</t>
  </si>
  <si>
    <t>Harshil Rau</t>
  </si>
  <si>
    <t>CUST12150</t>
  </si>
  <si>
    <t>Lakshmi Manda</t>
  </si>
  <si>
    <t>CUST12151</t>
  </si>
  <si>
    <t>Imaran Sur</t>
  </si>
  <si>
    <t>CUST12153</t>
  </si>
  <si>
    <t>Baljiwan Dubey</t>
  </si>
  <si>
    <t>CUST12154</t>
  </si>
  <si>
    <t>Harshil Ravel</t>
  </si>
  <si>
    <t>CUST12155</t>
  </si>
  <si>
    <t>Veda Chauhan</t>
  </si>
  <si>
    <t>CUST12156</t>
  </si>
  <si>
    <t>Girik Chhabra</t>
  </si>
  <si>
    <t>CUST12157</t>
  </si>
  <si>
    <t>Zaitra Ramachandran</t>
  </si>
  <si>
    <t>CUST12158</t>
  </si>
  <si>
    <t>Zansi Sami</t>
  </si>
  <si>
    <t>CUST12159</t>
  </si>
  <si>
    <t>Frederick Singhal</t>
  </si>
  <si>
    <t>CUST12161</t>
  </si>
  <si>
    <t>Rushil Dutta</t>
  </si>
  <si>
    <t>CUST12162</t>
  </si>
  <si>
    <t>Dominic Soni</t>
  </si>
  <si>
    <t>CUST12163</t>
  </si>
  <si>
    <t>Ekani Bala</t>
  </si>
  <si>
    <t>CUST12164</t>
  </si>
  <si>
    <t>Sarthak Prasad</t>
  </si>
  <si>
    <t>CUST12165</t>
  </si>
  <si>
    <t>Aadhya Parikh</t>
  </si>
  <si>
    <t>CUST12166</t>
  </si>
  <si>
    <t>Ijaya Sami</t>
  </si>
  <si>
    <t>CUST12167</t>
  </si>
  <si>
    <t>Ria Doctor</t>
  </si>
  <si>
    <t>CUST12169</t>
  </si>
  <si>
    <t>Yug Upadhyay</t>
  </si>
  <si>
    <t>CUST12171</t>
  </si>
  <si>
    <t>Mugdha Dhar</t>
  </si>
  <si>
    <t>CUST12172</t>
  </si>
  <si>
    <t>Upadhriti Subramaniam</t>
  </si>
  <si>
    <t>CUST12173</t>
  </si>
  <si>
    <t>Caleb Bhavsar</t>
  </si>
  <si>
    <t>CUST12175</t>
  </si>
  <si>
    <t>Vedhika Joshi</t>
  </si>
  <si>
    <t>CUST12178</t>
  </si>
  <si>
    <t>Nakul Shere</t>
  </si>
  <si>
    <t>CUST12179</t>
  </si>
  <si>
    <t>Varenya Rajagopalan</t>
  </si>
  <si>
    <t>CUST12180</t>
  </si>
  <si>
    <t>Tristan Kumer</t>
  </si>
  <si>
    <t>CUST12182</t>
  </si>
  <si>
    <t>Nitesh Nagarajan</t>
  </si>
  <si>
    <t>CUST12184</t>
  </si>
  <si>
    <t>Pooja Chhabra</t>
  </si>
  <si>
    <t>CUST12186</t>
  </si>
  <si>
    <t>Abhimanyu Wason</t>
  </si>
  <si>
    <t>CUST12187</t>
  </si>
  <si>
    <t>Jeremiah Anand</t>
  </si>
  <si>
    <t>CUST12188</t>
  </si>
  <si>
    <t>Udarsh Ganesan</t>
  </si>
  <si>
    <t>CUST12189</t>
  </si>
  <si>
    <t>Vaishnavi Singh</t>
  </si>
  <si>
    <t>CUST12190</t>
  </si>
  <si>
    <t>Jack Dara</t>
  </si>
  <si>
    <t>CUST12191</t>
  </si>
  <si>
    <t>Logan Nagar</t>
  </si>
  <si>
    <t>CUST12192</t>
  </si>
  <si>
    <t>Vasana Thaman</t>
  </si>
  <si>
    <t>CUST12193</t>
  </si>
  <si>
    <t>Rushil Agarwal</t>
  </si>
  <si>
    <t>CUST12194</t>
  </si>
  <si>
    <t>Abhiram Savant</t>
  </si>
  <si>
    <t>CUST12195</t>
  </si>
  <si>
    <t>Madhav Bora</t>
  </si>
  <si>
    <t>CUST12196</t>
  </si>
  <si>
    <t>Lohit Mallick</t>
  </si>
  <si>
    <t>CUST12197</t>
  </si>
  <si>
    <t>Rishi Merchant</t>
  </si>
  <si>
    <t>CUST12200</t>
  </si>
  <si>
    <t>Upasna Chandra</t>
  </si>
  <si>
    <t>CUST12201</t>
  </si>
  <si>
    <t>Jai Soman</t>
  </si>
  <si>
    <t>CUST12202</t>
  </si>
  <si>
    <t>Krisha Patla</t>
  </si>
  <si>
    <t>CUST12203</t>
  </si>
  <si>
    <t>Inaya Rastogi</t>
  </si>
  <si>
    <t>CUST12204</t>
  </si>
  <si>
    <t>Tamanna Ray</t>
  </si>
  <si>
    <t>CUST12205</t>
  </si>
  <si>
    <t>Banjeet Purohit</t>
  </si>
  <si>
    <t>CUST12207</t>
  </si>
  <si>
    <t>Amol Badal</t>
  </si>
  <si>
    <t>CUST12208</t>
  </si>
  <si>
    <t>Max Edwin</t>
  </si>
  <si>
    <t>CUST12209</t>
  </si>
  <si>
    <t>Lakshit Raghavan</t>
  </si>
  <si>
    <t>CUST12210</t>
  </si>
  <si>
    <t>Rohan Shanker</t>
  </si>
  <si>
    <t>CUST12211</t>
  </si>
  <si>
    <t>Qabil Datta</t>
  </si>
  <si>
    <t>CUST12212</t>
  </si>
  <si>
    <t>Faqid Kuruvilla</t>
  </si>
  <si>
    <t>CUST12214</t>
  </si>
  <si>
    <t>Janaki Mane</t>
  </si>
  <si>
    <t>CUST12215</t>
  </si>
  <si>
    <t>Yagnesh Sama</t>
  </si>
  <si>
    <t>CUST12216</t>
  </si>
  <si>
    <t>Ishaan Natt</t>
  </si>
  <si>
    <t>CUST12218</t>
  </si>
  <si>
    <t>Baljiwan Char</t>
  </si>
  <si>
    <t>CUST12220</t>
  </si>
  <si>
    <t>Oni Andra</t>
  </si>
  <si>
    <t>CUST12221</t>
  </si>
  <si>
    <t>Yamini Bali</t>
  </si>
  <si>
    <t>CUST12222</t>
  </si>
  <si>
    <t>Nandini Palla</t>
  </si>
  <si>
    <t>CUST12225</t>
  </si>
  <si>
    <t>Eiravati Mani</t>
  </si>
  <si>
    <t>CUST12226</t>
  </si>
  <si>
    <t>Ishita Swamy</t>
  </si>
  <si>
    <t>CUST12227</t>
  </si>
  <si>
    <t>Rachit Chokshi</t>
  </si>
  <si>
    <t>CUST12228</t>
  </si>
  <si>
    <t>Neha Sodhi</t>
  </si>
  <si>
    <t>CUST12229</t>
  </si>
  <si>
    <t>Zayyan Rajagopalan</t>
  </si>
  <si>
    <t>CUST12230</t>
  </si>
  <si>
    <t>Yashasvi Sachdev</t>
  </si>
  <si>
    <t>CUST12231</t>
  </si>
  <si>
    <t>Bhanumati Khatri</t>
  </si>
  <si>
    <t>CUST12232</t>
  </si>
  <si>
    <t>Arin Johal</t>
  </si>
  <si>
    <t>CUST12234</t>
  </si>
  <si>
    <t>Pallavi Patla</t>
  </si>
  <si>
    <t>CUST12236</t>
  </si>
  <si>
    <t>Maya Yohannan</t>
  </si>
  <si>
    <t>CUST12237</t>
  </si>
  <si>
    <t>CUST12238</t>
  </si>
  <si>
    <t>Kabir Mannan</t>
  </si>
  <si>
    <t>CUST12240</t>
  </si>
  <si>
    <t>Ansh Raman</t>
  </si>
  <si>
    <t>CUST12241</t>
  </si>
  <si>
    <t>Gabriel Modi</t>
  </si>
  <si>
    <t>CUST12242</t>
  </si>
  <si>
    <t>Anay Nagarajan</t>
  </si>
  <si>
    <t>CUST12244</t>
  </si>
  <si>
    <t>Sathvik Dhar</t>
  </si>
  <si>
    <t>CUST12245</t>
  </si>
  <si>
    <t>Ishwar Rattan</t>
  </si>
  <si>
    <t>CUST12246</t>
  </si>
  <si>
    <t>Dakshesh Hora</t>
  </si>
  <si>
    <t>CUST12247</t>
  </si>
  <si>
    <t>Ekaja Salvi</t>
  </si>
  <si>
    <t>CUST12248</t>
  </si>
  <si>
    <t>Lakshmi Iyer</t>
  </si>
  <si>
    <t>CUST12249</t>
  </si>
  <si>
    <t>Gaurav Bhardwaj</t>
  </si>
  <si>
    <t>CUST12251</t>
  </si>
  <si>
    <t>Dominic Sawhney</t>
  </si>
  <si>
    <t>CUST12252</t>
  </si>
  <si>
    <t>Aarush Mukherjee</t>
  </si>
  <si>
    <t>CUST12253</t>
  </si>
  <si>
    <t>Oscar Vyas</t>
  </si>
  <si>
    <t>CUST12254</t>
  </si>
  <si>
    <t>Gautami Mallick</t>
  </si>
  <si>
    <t>CUST12256</t>
  </si>
  <si>
    <t>Victor Bawa</t>
  </si>
  <si>
    <t>CUST12260</t>
  </si>
  <si>
    <t>Aryan Vala</t>
  </si>
  <si>
    <t>CUST12263</t>
  </si>
  <si>
    <t>Chavvi Shanker</t>
  </si>
  <si>
    <t>CUST12264</t>
  </si>
  <si>
    <t>Tanvi Aggarwal</t>
  </si>
  <si>
    <t>CUST12267</t>
  </si>
  <si>
    <t>Yash Anand</t>
  </si>
  <si>
    <t>CUST12269</t>
  </si>
  <si>
    <t>Yahvi Mannan</t>
  </si>
  <si>
    <t>CUST12270</t>
  </si>
  <si>
    <t>Girindra Dash</t>
  </si>
  <si>
    <t>CUST12271</t>
  </si>
  <si>
    <t>Logan Sami</t>
  </si>
  <si>
    <t>CUST12274</t>
  </si>
  <si>
    <t>Vedika Sane</t>
  </si>
  <si>
    <t>CUST12275</t>
  </si>
  <si>
    <t>Guneet Upadhyay</t>
  </si>
  <si>
    <t>CUST12276</t>
  </si>
  <si>
    <t>Varenya Rao</t>
  </si>
  <si>
    <t>CUST12277</t>
  </si>
  <si>
    <t>Tarak Rege</t>
  </si>
  <si>
    <t>CUST12278</t>
  </si>
  <si>
    <t>Rachana Vora</t>
  </si>
  <si>
    <t>CUST12279</t>
  </si>
  <si>
    <t>Aryan Chahal</t>
  </si>
  <si>
    <t>CUST12280</t>
  </si>
  <si>
    <t>Neel Sharaf</t>
  </si>
  <si>
    <t>CUST12281</t>
  </si>
  <si>
    <t>Orinder Dutt</t>
  </si>
  <si>
    <t>CUST12282</t>
  </si>
  <si>
    <t>Pavani Sankaran</t>
  </si>
  <si>
    <t>CUST12284</t>
  </si>
  <si>
    <t>Robert Sem</t>
  </si>
  <si>
    <t>CUST12286</t>
  </si>
  <si>
    <t>Omkaar Grover</t>
  </si>
  <si>
    <t>CUST12290</t>
  </si>
  <si>
    <t>Vansha Srinivasan</t>
  </si>
  <si>
    <t>CUST12291</t>
  </si>
  <si>
    <t>Max Saraf</t>
  </si>
  <si>
    <t>CUST12293</t>
  </si>
  <si>
    <t>Aryan Guha</t>
  </si>
  <si>
    <t>CUST12294</t>
  </si>
  <si>
    <t>Aryan Nadig</t>
  </si>
  <si>
    <t>CUST12295</t>
  </si>
  <si>
    <t>Elijah Mannan</t>
  </si>
  <si>
    <t>CUST12296</t>
  </si>
  <si>
    <t>Ridhi Chopra</t>
  </si>
  <si>
    <t>CUST12299</t>
  </si>
  <si>
    <t>Meghana Panchal</t>
  </si>
  <si>
    <t>CUST12300</t>
  </si>
  <si>
    <t>Ridhi Buch</t>
  </si>
  <si>
    <t>CUST12301</t>
  </si>
  <si>
    <t>Darika Vora</t>
  </si>
  <si>
    <t>CUST12303</t>
  </si>
  <si>
    <t>Caleb Agrawal</t>
  </si>
  <si>
    <t>CUST12304</t>
  </si>
  <si>
    <t>Adweta Madan</t>
  </si>
  <si>
    <t>CUST12305</t>
  </si>
  <si>
    <t>Sanya Swamy</t>
  </si>
  <si>
    <t>CUST12306</t>
  </si>
  <si>
    <t>Ubika Bawa</t>
  </si>
  <si>
    <t>CUST12307</t>
  </si>
  <si>
    <t>Anay Dhaliwal</t>
  </si>
  <si>
    <t>CUST12308</t>
  </si>
  <si>
    <t>Andrew Dasgupta</t>
  </si>
  <si>
    <t>CUST12310</t>
  </si>
  <si>
    <t>Devansh Tripathi</t>
  </si>
  <si>
    <t>CUST12311</t>
  </si>
  <si>
    <t>Balendra Tak</t>
  </si>
  <si>
    <t>CUST12312</t>
  </si>
  <si>
    <t>Onveer Bajaj</t>
  </si>
  <si>
    <t>CUST12314</t>
  </si>
  <si>
    <t>Neel Karan</t>
  </si>
  <si>
    <t>CUST12315</t>
  </si>
  <si>
    <t>Nikita Kade</t>
  </si>
  <si>
    <t>CUST12316</t>
  </si>
  <si>
    <t>Amol Rajagopalan</t>
  </si>
  <si>
    <t>CUST12319</t>
  </si>
  <si>
    <t>Advika Gera</t>
  </si>
  <si>
    <t>CUST12320</t>
  </si>
  <si>
    <t>Pallavi Dewan</t>
  </si>
  <si>
    <t>CUST12321</t>
  </si>
  <si>
    <t>Siya Patla</t>
  </si>
  <si>
    <t>CUST12324</t>
  </si>
  <si>
    <t>Aradhana Mody</t>
  </si>
  <si>
    <t>CUST12325</t>
  </si>
  <si>
    <t>Jhalak Reddy</t>
  </si>
  <si>
    <t>CUST12327</t>
  </si>
  <si>
    <t>Waida Joshi</t>
  </si>
  <si>
    <t>CUST12328</t>
  </si>
  <si>
    <t>Daksha Kulkarni</t>
  </si>
  <si>
    <t>CUST12330</t>
  </si>
  <si>
    <t>Dominic Mand</t>
  </si>
  <si>
    <t>CUST12331</t>
  </si>
  <si>
    <t>Pushti Yadav</t>
  </si>
  <si>
    <t>CUST12332</t>
  </si>
  <si>
    <t>Irya Varkey</t>
  </si>
  <si>
    <t>CUST12335</t>
  </si>
  <si>
    <t>Pushti Dutta</t>
  </si>
  <si>
    <t>CUST12338</t>
  </si>
  <si>
    <t>Wridesh Dube</t>
  </si>
  <si>
    <t>CUST12339</t>
  </si>
  <si>
    <t>Triveni Solanki</t>
  </si>
  <si>
    <t>CUST12340</t>
  </si>
  <si>
    <t>Urishilla Agrawal</t>
  </si>
  <si>
    <t>CUST12341</t>
  </si>
  <si>
    <t>Yagnesh Dutt</t>
  </si>
  <si>
    <t>CUST12342</t>
  </si>
  <si>
    <t>Tejas Krishnamurthy</t>
  </si>
  <si>
    <t>CUST12344</t>
  </si>
  <si>
    <t>Azad Parekh</t>
  </si>
  <si>
    <t>CUST12346</t>
  </si>
  <si>
    <t>Jalsa Balay</t>
  </si>
  <si>
    <t>CUST12355</t>
  </si>
  <si>
    <t>Oviya Devi</t>
  </si>
  <si>
    <t>CUST12356</t>
  </si>
  <si>
    <t>Indali Choudhary</t>
  </si>
  <si>
    <t>CUST12357</t>
  </si>
  <si>
    <t>Balvan Deo</t>
  </si>
  <si>
    <t>CUST12358</t>
  </si>
  <si>
    <t>Charita Oza</t>
  </si>
  <si>
    <t>CUST12359</t>
  </si>
  <si>
    <t>Qasim Chandra</t>
  </si>
  <si>
    <t>CUST12360</t>
  </si>
  <si>
    <t>Shaurya Oza</t>
  </si>
  <si>
    <t>CUST12361</t>
  </si>
  <si>
    <t>Dhruv Dewan</t>
  </si>
  <si>
    <t>CUST12363</t>
  </si>
  <si>
    <t>Vyanjana Narayanan</t>
  </si>
  <si>
    <t>CUST12365</t>
  </si>
  <si>
    <t>Lucky Khare</t>
  </si>
  <si>
    <t>CUST12366</t>
  </si>
  <si>
    <t>Ayush Maharaj</t>
  </si>
  <si>
    <t>CUST12367</t>
  </si>
  <si>
    <t>Nandini Parmar</t>
  </si>
  <si>
    <t>CUST12368</t>
  </si>
  <si>
    <t>Triveni Lalla</t>
  </si>
  <si>
    <t>CUST12369</t>
  </si>
  <si>
    <t>Radha Rai</t>
  </si>
  <si>
    <t>CUST12370</t>
  </si>
  <si>
    <t>Hemangini Choudhry</t>
  </si>
  <si>
    <t>CUST12371</t>
  </si>
  <si>
    <t>Januja Tandon</t>
  </si>
  <si>
    <t>CUST12372</t>
  </si>
  <si>
    <t>Reyansh Palla</t>
  </si>
  <si>
    <t>CUST12374</t>
  </si>
  <si>
    <t>Aashi Sankar</t>
  </si>
  <si>
    <t>CUST12375</t>
  </si>
  <si>
    <t>Faris Kata</t>
  </si>
  <si>
    <t>CUST12376</t>
  </si>
  <si>
    <t>Girindra Brar</t>
  </si>
  <si>
    <t>CUST12377</t>
  </si>
  <si>
    <t>Daksha Padmanabhan</t>
  </si>
  <si>
    <t>CUST12378</t>
  </si>
  <si>
    <t>Dhriti Kannan</t>
  </si>
  <si>
    <t>CUST12379</t>
  </si>
  <si>
    <t>Azad Sahni</t>
  </si>
  <si>
    <t>CUST12380</t>
  </si>
  <si>
    <t>Urvi Grewal</t>
  </si>
  <si>
    <t>CUST12381</t>
  </si>
  <si>
    <t>Ojasvi Shah</t>
  </si>
  <si>
    <t>CUST12383</t>
  </si>
  <si>
    <t>Lekha Chandran</t>
  </si>
  <si>
    <t>CUST12389</t>
  </si>
  <si>
    <t>Yasti Sathe</t>
  </si>
  <si>
    <t>CUST12390</t>
  </si>
  <si>
    <t>Nathaniel Atwal</t>
  </si>
  <si>
    <t>CUST12392</t>
  </si>
  <si>
    <t>Raagini Khosla</t>
  </si>
  <si>
    <t>CUST12393</t>
  </si>
  <si>
    <t>Wahab Nayar</t>
  </si>
  <si>
    <t>CUST12394</t>
  </si>
  <si>
    <t>Rajata Tak</t>
  </si>
  <si>
    <t>CUST12395</t>
  </si>
  <si>
    <t>Deepa Nayak</t>
  </si>
  <si>
    <t>CUST12396</t>
  </si>
  <si>
    <t>Forum Zacharia</t>
  </si>
  <si>
    <t>CUST12399</t>
  </si>
  <si>
    <t>Tanveer Mand</t>
  </si>
  <si>
    <t>CUST12400</t>
  </si>
  <si>
    <t>Balvan Morar</t>
  </si>
  <si>
    <t>CUST12401</t>
  </si>
  <si>
    <t>Gautam Manne</t>
  </si>
  <si>
    <t>CUST12402</t>
  </si>
  <si>
    <t>Dakshesh Dhillon</t>
  </si>
  <si>
    <t>CUST12407</t>
  </si>
  <si>
    <t>Urishilla Pathak</t>
  </si>
  <si>
    <t>CUST12408</t>
  </si>
  <si>
    <t>Riya Radhakrishnan</t>
  </si>
  <si>
    <t>CUST12410</t>
  </si>
  <si>
    <t>Garima Master</t>
  </si>
  <si>
    <t>CUST12411</t>
  </si>
  <si>
    <t>Bhavika Kuruvilla</t>
  </si>
  <si>
    <t>CUST12412</t>
  </si>
  <si>
    <t>Frederick Verma</t>
  </si>
  <si>
    <t>CUST12415</t>
  </si>
  <si>
    <t>Balvan Dugar</t>
  </si>
  <si>
    <t>CUST12416</t>
  </si>
  <si>
    <t>Veda Dani</t>
  </si>
  <si>
    <t>CUST12424</t>
  </si>
  <si>
    <t>Veer Dugal</t>
  </si>
  <si>
    <t>CUST12425</t>
  </si>
  <si>
    <t>Guneet Koshy</t>
  </si>
  <si>
    <t>CUST12426</t>
  </si>
  <si>
    <t>Faqid Nagy</t>
  </si>
  <si>
    <t>CUST12427</t>
  </si>
  <si>
    <t>Tejas Sharma</t>
  </si>
  <si>
    <t>CUST12428</t>
  </si>
  <si>
    <t>Veda Comar</t>
  </si>
  <si>
    <t>CUST12429</t>
  </si>
  <si>
    <t>Jagrati Devan</t>
  </si>
  <si>
    <t>CUST12431</t>
  </si>
  <si>
    <t>Brinda Pal</t>
  </si>
  <si>
    <t>CUST12432</t>
  </si>
  <si>
    <t>Kashvi Hegde</t>
  </si>
  <si>
    <t>CUST12434</t>
  </si>
  <si>
    <t>Charan Anne</t>
  </si>
  <si>
    <t>CUST12435</t>
  </si>
  <si>
    <t>Abeer Deep</t>
  </si>
  <si>
    <t>CUST12436</t>
  </si>
  <si>
    <t>Yagnesh Talwar</t>
  </si>
  <si>
    <t>CUST12437</t>
  </si>
  <si>
    <t>Tanay Mukherjee</t>
  </si>
  <si>
    <t>CUST12439</t>
  </si>
  <si>
    <t>Yahvi Ratta</t>
  </si>
  <si>
    <t>CUST12441</t>
  </si>
  <si>
    <t>Champak Magar</t>
  </si>
  <si>
    <t>CUST12442</t>
  </si>
  <si>
    <t>Samesh Mahajan</t>
  </si>
  <si>
    <t>CUST12443</t>
  </si>
  <si>
    <t>Tripti Pall</t>
  </si>
  <si>
    <t>CUST12444</t>
  </si>
  <si>
    <t>Ekapad Yadav</t>
  </si>
  <si>
    <t>CUST12445</t>
  </si>
  <si>
    <t>Wriddhish Samra</t>
  </si>
  <si>
    <t>CUST12446</t>
  </si>
  <si>
    <t>Chaitanya Borra</t>
  </si>
  <si>
    <t>CUST12448</t>
  </si>
  <si>
    <t>Ekbal Bava</t>
  </si>
  <si>
    <t>CUST12449</t>
  </si>
  <si>
    <t>Harish Kohli</t>
  </si>
  <si>
    <t>CUST12450</t>
  </si>
  <si>
    <t>Avni Prashad</t>
  </si>
  <si>
    <t>CUST12452</t>
  </si>
  <si>
    <t>Manthan Agate</t>
  </si>
  <si>
    <t>CUST12453</t>
  </si>
  <si>
    <t>Wahab Wason</t>
  </si>
  <si>
    <t>CUST12454</t>
  </si>
  <si>
    <t>Janaki Keer</t>
  </si>
  <si>
    <t>CUST12457</t>
  </si>
  <si>
    <t>Nirja Kapadia</t>
  </si>
  <si>
    <t>CUST12458</t>
  </si>
  <si>
    <t>Aditya Khanna</t>
  </si>
  <si>
    <t>CUST12460</t>
  </si>
  <si>
    <t>Advik Shukla</t>
  </si>
  <si>
    <t>CUST12461</t>
  </si>
  <si>
    <t>Vedika Sangha</t>
  </si>
  <si>
    <t>CUST12462</t>
  </si>
  <si>
    <t>Qarin Batra</t>
  </si>
  <si>
    <t>CUST12465</t>
  </si>
  <si>
    <t>Chandresh Som</t>
  </si>
  <si>
    <t>CUST12466</t>
  </si>
  <si>
    <t>Tanmayi Comar</t>
  </si>
  <si>
    <t>CUST12470</t>
  </si>
  <si>
    <t>Tara Ahuja</t>
  </si>
  <si>
    <t>CUST12471</t>
  </si>
  <si>
    <t>Faris Choudhary</t>
  </si>
  <si>
    <t>CUST12472</t>
  </si>
  <si>
    <t>Alka Modi</t>
  </si>
  <si>
    <t>CUST12474</t>
  </si>
  <si>
    <t>Urmi Dhar</t>
  </si>
  <si>
    <t>CUST12475</t>
  </si>
  <si>
    <t>Hemangini Nigam</t>
  </si>
  <si>
    <t>CUST12476</t>
  </si>
  <si>
    <t>Ishwar Grewal</t>
  </si>
  <si>
    <t>CUST12477</t>
  </si>
  <si>
    <t>Priya Tara</t>
  </si>
  <si>
    <t>CUST12478</t>
  </si>
  <si>
    <t>Warinder Sarna</t>
  </si>
  <si>
    <t>CUST12482</t>
  </si>
  <si>
    <t>Krish Ratti</t>
  </si>
  <si>
    <t>CUST12484</t>
  </si>
  <si>
    <t>Kashish Patla</t>
  </si>
  <si>
    <t>CUST12485</t>
  </si>
  <si>
    <t>Sarthak Shanker</t>
  </si>
  <si>
    <t>CUST12487</t>
  </si>
  <si>
    <t>Bhavini Batra</t>
  </si>
  <si>
    <t>CUST12488</t>
  </si>
  <si>
    <t>Logan Kalla</t>
  </si>
  <si>
    <t>CUST12489</t>
  </si>
  <si>
    <t>Lajita Biswas</t>
  </si>
  <si>
    <t>CUST12490</t>
  </si>
  <si>
    <t>Chameli Raman</t>
  </si>
  <si>
    <t>CUST12491</t>
  </si>
  <si>
    <t>Patrick Talwar</t>
  </si>
  <si>
    <t>CUST12496</t>
  </si>
  <si>
    <t>Kavya Grewal</t>
  </si>
  <si>
    <t>CUST12497</t>
  </si>
  <si>
    <t>Yasti Karan</t>
  </si>
  <si>
    <t>CUST12499</t>
  </si>
  <si>
    <t>Sarthak Sagar</t>
  </si>
  <si>
    <t>Mal</t>
  </si>
  <si>
    <t>souht</t>
  </si>
  <si>
    <t>males</t>
  </si>
  <si>
    <t>Wset</t>
  </si>
  <si>
    <t>females</t>
  </si>
  <si>
    <t>Age Group</t>
  </si>
  <si>
    <t>Risk Level</t>
  </si>
  <si>
    <t>Quarter</t>
  </si>
  <si>
    <t xml:space="preserve"> Month</t>
  </si>
  <si>
    <t xml:space="preserve"> Year</t>
  </si>
  <si>
    <t>Customer Category</t>
  </si>
  <si>
    <t>Health Risk Category</t>
  </si>
  <si>
    <t>Region + Occupation</t>
  </si>
  <si>
    <t>Row Labels</t>
  </si>
  <si>
    <t>Grand Total</t>
  </si>
  <si>
    <t>Count of customer_id</t>
  </si>
  <si>
    <t>Customer Distribution by Region</t>
  </si>
  <si>
    <t>Customer Distribution by Gender</t>
  </si>
  <si>
    <t>18-30</t>
  </si>
  <si>
    <t>31-45</t>
  </si>
  <si>
    <t>46-60</t>
  </si>
  <si>
    <t>60+</t>
  </si>
  <si>
    <t>Customer Distribution by Age Group</t>
  </si>
  <si>
    <t>Customer Distribution by Occupation</t>
  </si>
  <si>
    <t>Customer Distribution by Marital Status</t>
  </si>
  <si>
    <t>Average Risk Score by Region</t>
  </si>
  <si>
    <t>Average of risk_score</t>
  </si>
  <si>
    <t>Average Risk Score by Occupation</t>
  </si>
  <si>
    <t>Average Risk Score by Age Group</t>
  </si>
  <si>
    <t>Medium</t>
  </si>
  <si>
    <t>High</t>
  </si>
  <si>
    <t>Low</t>
  </si>
  <si>
    <t>Average Risk Score by Gender</t>
  </si>
  <si>
    <t>Smoking Status Distribution</t>
  </si>
  <si>
    <t>Pre-existing Illness Distribution</t>
  </si>
  <si>
    <t>Smoking Status by Region</t>
  </si>
  <si>
    <t>Column Labels</t>
  </si>
  <si>
    <t>Pre-existing Illness by Age Group</t>
  </si>
  <si>
    <t>Customer Registration Trend</t>
  </si>
  <si>
    <t>Risk Level Distribution</t>
  </si>
  <si>
    <t>Customer Demographic &amp; Risk Analysis</t>
  </si>
  <si>
    <t>Customer Distribution</t>
  </si>
  <si>
    <t>Occupation Analysis</t>
  </si>
  <si>
    <t>Regional Risk Analysis</t>
  </si>
  <si>
    <t>Age Analysis</t>
  </si>
  <si>
    <t>Smoking Analysis</t>
  </si>
  <si>
    <t>Customer Growth</t>
  </si>
  <si>
    <t>Risk Analysis</t>
  </si>
  <si>
    <t>Customer Demographic &amp; Risk Analysis Dashboard</t>
  </si>
  <si>
    <t>Dashboard Insights</t>
  </si>
  <si>
    <t>This dashboard transforms customer data into meaningful insights by highlighting who the customers are, where they are located, and how risk varies across different groups. It enables stakeholders to identify trends, compare customer segments, and make informed decisions for customer management and future business planning.</t>
  </si>
  <si>
    <t xml:space="preserve"> Customer Distribution</t>
  </si>
  <si>
    <t>1. The highest number of customers is from Central, while North-East has the lowest customer count.</t>
  </si>
  <si>
    <t>2. Male represent the largest share of the customer base.</t>
  </si>
  <si>
    <t>3. The 31-45 age group contains the highest number of customers.</t>
  </si>
  <si>
    <t>1. Retirement is the most common occupation among customers.</t>
  </si>
  <si>
    <t>2. Salaryied Customer has the highest average risk score, indicating a higher-risk customer segment.</t>
  </si>
  <si>
    <t xml:space="preserve">1. The average customer risk score is </t>
  </si>
  <si>
    <t>2. The Northern region with 0.51 has the highest average risk score which require closer monitoring.</t>
  </si>
  <si>
    <t>3. The 31-45 age group shows the highest average risk score.</t>
  </si>
  <si>
    <t>1. According to analysis, % of customers are smokers, while [YY]% are non-smokers.</t>
  </si>
  <si>
    <t>2. Central Region has the highest concentration of smokers.</t>
  </si>
  <si>
    <t>1. Customer registrations increased/decreased between 2018, 2019 &amp; 2020</t>
  </si>
  <si>
    <t>2. The highest number of customers joined in 2018.</t>
  </si>
  <si>
    <t>Overall Business Summary</t>
  </si>
  <si>
    <t>1. The customer base is concentrated in a few key regions.</t>
  </si>
  <si>
    <t>2. Risk levels vary across customer demographics and occupations.</t>
  </si>
  <si>
    <t>3.Smoking status is an important factor when analyzing customer segments.</t>
  </si>
  <si>
    <t>4. Customer acquisition trends can help evaluate business growth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</si>
</sst>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0" x14ac:knownFonts="1">
    <font>
      <sz val="11"/>
      <color theme="1"/>
      <name val="Calibri"/>
      <family val="2"/>
      <scheme val="minor"/>
    </font>
    <font>
      <b/>
      <sz val="11"/>
      <name val="Calibri"/>
      <family val="2"/>
    </font>
    <font>
      <b/>
      <sz val="11"/>
      <color theme="1"/>
      <name val="Calibri"/>
      <family val="2"/>
      <scheme val="minor"/>
    </font>
    <font>
      <b/>
      <sz val="12"/>
      <color theme="1"/>
      <name val="Calibri"/>
      <family val="2"/>
      <scheme val="minor"/>
    </font>
    <font>
      <b/>
      <sz val="22"/>
      <color theme="1"/>
      <name val="Calibri"/>
      <family val="2"/>
      <scheme val="minor"/>
    </font>
    <font>
      <b/>
      <sz val="18"/>
      <color theme="1"/>
      <name val="Calibri"/>
      <family val="2"/>
      <scheme val="minor"/>
    </font>
    <font>
      <b/>
      <sz val="14"/>
      <color theme="1"/>
      <name val="Calibri"/>
      <family val="2"/>
      <scheme val="minor"/>
    </font>
    <font>
      <b/>
      <sz val="26"/>
      <color theme="1"/>
      <name val="Calibri"/>
      <family val="2"/>
      <scheme val="minor"/>
    </font>
    <font>
      <sz val="12"/>
      <color theme="1"/>
      <name val="Calibri"/>
      <family val="2"/>
      <scheme val="minor"/>
    </font>
    <font>
      <sz val="14"/>
      <color theme="1"/>
      <name val="Calibri"/>
      <family val="2"/>
      <scheme val="minor"/>
    </font>
  </fonts>
  <fills count="9">
    <fill>
      <patternFill patternType="none"/>
    </fill>
    <fill>
      <patternFill patternType="gray125"/>
    </fill>
    <fill>
      <patternFill patternType="solid">
        <fgColor theme="5" tint="0.39997558519241921"/>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3">
    <xf numFmtId="0" fontId="0" fillId="0" borderId="0" xfId="0"/>
    <xf numFmtId="14" fontId="0" fillId="0" borderId="0" xfId="0" applyNumberFormat="1"/>
    <xf numFmtId="0" fontId="0" fillId="0" borderId="0" xfId="0" applyAlignment="1">
      <alignment horizontal="right"/>
    </xf>
    <xf numFmtId="0" fontId="1" fillId="0" borderId="1" xfId="0" applyFont="1" applyBorder="1" applyAlignment="1">
      <alignment horizontal="center" vertical="top"/>
    </xf>
    <xf numFmtId="164" fontId="0" fillId="0" borderId="0" xfId="0" applyNumberFormat="1"/>
    <xf numFmtId="0" fontId="0" fillId="3" borderId="0" xfId="0" applyFill="1"/>
    <xf numFmtId="0" fontId="5" fillId="3" borderId="0" xfId="0" applyFont="1" applyFill="1"/>
    <xf numFmtId="0" fontId="0" fillId="4" borderId="0" xfId="0" applyFill="1"/>
    <xf numFmtId="0" fontId="3" fillId="4" borderId="0" xfId="0" applyFont="1" applyFill="1"/>
    <xf numFmtId="0" fontId="0" fillId="4" borderId="5" xfId="0" applyFill="1" applyBorder="1"/>
    <xf numFmtId="0" fontId="0" fillId="4" borderId="6" xfId="0" applyFill="1" applyBorder="1"/>
    <xf numFmtId="0" fontId="0" fillId="4" borderId="7" xfId="0" applyFill="1" applyBorder="1" applyAlignment="1">
      <alignment horizontal="left"/>
    </xf>
    <xf numFmtId="0" fontId="0" fillId="4" borderId="8" xfId="0" applyFill="1" applyBorder="1"/>
    <xf numFmtId="0" fontId="0" fillId="4" borderId="9" xfId="0" applyFill="1" applyBorder="1" applyAlignment="1">
      <alignment horizontal="left"/>
    </xf>
    <xf numFmtId="0" fontId="0" fillId="4" borderId="11" xfId="0" applyFill="1" applyBorder="1"/>
    <xf numFmtId="0" fontId="0" fillId="4" borderId="7" xfId="0" applyFill="1" applyBorder="1"/>
    <xf numFmtId="0" fontId="0" fillId="6" borderId="0" xfId="0" applyFill="1"/>
    <xf numFmtId="0" fontId="8" fillId="6" borderId="0" xfId="0" applyFont="1" applyFill="1"/>
    <xf numFmtId="0" fontId="0" fillId="4" borderId="13" xfId="0" applyFill="1" applyBorder="1"/>
    <xf numFmtId="0" fontId="0" fillId="4" borderId="14" xfId="0" applyFill="1" applyBorder="1" applyAlignment="1">
      <alignment horizontal="left"/>
    </xf>
    <xf numFmtId="0" fontId="0" fillId="4" borderId="14" xfId="0" applyFill="1" applyBorder="1"/>
    <xf numFmtId="0" fontId="0" fillId="4" borderId="15" xfId="0" applyFill="1" applyBorder="1" applyAlignment="1">
      <alignment horizontal="left"/>
    </xf>
    <xf numFmtId="0" fontId="0" fillId="4" borderId="15" xfId="0" applyFill="1" applyBorder="1"/>
    <xf numFmtId="0" fontId="0" fillId="4" borderId="16" xfId="0" applyFill="1" applyBorder="1" applyAlignment="1">
      <alignment horizontal="left"/>
    </xf>
    <xf numFmtId="0" fontId="0" fillId="4" borderId="13" xfId="0" applyFill="1" applyBorder="1" applyAlignment="1">
      <alignment horizontal="left"/>
    </xf>
    <xf numFmtId="0" fontId="0" fillId="4" borderId="16" xfId="0" applyFill="1" applyBorder="1"/>
    <xf numFmtId="2" fontId="0" fillId="4" borderId="14" xfId="0" applyNumberFormat="1" applyFill="1" applyBorder="1"/>
    <xf numFmtId="2" fontId="0" fillId="4" borderId="15" xfId="0" applyNumberFormat="1" applyFill="1" applyBorder="1"/>
    <xf numFmtId="2" fontId="0" fillId="4" borderId="16" xfId="0" applyNumberFormat="1" applyFill="1" applyBorder="1"/>
    <xf numFmtId="0" fontId="0" fillId="4" borderId="2" xfId="0" applyFill="1" applyBorder="1"/>
    <xf numFmtId="0" fontId="0" fillId="4" borderId="3" xfId="0" applyFill="1" applyBorder="1"/>
    <xf numFmtId="0" fontId="0" fillId="4" borderId="9" xfId="0" applyFill="1" applyBorder="1"/>
    <xf numFmtId="0" fontId="0" fillId="4" borderId="12" xfId="0" applyFill="1" applyBorder="1"/>
    <xf numFmtId="0" fontId="0" fillId="4" borderId="10" xfId="0" applyFill="1" applyBorder="1"/>
    <xf numFmtId="0" fontId="8" fillId="6" borderId="0" xfId="0" applyFont="1" applyFill="1" applyAlignment="1">
      <alignment horizontal="left"/>
    </xf>
    <xf numFmtId="0" fontId="0" fillId="6" borderId="0" xfId="0" applyFill="1" applyAlignment="1">
      <alignment horizontal="left"/>
    </xf>
    <xf numFmtId="0" fontId="6" fillId="6" borderId="12" xfId="0" applyFont="1" applyFill="1" applyBorder="1" applyAlignment="1">
      <alignment horizontal="center"/>
    </xf>
    <xf numFmtId="0" fontId="0" fillId="6" borderId="12" xfId="0" applyFill="1" applyBorder="1" applyAlignment="1">
      <alignment horizontal="center"/>
    </xf>
    <xf numFmtId="0" fontId="7" fillId="7" borderId="0" xfId="0" applyFont="1" applyFill="1" applyAlignment="1">
      <alignment horizontal="center"/>
    </xf>
    <xf numFmtId="0" fontId="0" fillId="7" borderId="0" xfId="0" applyFill="1" applyAlignment="1">
      <alignment horizontal="center"/>
    </xf>
    <xf numFmtId="0" fontId="9" fillId="8" borderId="5" xfId="0" applyFont="1" applyFill="1" applyBorder="1" applyAlignment="1">
      <alignment horizontal="center" vertical="center" wrapText="1"/>
    </xf>
    <xf numFmtId="0" fontId="0" fillId="8" borderId="11" xfId="0" applyFill="1" applyBorder="1" applyAlignment="1">
      <alignment horizontal="center" vertical="center" wrapText="1"/>
    </xf>
    <xf numFmtId="0" fontId="0" fillId="8" borderId="6" xfId="0" applyFill="1" applyBorder="1" applyAlignment="1">
      <alignment horizontal="center" vertical="center" wrapText="1"/>
    </xf>
    <xf numFmtId="0" fontId="0" fillId="8" borderId="7" xfId="0" applyFill="1" applyBorder="1" applyAlignment="1">
      <alignment horizontal="center" vertical="center" wrapText="1"/>
    </xf>
    <xf numFmtId="0" fontId="0" fillId="8" borderId="0" xfId="0" applyFill="1" applyAlignment="1">
      <alignment horizontal="center" vertical="center" wrapText="1"/>
    </xf>
    <xf numFmtId="0" fontId="0" fillId="8" borderId="8" xfId="0" applyFill="1" applyBorder="1" applyAlignment="1">
      <alignment horizontal="center" vertical="center" wrapText="1"/>
    </xf>
    <xf numFmtId="0" fontId="0" fillId="8" borderId="9" xfId="0" applyFill="1" applyBorder="1" applyAlignment="1">
      <alignment horizontal="center" vertical="center" wrapText="1"/>
    </xf>
    <xf numFmtId="0" fontId="0" fillId="8" borderId="12" xfId="0" applyFill="1" applyBorder="1" applyAlignment="1">
      <alignment horizontal="center" vertical="center" wrapText="1"/>
    </xf>
    <xf numFmtId="0" fontId="0" fillId="8" borderId="10" xfId="0" applyFill="1" applyBorder="1" applyAlignment="1">
      <alignment horizontal="center" vertical="center" wrapText="1"/>
    </xf>
    <xf numFmtId="0" fontId="2" fillId="6" borderId="0" xfId="0" applyFont="1" applyFill="1" applyAlignment="1">
      <alignment horizontal="left"/>
    </xf>
    <xf numFmtId="0" fontId="4" fillId="5" borderId="0" xfId="0" applyFont="1" applyFill="1" applyAlignment="1">
      <alignment horizontal="center"/>
    </xf>
    <xf numFmtId="0" fontId="0" fillId="5" borderId="0" xfId="0" applyFill="1" applyAlignment="1">
      <alignment horizontal="center"/>
    </xf>
    <xf numFmtId="0" fontId="3" fillId="4" borderId="2" xfId="0" applyFont="1" applyFill="1" applyBorder="1" applyAlignment="1">
      <alignment horizontal="center"/>
    </xf>
    <xf numFmtId="0" fontId="0" fillId="4" borderId="3" xfId="0" applyFill="1" applyBorder="1" applyAlignment="1">
      <alignment horizontal="center"/>
    </xf>
    <xf numFmtId="0" fontId="3" fillId="4" borderId="3" xfId="0" applyFont="1" applyFill="1" applyBorder="1" applyAlignment="1">
      <alignment horizontal="center"/>
    </xf>
    <xf numFmtId="0" fontId="2" fillId="4" borderId="4" xfId="0" applyFont="1" applyFill="1" applyBorder="1" applyAlignment="1">
      <alignment horizontal="center"/>
    </xf>
    <xf numFmtId="0" fontId="2" fillId="4" borderId="3" xfId="0" applyFont="1" applyFill="1" applyBorder="1" applyAlignment="1">
      <alignment horizontal="center"/>
    </xf>
    <xf numFmtId="0" fontId="0" fillId="4" borderId="4" xfId="0" applyFill="1" applyBorder="1" applyAlignment="1">
      <alignment horizontal="center"/>
    </xf>
    <xf numFmtId="0" fontId="3" fillId="4" borderId="4" xfId="0" applyFont="1" applyFill="1" applyBorder="1" applyAlignment="1">
      <alignment horizontal="center"/>
    </xf>
    <xf numFmtId="0" fontId="4" fillId="2" borderId="0" xfId="0" applyFont="1" applyFill="1" applyAlignment="1">
      <alignment horizontal="center"/>
    </xf>
    <xf numFmtId="0" fontId="5" fillId="3" borderId="2" xfId="0" applyFont="1" applyFill="1" applyBorder="1" applyAlignment="1">
      <alignment horizontal="center"/>
    </xf>
    <xf numFmtId="0" fontId="0" fillId="3" borderId="4" xfId="0" applyFill="1" applyBorder="1" applyAlignment="1">
      <alignment horizontal="center"/>
    </xf>
    <xf numFmtId="0" fontId="0" fillId="3" borderId="3" xfId="0" applyFill="1" applyBorder="1" applyAlignment="1">
      <alignment horizontal="center"/>
    </xf>
  </cellXfs>
  <cellStyles count="1">
    <cellStyle name="Normal" xfId="0" builtinId="0"/>
  </cellStyles>
  <dxfs count="216">
    <dxf>
      <font>
        <b val="0"/>
        <i val="0"/>
      </font>
      <fill>
        <patternFill>
          <bgColor rgb="FFFF0000"/>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border>
        <left style="medium">
          <color indexed="64"/>
        </left>
        <right style="medium">
          <color indexed="64"/>
        </right>
        <top style="medium">
          <color indexed="64"/>
        </top>
        <bottom style="medium">
          <color indexed="64"/>
        </bottom>
      </border>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19" formatCode="dd/mm/yyyy"/>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[Customermaster_cleaned.xlsx]Pivot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50000"/>
                  </a:schemeClr>
                </a:solidFill>
              </a:rPr>
              <a:t>Customer Distribution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Analysis'!$C$9</c:f>
              <c:strCache>
                <c:ptCount val="1"/>
                <c:pt idx="0">
                  <c:v>Total</c:v>
                </c:pt>
              </c:strCache>
            </c:strRef>
          </c:tx>
          <c:spPr>
            <a:solidFill>
              <a:schemeClr val="accent2"/>
            </a:solidFill>
            <a:ln>
              <a:noFill/>
            </a:ln>
            <a:effectLst/>
          </c:spPr>
          <c:invertIfNegative val="0"/>
          <c:cat>
            <c:strRef>
              <c:f>'Pivot Analysis'!$B$10:$B$16</c:f>
              <c:strCache>
                <c:ptCount val="6"/>
                <c:pt idx="0">
                  <c:v>Central</c:v>
                </c:pt>
                <c:pt idx="1">
                  <c:v>East</c:v>
                </c:pt>
                <c:pt idx="2">
                  <c:v>North</c:v>
                </c:pt>
                <c:pt idx="3">
                  <c:v>North-East</c:v>
                </c:pt>
                <c:pt idx="4">
                  <c:v>South</c:v>
                </c:pt>
                <c:pt idx="5">
                  <c:v>West</c:v>
                </c:pt>
              </c:strCache>
            </c:strRef>
          </c:cat>
          <c:val>
            <c:numRef>
              <c:f>'Pivot Analysis'!$C$10:$C$16</c:f>
              <c:numCache>
                <c:formatCode>General</c:formatCode>
                <c:ptCount val="6"/>
                <c:pt idx="0">
                  <c:v>287</c:v>
                </c:pt>
                <c:pt idx="1">
                  <c:v>273</c:v>
                </c:pt>
                <c:pt idx="2">
                  <c:v>279</c:v>
                </c:pt>
                <c:pt idx="3">
                  <c:v>254</c:v>
                </c:pt>
                <c:pt idx="4">
                  <c:v>270</c:v>
                </c:pt>
                <c:pt idx="5">
                  <c:v>285</c:v>
                </c:pt>
              </c:numCache>
            </c:numRef>
          </c:val>
          <c:extLst>
            <c:ext xmlns:c16="http://schemas.microsoft.com/office/drawing/2014/chart" uri="{C3380CC4-5D6E-409C-BE32-E72D297353CC}">
              <c16:uniqueId val="{00000000-A55F-41C6-9B0D-EE585901324F}"/>
            </c:ext>
          </c:extLst>
        </c:ser>
        <c:dLbls>
          <c:showLegendKey val="0"/>
          <c:showVal val="0"/>
          <c:showCatName val="0"/>
          <c:showSerName val="0"/>
          <c:showPercent val="0"/>
          <c:showBubbleSize val="0"/>
        </c:dLbls>
        <c:gapWidth val="219"/>
        <c:overlap val="-27"/>
        <c:axId val="572977104"/>
        <c:axId val="572977584"/>
      </c:barChart>
      <c:catAx>
        <c:axId val="57297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977584"/>
        <c:crosses val="autoZero"/>
        <c:auto val="1"/>
        <c:lblAlgn val="ctr"/>
        <c:lblOffset val="100"/>
        <c:noMultiLvlLbl val="0"/>
      </c:catAx>
      <c:valAx>
        <c:axId val="572977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97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[Customermaster_cleaned.xlsx]Pivot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Customer</a:t>
            </a:r>
            <a:r>
              <a:rPr lang="en-IN" sz="1400" b="1" i="0" u="none" strike="noStrike" baseline="0"/>
              <a:t> Distribution by Gender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Analysis'!$H$9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AB-4337-8828-05C7D039C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AB-4337-8828-05C7D039CB39}"/>
              </c:ext>
            </c:extLst>
          </c:dPt>
          <c:cat>
            <c:strRef>
              <c:f>'Pivot Analysis'!$G$10:$G$12</c:f>
              <c:strCache>
                <c:ptCount val="2"/>
                <c:pt idx="0">
                  <c:v>Female</c:v>
                </c:pt>
                <c:pt idx="1">
                  <c:v>Male</c:v>
                </c:pt>
              </c:strCache>
            </c:strRef>
          </c:cat>
          <c:val>
            <c:numRef>
              <c:f>'Pivot Analysis'!$H$10:$H$12</c:f>
              <c:numCache>
                <c:formatCode>General</c:formatCode>
                <c:ptCount val="2"/>
                <c:pt idx="0">
                  <c:v>822</c:v>
                </c:pt>
                <c:pt idx="1">
                  <c:v>826</c:v>
                </c:pt>
              </c:numCache>
            </c:numRef>
          </c:val>
          <c:extLst>
            <c:ext xmlns:c16="http://schemas.microsoft.com/office/drawing/2014/chart" uri="{C3380CC4-5D6E-409C-BE32-E72D297353CC}">
              <c16:uniqueId val="{00000004-9FAB-4337-8828-05C7D039CB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[Customermaster_cleaned.xlsx]Pivot 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Customer Distribution by Region</a:t>
            </a:r>
            <a:endParaRPr lang="en-IN"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Analysis'!$L$9</c:f>
              <c:strCache>
                <c:ptCount val="1"/>
                <c:pt idx="0">
                  <c:v>Total</c:v>
                </c:pt>
              </c:strCache>
            </c:strRef>
          </c:tx>
          <c:spPr>
            <a:solidFill>
              <a:schemeClr val="accent2"/>
            </a:solidFill>
            <a:ln>
              <a:noFill/>
            </a:ln>
            <a:effectLst/>
          </c:spPr>
          <c:invertIfNegative val="0"/>
          <c:cat>
            <c:strRef>
              <c:f>'Pivot Analysis'!$K$10:$K$14</c:f>
              <c:strCache>
                <c:ptCount val="4"/>
                <c:pt idx="0">
                  <c:v>18-30</c:v>
                </c:pt>
                <c:pt idx="1">
                  <c:v>31-45</c:v>
                </c:pt>
                <c:pt idx="2">
                  <c:v>46-60</c:v>
                </c:pt>
                <c:pt idx="3">
                  <c:v>60+</c:v>
                </c:pt>
              </c:strCache>
            </c:strRef>
          </c:cat>
          <c:val>
            <c:numRef>
              <c:f>'Pivot Analysis'!$L$10:$L$14</c:f>
              <c:numCache>
                <c:formatCode>General</c:formatCode>
                <c:ptCount val="4"/>
                <c:pt idx="0">
                  <c:v>416</c:v>
                </c:pt>
                <c:pt idx="1">
                  <c:v>500</c:v>
                </c:pt>
                <c:pt idx="2">
                  <c:v>479</c:v>
                </c:pt>
                <c:pt idx="3">
                  <c:v>253</c:v>
                </c:pt>
              </c:numCache>
            </c:numRef>
          </c:val>
          <c:extLst>
            <c:ext xmlns:c16="http://schemas.microsoft.com/office/drawing/2014/chart" uri="{C3380CC4-5D6E-409C-BE32-E72D297353CC}">
              <c16:uniqueId val="{00000000-B1EA-4C5B-BA74-D05DF085056A}"/>
            </c:ext>
          </c:extLst>
        </c:ser>
        <c:dLbls>
          <c:showLegendKey val="0"/>
          <c:showVal val="0"/>
          <c:showCatName val="0"/>
          <c:showSerName val="0"/>
          <c:showPercent val="0"/>
          <c:showBubbleSize val="0"/>
        </c:dLbls>
        <c:gapWidth val="219"/>
        <c:overlap val="-27"/>
        <c:axId val="1314364640"/>
        <c:axId val="1314365600"/>
      </c:barChart>
      <c:catAx>
        <c:axId val="131436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365600"/>
        <c:crosses val="autoZero"/>
        <c:auto val="1"/>
        <c:lblAlgn val="ctr"/>
        <c:lblOffset val="100"/>
        <c:noMultiLvlLbl val="0"/>
      </c:catAx>
      <c:valAx>
        <c:axId val="131436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36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[Customermaster_cleaned.xlsx]Pivot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Average Risk Score by Region</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Analysis'!$L$23</c:f>
              <c:strCache>
                <c:ptCount val="1"/>
                <c:pt idx="0">
                  <c:v>Total</c:v>
                </c:pt>
              </c:strCache>
            </c:strRef>
          </c:tx>
          <c:spPr>
            <a:solidFill>
              <a:schemeClr val="accent2"/>
            </a:solidFill>
            <a:ln>
              <a:noFill/>
            </a:ln>
            <a:effectLst/>
          </c:spPr>
          <c:invertIfNegative val="0"/>
          <c:cat>
            <c:strRef>
              <c:f>'Pivot Analysis'!$K$24:$K$30</c:f>
              <c:strCache>
                <c:ptCount val="6"/>
                <c:pt idx="0">
                  <c:v>Central</c:v>
                </c:pt>
                <c:pt idx="1">
                  <c:v>East</c:v>
                </c:pt>
                <c:pt idx="2">
                  <c:v>North</c:v>
                </c:pt>
                <c:pt idx="3">
                  <c:v>North-East</c:v>
                </c:pt>
                <c:pt idx="4">
                  <c:v>South</c:v>
                </c:pt>
                <c:pt idx="5">
                  <c:v>West</c:v>
                </c:pt>
              </c:strCache>
            </c:strRef>
          </c:cat>
          <c:val>
            <c:numRef>
              <c:f>'Pivot Analysis'!$L$24:$L$30</c:f>
              <c:numCache>
                <c:formatCode>0.00</c:formatCode>
                <c:ptCount val="6"/>
                <c:pt idx="0">
                  <c:v>0.49209059233449515</c:v>
                </c:pt>
                <c:pt idx="1">
                  <c:v>0.50032967032967068</c:v>
                </c:pt>
                <c:pt idx="2">
                  <c:v>0.50501792114695354</c:v>
                </c:pt>
                <c:pt idx="3">
                  <c:v>0.49389763779527529</c:v>
                </c:pt>
                <c:pt idx="4">
                  <c:v>0.501</c:v>
                </c:pt>
                <c:pt idx="5">
                  <c:v>0.48266666666666669</c:v>
                </c:pt>
              </c:numCache>
            </c:numRef>
          </c:val>
          <c:extLst>
            <c:ext xmlns:c16="http://schemas.microsoft.com/office/drawing/2014/chart" uri="{C3380CC4-5D6E-409C-BE32-E72D297353CC}">
              <c16:uniqueId val="{00000000-3B3F-448E-A06A-170D7E0E061F}"/>
            </c:ext>
          </c:extLst>
        </c:ser>
        <c:dLbls>
          <c:showLegendKey val="0"/>
          <c:showVal val="0"/>
          <c:showCatName val="0"/>
          <c:showSerName val="0"/>
          <c:showPercent val="0"/>
          <c:showBubbleSize val="0"/>
        </c:dLbls>
        <c:gapWidth val="219"/>
        <c:overlap val="-27"/>
        <c:axId val="1314458720"/>
        <c:axId val="1314476000"/>
      </c:barChart>
      <c:catAx>
        <c:axId val="131445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476000"/>
        <c:crosses val="autoZero"/>
        <c:auto val="1"/>
        <c:lblAlgn val="ctr"/>
        <c:lblOffset val="100"/>
        <c:noMultiLvlLbl val="0"/>
      </c:catAx>
      <c:valAx>
        <c:axId val="13144760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45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[Customermaster_cleaned.xlsx]Pivot 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solidFill>
              </a:rPr>
              <a:t>Customer Distribution by Age Group</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Analysis'!$L$9</c:f>
              <c:strCache>
                <c:ptCount val="1"/>
                <c:pt idx="0">
                  <c:v>Total</c:v>
                </c:pt>
              </c:strCache>
            </c:strRef>
          </c:tx>
          <c:spPr>
            <a:solidFill>
              <a:schemeClr val="accent2"/>
            </a:solidFill>
            <a:ln>
              <a:noFill/>
            </a:ln>
            <a:effectLst/>
          </c:spPr>
          <c:invertIfNegative val="0"/>
          <c:cat>
            <c:strRef>
              <c:f>'Pivot Analysis'!$K$10:$K$14</c:f>
              <c:strCache>
                <c:ptCount val="4"/>
                <c:pt idx="0">
                  <c:v>18-30</c:v>
                </c:pt>
                <c:pt idx="1">
                  <c:v>31-45</c:v>
                </c:pt>
                <c:pt idx="2">
                  <c:v>46-60</c:v>
                </c:pt>
                <c:pt idx="3">
                  <c:v>60+</c:v>
                </c:pt>
              </c:strCache>
            </c:strRef>
          </c:cat>
          <c:val>
            <c:numRef>
              <c:f>'Pivot Analysis'!$L$10:$L$14</c:f>
              <c:numCache>
                <c:formatCode>General</c:formatCode>
                <c:ptCount val="4"/>
                <c:pt idx="0">
                  <c:v>416</c:v>
                </c:pt>
                <c:pt idx="1">
                  <c:v>500</c:v>
                </c:pt>
                <c:pt idx="2">
                  <c:v>479</c:v>
                </c:pt>
                <c:pt idx="3">
                  <c:v>253</c:v>
                </c:pt>
              </c:numCache>
            </c:numRef>
          </c:val>
          <c:extLst>
            <c:ext xmlns:c16="http://schemas.microsoft.com/office/drawing/2014/chart" uri="{C3380CC4-5D6E-409C-BE32-E72D297353CC}">
              <c16:uniqueId val="{00000000-9EAE-482D-825F-743526A799CA}"/>
            </c:ext>
          </c:extLst>
        </c:ser>
        <c:dLbls>
          <c:showLegendKey val="0"/>
          <c:showVal val="0"/>
          <c:showCatName val="0"/>
          <c:showSerName val="0"/>
          <c:showPercent val="0"/>
          <c:showBubbleSize val="0"/>
        </c:dLbls>
        <c:gapWidth val="219"/>
        <c:overlap val="-27"/>
        <c:axId val="1650522288"/>
        <c:axId val="1650515568"/>
      </c:barChart>
      <c:catAx>
        <c:axId val="165052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515568"/>
        <c:crosses val="autoZero"/>
        <c:auto val="1"/>
        <c:lblAlgn val="ctr"/>
        <c:lblOffset val="100"/>
        <c:noMultiLvlLbl val="0"/>
      </c:catAx>
      <c:valAx>
        <c:axId val="1650515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52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[Customermaster_cleaned.xlsx]Pivot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solidFill>
              </a:rPr>
              <a:t>Average Risk Score by Age Group</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Analysis'!$H$37</c:f>
              <c:strCache>
                <c:ptCount val="1"/>
                <c:pt idx="0">
                  <c:v>Total</c:v>
                </c:pt>
              </c:strCache>
            </c:strRef>
          </c:tx>
          <c:spPr>
            <a:solidFill>
              <a:schemeClr val="accent2"/>
            </a:solidFill>
            <a:ln>
              <a:noFill/>
            </a:ln>
            <a:effectLst/>
          </c:spPr>
          <c:invertIfNegative val="0"/>
          <c:cat>
            <c:strRef>
              <c:f>'Pivot Analysis'!$G$38:$G$42</c:f>
              <c:strCache>
                <c:ptCount val="4"/>
                <c:pt idx="0">
                  <c:v>18-30</c:v>
                </c:pt>
                <c:pt idx="1">
                  <c:v>31-45</c:v>
                </c:pt>
                <c:pt idx="2">
                  <c:v>46-60</c:v>
                </c:pt>
                <c:pt idx="3">
                  <c:v>60+</c:v>
                </c:pt>
              </c:strCache>
            </c:strRef>
          </c:cat>
          <c:val>
            <c:numRef>
              <c:f>'Pivot Analysis'!$H$38:$H$42</c:f>
              <c:numCache>
                <c:formatCode>0.00</c:formatCode>
                <c:ptCount val="4"/>
                <c:pt idx="0">
                  <c:v>0.48021634615384656</c:v>
                </c:pt>
                <c:pt idx="1">
                  <c:v>0.5084000000000003</c:v>
                </c:pt>
                <c:pt idx="2">
                  <c:v>0.49586638830897706</c:v>
                </c:pt>
                <c:pt idx="3">
                  <c:v>0.49608695652173895</c:v>
                </c:pt>
              </c:numCache>
            </c:numRef>
          </c:val>
          <c:extLst>
            <c:ext xmlns:c16="http://schemas.microsoft.com/office/drawing/2014/chart" uri="{C3380CC4-5D6E-409C-BE32-E72D297353CC}">
              <c16:uniqueId val="{00000000-47A2-42F4-B2D3-D00A5222947D}"/>
            </c:ext>
          </c:extLst>
        </c:ser>
        <c:dLbls>
          <c:showLegendKey val="0"/>
          <c:showVal val="0"/>
          <c:showCatName val="0"/>
          <c:showSerName val="0"/>
          <c:showPercent val="0"/>
          <c:showBubbleSize val="0"/>
        </c:dLbls>
        <c:gapWidth val="219"/>
        <c:overlap val="-27"/>
        <c:axId val="1919491136"/>
        <c:axId val="1919490656"/>
      </c:barChart>
      <c:catAx>
        <c:axId val="191949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490656"/>
        <c:crosses val="autoZero"/>
        <c:auto val="1"/>
        <c:lblAlgn val="ctr"/>
        <c:lblOffset val="100"/>
        <c:noMultiLvlLbl val="0"/>
      </c:catAx>
      <c:valAx>
        <c:axId val="19194906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49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[Customermaster_cleaned.xlsx]Pivot Analysis!PivotTable11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solidFill>
              </a:rPr>
              <a:t>Smoking Status Distribution</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Analysis'!$C$49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BE-4CF9-A5B8-313AD7BC83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BE-4CF9-A5B8-313AD7BC83C4}"/>
              </c:ext>
            </c:extLst>
          </c:dPt>
          <c:cat>
            <c:strRef>
              <c:f>'Pivot Analysis'!$B$50:$B$52</c:f>
              <c:strCache>
                <c:ptCount val="2"/>
                <c:pt idx="0">
                  <c:v>No</c:v>
                </c:pt>
                <c:pt idx="1">
                  <c:v>Yes</c:v>
                </c:pt>
              </c:strCache>
            </c:strRef>
          </c:cat>
          <c:val>
            <c:numRef>
              <c:f>'Pivot Analysis'!$C$50:$C$52</c:f>
              <c:numCache>
                <c:formatCode>General</c:formatCode>
                <c:ptCount val="2"/>
                <c:pt idx="0">
                  <c:v>855</c:v>
                </c:pt>
                <c:pt idx="1">
                  <c:v>793</c:v>
                </c:pt>
              </c:numCache>
            </c:numRef>
          </c:val>
          <c:extLst>
            <c:ext xmlns:c16="http://schemas.microsoft.com/office/drawing/2014/chart" uri="{C3380CC4-5D6E-409C-BE32-E72D297353CC}">
              <c16:uniqueId val="{00000004-33BE-4CF9-A5B8-313AD7BC83C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[Customermaster_cleaned.xlsx]Pivot Analysis!PivotTable13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Smoking Status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Analysis'!$L$49:$L$50</c:f>
              <c:strCache>
                <c:ptCount val="1"/>
                <c:pt idx="0">
                  <c:v>No</c:v>
                </c:pt>
              </c:strCache>
            </c:strRef>
          </c:tx>
          <c:spPr>
            <a:solidFill>
              <a:schemeClr val="accent1"/>
            </a:solidFill>
            <a:ln>
              <a:noFill/>
            </a:ln>
            <a:effectLst/>
          </c:spPr>
          <c:invertIfNegative val="0"/>
          <c:cat>
            <c:strRef>
              <c:f>'Pivot Analysis'!$K$51:$K$57</c:f>
              <c:strCache>
                <c:ptCount val="6"/>
                <c:pt idx="0">
                  <c:v>Central</c:v>
                </c:pt>
                <c:pt idx="1">
                  <c:v>East</c:v>
                </c:pt>
                <c:pt idx="2">
                  <c:v>North</c:v>
                </c:pt>
                <c:pt idx="3">
                  <c:v>North-East</c:v>
                </c:pt>
                <c:pt idx="4">
                  <c:v>South</c:v>
                </c:pt>
                <c:pt idx="5">
                  <c:v>West</c:v>
                </c:pt>
              </c:strCache>
            </c:strRef>
          </c:cat>
          <c:val>
            <c:numRef>
              <c:f>'Pivot Analysis'!$L$51:$L$57</c:f>
              <c:numCache>
                <c:formatCode>General</c:formatCode>
                <c:ptCount val="6"/>
                <c:pt idx="0">
                  <c:v>142</c:v>
                </c:pt>
                <c:pt idx="1">
                  <c:v>139</c:v>
                </c:pt>
                <c:pt idx="2">
                  <c:v>151</c:v>
                </c:pt>
                <c:pt idx="3">
                  <c:v>129</c:v>
                </c:pt>
                <c:pt idx="4">
                  <c:v>149</c:v>
                </c:pt>
                <c:pt idx="5">
                  <c:v>145</c:v>
                </c:pt>
              </c:numCache>
            </c:numRef>
          </c:val>
          <c:extLst>
            <c:ext xmlns:c16="http://schemas.microsoft.com/office/drawing/2014/chart" uri="{C3380CC4-5D6E-409C-BE32-E72D297353CC}">
              <c16:uniqueId val="{00000000-D725-4282-92C3-4DF98E4EC3A5}"/>
            </c:ext>
          </c:extLst>
        </c:ser>
        <c:ser>
          <c:idx val="1"/>
          <c:order val="1"/>
          <c:tx>
            <c:strRef>
              <c:f>'Pivot Analysis'!$M$49:$M$50</c:f>
              <c:strCache>
                <c:ptCount val="1"/>
                <c:pt idx="0">
                  <c:v>Yes</c:v>
                </c:pt>
              </c:strCache>
            </c:strRef>
          </c:tx>
          <c:spPr>
            <a:solidFill>
              <a:schemeClr val="accent2"/>
            </a:solidFill>
            <a:ln>
              <a:noFill/>
            </a:ln>
            <a:effectLst/>
          </c:spPr>
          <c:invertIfNegative val="0"/>
          <c:cat>
            <c:strRef>
              <c:f>'Pivot Analysis'!$K$51:$K$57</c:f>
              <c:strCache>
                <c:ptCount val="6"/>
                <c:pt idx="0">
                  <c:v>Central</c:v>
                </c:pt>
                <c:pt idx="1">
                  <c:v>East</c:v>
                </c:pt>
                <c:pt idx="2">
                  <c:v>North</c:v>
                </c:pt>
                <c:pt idx="3">
                  <c:v>North-East</c:v>
                </c:pt>
                <c:pt idx="4">
                  <c:v>South</c:v>
                </c:pt>
                <c:pt idx="5">
                  <c:v>West</c:v>
                </c:pt>
              </c:strCache>
            </c:strRef>
          </c:cat>
          <c:val>
            <c:numRef>
              <c:f>'Pivot Analysis'!$M$51:$M$57</c:f>
              <c:numCache>
                <c:formatCode>General</c:formatCode>
                <c:ptCount val="6"/>
                <c:pt idx="0">
                  <c:v>145</c:v>
                </c:pt>
                <c:pt idx="1">
                  <c:v>134</c:v>
                </c:pt>
                <c:pt idx="2">
                  <c:v>128</c:v>
                </c:pt>
                <c:pt idx="3">
                  <c:v>125</c:v>
                </c:pt>
                <c:pt idx="4">
                  <c:v>121</c:v>
                </c:pt>
                <c:pt idx="5">
                  <c:v>140</c:v>
                </c:pt>
              </c:numCache>
            </c:numRef>
          </c:val>
          <c:extLst>
            <c:ext xmlns:c16="http://schemas.microsoft.com/office/drawing/2014/chart" uri="{C3380CC4-5D6E-409C-BE32-E72D297353CC}">
              <c16:uniqueId val="{00000000-D147-423A-8640-7D7ADA3ECB14}"/>
            </c:ext>
          </c:extLst>
        </c:ser>
        <c:dLbls>
          <c:showLegendKey val="0"/>
          <c:showVal val="0"/>
          <c:showCatName val="0"/>
          <c:showSerName val="0"/>
          <c:showPercent val="0"/>
          <c:showBubbleSize val="0"/>
        </c:dLbls>
        <c:gapWidth val="182"/>
        <c:axId val="1711068992"/>
        <c:axId val="1711069952"/>
      </c:barChart>
      <c:catAx>
        <c:axId val="171106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69952"/>
        <c:crosses val="autoZero"/>
        <c:auto val="1"/>
        <c:lblAlgn val="ctr"/>
        <c:lblOffset val="100"/>
        <c:noMultiLvlLbl val="0"/>
      </c:catAx>
      <c:valAx>
        <c:axId val="1711069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6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[Customermaster_cleaned.xlsx]Pivot Analysis!PivotTable15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solidFill>
              </a:rPr>
              <a:t>Customer Registration Trend</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Analysis'!$H$64</c:f>
              <c:strCache>
                <c:ptCount val="1"/>
                <c:pt idx="0">
                  <c:v>Total</c:v>
                </c:pt>
              </c:strCache>
            </c:strRef>
          </c:tx>
          <c:spPr>
            <a:ln w="28575" cap="rnd">
              <a:solidFill>
                <a:schemeClr val="accent2"/>
              </a:solidFill>
              <a:round/>
            </a:ln>
            <a:effectLst/>
          </c:spPr>
          <c:marker>
            <c:symbol val="none"/>
          </c:marker>
          <c:cat>
            <c:strRef>
              <c:f>'Pivot Analysis'!$G$65:$G$71</c:f>
              <c:strCache>
                <c:ptCount val="6"/>
                <c:pt idx="0">
                  <c:v>2018</c:v>
                </c:pt>
                <c:pt idx="1">
                  <c:v>2019</c:v>
                </c:pt>
                <c:pt idx="2">
                  <c:v>2020</c:v>
                </c:pt>
                <c:pt idx="3">
                  <c:v>2021</c:v>
                </c:pt>
                <c:pt idx="4">
                  <c:v>2022</c:v>
                </c:pt>
                <c:pt idx="5">
                  <c:v>2023</c:v>
                </c:pt>
              </c:strCache>
            </c:strRef>
          </c:cat>
          <c:val>
            <c:numRef>
              <c:f>'Pivot Analysis'!$H$65:$H$71</c:f>
              <c:numCache>
                <c:formatCode>General</c:formatCode>
                <c:ptCount val="6"/>
                <c:pt idx="0">
                  <c:v>319</c:v>
                </c:pt>
                <c:pt idx="1">
                  <c:v>305</c:v>
                </c:pt>
                <c:pt idx="2">
                  <c:v>305</c:v>
                </c:pt>
                <c:pt idx="3">
                  <c:v>290</c:v>
                </c:pt>
                <c:pt idx="4">
                  <c:v>269</c:v>
                </c:pt>
                <c:pt idx="5">
                  <c:v>160</c:v>
                </c:pt>
              </c:numCache>
            </c:numRef>
          </c:val>
          <c:smooth val="0"/>
          <c:extLst>
            <c:ext xmlns:c16="http://schemas.microsoft.com/office/drawing/2014/chart" uri="{C3380CC4-5D6E-409C-BE32-E72D297353CC}">
              <c16:uniqueId val="{00000000-764B-42AC-8405-6EA0562473F8}"/>
            </c:ext>
          </c:extLst>
        </c:ser>
        <c:dLbls>
          <c:showLegendKey val="0"/>
          <c:showVal val="0"/>
          <c:showCatName val="0"/>
          <c:showSerName val="0"/>
          <c:showPercent val="0"/>
          <c:showBubbleSize val="0"/>
        </c:dLbls>
        <c:smooth val="0"/>
        <c:axId val="1689718128"/>
        <c:axId val="1689721968"/>
      </c:lineChart>
      <c:catAx>
        <c:axId val="16897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721968"/>
        <c:crosses val="autoZero"/>
        <c:auto val="1"/>
        <c:lblAlgn val="ctr"/>
        <c:lblOffset val="100"/>
        <c:noMultiLvlLbl val="0"/>
      </c:catAx>
      <c:valAx>
        <c:axId val="168972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71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[Customermaster_cleaned.xlsx]Pivot Analysis!PivotTable16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solidFill>
              </a:rPr>
              <a:t>Customer Distribution by Risk Level</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Analysis'!$L$64</c:f>
              <c:strCache>
                <c:ptCount val="1"/>
                <c:pt idx="0">
                  <c:v>Total</c:v>
                </c:pt>
              </c:strCache>
            </c:strRef>
          </c:tx>
          <c:spPr>
            <a:solidFill>
              <a:schemeClr val="accent2"/>
            </a:solidFill>
            <a:ln>
              <a:noFill/>
            </a:ln>
            <a:effectLst/>
          </c:spPr>
          <c:invertIfNegative val="0"/>
          <c:cat>
            <c:strRef>
              <c:f>'Pivot Analysis'!$K$65:$K$68</c:f>
              <c:strCache>
                <c:ptCount val="3"/>
                <c:pt idx="0">
                  <c:v>High</c:v>
                </c:pt>
                <c:pt idx="1">
                  <c:v>Low</c:v>
                </c:pt>
                <c:pt idx="2">
                  <c:v>Medium</c:v>
                </c:pt>
              </c:strCache>
            </c:strRef>
          </c:cat>
          <c:val>
            <c:numRef>
              <c:f>'Pivot Analysis'!$L$65:$L$68</c:f>
              <c:numCache>
                <c:formatCode>General</c:formatCode>
                <c:ptCount val="3"/>
                <c:pt idx="0">
                  <c:v>254</c:v>
                </c:pt>
                <c:pt idx="1">
                  <c:v>249</c:v>
                </c:pt>
                <c:pt idx="2">
                  <c:v>1145</c:v>
                </c:pt>
              </c:numCache>
            </c:numRef>
          </c:val>
          <c:extLst>
            <c:ext xmlns:c16="http://schemas.microsoft.com/office/drawing/2014/chart" uri="{C3380CC4-5D6E-409C-BE32-E72D297353CC}">
              <c16:uniqueId val="{00000000-C6C2-4E75-8597-D282BB4BBA29}"/>
            </c:ext>
          </c:extLst>
        </c:ser>
        <c:dLbls>
          <c:showLegendKey val="0"/>
          <c:showVal val="0"/>
          <c:showCatName val="0"/>
          <c:showSerName val="0"/>
          <c:showPercent val="0"/>
          <c:showBubbleSize val="0"/>
        </c:dLbls>
        <c:gapWidth val="150"/>
        <c:overlap val="100"/>
        <c:axId val="1689708528"/>
        <c:axId val="1689719088"/>
      </c:barChart>
      <c:catAx>
        <c:axId val="168970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719088"/>
        <c:crosses val="autoZero"/>
        <c:auto val="1"/>
        <c:lblAlgn val="ctr"/>
        <c:lblOffset val="100"/>
        <c:noMultiLvlLbl val="0"/>
      </c:catAx>
      <c:valAx>
        <c:axId val="1689719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70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175260</xdr:rowOff>
    </xdr:from>
    <xdr:to>
      <xdr:col>9</xdr:col>
      <xdr:colOff>0</xdr:colOff>
      <xdr:row>31</xdr:row>
      <xdr:rowOff>175260</xdr:rowOff>
    </xdr:to>
    <xdr:graphicFrame macro="">
      <xdr:nvGraphicFramePr>
        <xdr:cNvPr id="3" name="Chart 2">
          <a:extLst>
            <a:ext uri="{FF2B5EF4-FFF2-40B4-BE49-F238E27FC236}">
              <a16:creationId xmlns:a16="http://schemas.microsoft.com/office/drawing/2014/main" id="{B175A3DD-2B1E-400B-B14C-67C9DB210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20</xdr:col>
      <xdr:colOff>7620</xdr:colOff>
      <xdr:row>32</xdr:row>
      <xdr:rowOff>0</xdr:rowOff>
    </xdr:to>
    <xdr:graphicFrame macro="">
      <xdr:nvGraphicFramePr>
        <xdr:cNvPr id="4" name="Chart 3">
          <a:extLst>
            <a:ext uri="{FF2B5EF4-FFF2-40B4-BE49-F238E27FC236}">
              <a16:creationId xmlns:a16="http://schemas.microsoft.com/office/drawing/2014/main" id="{6C19DA2E-373C-4D53-A9B5-C67C76773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38</xdr:row>
      <xdr:rowOff>0</xdr:rowOff>
    </xdr:from>
    <xdr:to>
      <xdr:col>8</xdr:col>
      <xdr:colOff>304800</xdr:colOff>
      <xdr:row>53</xdr:row>
      <xdr:rowOff>0</xdr:rowOff>
    </xdr:to>
    <xdr:graphicFrame macro="">
      <xdr:nvGraphicFramePr>
        <xdr:cNvPr id="6" name="Chart 5">
          <a:extLst>
            <a:ext uri="{FF2B5EF4-FFF2-40B4-BE49-F238E27FC236}">
              <a16:creationId xmlns:a16="http://schemas.microsoft.com/office/drawing/2014/main" id="{AE5FD165-3DDC-48E1-A107-98038ACD6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38</xdr:row>
      <xdr:rowOff>0</xdr:rowOff>
    </xdr:from>
    <xdr:to>
      <xdr:col>19</xdr:col>
      <xdr:colOff>601980</xdr:colOff>
      <xdr:row>53</xdr:row>
      <xdr:rowOff>0</xdr:rowOff>
    </xdr:to>
    <xdr:graphicFrame macro="">
      <xdr:nvGraphicFramePr>
        <xdr:cNvPr id="7" name="Chart 6">
          <a:extLst>
            <a:ext uri="{FF2B5EF4-FFF2-40B4-BE49-F238E27FC236}">
              <a16:creationId xmlns:a16="http://schemas.microsoft.com/office/drawing/2014/main" id="{D937B766-5C58-48AB-B808-7195599B0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61</xdr:row>
      <xdr:rowOff>0</xdr:rowOff>
    </xdr:from>
    <xdr:to>
      <xdr:col>8</xdr:col>
      <xdr:colOff>594360</xdr:colOff>
      <xdr:row>76</xdr:row>
      <xdr:rowOff>0</xdr:rowOff>
    </xdr:to>
    <xdr:graphicFrame macro="">
      <xdr:nvGraphicFramePr>
        <xdr:cNvPr id="2" name="Chart 1">
          <a:extLst>
            <a:ext uri="{FF2B5EF4-FFF2-40B4-BE49-F238E27FC236}">
              <a16:creationId xmlns:a16="http://schemas.microsoft.com/office/drawing/2014/main" id="{AA0FCE93-D42A-48D4-BA8D-C7A8E6094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60</xdr:row>
      <xdr:rowOff>175260</xdr:rowOff>
    </xdr:from>
    <xdr:to>
      <xdr:col>19</xdr:col>
      <xdr:colOff>586740</xdr:colOff>
      <xdr:row>75</xdr:row>
      <xdr:rowOff>175260</xdr:rowOff>
    </xdr:to>
    <xdr:graphicFrame macro="">
      <xdr:nvGraphicFramePr>
        <xdr:cNvPr id="5" name="Chart 4">
          <a:extLst>
            <a:ext uri="{FF2B5EF4-FFF2-40B4-BE49-F238E27FC236}">
              <a16:creationId xmlns:a16="http://schemas.microsoft.com/office/drawing/2014/main" id="{DDE37844-FC39-452F-93A8-E7FE9F5A9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82</xdr:row>
      <xdr:rowOff>0</xdr:rowOff>
    </xdr:from>
    <xdr:to>
      <xdr:col>9</xdr:col>
      <xdr:colOff>0</xdr:colOff>
      <xdr:row>97</xdr:row>
      <xdr:rowOff>0</xdr:rowOff>
    </xdr:to>
    <xdr:graphicFrame macro="">
      <xdr:nvGraphicFramePr>
        <xdr:cNvPr id="8" name="Chart 7">
          <a:extLst>
            <a:ext uri="{FF2B5EF4-FFF2-40B4-BE49-F238E27FC236}">
              <a16:creationId xmlns:a16="http://schemas.microsoft.com/office/drawing/2014/main" id="{50362D76-7254-4842-9324-530244C60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82</xdr:row>
      <xdr:rowOff>0</xdr:rowOff>
    </xdr:from>
    <xdr:to>
      <xdr:col>19</xdr:col>
      <xdr:colOff>304800</xdr:colOff>
      <xdr:row>97</xdr:row>
      <xdr:rowOff>0</xdr:rowOff>
    </xdr:to>
    <xdr:graphicFrame macro="">
      <xdr:nvGraphicFramePr>
        <xdr:cNvPr id="9" name="Chart 8">
          <a:extLst>
            <a:ext uri="{FF2B5EF4-FFF2-40B4-BE49-F238E27FC236}">
              <a16:creationId xmlns:a16="http://schemas.microsoft.com/office/drawing/2014/main" id="{B32F9B0F-ED63-4819-AC06-648FEA659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103</xdr:row>
      <xdr:rowOff>0</xdr:rowOff>
    </xdr:from>
    <xdr:to>
      <xdr:col>8</xdr:col>
      <xdr:colOff>601980</xdr:colOff>
      <xdr:row>118</xdr:row>
      <xdr:rowOff>0</xdr:rowOff>
    </xdr:to>
    <xdr:graphicFrame macro="">
      <xdr:nvGraphicFramePr>
        <xdr:cNvPr id="10" name="Chart 9">
          <a:extLst>
            <a:ext uri="{FF2B5EF4-FFF2-40B4-BE49-F238E27FC236}">
              <a16:creationId xmlns:a16="http://schemas.microsoft.com/office/drawing/2014/main" id="{8CE41EE1-7B20-458E-96D4-1A5628B5D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103</xdr:row>
      <xdr:rowOff>0</xdr:rowOff>
    </xdr:from>
    <xdr:to>
      <xdr:col>20</xdr:col>
      <xdr:colOff>0</xdr:colOff>
      <xdr:row>118</xdr:row>
      <xdr:rowOff>0</xdr:rowOff>
    </xdr:to>
    <xdr:graphicFrame macro="">
      <xdr:nvGraphicFramePr>
        <xdr:cNvPr id="11" name="Chart 10">
          <a:extLst>
            <a:ext uri="{FF2B5EF4-FFF2-40B4-BE49-F238E27FC236}">
              <a16:creationId xmlns:a16="http://schemas.microsoft.com/office/drawing/2014/main" id="{44A53521-5409-4100-8A4C-771DE3EAB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190500</xdr:colOff>
      <xdr:row>3</xdr:row>
      <xdr:rowOff>22860</xdr:rowOff>
    </xdr:from>
    <xdr:to>
      <xdr:col>3</xdr:col>
      <xdr:colOff>335280</xdr:colOff>
      <xdr:row>7</xdr:row>
      <xdr:rowOff>38100</xdr:rowOff>
    </xdr:to>
    <xdr:sp macro="" textlink="">
      <xdr:nvSpPr>
        <xdr:cNvPr id="12" name="Rectangle: Rounded Corners 11">
          <a:extLst>
            <a:ext uri="{FF2B5EF4-FFF2-40B4-BE49-F238E27FC236}">
              <a16:creationId xmlns:a16="http://schemas.microsoft.com/office/drawing/2014/main" id="{8B419BDB-D19E-B1C5-37A4-14BBD3F8F776}"/>
            </a:ext>
          </a:extLst>
        </xdr:cNvPr>
        <xdr:cNvSpPr/>
      </xdr:nvSpPr>
      <xdr:spPr>
        <a:xfrm>
          <a:off x="800100" y="754380"/>
          <a:ext cx="1363980" cy="74676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accent2">
                <a:lumMod val="50000"/>
              </a:schemeClr>
            </a:solidFill>
          </a:endParaRPr>
        </a:p>
        <a:p>
          <a:pPr algn="l"/>
          <a:endParaRPr lang="en-US" sz="1100" b="1">
            <a:solidFill>
              <a:schemeClr val="accent2">
                <a:lumMod val="50000"/>
              </a:schemeClr>
            </a:solidFill>
          </a:endParaRPr>
        </a:p>
        <a:p>
          <a:pPr algn="l"/>
          <a:r>
            <a:rPr lang="en-US" sz="1100" b="1">
              <a:solidFill>
                <a:schemeClr val="accent2">
                  <a:lumMod val="50000"/>
                </a:schemeClr>
              </a:solidFill>
            </a:rPr>
            <a:t>            1648</a:t>
          </a:r>
        </a:p>
      </xdr:txBody>
    </xdr:sp>
    <xdr:clientData/>
  </xdr:twoCellAnchor>
  <xdr:twoCellAnchor>
    <xdr:from>
      <xdr:col>5</xdr:col>
      <xdr:colOff>297180</xdr:colOff>
      <xdr:row>3</xdr:row>
      <xdr:rowOff>7620</xdr:rowOff>
    </xdr:from>
    <xdr:to>
      <xdr:col>7</xdr:col>
      <xdr:colOff>441960</xdr:colOff>
      <xdr:row>7</xdr:row>
      <xdr:rowOff>22860</xdr:rowOff>
    </xdr:to>
    <xdr:sp macro="" textlink="">
      <xdr:nvSpPr>
        <xdr:cNvPr id="13" name="Rectangle: Rounded Corners 12">
          <a:extLst>
            <a:ext uri="{FF2B5EF4-FFF2-40B4-BE49-F238E27FC236}">
              <a16:creationId xmlns:a16="http://schemas.microsoft.com/office/drawing/2014/main" id="{2FED99A1-9C2F-4500-84C6-59AC48ADE9A4}"/>
            </a:ext>
          </a:extLst>
        </xdr:cNvPr>
        <xdr:cNvSpPr/>
      </xdr:nvSpPr>
      <xdr:spPr>
        <a:xfrm>
          <a:off x="3345180" y="739140"/>
          <a:ext cx="1363980" cy="74676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r>
            <a:rPr lang="en-IN" sz="1100"/>
            <a:t>             </a:t>
          </a:r>
          <a:r>
            <a:rPr lang="en-IN" sz="1100" b="1">
              <a:solidFill>
                <a:schemeClr val="accent4">
                  <a:lumMod val="50000"/>
                </a:schemeClr>
              </a:solidFill>
            </a:rPr>
            <a:t>42.96</a:t>
          </a:r>
        </a:p>
      </xdr:txBody>
    </xdr:sp>
    <xdr:clientData/>
  </xdr:twoCellAnchor>
  <xdr:twoCellAnchor>
    <xdr:from>
      <xdr:col>9</xdr:col>
      <xdr:colOff>381000</xdr:colOff>
      <xdr:row>3</xdr:row>
      <xdr:rowOff>0</xdr:rowOff>
    </xdr:from>
    <xdr:to>
      <xdr:col>11</xdr:col>
      <xdr:colOff>525780</xdr:colOff>
      <xdr:row>7</xdr:row>
      <xdr:rowOff>15240</xdr:rowOff>
    </xdr:to>
    <xdr:sp macro="" textlink="">
      <xdr:nvSpPr>
        <xdr:cNvPr id="14" name="Rectangle: Rounded Corners 13">
          <a:extLst>
            <a:ext uri="{FF2B5EF4-FFF2-40B4-BE49-F238E27FC236}">
              <a16:creationId xmlns:a16="http://schemas.microsoft.com/office/drawing/2014/main" id="{15C7EFB9-CF20-449F-9B94-57647BB39BE0}"/>
            </a:ext>
          </a:extLst>
        </xdr:cNvPr>
        <xdr:cNvSpPr/>
      </xdr:nvSpPr>
      <xdr:spPr>
        <a:xfrm>
          <a:off x="5867400" y="731520"/>
          <a:ext cx="1363980" cy="74676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r>
            <a:rPr lang="en-IN" sz="1100" b="1">
              <a:solidFill>
                <a:schemeClr val="accent4">
                  <a:lumMod val="50000"/>
                </a:schemeClr>
              </a:solidFill>
            </a:rPr>
            <a:t>                0.5</a:t>
          </a:r>
        </a:p>
      </xdr:txBody>
    </xdr:sp>
    <xdr:clientData/>
  </xdr:twoCellAnchor>
  <xdr:twoCellAnchor>
    <xdr:from>
      <xdr:col>13</xdr:col>
      <xdr:colOff>441960</xdr:colOff>
      <xdr:row>3</xdr:row>
      <xdr:rowOff>22860</xdr:rowOff>
    </xdr:from>
    <xdr:to>
      <xdr:col>15</xdr:col>
      <xdr:colOff>586740</xdr:colOff>
      <xdr:row>7</xdr:row>
      <xdr:rowOff>38100</xdr:rowOff>
    </xdr:to>
    <xdr:sp macro="" textlink="">
      <xdr:nvSpPr>
        <xdr:cNvPr id="15" name="Rectangle: Rounded Corners 14">
          <a:extLst>
            <a:ext uri="{FF2B5EF4-FFF2-40B4-BE49-F238E27FC236}">
              <a16:creationId xmlns:a16="http://schemas.microsoft.com/office/drawing/2014/main" id="{A32B2C0C-AC8E-4F96-8642-2E87CD508242}"/>
            </a:ext>
          </a:extLst>
        </xdr:cNvPr>
        <xdr:cNvSpPr/>
      </xdr:nvSpPr>
      <xdr:spPr>
        <a:xfrm>
          <a:off x="8366760" y="754380"/>
          <a:ext cx="1363980" cy="74676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r>
            <a:rPr lang="en-IN" sz="1100" baseline="0"/>
            <a:t>               </a:t>
          </a:r>
          <a:r>
            <a:rPr lang="en-IN" sz="1100" b="1" baseline="0">
              <a:solidFill>
                <a:schemeClr val="accent4">
                  <a:lumMod val="50000"/>
                </a:schemeClr>
              </a:solidFill>
            </a:rPr>
            <a:t>793</a:t>
          </a:r>
          <a:endParaRPr lang="en-IN" sz="1100" b="1">
            <a:solidFill>
              <a:schemeClr val="accent4">
                <a:lumMod val="50000"/>
              </a:schemeClr>
            </a:solidFill>
          </a:endParaRPr>
        </a:p>
      </xdr:txBody>
    </xdr:sp>
    <xdr:clientData/>
  </xdr:twoCellAnchor>
  <xdr:twoCellAnchor>
    <xdr:from>
      <xdr:col>17</xdr:col>
      <xdr:colOff>327660</xdr:colOff>
      <xdr:row>3</xdr:row>
      <xdr:rowOff>15240</xdr:rowOff>
    </xdr:from>
    <xdr:to>
      <xdr:col>19</xdr:col>
      <xdr:colOff>472440</xdr:colOff>
      <xdr:row>7</xdr:row>
      <xdr:rowOff>30480</xdr:rowOff>
    </xdr:to>
    <xdr:sp macro="" textlink="">
      <xdr:nvSpPr>
        <xdr:cNvPr id="16" name="Rectangle: Rounded Corners 15">
          <a:extLst>
            <a:ext uri="{FF2B5EF4-FFF2-40B4-BE49-F238E27FC236}">
              <a16:creationId xmlns:a16="http://schemas.microsoft.com/office/drawing/2014/main" id="{D468B720-808C-4096-BDE8-4E3EB8F1EC95}"/>
            </a:ext>
          </a:extLst>
        </xdr:cNvPr>
        <xdr:cNvSpPr/>
      </xdr:nvSpPr>
      <xdr:spPr>
        <a:xfrm>
          <a:off x="10690860" y="746760"/>
          <a:ext cx="1363980" cy="74676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r>
            <a:rPr lang="en-IN" sz="1100" b="1">
              <a:solidFill>
                <a:schemeClr val="accent4">
                  <a:lumMod val="50000"/>
                </a:schemeClr>
              </a:solidFill>
            </a:rPr>
            <a:t>                06</a:t>
          </a:r>
        </a:p>
      </xdr:txBody>
    </xdr:sp>
    <xdr:clientData/>
  </xdr:twoCellAnchor>
  <xdr:twoCellAnchor>
    <xdr:from>
      <xdr:col>1</xdr:col>
      <xdr:colOff>243840</xdr:colOff>
      <xdr:row>3</xdr:row>
      <xdr:rowOff>60960</xdr:rowOff>
    </xdr:from>
    <xdr:to>
      <xdr:col>3</xdr:col>
      <xdr:colOff>411480</xdr:colOff>
      <xdr:row>4</xdr:row>
      <xdr:rowOff>144780</xdr:rowOff>
    </xdr:to>
    <xdr:sp macro="" textlink="">
      <xdr:nvSpPr>
        <xdr:cNvPr id="18" name="Rectangle 17">
          <a:extLst>
            <a:ext uri="{FF2B5EF4-FFF2-40B4-BE49-F238E27FC236}">
              <a16:creationId xmlns:a16="http://schemas.microsoft.com/office/drawing/2014/main" id="{1FDEF9EB-8901-8C59-98BF-15DD13A854B9}"/>
            </a:ext>
          </a:extLst>
        </xdr:cNvPr>
        <xdr:cNvSpPr/>
      </xdr:nvSpPr>
      <xdr:spPr>
        <a:xfrm>
          <a:off x="853440" y="792480"/>
          <a:ext cx="1386840" cy="26670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Customer</a:t>
          </a:r>
        </a:p>
      </xdr:txBody>
    </xdr:sp>
    <xdr:clientData/>
  </xdr:twoCellAnchor>
  <xdr:twoCellAnchor>
    <xdr:from>
      <xdr:col>5</xdr:col>
      <xdr:colOff>350520</xdr:colOff>
      <xdr:row>3</xdr:row>
      <xdr:rowOff>45720</xdr:rowOff>
    </xdr:from>
    <xdr:to>
      <xdr:col>7</xdr:col>
      <xdr:colOff>518160</xdr:colOff>
      <xdr:row>4</xdr:row>
      <xdr:rowOff>129540</xdr:rowOff>
    </xdr:to>
    <xdr:sp macro="" textlink="">
      <xdr:nvSpPr>
        <xdr:cNvPr id="20" name="Rectangle 19">
          <a:extLst>
            <a:ext uri="{FF2B5EF4-FFF2-40B4-BE49-F238E27FC236}">
              <a16:creationId xmlns:a16="http://schemas.microsoft.com/office/drawing/2014/main" id="{A717D404-6AA6-4F96-BC90-043FE2320F27}"/>
            </a:ext>
          </a:extLst>
        </xdr:cNvPr>
        <xdr:cNvSpPr/>
      </xdr:nvSpPr>
      <xdr:spPr>
        <a:xfrm>
          <a:off x="3398520" y="777240"/>
          <a:ext cx="1386840" cy="26670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chemeClr val="tx1"/>
              </a:solidFill>
            </a:rPr>
            <a:t>Average Age</a:t>
          </a:r>
          <a:endParaRPr lang="en-IN" sz="1100" b="1">
            <a:solidFill>
              <a:schemeClr val="tx1"/>
            </a:solidFill>
          </a:endParaRPr>
        </a:p>
      </xdr:txBody>
    </xdr:sp>
    <xdr:clientData/>
  </xdr:twoCellAnchor>
  <xdr:twoCellAnchor>
    <xdr:from>
      <xdr:col>9</xdr:col>
      <xdr:colOff>441960</xdr:colOff>
      <xdr:row>3</xdr:row>
      <xdr:rowOff>30480</xdr:rowOff>
    </xdr:from>
    <xdr:to>
      <xdr:col>12</xdr:col>
      <xdr:colOff>0</xdr:colOff>
      <xdr:row>4</xdr:row>
      <xdr:rowOff>114300</xdr:rowOff>
    </xdr:to>
    <xdr:sp macro="" textlink="">
      <xdr:nvSpPr>
        <xdr:cNvPr id="22" name="Rectangle 21">
          <a:extLst>
            <a:ext uri="{FF2B5EF4-FFF2-40B4-BE49-F238E27FC236}">
              <a16:creationId xmlns:a16="http://schemas.microsoft.com/office/drawing/2014/main" id="{F6BAD84F-478D-4380-B76C-7C084E66AE0C}"/>
            </a:ext>
          </a:extLst>
        </xdr:cNvPr>
        <xdr:cNvSpPr/>
      </xdr:nvSpPr>
      <xdr:spPr>
        <a:xfrm>
          <a:off x="5928360" y="762000"/>
          <a:ext cx="1386840" cy="26670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chemeClr val="tx1"/>
              </a:solidFill>
            </a:rPr>
            <a:t>Average Risk Score</a:t>
          </a:r>
          <a:endParaRPr lang="en-IN" sz="1100" b="1">
            <a:solidFill>
              <a:schemeClr val="tx1"/>
            </a:solidFill>
          </a:endParaRPr>
        </a:p>
      </xdr:txBody>
    </xdr:sp>
    <xdr:clientData/>
  </xdr:twoCellAnchor>
  <xdr:twoCellAnchor>
    <xdr:from>
      <xdr:col>13</xdr:col>
      <xdr:colOff>502920</xdr:colOff>
      <xdr:row>3</xdr:row>
      <xdr:rowOff>53340</xdr:rowOff>
    </xdr:from>
    <xdr:to>
      <xdr:col>16</xdr:col>
      <xdr:colOff>60960</xdr:colOff>
      <xdr:row>4</xdr:row>
      <xdr:rowOff>137160</xdr:rowOff>
    </xdr:to>
    <xdr:sp macro="" textlink="">
      <xdr:nvSpPr>
        <xdr:cNvPr id="24" name="Rectangle 23">
          <a:extLst>
            <a:ext uri="{FF2B5EF4-FFF2-40B4-BE49-F238E27FC236}">
              <a16:creationId xmlns:a16="http://schemas.microsoft.com/office/drawing/2014/main" id="{42D3D2E4-E1AF-4457-9DB2-EACF5DAA101A}"/>
            </a:ext>
          </a:extLst>
        </xdr:cNvPr>
        <xdr:cNvSpPr/>
      </xdr:nvSpPr>
      <xdr:spPr>
        <a:xfrm>
          <a:off x="8427720" y="784860"/>
          <a:ext cx="1386840" cy="26670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chemeClr val="tx1"/>
              </a:solidFill>
            </a:rPr>
            <a:t>Smokers %</a:t>
          </a:r>
          <a:endParaRPr lang="en-IN" sz="1100" b="1">
            <a:solidFill>
              <a:schemeClr val="tx1"/>
            </a:solidFill>
          </a:endParaRPr>
        </a:p>
      </xdr:txBody>
    </xdr:sp>
    <xdr:clientData/>
  </xdr:twoCellAnchor>
  <xdr:twoCellAnchor>
    <xdr:from>
      <xdr:col>17</xdr:col>
      <xdr:colOff>396240</xdr:colOff>
      <xdr:row>3</xdr:row>
      <xdr:rowOff>53340</xdr:rowOff>
    </xdr:from>
    <xdr:to>
      <xdr:col>19</xdr:col>
      <xdr:colOff>563880</xdr:colOff>
      <xdr:row>4</xdr:row>
      <xdr:rowOff>137160</xdr:rowOff>
    </xdr:to>
    <xdr:sp macro="" textlink="">
      <xdr:nvSpPr>
        <xdr:cNvPr id="25" name="Rectangle 24">
          <a:extLst>
            <a:ext uri="{FF2B5EF4-FFF2-40B4-BE49-F238E27FC236}">
              <a16:creationId xmlns:a16="http://schemas.microsoft.com/office/drawing/2014/main" id="{BF7B139B-8968-4D01-80ED-FAA4E28CF012}"/>
            </a:ext>
          </a:extLst>
        </xdr:cNvPr>
        <xdr:cNvSpPr/>
      </xdr:nvSpPr>
      <xdr:spPr>
        <a:xfrm>
          <a:off x="10759440" y="784860"/>
          <a:ext cx="1386840" cy="266700"/>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b="1">
              <a:solidFill>
                <a:schemeClr val="tx1"/>
              </a:solidFill>
            </a:rPr>
            <a:t>Total Regions</a:t>
          </a:r>
          <a:endParaRPr lang="en-IN" sz="1100" b="1">
            <a:solidFill>
              <a:schemeClr val="tx1"/>
            </a:solidFill>
          </a:endParaRPr>
        </a:p>
      </xdr:txBody>
    </xdr:sp>
    <xdr:clientData/>
  </xdr:twoCellAnchor>
  <xdr:twoCellAnchor editAs="oneCell">
    <xdr:from>
      <xdr:col>1</xdr:col>
      <xdr:colOff>15240</xdr:colOff>
      <xdr:row>9</xdr:row>
      <xdr:rowOff>1</xdr:rowOff>
    </xdr:from>
    <xdr:to>
      <xdr:col>3</xdr:col>
      <xdr:colOff>419100</xdr:colOff>
      <xdr:row>12</xdr:row>
      <xdr:rowOff>15241</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EC6D981A-DCE3-4433-AA86-E5317BE6F2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4840" y="1828801"/>
              <a:ext cx="162306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9</xdr:row>
      <xdr:rowOff>7621</xdr:rowOff>
    </xdr:from>
    <xdr:to>
      <xdr:col>7</xdr:col>
      <xdr:colOff>15240</xdr:colOff>
      <xdr:row>12</xdr:row>
      <xdr:rowOff>7621</xdr:rowOff>
    </xdr:to>
    <mc:AlternateContent xmlns:mc="http://schemas.openxmlformats.org/markup-compatibility/2006" xmlns:a14="http://schemas.microsoft.com/office/drawing/2010/main">
      <mc:Choice Requires="a14">
        <xdr:graphicFrame macro="">
          <xdr:nvGraphicFramePr>
            <xdr:cNvPr id="28" name="gender">
              <a:extLst>
                <a:ext uri="{FF2B5EF4-FFF2-40B4-BE49-F238E27FC236}">
                  <a16:creationId xmlns:a16="http://schemas.microsoft.com/office/drawing/2014/main" id="{D16D0865-DD7F-4DD4-A3CA-023BFEB1B0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05100" y="1836421"/>
              <a:ext cx="1577340" cy="548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541020</xdr:colOff>
      <xdr:row>9</xdr:row>
      <xdr:rowOff>7621</xdr:rowOff>
    </xdr:from>
    <xdr:to>
      <xdr:col>10</xdr:col>
      <xdr:colOff>472440</xdr:colOff>
      <xdr:row>12</xdr:row>
      <xdr:rowOff>7621</xdr:rowOff>
    </xdr:to>
    <mc:AlternateContent xmlns:mc="http://schemas.openxmlformats.org/markup-compatibility/2006" xmlns:a14="http://schemas.microsoft.com/office/drawing/2010/main">
      <mc:Choice Requires="a14">
        <xdr:graphicFrame macro="">
          <xdr:nvGraphicFramePr>
            <xdr:cNvPr id="29" name="occupation">
              <a:extLst>
                <a:ext uri="{FF2B5EF4-FFF2-40B4-BE49-F238E27FC236}">
                  <a16:creationId xmlns:a16="http://schemas.microsoft.com/office/drawing/2014/main" id="{8C7D1C1C-C40A-4BB8-BABA-5E2C9094FB46}"/>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4808220" y="1836421"/>
              <a:ext cx="1760220" cy="548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289560</xdr:colOff>
      <xdr:row>8</xdr:row>
      <xdr:rowOff>175260</xdr:rowOff>
    </xdr:from>
    <xdr:to>
      <xdr:col>13</xdr:col>
      <xdr:colOff>594360</xdr:colOff>
      <xdr:row>12</xdr:row>
      <xdr:rowOff>15239</xdr:rowOff>
    </xdr:to>
    <mc:AlternateContent xmlns:mc="http://schemas.openxmlformats.org/markup-compatibility/2006" xmlns:a14="http://schemas.microsoft.com/office/drawing/2010/main">
      <mc:Choice Requires="a14">
        <xdr:graphicFrame macro="">
          <xdr:nvGraphicFramePr>
            <xdr:cNvPr id="30" name="Age Group">
              <a:extLst>
                <a:ext uri="{FF2B5EF4-FFF2-40B4-BE49-F238E27FC236}">
                  <a16:creationId xmlns:a16="http://schemas.microsoft.com/office/drawing/2014/main" id="{5B7E5D33-C6F0-4463-A9B5-5F53DA93D52B}"/>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6995160" y="1821180"/>
              <a:ext cx="1524000" cy="57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502920</xdr:colOff>
      <xdr:row>9</xdr:row>
      <xdr:rowOff>15241</xdr:rowOff>
    </xdr:from>
    <xdr:to>
      <xdr:col>17</xdr:col>
      <xdr:colOff>129540</xdr:colOff>
      <xdr:row>12</xdr:row>
      <xdr:rowOff>0</xdr:rowOff>
    </xdr:to>
    <mc:AlternateContent xmlns:mc="http://schemas.openxmlformats.org/markup-compatibility/2006" xmlns:a14="http://schemas.microsoft.com/office/drawing/2010/main">
      <mc:Choice Requires="a14">
        <xdr:graphicFrame macro="">
          <xdr:nvGraphicFramePr>
            <xdr:cNvPr id="31" name="smoking_status">
              <a:extLst>
                <a:ext uri="{FF2B5EF4-FFF2-40B4-BE49-F238E27FC236}">
                  <a16:creationId xmlns:a16="http://schemas.microsoft.com/office/drawing/2014/main" id="{79D39B89-F23A-4624-B14D-4250CE752C0E}"/>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mlns="">
        <xdr:sp macro="" textlink="">
          <xdr:nvSpPr>
            <xdr:cNvPr id="0" name=""/>
            <xdr:cNvSpPr>
              <a:spLocks noTextEdit="1"/>
            </xdr:cNvSpPr>
          </xdr:nvSpPr>
          <xdr:spPr>
            <a:xfrm>
              <a:off x="9037320" y="1844041"/>
              <a:ext cx="1455420" cy="533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472440</xdr:colOff>
      <xdr:row>9</xdr:row>
      <xdr:rowOff>15241</xdr:rowOff>
    </xdr:from>
    <xdr:to>
      <xdr:col>20</xdr:col>
      <xdr:colOff>472440</xdr:colOff>
      <xdr:row>12</xdr:row>
      <xdr:rowOff>15241</xdr:rowOff>
    </xdr:to>
    <mc:AlternateContent xmlns:mc="http://schemas.openxmlformats.org/markup-compatibility/2006" xmlns:a14="http://schemas.microsoft.com/office/drawing/2010/main">
      <mc:Choice Requires="a14">
        <xdr:graphicFrame macro="">
          <xdr:nvGraphicFramePr>
            <xdr:cNvPr id="33" name=" Year">
              <a:extLst>
                <a:ext uri="{FF2B5EF4-FFF2-40B4-BE49-F238E27FC236}">
                  <a16:creationId xmlns:a16="http://schemas.microsoft.com/office/drawing/2014/main" id="{E61ABD64-DDCA-471E-9069-F3115511B9D9}"/>
                </a:ext>
              </a:extLst>
            </xdr:cNvPr>
            <xdr:cNvGraphicFramePr/>
          </xdr:nvGraphicFramePr>
          <xdr:xfrm>
            <a:off x="0" y="0"/>
            <a:ext cx="0" cy="0"/>
          </xdr:xfrm>
          <a:graphic>
            <a:graphicData uri="http://schemas.microsoft.com/office/drawing/2010/slicer">
              <sle:slicer xmlns:sle="http://schemas.microsoft.com/office/drawing/2010/slicer" name=" Year"/>
            </a:graphicData>
          </a:graphic>
        </xdr:graphicFrame>
      </mc:Choice>
      <mc:Fallback xmlns="">
        <xdr:sp macro="" textlink="">
          <xdr:nvSpPr>
            <xdr:cNvPr id="0" name=""/>
            <xdr:cNvSpPr>
              <a:spLocks noTextEdit="1"/>
            </xdr:cNvSpPr>
          </xdr:nvSpPr>
          <xdr:spPr>
            <a:xfrm>
              <a:off x="10835640" y="1844041"/>
              <a:ext cx="1828800" cy="548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1" refreshedDate="46228.387601273149" createdVersion="8" refreshedVersion="8" minRefreshableVersion="3" recordCount="1648" xr:uid="{ACECC50B-BB79-42C8-8B78-5D011456280C}">
  <cacheSource type="worksheet">
    <worksheetSource name="Sheet1"/>
  </cacheSource>
  <cacheFields count="19">
    <cacheField name="customer_id" numFmtId="0">
      <sharedItems count="1648">
        <s v="CUST10000"/>
        <s v="CUST10001"/>
        <s v="CUST10002"/>
        <s v="CUST10003"/>
        <s v="CUST10005"/>
        <s v="CUST10006"/>
        <s v="CUST10007"/>
        <s v="CUST10008"/>
        <s v="CUST10009"/>
        <s v="CUST10011"/>
        <s v="CUST10012"/>
        <s v="CUST10013"/>
        <s v="CUST10014"/>
        <s v="CUST10015"/>
        <s v="CUST10016"/>
        <s v="CUST10018"/>
        <s v="CUST10020"/>
        <s v="CUST10021"/>
        <s v="CUST10022"/>
        <s v="CUST10025"/>
        <s v="CUST10026"/>
        <s v="CUST10027"/>
        <s v="CUST10029"/>
        <s v="CUST10030"/>
        <s v="CUST10031"/>
        <s v="CUST10032"/>
        <s v="CUST10033"/>
        <s v="CUST10035"/>
        <s v="CUST10036"/>
        <s v="CUST10037"/>
        <s v="CUST10038"/>
        <s v="CUST10039"/>
        <s v="CUST10040"/>
        <s v="CUST10041"/>
        <s v="CUST10042"/>
        <s v="CUST10043"/>
        <s v="CUST10044"/>
        <s v="CUST10045"/>
        <s v="CUST10048"/>
        <s v="CUST10049"/>
        <s v="CUST10050"/>
        <s v="CUST10057"/>
        <s v="CUST10059"/>
        <s v="CUST10061"/>
        <s v="CUST10063"/>
        <s v="CUST10064"/>
        <s v="CUST10065"/>
        <s v="CUST10066"/>
        <s v="CUST10069"/>
        <s v="CUST10070"/>
        <s v="CUST10073"/>
        <s v="CUST10074"/>
        <s v="CUST10075"/>
        <s v="CUST10076"/>
        <s v="CUST10077"/>
        <s v="CUST10079"/>
        <s v="CUST10080"/>
        <s v="CUST10082"/>
        <s v="CUST10085"/>
        <s v="CUST10086"/>
        <s v="CUST10088"/>
        <s v="CUST10089"/>
        <s v="CUST10090"/>
        <s v="CUST10092"/>
        <s v="CUST10097"/>
        <s v="CUST10098"/>
        <s v="CUST10099"/>
        <s v="CUST10100"/>
        <s v="CUST10101"/>
        <s v="CUST10102"/>
        <s v="CUST10104"/>
        <s v="CUST10105"/>
        <s v="CUST10108"/>
        <s v="CUST10110"/>
        <s v="CUST10112"/>
        <s v="CUST10113"/>
        <s v="CUST10115"/>
        <s v="CUST10117"/>
        <s v="CUST10119"/>
        <s v="CUST10120"/>
        <s v="CUST10121"/>
        <s v="CUST10123"/>
        <s v="CUST10130"/>
        <s v="CUST10131"/>
        <s v="CUST10132"/>
        <s v="CUST10133"/>
        <s v="CUST10135"/>
        <s v="CUST10136"/>
        <s v="CUST10137"/>
        <s v="CUST10138"/>
        <s v="CUST10140"/>
        <s v="CUST10141"/>
        <s v="CUST10142"/>
        <s v="CUST10143"/>
        <s v="CUST10144"/>
        <s v="CUST10145"/>
        <s v="CUST10147"/>
        <s v="CUST10149"/>
        <s v="CUST10150"/>
        <s v="CUST10151"/>
        <s v="CUST10152"/>
        <s v="CUST10153"/>
        <s v="CUST10154"/>
        <s v="CUST10155"/>
        <s v="CUST10156"/>
        <s v="CUST10160"/>
        <s v="CUST10161"/>
        <s v="CUST10165"/>
        <s v="CUST10169"/>
        <s v="CUST10170"/>
        <s v="CUST10173"/>
        <s v="CUST10174"/>
        <s v="CUST10177"/>
        <s v="CUST10178"/>
        <s v="CUST10180"/>
        <s v="CUST10181"/>
        <s v="CUST10184"/>
        <s v="CUST10186"/>
        <s v="CUST10189"/>
        <s v="CUST10190"/>
        <s v="CUST10191"/>
        <s v="CUST10192"/>
        <s v="CUST10194"/>
        <s v="CUST10195"/>
        <s v="CUST10198"/>
        <s v="CUST10200"/>
        <s v="CUST10202"/>
        <s v="CUST10204"/>
        <s v="CUST10205"/>
        <s v="CUST10206"/>
        <s v="CUST10207"/>
        <s v="CUST10208"/>
        <s v="CUST10209"/>
        <s v="CUST10210"/>
        <s v="CUST10212"/>
        <s v="CUST10214"/>
        <s v="CUST10216"/>
        <s v="CUST10217"/>
        <s v="CUST10218"/>
        <s v="CUST10219"/>
        <s v="CUST10220"/>
        <s v="CUST10222"/>
        <s v="CUST10223"/>
        <s v="CUST10226"/>
        <s v="CUST10227"/>
        <s v="CUST10228"/>
        <s v="CUST10229"/>
        <s v="CUST10230"/>
        <s v="CUST10231"/>
        <s v="CUST10232"/>
        <s v="CUST10233"/>
        <s v="CUST10234"/>
        <s v="CUST10235"/>
        <s v="CUST10236"/>
        <s v="CUST10238"/>
        <s v="CUST10239"/>
        <s v="CUST10241"/>
        <s v="CUST10242"/>
        <s v="CUST10243"/>
        <s v="CUST10244"/>
        <s v="CUST10246"/>
        <s v="CUST10248"/>
        <s v="CUST10250"/>
        <s v="CUST10251"/>
        <s v="CUST10252"/>
        <s v="CUST10255"/>
        <s v="CUST10256"/>
        <s v="CUST10257"/>
        <s v="CUST10258"/>
        <s v="CUST10259"/>
        <s v="CUST10260"/>
        <s v="CUST10264"/>
        <s v="CUST10265"/>
        <s v="CUST10268"/>
        <s v="CUST10269"/>
        <s v="CUST10270"/>
        <s v="CUST10272"/>
        <s v="CUST10273"/>
        <s v="CUST10274"/>
        <s v="CUST10275"/>
        <s v="CUST10276"/>
        <s v="CUST10278"/>
        <s v="CUST10283"/>
        <s v="CUST10285"/>
        <s v="CUST10286"/>
        <s v="CUST10291"/>
        <s v="CUST10293"/>
        <s v="CUST10294"/>
        <s v="CUST10296"/>
        <s v="CUST10297"/>
        <s v="CUST10299"/>
        <s v="CUST10300"/>
        <s v="CUST10302"/>
        <s v="CUST10303"/>
        <s v="CUST10304"/>
        <s v="CUST10305"/>
        <s v="CUST10307"/>
        <s v="CUST10309"/>
        <s v="CUST10310"/>
        <s v="CUST10311"/>
        <s v="CUST10312"/>
        <s v="CUST10314"/>
        <s v="CUST10315"/>
        <s v="CUST10316"/>
        <s v="CUST10317"/>
        <s v="CUST10318"/>
        <s v="CUST10319"/>
        <s v="CUST10326"/>
        <s v="CUST10327"/>
        <s v="CUST10328"/>
        <s v="CUST10329"/>
        <s v="CUST10330"/>
        <s v="CUST10333"/>
        <s v="CUST10335"/>
        <s v="CUST10336"/>
        <s v="CUST10339"/>
        <s v="CUST10341"/>
        <s v="CUST10345"/>
        <s v="CUST10346"/>
        <s v="CUST10347"/>
        <s v="CUST10348"/>
        <s v="CUST10349"/>
        <s v="CUST10350"/>
        <s v="CUST10352"/>
        <s v="CUST10353"/>
        <s v="CUST10357"/>
        <s v="CUST10358"/>
        <s v="CUST10359"/>
        <s v="CUST10360"/>
        <s v="CUST10362"/>
        <s v="CUST10363"/>
        <s v="CUST10365"/>
        <s v="CUST10366"/>
        <s v="CUST10367"/>
        <s v="CUST10369"/>
        <s v="CUST10370"/>
        <s v="CUST10371"/>
        <s v="CUST10372"/>
        <s v="CUST10374"/>
        <s v="CUST10375"/>
        <s v="CUST10378"/>
        <s v="CUST10379"/>
        <s v="CUST10380"/>
        <s v="CUST10381"/>
        <s v="CUST10383"/>
        <s v="CUST10386"/>
        <s v="CUST10388"/>
        <s v="CUST10390"/>
        <s v="CUST10393"/>
        <s v="CUST10394"/>
        <s v="CUST10395"/>
        <s v="CUST10396"/>
        <s v="CUST10397"/>
        <s v="CUST10398"/>
        <s v="CUST10401"/>
        <s v="CUST10402"/>
        <s v="CUST10403"/>
        <s v="CUST10405"/>
        <s v="CUST10406"/>
        <s v="CUST10407"/>
        <s v="CUST10410"/>
        <s v="CUST10411"/>
        <s v="CUST10412"/>
        <s v="CUST10413"/>
        <s v="CUST10416"/>
        <s v="CUST10417"/>
        <s v="CUST10421"/>
        <s v="CUST10422"/>
        <s v="CUST10425"/>
        <s v="CUST10427"/>
        <s v="CUST10428"/>
        <s v="CUST10430"/>
        <s v="CUST10431"/>
        <s v="CUST10433"/>
        <s v="CUST10435"/>
        <s v="CUST10436"/>
        <s v="CUST10437"/>
        <s v="CUST10439"/>
        <s v="CUST10441"/>
        <s v="CUST10442"/>
        <s v="CUST10443"/>
        <s v="CUST10444"/>
        <s v="CUST10447"/>
        <s v="CUST10448"/>
        <s v="CUST10449"/>
        <s v="CUST10451"/>
        <s v="CUST10452"/>
        <s v="CUST10453"/>
        <s v="CUST10454"/>
        <s v="CUST10456"/>
        <s v="CUST10457"/>
        <s v="CUST10459"/>
        <s v="CUST10460"/>
        <s v="CUST10461"/>
        <s v="CUST10462"/>
        <s v="CUST10464"/>
        <s v="CUST10465"/>
        <s v="CUST10466"/>
        <s v="CUST10468"/>
        <s v="CUST10469"/>
        <s v="CUST10470"/>
        <s v="CUST10471"/>
        <s v="CUST10472"/>
        <s v="CUST10473"/>
        <s v="CUST10474"/>
        <s v="CUST10475"/>
        <s v="CUST10476"/>
        <s v="CUST10478"/>
        <s v="CUST10479"/>
        <s v="CUST10480"/>
        <s v="CUST10482"/>
        <s v="CUST10484"/>
        <s v="CUST10485"/>
        <s v="CUST10486"/>
        <s v="CUST10487"/>
        <s v="CUST10489"/>
        <s v="CUST10494"/>
        <s v="CUST10495"/>
        <s v="CUST10497"/>
        <s v="CUST10499"/>
        <s v="CUST10501"/>
        <s v="CUST10502"/>
        <s v="CUST10503"/>
        <s v="CUST10505"/>
        <s v="CUST10506"/>
        <s v="CUST10507"/>
        <s v="CUST10510"/>
        <s v="CUST10511"/>
        <s v="CUST10513"/>
        <s v="CUST10515"/>
        <s v="CUST10517"/>
        <s v="CUST10518"/>
        <s v="CUST10519"/>
        <s v="CUST10520"/>
        <s v="CUST10523"/>
        <s v="CUST10524"/>
        <s v="CUST10527"/>
        <s v="CUST10529"/>
        <s v="CUST10530"/>
        <s v="CUST10531"/>
        <s v="CUST10532"/>
        <s v="CUST10537"/>
        <s v="CUST10538"/>
        <s v="CUST10540"/>
        <s v="CUST10541"/>
        <s v="CUST10542"/>
        <s v="CUST10544"/>
        <s v="CUST10545"/>
        <s v="CUST10546"/>
        <s v="CUST10548"/>
        <s v="CUST10550"/>
        <s v="CUST10551"/>
        <s v="CUST10553"/>
        <s v="CUST10554"/>
        <s v="CUST10555"/>
        <s v="CUST10556"/>
        <s v="CUST10557"/>
        <s v="CUST10559"/>
        <s v="CUST10560"/>
        <s v="CUST10561"/>
        <s v="CUST10563"/>
        <s v="CUST10565"/>
        <s v="CUST10566"/>
        <s v="CUST10567"/>
        <s v="CUST10568"/>
        <s v="CUST10569"/>
        <s v="CUST10570"/>
        <s v="CUST10572"/>
        <s v="CUST10573"/>
        <s v="CUST10574"/>
        <s v="CUST10575"/>
        <s v="CUST10576"/>
        <s v="CUST10577"/>
        <s v="CUST10578"/>
        <s v="CUST10580"/>
        <s v="CUST10583"/>
        <s v="CUST10586"/>
        <s v="CUST10587"/>
        <s v="CUST10588"/>
        <s v="CUST10591"/>
        <s v="CUST10592"/>
        <s v="CUST10595"/>
        <s v="CUST10597"/>
        <s v="CUST10598"/>
        <s v="CUST10599"/>
        <s v="CUST10600"/>
        <s v="CUST10601"/>
        <s v="CUST10602"/>
        <s v="CUST10603"/>
        <s v="CUST10605"/>
        <s v="CUST10606"/>
        <s v="CUST10608"/>
        <s v="CUST10613"/>
        <s v="CUST10614"/>
        <s v="CUST10615"/>
        <s v="CUST10616"/>
        <s v="CUST10617"/>
        <s v="CUST10618"/>
        <s v="CUST10619"/>
        <s v="CUST10624"/>
        <s v="CUST10625"/>
        <s v="CUST10626"/>
        <s v="CUST10627"/>
        <s v="CUST10628"/>
        <s v="CUST10629"/>
        <s v="CUST10630"/>
        <s v="CUST10632"/>
        <s v="CUST10634"/>
        <s v="CUST10635"/>
        <s v="CUST10637"/>
        <s v="CUST10638"/>
        <s v="CUST10639"/>
        <s v="CUST10642"/>
        <s v="CUST10643"/>
        <s v="CUST10645"/>
        <s v="CUST10646"/>
        <s v="CUST10647"/>
        <s v="CUST10652"/>
        <s v="CUST10653"/>
        <s v="CUST10654"/>
        <s v="CUST10655"/>
        <s v="CUST10656"/>
        <s v="CUST10659"/>
        <s v="CUST10660"/>
        <s v="CUST10663"/>
        <s v="CUST10667"/>
        <s v="CUST10672"/>
        <s v="CUST10673"/>
        <s v="CUST10674"/>
        <s v="CUST10675"/>
        <s v="CUST10676"/>
        <s v="CUST10678"/>
        <s v="CUST10680"/>
        <s v="CUST10681"/>
        <s v="CUST10682"/>
        <s v="CUST10683"/>
        <s v="CUST10684"/>
        <s v="CUST10687"/>
        <s v="CUST10688"/>
        <s v="CUST10689"/>
        <s v="CUST10690"/>
        <s v="CUST10691"/>
        <s v="CUST10692"/>
        <s v="CUST10693"/>
        <s v="CUST10695"/>
        <s v="CUST10696"/>
        <s v="CUST10698"/>
        <s v="CUST10701"/>
        <s v="CUST10702"/>
        <s v="CUST10703"/>
        <s v="CUST10704"/>
        <s v="CUST10706"/>
        <s v="CUST10707"/>
        <s v="CUST10708"/>
        <s v="CUST10710"/>
        <s v="CUST10712"/>
        <s v="CUST10713"/>
        <s v="CUST10714"/>
        <s v="CUST10718"/>
        <s v="CUST10723"/>
        <s v="CUST10724"/>
        <s v="CUST10725"/>
        <s v="CUST10726"/>
        <s v="CUST10727"/>
        <s v="CUST10728"/>
        <s v="CUST10729"/>
        <s v="CUST10731"/>
        <s v="CUST10732"/>
        <s v="CUST10733"/>
        <s v="CUST10734"/>
        <s v="CUST10737"/>
        <s v="CUST10738"/>
        <s v="CUST10742"/>
        <s v="CUST10743"/>
        <s v="CUST10745"/>
        <s v="CUST10746"/>
        <s v="CUST10747"/>
        <s v="CUST10749"/>
        <s v="CUST10750"/>
        <s v="CUST10752"/>
        <s v="CUST10753"/>
        <s v="CUST10756"/>
        <s v="CUST10757"/>
        <s v="CUST10758"/>
        <s v="CUST10759"/>
        <s v="CUST10760"/>
        <s v="CUST10761"/>
        <s v="CUST10762"/>
        <s v="CUST10763"/>
        <s v="CUST10765"/>
        <s v="CUST10766"/>
        <s v="CUST10767"/>
        <s v="CUST10768"/>
        <s v="CUST10769"/>
        <s v="CUST10770"/>
        <s v="CUST10773"/>
        <s v="CUST10774"/>
        <s v="CUST10779"/>
        <s v="CUST10781"/>
        <s v="CUST10783"/>
        <s v="CUST10784"/>
        <s v="CUST10785"/>
        <s v="CUST10787"/>
        <s v="CUST10789"/>
        <s v="CUST10790"/>
        <s v="CUST10792"/>
        <s v="CUST10793"/>
        <s v="CUST10794"/>
        <s v="CUST10795"/>
        <s v="CUST10796"/>
        <s v="CUST10797"/>
        <s v="CUST10799"/>
        <s v="CUST10800"/>
        <s v="CUST10801"/>
        <s v="CUST10802"/>
        <s v="CUST10803"/>
        <s v="CUST10804"/>
        <s v="CUST10805"/>
        <s v="CUST10806"/>
        <s v="CUST10808"/>
        <s v="CUST10809"/>
        <s v="CUST10810"/>
        <s v="CUST10812"/>
        <s v="CUST10813"/>
        <s v="CUST10816"/>
        <s v="CUST10817"/>
        <s v="CUST10818"/>
        <s v="CUST10820"/>
        <s v="CUST10822"/>
        <s v="CUST10823"/>
        <s v="CUST10825"/>
        <s v="CUST10827"/>
        <s v="CUST10830"/>
        <s v="CUST10831"/>
        <s v="CUST10832"/>
        <s v="CUST10833"/>
        <s v="CUST10837"/>
        <s v="CUST10839"/>
        <s v="CUST10841"/>
        <s v="CUST10843"/>
        <s v="CUST10844"/>
        <s v="CUST10845"/>
        <s v="CUST10847"/>
        <s v="CUST10850"/>
        <s v="CUST10851"/>
        <s v="CUST10852"/>
        <s v="CUST10853"/>
        <s v="CUST10856"/>
        <s v="CUST10859"/>
        <s v="CUST10860"/>
        <s v="CUST10861"/>
        <s v="CUST10862"/>
        <s v="CUST10863"/>
        <s v="CUST10864"/>
        <s v="CUST10870"/>
        <s v="CUST10871"/>
        <s v="CUST10872"/>
        <s v="CUST10873"/>
        <s v="CUST10875"/>
        <s v="CUST10876"/>
        <s v="CUST10881"/>
        <s v="CUST10884"/>
        <s v="CUST10885"/>
        <s v="CUST10887"/>
        <s v="CUST10888"/>
        <s v="CUST10889"/>
        <s v="CUST10890"/>
        <s v="CUST10891"/>
        <s v="CUST10892"/>
        <s v="CUST10895"/>
        <s v="CUST10896"/>
        <s v="CUST10898"/>
        <s v="CUST10899"/>
        <s v="CUST10900"/>
        <s v="CUST10902"/>
        <s v="CUST10904"/>
        <s v="CUST10906"/>
        <s v="CUST10907"/>
        <s v="CUST10909"/>
        <s v="CUST10910"/>
        <s v="CUST10911"/>
        <s v="CUST10912"/>
        <s v="CUST10913"/>
        <s v="CUST10915"/>
        <s v="CUST10916"/>
        <s v="CUST10917"/>
        <s v="CUST10918"/>
        <s v="CUST10921"/>
        <s v="CUST10923"/>
        <s v="CUST10924"/>
        <s v="CUST10925"/>
        <s v="CUST10926"/>
        <s v="CUST10927"/>
        <s v="CUST10928"/>
        <s v="CUST10930"/>
        <s v="CUST10931"/>
        <s v="CUST10932"/>
        <s v="CUST10933"/>
        <s v="CUST10934"/>
        <s v="CUST10935"/>
        <s v="CUST10936"/>
        <s v="CUST10937"/>
        <s v="CUST10938"/>
        <s v="CUST10939"/>
        <s v="CUST10940"/>
        <s v="CUST10941"/>
        <s v="CUST10942"/>
        <s v="CUST10944"/>
        <s v="CUST10945"/>
        <s v="CUST10946"/>
        <s v="CUST10947"/>
        <s v="CUST10948"/>
        <s v="CUST10949"/>
        <s v="CUST10950"/>
        <s v="CUST10953"/>
        <s v="CUST10955"/>
        <s v="CUST10956"/>
        <s v="CUST10957"/>
        <s v="CUST10958"/>
        <s v="CUST10959"/>
        <s v="CUST10961"/>
        <s v="CUST10962"/>
        <s v="CUST10965"/>
        <s v="CUST10966"/>
        <s v="CUST10967"/>
        <s v="CUST10968"/>
        <s v="CUST10969"/>
        <s v="CUST10970"/>
        <s v="CUST10973"/>
        <s v="CUST10974"/>
        <s v="CUST10978"/>
        <s v="CUST10980"/>
        <s v="CUST10981"/>
        <s v="CUST10983"/>
        <s v="CUST10985"/>
        <s v="CUST10986"/>
        <s v="CUST10987"/>
        <s v="CUST10990"/>
        <s v="CUST10991"/>
        <s v="CUST10992"/>
        <s v="CUST10994"/>
        <s v="CUST10995"/>
        <s v="CUST10996"/>
        <s v="CUST10997"/>
        <s v="CUST10998"/>
        <s v="CUST10999"/>
        <s v="CUST11000"/>
        <s v="CUST11003"/>
        <s v="CUST11005"/>
        <s v="CUST11007"/>
        <s v="CUST11008"/>
        <s v="CUST11009"/>
        <s v="CUST11010"/>
        <s v="CUST11011"/>
        <s v="CUST11012"/>
        <s v="CUST11013"/>
        <s v="CUST11014"/>
        <s v="CUST11015"/>
        <s v="CUST11017"/>
        <s v="CUST11019"/>
        <s v="CUST11020"/>
        <s v="CUST11021"/>
        <s v="CUST11022"/>
        <s v="CUST11024"/>
        <s v="CUST11025"/>
        <s v="CUST11027"/>
        <s v="CUST11028"/>
        <s v="CUST11029"/>
        <s v="CUST11030"/>
        <s v="CUST11032"/>
        <s v="CUST11033"/>
        <s v="CUST11035"/>
        <s v="CUST11036"/>
        <s v="CUST11039"/>
        <s v="CUST11040"/>
        <s v="CUST11041"/>
        <s v="CUST11042"/>
        <s v="CUST11045"/>
        <s v="CUST11046"/>
        <s v="CUST11047"/>
        <s v="CUST11049"/>
        <s v="CUST11050"/>
        <s v="CUST11051"/>
        <s v="CUST11053"/>
        <s v="CUST11055"/>
        <s v="CUST11056"/>
        <s v="CUST11058"/>
        <s v="CUST11061"/>
        <s v="CUST11062"/>
        <s v="CUST11063"/>
        <s v="CUST11064"/>
        <s v="CUST11065"/>
        <s v="CUST11066"/>
        <s v="CUST11067"/>
        <s v="CUST11068"/>
        <s v="CUST11071"/>
        <s v="CUST11072"/>
        <s v="CUST11073"/>
        <s v="CUST11075"/>
        <s v="CUST11077"/>
        <s v="CUST11079"/>
        <s v="CUST11080"/>
        <s v="CUST11081"/>
        <s v="CUST11083"/>
        <s v="CUST11085"/>
        <s v="CUST11086"/>
        <s v="CUST11087"/>
        <s v="CUST11088"/>
        <s v="CUST11090"/>
        <s v="CUST11091"/>
        <s v="CUST11092"/>
        <s v="CUST11093"/>
        <s v="CUST11094"/>
        <s v="CUST11095"/>
        <s v="CUST11098"/>
        <s v="CUST11099"/>
        <s v="CUST11100"/>
        <s v="CUST11101"/>
        <s v="CUST11104"/>
        <s v="CUST11105"/>
        <s v="CUST11107"/>
        <s v="CUST11108"/>
        <s v="CUST11112"/>
        <s v="CUST11114"/>
        <s v="CUST11115"/>
        <s v="CUST11116"/>
        <s v="CUST11119"/>
        <s v="CUST11120"/>
        <s v="CUST11121"/>
        <s v="CUST11122"/>
        <s v="CUST11124"/>
        <s v="CUST11125"/>
        <s v="CUST11126"/>
        <s v="CUST11127"/>
        <s v="CUST11129"/>
        <s v="CUST11131"/>
        <s v="CUST11132"/>
        <s v="CUST11133"/>
        <s v="CUST11134"/>
        <s v="CUST11135"/>
        <s v="CUST11136"/>
        <s v="CUST11138"/>
        <s v="CUST11139"/>
        <s v="CUST11141"/>
        <s v="CUST11143"/>
        <s v="CUST11144"/>
        <s v="CUST11145"/>
        <s v="CUST11146"/>
        <s v="CUST11147"/>
        <s v="CUST11151"/>
        <s v="CUST11154"/>
        <s v="CUST11158"/>
        <s v="CUST11161"/>
        <s v="CUST11162"/>
        <s v="CUST11163"/>
        <s v="CUST11164"/>
        <s v="CUST11165"/>
        <s v="CUST11166"/>
        <s v="CUST11167"/>
        <s v="CUST11169"/>
        <s v="CUST11172"/>
        <s v="CUST11175"/>
        <s v="CUST11179"/>
        <s v="CUST11181"/>
        <s v="CUST11182"/>
        <s v="CUST11186"/>
        <s v="CUST11187"/>
        <s v="CUST11188"/>
        <s v="CUST11189"/>
        <s v="CUST11191"/>
        <s v="CUST11192"/>
        <s v="CUST11193"/>
        <s v="CUST11195"/>
        <s v="CUST11196"/>
        <s v="CUST11197"/>
        <s v="CUST11198"/>
        <s v="CUST11199"/>
        <s v="CUST11200"/>
        <s v="CUST11201"/>
        <s v="CUST11202"/>
        <s v="CUST11203"/>
        <s v="CUST11205"/>
        <s v="CUST11208"/>
        <s v="CUST11209"/>
        <s v="CUST11210"/>
        <s v="CUST11211"/>
        <s v="CUST11212"/>
        <s v="CUST11213"/>
        <s v="CUST11214"/>
        <s v="CUST11215"/>
        <s v="CUST11216"/>
        <s v="CUST11217"/>
        <s v="CUST11218"/>
        <s v="CUST11221"/>
        <s v="CUST11222"/>
        <s v="CUST11223"/>
        <s v="CUST11224"/>
        <s v="CUST11225"/>
        <s v="CUST11226"/>
        <s v="CUST11227"/>
        <s v="CUST11230"/>
        <s v="CUST11232"/>
        <s v="CUST11234"/>
        <s v="CUST11236"/>
        <s v="CUST11237"/>
        <s v="CUST11239"/>
        <s v="CUST11241"/>
        <s v="CUST11242"/>
        <s v="CUST11243"/>
        <s v="CUST11246"/>
        <s v="CUST11249"/>
        <s v="CUST11253"/>
        <s v="CUST11255"/>
        <s v="CUST11256"/>
        <s v="CUST11258"/>
        <s v="CUST11260"/>
        <s v="CUST11262"/>
        <s v="CUST11263"/>
        <s v="CUST11264"/>
        <s v="CUST11267"/>
        <s v="CUST11269"/>
        <s v="CUST11270"/>
        <s v="CUST11271"/>
        <s v="CUST11272"/>
        <s v="CUST11273"/>
        <s v="CUST11274"/>
        <s v="CUST11276"/>
        <s v="CUST11277"/>
        <s v="CUST11278"/>
        <s v="CUST11279"/>
        <s v="CUST11281"/>
        <s v="CUST11282"/>
        <s v="CUST11283"/>
        <s v="CUST11284"/>
        <s v="CUST11285"/>
        <s v="CUST11287"/>
        <s v="CUST11288"/>
        <s v="CUST11289"/>
        <s v="CUST11290"/>
        <s v="CUST11292"/>
        <s v="CUST11296"/>
        <s v="CUST11297"/>
        <s v="CUST11299"/>
        <s v="CUST11300"/>
        <s v="CUST11302"/>
        <s v="CUST11304"/>
        <s v="CUST11305"/>
        <s v="CUST11306"/>
        <s v="CUST11309"/>
        <s v="CUST11310"/>
        <s v="CUST11311"/>
        <s v="CUST11312"/>
        <s v="CUST11313"/>
        <s v="CUST11314"/>
        <s v="CUST11315"/>
        <s v="CUST11316"/>
        <s v="CUST11317"/>
        <s v="CUST11319"/>
        <s v="CUST11320"/>
        <s v="CUST11321"/>
        <s v="CUST11322"/>
        <s v="CUST11323"/>
        <s v="CUST11324"/>
        <s v="CUST11325"/>
        <s v="CUST11326"/>
        <s v="CUST11327"/>
        <s v="CUST11328"/>
        <s v="CUST11329"/>
        <s v="CUST11330"/>
        <s v="CUST11332"/>
        <s v="CUST11334"/>
        <s v="CUST11337"/>
        <s v="CUST11338"/>
        <s v="CUST11339"/>
        <s v="CUST11340"/>
        <s v="CUST11341"/>
        <s v="CUST11342"/>
        <s v="CUST11343"/>
        <s v="CUST11344"/>
        <s v="CUST11345"/>
        <s v="CUST11346"/>
        <s v="CUST11348"/>
        <s v="CUST11352"/>
        <s v="CUST11354"/>
        <s v="CUST11355"/>
        <s v="CUST11357"/>
        <s v="CUST11359"/>
        <s v="CUST11362"/>
        <s v="CUST11363"/>
        <s v="CUST11364"/>
        <s v="CUST11367"/>
        <s v="CUST11369"/>
        <s v="CUST11370"/>
        <s v="CUST11372"/>
        <s v="CUST11374"/>
        <s v="CUST11375"/>
        <s v="CUST11377"/>
        <s v="CUST11378"/>
        <s v="CUST11382"/>
        <s v="CUST11384"/>
        <s v="CUST11385"/>
        <s v="CUST11386"/>
        <s v="CUST11387"/>
        <s v="CUST11388"/>
        <s v="CUST11389"/>
        <s v="CUST11391"/>
        <s v="CUST11392"/>
        <s v="CUST11393"/>
        <s v="CUST11395"/>
        <s v="CUST11397"/>
        <s v="CUST11399"/>
        <s v="CUST11400"/>
        <s v="CUST11401"/>
        <s v="CUST11402"/>
        <s v="CUST11403"/>
        <s v="CUST11404"/>
        <s v="CUST11405"/>
        <s v="CUST11406"/>
        <s v="CUST11408"/>
        <s v="CUST11412"/>
        <s v="CUST11413"/>
        <s v="CUST11414"/>
        <s v="CUST11416"/>
        <s v="CUST11417"/>
        <s v="CUST11418"/>
        <s v="CUST11419"/>
        <s v="CUST11421"/>
        <s v="CUST11423"/>
        <s v="CUST11424"/>
        <s v="CUST11426"/>
        <s v="CUST11431"/>
        <s v="CUST11434"/>
        <s v="CUST11435"/>
        <s v="CUST11436"/>
        <s v="CUST11437"/>
        <s v="CUST11439"/>
        <s v="CUST11440"/>
        <s v="CUST11441"/>
        <s v="CUST11443"/>
        <s v="CUST11444"/>
        <s v="CUST11450"/>
        <s v="CUST11451"/>
        <s v="CUST11452"/>
        <s v="CUST11453"/>
        <s v="CUST11454"/>
        <s v="CUST11455"/>
        <s v="CUST11457"/>
        <s v="CUST11458"/>
        <s v="CUST11459"/>
        <s v="CUST11461"/>
        <s v="CUST11463"/>
        <s v="CUST11464"/>
        <s v="CUST11465"/>
        <s v="CUST11466"/>
        <s v="CUST11468"/>
        <s v="CUST11469"/>
        <s v="CUST11470"/>
        <s v="CUST11471"/>
        <s v="CUST11472"/>
        <s v="CUST11473"/>
        <s v="CUST11475"/>
        <s v="CUST11477"/>
        <s v="CUST11478"/>
        <s v="CUST11479"/>
        <s v="CUST11483"/>
        <s v="CUST11484"/>
        <s v="CUST11485"/>
        <s v="CUST11486"/>
        <s v="CUST11487"/>
        <s v="CUST11488"/>
        <s v="CUST11489"/>
        <s v="CUST11490"/>
        <s v="CUST11491"/>
        <s v="CUST11492"/>
        <s v="CUST11493"/>
        <s v="CUST11494"/>
        <s v="CUST11495"/>
        <s v="CUST11497"/>
        <s v="CUST11499"/>
        <s v="CUST11500"/>
        <s v="CUST11502"/>
        <s v="CUST11506"/>
        <s v="CUST11507"/>
        <s v="CUST11508"/>
        <s v="CUST11509"/>
        <s v="CUST11510"/>
        <s v="CUST11512"/>
        <s v="CUST11513"/>
        <s v="CUST11514"/>
        <s v="CUST11515"/>
        <s v="CUST11518"/>
        <s v="CUST11519"/>
        <s v="CUST11520"/>
        <s v="CUST11521"/>
        <s v="CUST11523"/>
        <s v="CUST11524"/>
        <s v="CUST11526"/>
        <s v="CUST11527"/>
        <s v="CUST11528"/>
        <s v="CUST11529"/>
        <s v="CUST11530"/>
        <s v="CUST11534"/>
        <s v="CUST11535"/>
        <s v="CUST11536"/>
        <s v="CUST11537"/>
        <s v="CUST11538"/>
        <s v="CUST11540"/>
        <s v="CUST11541"/>
        <s v="CUST11543"/>
        <s v="CUST11544"/>
        <s v="CUST11545"/>
        <s v="CUST11546"/>
        <s v="CUST11547"/>
        <s v="CUST11549"/>
        <s v="CUST11550"/>
        <s v="CUST11551"/>
        <s v="CUST11552"/>
        <s v="CUST11554"/>
        <s v="CUST11555"/>
        <s v="CUST11556"/>
        <s v="CUST11557"/>
        <s v="CUST11558"/>
        <s v="CUST11559"/>
        <s v="CUST11561"/>
        <s v="CUST11564"/>
        <s v="CUST11565"/>
        <s v="CUST11566"/>
        <s v="CUST11567"/>
        <s v="CUST11569"/>
        <s v="CUST11570"/>
        <s v="CUST11571"/>
        <s v="CUST11573"/>
        <s v="CUST11574"/>
        <s v="CUST11576"/>
        <s v="CUST11577"/>
        <s v="CUST11579"/>
        <s v="CUST11580"/>
        <s v="CUST11581"/>
        <s v="CUST11582"/>
        <s v="CUST11583"/>
        <s v="CUST11584"/>
        <s v="CUST11586"/>
        <s v="CUST11587"/>
        <s v="CUST11589"/>
        <s v="CUST11590"/>
        <s v="CUST11591"/>
        <s v="CUST11592"/>
        <s v="CUST11593"/>
        <s v="CUST11594"/>
        <s v="CUST11595"/>
        <s v="CUST11596"/>
        <s v="CUST11598"/>
        <s v="CUST11599"/>
        <s v="CUST11603"/>
        <s v="CUST11604"/>
        <s v="CUST11607"/>
        <s v="CUST11609"/>
        <s v="CUST11610"/>
        <s v="CUST11612"/>
        <s v="CUST11613"/>
        <s v="CUST11614"/>
        <s v="CUST11615"/>
        <s v="CUST11616"/>
        <s v="CUST11618"/>
        <s v="CUST11619"/>
        <s v="CUST11621"/>
        <s v="CUST11622"/>
        <s v="CUST11623"/>
        <s v="CUST11625"/>
        <s v="CUST11626"/>
        <s v="CUST11629"/>
        <s v="CUST11630"/>
        <s v="CUST11631"/>
        <s v="CUST11632"/>
        <s v="CUST11634"/>
        <s v="CUST11635"/>
        <s v="CUST11637"/>
        <s v="CUST11638"/>
        <s v="CUST11639"/>
        <s v="CUST11640"/>
        <s v="CUST11644"/>
        <s v="CUST11645"/>
        <s v="CUST11646"/>
        <s v="CUST11649"/>
        <s v="CUST11650"/>
        <s v="CUST11652"/>
        <s v="CUST11653"/>
        <s v="CUST11654"/>
        <s v="CUST11655"/>
        <s v="CUST11656"/>
        <s v="CUST11657"/>
        <s v="CUST11658"/>
        <s v="CUST11659"/>
        <s v="CUST11661"/>
        <s v="CUST11662"/>
        <s v="CUST11666"/>
        <s v="CUST11667"/>
        <s v="CUST11669"/>
        <s v="CUST11670"/>
        <s v="CUST11671"/>
        <s v="CUST11673"/>
        <s v="CUST11675"/>
        <s v="CUST11676"/>
        <s v="CUST11677"/>
        <s v="CUST11678"/>
        <s v="CUST11680"/>
        <s v="CUST11682"/>
        <s v="CUST11683"/>
        <s v="CUST11684"/>
        <s v="CUST11685"/>
        <s v="CUST11686"/>
        <s v="CUST11687"/>
        <s v="CUST11688"/>
        <s v="CUST11690"/>
        <s v="CUST11691"/>
        <s v="CUST11694"/>
        <s v="CUST11696"/>
        <s v="CUST11697"/>
        <s v="CUST11698"/>
        <s v="CUST11699"/>
        <s v="CUST11700"/>
        <s v="CUST11701"/>
        <s v="CUST11703"/>
        <s v="CUST11704"/>
        <s v="CUST11705"/>
        <s v="CUST11706"/>
        <s v="CUST11708"/>
        <s v="CUST11710"/>
        <s v="CUST11711"/>
        <s v="CUST11712"/>
        <s v="CUST11713"/>
        <s v="CUST11715"/>
        <s v="CUST11716"/>
        <s v="CUST11719"/>
        <s v="CUST11720"/>
        <s v="CUST11721"/>
        <s v="CUST11724"/>
        <s v="CUST11725"/>
        <s v="CUST11726"/>
        <s v="CUST11728"/>
        <s v="CUST11729"/>
        <s v="CUST11732"/>
        <s v="CUST11733"/>
        <s v="CUST11735"/>
        <s v="CUST11738"/>
        <s v="CUST11739"/>
        <s v="CUST11740"/>
        <s v="CUST11742"/>
        <s v="CUST11743"/>
        <s v="CUST11745"/>
        <s v="CUST11746"/>
        <s v="CUST11747"/>
        <s v="CUST11748"/>
        <s v="CUST11749"/>
        <s v="CUST11750"/>
        <s v="CUST11753"/>
        <s v="CUST11754"/>
        <s v="CUST11755"/>
        <s v="CUST11757"/>
        <s v="CUST11760"/>
        <s v="CUST11761"/>
        <s v="CUST11764"/>
        <s v="CUST11765"/>
        <s v="CUST11767"/>
        <s v="CUST11768"/>
        <s v="CUST11771"/>
        <s v="CUST11776"/>
        <s v="CUST11777"/>
        <s v="CUST11780"/>
        <s v="CUST11781"/>
        <s v="CUST11782"/>
        <s v="CUST11783"/>
        <s v="CUST11784"/>
        <s v="CUST11785"/>
        <s v="CUST11786"/>
        <s v="CUST11788"/>
        <s v="CUST11790"/>
        <s v="CUST11792"/>
        <s v="CUST11793"/>
        <s v="CUST11794"/>
        <s v="CUST11795"/>
        <s v="CUST11797"/>
        <s v="CUST11798"/>
        <s v="CUST11799"/>
        <s v="CUST11800"/>
        <s v="CUST11802"/>
        <s v="CUST11803"/>
        <s v="CUST11804"/>
        <s v="CUST11806"/>
        <s v="CUST11807"/>
        <s v="CUST11810"/>
        <s v="CUST11811"/>
        <s v="CUST11812"/>
        <s v="CUST11815"/>
        <s v="CUST11816"/>
        <s v="CUST11817"/>
        <s v="CUST11818"/>
        <s v="CUST11819"/>
        <s v="CUST11820"/>
        <s v="CUST11821"/>
        <s v="CUST11822"/>
        <s v="CUST11824"/>
        <s v="CUST11825"/>
        <s v="CUST11826"/>
        <s v="CUST11828"/>
        <s v="CUST11829"/>
        <s v="CUST11831"/>
        <s v="CUST11832"/>
        <s v="CUST11837"/>
        <s v="CUST11838"/>
        <s v="CUST11839"/>
        <s v="CUST11841"/>
        <s v="CUST11843"/>
        <s v="CUST11845"/>
        <s v="CUST11846"/>
        <s v="CUST11847"/>
        <s v="CUST11849"/>
        <s v="CUST11850"/>
        <s v="CUST11852"/>
        <s v="CUST11853"/>
        <s v="CUST11854"/>
        <s v="CUST11858"/>
        <s v="CUST11861"/>
        <s v="CUST11862"/>
        <s v="CUST11863"/>
        <s v="CUST11866"/>
        <s v="CUST11867"/>
        <s v="CUST11868"/>
        <s v="CUST11869"/>
        <s v="CUST11870"/>
        <s v="CUST11871"/>
        <s v="CUST11872"/>
        <s v="CUST11873"/>
        <s v="CUST11875"/>
        <s v="CUST11877"/>
        <s v="CUST11879"/>
        <s v="CUST11880"/>
        <s v="CUST11881"/>
        <s v="CUST11882"/>
        <s v="CUST11883"/>
        <s v="CUST11884"/>
        <s v="CUST11885"/>
        <s v="CUST11886"/>
        <s v="CUST11887"/>
        <s v="CUST11888"/>
        <s v="CUST11890"/>
        <s v="CUST11891"/>
        <s v="CUST11892"/>
        <s v="CUST11893"/>
        <s v="CUST11894"/>
        <s v="CUST11895"/>
        <s v="CUST11897"/>
        <s v="CUST11899"/>
        <s v="CUST11903"/>
        <s v="CUST11904"/>
        <s v="CUST11905"/>
        <s v="CUST11907"/>
        <s v="CUST11909"/>
        <s v="CUST11911"/>
        <s v="CUST11912"/>
        <s v="CUST11913"/>
        <s v="CUST11914"/>
        <s v="CUST11917"/>
        <s v="CUST11918"/>
        <s v="CUST11919"/>
        <s v="CUST11920"/>
        <s v="CUST11922"/>
        <s v="CUST11923"/>
        <s v="CUST11924"/>
        <s v="CUST11925"/>
        <s v="CUST11926"/>
        <s v="CUST11927"/>
        <s v="CUST11928"/>
        <s v="CUST11929"/>
        <s v="CUST11932"/>
        <s v="CUST11933"/>
        <s v="CUST11934"/>
        <s v="CUST11935"/>
        <s v="CUST11936"/>
        <s v="CUST11937"/>
        <s v="CUST11938"/>
        <s v="CUST11940"/>
        <s v="CUST11941"/>
        <s v="CUST11942"/>
        <s v="CUST11943"/>
        <s v="CUST11944"/>
        <s v="CUST11949"/>
        <s v="CUST11950"/>
        <s v="CUST11951"/>
        <s v="CUST11952"/>
        <s v="CUST11953"/>
        <s v="CUST11955"/>
        <s v="CUST11956"/>
        <s v="CUST11958"/>
        <s v="CUST11960"/>
        <s v="CUST11961"/>
        <s v="CUST11962"/>
        <s v="CUST11963"/>
        <s v="CUST11964"/>
        <s v="CUST11966"/>
        <s v="CUST11967"/>
        <s v="CUST11971"/>
        <s v="CUST11973"/>
        <s v="CUST11974"/>
        <s v="CUST11977"/>
        <s v="CUST11978"/>
        <s v="CUST11980"/>
        <s v="CUST11981"/>
        <s v="CUST11982"/>
        <s v="CUST11983"/>
        <s v="CUST11985"/>
        <s v="CUST11986"/>
        <s v="CUST11987"/>
        <s v="CUST11988"/>
        <s v="CUST11989"/>
        <s v="CUST11992"/>
        <s v="CUST11994"/>
        <s v="CUST11996"/>
        <s v="CUST11998"/>
        <s v="CUST11999"/>
        <s v="CUST12000"/>
        <s v="CUST12003"/>
        <s v="CUST12005"/>
        <s v="CUST12006"/>
        <s v="CUST12007"/>
        <s v="CUST12008"/>
        <s v="CUST12009"/>
        <s v="CUST12010"/>
        <s v="CUST12011"/>
        <s v="CUST12012"/>
        <s v="CUST12013"/>
        <s v="CUST12014"/>
        <s v="CUST12016"/>
        <s v="CUST12020"/>
        <s v="CUST12022"/>
        <s v="CUST12023"/>
        <s v="CUST12024"/>
        <s v="CUST12026"/>
        <s v="CUST12027"/>
        <s v="CUST12028"/>
        <s v="CUST12032"/>
        <s v="CUST12033"/>
        <s v="CUST12034"/>
        <s v="CUST12035"/>
        <s v="CUST12038"/>
        <s v="CUST12039"/>
        <s v="CUST12040"/>
        <s v="CUST12041"/>
        <s v="CUST12042"/>
        <s v="CUST12044"/>
        <s v="CUST12046"/>
        <s v="CUST12047"/>
        <s v="CUST12048"/>
        <s v="CUST12051"/>
        <s v="CUST12053"/>
        <s v="CUST12054"/>
        <s v="CUST12055"/>
        <s v="CUST12060"/>
        <s v="CUST12061"/>
        <s v="CUST12062"/>
        <s v="CUST12063"/>
        <s v="CUST12065"/>
        <s v="CUST12067"/>
        <s v="CUST12068"/>
        <s v="CUST12069"/>
        <s v="CUST12070"/>
        <s v="CUST12072"/>
        <s v="CUST12076"/>
        <s v="CUST12079"/>
        <s v="CUST12082"/>
        <s v="CUST12083"/>
        <s v="CUST12084"/>
        <s v="CUST12086"/>
        <s v="CUST12087"/>
        <s v="CUST12089"/>
        <s v="CUST12091"/>
        <s v="CUST12092"/>
        <s v="CUST12093"/>
        <s v="CUST12094"/>
        <s v="CUST12098"/>
        <s v="CUST12100"/>
        <s v="CUST12101"/>
        <s v="CUST12103"/>
        <s v="CUST12105"/>
        <s v="CUST12106"/>
        <s v="CUST12107"/>
        <s v="CUST12109"/>
        <s v="CUST12110"/>
        <s v="CUST12111"/>
        <s v="CUST12112"/>
        <s v="CUST12113"/>
        <s v="CUST12116"/>
        <s v="CUST12117"/>
        <s v="CUST12118"/>
        <s v="CUST12119"/>
        <s v="CUST12120"/>
        <s v="CUST12121"/>
        <s v="CUST12124"/>
        <s v="CUST12125"/>
        <s v="CUST12126"/>
        <s v="CUST12127"/>
        <s v="CUST12135"/>
        <s v="CUST12136"/>
        <s v="CUST12137"/>
        <s v="CUST12138"/>
        <s v="CUST12139"/>
        <s v="CUST12140"/>
        <s v="CUST12141"/>
        <s v="CUST12142"/>
        <s v="CUST12143"/>
        <s v="CUST12145"/>
        <s v="CUST12146"/>
        <s v="CUST12147"/>
        <s v="CUST12149"/>
        <s v="CUST12150"/>
        <s v="CUST12151"/>
        <s v="CUST12153"/>
        <s v="CUST12154"/>
        <s v="CUST12155"/>
        <s v="CUST12156"/>
        <s v="CUST12157"/>
        <s v="CUST12158"/>
        <s v="CUST12159"/>
        <s v="CUST12161"/>
        <s v="CUST12162"/>
        <s v="CUST12163"/>
        <s v="CUST12164"/>
        <s v="CUST12165"/>
        <s v="CUST12166"/>
        <s v="CUST12167"/>
        <s v="CUST12169"/>
        <s v="CUST12171"/>
        <s v="CUST12172"/>
        <s v="CUST12173"/>
        <s v="CUST12175"/>
        <s v="CUST12178"/>
        <s v="CUST12179"/>
        <s v="CUST12180"/>
        <s v="CUST12182"/>
        <s v="CUST12184"/>
        <s v="CUST12186"/>
        <s v="CUST12187"/>
        <s v="CUST12188"/>
        <s v="CUST12189"/>
        <s v="CUST12190"/>
        <s v="CUST12191"/>
        <s v="CUST12192"/>
        <s v="CUST12193"/>
        <s v="CUST12194"/>
        <s v="CUST12195"/>
        <s v="CUST12196"/>
        <s v="CUST12197"/>
        <s v="CUST12200"/>
        <s v="CUST12201"/>
        <s v="CUST12202"/>
        <s v="CUST12203"/>
        <s v="CUST12204"/>
        <s v="CUST12205"/>
        <s v="CUST12207"/>
        <s v="CUST12208"/>
        <s v="CUST12209"/>
        <s v="CUST12210"/>
        <s v="CUST12211"/>
        <s v="CUST12212"/>
        <s v="CUST12214"/>
        <s v="CUST12215"/>
        <s v="CUST12216"/>
        <s v="CUST12218"/>
        <s v="CUST12220"/>
        <s v="CUST12221"/>
        <s v="CUST12222"/>
        <s v="CUST12225"/>
        <s v="CUST12226"/>
        <s v="CUST12227"/>
        <s v="CUST12228"/>
        <s v="CUST12229"/>
        <s v="CUST12230"/>
        <s v="CUST12231"/>
        <s v="CUST12232"/>
        <s v="CUST12234"/>
        <s v="CUST12236"/>
        <s v="CUST12237"/>
        <s v="CUST12238"/>
        <s v="CUST12240"/>
        <s v="CUST12241"/>
        <s v="CUST12242"/>
        <s v="CUST12244"/>
        <s v="CUST12245"/>
        <s v="CUST12246"/>
        <s v="CUST12247"/>
        <s v="CUST12248"/>
        <s v="CUST12249"/>
        <s v="CUST12251"/>
        <s v="CUST12252"/>
        <s v="CUST12253"/>
        <s v="CUST12254"/>
        <s v="CUST12256"/>
        <s v="CUST12260"/>
        <s v="CUST12263"/>
        <s v="CUST12264"/>
        <s v="CUST12267"/>
        <s v="CUST12269"/>
        <s v="CUST12270"/>
        <s v="CUST12271"/>
        <s v="CUST12274"/>
        <s v="CUST12275"/>
        <s v="CUST12276"/>
        <s v="CUST12277"/>
        <s v="CUST12278"/>
        <s v="CUST12279"/>
        <s v="CUST12280"/>
        <s v="CUST12281"/>
        <s v="CUST12282"/>
        <s v="CUST12284"/>
        <s v="CUST12286"/>
        <s v="CUST12290"/>
        <s v="CUST12291"/>
        <s v="CUST12293"/>
        <s v="CUST12294"/>
        <s v="CUST12295"/>
        <s v="CUST12296"/>
        <s v="CUST12299"/>
        <s v="CUST12300"/>
        <s v="CUST12301"/>
        <s v="CUST12303"/>
        <s v="CUST12304"/>
        <s v="CUST12305"/>
        <s v="CUST12306"/>
        <s v="CUST12307"/>
        <s v="CUST12308"/>
        <s v="CUST12310"/>
        <s v="CUST12311"/>
        <s v="CUST12312"/>
        <s v="CUST12314"/>
        <s v="CUST12315"/>
        <s v="CUST12316"/>
        <s v="CUST12319"/>
        <s v="CUST12320"/>
        <s v="CUST12321"/>
        <s v="CUST12324"/>
        <s v="CUST12325"/>
        <s v="CUST12327"/>
        <s v="CUST12328"/>
        <s v="CUST12330"/>
        <s v="CUST12331"/>
        <s v="CUST12332"/>
        <s v="CUST12335"/>
        <s v="CUST12338"/>
        <s v="CUST12339"/>
        <s v="CUST12340"/>
        <s v="CUST12341"/>
        <s v="CUST12342"/>
        <s v="CUST12344"/>
        <s v="CUST12346"/>
        <s v="CUST12355"/>
        <s v="CUST12356"/>
        <s v="CUST12357"/>
        <s v="CUST12358"/>
        <s v="CUST12359"/>
        <s v="CUST12360"/>
        <s v="CUST12361"/>
        <s v="CUST12363"/>
        <s v="CUST12365"/>
        <s v="CUST12366"/>
        <s v="CUST12367"/>
        <s v="CUST12368"/>
        <s v="CUST12369"/>
        <s v="CUST12370"/>
        <s v="CUST12371"/>
        <s v="CUST12372"/>
        <s v="CUST12374"/>
        <s v="CUST12375"/>
        <s v="CUST12376"/>
        <s v="CUST12377"/>
        <s v="CUST12378"/>
        <s v="CUST12379"/>
        <s v="CUST12380"/>
        <s v="CUST12381"/>
        <s v="CUST12383"/>
        <s v="CUST12389"/>
        <s v="CUST12390"/>
        <s v="CUST12392"/>
        <s v="CUST12393"/>
        <s v="CUST12394"/>
        <s v="CUST12395"/>
        <s v="CUST12396"/>
        <s v="CUST12399"/>
        <s v="CUST12400"/>
        <s v="CUST12401"/>
        <s v="CUST12402"/>
        <s v="CUST12407"/>
        <s v="CUST12408"/>
        <s v="CUST12410"/>
        <s v="CUST12411"/>
        <s v="CUST12412"/>
        <s v="CUST12415"/>
        <s v="CUST12416"/>
        <s v="CUST12424"/>
        <s v="CUST12425"/>
        <s v="CUST12426"/>
        <s v="CUST12427"/>
        <s v="CUST12428"/>
        <s v="CUST12429"/>
        <s v="CUST12431"/>
        <s v="CUST12432"/>
        <s v="CUST12434"/>
        <s v="CUST12435"/>
        <s v="CUST12436"/>
        <s v="CUST12437"/>
        <s v="CUST12439"/>
        <s v="CUST12441"/>
        <s v="CUST12442"/>
        <s v="CUST12443"/>
        <s v="CUST12444"/>
        <s v="CUST12445"/>
        <s v="CUST12446"/>
        <s v="CUST12448"/>
        <s v="CUST12449"/>
        <s v="CUST12450"/>
        <s v="CUST12452"/>
        <s v="CUST12453"/>
        <s v="CUST12454"/>
        <s v="CUST12457"/>
        <s v="CUST12458"/>
        <s v="CUST12460"/>
        <s v="CUST12461"/>
        <s v="CUST12462"/>
        <s v="CUST12465"/>
        <s v="CUST12466"/>
        <s v="CUST12470"/>
        <s v="CUST12471"/>
        <s v="CUST12472"/>
        <s v="CUST12474"/>
        <s v="CUST12475"/>
        <s v="CUST12476"/>
        <s v="CUST12477"/>
        <s v="CUST12478"/>
        <s v="CUST12482"/>
        <s v="CUST12484"/>
        <s v="CUST12485"/>
        <s v="CUST12487"/>
        <s v="CUST12488"/>
        <s v="CUST12489"/>
        <s v="CUST12490"/>
        <s v="CUST12491"/>
        <s v="CUST12496"/>
        <s v="CUST12497"/>
        <s v="CUST12499"/>
      </sharedItems>
    </cacheField>
    <cacheField name="full_name" numFmtId="0">
      <sharedItems/>
    </cacheField>
    <cacheField name="age" numFmtId="0">
      <sharedItems containsSemiMixedTypes="0" containsString="0" containsNumber="1" containsInteger="1" minValue="18" maxValue="69"/>
    </cacheField>
    <cacheField name="gender" numFmtId="0">
      <sharedItems count="2">
        <s v="Male"/>
        <s v="Female"/>
      </sharedItems>
    </cacheField>
    <cacheField name="marital_status" numFmtId="0">
      <sharedItems count="3">
        <s v="Single"/>
        <s v="Divorced"/>
        <s v="Married"/>
      </sharedItems>
    </cacheField>
    <cacheField name="occupation" numFmtId="0">
      <sharedItems count="4">
        <s v="Student"/>
        <s v="Salaried"/>
        <s v="Self-employed"/>
        <s v="Retired"/>
      </sharedItems>
    </cacheField>
    <cacheField name="region" numFmtId="0">
      <sharedItems count="6">
        <s v="West"/>
        <s v="East"/>
        <s v="North"/>
        <s v="South"/>
        <s v="North-East"/>
        <s v="Central"/>
      </sharedItems>
    </cacheField>
    <cacheField name="smoking_status" numFmtId="0">
      <sharedItems count="2">
        <s v="No"/>
        <s v="Yes"/>
      </sharedItems>
    </cacheField>
    <cacheField name="pre_existing_illness" numFmtId="0">
      <sharedItems count="2">
        <s v="Yes"/>
        <s v="No"/>
      </sharedItems>
    </cacheField>
    <cacheField name="risk_score" numFmtId="0">
      <sharedItems containsSemiMixedTypes="0" containsString="0" containsNumber="1" minValue="0" maxValue="1"/>
    </cacheField>
    <cacheField name="date_joined" numFmtId="14">
      <sharedItems containsSemiMixedTypes="0" containsNonDate="0" containsDate="1" containsString="0" minDate="2018-01-01T00:00:00" maxDate="2024-01-01T00:00:00"/>
    </cacheField>
    <cacheField name="Age Group" numFmtId="0">
      <sharedItems count="4">
        <s v="18-30"/>
        <s v="31-45"/>
        <s v="46-60"/>
        <s v="60+"/>
      </sharedItems>
    </cacheField>
    <cacheField name="Risk Level" numFmtId="0">
      <sharedItems count="3">
        <s v="Medium"/>
        <s v="Low"/>
        <s v="High"/>
      </sharedItems>
    </cacheField>
    <cacheField name=" Year" numFmtId="0">
      <sharedItems containsSemiMixedTypes="0" containsString="0" containsNumber="1" containsInteger="1" minValue="2018" maxValue="2023" count="6">
        <n v="2020"/>
        <n v="2018"/>
        <n v="2021"/>
        <n v="2022"/>
        <n v="2019"/>
        <n v="2023"/>
      </sharedItems>
    </cacheField>
    <cacheField name=" Month" numFmtId="0">
      <sharedItems/>
    </cacheField>
    <cacheField name="Quarter" numFmtId="0">
      <sharedItems/>
    </cacheField>
    <cacheField name="Customer Category" numFmtId="0">
      <sharedItems/>
    </cacheField>
    <cacheField name="Health Risk Category" numFmtId="0">
      <sharedItems/>
    </cacheField>
    <cacheField name="Region + Occupation" numFmtId="0">
      <sharedItems/>
    </cacheField>
  </cacheFields>
  <extLst>
    <ext xmlns:x14="http://schemas.microsoft.com/office/spreadsheetml/2009/9/main" uri="{725AE2AE-9491-48be-B2B4-4EB974FC3084}">
      <x14:pivotCacheDefinition pivotCacheId="413435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8">
  <r>
    <x v="0"/>
    <s v="Yahvi Chander"/>
    <n v="18"/>
    <x v="0"/>
    <x v="0"/>
    <x v="0"/>
    <x v="0"/>
    <x v="0"/>
    <x v="0"/>
    <n v="0.61"/>
    <d v="2020-02-02T00:00:00"/>
    <x v="0"/>
    <x v="0"/>
    <x v="0"/>
    <s v="Feb"/>
    <s v="Q1"/>
    <s v="Young"/>
    <s v="High"/>
    <s v="West - Student"/>
  </r>
  <r>
    <x v="1"/>
    <s v="Gautami Batta"/>
    <n v="39"/>
    <x v="1"/>
    <x v="1"/>
    <x v="1"/>
    <x v="1"/>
    <x v="1"/>
    <x v="0"/>
    <n v="0.56000000000000005"/>
    <d v="2020-04-17T00:00:00"/>
    <x v="1"/>
    <x v="0"/>
    <x v="0"/>
    <s v="Apr"/>
    <s v="Q2"/>
    <s v="Adult"/>
    <s v="Very High"/>
    <s v="East - Salaried"/>
  </r>
  <r>
    <x v="2"/>
    <s v="Zehaan Randhawa"/>
    <n v="34"/>
    <x v="0"/>
    <x v="0"/>
    <x v="0"/>
    <x v="2"/>
    <x v="1"/>
    <x v="1"/>
    <n v="0.48"/>
    <d v="2018-06-27T00:00:00"/>
    <x v="1"/>
    <x v="0"/>
    <x v="1"/>
    <s v="Jun"/>
    <s v="Q2"/>
    <s v="Adult"/>
    <s v="High"/>
    <s v="North - Student"/>
  </r>
  <r>
    <x v="3"/>
    <s v="Aarnav Bhandari"/>
    <n v="50"/>
    <x v="0"/>
    <x v="2"/>
    <x v="2"/>
    <x v="3"/>
    <x v="1"/>
    <x v="1"/>
    <n v="0.47"/>
    <d v="2021-12-02T00:00:00"/>
    <x v="2"/>
    <x v="0"/>
    <x v="2"/>
    <s v="Dec"/>
    <s v="Q4"/>
    <s v="Adult"/>
    <s v="High"/>
    <s v="South - Self-employed"/>
  </r>
  <r>
    <x v="4"/>
    <s v="Tripti Parekh"/>
    <n v="20"/>
    <x v="1"/>
    <x v="0"/>
    <x v="0"/>
    <x v="2"/>
    <x v="1"/>
    <x v="1"/>
    <n v="0.55000000000000004"/>
    <d v="2022-10-25T00:00:00"/>
    <x v="0"/>
    <x v="0"/>
    <x v="3"/>
    <s v="Oct"/>
    <s v="Q4"/>
    <s v="Young"/>
    <s v="High"/>
    <s v="North - Student"/>
  </r>
  <r>
    <x v="5"/>
    <s v="Gopal Yogi"/>
    <n v="20"/>
    <x v="0"/>
    <x v="0"/>
    <x v="3"/>
    <x v="3"/>
    <x v="0"/>
    <x v="0"/>
    <n v="0.28000000000000003"/>
    <d v="2018-07-03T00:00:00"/>
    <x v="0"/>
    <x v="1"/>
    <x v="1"/>
    <s v="Jul"/>
    <s v="Q3"/>
    <s v="Young"/>
    <s v="High"/>
    <s v="South - Retired"/>
  </r>
  <r>
    <x v="6"/>
    <s v="Kevin Bobal"/>
    <n v="30"/>
    <x v="1"/>
    <x v="0"/>
    <x v="0"/>
    <x v="0"/>
    <x v="0"/>
    <x v="0"/>
    <n v="0.11"/>
    <d v="2020-06-23T00:00:00"/>
    <x v="0"/>
    <x v="1"/>
    <x v="0"/>
    <s v="Jun"/>
    <s v="Q2"/>
    <s v="Adult"/>
    <s v="High"/>
    <s v="West - Student"/>
  </r>
  <r>
    <x v="7"/>
    <s v="Neel Chakraborty"/>
    <n v="27"/>
    <x v="0"/>
    <x v="2"/>
    <x v="1"/>
    <x v="2"/>
    <x v="1"/>
    <x v="0"/>
    <n v="0.16"/>
    <d v="2019-03-22T00:00:00"/>
    <x v="0"/>
    <x v="1"/>
    <x v="4"/>
    <s v="Mar"/>
    <s v="Q1"/>
    <s v="Young"/>
    <s v="Very High"/>
    <s v="North - Salaried"/>
  </r>
  <r>
    <x v="8"/>
    <s v="Ethan Singh"/>
    <n v="42"/>
    <x v="1"/>
    <x v="1"/>
    <x v="0"/>
    <x v="1"/>
    <x v="0"/>
    <x v="0"/>
    <n v="0.73"/>
    <d v="2023-02-27T00:00:00"/>
    <x v="1"/>
    <x v="2"/>
    <x v="5"/>
    <s v="Feb"/>
    <s v="Q1"/>
    <s v="Adult"/>
    <s v="High"/>
    <s v="East - Student"/>
  </r>
  <r>
    <x v="9"/>
    <s v="Tejas Dar"/>
    <n v="28"/>
    <x v="0"/>
    <x v="0"/>
    <x v="2"/>
    <x v="0"/>
    <x v="0"/>
    <x v="0"/>
    <n v="0.26"/>
    <d v="2018-12-23T00:00:00"/>
    <x v="0"/>
    <x v="1"/>
    <x v="1"/>
    <s v="Dec"/>
    <s v="Q4"/>
    <s v="Young"/>
    <s v="High"/>
    <s v="West - Self-employed"/>
  </r>
  <r>
    <x v="10"/>
    <s v="Adya Kota"/>
    <n v="66"/>
    <x v="0"/>
    <x v="2"/>
    <x v="0"/>
    <x v="0"/>
    <x v="0"/>
    <x v="1"/>
    <n v="0.44"/>
    <d v="2018-06-27T00:00:00"/>
    <x v="3"/>
    <x v="0"/>
    <x v="1"/>
    <s v="Jun"/>
    <s v="Q2"/>
    <s v="Senior"/>
    <s v="Low"/>
    <s v="West - Student"/>
  </r>
  <r>
    <x v="11"/>
    <s v="Ekalinga Ram"/>
    <n v="54"/>
    <x v="0"/>
    <x v="0"/>
    <x v="2"/>
    <x v="0"/>
    <x v="1"/>
    <x v="1"/>
    <n v="0.71"/>
    <d v="2021-12-28T00:00:00"/>
    <x v="2"/>
    <x v="2"/>
    <x v="2"/>
    <s v="Dec"/>
    <s v="Q4"/>
    <s v="Senior"/>
    <s v="High"/>
    <s v="West - Self-employed"/>
  </r>
  <r>
    <x v="12"/>
    <s v="Nicholas Dora"/>
    <n v="35"/>
    <x v="1"/>
    <x v="1"/>
    <x v="1"/>
    <x v="0"/>
    <x v="1"/>
    <x v="1"/>
    <n v="0.14000000000000001"/>
    <d v="2023-02-02T00:00:00"/>
    <x v="1"/>
    <x v="1"/>
    <x v="5"/>
    <s v="Feb"/>
    <s v="Q1"/>
    <s v="Adult"/>
    <s v="High"/>
    <s v="West - Salaried"/>
  </r>
  <r>
    <x v="13"/>
    <s v="Samaksh Dani"/>
    <n v="19"/>
    <x v="1"/>
    <x v="2"/>
    <x v="3"/>
    <x v="3"/>
    <x v="0"/>
    <x v="1"/>
    <n v="0.66"/>
    <d v="2019-07-23T00:00:00"/>
    <x v="0"/>
    <x v="0"/>
    <x v="4"/>
    <s v="Jul"/>
    <s v="Q3"/>
    <s v="Young"/>
    <s v="Low"/>
    <s v="South - Retired"/>
  </r>
  <r>
    <x v="14"/>
    <s v="Vidhi Atwal"/>
    <n v="36"/>
    <x v="0"/>
    <x v="1"/>
    <x v="2"/>
    <x v="0"/>
    <x v="0"/>
    <x v="0"/>
    <n v="0.83"/>
    <d v="2019-08-13T00:00:00"/>
    <x v="1"/>
    <x v="2"/>
    <x v="4"/>
    <s v="Aug"/>
    <s v="Q3"/>
    <s v="Adult"/>
    <s v="High"/>
    <s v="West - Self-employed"/>
  </r>
  <r>
    <x v="15"/>
    <s v="Omisha Ramaswamy"/>
    <n v="37"/>
    <x v="1"/>
    <x v="1"/>
    <x v="0"/>
    <x v="2"/>
    <x v="0"/>
    <x v="0"/>
    <n v="0.79"/>
    <d v="2021-07-31T00:00:00"/>
    <x v="1"/>
    <x v="2"/>
    <x v="2"/>
    <s v="Jul"/>
    <s v="Q3"/>
    <s v="Adult"/>
    <s v="High"/>
    <s v="North - Student"/>
  </r>
  <r>
    <x v="16"/>
    <s v="Meera Dua"/>
    <n v="25"/>
    <x v="1"/>
    <x v="1"/>
    <x v="2"/>
    <x v="3"/>
    <x v="1"/>
    <x v="1"/>
    <n v="0.35"/>
    <d v="2020-02-08T00:00:00"/>
    <x v="0"/>
    <x v="0"/>
    <x v="0"/>
    <s v="Feb"/>
    <s v="Q1"/>
    <s v="Young"/>
    <s v="High"/>
    <s v="South - Self-employed"/>
  </r>
  <r>
    <x v="17"/>
    <s v="Yauvani Ramesh"/>
    <n v="23"/>
    <x v="0"/>
    <x v="1"/>
    <x v="2"/>
    <x v="2"/>
    <x v="0"/>
    <x v="1"/>
    <n v="0.74"/>
    <d v="2023-12-10T00:00:00"/>
    <x v="0"/>
    <x v="2"/>
    <x v="5"/>
    <s v="Dec"/>
    <s v="Q4"/>
    <s v="Young"/>
    <s v="Low"/>
    <s v="North - Self-employed"/>
  </r>
  <r>
    <x v="18"/>
    <s v="Janaki Bhasin"/>
    <n v="51"/>
    <x v="1"/>
    <x v="1"/>
    <x v="3"/>
    <x v="2"/>
    <x v="0"/>
    <x v="1"/>
    <n v="0.69"/>
    <d v="2023-04-22T00:00:00"/>
    <x v="2"/>
    <x v="0"/>
    <x v="5"/>
    <s v="Apr"/>
    <s v="Q2"/>
    <s v="Senior"/>
    <s v="Low"/>
    <s v="North - Retired"/>
  </r>
  <r>
    <x v="19"/>
    <s v="Mahika Hegde"/>
    <n v="51"/>
    <x v="1"/>
    <x v="1"/>
    <x v="3"/>
    <x v="4"/>
    <x v="0"/>
    <x v="0"/>
    <n v="0.56999999999999995"/>
    <d v="2018-04-11T00:00:00"/>
    <x v="2"/>
    <x v="0"/>
    <x v="1"/>
    <s v="Apr"/>
    <s v="Q2"/>
    <s v="Senior"/>
    <s v="High"/>
    <s v="North-East - Retired"/>
  </r>
  <r>
    <x v="20"/>
    <s v="Ranbir Kar"/>
    <n v="37"/>
    <x v="0"/>
    <x v="1"/>
    <x v="1"/>
    <x v="1"/>
    <x v="1"/>
    <x v="0"/>
    <n v="0.27"/>
    <d v="2021-08-15T00:00:00"/>
    <x v="1"/>
    <x v="1"/>
    <x v="2"/>
    <s v="Aug"/>
    <s v="Q3"/>
    <s v="Adult"/>
    <s v="Very High"/>
    <s v="East - Salaried"/>
  </r>
  <r>
    <x v="21"/>
    <s v="Hemangini Anand"/>
    <n v="55"/>
    <x v="1"/>
    <x v="1"/>
    <x v="1"/>
    <x v="1"/>
    <x v="1"/>
    <x v="0"/>
    <n v="0.37"/>
    <d v="2020-06-25T00:00:00"/>
    <x v="2"/>
    <x v="0"/>
    <x v="0"/>
    <s v="Jun"/>
    <s v="Q2"/>
    <s v="Senior"/>
    <s v="Very High"/>
    <s v="East - Salaried"/>
  </r>
  <r>
    <x v="22"/>
    <s v="Ranveer Dayal"/>
    <n v="32"/>
    <x v="0"/>
    <x v="0"/>
    <x v="1"/>
    <x v="1"/>
    <x v="0"/>
    <x v="1"/>
    <n v="0.74"/>
    <d v="2021-05-24T00:00:00"/>
    <x v="1"/>
    <x v="2"/>
    <x v="2"/>
    <s v="May"/>
    <s v="Q2"/>
    <s v="Adult"/>
    <s v="Low"/>
    <s v="East - Salaried"/>
  </r>
  <r>
    <x v="23"/>
    <s v="Lekha Desai"/>
    <n v="34"/>
    <x v="0"/>
    <x v="2"/>
    <x v="1"/>
    <x v="2"/>
    <x v="0"/>
    <x v="0"/>
    <n v="0.03"/>
    <d v="2022-07-20T00:00:00"/>
    <x v="1"/>
    <x v="1"/>
    <x v="3"/>
    <s v="Jul"/>
    <s v="Q3"/>
    <s v="Adult"/>
    <s v="High"/>
    <s v="North - Salaried"/>
  </r>
  <r>
    <x v="24"/>
    <s v="Jacob Chakrabarti"/>
    <n v="55"/>
    <x v="1"/>
    <x v="0"/>
    <x v="0"/>
    <x v="0"/>
    <x v="1"/>
    <x v="0"/>
    <n v="0.36"/>
    <d v="2019-01-28T00:00:00"/>
    <x v="2"/>
    <x v="0"/>
    <x v="4"/>
    <s v="Jan"/>
    <s v="Q1"/>
    <s v="Senior"/>
    <s v="Very High"/>
    <s v="West - Student"/>
  </r>
  <r>
    <x v="25"/>
    <s v="Manan Kumer"/>
    <n v="69"/>
    <x v="1"/>
    <x v="0"/>
    <x v="3"/>
    <x v="0"/>
    <x v="1"/>
    <x v="0"/>
    <n v="0.31"/>
    <d v="2020-01-24T00:00:00"/>
    <x v="3"/>
    <x v="0"/>
    <x v="0"/>
    <s v="Jan"/>
    <s v="Q1"/>
    <s v="Senior"/>
    <s v="Very High"/>
    <s v="West - Retired"/>
  </r>
  <r>
    <x v="26"/>
    <s v="Nirja Devan"/>
    <n v="46"/>
    <x v="1"/>
    <x v="1"/>
    <x v="2"/>
    <x v="5"/>
    <x v="1"/>
    <x v="0"/>
    <n v="0.42"/>
    <d v="2023-04-12T00:00:00"/>
    <x v="2"/>
    <x v="0"/>
    <x v="5"/>
    <s v="Apr"/>
    <s v="Q2"/>
    <s v="Adult"/>
    <s v="Very High"/>
    <s v="Central - Self-employed"/>
  </r>
  <r>
    <x v="27"/>
    <s v="Harrison Varma"/>
    <n v="55"/>
    <x v="1"/>
    <x v="2"/>
    <x v="1"/>
    <x v="1"/>
    <x v="1"/>
    <x v="1"/>
    <n v="0.39"/>
    <d v="2020-08-27T00:00:00"/>
    <x v="2"/>
    <x v="0"/>
    <x v="0"/>
    <s v="Aug"/>
    <s v="Q3"/>
    <s v="Senior"/>
    <s v="High"/>
    <s v="East - Salaried"/>
  </r>
  <r>
    <x v="28"/>
    <s v="Waida Chaudhari"/>
    <n v="66"/>
    <x v="0"/>
    <x v="0"/>
    <x v="1"/>
    <x v="2"/>
    <x v="0"/>
    <x v="1"/>
    <n v="0.31"/>
    <d v="2018-12-10T00:00:00"/>
    <x v="3"/>
    <x v="0"/>
    <x v="1"/>
    <s v="Dec"/>
    <s v="Q4"/>
    <s v="Senior"/>
    <s v="Low"/>
    <s v="North - Salaried"/>
  </r>
  <r>
    <x v="29"/>
    <s v="Manbir Khatri"/>
    <n v="52"/>
    <x v="1"/>
    <x v="1"/>
    <x v="2"/>
    <x v="3"/>
    <x v="1"/>
    <x v="1"/>
    <n v="0.28000000000000003"/>
    <d v="2020-05-17T00:00:00"/>
    <x v="2"/>
    <x v="1"/>
    <x v="0"/>
    <s v="May"/>
    <s v="Q2"/>
    <s v="Senior"/>
    <s v="High"/>
    <s v="South - Self-employed"/>
  </r>
  <r>
    <x v="30"/>
    <s v="Frado Rai"/>
    <n v="54"/>
    <x v="1"/>
    <x v="2"/>
    <x v="0"/>
    <x v="2"/>
    <x v="0"/>
    <x v="1"/>
    <n v="0.7"/>
    <d v="2018-06-26T00:00:00"/>
    <x v="2"/>
    <x v="2"/>
    <x v="1"/>
    <s v="Jun"/>
    <s v="Q2"/>
    <s v="Senior"/>
    <s v="Low"/>
    <s v="North - Student"/>
  </r>
  <r>
    <x v="31"/>
    <s v="Thomas Iyer"/>
    <n v="36"/>
    <x v="1"/>
    <x v="2"/>
    <x v="3"/>
    <x v="1"/>
    <x v="1"/>
    <x v="1"/>
    <n v="0.47"/>
    <d v="2020-04-09T00:00:00"/>
    <x v="1"/>
    <x v="0"/>
    <x v="0"/>
    <s v="Apr"/>
    <s v="Q2"/>
    <s v="Adult"/>
    <s v="High"/>
    <s v="East - Retired"/>
  </r>
  <r>
    <x v="32"/>
    <s v="Wriddhish Desai"/>
    <n v="43"/>
    <x v="1"/>
    <x v="2"/>
    <x v="1"/>
    <x v="4"/>
    <x v="0"/>
    <x v="1"/>
    <n v="0.28000000000000003"/>
    <d v="2022-02-19T00:00:00"/>
    <x v="1"/>
    <x v="1"/>
    <x v="3"/>
    <s v="Feb"/>
    <s v="Q1"/>
    <s v="Adult"/>
    <s v="Low"/>
    <s v="North-East - Salaried"/>
  </r>
  <r>
    <x v="33"/>
    <s v="Triveni Grover"/>
    <n v="37"/>
    <x v="0"/>
    <x v="1"/>
    <x v="3"/>
    <x v="0"/>
    <x v="1"/>
    <x v="0"/>
    <n v="0.38"/>
    <d v="2023-04-05T00:00:00"/>
    <x v="1"/>
    <x v="0"/>
    <x v="5"/>
    <s v="Apr"/>
    <s v="Q2"/>
    <s v="Adult"/>
    <s v="Very High"/>
    <s v="West - Retired"/>
  </r>
  <r>
    <x v="34"/>
    <s v="Dakshesh Patla"/>
    <n v="26"/>
    <x v="1"/>
    <x v="2"/>
    <x v="2"/>
    <x v="4"/>
    <x v="1"/>
    <x v="1"/>
    <n v="0.45"/>
    <d v="2019-03-30T00:00:00"/>
    <x v="0"/>
    <x v="0"/>
    <x v="4"/>
    <s v="Mar"/>
    <s v="Q1"/>
    <s v="Young"/>
    <s v="High"/>
    <s v="North-East - Self-employed"/>
  </r>
  <r>
    <x v="35"/>
    <s v="Umang Korpal"/>
    <n v="27"/>
    <x v="0"/>
    <x v="2"/>
    <x v="1"/>
    <x v="3"/>
    <x v="0"/>
    <x v="0"/>
    <n v="0.47"/>
    <d v="2019-05-12T00:00:00"/>
    <x v="0"/>
    <x v="0"/>
    <x v="4"/>
    <s v="May"/>
    <s v="Q2"/>
    <s v="Young"/>
    <s v="High"/>
    <s v="South - Salaried"/>
  </r>
  <r>
    <x v="36"/>
    <s v="Samaksh Banerjee"/>
    <n v="64"/>
    <x v="1"/>
    <x v="1"/>
    <x v="1"/>
    <x v="4"/>
    <x v="1"/>
    <x v="0"/>
    <n v="0.28000000000000003"/>
    <d v="2020-06-21T00:00:00"/>
    <x v="3"/>
    <x v="1"/>
    <x v="0"/>
    <s v="Jun"/>
    <s v="Q2"/>
    <s v="Senior"/>
    <s v="Very High"/>
    <s v="North-East - Salaried"/>
  </r>
  <r>
    <x v="37"/>
    <s v="Faras Brar"/>
    <n v="58"/>
    <x v="1"/>
    <x v="0"/>
    <x v="1"/>
    <x v="5"/>
    <x v="0"/>
    <x v="0"/>
    <n v="0.3"/>
    <d v="2018-10-03T00:00:00"/>
    <x v="2"/>
    <x v="0"/>
    <x v="1"/>
    <s v="Oct"/>
    <s v="Q4"/>
    <s v="Senior"/>
    <s v="High"/>
    <s v="Central - Salaried"/>
  </r>
  <r>
    <x v="38"/>
    <s v="Unni Ramakrishnan"/>
    <n v="32"/>
    <x v="1"/>
    <x v="0"/>
    <x v="1"/>
    <x v="1"/>
    <x v="0"/>
    <x v="0"/>
    <n v="0.86"/>
    <d v="2022-04-29T00:00:00"/>
    <x v="1"/>
    <x v="2"/>
    <x v="3"/>
    <s v="Apr"/>
    <s v="Q2"/>
    <s v="Adult"/>
    <s v="High"/>
    <s v="East - Salaried"/>
  </r>
  <r>
    <x v="39"/>
    <s v="Xalak Narayanan"/>
    <n v="54"/>
    <x v="0"/>
    <x v="0"/>
    <x v="1"/>
    <x v="5"/>
    <x v="0"/>
    <x v="1"/>
    <n v="0.83"/>
    <d v="2022-07-02T00:00:00"/>
    <x v="2"/>
    <x v="2"/>
    <x v="3"/>
    <s v="Jul"/>
    <s v="Q3"/>
    <s v="Senior"/>
    <s v="Low"/>
    <s v="Central - Salaried"/>
  </r>
  <r>
    <x v="40"/>
    <s v="Neelima Loyal"/>
    <n v="38"/>
    <x v="1"/>
    <x v="2"/>
    <x v="1"/>
    <x v="0"/>
    <x v="0"/>
    <x v="0"/>
    <n v="0.2"/>
    <d v="2021-07-26T00:00:00"/>
    <x v="1"/>
    <x v="1"/>
    <x v="2"/>
    <s v="Jul"/>
    <s v="Q3"/>
    <s v="Adult"/>
    <s v="High"/>
    <s v="West - Salaried"/>
  </r>
  <r>
    <x v="41"/>
    <s v="Hemal Mangal"/>
    <n v="57"/>
    <x v="1"/>
    <x v="1"/>
    <x v="3"/>
    <x v="4"/>
    <x v="0"/>
    <x v="0"/>
    <n v="0.56000000000000005"/>
    <d v="2020-08-21T00:00:00"/>
    <x v="2"/>
    <x v="0"/>
    <x v="0"/>
    <s v="Aug"/>
    <s v="Q3"/>
    <s v="Senior"/>
    <s v="High"/>
    <s v="North-East - Retired"/>
  </r>
  <r>
    <x v="42"/>
    <s v="Gaurangi Mohan"/>
    <n v="25"/>
    <x v="0"/>
    <x v="0"/>
    <x v="2"/>
    <x v="2"/>
    <x v="0"/>
    <x v="1"/>
    <n v="0.49"/>
    <d v="2022-10-11T00:00:00"/>
    <x v="0"/>
    <x v="0"/>
    <x v="3"/>
    <s v="Oct"/>
    <s v="Q4"/>
    <s v="Young"/>
    <s v="Low"/>
    <s v="North - Self-employed"/>
  </r>
  <r>
    <x v="43"/>
    <s v="Luke Naidu"/>
    <n v="55"/>
    <x v="0"/>
    <x v="0"/>
    <x v="3"/>
    <x v="3"/>
    <x v="1"/>
    <x v="0"/>
    <n v="0.5"/>
    <d v="2018-11-09T00:00:00"/>
    <x v="2"/>
    <x v="0"/>
    <x v="1"/>
    <s v="Nov"/>
    <s v="Q4"/>
    <s v="Senior"/>
    <s v="Very High"/>
    <s v="South - Retired"/>
  </r>
  <r>
    <x v="44"/>
    <s v="Sanya Gopal"/>
    <n v="34"/>
    <x v="1"/>
    <x v="1"/>
    <x v="2"/>
    <x v="5"/>
    <x v="0"/>
    <x v="1"/>
    <n v="0.43"/>
    <d v="2020-08-08T00:00:00"/>
    <x v="1"/>
    <x v="0"/>
    <x v="0"/>
    <s v="Aug"/>
    <s v="Q3"/>
    <s v="Adult"/>
    <s v="Low"/>
    <s v="Central - Self-employed"/>
  </r>
  <r>
    <x v="45"/>
    <s v="Wriddhish Arya"/>
    <n v="45"/>
    <x v="0"/>
    <x v="2"/>
    <x v="3"/>
    <x v="3"/>
    <x v="0"/>
    <x v="0"/>
    <n v="0.78"/>
    <d v="2018-08-07T00:00:00"/>
    <x v="1"/>
    <x v="2"/>
    <x v="1"/>
    <s v="Aug"/>
    <s v="Q3"/>
    <s v="Adult"/>
    <s v="High"/>
    <s v="South - Retired"/>
  </r>
  <r>
    <x v="46"/>
    <s v="Anya Deshpande"/>
    <n v="56"/>
    <x v="0"/>
    <x v="1"/>
    <x v="3"/>
    <x v="5"/>
    <x v="0"/>
    <x v="1"/>
    <n v="0.62"/>
    <d v="2023-05-21T00:00:00"/>
    <x v="2"/>
    <x v="0"/>
    <x v="5"/>
    <s v="May"/>
    <s v="Q2"/>
    <s v="Senior"/>
    <s v="Low"/>
    <s v="Central - Retired"/>
  </r>
  <r>
    <x v="47"/>
    <s v="Jhalak Dani"/>
    <n v="60"/>
    <x v="0"/>
    <x v="0"/>
    <x v="2"/>
    <x v="5"/>
    <x v="1"/>
    <x v="1"/>
    <n v="0.61"/>
    <d v="2020-03-17T00:00:00"/>
    <x v="2"/>
    <x v="0"/>
    <x v="0"/>
    <s v="Mar"/>
    <s v="Q1"/>
    <s v="Senior"/>
    <s v="High"/>
    <s v="Central - Self-employed"/>
  </r>
  <r>
    <x v="48"/>
    <s v="Rohan Kota"/>
    <n v="65"/>
    <x v="1"/>
    <x v="2"/>
    <x v="1"/>
    <x v="3"/>
    <x v="0"/>
    <x v="1"/>
    <n v="0.45"/>
    <d v="2022-03-10T00:00:00"/>
    <x v="3"/>
    <x v="0"/>
    <x v="3"/>
    <s v="Mar"/>
    <s v="Q1"/>
    <s v="Senior"/>
    <s v="Low"/>
    <s v="South - Salaried"/>
  </r>
  <r>
    <x v="49"/>
    <s v="Ojasvi Dada"/>
    <n v="50"/>
    <x v="0"/>
    <x v="2"/>
    <x v="3"/>
    <x v="0"/>
    <x v="0"/>
    <x v="1"/>
    <n v="0.54"/>
    <d v="2018-11-20T00:00:00"/>
    <x v="2"/>
    <x v="0"/>
    <x v="1"/>
    <s v="Nov"/>
    <s v="Q4"/>
    <s v="Adult"/>
    <s v="Low"/>
    <s v="West - Retired"/>
  </r>
  <r>
    <x v="50"/>
    <s v="Thomas Shankar"/>
    <n v="30"/>
    <x v="0"/>
    <x v="0"/>
    <x v="3"/>
    <x v="0"/>
    <x v="0"/>
    <x v="0"/>
    <n v="0.15"/>
    <d v="2019-07-31T00:00:00"/>
    <x v="0"/>
    <x v="1"/>
    <x v="4"/>
    <s v="Jul"/>
    <s v="Q3"/>
    <s v="Adult"/>
    <s v="High"/>
    <s v="West - Retired"/>
  </r>
  <r>
    <x v="51"/>
    <s v="Hemang Badami"/>
    <n v="69"/>
    <x v="1"/>
    <x v="0"/>
    <x v="1"/>
    <x v="5"/>
    <x v="0"/>
    <x v="0"/>
    <n v="0.51"/>
    <d v="2020-02-10T00:00:00"/>
    <x v="3"/>
    <x v="0"/>
    <x v="0"/>
    <s v="Feb"/>
    <s v="Q1"/>
    <s v="Senior"/>
    <s v="High"/>
    <s v="Central - Salaried"/>
  </r>
  <r>
    <x v="52"/>
    <s v="Jairaj Tandon"/>
    <n v="31"/>
    <x v="1"/>
    <x v="1"/>
    <x v="3"/>
    <x v="0"/>
    <x v="0"/>
    <x v="1"/>
    <n v="0.71"/>
    <d v="2020-02-03T00:00:00"/>
    <x v="1"/>
    <x v="2"/>
    <x v="0"/>
    <s v="Feb"/>
    <s v="Q1"/>
    <s v="Adult"/>
    <s v="Low"/>
    <s v="West - Retired"/>
  </r>
  <r>
    <x v="53"/>
    <s v="Oliver Dhar"/>
    <n v="57"/>
    <x v="1"/>
    <x v="0"/>
    <x v="2"/>
    <x v="5"/>
    <x v="1"/>
    <x v="1"/>
    <n v="0.25"/>
    <d v="2022-03-27T00:00:00"/>
    <x v="2"/>
    <x v="1"/>
    <x v="3"/>
    <s v="Mar"/>
    <s v="Q1"/>
    <s v="Senior"/>
    <s v="High"/>
    <s v="Central - Self-employed"/>
  </r>
  <r>
    <x v="54"/>
    <s v="Fariq Pillay"/>
    <n v="50"/>
    <x v="1"/>
    <x v="0"/>
    <x v="3"/>
    <x v="1"/>
    <x v="1"/>
    <x v="1"/>
    <n v="0.32"/>
    <d v="2021-01-20T00:00:00"/>
    <x v="2"/>
    <x v="0"/>
    <x v="2"/>
    <s v="Jan"/>
    <s v="Q1"/>
    <s v="Adult"/>
    <s v="High"/>
    <s v="East - Retired"/>
  </r>
  <r>
    <x v="55"/>
    <s v="Naksh Kadakia"/>
    <n v="62"/>
    <x v="0"/>
    <x v="2"/>
    <x v="2"/>
    <x v="0"/>
    <x v="0"/>
    <x v="1"/>
    <n v="0.47"/>
    <d v="2020-03-01T00:00:00"/>
    <x v="3"/>
    <x v="0"/>
    <x v="0"/>
    <s v="Mar"/>
    <s v="Q1"/>
    <s v="Senior"/>
    <s v="Low"/>
    <s v="West - Self-employed"/>
  </r>
  <r>
    <x v="56"/>
    <s v="Ati Goda"/>
    <n v="68"/>
    <x v="1"/>
    <x v="2"/>
    <x v="2"/>
    <x v="2"/>
    <x v="1"/>
    <x v="0"/>
    <n v="0.01"/>
    <d v="2023-11-19T00:00:00"/>
    <x v="3"/>
    <x v="1"/>
    <x v="5"/>
    <s v="Nov"/>
    <s v="Q4"/>
    <s v="Senior"/>
    <s v="Very High"/>
    <s v="North - Self-employed"/>
  </r>
  <r>
    <x v="57"/>
    <s v="Amara Tara"/>
    <n v="30"/>
    <x v="0"/>
    <x v="2"/>
    <x v="0"/>
    <x v="1"/>
    <x v="1"/>
    <x v="1"/>
    <n v="0.55000000000000004"/>
    <d v="2023-08-22T00:00:00"/>
    <x v="0"/>
    <x v="0"/>
    <x v="5"/>
    <s v="Aug"/>
    <s v="Q3"/>
    <s v="Adult"/>
    <s v="High"/>
    <s v="East - Student"/>
  </r>
  <r>
    <x v="58"/>
    <s v="Harita Divan"/>
    <n v="26"/>
    <x v="1"/>
    <x v="1"/>
    <x v="2"/>
    <x v="0"/>
    <x v="1"/>
    <x v="1"/>
    <n v="0.37"/>
    <d v="2021-10-01T00:00:00"/>
    <x v="0"/>
    <x v="0"/>
    <x v="2"/>
    <s v="Oct"/>
    <s v="Q4"/>
    <s v="Young"/>
    <s v="High"/>
    <s v="West - Self-employed"/>
  </r>
  <r>
    <x v="59"/>
    <s v="Sai Shere"/>
    <n v="38"/>
    <x v="1"/>
    <x v="2"/>
    <x v="0"/>
    <x v="3"/>
    <x v="1"/>
    <x v="0"/>
    <n v="0.46"/>
    <d v="2019-05-21T00:00:00"/>
    <x v="1"/>
    <x v="0"/>
    <x v="4"/>
    <s v="May"/>
    <s v="Q2"/>
    <s v="Adult"/>
    <s v="Very High"/>
    <s v="South - Student"/>
  </r>
  <r>
    <x v="60"/>
    <s v="Ekiya Ray"/>
    <n v="68"/>
    <x v="1"/>
    <x v="0"/>
    <x v="0"/>
    <x v="2"/>
    <x v="0"/>
    <x v="0"/>
    <n v="0.34"/>
    <d v="2021-04-23T00:00:00"/>
    <x v="3"/>
    <x v="0"/>
    <x v="2"/>
    <s v="Apr"/>
    <s v="Q2"/>
    <s v="Senior"/>
    <s v="High"/>
    <s v="North - Student"/>
  </r>
  <r>
    <x v="61"/>
    <s v="Robert Sidhu"/>
    <n v="20"/>
    <x v="0"/>
    <x v="2"/>
    <x v="0"/>
    <x v="0"/>
    <x v="1"/>
    <x v="1"/>
    <n v="0.35"/>
    <d v="2020-11-27T00:00:00"/>
    <x v="0"/>
    <x v="0"/>
    <x v="0"/>
    <s v="Nov"/>
    <s v="Q4"/>
    <s v="Young"/>
    <s v="High"/>
    <s v="West - Student"/>
  </r>
  <r>
    <x v="62"/>
    <s v="Isaac Mallick"/>
    <n v="40"/>
    <x v="1"/>
    <x v="1"/>
    <x v="1"/>
    <x v="4"/>
    <x v="1"/>
    <x v="1"/>
    <n v="0.63"/>
    <d v="2018-07-27T00:00:00"/>
    <x v="1"/>
    <x v="0"/>
    <x v="1"/>
    <s v="Jul"/>
    <s v="Q3"/>
    <s v="Adult"/>
    <s v="High"/>
    <s v="North-East - Salaried"/>
  </r>
  <r>
    <x v="63"/>
    <s v="Reva Yadav"/>
    <n v="21"/>
    <x v="1"/>
    <x v="0"/>
    <x v="3"/>
    <x v="3"/>
    <x v="1"/>
    <x v="1"/>
    <n v="0.5"/>
    <d v="2018-12-16T00:00:00"/>
    <x v="0"/>
    <x v="0"/>
    <x v="1"/>
    <s v="Dec"/>
    <s v="Q4"/>
    <s v="Young"/>
    <s v="High"/>
    <s v="South - Retired"/>
  </r>
  <r>
    <x v="64"/>
    <s v="Dayamai Grewal"/>
    <n v="22"/>
    <x v="0"/>
    <x v="1"/>
    <x v="3"/>
    <x v="5"/>
    <x v="1"/>
    <x v="1"/>
    <n v="0.87"/>
    <d v="2022-11-01T00:00:00"/>
    <x v="0"/>
    <x v="2"/>
    <x v="3"/>
    <s v="Nov"/>
    <s v="Q4"/>
    <s v="Young"/>
    <s v="High"/>
    <s v="Central - Retired"/>
  </r>
  <r>
    <x v="65"/>
    <s v="Ubika Hayer"/>
    <n v="33"/>
    <x v="1"/>
    <x v="1"/>
    <x v="1"/>
    <x v="0"/>
    <x v="1"/>
    <x v="1"/>
    <n v="0.56999999999999995"/>
    <d v="2023-04-24T00:00:00"/>
    <x v="1"/>
    <x v="0"/>
    <x v="5"/>
    <s v="Apr"/>
    <s v="Q2"/>
    <s v="Adult"/>
    <s v="High"/>
    <s v="West - Salaried"/>
  </r>
  <r>
    <x v="66"/>
    <s v="Pavani Bala"/>
    <n v="56"/>
    <x v="0"/>
    <x v="1"/>
    <x v="1"/>
    <x v="4"/>
    <x v="0"/>
    <x v="0"/>
    <n v="0.67"/>
    <d v="2021-05-30T00:00:00"/>
    <x v="2"/>
    <x v="0"/>
    <x v="2"/>
    <s v="May"/>
    <s v="Q2"/>
    <s v="Senior"/>
    <s v="High"/>
    <s v="North-East - Salaried"/>
  </r>
  <r>
    <x v="67"/>
    <s v="Utkarsh Dasgupta"/>
    <n v="37"/>
    <x v="0"/>
    <x v="0"/>
    <x v="1"/>
    <x v="5"/>
    <x v="1"/>
    <x v="0"/>
    <n v="0.51"/>
    <d v="2021-03-05T00:00:00"/>
    <x v="1"/>
    <x v="0"/>
    <x v="2"/>
    <s v="Mar"/>
    <s v="Q1"/>
    <s v="Adult"/>
    <s v="Very High"/>
    <s v="Central - Salaried"/>
  </r>
  <r>
    <x v="68"/>
    <s v="Mitali Wadhwa"/>
    <n v="63"/>
    <x v="0"/>
    <x v="1"/>
    <x v="3"/>
    <x v="5"/>
    <x v="1"/>
    <x v="1"/>
    <n v="0.59"/>
    <d v="2019-03-28T00:00:00"/>
    <x v="3"/>
    <x v="0"/>
    <x v="4"/>
    <s v="Mar"/>
    <s v="Q1"/>
    <s v="Senior"/>
    <s v="High"/>
    <s v="Central - Retired"/>
  </r>
  <r>
    <x v="69"/>
    <s v="Warda Gala"/>
    <n v="66"/>
    <x v="1"/>
    <x v="0"/>
    <x v="1"/>
    <x v="3"/>
    <x v="0"/>
    <x v="1"/>
    <n v="0.63"/>
    <d v="2020-02-16T00:00:00"/>
    <x v="3"/>
    <x v="0"/>
    <x v="0"/>
    <s v="Feb"/>
    <s v="Q1"/>
    <s v="Senior"/>
    <s v="Low"/>
    <s v="South - Salaried"/>
  </r>
  <r>
    <x v="70"/>
    <s v="Kritika Pal"/>
    <n v="68"/>
    <x v="0"/>
    <x v="0"/>
    <x v="1"/>
    <x v="2"/>
    <x v="0"/>
    <x v="1"/>
    <n v="0.74"/>
    <d v="2018-06-25T00:00:00"/>
    <x v="3"/>
    <x v="2"/>
    <x v="1"/>
    <s v="Jun"/>
    <s v="Q2"/>
    <s v="Senior"/>
    <s v="Low"/>
    <s v="North - Salaried"/>
  </r>
  <r>
    <x v="71"/>
    <s v="Mitesh Vasa"/>
    <n v="32"/>
    <x v="0"/>
    <x v="0"/>
    <x v="3"/>
    <x v="4"/>
    <x v="0"/>
    <x v="1"/>
    <n v="0.47"/>
    <d v="2023-08-24T00:00:00"/>
    <x v="1"/>
    <x v="0"/>
    <x v="5"/>
    <s v="Aug"/>
    <s v="Q3"/>
    <s v="Adult"/>
    <s v="Low"/>
    <s v="North-East - Retired"/>
  </r>
  <r>
    <x v="72"/>
    <s v="Joshua Prakash"/>
    <n v="68"/>
    <x v="0"/>
    <x v="2"/>
    <x v="3"/>
    <x v="1"/>
    <x v="1"/>
    <x v="1"/>
    <n v="0.49"/>
    <d v="2020-02-23T00:00:00"/>
    <x v="3"/>
    <x v="0"/>
    <x v="0"/>
    <s v="Feb"/>
    <s v="Q1"/>
    <s v="Senior"/>
    <s v="High"/>
    <s v="East - Retired"/>
  </r>
  <r>
    <x v="73"/>
    <s v="Omkaar Dora"/>
    <n v="62"/>
    <x v="0"/>
    <x v="0"/>
    <x v="3"/>
    <x v="3"/>
    <x v="1"/>
    <x v="0"/>
    <n v="0.33"/>
    <d v="2022-01-11T00:00:00"/>
    <x v="3"/>
    <x v="0"/>
    <x v="3"/>
    <s v="Jan"/>
    <s v="Q1"/>
    <s v="Senior"/>
    <s v="Very High"/>
    <s v="South - Retired"/>
  </r>
  <r>
    <x v="74"/>
    <s v="Aarav Mani"/>
    <n v="59"/>
    <x v="0"/>
    <x v="1"/>
    <x v="2"/>
    <x v="3"/>
    <x v="0"/>
    <x v="1"/>
    <n v="0.22"/>
    <d v="2019-12-15T00:00:00"/>
    <x v="2"/>
    <x v="1"/>
    <x v="4"/>
    <s v="Dec"/>
    <s v="Q4"/>
    <s v="Senior"/>
    <s v="Low"/>
    <s v="South - Self-employed"/>
  </r>
  <r>
    <x v="75"/>
    <s v="Urvi Kapadia"/>
    <n v="28"/>
    <x v="1"/>
    <x v="2"/>
    <x v="1"/>
    <x v="4"/>
    <x v="1"/>
    <x v="0"/>
    <n v="0.62"/>
    <d v="2018-02-11T00:00:00"/>
    <x v="0"/>
    <x v="0"/>
    <x v="1"/>
    <s v="Feb"/>
    <s v="Q1"/>
    <s v="Young"/>
    <s v="Very High"/>
    <s v="North-East - Salaried"/>
  </r>
  <r>
    <x v="76"/>
    <s v="Pallavi Sane"/>
    <n v="63"/>
    <x v="1"/>
    <x v="0"/>
    <x v="0"/>
    <x v="0"/>
    <x v="0"/>
    <x v="0"/>
    <n v="0.63"/>
    <d v="2021-06-27T00:00:00"/>
    <x v="3"/>
    <x v="0"/>
    <x v="2"/>
    <s v="Jun"/>
    <s v="Q2"/>
    <s v="Senior"/>
    <s v="High"/>
    <s v="West - Student"/>
  </r>
  <r>
    <x v="77"/>
    <s v="Upasna Ranganathan"/>
    <n v="23"/>
    <x v="1"/>
    <x v="2"/>
    <x v="1"/>
    <x v="5"/>
    <x v="0"/>
    <x v="1"/>
    <n v="0.6"/>
    <d v="2019-07-04T00:00:00"/>
    <x v="0"/>
    <x v="0"/>
    <x v="4"/>
    <s v="Jul"/>
    <s v="Q3"/>
    <s v="Young"/>
    <s v="Low"/>
    <s v="Central - Salaried"/>
  </r>
  <r>
    <x v="78"/>
    <s v="Yasti Grover"/>
    <n v="52"/>
    <x v="0"/>
    <x v="0"/>
    <x v="2"/>
    <x v="3"/>
    <x v="1"/>
    <x v="1"/>
    <n v="0.35"/>
    <d v="2018-10-27T00:00:00"/>
    <x v="2"/>
    <x v="0"/>
    <x v="1"/>
    <s v="Oct"/>
    <s v="Q4"/>
    <s v="Senior"/>
    <s v="High"/>
    <s v="South - Self-employed"/>
  </r>
  <r>
    <x v="79"/>
    <s v="Widisha Dara"/>
    <n v="21"/>
    <x v="0"/>
    <x v="1"/>
    <x v="0"/>
    <x v="3"/>
    <x v="0"/>
    <x v="1"/>
    <n v="0.7"/>
    <d v="2019-07-18T00:00:00"/>
    <x v="0"/>
    <x v="2"/>
    <x v="4"/>
    <s v="Jul"/>
    <s v="Q3"/>
    <s v="Young"/>
    <s v="Low"/>
    <s v="South - Student"/>
  </r>
  <r>
    <x v="80"/>
    <s v="Ryan Raj"/>
    <n v="56"/>
    <x v="1"/>
    <x v="2"/>
    <x v="2"/>
    <x v="0"/>
    <x v="0"/>
    <x v="1"/>
    <n v="0.54"/>
    <d v="2018-09-23T00:00:00"/>
    <x v="2"/>
    <x v="0"/>
    <x v="1"/>
    <s v="Sep"/>
    <s v="Q3"/>
    <s v="Senior"/>
    <s v="Low"/>
    <s v="West - Self-employed"/>
  </r>
  <r>
    <x v="81"/>
    <s v="Jeet Dugal"/>
    <n v="61"/>
    <x v="0"/>
    <x v="1"/>
    <x v="3"/>
    <x v="4"/>
    <x v="1"/>
    <x v="0"/>
    <n v="0.42"/>
    <d v="2019-02-28T00:00:00"/>
    <x v="3"/>
    <x v="0"/>
    <x v="4"/>
    <s v="Feb"/>
    <s v="Q1"/>
    <s v="Senior"/>
    <s v="Very High"/>
    <s v="North-East - Retired"/>
  </r>
  <r>
    <x v="82"/>
    <s v="Tarak Dua"/>
    <n v="29"/>
    <x v="1"/>
    <x v="0"/>
    <x v="3"/>
    <x v="5"/>
    <x v="0"/>
    <x v="1"/>
    <n v="0.44"/>
    <d v="2020-03-21T00:00:00"/>
    <x v="0"/>
    <x v="0"/>
    <x v="0"/>
    <s v="Mar"/>
    <s v="Q1"/>
    <s v="Young"/>
    <s v="Low"/>
    <s v="Central - Retired"/>
  </r>
  <r>
    <x v="83"/>
    <s v="Neel Trivedi"/>
    <n v="40"/>
    <x v="1"/>
    <x v="2"/>
    <x v="0"/>
    <x v="5"/>
    <x v="0"/>
    <x v="1"/>
    <n v="0.62"/>
    <d v="2019-05-29T00:00:00"/>
    <x v="1"/>
    <x v="0"/>
    <x v="4"/>
    <s v="May"/>
    <s v="Q2"/>
    <s v="Adult"/>
    <s v="Low"/>
    <s v="Central - Student"/>
  </r>
  <r>
    <x v="84"/>
    <s v="Hitesh Master"/>
    <n v="39"/>
    <x v="0"/>
    <x v="0"/>
    <x v="1"/>
    <x v="1"/>
    <x v="0"/>
    <x v="0"/>
    <n v="0.76"/>
    <d v="2020-11-19T00:00:00"/>
    <x v="1"/>
    <x v="2"/>
    <x v="0"/>
    <s v="Nov"/>
    <s v="Q4"/>
    <s v="Adult"/>
    <s v="High"/>
    <s v="East - Salaried"/>
  </r>
  <r>
    <x v="85"/>
    <s v="Mitesh Pal"/>
    <n v="44"/>
    <x v="1"/>
    <x v="1"/>
    <x v="3"/>
    <x v="1"/>
    <x v="1"/>
    <x v="0"/>
    <n v="0.52"/>
    <d v="2022-02-27T00:00:00"/>
    <x v="1"/>
    <x v="0"/>
    <x v="3"/>
    <s v="Feb"/>
    <s v="Q1"/>
    <s v="Adult"/>
    <s v="Very High"/>
    <s v="East - Retired"/>
  </r>
  <r>
    <x v="86"/>
    <s v="Nidhi Bhandari"/>
    <n v="44"/>
    <x v="0"/>
    <x v="2"/>
    <x v="3"/>
    <x v="2"/>
    <x v="0"/>
    <x v="0"/>
    <n v="0.82"/>
    <d v="2021-12-22T00:00:00"/>
    <x v="1"/>
    <x v="2"/>
    <x v="2"/>
    <s v="Dec"/>
    <s v="Q4"/>
    <s v="Adult"/>
    <s v="High"/>
    <s v="North - Retired"/>
  </r>
  <r>
    <x v="87"/>
    <s v="Qadim Nazareth"/>
    <n v="34"/>
    <x v="0"/>
    <x v="1"/>
    <x v="1"/>
    <x v="2"/>
    <x v="0"/>
    <x v="1"/>
    <n v="0.49"/>
    <d v="2021-06-18T00:00:00"/>
    <x v="1"/>
    <x v="0"/>
    <x v="2"/>
    <s v="Jun"/>
    <s v="Q2"/>
    <s v="Adult"/>
    <s v="Low"/>
    <s v="North - Salaried"/>
  </r>
  <r>
    <x v="88"/>
    <s v="Kamya Bawa"/>
    <n v="51"/>
    <x v="1"/>
    <x v="0"/>
    <x v="2"/>
    <x v="0"/>
    <x v="1"/>
    <x v="1"/>
    <n v="0.33"/>
    <d v="2021-12-27T00:00:00"/>
    <x v="2"/>
    <x v="0"/>
    <x v="2"/>
    <s v="Dec"/>
    <s v="Q4"/>
    <s v="Senior"/>
    <s v="High"/>
    <s v="West - Self-employed"/>
  </r>
  <r>
    <x v="89"/>
    <s v="Xavier Srinivas"/>
    <n v="52"/>
    <x v="0"/>
    <x v="2"/>
    <x v="1"/>
    <x v="1"/>
    <x v="1"/>
    <x v="1"/>
    <n v="0.53"/>
    <d v="2020-08-30T00:00:00"/>
    <x v="2"/>
    <x v="0"/>
    <x v="0"/>
    <s v="Aug"/>
    <s v="Q3"/>
    <s v="Senior"/>
    <s v="High"/>
    <s v="East - Salaried"/>
  </r>
  <r>
    <x v="90"/>
    <s v="Anita Ranganathan"/>
    <n v="48"/>
    <x v="1"/>
    <x v="1"/>
    <x v="0"/>
    <x v="2"/>
    <x v="1"/>
    <x v="0"/>
    <n v="0.3"/>
    <d v="2020-06-05T00:00:00"/>
    <x v="2"/>
    <x v="0"/>
    <x v="0"/>
    <s v="Jun"/>
    <s v="Q2"/>
    <s v="Adult"/>
    <s v="Very High"/>
    <s v="North - Student"/>
  </r>
  <r>
    <x v="91"/>
    <s v="Anya Cheema"/>
    <n v="29"/>
    <x v="0"/>
    <x v="0"/>
    <x v="1"/>
    <x v="0"/>
    <x v="1"/>
    <x v="0"/>
    <n v="0.34"/>
    <d v="2021-12-18T00:00:00"/>
    <x v="0"/>
    <x v="0"/>
    <x v="2"/>
    <s v="Dec"/>
    <s v="Q4"/>
    <s v="Young"/>
    <s v="Very High"/>
    <s v="West - Salaried"/>
  </r>
  <r>
    <x v="92"/>
    <s v="Abeer Sunder"/>
    <n v="68"/>
    <x v="1"/>
    <x v="1"/>
    <x v="0"/>
    <x v="4"/>
    <x v="0"/>
    <x v="0"/>
    <n v="0.55000000000000004"/>
    <d v="2019-05-07T00:00:00"/>
    <x v="3"/>
    <x v="0"/>
    <x v="4"/>
    <s v="May"/>
    <s v="Q2"/>
    <s v="Senior"/>
    <s v="High"/>
    <s v="North-East - Student"/>
  </r>
  <r>
    <x v="93"/>
    <s v="Veer Mody"/>
    <n v="32"/>
    <x v="0"/>
    <x v="0"/>
    <x v="0"/>
    <x v="4"/>
    <x v="0"/>
    <x v="1"/>
    <n v="0.39"/>
    <d v="2020-09-27T00:00:00"/>
    <x v="1"/>
    <x v="0"/>
    <x v="0"/>
    <s v="Sep"/>
    <s v="Q3"/>
    <s v="Adult"/>
    <s v="Low"/>
    <s v="North-East - Student"/>
  </r>
  <r>
    <x v="94"/>
    <s v="Ekiya Dixit"/>
    <n v="66"/>
    <x v="1"/>
    <x v="0"/>
    <x v="1"/>
    <x v="2"/>
    <x v="0"/>
    <x v="0"/>
    <n v="0.99"/>
    <d v="2020-09-04T00:00:00"/>
    <x v="3"/>
    <x v="2"/>
    <x v="0"/>
    <s v="Sep"/>
    <s v="Q3"/>
    <s v="Senior"/>
    <s v="High"/>
    <s v="North - Salaried"/>
  </r>
  <r>
    <x v="95"/>
    <s v="Ekbal Kannan"/>
    <n v="48"/>
    <x v="0"/>
    <x v="0"/>
    <x v="0"/>
    <x v="3"/>
    <x v="1"/>
    <x v="0"/>
    <n v="0.44"/>
    <d v="2022-11-05T00:00:00"/>
    <x v="2"/>
    <x v="0"/>
    <x v="3"/>
    <s v="Nov"/>
    <s v="Q4"/>
    <s v="Adult"/>
    <s v="Very High"/>
    <s v="South - Student"/>
  </r>
  <r>
    <x v="96"/>
    <s v="Yashoda Mangat"/>
    <n v="36"/>
    <x v="0"/>
    <x v="1"/>
    <x v="1"/>
    <x v="3"/>
    <x v="0"/>
    <x v="1"/>
    <n v="0.33"/>
    <d v="2022-03-05T00:00:00"/>
    <x v="1"/>
    <x v="0"/>
    <x v="3"/>
    <s v="Mar"/>
    <s v="Q1"/>
    <s v="Adult"/>
    <s v="Low"/>
    <s v="South - Salaried"/>
  </r>
  <r>
    <x v="97"/>
    <s v="Libni Bhatnagar"/>
    <n v="56"/>
    <x v="0"/>
    <x v="2"/>
    <x v="1"/>
    <x v="4"/>
    <x v="0"/>
    <x v="0"/>
    <n v="0.47"/>
    <d v="2018-12-24T00:00:00"/>
    <x v="2"/>
    <x v="0"/>
    <x v="1"/>
    <s v="Dec"/>
    <s v="Q4"/>
    <s v="Senior"/>
    <s v="High"/>
    <s v="North-East - Salaried"/>
  </r>
  <r>
    <x v="98"/>
    <s v="Aradhana Soni"/>
    <n v="61"/>
    <x v="1"/>
    <x v="0"/>
    <x v="2"/>
    <x v="5"/>
    <x v="0"/>
    <x v="1"/>
    <n v="0.45"/>
    <d v="2018-09-14T00:00:00"/>
    <x v="3"/>
    <x v="0"/>
    <x v="1"/>
    <s v="Sep"/>
    <s v="Q3"/>
    <s v="Senior"/>
    <s v="Low"/>
    <s v="Central - Self-employed"/>
  </r>
  <r>
    <x v="99"/>
    <s v="Janaki Nagar"/>
    <n v="37"/>
    <x v="1"/>
    <x v="1"/>
    <x v="0"/>
    <x v="5"/>
    <x v="0"/>
    <x v="0"/>
    <n v="0.35"/>
    <d v="2020-01-23T00:00:00"/>
    <x v="1"/>
    <x v="0"/>
    <x v="0"/>
    <s v="Jan"/>
    <s v="Q1"/>
    <s v="Adult"/>
    <s v="High"/>
    <s v="Central - Student"/>
  </r>
  <r>
    <x v="100"/>
    <s v="Elijah Ghosh"/>
    <n v="20"/>
    <x v="0"/>
    <x v="2"/>
    <x v="0"/>
    <x v="2"/>
    <x v="1"/>
    <x v="0"/>
    <n v="0.47"/>
    <d v="2018-03-26T00:00:00"/>
    <x v="0"/>
    <x v="0"/>
    <x v="1"/>
    <s v="Mar"/>
    <s v="Q1"/>
    <s v="Young"/>
    <s v="Very High"/>
    <s v="North - Student"/>
  </r>
  <r>
    <x v="101"/>
    <s v="Jyoti Chadha"/>
    <n v="68"/>
    <x v="1"/>
    <x v="0"/>
    <x v="3"/>
    <x v="4"/>
    <x v="0"/>
    <x v="1"/>
    <n v="0.54"/>
    <d v="2020-05-22T00:00:00"/>
    <x v="3"/>
    <x v="0"/>
    <x v="0"/>
    <s v="May"/>
    <s v="Q2"/>
    <s v="Senior"/>
    <s v="Low"/>
    <s v="North-East - Retired"/>
  </r>
  <r>
    <x v="102"/>
    <s v="Amrita Bora"/>
    <n v="38"/>
    <x v="0"/>
    <x v="2"/>
    <x v="3"/>
    <x v="3"/>
    <x v="1"/>
    <x v="0"/>
    <n v="0.43"/>
    <d v="2022-08-12T00:00:00"/>
    <x v="1"/>
    <x v="0"/>
    <x v="3"/>
    <s v="Aug"/>
    <s v="Q3"/>
    <s v="Adult"/>
    <s v="Very High"/>
    <s v="South - Retired"/>
  </r>
  <r>
    <x v="103"/>
    <s v="Hema Narayan"/>
    <n v="60"/>
    <x v="1"/>
    <x v="0"/>
    <x v="1"/>
    <x v="2"/>
    <x v="0"/>
    <x v="1"/>
    <n v="0.6"/>
    <d v="2018-01-08T00:00:00"/>
    <x v="2"/>
    <x v="0"/>
    <x v="1"/>
    <s v="Jan"/>
    <s v="Q1"/>
    <s v="Senior"/>
    <s v="Low"/>
    <s v="North - Salaried"/>
  </r>
  <r>
    <x v="104"/>
    <s v="Anita Badal"/>
    <n v="44"/>
    <x v="0"/>
    <x v="0"/>
    <x v="3"/>
    <x v="2"/>
    <x v="1"/>
    <x v="0"/>
    <n v="0.5"/>
    <d v="2020-08-18T00:00:00"/>
    <x v="1"/>
    <x v="0"/>
    <x v="0"/>
    <s v="Aug"/>
    <s v="Q3"/>
    <s v="Adult"/>
    <s v="Very High"/>
    <s v="North - Retired"/>
  </r>
  <r>
    <x v="105"/>
    <s v="Aadi Devan"/>
    <n v="23"/>
    <x v="0"/>
    <x v="1"/>
    <x v="0"/>
    <x v="4"/>
    <x v="0"/>
    <x v="1"/>
    <n v="0.68"/>
    <d v="2022-10-01T00:00:00"/>
    <x v="0"/>
    <x v="0"/>
    <x v="3"/>
    <s v="Oct"/>
    <s v="Q4"/>
    <s v="Young"/>
    <s v="Low"/>
    <s v="North-East - Student"/>
  </r>
  <r>
    <x v="106"/>
    <s v="Zehaan Ganguly"/>
    <n v="26"/>
    <x v="1"/>
    <x v="1"/>
    <x v="0"/>
    <x v="1"/>
    <x v="1"/>
    <x v="0"/>
    <n v="0.17"/>
    <d v="2023-08-11T00:00:00"/>
    <x v="0"/>
    <x v="1"/>
    <x v="5"/>
    <s v="Aug"/>
    <s v="Q3"/>
    <s v="Young"/>
    <s v="Very High"/>
    <s v="East - Student"/>
  </r>
  <r>
    <x v="107"/>
    <s v="Ethan Jaggi"/>
    <n v="57"/>
    <x v="1"/>
    <x v="2"/>
    <x v="0"/>
    <x v="5"/>
    <x v="1"/>
    <x v="1"/>
    <n v="0.47"/>
    <d v="2020-07-03T00:00:00"/>
    <x v="2"/>
    <x v="0"/>
    <x v="0"/>
    <s v="Jul"/>
    <s v="Q3"/>
    <s v="Senior"/>
    <s v="High"/>
    <s v="Central - Student"/>
  </r>
  <r>
    <x v="108"/>
    <s v="Nitesh Sandhu"/>
    <n v="50"/>
    <x v="1"/>
    <x v="1"/>
    <x v="2"/>
    <x v="2"/>
    <x v="0"/>
    <x v="1"/>
    <n v="0.51"/>
    <d v="2021-06-06T00:00:00"/>
    <x v="2"/>
    <x v="0"/>
    <x v="2"/>
    <s v="Jun"/>
    <s v="Q2"/>
    <s v="Adult"/>
    <s v="Low"/>
    <s v="North - Self-employed"/>
  </r>
  <r>
    <x v="109"/>
    <s v="Veda Kashyap"/>
    <n v="36"/>
    <x v="0"/>
    <x v="0"/>
    <x v="2"/>
    <x v="0"/>
    <x v="1"/>
    <x v="1"/>
    <n v="0.22"/>
    <d v="2020-10-27T00:00:00"/>
    <x v="1"/>
    <x v="1"/>
    <x v="0"/>
    <s v="Oct"/>
    <s v="Q4"/>
    <s v="Adult"/>
    <s v="High"/>
    <s v="West - Self-employed"/>
  </r>
  <r>
    <x v="110"/>
    <s v="Harinakshi Wali"/>
    <n v="60"/>
    <x v="0"/>
    <x v="2"/>
    <x v="3"/>
    <x v="3"/>
    <x v="1"/>
    <x v="1"/>
    <n v="0.38"/>
    <d v="2022-01-10T00:00:00"/>
    <x v="2"/>
    <x v="0"/>
    <x v="3"/>
    <s v="Jan"/>
    <s v="Q1"/>
    <s v="Senior"/>
    <s v="High"/>
    <s v="South - Retired"/>
  </r>
  <r>
    <x v="111"/>
    <s v="Osha Pandey"/>
    <n v="34"/>
    <x v="1"/>
    <x v="1"/>
    <x v="3"/>
    <x v="3"/>
    <x v="0"/>
    <x v="1"/>
    <n v="0.47"/>
    <d v="2021-03-02T00:00:00"/>
    <x v="1"/>
    <x v="0"/>
    <x v="2"/>
    <s v="Mar"/>
    <s v="Q1"/>
    <s v="Adult"/>
    <s v="Low"/>
    <s v="South - Retired"/>
  </r>
  <r>
    <x v="112"/>
    <s v="Falguni More"/>
    <n v="22"/>
    <x v="0"/>
    <x v="1"/>
    <x v="3"/>
    <x v="0"/>
    <x v="1"/>
    <x v="0"/>
    <n v="0.6"/>
    <d v="2019-12-13T00:00:00"/>
    <x v="0"/>
    <x v="0"/>
    <x v="4"/>
    <s v="Dec"/>
    <s v="Q4"/>
    <s v="Young"/>
    <s v="Very High"/>
    <s v="West - Retired"/>
  </r>
  <r>
    <x v="113"/>
    <s v="Azaan Vala"/>
    <n v="36"/>
    <x v="1"/>
    <x v="2"/>
    <x v="1"/>
    <x v="4"/>
    <x v="0"/>
    <x v="1"/>
    <n v="0.4"/>
    <d v="2023-07-08T00:00:00"/>
    <x v="1"/>
    <x v="0"/>
    <x v="5"/>
    <s v="Jul"/>
    <s v="Q3"/>
    <s v="Adult"/>
    <s v="Low"/>
    <s v="North-East - Salaried"/>
  </r>
  <r>
    <x v="114"/>
    <s v="Maanav Bath"/>
    <n v="50"/>
    <x v="1"/>
    <x v="0"/>
    <x v="0"/>
    <x v="1"/>
    <x v="0"/>
    <x v="0"/>
    <n v="0.33"/>
    <d v="2022-11-11T00:00:00"/>
    <x v="2"/>
    <x v="0"/>
    <x v="3"/>
    <s v="Nov"/>
    <s v="Q4"/>
    <s v="Adult"/>
    <s v="High"/>
    <s v="East - Student"/>
  </r>
  <r>
    <x v="115"/>
    <s v="Jai Biswas"/>
    <n v="48"/>
    <x v="0"/>
    <x v="2"/>
    <x v="3"/>
    <x v="0"/>
    <x v="1"/>
    <x v="1"/>
    <n v="0.57999999999999996"/>
    <d v="2022-08-25T00:00:00"/>
    <x v="2"/>
    <x v="0"/>
    <x v="3"/>
    <s v="Aug"/>
    <s v="Q3"/>
    <s v="Adult"/>
    <s v="High"/>
    <s v="West - Retired"/>
  </r>
  <r>
    <x v="116"/>
    <s v="Tanmayi Mander"/>
    <n v="50"/>
    <x v="1"/>
    <x v="1"/>
    <x v="3"/>
    <x v="3"/>
    <x v="1"/>
    <x v="1"/>
    <n v="0.43"/>
    <d v="2020-09-27T00:00:00"/>
    <x v="2"/>
    <x v="0"/>
    <x v="0"/>
    <s v="Sep"/>
    <s v="Q3"/>
    <s v="Adult"/>
    <s v="High"/>
    <s v="South - Retired"/>
  </r>
  <r>
    <x v="117"/>
    <s v="Logan Salvi"/>
    <n v="39"/>
    <x v="0"/>
    <x v="0"/>
    <x v="1"/>
    <x v="1"/>
    <x v="1"/>
    <x v="0"/>
    <n v="0.45"/>
    <d v="2023-03-16T00:00:00"/>
    <x v="1"/>
    <x v="0"/>
    <x v="5"/>
    <s v="Mar"/>
    <s v="Q1"/>
    <s v="Adult"/>
    <s v="Very High"/>
    <s v="East - Salaried"/>
  </r>
  <r>
    <x v="118"/>
    <s v="Chameli Sem"/>
    <n v="20"/>
    <x v="0"/>
    <x v="0"/>
    <x v="0"/>
    <x v="1"/>
    <x v="1"/>
    <x v="0"/>
    <n v="0.14000000000000001"/>
    <d v="2020-10-10T00:00:00"/>
    <x v="0"/>
    <x v="1"/>
    <x v="0"/>
    <s v="Oct"/>
    <s v="Q4"/>
    <s v="Young"/>
    <s v="Very High"/>
    <s v="East - Student"/>
  </r>
  <r>
    <x v="119"/>
    <s v="Dayamai Chakraborty"/>
    <n v="46"/>
    <x v="0"/>
    <x v="2"/>
    <x v="3"/>
    <x v="4"/>
    <x v="0"/>
    <x v="1"/>
    <n v="0.61"/>
    <d v="2019-02-01T00:00:00"/>
    <x v="2"/>
    <x v="0"/>
    <x v="4"/>
    <s v="Feb"/>
    <s v="Q1"/>
    <s v="Adult"/>
    <s v="Low"/>
    <s v="North-East - Retired"/>
  </r>
  <r>
    <x v="120"/>
    <s v="Saksham Rajan"/>
    <n v="34"/>
    <x v="0"/>
    <x v="0"/>
    <x v="0"/>
    <x v="1"/>
    <x v="1"/>
    <x v="1"/>
    <n v="0.4"/>
    <d v="2018-08-21T00:00:00"/>
    <x v="1"/>
    <x v="0"/>
    <x v="1"/>
    <s v="Aug"/>
    <s v="Q3"/>
    <s v="Adult"/>
    <s v="High"/>
    <s v="East - Student"/>
  </r>
  <r>
    <x v="121"/>
    <s v="Pooja Bandi"/>
    <n v="60"/>
    <x v="0"/>
    <x v="0"/>
    <x v="3"/>
    <x v="3"/>
    <x v="0"/>
    <x v="1"/>
    <n v="0.98"/>
    <d v="2020-03-21T00:00:00"/>
    <x v="2"/>
    <x v="2"/>
    <x v="0"/>
    <s v="Mar"/>
    <s v="Q1"/>
    <s v="Senior"/>
    <s v="Low"/>
    <s v="South - Retired"/>
  </r>
  <r>
    <x v="122"/>
    <s v="Niharika Konda"/>
    <n v="33"/>
    <x v="1"/>
    <x v="0"/>
    <x v="0"/>
    <x v="3"/>
    <x v="0"/>
    <x v="0"/>
    <n v="0.33"/>
    <d v="2019-09-27T00:00:00"/>
    <x v="1"/>
    <x v="0"/>
    <x v="4"/>
    <s v="Sep"/>
    <s v="Q3"/>
    <s v="Adult"/>
    <s v="High"/>
    <s v="South - Student"/>
  </r>
  <r>
    <x v="123"/>
    <s v="Divya Kannan"/>
    <n v="21"/>
    <x v="0"/>
    <x v="0"/>
    <x v="1"/>
    <x v="1"/>
    <x v="0"/>
    <x v="0"/>
    <n v="0.54"/>
    <d v="2018-09-30T00:00:00"/>
    <x v="0"/>
    <x v="0"/>
    <x v="1"/>
    <s v="Sep"/>
    <s v="Q3"/>
    <s v="Young"/>
    <s v="High"/>
    <s v="East - Salaried"/>
  </r>
  <r>
    <x v="124"/>
    <s v="Ucchal Sastry"/>
    <n v="47"/>
    <x v="0"/>
    <x v="2"/>
    <x v="2"/>
    <x v="3"/>
    <x v="1"/>
    <x v="1"/>
    <n v="0.39"/>
    <d v="2020-12-20T00:00:00"/>
    <x v="2"/>
    <x v="0"/>
    <x v="0"/>
    <s v="Dec"/>
    <s v="Q4"/>
    <s v="Adult"/>
    <s v="High"/>
    <s v="South - Self-employed"/>
  </r>
  <r>
    <x v="125"/>
    <s v="Lajita Kapoor"/>
    <n v="40"/>
    <x v="1"/>
    <x v="1"/>
    <x v="2"/>
    <x v="1"/>
    <x v="0"/>
    <x v="0"/>
    <n v="0.53"/>
    <d v="2019-05-22T00:00:00"/>
    <x v="1"/>
    <x v="0"/>
    <x v="4"/>
    <s v="May"/>
    <s v="Q2"/>
    <s v="Adult"/>
    <s v="High"/>
    <s v="East - Self-employed"/>
  </r>
  <r>
    <x v="126"/>
    <s v="Unnati Anand"/>
    <n v="32"/>
    <x v="1"/>
    <x v="1"/>
    <x v="1"/>
    <x v="5"/>
    <x v="0"/>
    <x v="1"/>
    <n v="0.6"/>
    <d v="2021-07-12T00:00:00"/>
    <x v="1"/>
    <x v="0"/>
    <x v="2"/>
    <s v="Jul"/>
    <s v="Q3"/>
    <s v="Adult"/>
    <s v="Low"/>
    <s v="Central - Salaried"/>
  </r>
  <r>
    <x v="127"/>
    <s v="Neel Wadhwa"/>
    <n v="54"/>
    <x v="0"/>
    <x v="1"/>
    <x v="3"/>
    <x v="2"/>
    <x v="1"/>
    <x v="1"/>
    <n v="0.24"/>
    <d v="2021-06-27T00:00:00"/>
    <x v="2"/>
    <x v="1"/>
    <x v="2"/>
    <s v="Jun"/>
    <s v="Q2"/>
    <s v="Senior"/>
    <s v="High"/>
    <s v="North - Retired"/>
  </r>
  <r>
    <x v="128"/>
    <s v="Turvi Sachdev"/>
    <n v="41"/>
    <x v="0"/>
    <x v="0"/>
    <x v="2"/>
    <x v="3"/>
    <x v="1"/>
    <x v="1"/>
    <n v="0.72"/>
    <d v="2022-02-26T00:00:00"/>
    <x v="1"/>
    <x v="2"/>
    <x v="3"/>
    <s v="Feb"/>
    <s v="Q1"/>
    <s v="Adult"/>
    <s v="High"/>
    <s v="South - Self-employed"/>
  </r>
  <r>
    <x v="129"/>
    <s v="Pooja Mistry"/>
    <n v="45"/>
    <x v="0"/>
    <x v="2"/>
    <x v="1"/>
    <x v="4"/>
    <x v="1"/>
    <x v="1"/>
    <n v="0.78"/>
    <d v="2019-12-04T00:00:00"/>
    <x v="1"/>
    <x v="2"/>
    <x v="4"/>
    <s v="Dec"/>
    <s v="Q4"/>
    <s v="Adult"/>
    <s v="High"/>
    <s v="North-East - Salaried"/>
  </r>
  <r>
    <x v="130"/>
    <s v="Farhan Murthy"/>
    <n v="38"/>
    <x v="0"/>
    <x v="2"/>
    <x v="1"/>
    <x v="0"/>
    <x v="0"/>
    <x v="0"/>
    <n v="0.42"/>
    <d v="2023-07-30T00:00:00"/>
    <x v="1"/>
    <x v="0"/>
    <x v="5"/>
    <s v="Jul"/>
    <s v="Q3"/>
    <s v="Adult"/>
    <s v="High"/>
    <s v="West - Salaried"/>
  </r>
  <r>
    <x v="131"/>
    <s v="Gautami Ramaswamy"/>
    <n v="63"/>
    <x v="0"/>
    <x v="1"/>
    <x v="0"/>
    <x v="3"/>
    <x v="0"/>
    <x v="1"/>
    <n v="0.31"/>
    <d v="2021-04-22T00:00:00"/>
    <x v="3"/>
    <x v="0"/>
    <x v="2"/>
    <s v="Apr"/>
    <s v="Q2"/>
    <s v="Senior"/>
    <s v="Low"/>
    <s v="South - Student"/>
  </r>
  <r>
    <x v="132"/>
    <s v="Baghyawati Sachdev"/>
    <n v="40"/>
    <x v="0"/>
    <x v="2"/>
    <x v="2"/>
    <x v="1"/>
    <x v="0"/>
    <x v="1"/>
    <n v="0.27"/>
    <d v="2023-06-25T00:00:00"/>
    <x v="1"/>
    <x v="1"/>
    <x v="5"/>
    <s v="Jun"/>
    <s v="Q2"/>
    <s v="Adult"/>
    <s v="Low"/>
    <s v="East - Self-employed"/>
  </r>
  <r>
    <x v="133"/>
    <s v="Yug Misra"/>
    <n v="41"/>
    <x v="1"/>
    <x v="2"/>
    <x v="3"/>
    <x v="1"/>
    <x v="0"/>
    <x v="1"/>
    <n v="0.43"/>
    <d v="2020-10-01T00:00:00"/>
    <x v="1"/>
    <x v="0"/>
    <x v="0"/>
    <s v="Oct"/>
    <s v="Q4"/>
    <s v="Adult"/>
    <s v="Low"/>
    <s v="East - Retired"/>
  </r>
  <r>
    <x v="134"/>
    <s v="Damyanti Kurian"/>
    <n v="29"/>
    <x v="0"/>
    <x v="2"/>
    <x v="2"/>
    <x v="0"/>
    <x v="0"/>
    <x v="1"/>
    <n v="0.21"/>
    <d v="2019-05-31T00:00:00"/>
    <x v="0"/>
    <x v="1"/>
    <x v="4"/>
    <s v="May"/>
    <s v="Q2"/>
    <s v="Young"/>
    <s v="Low"/>
    <s v="West - Self-employed"/>
  </r>
  <r>
    <x v="135"/>
    <s v="Yash Kibe"/>
    <n v="36"/>
    <x v="1"/>
    <x v="1"/>
    <x v="3"/>
    <x v="4"/>
    <x v="0"/>
    <x v="0"/>
    <n v="0.83"/>
    <d v="2019-02-17T00:00:00"/>
    <x v="1"/>
    <x v="2"/>
    <x v="4"/>
    <s v="Feb"/>
    <s v="Q1"/>
    <s v="Adult"/>
    <s v="High"/>
    <s v="North-East - Retired"/>
  </r>
  <r>
    <x v="136"/>
    <s v="Upkaar Madan"/>
    <n v="19"/>
    <x v="1"/>
    <x v="2"/>
    <x v="3"/>
    <x v="4"/>
    <x v="1"/>
    <x v="1"/>
    <n v="0.69"/>
    <d v="2018-06-28T00:00:00"/>
    <x v="0"/>
    <x v="0"/>
    <x v="1"/>
    <s v="Jun"/>
    <s v="Q2"/>
    <s v="Young"/>
    <s v="High"/>
    <s v="North-East - Retired"/>
  </r>
  <r>
    <x v="137"/>
    <s v="Aishani Badal"/>
    <n v="38"/>
    <x v="0"/>
    <x v="2"/>
    <x v="1"/>
    <x v="5"/>
    <x v="1"/>
    <x v="0"/>
    <n v="0.62"/>
    <d v="2020-11-01T00:00:00"/>
    <x v="1"/>
    <x v="0"/>
    <x v="0"/>
    <s v="Nov"/>
    <s v="Q4"/>
    <s v="Adult"/>
    <s v="Very High"/>
    <s v="Central - Salaried"/>
  </r>
  <r>
    <x v="138"/>
    <s v="Madhav Kapur"/>
    <n v="67"/>
    <x v="1"/>
    <x v="0"/>
    <x v="0"/>
    <x v="5"/>
    <x v="1"/>
    <x v="1"/>
    <n v="0.39"/>
    <d v="2019-07-12T00:00:00"/>
    <x v="3"/>
    <x v="0"/>
    <x v="4"/>
    <s v="Jul"/>
    <s v="Q3"/>
    <s v="Senior"/>
    <s v="High"/>
    <s v="Central - Student"/>
  </r>
  <r>
    <x v="139"/>
    <s v="Falguni Tella"/>
    <n v="36"/>
    <x v="1"/>
    <x v="1"/>
    <x v="1"/>
    <x v="4"/>
    <x v="0"/>
    <x v="1"/>
    <n v="0.56000000000000005"/>
    <d v="2020-04-04T00:00:00"/>
    <x v="1"/>
    <x v="0"/>
    <x v="0"/>
    <s v="Apr"/>
    <s v="Q2"/>
    <s v="Adult"/>
    <s v="Low"/>
    <s v="North-East - Salaried"/>
  </r>
  <r>
    <x v="140"/>
    <s v="Kabir Sood"/>
    <n v="49"/>
    <x v="0"/>
    <x v="1"/>
    <x v="0"/>
    <x v="2"/>
    <x v="1"/>
    <x v="0"/>
    <n v="0.57999999999999996"/>
    <d v="2022-03-03T00:00:00"/>
    <x v="2"/>
    <x v="0"/>
    <x v="3"/>
    <s v="Mar"/>
    <s v="Q1"/>
    <s v="Adult"/>
    <s v="Very High"/>
    <s v="North - Student"/>
  </r>
  <r>
    <x v="141"/>
    <s v="Nakul Chawla"/>
    <n v="45"/>
    <x v="1"/>
    <x v="2"/>
    <x v="2"/>
    <x v="0"/>
    <x v="0"/>
    <x v="0"/>
    <n v="0.49"/>
    <d v="2020-09-21T00:00:00"/>
    <x v="1"/>
    <x v="0"/>
    <x v="0"/>
    <s v="Sep"/>
    <s v="Q3"/>
    <s v="Adult"/>
    <s v="High"/>
    <s v="West - Self-employed"/>
  </r>
  <r>
    <x v="142"/>
    <s v="Sanaya Dayal"/>
    <n v="41"/>
    <x v="1"/>
    <x v="0"/>
    <x v="0"/>
    <x v="5"/>
    <x v="0"/>
    <x v="1"/>
    <n v="0.28999999999999998"/>
    <d v="2020-12-11T00:00:00"/>
    <x v="1"/>
    <x v="1"/>
    <x v="0"/>
    <s v="Dec"/>
    <s v="Q4"/>
    <s v="Adult"/>
    <s v="Low"/>
    <s v="Central - Student"/>
  </r>
  <r>
    <x v="143"/>
    <s v="Charvi Venkataraman"/>
    <n v="21"/>
    <x v="1"/>
    <x v="1"/>
    <x v="2"/>
    <x v="0"/>
    <x v="1"/>
    <x v="0"/>
    <n v="0.41"/>
    <d v="2019-06-28T00:00:00"/>
    <x v="0"/>
    <x v="0"/>
    <x v="4"/>
    <s v="Jun"/>
    <s v="Q2"/>
    <s v="Young"/>
    <s v="Very High"/>
    <s v="West - Self-employed"/>
  </r>
  <r>
    <x v="144"/>
    <s v="Reyansh Mangat"/>
    <n v="19"/>
    <x v="0"/>
    <x v="1"/>
    <x v="3"/>
    <x v="2"/>
    <x v="1"/>
    <x v="0"/>
    <n v="0.61"/>
    <d v="2020-05-04T00:00:00"/>
    <x v="0"/>
    <x v="0"/>
    <x v="0"/>
    <s v="May"/>
    <s v="Q2"/>
    <s v="Young"/>
    <s v="Very High"/>
    <s v="North - Retired"/>
  </r>
  <r>
    <x v="145"/>
    <s v="Kamala Nayar"/>
    <n v="42"/>
    <x v="1"/>
    <x v="1"/>
    <x v="2"/>
    <x v="0"/>
    <x v="0"/>
    <x v="0"/>
    <n v="0.56999999999999995"/>
    <d v="2023-03-06T00:00:00"/>
    <x v="1"/>
    <x v="0"/>
    <x v="5"/>
    <s v="Mar"/>
    <s v="Q1"/>
    <s v="Adult"/>
    <s v="High"/>
    <s v="West - Self-employed"/>
  </r>
  <r>
    <x v="146"/>
    <s v="Kevin Dass"/>
    <n v="33"/>
    <x v="1"/>
    <x v="2"/>
    <x v="1"/>
    <x v="4"/>
    <x v="0"/>
    <x v="0"/>
    <n v="0.63"/>
    <d v="2021-02-13T00:00:00"/>
    <x v="1"/>
    <x v="0"/>
    <x v="2"/>
    <s v="Feb"/>
    <s v="Q1"/>
    <s v="Adult"/>
    <s v="High"/>
    <s v="North-East - Salaried"/>
  </r>
  <r>
    <x v="147"/>
    <s v="Yash Anne"/>
    <n v="58"/>
    <x v="1"/>
    <x v="2"/>
    <x v="3"/>
    <x v="2"/>
    <x v="1"/>
    <x v="0"/>
    <n v="0.35"/>
    <d v="2022-03-28T00:00:00"/>
    <x v="2"/>
    <x v="0"/>
    <x v="3"/>
    <s v="Mar"/>
    <s v="Q1"/>
    <s v="Senior"/>
    <s v="Very High"/>
    <s v="North - Retired"/>
  </r>
  <r>
    <x v="148"/>
    <s v="Chasmum Mall"/>
    <n v="66"/>
    <x v="0"/>
    <x v="1"/>
    <x v="1"/>
    <x v="2"/>
    <x v="1"/>
    <x v="1"/>
    <n v="0.63"/>
    <d v="2018-01-27T00:00:00"/>
    <x v="3"/>
    <x v="0"/>
    <x v="1"/>
    <s v="Jan"/>
    <s v="Q1"/>
    <s v="Senior"/>
    <s v="High"/>
    <s v="North - Salaried"/>
  </r>
  <r>
    <x v="149"/>
    <s v="Daksha Raj"/>
    <n v="46"/>
    <x v="0"/>
    <x v="1"/>
    <x v="2"/>
    <x v="5"/>
    <x v="1"/>
    <x v="0"/>
    <n v="0.25"/>
    <d v="2023-05-08T00:00:00"/>
    <x v="2"/>
    <x v="1"/>
    <x v="5"/>
    <s v="May"/>
    <s v="Q2"/>
    <s v="Adult"/>
    <s v="Very High"/>
    <s v="Central - Self-employed"/>
  </r>
  <r>
    <x v="150"/>
    <s v="Manbir Kapoor"/>
    <n v="69"/>
    <x v="1"/>
    <x v="1"/>
    <x v="3"/>
    <x v="5"/>
    <x v="0"/>
    <x v="0"/>
    <n v="0.92"/>
    <d v="2023-11-25T00:00:00"/>
    <x v="3"/>
    <x v="2"/>
    <x v="5"/>
    <s v="Nov"/>
    <s v="Q4"/>
    <s v="Senior"/>
    <s v="High"/>
    <s v="Central - Retired"/>
  </r>
  <r>
    <x v="151"/>
    <s v="Ayaan Dhaliwal"/>
    <n v="28"/>
    <x v="0"/>
    <x v="2"/>
    <x v="0"/>
    <x v="0"/>
    <x v="0"/>
    <x v="1"/>
    <n v="0.45"/>
    <d v="2020-01-18T00:00:00"/>
    <x v="0"/>
    <x v="0"/>
    <x v="0"/>
    <s v="Jan"/>
    <s v="Q1"/>
    <s v="Young"/>
    <s v="Low"/>
    <s v="West - Student"/>
  </r>
  <r>
    <x v="152"/>
    <s v="Hredhaan Deshpande"/>
    <n v="66"/>
    <x v="0"/>
    <x v="1"/>
    <x v="2"/>
    <x v="1"/>
    <x v="0"/>
    <x v="0"/>
    <n v="0.53"/>
    <d v="2020-07-27T00:00:00"/>
    <x v="3"/>
    <x v="0"/>
    <x v="0"/>
    <s v="Jul"/>
    <s v="Q3"/>
    <s v="Senior"/>
    <s v="High"/>
    <s v="East - Self-employed"/>
  </r>
  <r>
    <x v="153"/>
    <s v="Samar Shenoy"/>
    <n v="55"/>
    <x v="1"/>
    <x v="0"/>
    <x v="2"/>
    <x v="4"/>
    <x v="0"/>
    <x v="0"/>
    <n v="0.72"/>
    <d v="2022-09-10T00:00:00"/>
    <x v="2"/>
    <x v="2"/>
    <x v="3"/>
    <s v="Sep"/>
    <s v="Q3"/>
    <s v="Senior"/>
    <s v="High"/>
    <s v="North-East - Self-employed"/>
  </r>
  <r>
    <x v="154"/>
    <s v="Ranveer Narayanan"/>
    <n v="29"/>
    <x v="1"/>
    <x v="0"/>
    <x v="0"/>
    <x v="0"/>
    <x v="1"/>
    <x v="0"/>
    <n v="0.56000000000000005"/>
    <d v="2020-11-20T00:00:00"/>
    <x v="0"/>
    <x v="0"/>
    <x v="0"/>
    <s v="Nov"/>
    <s v="Q4"/>
    <s v="Young"/>
    <s v="Very High"/>
    <s v="West - Student"/>
  </r>
  <r>
    <x v="155"/>
    <s v="Urishilla Agate"/>
    <n v="28"/>
    <x v="0"/>
    <x v="1"/>
    <x v="3"/>
    <x v="4"/>
    <x v="0"/>
    <x v="1"/>
    <n v="0.3"/>
    <d v="2021-11-07T00:00:00"/>
    <x v="0"/>
    <x v="0"/>
    <x v="2"/>
    <s v="Nov"/>
    <s v="Q4"/>
    <s v="Young"/>
    <s v="Low"/>
    <s v="North-East - Retired"/>
  </r>
  <r>
    <x v="156"/>
    <s v="Advika Patel"/>
    <n v="41"/>
    <x v="0"/>
    <x v="0"/>
    <x v="3"/>
    <x v="3"/>
    <x v="1"/>
    <x v="0"/>
    <n v="0.8"/>
    <d v="2018-09-26T00:00:00"/>
    <x v="1"/>
    <x v="2"/>
    <x v="1"/>
    <s v="Sep"/>
    <s v="Q3"/>
    <s v="Adult"/>
    <s v="Very High"/>
    <s v="South - Retired"/>
  </r>
  <r>
    <x v="157"/>
    <s v="Ranbir Lad"/>
    <n v="21"/>
    <x v="1"/>
    <x v="0"/>
    <x v="1"/>
    <x v="4"/>
    <x v="0"/>
    <x v="0"/>
    <n v="0.6"/>
    <d v="2023-05-05T00:00:00"/>
    <x v="0"/>
    <x v="0"/>
    <x v="5"/>
    <s v="May"/>
    <s v="Q2"/>
    <s v="Young"/>
    <s v="High"/>
    <s v="North-East - Salaried"/>
  </r>
  <r>
    <x v="158"/>
    <s v="Mekhala Rama"/>
    <n v="19"/>
    <x v="0"/>
    <x v="0"/>
    <x v="0"/>
    <x v="0"/>
    <x v="1"/>
    <x v="0"/>
    <n v="0.55000000000000004"/>
    <d v="2019-06-18T00:00:00"/>
    <x v="0"/>
    <x v="0"/>
    <x v="4"/>
    <s v="Jun"/>
    <s v="Q2"/>
    <s v="Young"/>
    <s v="Very High"/>
    <s v="West - Student"/>
  </r>
  <r>
    <x v="159"/>
    <s v="Frado Bora"/>
    <n v="41"/>
    <x v="1"/>
    <x v="0"/>
    <x v="3"/>
    <x v="2"/>
    <x v="0"/>
    <x v="1"/>
    <n v="0.28999999999999998"/>
    <d v="2018-07-31T00:00:00"/>
    <x v="1"/>
    <x v="1"/>
    <x v="1"/>
    <s v="Jul"/>
    <s v="Q3"/>
    <s v="Adult"/>
    <s v="Low"/>
    <s v="North - Retired"/>
  </r>
  <r>
    <x v="160"/>
    <s v="Chaman Goswami"/>
    <n v="56"/>
    <x v="0"/>
    <x v="2"/>
    <x v="1"/>
    <x v="2"/>
    <x v="1"/>
    <x v="1"/>
    <n v="0.28999999999999998"/>
    <d v="2019-09-10T00:00:00"/>
    <x v="2"/>
    <x v="1"/>
    <x v="4"/>
    <s v="Sep"/>
    <s v="Q3"/>
    <s v="Senior"/>
    <s v="High"/>
    <s v="North - Salaried"/>
  </r>
  <r>
    <x v="161"/>
    <s v="Bahadurjit Kothari"/>
    <n v="51"/>
    <x v="1"/>
    <x v="2"/>
    <x v="2"/>
    <x v="3"/>
    <x v="0"/>
    <x v="1"/>
    <n v="0.34"/>
    <d v="2018-06-04T00:00:00"/>
    <x v="2"/>
    <x v="0"/>
    <x v="1"/>
    <s v="Jun"/>
    <s v="Q2"/>
    <s v="Senior"/>
    <s v="Low"/>
    <s v="South - Self-employed"/>
  </r>
  <r>
    <x v="162"/>
    <s v="Qadim Lanka"/>
    <n v="67"/>
    <x v="0"/>
    <x v="2"/>
    <x v="3"/>
    <x v="0"/>
    <x v="1"/>
    <x v="0"/>
    <n v="0.68"/>
    <d v="2019-11-17T00:00:00"/>
    <x v="3"/>
    <x v="0"/>
    <x v="4"/>
    <s v="Nov"/>
    <s v="Q4"/>
    <s v="Senior"/>
    <s v="Very High"/>
    <s v="West - Retired"/>
  </r>
  <r>
    <x v="163"/>
    <s v="Sarthak Chokshi"/>
    <n v="37"/>
    <x v="0"/>
    <x v="0"/>
    <x v="1"/>
    <x v="0"/>
    <x v="1"/>
    <x v="1"/>
    <n v="0.88"/>
    <d v="2018-10-02T00:00:00"/>
    <x v="1"/>
    <x v="2"/>
    <x v="1"/>
    <s v="Oct"/>
    <s v="Q4"/>
    <s v="Adult"/>
    <s v="High"/>
    <s v="West - Salaried"/>
  </r>
  <r>
    <x v="164"/>
    <s v="Charvi Kata"/>
    <n v="58"/>
    <x v="1"/>
    <x v="2"/>
    <x v="1"/>
    <x v="3"/>
    <x v="0"/>
    <x v="0"/>
    <n v="0.28999999999999998"/>
    <d v="2020-06-24T00:00:00"/>
    <x v="2"/>
    <x v="1"/>
    <x v="0"/>
    <s v="Jun"/>
    <s v="Q2"/>
    <s v="Senior"/>
    <s v="High"/>
    <s v="South - Salaried"/>
  </r>
  <r>
    <x v="165"/>
    <s v="Lohit Mand"/>
    <n v="56"/>
    <x v="0"/>
    <x v="2"/>
    <x v="3"/>
    <x v="2"/>
    <x v="0"/>
    <x v="1"/>
    <n v="0.1"/>
    <d v="2019-12-22T00:00:00"/>
    <x v="2"/>
    <x v="1"/>
    <x v="4"/>
    <s v="Dec"/>
    <s v="Q4"/>
    <s v="Senior"/>
    <s v="Low"/>
    <s v="North - Retired"/>
  </r>
  <r>
    <x v="166"/>
    <s v="Chandresh Dua"/>
    <n v="45"/>
    <x v="0"/>
    <x v="2"/>
    <x v="0"/>
    <x v="5"/>
    <x v="0"/>
    <x v="1"/>
    <n v="0.65"/>
    <d v="2019-06-09T00:00:00"/>
    <x v="1"/>
    <x v="0"/>
    <x v="4"/>
    <s v="Jun"/>
    <s v="Q2"/>
    <s v="Adult"/>
    <s v="Low"/>
    <s v="Central - Student"/>
  </r>
  <r>
    <x v="167"/>
    <s v="Vidhi Sarma"/>
    <n v="45"/>
    <x v="1"/>
    <x v="0"/>
    <x v="0"/>
    <x v="1"/>
    <x v="1"/>
    <x v="0"/>
    <n v="0.55000000000000004"/>
    <d v="2021-03-25T00:00:00"/>
    <x v="1"/>
    <x v="0"/>
    <x v="2"/>
    <s v="Mar"/>
    <s v="Q1"/>
    <s v="Adult"/>
    <s v="Very High"/>
    <s v="East - Student"/>
  </r>
  <r>
    <x v="168"/>
    <s v="Devansh Shroff"/>
    <n v="48"/>
    <x v="0"/>
    <x v="0"/>
    <x v="3"/>
    <x v="3"/>
    <x v="0"/>
    <x v="1"/>
    <n v="0.04"/>
    <d v="2018-07-08T00:00:00"/>
    <x v="2"/>
    <x v="1"/>
    <x v="1"/>
    <s v="Jul"/>
    <s v="Q3"/>
    <s v="Adult"/>
    <s v="Low"/>
    <s v="South - Retired"/>
  </r>
  <r>
    <x v="169"/>
    <s v="Raghav Barad"/>
    <n v="64"/>
    <x v="1"/>
    <x v="2"/>
    <x v="2"/>
    <x v="2"/>
    <x v="0"/>
    <x v="1"/>
    <n v="0.61"/>
    <d v="2020-12-04T00:00:00"/>
    <x v="3"/>
    <x v="0"/>
    <x v="0"/>
    <s v="Dec"/>
    <s v="Q4"/>
    <s v="Senior"/>
    <s v="Low"/>
    <s v="North - Self-employed"/>
  </r>
  <r>
    <x v="170"/>
    <s v="Sarthak Nagar"/>
    <n v="20"/>
    <x v="0"/>
    <x v="2"/>
    <x v="2"/>
    <x v="5"/>
    <x v="0"/>
    <x v="0"/>
    <n v="0.4"/>
    <d v="2022-10-10T00:00:00"/>
    <x v="0"/>
    <x v="0"/>
    <x v="3"/>
    <s v="Oct"/>
    <s v="Q4"/>
    <s v="Young"/>
    <s v="High"/>
    <s v="Central - Self-employed"/>
  </r>
  <r>
    <x v="171"/>
    <s v="Hamsini Golla"/>
    <n v="22"/>
    <x v="0"/>
    <x v="1"/>
    <x v="0"/>
    <x v="5"/>
    <x v="1"/>
    <x v="1"/>
    <n v="0.37"/>
    <d v="2021-07-22T00:00:00"/>
    <x v="0"/>
    <x v="0"/>
    <x v="2"/>
    <s v="Jul"/>
    <s v="Q3"/>
    <s v="Young"/>
    <s v="High"/>
    <s v="Central - Student"/>
  </r>
  <r>
    <x v="172"/>
    <s v="Gayathri Dutta"/>
    <n v="34"/>
    <x v="0"/>
    <x v="2"/>
    <x v="0"/>
    <x v="2"/>
    <x v="1"/>
    <x v="0"/>
    <n v="0.61"/>
    <d v="2021-02-15T00:00:00"/>
    <x v="1"/>
    <x v="0"/>
    <x v="2"/>
    <s v="Feb"/>
    <s v="Q1"/>
    <s v="Adult"/>
    <s v="Very High"/>
    <s v="North - Student"/>
  </r>
  <r>
    <x v="173"/>
    <s v="Amol Desai"/>
    <n v="30"/>
    <x v="0"/>
    <x v="2"/>
    <x v="1"/>
    <x v="0"/>
    <x v="1"/>
    <x v="1"/>
    <n v="0.57999999999999996"/>
    <d v="2021-11-12T00:00:00"/>
    <x v="0"/>
    <x v="0"/>
    <x v="2"/>
    <s v="Nov"/>
    <s v="Q4"/>
    <s v="Adult"/>
    <s v="High"/>
    <s v="West - Salaried"/>
  </r>
  <r>
    <x v="174"/>
    <s v="Nandini Chokshi"/>
    <n v="33"/>
    <x v="0"/>
    <x v="1"/>
    <x v="0"/>
    <x v="1"/>
    <x v="0"/>
    <x v="0"/>
    <n v="0.33"/>
    <d v="2022-11-05T00:00:00"/>
    <x v="1"/>
    <x v="0"/>
    <x v="3"/>
    <s v="Nov"/>
    <s v="Q4"/>
    <s v="Adult"/>
    <s v="High"/>
    <s v="East - Student"/>
  </r>
  <r>
    <x v="175"/>
    <s v="Samarth Anne"/>
    <n v="54"/>
    <x v="0"/>
    <x v="0"/>
    <x v="2"/>
    <x v="4"/>
    <x v="1"/>
    <x v="1"/>
    <n v="0.11"/>
    <d v="2020-05-03T00:00:00"/>
    <x v="2"/>
    <x v="1"/>
    <x v="0"/>
    <s v="May"/>
    <s v="Q2"/>
    <s v="Senior"/>
    <s v="High"/>
    <s v="North-East - Self-employed"/>
  </r>
  <r>
    <x v="176"/>
    <s v="Zehaan Rege"/>
    <n v="34"/>
    <x v="0"/>
    <x v="0"/>
    <x v="2"/>
    <x v="3"/>
    <x v="1"/>
    <x v="0"/>
    <n v="0.59"/>
    <d v="2021-10-30T00:00:00"/>
    <x v="1"/>
    <x v="0"/>
    <x v="2"/>
    <s v="Oct"/>
    <s v="Q4"/>
    <s v="Adult"/>
    <s v="Very High"/>
    <s v="South - Self-employed"/>
  </r>
  <r>
    <x v="177"/>
    <s v="Ridhi Bir"/>
    <n v="21"/>
    <x v="1"/>
    <x v="1"/>
    <x v="3"/>
    <x v="5"/>
    <x v="1"/>
    <x v="1"/>
    <n v="0.18"/>
    <d v="2020-08-16T00:00:00"/>
    <x v="0"/>
    <x v="1"/>
    <x v="0"/>
    <s v="Aug"/>
    <s v="Q3"/>
    <s v="Young"/>
    <s v="High"/>
    <s v="Central - Retired"/>
  </r>
  <r>
    <x v="178"/>
    <s v="Priya Shan"/>
    <n v="38"/>
    <x v="0"/>
    <x v="1"/>
    <x v="3"/>
    <x v="3"/>
    <x v="0"/>
    <x v="1"/>
    <n v="0.68"/>
    <d v="2022-04-09T00:00:00"/>
    <x v="1"/>
    <x v="0"/>
    <x v="3"/>
    <s v="Apr"/>
    <s v="Q2"/>
    <s v="Adult"/>
    <s v="Low"/>
    <s v="South - Retired"/>
  </r>
  <r>
    <x v="179"/>
    <s v="Advaith Sarma"/>
    <n v="37"/>
    <x v="0"/>
    <x v="0"/>
    <x v="1"/>
    <x v="1"/>
    <x v="0"/>
    <x v="0"/>
    <n v="0.56999999999999995"/>
    <d v="2022-07-27T00:00:00"/>
    <x v="1"/>
    <x v="0"/>
    <x v="3"/>
    <s v="Jul"/>
    <s v="Q3"/>
    <s v="Adult"/>
    <s v="High"/>
    <s v="East - Salaried"/>
  </r>
  <r>
    <x v="180"/>
    <s v="Lucky Sridhar"/>
    <n v="40"/>
    <x v="0"/>
    <x v="1"/>
    <x v="2"/>
    <x v="2"/>
    <x v="1"/>
    <x v="1"/>
    <n v="0.9"/>
    <d v="2018-10-27T00:00:00"/>
    <x v="1"/>
    <x v="2"/>
    <x v="1"/>
    <s v="Oct"/>
    <s v="Q4"/>
    <s v="Adult"/>
    <s v="High"/>
    <s v="North - Self-employed"/>
  </r>
  <r>
    <x v="181"/>
    <s v="Oscar Mall"/>
    <n v="18"/>
    <x v="1"/>
    <x v="2"/>
    <x v="3"/>
    <x v="5"/>
    <x v="0"/>
    <x v="1"/>
    <n v="0.44"/>
    <d v="2018-04-24T00:00:00"/>
    <x v="0"/>
    <x v="0"/>
    <x v="1"/>
    <s v="Apr"/>
    <s v="Q2"/>
    <s v="Young"/>
    <s v="Low"/>
    <s v="Central - Retired"/>
  </r>
  <r>
    <x v="182"/>
    <s v="Karan Batra"/>
    <n v="63"/>
    <x v="1"/>
    <x v="2"/>
    <x v="2"/>
    <x v="2"/>
    <x v="0"/>
    <x v="1"/>
    <n v="0.25"/>
    <d v="2023-06-30T00:00:00"/>
    <x v="3"/>
    <x v="1"/>
    <x v="5"/>
    <s v="Jun"/>
    <s v="Q2"/>
    <s v="Senior"/>
    <s v="Low"/>
    <s v="North - Self-employed"/>
  </r>
  <r>
    <x v="183"/>
    <s v="Amol Chand"/>
    <n v="50"/>
    <x v="0"/>
    <x v="1"/>
    <x v="2"/>
    <x v="1"/>
    <x v="0"/>
    <x v="1"/>
    <n v="0.67"/>
    <d v="2018-10-02T00:00:00"/>
    <x v="2"/>
    <x v="0"/>
    <x v="1"/>
    <s v="Oct"/>
    <s v="Q4"/>
    <s v="Adult"/>
    <s v="Low"/>
    <s v="East - Self-employed"/>
  </r>
  <r>
    <x v="184"/>
    <s v="Nicholas Gade"/>
    <n v="37"/>
    <x v="1"/>
    <x v="0"/>
    <x v="0"/>
    <x v="5"/>
    <x v="0"/>
    <x v="0"/>
    <n v="0.68"/>
    <d v="2018-09-18T00:00:00"/>
    <x v="1"/>
    <x v="0"/>
    <x v="1"/>
    <s v="Sep"/>
    <s v="Q3"/>
    <s v="Adult"/>
    <s v="High"/>
    <s v="Central - Student"/>
  </r>
  <r>
    <x v="185"/>
    <s v="Abha Sachdev"/>
    <n v="53"/>
    <x v="1"/>
    <x v="2"/>
    <x v="0"/>
    <x v="0"/>
    <x v="0"/>
    <x v="0"/>
    <n v="0.47"/>
    <d v="2022-01-28T00:00:00"/>
    <x v="2"/>
    <x v="0"/>
    <x v="3"/>
    <s v="Jan"/>
    <s v="Q1"/>
    <s v="Senior"/>
    <s v="High"/>
    <s v="West - Student"/>
  </r>
  <r>
    <x v="186"/>
    <s v="Libni Parsa"/>
    <n v="46"/>
    <x v="1"/>
    <x v="2"/>
    <x v="0"/>
    <x v="5"/>
    <x v="1"/>
    <x v="0"/>
    <n v="0.63"/>
    <d v="2019-02-09T00:00:00"/>
    <x v="2"/>
    <x v="0"/>
    <x v="4"/>
    <s v="Feb"/>
    <s v="Q1"/>
    <s v="Adult"/>
    <s v="Very High"/>
    <s v="Central - Student"/>
  </r>
  <r>
    <x v="187"/>
    <s v="Ridhi Dube"/>
    <n v="36"/>
    <x v="1"/>
    <x v="1"/>
    <x v="3"/>
    <x v="1"/>
    <x v="0"/>
    <x v="1"/>
    <n v="0.7"/>
    <d v="2023-07-07T00:00:00"/>
    <x v="1"/>
    <x v="2"/>
    <x v="5"/>
    <s v="Jul"/>
    <s v="Q3"/>
    <s v="Adult"/>
    <s v="Low"/>
    <s v="East - Retired"/>
  </r>
  <r>
    <x v="188"/>
    <s v="Pranit Dugal"/>
    <n v="31"/>
    <x v="1"/>
    <x v="2"/>
    <x v="0"/>
    <x v="2"/>
    <x v="0"/>
    <x v="0"/>
    <n v="0.52"/>
    <d v="2018-02-04T00:00:00"/>
    <x v="1"/>
    <x v="0"/>
    <x v="1"/>
    <s v="Feb"/>
    <s v="Q1"/>
    <s v="Adult"/>
    <s v="High"/>
    <s v="North - Student"/>
  </r>
  <r>
    <x v="189"/>
    <s v="Banjeet Oza"/>
    <n v="41"/>
    <x v="1"/>
    <x v="1"/>
    <x v="2"/>
    <x v="5"/>
    <x v="0"/>
    <x v="1"/>
    <n v="0.46"/>
    <d v="2021-09-11T00:00:00"/>
    <x v="1"/>
    <x v="0"/>
    <x v="2"/>
    <s v="Sep"/>
    <s v="Q3"/>
    <s v="Adult"/>
    <s v="Low"/>
    <s v="Central - Self-employed"/>
  </r>
  <r>
    <x v="190"/>
    <s v="Aachal Tripathi"/>
    <n v="55"/>
    <x v="1"/>
    <x v="1"/>
    <x v="2"/>
    <x v="5"/>
    <x v="0"/>
    <x v="0"/>
    <n v="0.39"/>
    <d v="2023-04-02T00:00:00"/>
    <x v="2"/>
    <x v="0"/>
    <x v="5"/>
    <s v="Apr"/>
    <s v="Q2"/>
    <s v="Senior"/>
    <s v="High"/>
    <s v="Central - Self-employed"/>
  </r>
  <r>
    <x v="191"/>
    <s v="Yug Sunder"/>
    <n v="55"/>
    <x v="1"/>
    <x v="2"/>
    <x v="3"/>
    <x v="3"/>
    <x v="1"/>
    <x v="0"/>
    <n v="0.4"/>
    <d v="2022-11-01T00:00:00"/>
    <x v="2"/>
    <x v="0"/>
    <x v="3"/>
    <s v="Nov"/>
    <s v="Q4"/>
    <s v="Senior"/>
    <s v="Very High"/>
    <s v="South - Retired"/>
  </r>
  <r>
    <x v="192"/>
    <s v="Quincy Chaudhry"/>
    <n v="40"/>
    <x v="1"/>
    <x v="1"/>
    <x v="2"/>
    <x v="4"/>
    <x v="0"/>
    <x v="1"/>
    <n v="0.49"/>
    <d v="2018-05-23T00:00:00"/>
    <x v="1"/>
    <x v="0"/>
    <x v="1"/>
    <s v="May"/>
    <s v="Q2"/>
    <s v="Adult"/>
    <s v="Low"/>
    <s v="North-East - Self-employed"/>
  </r>
  <r>
    <x v="193"/>
    <s v="Frado Chadha"/>
    <n v="40"/>
    <x v="0"/>
    <x v="2"/>
    <x v="0"/>
    <x v="3"/>
    <x v="0"/>
    <x v="1"/>
    <n v="0.57999999999999996"/>
    <d v="2022-11-04T00:00:00"/>
    <x v="1"/>
    <x v="0"/>
    <x v="3"/>
    <s v="Nov"/>
    <s v="Q4"/>
    <s v="Adult"/>
    <s v="Low"/>
    <s v="South - Student"/>
  </r>
  <r>
    <x v="194"/>
    <s v="Jagdish Wali"/>
    <n v="48"/>
    <x v="0"/>
    <x v="1"/>
    <x v="1"/>
    <x v="3"/>
    <x v="1"/>
    <x v="0"/>
    <n v="0.44"/>
    <d v="2020-11-18T00:00:00"/>
    <x v="2"/>
    <x v="0"/>
    <x v="0"/>
    <s v="Nov"/>
    <s v="Q4"/>
    <s v="Adult"/>
    <s v="Very High"/>
    <s v="South - Salaried"/>
  </r>
  <r>
    <x v="195"/>
    <s v="Yochana Barman"/>
    <n v="29"/>
    <x v="0"/>
    <x v="0"/>
    <x v="2"/>
    <x v="2"/>
    <x v="1"/>
    <x v="0"/>
    <n v="0.5"/>
    <d v="2020-09-17T00:00:00"/>
    <x v="0"/>
    <x v="0"/>
    <x v="0"/>
    <s v="Sep"/>
    <s v="Q3"/>
    <s v="Young"/>
    <s v="Very High"/>
    <s v="North - Self-employed"/>
  </r>
  <r>
    <x v="196"/>
    <s v="Ethan Sha"/>
    <n v="23"/>
    <x v="1"/>
    <x v="2"/>
    <x v="3"/>
    <x v="1"/>
    <x v="0"/>
    <x v="1"/>
    <n v="0.56999999999999995"/>
    <d v="2022-03-02T00:00:00"/>
    <x v="0"/>
    <x v="0"/>
    <x v="3"/>
    <s v="Mar"/>
    <s v="Q1"/>
    <s v="Young"/>
    <s v="Low"/>
    <s v="East - Retired"/>
  </r>
  <r>
    <x v="197"/>
    <s v="Umang Dora"/>
    <n v="19"/>
    <x v="1"/>
    <x v="0"/>
    <x v="3"/>
    <x v="3"/>
    <x v="0"/>
    <x v="1"/>
    <n v="0.53"/>
    <d v="2020-11-02T00:00:00"/>
    <x v="0"/>
    <x v="0"/>
    <x v="0"/>
    <s v="Nov"/>
    <s v="Q4"/>
    <s v="Young"/>
    <s v="Low"/>
    <s v="South - Retired"/>
  </r>
  <r>
    <x v="198"/>
    <s v="Hemang Krishnamurthy"/>
    <n v="52"/>
    <x v="1"/>
    <x v="2"/>
    <x v="2"/>
    <x v="1"/>
    <x v="1"/>
    <x v="1"/>
    <n v="0.14000000000000001"/>
    <d v="2020-03-29T00:00:00"/>
    <x v="2"/>
    <x v="1"/>
    <x v="0"/>
    <s v="Mar"/>
    <s v="Q1"/>
    <s v="Senior"/>
    <s v="High"/>
    <s v="East - Self-employed"/>
  </r>
  <r>
    <x v="199"/>
    <s v="Pranav Nadkarni"/>
    <n v="51"/>
    <x v="1"/>
    <x v="1"/>
    <x v="1"/>
    <x v="4"/>
    <x v="1"/>
    <x v="1"/>
    <n v="0.4"/>
    <d v="2021-11-30T00:00:00"/>
    <x v="2"/>
    <x v="0"/>
    <x v="2"/>
    <s v="Nov"/>
    <s v="Q4"/>
    <s v="Senior"/>
    <s v="High"/>
    <s v="North-East - Salaried"/>
  </r>
  <r>
    <x v="200"/>
    <s v="Wakeeta Chaudry"/>
    <n v="22"/>
    <x v="1"/>
    <x v="2"/>
    <x v="0"/>
    <x v="3"/>
    <x v="1"/>
    <x v="1"/>
    <n v="0.69"/>
    <d v="2022-11-27T00:00:00"/>
    <x v="0"/>
    <x v="0"/>
    <x v="3"/>
    <s v="Nov"/>
    <s v="Q4"/>
    <s v="Young"/>
    <s v="High"/>
    <s v="South - Student"/>
  </r>
  <r>
    <x v="201"/>
    <s v="Lipika Kumar"/>
    <n v="32"/>
    <x v="0"/>
    <x v="1"/>
    <x v="1"/>
    <x v="5"/>
    <x v="1"/>
    <x v="1"/>
    <n v="0.65"/>
    <d v="2019-06-13T00:00:00"/>
    <x v="1"/>
    <x v="0"/>
    <x v="4"/>
    <s v="Jun"/>
    <s v="Q2"/>
    <s v="Adult"/>
    <s v="High"/>
    <s v="Central - Salaried"/>
  </r>
  <r>
    <x v="202"/>
    <s v="Thomas Sha"/>
    <n v="60"/>
    <x v="1"/>
    <x v="2"/>
    <x v="3"/>
    <x v="4"/>
    <x v="0"/>
    <x v="1"/>
    <n v="0.46"/>
    <d v="2019-11-20T00:00:00"/>
    <x v="2"/>
    <x v="0"/>
    <x v="4"/>
    <s v="Nov"/>
    <s v="Q4"/>
    <s v="Senior"/>
    <s v="Low"/>
    <s v="North-East - Retired"/>
  </r>
  <r>
    <x v="203"/>
    <s v="Nihal Bail"/>
    <n v="56"/>
    <x v="0"/>
    <x v="2"/>
    <x v="3"/>
    <x v="3"/>
    <x v="0"/>
    <x v="1"/>
    <n v="0.13"/>
    <d v="2019-04-24T00:00:00"/>
    <x v="2"/>
    <x v="1"/>
    <x v="4"/>
    <s v="Apr"/>
    <s v="Q2"/>
    <s v="Senior"/>
    <s v="Low"/>
    <s v="South - Retired"/>
  </r>
  <r>
    <x v="204"/>
    <s v="Bimala Doctor"/>
    <n v="67"/>
    <x v="1"/>
    <x v="1"/>
    <x v="0"/>
    <x v="3"/>
    <x v="0"/>
    <x v="1"/>
    <n v="0.77"/>
    <d v="2018-07-19T00:00:00"/>
    <x v="3"/>
    <x v="2"/>
    <x v="1"/>
    <s v="Jul"/>
    <s v="Q3"/>
    <s v="Senior"/>
    <s v="Low"/>
    <s v="South - Student"/>
  </r>
  <r>
    <x v="205"/>
    <s v="Isaiah Prashad"/>
    <n v="65"/>
    <x v="0"/>
    <x v="0"/>
    <x v="2"/>
    <x v="4"/>
    <x v="0"/>
    <x v="0"/>
    <n v="0.7"/>
    <d v="2018-08-27T00:00:00"/>
    <x v="3"/>
    <x v="2"/>
    <x v="1"/>
    <s v="Aug"/>
    <s v="Q3"/>
    <s v="Senior"/>
    <s v="High"/>
    <s v="North-East - Self-employed"/>
  </r>
  <r>
    <x v="206"/>
    <s v="Krisha Nagi"/>
    <n v="46"/>
    <x v="1"/>
    <x v="1"/>
    <x v="2"/>
    <x v="2"/>
    <x v="1"/>
    <x v="1"/>
    <n v="0.98"/>
    <d v="2019-10-13T00:00:00"/>
    <x v="2"/>
    <x v="2"/>
    <x v="4"/>
    <s v="Oct"/>
    <s v="Q4"/>
    <s v="Adult"/>
    <s v="High"/>
    <s v="North - Self-employed"/>
  </r>
  <r>
    <x v="207"/>
    <s v="Anika Shetty"/>
    <n v="66"/>
    <x v="1"/>
    <x v="2"/>
    <x v="3"/>
    <x v="5"/>
    <x v="0"/>
    <x v="0"/>
    <n v="0.57999999999999996"/>
    <d v="2021-01-25T00:00:00"/>
    <x v="3"/>
    <x v="0"/>
    <x v="2"/>
    <s v="Jan"/>
    <s v="Q1"/>
    <s v="Senior"/>
    <s v="High"/>
    <s v="Central - Retired"/>
  </r>
  <r>
    <x v="208"/>
    <s v="Ojas Anne"/>
    <n v="46"/>
    <x v="0"/>
    <x v="0"/>
    <x v="2"/>
    <x v="1"/>
    <x v="0"/>
    <x v="0"/>
    <n v="0.62"/>
    <d v="2021-11-20T00:00:00"/>
    <x v="2"/>
    <x v="0"/>
    <x v="2"/>
    <s v="Nov"/>
    <s v="Q4"/>
    <s v="Adult"/>
    <s v="High"/>
    <s v="East - Self-employed"/>
  </r>
  <r>
    <x v="209"/>
    <s v="Krishna Tripathi"/>
    <n v="49"/>
    <x v="0"/>
    <x v="2"/>
    <x v="3"/>
    <x v="1"/>
    <x v="1"/>
    <x v="0"/>
    <n v="0.34"/>
    <d v="2020-10-07T00:00:00"/>
    <x v="2"/>
    <x v="0"/>
    <x v="0"/>
    <s v="Oct"/>
    <s v="Q4"/>
    <s v="Adult"/>
    <s v="Very High"/>
    <s v="East - Retired"/>
  </r>
  <r>
    <x v="210"/>
    <s v="Ekbal Munshi"/>
    <n v="23"/>
    <x v="0"/>
    <x v="1"/>
    <x v="1"/>
    <x v="5"/>
    <x v="0"/>
    <x v="0"/>
    <n v="0.62"/>
    <d v="2019-07-27T00:00:00"/>
    <x v="0"/>
    <x v="0"/>
    <x v="4"/>
    <s v="Jul"/>
    <s v="Q3"/>
    <s v="Young"/>
    <s v="High"/>
    <s v="Central - Salaried"/>
  </r>
  <r>
    <x v="211"/>
    <s v="Sara Taneja"/>
    <n v="20"/>
    <x v="1"/>
    <x v="2"/>
    <x v="1"/>
    <x v="1"/>
    <x v="1"/>
    <x v="0"/>
    <n v="0.55000000000000004"/>
    <d v="2018-04-09T00:00:00"/>
    <x v="0"/>
    <x v="0"/>
    <x v="1"/>
    <s v="Apr"/>
    <s v="Q2"/>
    <s v="Young"/>
    <s v="Very High"/>
    <s v="East - Salaried"/>
  </r>
  <r>
    <x v="212"/>
    <s v="Oeshi Kaul"/>
    <n v="51"/>
    <x v="1"/>
    <x v="2"/>
    <x v="3"/>
    <x v="0"/>
    <x v="0"/>
    <x v="0"/>
    <n v="0.76"/>
    <d v="2022-11-28T00:00:00"/>
    <x v="2"/>
    <x v="2"/>
    <x v="3"/>
    <s v="Nov"/>
    <s v="Q4"/>
    <s v="Senior"/>
    <s v="High"/>
    <s v="West - Retired"/>
  </r>
  <r>
    <x v="213"/>
    <s v="Urvi Nagar"/>
    <n v="59"/>
    <x v="1"/>
    <x v="1"/>
    <x v="1"/>
    <x v="1"/>
    <x v="0"/>
    <x v="0"/>
    <n v="0.37"/>
    <d v="2020-01-07T00:00:00"/>
    <x v="2"/>
    <x v="0"/>
    <x v="0"/>
    <s v="Jan"/>
    <s v="Q1"/>
    <s v="Senior"/>
    <s v="High"/>
    <s v="East - Salaried"/>
  </r>
  <r>
    <x v="214"/>
    <s v="Nathaniel Parmer"/>
    <n v="33"/>
    <x v="1"/>
    <x v="2"/>
    <x v="0"/>
    <x v="2"/>
    <x v="0"/>
    <x v="0"/>
    <n v="0.2"/>
    <d v="2020-06-08T00:00:00"/>
    <x v="1"/>
    <x v="1"/>
    <x v="0"/>
    <s v="Jun"/>
    <s v="Q2"/>
    <s v="Adult"/>
    <s v="High"/>
    <s v="North - Student"/>
  </r>
  <r>
    <x v="215"/>
    <s v="Lucky Desai"/>
    <n v="45"/>
    <x v="0"/>
    <x v="1"/>
    <x v="2"/>
    <x v="5"/>
    <x v="1"/>
    <x v="1"/>
    <n v="0.52"/>
    <d v="2019-10-08T00:00:00"/>
    <x v="1"/>
    <x v="0"/>
    <x v="4"/>
    <s v="Oct"/>
    <s v="Q4"/>
    <s v="Adult"/>
    <s v="High"/>
    <s v="Central - Self-employed"/>
  </r>
  <r>
    <x v="216"/>
    <s v="Bhavika Dada"/>
    <n v="34"/>
    <x v="1"/>
    <x v="0"/>
    <x v="2"/>
    <x v="4"/>
    <x v="1"/>
    <x v="0"/>
    <n v="0.59"/>
    <d v="2018-06-27T00:00:00"/>
    <x v="1"/>
    <x v="0"/>
    <x v="1"/>
    <s v="Jun"/>
    <s v="Q2"/>
    <s v="Adult"/>
    <s v="Very High"/>
    <s v="North-East - Self-employed"/>
  </r>
  <r>
    <x v="217"/>
    <s v="Rajata Konda"/>
    <n v="57"/>
    <x v="0"/>
    <x v="0"/>
    <x v="0"/>
    <x v="4"/>
    <x v="0"/>
    <x v="0"/>
    <n v="0.76"/>
    <d v="2018-07-07T00:00:00"/>
    <x v="2"/>
    <x v="2"/>
    <x v="1"/>
    <s v="Jul"/>
    <s v="Q3"/>
    <s v="Senior"/>
    <s v="High"/>
    <s v="North-East - Student"/>
  </r>
  <r>
    <x v="218"/>
    <s v="Mitesh Rege"/>
    <n v="57"/>
    <x v="0"/>
    <x v="1"/>
    <x v="3"/>
    <x v="1"/>
    <x v="1"/>
    <x v="1"/>
    <n v="0.63"/>
    <d v="2020-10-25T00:00:00"/>
    <x v="2"/>
    <x v="0"/>
    <x v="0"/>
    <s v="Oct"/>
    <s v="Q4"/>
    <s v="Senior"/>
    <s v="High"/>
    <s v="East - Retired"/>
  </r>
  <r>
    <x v="219"/>
    <s v="Chaman Gole"/>
    <n v="46"/>
    <x v="0"/>
    <x v="2"/>
    <x v="3"/>
    <x v="1"/>
    <x v="0"/>
    <x v="0"/>
    <n v="0.67"/>
    <d v="2019-10-19T00:00:00"/>
    <x v="2"/>
    <x v="0"/>
    <x v="4"/>
    <s v="Oct"/>
    <s v="Q4"/>
    <s v="Adult"/>
    <s v="High"/>
    <s v="East - Retired"/>
  </r>
  <r>
    <x v="220"/>
    <s v="Raagini Purohit"/>
    <n v="59"/>
    <x v="1"/>
    <x v="1"/>
    <x v="1"/>
    <x v="1"/>
    <x v="1"/>
    <x v="0"/>
    <n v="0.44"/>
    <d v="2018-01-31T00:00:00"/>
    <x v="2"/>
    <x v="0"/>
    <x v="1"/>
    <s v="Jan"/>
    <s v="Q1"/>
    <s v="Senior"/>
    <s v="Very High"/>
    <s v="East - Salaried"/>
  </r>
  <r>
    <x v="221"/>
    <s v="Gautami Lad"/>
    <n v="39"/>
    <x v="0"/>
    <x v="2"/>
    <x v="2"/>
    <x v="3"/>
    <x v="0"/>
    <x v="1"/>
    <n v="0.6"/>
    <d v="2023-08-11T00:00:00"/>
    <x v="1"/>
    <x v="0"/>
    <x v="5"/>
    <s v="Aug"/>
    <s v="Q3"/>
    <s v="Adult"/>
    <s v="Low"/>
    <s v="South - Self-employed"/>
  </r>
  <r>
    <x v="222"/>
    <s v="Harinakshi Chatterjee"/>
    <n v="29"/>
    <x v="0"/>
    <x v="2"/>
    <x v="2"/>
    <x v="0"/>
    <x v="1"/>
    <x v="1"/>
    <n v="0.45"/>
    <d v="2021-08-02T00:00:00"/>
    <x v="0"/>
    <x v="0"/>
    <x v="2"/>
    <s v="Aug"/>
    <s v="Q3"/>
    <s v="Young"/>
    <s v="High"/>
    <s v="West - Self-employed"/>
  </r>
  <r>
    <x v="223"/>
    <s v="Banjeet Bassi"/>
    <n v="46"/>
    <x v="0"/>
    <x v="0"/>
    <x v="1"/>
    <x v="2"/>
    <x v="1"/>
    <x v="0"/>
    <n v="0.6"/>
    <d v="2022-09-29T00:00:00"/>
    <x v="2"/>
    <x v="0"/>
    <x v="3"/>
    <s v="Sep"/>
    <s v="Q3"/>
    <s v="Adult"/>
    <s v="Very High"/>
    <s v="North - Salaried"/>
  </r>
  <r>
    <x v="224"/>
    <s v="Udarsh Dugar"/>
    <n v="26"/>
    <x v="0"/>
    <x v="1"/>
    <x v="2"/>
    <x v="1"/>
    <x v="0"/>
    <x v="1"/>
    <n v="0.26"/>
    <d v="2023-01-01T00:00:00"/>
    <x v="0"/>
    <x v="1"/>
    <x v="5"/>
    <s v="Jan"/>
    <s v="Q1"/>
    <s v="Young"/>
    <s v="Low"/>
    <s v="East - Self-employed"/>
  </r>
  <r>
    <x v="225"/>
    <s v="Kashish Yohannan"/>
    <n v="63"/>
    <x v="1"/>
    <x v="1"/>
    <x v="0"/>
    <x v="5"/>
    <x v="0"/>
    <x v="0"/>
    <n v="0.75"/>
    <d v="2021-09-30T00:00:00"/>
    <x v="3"/>
    <x v="2"/>
    <x v="2"/>
    <s v="Sep"/>
    <s v="Q3"/>
    <s v="Senior"/>
    <s v="High"/>
    <s v="Central - Student"/>
  </r>
  <r>
    <x v="226"/>
    <s v="Radhika Sahni"/>
    <n v="34"/>
    <x v="1"/>
    <x v="1"/>
    <x v="0"/>
    <x v="4"/>
    <x v="1"/>
    <x v="1"/>
    <n v="0.71"/>
    <d v="2019-05-11T00:00:00"/>
    <x v="1"/>
    <x v="2"/>
    <x v="4"/>
    <s v="May"/>
    <s v="Q2"/>
    <s v="Adult"/>
    <s v="High"/>
    <s v="North-East - Student"/>
  </r>
  <r>
    <x v="227"/>
    <s v="Neelima Misra"/>
    <n v="69"/>
    <x v="1"/>
    <x v="2"/>
    <x v="0"/>
    <x v="3"/>
    <x v="0"/>
    <x v="0"/>
    <n v="0.74"/>
    <d v="2023-10-10T00:00:00"/>
    <x v="3"/>
    <x v="2"/>
    <x v="5"/>
    <s v="Oct"/>
    <s v="Q4"/>
    <s v="Senior"/>
    <s v="High"/>
    <s v="South - Student"/>
  </r>
  <r>
    <x v="228"/>
    <s v="Hemang Choudhary"/>
    <n v="52"/>
    <x v="1"/>
    <x v="0"/>
    <x v="0"/>
    <x v="0"/>
    <x v="0"/>
    <x v="1"/>
    <n v="0.57999999999999996"/>
    <d v="2022-01-18T00:00:00"/>
    <x v="2"/>
    <x v="0"/>
    <x v="3"/>
    <s v="Jan"/>
    <s v="Q1"/>
    <s v="Senior"/>
    <s v="Low"/>
    <s v="West - Student"/>
  </r>
  <r>
    <x v="229"/>
    <s v="Lopa More"/>
    <n v="27"/>
    <x v="1"/>
    <x v="1"/>
    <x v="3"/>
    <x v="3"/>
    <x v="1"/>
    <x v="1"/>
    <n v="0.34"/>
    <d v="2021-01-19T00:00:00"/>
    <x v="0"/>
    <x v="0"/>
    <x v="2"/>
    <s v="Jan"/>
    <s v="Q1"/>
    <s v="Young"/>
    <s v="High"/>
    <s v="South - Retired"/>
  </r>
  <r>
    <x v="230"/>
    <s v="Kiaan Acharya"/>
    <n v="67"/>
    <x v="1"/>
    <x v="1"/>
    <x v="2"/>
    <x v="2"/>
    <x v="1"/>
    <x v="0"/>
    <n v="0.8"/>
    <d v="2020-01-24T00:00:00"/>
    <x v="3"/>
    <x v="2"/>
    <x v="0"/>
    <s v="Jan"/>
    <s v="Q1"/>
    <s v="Senior"/>
    <s v="Very High"/>
    <s v="North - Self-employed"/>
  </r>
  <r>
    <x v="231"/>
    <s v="Riya Vohra"/>
    <n v="25"/>
    <x v="1"/>
    <x v="1"/>
    <x v="3"/>
    <x v="4"/>
    <x v="1"/>
    <x v="1"/>
    <n v="0.75"/>
    <d v="2019-06-19T00:00:00"/>
    <x v="0"/>
    <x v="2"/>
    <x v="4"/>
    <s v="Jun"/>
    <s v="Q2"/>
    <s v="Young"/>
    <s v="High"/>
    <s v="North-East - Retired"/>
  </r>
  <r>
    <x v="232"/>
    <s v="Yash Murthy"/>
    <n v="43"/>
    <x v="0"/>
    <x v="2"/>
    <x v="0"/>
    <x v="0"/>
    <x v="1"/>
    <x v="1"/>
    <n v="0.36"/>
    <d v="2018-10-15T00:00:00"/>
    <x v="1"/>
    <x v="0"/>
    <x v="1"/>
    <s v="Oct"/>
    <s v="Q4"/>
    <s v="Adult"/>
    <s v="High"/>
    <s v="West - Student"/>
  </r>
  <r>
    <x v="233"/>
    <s v="Lipika Ratti"/>
    <n v="48"/>
    <x v="1"/>
    <x v="0"/>
    <x v="0"/>
    <x v="1"/>
    <x v="1"/>
    <x v="0"/>
    <n v="0.01"/>
    <d v="2020-01-28T00:00:00"/>
    <x v="2"/>
    <x v="1"/>
    <x v="0"/>
    <s v="Jan"/>
    <s v="Q1"/>
    <s v="Adult"/>
    <s v="Very High"/>
    <s v="East - Student"/>
  </r>
  <r>
    <x v="234"/>
    <s v="Radhika Dayal"/>
    <n v="25"/>
    <x v="0"/>
    <x v="0"/>
    <x v="1"/>
    <x v="5"/>
    <x v="1"/>
    <x v="1"/>
    <n v="0.55000000000000004"/>
    <d v="2019-09-01T00:00:00"/>
    <x v="0"/>
    <x v="0"/>
    <x v="4"/>
    <s v="Sep"/>
    <s v="Q3"/>
    <s v="Young"/>
    <s v="High"/>
    <s v="Central - Salaried"/>
  </r>
  <r>
    <x v="235"/>
    <s v="Chaman Gole"/>
    <n v="39"/>
    <x v="1"/>
    <x v="1"/>
    <x v="2"/>
    <x v="5"/>
    <x v="1"/>
    <x v="0"/>
    <n v="0.35"/>
    <d v="2022-02-21T00:00:00"/>
    <x v="1"/>
    <x v="0"/>
    <x v="3"/>
    <s v="Feb"/>
    <s v="Q1"/>
    <s v="Adult"/>
    <s v="Very High"/>
    <s v="Central - Self-employed"/>
  </r>
  <r>
    <x v="236"/>
    <s v="Lohit Sarin"/>
    <n v="26"/>
    <x v="0"/>
    <x v="0"/>
    <x v="3"/>
    <x v="5"/>
    <x v="0"/>
    <x v="0"/>
    <n v="0.81"/>
    <d v="2020-12-02T00:00:00"/>
    <x v="0"/>
    <x v="2"/>
    <x v="0"/>
    <s v="Dec"/>
    <s v="Q4"/>
    <s v="Young"/>
    <s v="High"/>
    <s v="Central - Retired"/>
  </r>
  <r>
    <x v="237"/>
    <s v="Praneel Borde"/>
    <n v="56"/>
    <x v="0"/>
    <x v="2"/>
    <x v="0"/>
    <x v="4"/>
    <x v="0"/>
    <x v="0"/>
    <n v="0.56999999999999995"/>
    <d v="2018-08-11T00:00:00"/>
    <x v="2"/>
    <x v="0"/>
    <x v="1"/>
    <s v="Aug"/>
    <s v="Q3"/>
    <s v="Senior"/>
    <s v="High"/>
    <s v="North-East - Student"/>
  </r>
  <r>
    <x v="238"/>
    <s v="Devansh Bath"/>
    <n v="34"/>
    <x v="1"/>
    <x v="1"/>
    <x v="1"/>
    <x v="2"/>
    <x v="0"/>
    <x v="0"/>
    <n v="0.68"/>
    <d v="2021-06-26T00:00:00"/>
    <x v="1"/>
    <x v="0"/>
    <x v="2"/>
    <s v="Jun"/>
    <s v="Q2"/>
    <s v="Adult"/>
    <s v="High"/>
    <s v="North - Salaried"/>
  </r>
  <r>
    <x v="239"/>
    <s v="Nihal Kulkarni"/>
    <n v="69"/>
    <x v="1"/>
    <x v="2"/>
    <x v="0"/>
    <x v="0"/>
    <x v="0"/>
    <x v="1"/>
    <n v="0.53"/>
    <d v="2020-06-28T00:00:00"/>
    <x v="3"/>
    <x v="0"/>
    <x v="0"/>
    <s v="Jun"/>
    <s v="Q2"/>
    <s v="Senior"/>
    <s v="Low"/>
    <s v="West - Student"/>
  </r>
  <r>
    <x v="240"/>
    <s v="Urishilla Sekhon"/>
    <n v="23"/>
    <x v="1"/>
    <x v="2"/>
    <x v="2"/>
    <x v="1"/>
    <x v="0"/>
    <x v="0"/>
    <n v="0.41"/>
    <d v="2023-05-07T00:00:00"/>
    <x v="0"/>
    <x v="0"/>
    <x v="5"/>
    <s v="May"/>
    <s v="Q2"/>
    <s v="Young"/>
    <s v="High"/>
    <s v="East - Self-employed"/>
  </r>
  <r>
    <x v="241"/>
    <s v="Niharika Mall"/>
    <n v="48"/>
    <x v="0"/>
    <x v="2"/>
    <x v="0"/>
    <x v="5"/>
    <x v="1"/>
    <x v="0"/>
    <n v="0.54"/>
    <d v="2019-08-08T00:00:00"/>
    <x v="2"/>
    <x v="0"/>
    <x v="4"/>
    <s v="Aug"/>
    <s v="Q3"/>
    <s v="Adult"/>
    <s v="Very High"/>
    <s v="Central - Student"/>
  </r>
  <r>
    <x v="242"/>
    <s v="Naveen Varkey"/>
    <n v="64"/>
    <x v="1"/>
    <x v="2"/>
    <x v="2"/>
    <x v="0"/>
    <x v="1"/>
    <x v="1"/>
    <n v="0.51"/>
    <d v="2022-08-19T00:00:00"/>
    <x v="3"/>
    <x v="0"/>
    <x v="3"/>
    <s v="Aug"/>
    <s v="Q3"/>
    <s v="Senior"/>
    <s v="High"/>
    <s v="West - Self-employed"/>
  </r>
  <r>
    <x v="243"/>
    <s v="Indrajit Bahri"/>
    <n v="59"/>
    <x v="0"/>
    <x v="2"/>
    <x v="1"/>
    <x v="4"/>
    <x v="0"/>
    <x v="1"/>
    <n v="0.34"/>
    <d v="2019-12-26T00:00:00"/>
    <x v="2"/>
    <x v="0"/>
    <x v="4"/>
    <s v="Dec"/>
    <s v="Q4"/>
    <s v="Senior"/>
    <s v="Low"/>
    <s v="North-East - Salaried"/>
  </r>
  <r>
    <x v="244"/>
    <s v="Nimrat Bail"/>
    <n v="68"/>
    <x v="1"/>
    <x v="0"/>
    <x v="1"/>
    <x v="1"/>
    <x v="1"/>
    <x v="1"/>
    <n v="0.81"/>
    <d v="2022-05-02T00:00:00"/>
    <x v="3"/>
    <x v="2"/>
    <x v="3"/>
    <s v="May"/>
    <s v="Q2"/>
    <s v="Senior"/>
    <s v="High"/>
    <s v="East - Salaried"/>
  </r>
  <r>
    <x v="245"/>
    <s v="Gayathri Hari"/>
    <n v="42"/>
    <x v="1"/>
    <x v="0"/>
    <x v="2"/>
    <x v="4"/>
    <x v="0"/>
    <x v="0"/>
    <n v="0.23"/>
    <d v="2023-11-01T00:00:00"/>
    <x v="1"/>
    <x v="1"/>
    <x v="5"/>
    <s v="Nov"/>
    <s v="Q4"/>
    <s v="Adult"/>
    <s v="High"/>
    <s v="North-East - Self-employed"/>
  </r>
  <r>
    <x v="246"/>
    <s v="Ekanta Batra"/>
    <n v="49"/>
    <x v="1"/>
    <x v="0"/>
    <x v="2"/>
    <x v="4"/>
    <x v="1"/>
    <x v="0"/>
    <n v="0.73"/>
    <d v="2020-10-11T00:00:00"/>
    <x v="2"/>
    <x v="2"/>
    <x v="0"/>
    <s v="Oct"/>
    <s v="Q4"/>
    <s v="Adult"/>
    <s v="Very High"/>
    <s v="North-East - Self-employed"/>
  </r>
  <r>
    <x v="247"/>
    <s v="Wahab Agarwal"/>
    <n v="62"/>
    <x v="1"/>
    <x v="1"/>
    <x v="1"/>
    <x v="3"/>
    <x v="1"/>
    <x v="1"/>
    <n v="0.57999999999999996"/>
    <d v="2023-07-16T00:00:00"/>
    <x v="3"/>
    <x v="0"/>
    <x v="5"/>
    <s v="Jul"/>
    <s v="Q3"/>
    <s v="Senior"/>
    <s v="High"/>
    <s v="South - Salaried"/>
  </r>
  <r>
    <x v="248"/>
    <s v="Mitali Walla"/>
    <n v="45"/>
    <x v="0"/>
    <x v="1"/>
    <x v="2"/>
    <x v="3"/>
    <x v="1"/>
    <x v="1"/>
    <n v="0.76"/>
    <d v="2019-09-15T00:00:00"/>
    <x v="1"/>
    <x v="2"/>
    <x v="4"/>
    <s v="Sep"/>
    <s v="Q3"/>
    <s v="Adult"/>
    <s v="High"/>
    <s v="South - Self-employed"/>
  </r>
  <r>
    <x v="249"/>
    <s v="Nihal Shankar"/>
    <n v="49"/>
    <x v="0"/>
    <x v="0"/>
    <x v="2"/>
    <x v="3"/>
    <x v="0"/>
    <x v="0"/>
    <n v="0.43"/>
    <d v="2018-09-30T00:00:00"/>
    <x v="2"/>
    <x v="0"/>
    <x v="1"/>
    <s v="Sep"/>
    <s v="Q3"/>
    <s v="Adult"/>
    <s v="High"/>
    <s v="South - Self-employed"/>
  </r>
  <r>
    <x v="250"/>
    <s v="Yagnesh Karan"/>
    <n v="29"/>
    <x v="1"/>
    <x v="0"/>
    <x v="2"/>
    <x v="2"/>
    <x v="1"/>
    <x v="1"/>
    <n v="0.51"/>
    <d v="2018-07-06T00:00:00"/>
    <x v="0"/>
    <x v="0"/>
    <x v="1"/>
    <s v="Jul"/>
    <s v="Q3"/>
    <s v="Young"/>
    <s v="High"/>
    <s v="North - Self-employed"/>
  </r>
  <r>
    <x v="251"/>
    <s v="Samuel Thaker"/>
    <n v="46"/>
    <x v="0"/>
    <x v="0"/>
    <x v="1"/>
    <x v="5"/>
    <x v="0"/>
    <x v="1"/>
    <n v="0.48"/>
    <d v="2020-02-07T00:00:00"/>
    <x v="2"/>
    <x v="0"/>
    <x v="0"/>
    <s v="Feb"/>
    <s v="Q1"/>
    <s v="Adult"/>
    <s v="Low"/>
    <s v="Central - Salaried"/>
  </r>
  <r>
    <x v="252"/>
    <s v="Samar Kala"/>
    <n v="39"/>
    <x v="0"/>
    <x v="0"/>
    <x v="2"/>
    <x v="5"/>
    <x v="0"/>
    <x v="0"/>
    <n v="0.61"/>
    <d v="2020-09-30T00:00:00"/>
    <x v="1"/>
    <x v="0"/>
    <x v="0"/>
    <s v="Sep"/>
    <s v="Q3"/>
    <s v="Adult"/>
    <s v="High"/>
    <s v="Central - Self-employed"/>
  </r>
  <r>
    <x v="253"/>
    <s v="Nikita Chacko"/>
    <n v="66"/>
    <x v="0"/>
    <x v="1"/>
    <x v="0"/>
    <x v="0"/>
    <x v="0"/>
    <x v="1"/>
    <n v="0.67"/>
    <d v="2018-02-26T00:00:00"/>
    <x v="3"/>
    <x v="0"/>
    <x v="1"/>
    <s v="Feb"/>
    <s v="Q1"/>
    <s v="Senior"/>
    <s v="Low"/>
    <s v="West - Student"/>
  </r>
  <r>
    <x v="254"/>
    <s v="Yug Saraf"/>
    <n v="43"/>
    <x v="0"/>
    <x v="2"/>
    <x v="2"/>
    <x v="5"/>
    <x v="0"/>
    <x v="0"/>
    <n v="0.34"/>
    <d v="2022-03-07T00:00:00"/>
    <x v="1"/>
    <x v="0"/>
    <x v="3"/>
    <s v="Mar"/>
    <s v="Q1"/>
    <s v="Adult"/>
    <s v="High"/>
    <s v="Central - Self-employed"/>
  </r>
  <r>
    <x v="255"/>
    <s v="Ikbal Acharya"/>
    <n v="44"/>
    <x v="0"/>
    <x v="2"/>
    <x v="3"/>
    <x v="4"/>
    <x v="0"/>
    <x v="1"/>
    <n v="0.33"/>
    <d v="2022-11-19T00:00:00"/>
    <x v="1"/>
    <x v="0"/>
    <x v="3"/>
    <s v="Nov"/>
    <s v="Q4"/>
    <s v="Adult"/>
    <s v="Low"/>
    <s v="North-East - Retired"/>
  </r>
  <r>
    <x v="256"/>
    <s v="Ranveer Dubey"/>
    <n v="28"/>
    <x v="0"/>
    <x v="0"/>
    <x v="0"/>
    <x v="4"/>
    <x v="1"/>
    <x v="1"/>
    <n v="0.55000000000000004"/>
    <d v="2018-02-14T00:00:00"/>
    <x v="0"/>
    <x v="0"/>
    <x v="1"/>
    <s v="Feb"/>
    <s v="Q1"/>
    <s v="Young"/>
    <s v="High"/>
    <s v="North-East - Student"/>
  </r>
  <r>
    <x v="257"/>
    <s v="Hardik Zachariah"/>
    <n v="49"/>
    <x v="0"/>
    <x v="0"/>
    <x v="2"/>
    <x v="4"/>
    <x v="1"/>
    <x v="0"/>
    <n v="0.39"/>
    <d v="2021-03-05T00:00:00"/>
    <x v="2"/>
    <x v="0"/>
    <x v="2"/>
    <s v="Mar"/>
    <s v="Q1"/>
    <s v="Adult"/>
    <s v="Very High"/>
    <s v="North-East - Self-employed"/>
  </r>
  <r>
    <x v="258"/>
    <s v="Ikshita Grover"/>
    <n v="41"/>
    <x v="0"/>
    <x v="0"/>
    <x v="2"/>
    <x v="3"/>
    <x v="1"/>
    <x v="1"/>
    <n v="0.52"/>
    <d v="2018-02-21T00:00:00"/>
    <x v="1"/>
    <x v="0"/>
    <x v="1"/>
    <s v="Feb"/>
    <s v="Q1"/>
    <s v="Adult"/>
    <s v="High"/>
    <s v="South - Self-employed"/>
  </r>
  <r>
    <x v="259"/>
    <s v="Dev Wadhwa"/>
    <n v="64"/>
    <x v="0"/>
    <x v="2"/>
    <x v="2"/>
    <x v="3"/>
    <x v="0"/>
    <x v="0"/>
    <n v="0.41"/>
    <d v="2020-08-14T00:00:00"/>
    <x v="3"/>
    <x v="0"/>
    <x v="0"/>
    <s v="Aug"/>
    <s v="Q3"/>
    <s v="Senior"/>
    <s v="High"/>
    <s v="South - Self-employed"/>
  </r>
  <r>
    <x v="260"/>
    <s v="Girish Bassi"/>
    <n v="34"/>
    <x v="0"/>
    <x v="2"/>
    <x v="0"/>
    <x v="5"/>
    <x v="0"/>
    <x v="1"/>
    <n v="0.56000000000000005"/>
    <d v="2019-11-10T00:00:00"/>
    <x v="1"/>
    <x v="0"/>
    <x v="4"/>
    <s v="Nov"/>
    <s v="Q4"/>
    <s v="Adult"/>
    <s v="Low"/>
    <s v="Central - Student"/>
  </r>
  <r>
    <x v="261"/>
    <s v="Kamala Ganesh"/>
    <n v="42"/>
    <x v="0"/>
    <x v="0"/>
    <x v="0"/>
    <x v="0"/>
    <x v="1"/>
    <x v="0"/>
    <n v="0.17"/>
    <d v="2018-12-08T00:00:00"/>
    <x v="1"/>
    <x v="1"/>
    <x v="1"/>
    <s v="Dec"/>
    <s v="Q4"/>
    <s v="Adult"/>
    <s v="Very High"/>
    <s v="West - Student"/>
  </r>
  <r>
    <x v="262"/>
    <s v="Harish Lata"/>
    <n v="34"/>
    <x v="1"/>
    <x v="2"/>
    <x v="1"/>
    <x v="2"/>
    <x v="0"/>
    <x v="1"/>
    <n v="0.83"/>
    <d v="2022-08-13T00:00:00"/>
    <x v="1"/>
    <x v="2"/>
    <x v="3"/>
    <s v="Aug"/>
    <s v="Q3"/>
    <s v="Adult"/>
    <s v="Low"/>
    <s v="North - Salaried"/>
  </r>
  <r>
    <x v="263"/>
    <s v="Falan Datta"/>
    <n v="53"/>
    <x v="0"/>
    <x v="1"/>
    <x v="1"/>
    <x v="3"/>
    <x v="0"/>
    <x v="0"/>
    <n v="0.56000000000000005"/>
    <d v="2021-09-26T00:00:00"/>
    <x v="2"/>
    <x v="0"/>
    <x v="2"/>
    <s v="Sep"/>
    <s v="Q3"/>
    <s v="Senior"/>
    <s v="High"/>
    <s v="South - Salaried"/>
  </r>
  <r>
    <x v="264"/>
    <s v="Indira Saini"/>
    <n v="35"/>
    <x v="1"/>
    <x v="1"/>
    <x v="3"/>
    <x v="3"/>
    <x v="1"/>
    <x v="1"/>
    <n v="0.31"/>
    <d v="2018-02-18T00:00:00"/>
    <x v="1"/>
    <x v="0"/>
    <x v="1"/>
    <s v="Feb"/>
    <s v="Q1"/>
    <s v="Adult"/>
    <s v="High"/>
    <s v="South - Retired"/>
  </r>
  <r>
    <x v="265"/>
    <s v="Chandani Palla"/>
    <n v="31"/>
    <x v="1"/>
    <x v="0"/>
    <x v="1"/>
    <x v="5"/>
    <x v="0"/>
    <x v="0"/>
    <n v="0.64"/>
    <d v="2018-09-06T00:00:00"/>
    <x v="1"/>
    <x v="0"/>
    <x v="1"/>
    <s v="Sep"/>
    <s v="Q3"/>
    <s v="Adult"/>
    <s v="High"/>
    <s v="Central - Salaried"/>
  </r>
  <r>
    <x v="266"/>
    <s v="Onkar Pandya"/>
    <n v="18"/>
    <x v="1"/>
    <x v="0"/>
    <x v="1"/>
    <x v="5"/>
    <x v="1"/>
    <x v="0"/>
    <n v="0.27"/>
    <d v="2023-01-16T00:00:00"/>
    <x v="0"/>
    <x v="1"/>
    <x v="5"/>
    <s v="Jan"/>
    <s v="Q1"/>
    <s v="Young"/>
    <s v="Very High"/>
    <s v="Central - Salaried"/>
  </r>
  <r>
    <x v="267"/>
    <s v="Lakshit Naik"/>
    <n v="25"/>
    <x v="1"/>
    <x v="2"/>
    <x v="3"/>
    <x v="2"/>
    <x v="0"/>
    <x v="0"/>
    <n v="0.77"/>
    <d v="2021-08-11T00:00:00"/>
    <x v="0"/>
    <x v="2"/>
    <x v="2"/>
    <s v="Aug"/>
    <s v="Q3"/>
    <s v="Young"/>
    <s v="High"/>
    <s v="North - Retired"/>
  </r>
  <r>
    <x v="268"/>
    <s v="Anjali Saran"/>
    <n v="61"/>
    <x v="0"/>
    <x v="1"/>
    <x v="2"/>
    <x v="3"/>
    <x v="1"/>
    <x v="1"/>
    <n v="0.45"/>
    <d v="2019-03-19T00:00:00"/>
    <x v="3"/>
    <x v="0"/>
    <x v="4"/>
    <s v="Mar"/>
    <s v="Q1"/>
    <s v="Senior"/>
    <s v="High"/>
    <s v="South - Self-employed"/>
  </r>
  <r>
    <x v="269"/>
    <s v="Arin Saxena"/>
    <n v="52"/>
    <x v="0"/>
    <x v="2"/>
    <x v="1"/>
    <x v="2"/>
    <x v="1"/>
    <x v="1"/>
    <n v="0.51"/>
    <d v="2018-05-01T00:00:00"/>
    <x v="2"/>
    <x v="0"/>
    <x v="1"/>
    <s v="May"/>
    <s v="Q2"/>
    <s v="Senior"/>
    <s v="High"/>
    <s v="North - Salaried"/>
  </r>
  <r>
    <x v="270"/>
    <s v="Vaishnavi Dhar"/>
    <n v="40"/>
    <x v="0"/>
    <x v="2"/>
    <x v="1"/>
    <x v="0"/>
    <x v="0"/>
    <x v="0"/>
    <n v="0.63"/>
    <d v="2018-09-28T00:00:00"/>
    <x v="1"/>
    <x v="0"/>
    <x v="1"/>
    <s v="Sep"/>
    <s v="Q3"/>
    <s v="Adult"/>
    <s v="High"/>
    <s v="West - Salaried"/>
  </r>
  <r>
    <x v="271"/>
    <s v="Raksha Randhawa"/>
    <n v="40"/>
    <x v="0"/>
    <x v="1"/>
    <x v="0"/>
    <x v="1"/>
    <x v="0"/>
    <x v="1"/>
    <n v="0.34"/>
    <d v="2022-11-20T00:00:00"/>
    <x v="1"/>
    <x v="0"/>
    <x v="3"/>
    <s v="Nov"/>
    <s v="Q4"/>
    <s v="Adult"/>
    <s v="Low"/>
    <s v="East - Student"/>
  </r>
  <r>
    <x v="272"/>
    <s v="Anthony Aggarwal"/>
    <n v="54"/>
    <x v="1"/>
    <x v="0"/>
    <x v="1"/>
    <x v="3"/>
    <x v="0"/>
    <x v="0"/>
    <n v="0.3"/>
    <d v="2023-01-09T00:00:00"/>
    <x v="2"/>
    <x v="0"/>
    <x v="5"/>
    <s v="Jan"/>
    <s v="Q1"/>
    <s v="Senior"/>
    <s v="High"/>
    <s v="South - Salaried"/>
  </r>
  <r>
    <x v="273"/>
    <s v="Indira Mane"/>
    <n v="43"/>
    <x v="0"/>
    <x v="1"/>
    <x v="1"/>
    <x v="2"/>
    <x v="1"/>
    <x v="1"/>
    <n v="0.48"/>
    <d v="2021-10-05T00:00:00"/>
    <x v="1"/>
    <x v="0"/>
    <x v="2"/>
    <s v="Oct"/>
    <s v="Q4"/>
    <s v="Adult"/>
    <s v="High"/>
    <s v="North - Salaried"/>
  </r>
  <r>
    <x v="274"/>
    <s v="Yamini Mittal"/>
    <n v="42"/>
    <x v="1"/>
    <x v="0"/>
    <x v="3"/>
    <x v="5"/>
    <x v="0"/>
    <x v="0"/>
    <n v="0.56000000000000005"/>
    <d v="2019-01-30T00:00:00"/>
    <x v="1"/>
    <x v="0"/>
    <x v="4"/>
    <s v="Jan"/>
    <s v="Q1"/>
    <s v="Adult"/>
    <s v="High"/>
    <s v="Central - Retired"/>
  </r>
  <r>
    <x v="275"/>
    <s v="Nirja Shere"/>
    <n v="43"/>
    <x v="1"/>
    <x v="0"/>
    <x v="2"/>
    <x v="2"/>
    <x v="0"/>
    <x v="1"/>
    <n v="0.39"/>
    <d v="2021-06-09T00:00:00"/>
    <x v="1"/>
    <x v="0"/>
    <x v="2"/>
    <s v="Jun"/>
    <s v="Q2"/>
    <s v="Adult"/>
    <s v="Low"/>
    <s v="North - Self-employed"/>
  </r>
  <r>
    <x v="276"/>
    <s v="Bhavya Shanker"/>
    <n v="45"/>
    <x v="1"/>
    <x v="0"/>
    <x v="0"/>
    <x v="0"/>
    <x v="1"/>
    <x v="0"/>
    <n v="0.54"/>
    <d v="2019-09-17T00:00:00"/>
    <x v="1"/>
    <x v="0"/>
    <x v="4"/>
    <s v="Sep"/>
    <s v="Q3"/>
    <s v="Adult"/>
    <s v="Very High"/>
    <s v="West - Student"/>
  </r>
  <r>
    <x v="277"/>
    <s v="Lajita Master"/>
    <n v="51"/>
    <x v="1"/>
    <x v="1"/>
    <x v="2"/>
    <x v="0"/>
    <x v="0"/>
    <x v="0"/>
    <n v="0.79"/>
    <d v="2021-08-14T00:00:00"/>
    <x v="2"/>
    <x v="2"/>
    <x v="2"/>
    <s v="Aug"/>
    <s v="Q3"/>
    <s v="Senior"/>
    <s v="High"/>
    <s v="West - Self-employed"/>
  </r>
  <r>
    <x v="278"/>
    <s v="Advaith Ganesan"/>
    <n v="67"/>
    <x v="1"/>
    <x v="1"/>
    <x v="0"/>
    <x v="3"/>
    <x v="0"/>
    <x v="1"/>
    <n v="0.36"/>
    <d v="2019-12-17T00:00:00"/>
    <x v="3"/>
    <x v="0"/>
    <x v="4"/>
    <s v="Dec"/>
    <s v="Q4"/>
    <s v="Senior"/>
    <s v="Low"/>
    <s v="South - Student"/>
  </r>
  <r>
    <x v="279"/>
    <s v="Advaith Narain"/>
    <n v="21"/>
    <x v="1"/>
    <x v="0"/>
    <x v="2"/>
    <x v="3"/>
    <x v="0"/>
    <x v="1"/>
    <n v="0.6"/>
    <d v="2018-03-07T00:00:00"/>
    <x v="0"/>
    <x v="0"/>
    <x v="1"/>
    <s v="Mar"/>
    <s v="Q1"/>
    <s v="Young"/>
    <s v="Low"/>
    <s v="South - Self-employed"/>
  </r>
  <r>
    <x v="280"/>
    <s v="Jagat Balay"/>
    <n v="29"/>
    <x v="0"/>
    <x v="1"/>
    <x v="3"/>
    <x v="2"/>
    <x v="1"/>
    <x v="1"/>
    <n v="0.15"/>
    <d v="2022-10-02T00:00:00"/>
    <x v="0"/>
    <x v="1"/>
    <x v="3"/>
    <s v="Oct"/>
    <s v="Q4"/>
    <s v="Young"/>
    <s v="High"/>
    <s v="North - Retired"/>
  </r>
  <r>
    <x v="281"/>
    <s v="Mohini Dewan"/>
    <n v="49"/>
    <x v="0"/>
    <x v="1"/>
    <x v="3"/>
    <x v="0"/>
    <x v="0"/>
    <x v="1"/>
    <n v="0.5"/>
    <d v="2020-12-27T00:00:00"/>
    <x v="2"/>
    <x v="0"/>
    <x v="0"/>
    <s v="Dec"/>
    <s v="Q4"/>
    <s v="Adult"/>
    <s v="Low"/>
    <s v="West - Retired"/>
  </r>
  <r>
    <x v="282"/>
    <s v="Praneel Madan"/>
    <n v="65"/>
    <x v="1"/>
    <x v="0"/>
    <x v="2"/>
    <x v="0"/>
    <x v="1"/>
    <x v="1"/>
    <n v="0.43"/>
    <d v="2020-07-13T00:00:00"/>
    <x v="3"/>
    <x v="0"/>
    <x v="0"/>
    <s v="Jul"/>
    <s v="Q3"/>
    <s v="Senior"/>
    <s v="High"/>
    <s v="West - Self-employed"/>
  </r>
  <r>
    <x v="283"/>
    <s v="Jagrati Venkatesh"/>
    <n v="57"/>
    <x v="0"/>
    <x v="2"/>
    <x v="1"/>
    <x v="0"/>
    <x v="1"/>
    <x v="0"/>
    <n v="0.35"/>
    <d v="2019-03-04T00:00:00"/>
    <x v="2"/>
    <x v="0"/>
    <x v="4"/>
    <s v="Mar"/>
    <s v="Q1"/>
    <s v="Senior"/>
    <s v="Very High"/>
    <s v="West - Salaried"/>
  </r>
  <r>
    <x v="284"/>
    <s v="Timothy Acharya"/>
    <n v="25"/>
    <x v="1"/>
    <x v="2"/>
    <x v="2"/>
    <x v="3"/>
    <x v="0"/>
    <x v="0"/>
    <n v="0.56999999999999995"/>
    <d v="2019-04-23T00:00:00"/>
    <x v="0"/>
    <x v="0"/>
    <x v="4"/>
    <s v="Apr"/>
    <s v="Q2"/>
    <s v="Young"/>
    <s v="High"/>
    <s v="South - Self-employed"/>
  </r>
  <r>
    <x v="285"/>
    <s v="Dalaja Zachariah"/>
    <n v="41"/>
    <x v="1"/>
    <x v="1"/>
    <x v="3"/>
    <x v="3"/>
    <x v="0"/>
    <x v="0"/>
    <n v="0.57999999999999996"/>
    <d v="2022-07-02T00:00:00"/>
    <x v="1"/>
    <x v="0"/>
    <x v="3"/>
    <s v="Jul"/>
    <s v="Q3"/>
    <s v="Adult"/>
    <s v="High"/>
    <s v="South - Retired"/>
  </r>
  <r>
    <x v="286"/>
    <s v="Urvi Lala"/>
    <n v="27"/>
    <x v="0"/>
    <x v="1"/>
    <x v="0"/>
    <x v="3"/>
    <x v="1"/>
    <x v="0"/>
    <n v="0.1"/>
    <d v="2022-02-01T00:00:00"/>
    <x v="0"/>
    <x v="1"/>
    <x v="3"/>
    <s v="Feb"/>
    <s v="Q1"/>
    <s v="Young"/>
    <s v="Very High"/>
    <s v="South - Student"/>
  </r>
  <r>
    <x v="287"/>
    <s v="Idika Sagar"/>
    <n v="23"/>
    <x v="1"/>
    <x v="0"/>
    <x v="3"/>
    <x v="1"/>
    <x v="0"/>
    <x v="1"/>
    <n v="0.51"/>
    <d v="2022-01-27T00:00:00"/>
    <x v="0"/>
    <x v="0"/>
    <x v="3"/>
    <s v="Jan"/>
    <s v="Q1"/>
    <s v="Young"/>
    <s v="Low"/>
    <s v="East - Retired"/>
  </r>
  <r>
    <x v="288"/>
    <s v="Akshay Dixit"/>
    <n v="60"/>
    <x v="0"/>
    <x v="1"/>
    <x v="3"/>
    <x v="3"/>
    <x v="0"/>
    <x v="1"/>
    <n v="0.76"/>
    <d v="2019-08-27T00:00:00"/>
    <x v="2"/>
    <x v="2"/>
    <x v="4"/>
    <s v="Aug"/>
    <s v="Q3"/>
    <s v="Senior"/>
    <s v="Low"/>
    <s v="South - Retired"/>
  </r>
  <r>
    <x v="289"/>
    <s v="Aadi Kala"/>
    <n v="47"/>
    <x v="1"/>
    <x v="1"/>
    <x v="3"/>
    <x v="0"/>
    <x v="0"/>
    <x v="0"/>
    <n v="0.61"/>
    <d v="2018-11-28T00:00:00"/>
    <x v="2"/>
    <x v="0"/>
    <x v="1"/>
    <s v="Nov"/>
    <s v="Q4"/>
    <s v="Adult"/>
    <s v="High"/>
    <s v="West - Retired"/>
  </r>
  <r>
    <x v="290"/>
    <s v="Hemani Ramakrishnan"/>
    <n v="66"/>
    <x v="1"/>
    <x v="0"/>
    <x v="3"/>
    <x v="0"/>
    <x v="1"/>
    <x v="0"/>
    <n v="0.75"/>
    <d v="2022-02-12T00:00:00"/>
    <x v="3"/>
    <x v="2"/>
    <x v="3"/>
    <s v="Feb"/>
    <s v="Q1"/>
    <s v="Senior"/>
    <s v="Very High"/>
    <s v="West - Retired"/>
  </r>
  <r>
    <x v="291"/>
    <s v="Anay Parmar"/>
    <n v="34"/>
    <x v="0"/>
    <x v="2"/>
    <x v="0"/>
    <x v="1"/>
    <x v="1"/>
    <x v="1"/>
    <n v="0.53"/>
    <d v="2019-12-12T00:00:00"/>
    <x v="1"/>
    <x v="0"/>
    <x v="4"/>
    <s v="Dec"/>
    <s v="Q4"/>
    <s v="Adult"/>
    <s v="High"/>
    <s v="East - Student"/>
  </r>
  <r>
    <x v="292"/>
    <s v="Brinda Chatterjee"/>
    <n v="42"/>
    <x v="1"/>
    <x v="2"/>
    <x v="2"/>
    <x v="1"/>
    <x v="1"/>
    <x v="1"/>
    <n v="0.66"/>
    <d v="2022-03-15T00:00:00"/>
    <x v="1"/>
    <x v="0"/>
    <x v="3"/>
    <s v="Mar"/>
    <s v="Q1"/>
    <s v="Adult"/>
    <s v="High"/>
    <s v="East - Self-employed"/>
  </r>
  <r>
    <x v="293"/>
    <s v="Rehaan Sarma"/>
    <n v="65"/>
    <x v="0"/>
    <x v="2"/>
    <x v="2"/>
    <x v="2"/>
    <x v="1"/>
    <x v="1"/>
    <n v="0.51"/>
    <d v="2021-07-18T00:00:00"/>
    <x v="3"/>
    <x v="0"/>
    <x v="2"/>
    <s v="Jul"/>
    <s v="Q3"/>
    <s v="Senior"/>
    <s v="High"/>
    <s v="North - Self-employed"/>
  </r>
  <r>
    <x v="294"/>
    <s v="Rachana Sen"/>
    <n v="59"/>
    <x v="0"/>
    <x v="2"/>
    <x v="3"/>
    <x v="4"/>
    <x v="1"/>
    <x v="0"/>
    <n v="0.28000000000000003"/>
    <d v="2021-02-12T00:00:00"/>
    <x v="2"/>
    <x v="1"/>
    <x v="2"/>
    <s v="Feb"/>
    <s v="Q1"/>
    <s v="Senior"/>
    <s v="Very High"/>
    <s v="North-East - Retired"/>
  </r>
  <r>
    <x v="295"/>
    <s v="Jagat Wali"/>
    <n v="58"/>
    <x v="1"/>
    <x v="1"/>
    <x v="2"/>
    <x v="1"/>
    <x v="0"/>
    <x v="0"/>
    <n v="0.51"/>
    <d v="2018-11-09T00:00:00"/>
    <x v="2"/>
    <x v="0"/>
    <x v="1"/>
    <s v="Nov"/>
    <s v="Q4"/>
    <s v="Senior"/>
    <s v="High"/>
    <s v="East - Self-employed"/>
  </r>
  <r>
    <x v="296"/>
    <s v="Neel Sachdeva"/>
    <n v="56"/>
    <x v="0"/>
    <x v="1"/>
    <x v="1"/>
    <x v="3"/>
    <x v="0"/>
    <x v="1"/>
    <n v="0.7"/>
    <d v="2021-05-13T00:00:00"/>
    <x v="2"/>
    <x v="2"/>
    <x v="2"/>
    <s v="May"/>
    <s v="Q2"/>
    <s v="Senior"/>
    <s v="Low"/>
    <s v="South - Salaried"/>
  </r>
  <r>
    <x v="297"/>
    <s v="Azaan Chowdhury"/>
    <n v="42"/>
    <x v="0"/>
    <x v="1"/>
    <x v="0"/>
    <x v="5"/>
    <x v="0"/>
    <x v="0"/>
    <n v="0.39"/>
    <d v="2021-06-17T00:00:00"/>
    <x v="1"/>
    <x v="0"/>
    <x v="2"/>
    <s v="Jun"/>
    <s v="Q2"/>
    <s v="Adult"/>
    <s v="High"/>
    <s v="Central - Student"/>
  </r>
  <r>
    <x v="298"/>
    <s v="Champak Kashyap"/>
    <n v="40"/>
    <x v="0"/>
    <x v="2"/>
    <x v="0"/>
    <x v="4"/>
    <x v="0"/>
    <x v="0"/>
    <n v="0.36"/>
    <d v="2018-04-19T00:00:00"/>
    <x v="1"/>
    <x v="0"/>
    <x v="1"/>
    <s v="Apr"/>
    <s v="Q2"/>
    <s v="Adult"/>
    <s v="High"/>
    <s v="North-East - Student"/>
  </r>
  <r>
    <x v="299"/>
    <s v="Chakrika Mitter"/>
    <n v="43"/>
    <x v="1"/>
    <x v="1"/>
    <x v="0"/>
    <x v="3"/>
    <x v="0"/>
    <x v="1"/>
    <n v="0.35"/>
    <d v="2019-02-24T00:00:00"/>
    <x v="1"/>
    <x v="0"/>
    <x v="4"/>
    <s v="Feb"/>
    <s v="Q1"/>
    <s v="Adult"/>
    <s v="Low"/>
    <s v="South - Student"/>
  </r>
  <r>
    <x v="300"/>
    <s v="Karan Bassi"/>
    <n v="43"/>
    <x v="0"/>
    <x v="0"/>
    <x v="0"/>
    <x v="5"/>
    <x v="1"/>
    <x v="1"/>
    <n v="0.33"/>
    <d v="2021-10-17T00:00:00"/>
    <x v="1"/>
    <x v="0"/>
    <x v="2"/>
    <s v="Oct"/>
    <s v="Q4"/>
    <s v="Adult"/>
    <s v="High"/>
    <s v="Central - Student"/>
  </r>
  <r>
    <x v="301"/>
    <s v="Veda Mahal"/>
    <n v="49"/>
    <x v="0"/>
    <x v="2"/>
    <x v="1"/>
    <x v="1"/>
    <x v="0"/>
    <x v="0"/>
    <n v="0.68"/>
    <d v="2021-12-04T00:00:00"/>
    <x v="2"/>
    <x v="0"/>
    <x v="2"/>
    <s v="Dec"/>
    <s v="Q4"/>
    <s v="Adult"/>
    <s v="High"/>
    <s v="East - Salaried"/>
  </r>
  <r>
    <x v="302"/>
    <s v="Pahal Rattan"/>
    <n v="25"/>
    <x v="0"/>
    <x v="0"/>
    <x v="1"/>
    <x v="3"/>
    <x v="0"/>
    <x v="0"/>
    <n v="0.87"/>
    <d v="2019-07-23T00:00:00"/>
    <x v="0"/>
    <x v="2"/>
    <x v="4"/>
    <s v="Jul"/>
    <s v="Q3"/>
    <s v="Young"/>
    <s v="High"/>
    <s v="South - Salaried"/>
  </r>
  <r>
    <x v="303"/>
    <s v="Nitesh Mitra"/>
    <n v="49"/>
    <x v="0"/>
    <x v="0"/>
    <x v="0"/>
    <x v="2"/>
    <x v="1"/>
    <x v="1"/>
    <n v="0.5"/>
    <d v="2018-08-04T00:00:00"/>
    <x v="2"/>
    <x v="0"/>
    <x v="1"/>
    <s v="Aug"/>
    <s v="Q3"/>
    <s v="Adult"/>
    <s v="High"/>
    <s v="North - Student"/>
  </r>
  <r>
    <x v="304"/>
    <s v="Krishna Dhar"/>
    <n v="43"/>
    <x v="0"/>
    <x v="2"/>
    <x v="2"/>
    <x v="5"/>
    <x v="0"/>
    <x v="0"/>
    <n v="0.63"/>
    <d v="2019-07-02T00:00:00"/>
    <x v="1"/>
    <x v="0"/>
    <x v="4"/>
    <s v="Jul"/>
    <s v="Q3"/>
    <s v="Adult"/>
    <s v="High"/>
    <s v="Central - Self-employed"/>
  </r>
  <r>
    <x v="305"/>
    <s v="Jackson Naik"/>
    <n v="31"/>
    <x v="0"/>
    <x v="0"/>
    <x v="1"/>
    <x v="5"/>
    <x v="0"/>
    <x v="0"/>
    <n v="0.42"/>
    <d v="2020-12-18T00:00:00"/>
    <x v="1"/>
    <x v="0"/>
    <x v="0"/>
    <s v="Dec"/>
    <s v="Q4"/>
    <s v="Adult"/>
    <s v="High"/>
    <s v="Central - Salaried"/>
  </r>
  <r>
    <x v="306"/>
    <s v="Rajata Sridhar"/>
    <n v="65"/>
    <x v="1"/>
    <x v="0"/>
    <x v="3"/>
    <x v="2"/>
    <x v="0"/>
    <x v="1"/>
    <n v="0.42"/>
    <d v="2022-04-09T00:00:00"/>
    <x v="3"/>
    <x v="0"/>
    <x v="3"/>
    <s v="Apr"/>
    <s v="Q2"/>
    <s v="Senior"/>
    <s v="Low"/>
    <s v="North - Retired"/>
  </r>
  <r>
    <x v="307"/>
    <s v="Qarin Golla"/>
    <n v="63"/>
    <x v="1"/>
    <x v="0"/>
    <x v="3"/>
    <x v="1"/>
    <x v="1"/>
    <x v="1"/>
    <n v="0.46"/>
    <d v="2022-05-26T00:00:00"/>
    <x v="3"/>
    <x v="0"/>
    <x v="3"/>
    <s v="May"/>
    <s v="Q2"/>
    <s v="Senior"/>
    <s v="High"/>
    <s v="East - Retired"/>
  </r>
  <r>
    <x v="308"/>
    <s v="Abhiram Narula"/>
    <n v="31"/>
    <x v="0"/>
    <x v="1"/>
    <x v="0"/>
    <x v="3"/>
    <x v="0"/>
    <x v="0"/>
    <n v="0.76"/>
    <d v="2020-10-07T00:00:00"/>
    <x v="1"/>
    <x v="2"/>
    <x v="0"/>
    <s v="Oct"/>
    <s v="Q4"/>
    <s v="Adult"/>
    <s v="High"/>
    <s v="South - Student"/>
  </r>
  <r>
    <x v="309"/>
    <s v="Tanveer Menon"/>
    <n v="54"/>
    <x v="1"/>
    <x v="0"/>
    <x v="3"/>
    <x v="5"/>
    <x v="0"/>
    <x v="0"/>
    <n v="0.41"/>
    <d v="2023-10-27T00:00:00"/>
    <x v="2"/>
    <x v="0"/>
    <x v="5"/>
    <s v="Oct"/>
    <s v="Q4"/>
    <s v="Senior"/>
    <s v="High"/>
    <s v="Central - Retired"/>
  </r>
  <r>
    <x v="310"/>
    <s v="Damyanti Srinivasan"/>
    <n v="64"/>
    <x v="0"/>
    <x v="2"/>
    <x v="2"/>
    <x v="5"/>
    <x v="1"/>
    <x v="0"/>
    <n v="0.42"/>
    <d v="2021-10-24T00:00:00"/>
    <x v="3"/>
    <x v="0"/>
    <x v="2"/>
    <s v="Oct"/>
    <s v="Q4"/>
    <s v="Senior"/>
    <s v="Very High"/>
    <s v="Central - Self-employed"/>
  </r>
  <r>
    <x v="311"/>
    <s v="Kashish Kapoor"/>
    <n v="31"/>
    <x v="1"/>
    <x v="2"/>
    <x v="1"/>
    <x v="0"/>
    <x v="0"/>
    <x v="0"/>
    <n v="0.53"/>
    <d v="2018-06-15T00:00:00"/>
    <x v="1"/>
    <x v="0"/>
    <x v="1"/>
    <s v="Jun"/>
    <s v="Q2"/>
    <s v="Adult"/>
    <s v="High"/>
    <s v="West - Salaried"/>
  </r>
  <r>
    <x v="312"/>
    <s v="Eta Garde"/>
    <n v="31"/>
    <x v="1"/>
    <x v="1"/>
    <x v="2"/>
    <x v="5"/>
    <x v="0"/>
    <x v="0"/>
    <n v="0.44"/>
    <d v="2021-07-20T00:00:00"/>
    <x v="1"/>
    <x v="0"/>
    <x v="2"/>
    <s v="Jul"/>
    <s v="Q3"/>
    <s v="Adult"/>
    <s v="High"/>
    <s v="Central - Self-employed"/>
  </r>
  <r>
    <x v="313"/>
    <s v="Vincent Warrior"/>
    <n v="34"/>
    <x v="0"/>
    <x v="2"/>
    <x v="2"/>
    <x v="5"/>
    <x v="1"/>
    <x v="0"/>
    <n v="0.19"/>
    <d v="2021-10-28T00:00:00"/>
    <x v="1"/>
    <x v="1"/>
    <x v="2"/>
    <s v="Oct"/>
    <s v="Q4"/>
    <s v="Adult"/>
    <s v="Very High"/>
    <s v="Central - Self-employed"/>
  </r>
  <r>
    <x v="314"/>
    <s v="Dhriti Ahuja"/>
    <n v="25"/>
    <x v="1"/>
    <x v="1"/>
    <x v="1"/>
    <x v="3"/>
    <x v="0"/>
    <x v="1"/>
    <n v="0.72"/>
    <d v="2022-04-19T00:00:00"/>
    <x v="0"/>
    <x v="2"/>
    <x v="3"/>
    <s v="Apr"/>
    <s v="Q2"/>
    <s v="Young"/>
    <s v="Low"/>
    <s v="South - Salaried"/>
  </r>
  <r>
    <x v="315"/>
    <s v="Gauri Pall"/>
    <n v="28"/>
    <x v="1"/>
    <x v="1"/>
    <x v="0"/>
    <x v="0"/>
    <x v="1"/>
    <x v="1"/>
    <n v="0.43"/>
    <d v="2021-08-30T00:00:00"/>
    <x v="0"/>
    <x v="0"/>
    <x v="2"/>
    <s v="Aug"/>
    <s v="Q3"/>
    <s v="Young"/>
    <s v="High"/>
    <s v="West - Student"/>
  </r>
  <r>
    <x v="316"/>
    <s v="Luke Sheth"/>
    <n v="38"/>
    <x v="1"/>
    <x v="0"/>
    <x v="3"/>
    <x v="4"/>
    <x v="1"/>
    <x v="1"/>
    <n v="0.14000000000000001"/>
    <d v="2023-01-31T00:00:00"/>
    <x v="1"/>
    <x v="1"/>
    <x v="5"/>
    <s v="Jan"/>
    <s v="Q1"/>
    <s v="Adult"/>
    <s v="High"/>
    <s v="North-East - Retired"/>
  </r>
  <r>
    <x v="317"/>
    <s v="Naksh Sandal"/>
    <n v="34"/>
    <x v="1"/>
    <x v="0"/>
    <x v="0"/>
    <x v="4"/>
    <x v="0"/>
    <x v="1"/>
    <n v="0.46"/>
    <d v="2021-08-14T00:00:00"/>
    <x v="1"/>
    <x v="0"/>
    <x v="2"/>
    <s v="Aug"/>
    <s v="Q3"/>
    <s v="Adult"/>
    <s v="Low"/>
    <s v="North-East - Student"/>
  </r>
  <r>
    <x v="318"/>
    <s v="Ekani Nair"/>
    <n v="24"/>
    <x v="0"/>
    <x v="0"/>
    <x v="2"/>
    <x v="1"/>
    <x v="0"/>
    <x v="1"/>
    <n v="0.36"/>
    <d v="2023-02-19T00:00:00"/>
    <x v="0"/>
    <x v="0"/>
    <x v="5"/>
    <s v="Feb"/>
    <s v="Q1"/>
    <s v="Young"/>
    <s v="Low"/>
    <s v="East - Self-employed"/>
  </r>
  <r>
    <x v="319"/>
    <s v="Hiral Dey"/>
    <n v="19"/>
    <x v="0"/>
    <x v="1"/>
    <x v="3"/>
    <x v="5"/>
    <x v="0"/>
    <x v="1"/>
    <n v="0.31"/>
    <d v="2019-10-26T00:00:00"/>
    <x v="0"/>
    <x v="0"/>
    <x v="4"/>
    <s v="Oct"/>
    <s v="Q4"/>
    <s v="Young"/>
    <s v="Low"/>
    <s v="Central - Retired"/>
  </r>
  <r>
    <x v="320"/>
    <s v="Yadavi Narang"/>
    <n v="30"/>
    <x v="0"/>
    <x v="0"/>
    <x v="3"/>
    <x v="1"/>
    <x v="1"/>
    <x v="1"/>
    <n v="0.69"/>
    <d v="2018-01-04T00:00:00"/>
    <x v="0"/>
    <x v="0"/>
    <x v="1"/>
    <s v="Jan"/>
    <s v="Q1"/>
    <s v="Adult"/>
    <s v="High"/>
    <s v="East - Retired"/>
  </r>
  <r>
    <x v="321"/>
    <s v="Jyoti Chad"/>
    <n v="52"/>
    <x v="0"/>
    <x v="1"/>
    <x v="3"/>
    <x v="2"/>
    <x v="0"/>
    <x v="0"/>
    <n v="0.35"/>
    <d v="2019-06-12T00:00:00"/>
    <x v="2"/>
    <x v="0"/>
    <x v="4"/>
    <s v="Jun"/>
    <s v="Q2"/>
    <s v="Senior"/>
    <s v="High"/>
    <s v="North - Retired"/>
  </r>
  <r>
    <x v="322"/>
    <s v="Ekalinga Bhakta"/>
    <n v="31"/>
    <x v="1"/>
    <x v="0"/>
    <x v="0"/>
    <x v="5"/>
    <x v="0"/>
    <x v="1"/>
    <n v="0.38"/>
    <d v="2021-08-04T00:00:00"/>
    <x v="1"/>
    <x v="0"/>
    <x v="2"/>
    <s v="Aug"/>
    <s v="Q3"/>
    <s v="Adult"/>
    <s v="Low"/>
    <s v="Central - Student"/>
  </r>
  <r>
    <x v="323"/>
    <s v="Janani Morar"/>
    <n v="64"/>
    <x v="0"/>
    <x v="2"/>
    <x v="2"/>
    <x v="5"/>
    <x v="0"/>
    <x v="1"/>
    <n v="0.46"/>
    <d v="2018-10-16T00:00:00"/>
    <x v="3"/>
    <x v="0"/>
    <x v="1"/>
    <s v="Oct"/>
    <s v="Q4"/>
    <s v="Senior"/>
    <s v="Low"/>
    <s v="Central - Self-employed"/>
  </r>
  <r>
    <x v="324"/>
    <s v="Aarna Sem"/>
    <n v="58"/>
    <x v="1"/>
    <x v="0"/>
    <x v="0"/>
    <x v="4"/>
    <x v="1"/>
    <x v="0"/>
    <n v="0.47"/>
    <d v="2021-01-15T00:00:00"/>
    <x v="2"/>
    <x v="0"/>
    <x v="2"/>
    <s v="Jan"/>
    <s v="Q1"/>
    <s v="Senior"/>
    <s v="Very High"/>
    <s v="North-East - Student"/>
  </r>
  <r>
    <x v="325"/>
    <s v="Damyanti Luthra"/>
    <n v="43"/>
    <x v="0"/>
    <x v="1"/>
    <x v="3"/>
    <x v="3"/>
    <x v="1"/>
    <x v="1"/>
    <n v="0.56000000000000005"/>
    <d v="2020-10-04T00:00:00"/>
    <x v="1"/>
    <x v="0"/>
    <x v="0"/>
    <s v="Oct"/>
    <s v="Q4"/>
    <s v="Adult"/>
    <s v="High"/>
    <s v="South - Retired"/>
  </r>
  <r>
    <x v="326"/>
    <s v="Raksha Wadhwa"/>
    <n v="48"/>
    <x v="0"/>
    <x v="1"/>
    <x v="2"/>
    <x v="4"/>
    <x v="1"/>
    <x v="1"/>
    <n v="0.56000000000000005"/>
    <d v="2019-02-24T00:00:00"/>
    <x v="2"/>
    <x v="0"/>
    <x v="4"/>
    <s v="Feb"/>
    <s v="Q1"/>
    <s v="Adult"/>
    <s v="High"/>
    <s v="North-East - Self-employed"/>
  </r>
  <r>
    <x v="327"/>
    <s v="Isaac Shenoy"/>
    <n v="19"/>
    <x v="0"/>
    <x v="2"/>
    <x v="1"/>
    <x v="0"/>
    <x v="1"/>
    <x v="0"/>
    <n v="0.43"/>
    <d v="2020-04-08T00:00:00"/>
    <x v="0"/>
    <x v="0"/>
    <x v="0"/>
    <s v="Apr"/>
    <s v="Q2"/>
    <s v="Young"/>
    <s v="Very High"/>
    <s v="West - Salaried"/>
  </r>
  <r>
    <x v="328"/>
    <s v="Ryan Lad"/>
    <n v="21"/>
    <x v="1"/>
    <x v="0"/>
    <x v="0"/>
    <x v="4"/>
    <x v="0"/>
    <x v="0"/>
    <n v="0.47"/>
    <d v="2020-01-11T00:00:00"/>
    <x v="0"/>
    <x v="0"/>
    <x v="0"/>
    <s v="Jan"/>
    <s v="Q1"/>
    <s v="Young"/>
    <s v="High"/>
    <s v="North-East - Student"/>
  </r>
  <r>
    <x v="329"/>
    <s v="Vihaan Suresh"/>
    <n v="66"/>
    <x v="0"/>
    <x v="1"/>
    <x v="1"/>
    <x v="2"/>
    <x v="1"/>
    <x v="1"/>
    <n v="0.7"/>
    <d v="2023-06-12T00:00:00"/>
    <x v="3"/>
    <x v="2"/>
    <x v="5"/>
    <s v="Jun"/>
    <s v="Q2"/>
    <s v="Senior"/>
    <s v="High"/>
    <s v="North - Salaried"/>
  </r>
  <r>
    <x v="330"/>
    <s v="Teerth Sama"/>
    <n v="18"/>
    <x v="1"/>
    <x v="2"/>
    <x v="0"/>
    <x v="1"/>
    <x v="0"/>
    <x v="1"/>
    <n v="0.24"/>
    <d v="2021-05-08T00:00:00"/>
    <x v="0"/>
    <x v="1"/>
    <x v="2"/>
    <s v="May"/>
    <s v="Q2"/>
    <s v="Young"/>
    <s v="Low"/>
    <s v="East - Student"/>
  </r>
  <r>
    <x v="331"/>
    <s v="Ekapad Iyer"/>
    <n v="31"/>
    <x v="1"/>
    <x v="1"/>
    <x v="1"/>
    <x v="3"/>
    <x v="0"/>
    <x v="0"/>
    <n v="0.28999999999999998"/>
    <d v="2021-09-17T00:00:00"/>
    <x v="1"/>
    <x v="1"/>
    <x v="2"/>
    <s v="Sep"/>
    <s v="Q3"/>
    <s v="Adult"/>
    <s v="High"/>
    <s v="South - Salaried"/>
  </r>
  <r>
    <x v="332"/>
    <s v="Qabil Sane"/>
    <n v="23"/>
    <x v="1"/>
    <x v="0"/>
    <x v="3"/>
    <x v="4"/>
    <x v="1"/>
    <x v="0"/>
    <n v="0.74"/>
    <d v="2018-07-26T00:00:00"/>
    <x v="0"/>
    <x v="2"/>
    <x v="1"/>
    <s v="Jul"/>
    <s v="Q3"/>
    <s v="Young"/>
    <s v="Very High"/>
    <s v="North-East - Retired"/>
  </r>
  <r>
    <x v="333"/>
    <s v="Yochana Som"/>
    <n v="46"/>
    <x v="0"/>
    <x v="2"/>
    <x v="2"/>
    <x v="5"/>
    <x v="0"/>
    <x v="1"/>
    <n v="0.33"/>
    <d v="2020-04-21T00:00:00"/>
    <x v="2"/>
    <x v="0"/>
    <x v="0"/>
    <s v="Apr"/>
    <s v="Q2"/>
    <s v="Adult"/>
    <s v="Low"/>
    <s v="Central - Self-employed"/>
  </r>
  <r>
    <x v="334"/>
    <s v="Aditya Mangal"/>
    <n v="44"/>
    <x v="1"/>
    <x v="0"/>
    <x v="2"/>
    <x v="0"/>
    <x v="0"/>
    <x v="0"/>
    <n v="0.38"/>
    <d v="2022-11-06T00:00:00"/>
    <x v="1"/>
    <x v="0"/>
    <x v="3"/>
    <s v="Nov"/>
    <s v="Q4"/>
    <s v="Adult"/>
    <s v="High"/>
    <s v="West - Self-employed"/>
  </r>
  <r>
    <x v="335"/>
    <s v="Qarin Mutti"/>
    <n v="56"/>
    <x v="0"/>
    <x v="2"/>
    <x v="1"/>
    <x v="0"/>
    <x v="0"/>
    <x v="1"/>
    <n v="0.83"/>
    <d v="2019-03-11T00:00:00"/>
    <x v="2"/>
    <x v="2"/>
    <x v="4"/>
    <s v="Mar"/>
    <s v="Q1"/>
    <s v="Senior"/>
    <s v="Low"/>
    <s v="West - Salaried"/>
  </r>
  <r>
    <x v="336"/>
    <s v="Eta Kala"/>
    <n v="36"/>
    <x v="1"/>
    <x v="1"/>
    <x v="2"/>
    <x v="0"/>
    <x v="0"/>
    <x v="0"/>
    <n v="1"/>
    <d v="2018-08-12T00:00:00"/>
    <x v="1"/>
    <x v="2"/>
    <x v="1"/>
    <s v="Aug"/>
    <s v="Q3"/>
    <s v="Adult"/>
    <s v="High"/>
    <s v="West - Self-employed"/>
  </r>
  <r>
    <x v="337"/>
    <s v="Harrison Vala"/>
    <n v="29"/>
    <x v="0"/>
    <x v="2"/>
    <x v="2"/>
    <x v="4"/>
    <x v="1"/>
    <x v="0"/>
    <n v="0.65"/>
    <d v="2020-07-26T00:00:00"/>
    <x v="0"/>
    <x v="0"/>
    <x v="0"/>
    <s v="Jul"/>
    <s v="Q3"/>
    <s v="Young"/>
    <s v="Very High"/>
    <s v="North-East - Self-employed"/>
  </r>
  <r>
    <x v="338"/>
    <s v="Ishani Sandal"/>
    <n v="29"/>
    <x v="1"/>
    <x v="1"/>
    <x v="2"/>
    <x v="0"/>
    <x v="0"/>
    <x v="0"/>
    <n v="0.28000000000000003"/>
    <d v="2019-10-21T00:00:00"/>
    <x v="0"/>
    <x v="1"/>
    <x v="4"/>
    <s v="Oct"/>
    <s v="Q4"/>
    <s v="Young"/>
    <s v="High"/>
    <s v="West - Self-employed"/>
  </r>
  <r>
    <x v="339"/>
    <s v="Raghav Master"/>
    <n v="24"/>
    <x v="1"/>
    <x v="1"/>
    <x v="2"/>
    <x v="5"/>
    <x v="0"/>
    <x v="0"/>
    <n v="0.79"/>
    <d v="2021-05-14T00:00:00"/>
    <x v="0"/>
    <x v="2"/>
    <x v="2"/>
    <s v="May"/>
    <s v="Q2"/>
    <s v="Young"/>
    <s v="High"/>
    <s v="Central - Self-employed"/>
  </r>
  <r>
    <x v="340"/>
    <s v="Lakshmi Taneja"/>
    <n v="52"/>
    <x v="1"/>
    <x v="0"/>
    <x v="0"/>
    <x v="4"/>
    <x v="0"/>
    <x v="0"/>
    <n v="0.43"/>
    <d v="2021-02-05T00:00:00"/>
    <x v="2"/>
    <x v="0"/>
    <x v="2"/>
    <s v="Feb"/>
    <s v="Q1"/>
    <s v="Senior"/>
    <s v="High"/>
    <s v="North-East - Student"/>
  </r>
  <r>
    <x v="341"/>
    <s v="Krisha Sani"/>
    <n v="39"/>
    <x v="1"/>
    <x v="0"/>
    <x v="1"/>
    <x v="4"/>
    <x v="0"/>
    <x v="1"/>
    <n v="0.71"/>
    <d v="2023-01-24T00:00:00"/>
    <x v="1"/>
    <x v="2"/>
    <x v="5"/>
    <s v="Jan"/>
    <s v="Q1"/>
    <s v="Adult"/>
    <s v="Low"/>
    <s v="North-East - Salaried"/>
  </r>
  <r>
    <x v="342"/>
    <s v="Harita Ben"/>
    <n v="63"/>
    <x v="0"/>
    <x v="1"/>
    <x v="2"/>
    <x v="0"/>
    <x v="0"/>
    <x v="0"/>
    <n v="0.2"/>
    <d v="2021-11-08T00:00:00"/>
    <x v="3"/>
    <x v="1"/>
    <x v="2"/>
    <s v="Nov"/>
    <s v="Q4"/>
    <s v="Senior"/>
    <s v="High"/>
    <s v="West - Self-employed"/>
  </r>
  <r>
    <x v="343"/>
    <s v="Harini Srinivasan"/>
    <n v="21"/>
    <x v="0"/>
    <x v="2"/>
    <x v="0"/>
    <x v="4"/>
    <x v="1"/>
    <x v="1"/>
    <n v="0.09"/>
    <d v="2020-09-15T00:00:00"/>
    <x v="0"/>
    <x v="1"/>
    <x v="0"/>
    <s v="Sep"/>
    <s v="Q3"/>
    <s v="Young"/>
    <s v="High"/>
    <s v="North-East - Student"/>
  </r>
  <r>
    <x v="344"/>
    <s v="Anay Wali"/>
    <n v="51"/>
    <x v="1"/>
    <x v="1"/>
    <x v="0"/>
    <x v="2"/>
    <x v="1"/>
    <x v="0"/>
    <n v="0.28000000000000003"/>
    <d v="2022-08-22T00:00:00"/>
    <x v="2"/>
    <x v="1"/>
    <x v="3"/>
    <s v="Aug"/>
    <s v="Q3"/>
    <s v="Senior"/>
    <s v="Very High"/>
    <s v="North - Student"/>
  </r>
  <r>
    <x v="345"/>
    <s v="Harini Gade"/>
    <n v="42"/>
    <x v="0"/>
    <x v="0"/>
    <x v="3"/>
    <x v="2"/>
    <x v="0"/>
    <x v="0"/>
    <n v="0.57999999999999996"/>
    <d v="2018-12-26T00:00:00"/>
    <x v="1"/>
    <x v="0"/>
    <x v="1"/>
    <s v="Dec"/>
    <s v="Q4"/>
    <s v="Adult"/>
    <s v="High"/>
    <s v="North - Retired"/>
  </r>
  <r>
    <x v="346"/>
    <s v="Bina Mani"/>
    <n v="41"/>
    <x v="1"/>
    <x v="2"/>
    <x v="2"/>
    <x v="4"/>
    <x v="1"/>
    <x v="0"/>
    <n v="0.37"/>
    <d v="2022-06-25T00:00:00"/>
    <x v="1"/>
    <x v="0"/>
    <x v="3"/>
    <s v="Jun"/>
    <s v="Q2"/>
    <s v="Adult"/>
    <s v="Very High"/>
    <s v="North-East - Self-employed"/>
  </r>
  <r>
    <x v="347"/>
    <s v="Chaitaly Ramakrishnan"/>
    <n v="26"/>
    <x v="1"/>
    <x v="1"/>
    <x v="3"/>
    <x v="2"/>
    <x v="0"/>
    <x v="0"/>
    <n v="0.37"/>
    <d v="2022-09-29T00:00:00"/>
    <x v="0"/>
    <x v="0"/>
    <x v="3"/>
    <s v="Sep"/>
    <s v="Q3"/>
    <s v="Young"/>
    <s v="High"/>
    <s v="North - Retired"/>
  </r>
  <r>
    <x v="348"/>
    <s v="Yoshita Varughese"/>
    <n v="57"/>
    <x v="1"/>
    <x v="1"/>
    <x v="1"/>
    <x v="1"/>
    <x v="0"/>
    <x v="1"/>
    <n v="0.43"/>
    <d v="2019-03-26T00:00:00"/>
    <x v="2"/>
    <x v="0"/>
    <x v="4"/>
    <s v="Mar"/>
    <s v="Q1"/>
    <s v="Senior"/>
    <s v="Low"/>
    <s v="East - Salaried"/>
  </r>
  <r>
    <x v="349"/>
    <s v="Onkar Prabhakar"/>
    <n v="19"/>
    <x v="1"/>
    <x v="1"/>
    <x v="3"/>
    <x v="2"/>
    <x v="1"/>
    <x v="1"/>
    <n v="0.75"/>
    <d v="2020-09-05T00:00:00"/>
    <x v="0"/>
    <x v="2"/>
    <x v="0"/>
    <s v="Sep"/>
    <s v="Q3"/>
    <s v="Young"/>
    <s v="High"/>
    <s v="North - Retired"/>
  </r>
  <r>
    <x v="350"/>
    <s v="Zarna Choudhry"/>
    <n v="52"/>
    <x v="1"/>
    <x v="0"/>
    <x v="0"/>
    <x v="2"/>
    <x v="1"/>
    <x v="0"/>
    <n v="0.18"/>
    <d v="2020-04-28T00:00:00"/>
    <x v="2"/>
    <x v="1"/>
    <x v="0"/>
    <s v="Apr"/>
    <s v="Q2"/>
    <s v="Senior"/>
    <s v="Very High"/>
    <s v="North - Student"/>
  </r>
  <r>
    <x v="351"/>
    <s v="Praneel Dhar"/>
    <n v="44"/>
    <x v="1"/>
    <x v="2"/>
    <x v="2"/>
    <x v="3"/>
    <x v="1"/>
    <x v="1"/>
    <n v="0.51"/>
    <d v="2022-03-02T00:00:00"/>
    <x v="1"/>
    <x v="0"/>
    <x v="3"/>
    <s v="Mar"/>
    <s v="Q1"/>
    <s v="Adult"/>
    <s v="High"/>
    <s v="South - Self-employed"/>
  </r>
  <r>
    <x v="352"/>
    <s v="Laksh Mistry"/>
    <n v="29"/>
    <x v="0"/>
    <x v="0"/>
    <x v="2"/>
    <x v="4"/>
    <x v="0"/>
    <x v="1"/>
    <n v="0.45"/>
    <d v="2021-07-01T00:00:00"/>
    <x v="0"/>
    <x v="0"/>
    <x v="2"/>
    <s v="Jul"/>
    <s v="Q3"/>
    <s v="Young"/>
    <s v="Low"/>
    <s v="North-East - Self-employed"/>
  </r>
  <r>
    <x v="353"/>
    <s v="Siya Bumb"/>
    <n v="59"/>
    <x v="1"/>
    <x v="1"/>
    <x v="0"/>
    <x v="5"/>
    <x v="0"/>
    <x v="1"/>
    <n v="0.57999999999999996"/>
    <d v="2023-09-10T00:00:00"/>
    <x v="2"/>
    <x v="0"/>
    <x v="5"/>
    <s v="Sep"/>
    <s v="Q3"/>
    <s v="Senior"/>
    <s v="Low"/>
    <s v="Central - Student"/>
  </r>
  <r>
    <x v="354"/>
    <s v="Akshay Narasimhan"/>
    <n v="47"/>
    <x v="1"/>
    <x v="1"/>
    <x v="2"/>
    <x v="2"/>
    <x v="0"/>
    <x v="0"/>
    <n v="0.34"/>
    <d v="2018-08-28T00:00:00"/>
    <x v="2"/>
    <x v="0"/>
    <x v="1"/>
    <s v="Aug"/>
    <s v="Q3"/>
    <s v="Adult"/>
    <s v="High"/>
    <s v="North - Self-employed"/>
  </r>
  <r>
    <x v="355"/>
    <s v="Adweta Narasimhan"/>
    <n v="65"/>
    <x v="1"/>
    <x v="0"/>
    <x v="0"/>
    <x v="4"/>
    <x v="1"/>
    <x v="1"/>
    <n v="0.28000000000000003"/>
    <d v="2020-04-19T00:00:00"/>
    <x v="3"/>
    <x v="1"/>
    <x v="0"/>
    <s v="Apr"/>
    <s v="Q2"/>
    <s v="Senior"/>
    <s v="High"/>
    <s v="North-East - Student"/>
  </r>
  <r>
    <x v="356"/>
    <s v="Amaira Jhaveri"/>
    <n v="49"/>
    <x v="1"/>
    <x v="1"/>
    <x v="2"/>
    <x v="3"/>
    <x v="0"/>
    <x v="0"/>
    <n v="0.84"/>
    <d v="2022-09-25T00:00:00"/>
    <x v="2"/>
    <x v="2"/>
    <x v="3"/>
    <s v="Sep"/>
    <s v="Q3"/>
    <s v="Adult"/>
    <s v="High"/>
    <s v="South - Self-employed"/>
  </r>
  <r>
    <x v="357"/>
    <s v="Henry Butala"/>
    <n v="50"/>
    <x v="1"/>
    <x v="2"/>
    <x v="1"/>
    <x v="2"/>
    <x v="0"/>
    <x v="1"/>
    <n v="0.08"/>
    <d v="2020-04-14T00:00:00"/>
    <x v="2"/>
    <x v="1"/>
    <x v="0"/>
    <s v="Apr"/>
    <s v="Q2"/>
    <s v="Adult"/>
    <s v="Low"/>
    <s v="North - Salaried"/>
  </r>
  <r>
    <x v="358"/>
    <s v="Teerth Balan"/>
    <n v="54"/>
    <x v="0"/>
    <x v="1"/>
    <x v="1"/>
    <x v="5"/>
    <x v="0"/>
    <x v="0"/>
    <n v="0.72"/>
    <d v="2023-03-27T00:00:00"/>
    <x v="2"/>
    <x v="2"/>
    <x v="5"/>
    <s v="Mar"/>
    <s v="Q1"/>
    <s v="Senior"/>
    <s v="High"/>
    <s v="Central - Salaried"/>
  </r>
  <r>
    <x v="359"/>
    <s v="Yadavi Om"/>
    <n v="36"/>
    <x v="0"/>
    <x v="1"/>
    <x v="3"/>
    <x v="4"/>
    <x v="0"/>
    <x v="0"/>
    <n v="0.45"/>
    <d v="2022-05-10T00:00:00"/>
    <x v="1"/>
    <x v="0"/>
    <x v="3"/>
    <s v="May"/>
    <s v="Q2"/>
    <s v="Adult"/>
    <s v="High"/>
    <s v="North-East - Retired"/>
  </r>
  <r>
    <x v="360"/>
    <s v="Vyanjana Yohannan"/>
    <n v="39"/>
    <x v="0"/>
    <x v="2"/>
    <x v="0"/>
    <x v="0"/>
    <x v="1"/>
    <x v="1"/>
    <n v="0.52"/>
    <d v="2023-07-02T00:00:00"/>
    <x v="1"/>
    <x v="0"/>
    <x v="5"/>
    <s v="Jul"/>
    <s v="Q3"/>
    <s v="Adult"/>
    <s v="High"/>
    <s v="West - Student"/>
  </r>
  <r>
    <x v="361"/>
    <s v="Arin Ganesan"/>
    <n v="35"/>
    <x v="1"/>
    <x v="0"/>
    <x v="1"/>
    <x v="1"/>
    <x v="1"/>
    <x v="0"/>
    <n v="0.73"/>
    <d v="2020-06-08T00:00:00"/>
    <x v="1"/>
    <x v="2"/>
    <x v="0"/>
    <s v="Jun"/>
    <s v="Q2"/>
    <s v="Adult"/>
    <s v="Very High"/>
    <s v="East - Salaried"/>
  </r>
  <r>
    <x v="362"/>
    <s v="Sai Sidhu"/>
    <n v="41"/>
    <x v="0"/>
    <x v="2"/>
    <x v="2"/>
    <x v="2"/>
    <x v="1"/>
    <x v="0"/>
    <n v="0.19"/>
    <d v="2021-06-17T00:00:00"/>
    <x v="1"/>
    <x v="1"/>
    <x v="2"/>
    <s v="Jun"/>
    <s v="Q2"/>
    <s v="Adult"/>
    <s v="Very High"/>
    <s v="North - Self-employed"/>
  </r>
  <r>
    <x v="363"/>
    <s v="Kamala Mutti"/>
    <n v="61"/>
    <x v="0"/>
    <x v="1"/>
    <x v="0"/>
    <x v="1"/>
    <x v="0"/>
    <x v="0"/>
    <n v="0.62"/>
    <d v="2021-08-23T00:00:00"/>
    <x v="3"/>
    <x v="0"/>
    <x v="2"/>
    <s v="Aug"/>
    <s v="Q3"/>
    <s v="Senior"/>
    <s v="High"/>
    <s v="East - Student"/>
  </r>
  <r>
    <x v="364"/>
    <s v="Pavani Sampath"/>
    <n v="57"/>
    <x v="0"/>
    <x v="1"/>
    <x v="2"/>
    <x v="1"/>
    <x v="0"/>
    <x v="0"/>
    <n v="0.73"/>
    <d v="2019-04-20T00:00:00"/>
    <x v="2"/>
    <x v="2"/>
    <x v="4"/>
    <s v="Apr"/>
    <s v="Q2"/>
    <s v="Senior"/>
    <s v="High"/>
    <s v="East - Self-employed"/>
  </r>
  <r>
    <x v="365"/>
    <s v="Timothy Prakash"/>
    <n v="31"/>
    <x v="0"/>
    <x v="0"/>
    <x v="2"/>
    <x v="5"/>
    <x v="1"/>
    <x v="1"/>
    <n v="0.66"/>
    <d v="2021-09-11T00:00:00"/>
    <x v="1"/>
    <x v="0"/>
    <x v="2"/>
    <s v="Sep"/>
    <s v="Q3"/>
    <s v="Adult"/>
    <s v="High"/>
    <s v="Central - Self-employed"/>
  </r>
  <r>
    <x v="366"/>
    <s v="Dhriti Thaman"/>
    <n v="27"/>
    <x v="1"/>
    <x v="0"/>
    <x v="1"/>
    <x v="5"/>
    <x v="0"/>
    <x v="0"/>
    <n v="0.56000000000000005"/>
    <d v="2018-09-20T00:00:00"/>
    <x v="0"/>
    <x v="0"/>
    <x v="1"/>
    <s v="Sep"/>
    <s v="Q3"/>
    <s v="Young"/>
    <s v="High"/>
    <s v="Central - Salaried"/>
  </r>
  <r>
    <x v="367"/>
    <s v="Robert Date"/>
    <n v="21"/>
    <x v="0"/>
    <x v="0"/>
    <x v="0"/>
    <x v="0"/>
    <x v="0"/>
    <x v="1"/>
    <n v="0.3"/>
    <d v="2020-07-25T00:00:00"/>
    <x v="0"/>
    <x v="0"/>
    <x v="0"/>
    <s v="Jul"/>
    <s v="Q3"/>
    <s v="Young"/>
    <s v="Low"/>
    <s v="West - Student"/>
  </r>
  <r>
    <x v="368"/>
    <s v="Anmol Dara"/>
    <n v="47"/>
    <x v="1"/>
    <x v="1"/>
    <x v="3"/>
    <x v="0"/>
    <x v="1"/>
    <x v="0"/>
    <n v="0.61"/>
    <d v="2020-10-05T00:00:00"/>
    <x v="2"/>
    <x v="0"/>
    <x v="0"/>
    <s v="Oct"/>
    <s v="Q4"/>
    <s v="Adult"/>
    <s v="Very High"/>
    <s v="West - Retired"/>
  </r>
  <r>
    <x v="369"/>
    <s v="Wridesh Buch"/>
    <n v="64"/>
    <x v="0"/>
    <x v="2"/>
    <x v="3"/>
    <x v="5"/>
    <x v="0"/>
    <x v="1"/>
    <n v="0.55000000000000004"/>
    <d v="2018-02-11T00:00:00"/>
    <x v="3"/>
    <x v="0"/>
    <x v="1"/>
    <s v="Feb"/>
    <s v="Q1"/>
    <s v="Senior"/>
    <s v="Low"/>
    <s v="Central - Retired"/>
  </r>
  <r>
    <x v="370"/>
    <s v="Yuvraj Walia"/>
    <n v="64"/>
    <x v="0"/>
    <x v="0"/>
    <x v="0"/>
    <x v="5"/>
    <x v="1"/>
    <x v="0"/>
    <n v="0.23"/>
    <d v="2021-02-13T00:00:00"/>
    <x v="3"/>
    <x v="1"/>
    <x v="2"/>
    <s v="Feb"/>
    <s v="Q1"/>
    <s v="Senior"/>
    <s v="Very High"/>
    <s v="Central - Student"/>
  </r>
  <r>
    <x v="371"/>
    <s v="Urvi Mohanty"/>
    <n v="21"/>
    <x v="0"/>
    <x v="0"/>
    <x v="0"/>
    <x v="1"/>
    <x v="1"/>
    <x v="1"/>
    <n v="0.48"/>
    <d v="2020-03-21T00:00:00"/>
    <x v="0"/>
    <x v="0"/>
    <x v="0"/>
    <s v="Mar"/>
    <s v="Q1"/>
    <s v="Young"/>
    <s v="High"/>
    <s v="East - Student"/>
  </r>
  <r>
    <x v="372"/>
    <s v="Divya Palla"/>
    <n v="63"/>
    <x v="0"/>
    <x v="1"/>
    <x v="2"/>
    <x v="3"/>
    <x v="0"/>
    <x v="1"/>
    <n v="0.44"/>
    <d v="2019-06-01T00:00:00"/>
    <x v="3"/>
    <x v="0"/>
    <x v="4"/>
    <s v="Jun"/>
    <s v="Q2"/>
    <s v="Senior"/>
    <s v="Low"/>
    <s v="South - Self-employed"/>
  </r>
  <r>
    <x v="373"/>
    <s v="Yagnesh Sandhu"/>
    <n v="22"/>
    <x v="1"/>
    <x v="1"/>
    <x v="3"/>
    <x v="0"/>
    <x v="0"/>
    <x v="0"/>
    <n v="0.67"/>
    <d v="2021-11-03T00:00:00"/>
    <x v="0"/>
    <x v="0"/>
    <x v="2"/>
    <s v="Nov"/>
    <s v="Q4"/>
    <s v="Young"/>
    <s v="High"/>
    <s v="West - Retired"/>
  </r>
  <r>
    <x v="374"/>
    <s v="Harrison Thakkar"/>
    <n v="56"/>
    <x v="1"/>
    <x v="1"/>
    <x v="1"/>
    <x v="0"/>
    <x v="1"/>
    <x v="0"/>
    <n v="0.32"/>
    <d v="2022-06-19T00:00:00"/>
    <x v="2"/>
    <x v="0"/>
    <x v="3"/>
    <s v="Jun"/>
    <s v="Q2"/>
    <s v="Senior"/>
    <s v="Very High"/>
    <s v="West - Salaried"/>
  </r>
  <r>
    <x v="375"/>
    <s v="Simon Shenoy"/>
    <n v="61"/>
    <x v="1"/>
    <x v="0"/>
    <x v="3"/>
    <x v="5"/>
    <x v="0"/>
    <x v="1"/>
    <n v="0.68"/>
    <d v="2023-07-28T00:00:00"/>
    <x v="3"/>
    <x v="0"/>
    <x v="5"/>
    <s v="Jul"/>
    <s v="Q3"/>
    <s v="Senior"/>
    <s v="Low"/>
    <s v="Central - Retired"/>
  </r>
  <r>
    <x v="376"/>
    <s v="Neelima Dey"/>
    <n v="46"/>
    <x v="1"/>
    <x v="0"/>
    <x v="3"/>
    <x v="4"/>
    <x v="0"/>
    <x v="0"/>
    <n v="0.54"/>
    <d v="2019-06-21T00:00:00"/>
    <x v="2"/>
    <x v="0"/>
    <x v="4"/>
    <s v="Jun"/>
    <s v="Q2"/>
    <s v="Adult"/>
    <s v="High"/>
    <s v="North-East - Retired"/>
  </r>
  <r>
    <x v="377"/>
    <s v="Farhan Kalla"/>
    <n v="37"/>
    <x v="1"/>
    <x v="1"/>
    <x v="3"/>
    <x v="5"/>
    <x v="0"/>
    <x v="0"/>
    <n v="0.5"/>
    <d v="2020-11-14T00:00:00"/>
    <x v="1"/>
    <x v="0"/>
    <x v="0"/>
    <s v="Nov"/>
    <s v="Q4"/>
    <s v="Adult"/>
    <s v="High"/>
    <s v="Central - Retired"/>
  </r>
  <r>
    <x v="378"/>
    <s v="Yashodhara Rattan"/>
    <n v="63"/>
    <x v="1"/>
    <x v="2"/>
    <x v="0"/>
    <x v="0"/>
    <x v="0"/>
    <x v="0"/>
    <n v="0.16"/>
    <d v="2020-08-31T00:00:00"/>
    <x v="3"/>
    <x v="1"/>
    <x v="0"/>
    <s v="Aug"/>
    <s v="Q3"/>
    <s v="Senior"/>
    <s v="High"/>
    <s v="West - Student"/>
  </r>
  <r>
    <x v="379"/>
    <s v="Ekanta Sani"/>
    <n v="32"/>
    <x v="0"/>
    <x v="1"/>
    <x v="3"/>
    <x v="5"/>
    <x v="1"/>
    <x v="1"/>
    <n v="0.85"/>
    <d v="2018-03-04T00:00:00"/>
    <x v="1"/>
    <x v="2"/>
    <x v="1"/>
    <s v="Mar"/>
    <s v="Q1"/>
    <s v="Adult"/>
    <s v="High"/>
    <s v="Central - Retired"/>
  </r>
  <r>
    <x v="380"/>
    <s v="Jeevika Manne"/>
    <n v="60"/>
    <x v="0"/>
    <x v="1"/>
    <x v="3"/>
    <x v="2"/>
    <x v="1"/>
    <x v="1"/>
    <n v="0.71"/>
    <d v="2018-05-06T00:00:00"/>
    <x v="2"/>
    <x v="2"/>
    <x v="1"/>
    <s v="May"/>
    <s v="Q2"/>
    <s v="Senior"/>
    <s v="High"/>
    <s v="North - Retired"/>
  </r>
  <r>
    <x v="381"/>
    <s v="Vinaya Grewal"/>
    <n v="45"/>
    <x v="0"/>
    <x v="1"/>
    <x v="2"/>
    <x v="2"/>
    <x v="1"/>
    <x v="0"/>
    <n v="0.63"/>
    <d v="2019-02-15T00:00:00"/>
    <x v="1"/>
    <x v="0"/>
    <x v="4"/>
    <s v="Feb"/>
    <s v="Q1"/>
    <s v="Adult"/>
    <s v="Very High"/>
    <s v="North - Self-employed"/>
  </r>
  <r>
    <x v="382"/>
    <s v="Ladli Mannan"/>
    <n v="34"/>
    <x v="1"/>
    <x v="0"/>
    <x v="0"/>
    <x v="3"/>
    <x v="1"/>
    <x v="0"/>
    <n v="0.14000000000000001"/>
    <d v="2022-12-23T00:00:00"/>
    <x v="1"/>
    <x v="1"/>
    <x v="3"/>
    <s v="Dec"/>
    <s v="Q4"/>
    <s v="Adult"/>
    <s v="Very High"/>
    <s v="South - Student"/>
  </r>
  <r>
    <x v="383"/>
    <s v="Maya Basak"/>
    <n v="45"/>
    <x v="0"/>
    <x v="2"/>
    <x v="3"/>
    <x v="5"/>
    <x v="1"/>
    <x v="1"/>
    <n v="0.56999999999999995"/>
    <d v="2022-01-21T00:00:00"/>
    <x v="1"/>
    <x v="0"/>
    <x v="3"/>
    <s v="Jan"/>
    <s v="Q1"/>
    <s v="Adult"/>
    <s v="High"/>
    <s v="Central - Retired"/>
  </r>
  <r>
    <x v="384"/>
    <s v="Yashoda Khatri"/>
    <n v="36"/>
    <x v="1"/>
    <x v="2"/>
    <x v="1"/>
    <x v="0"/>
    <x v="1"/>
    <x v="0"/>
    <n v="0.53"/>
    <d v="2021-11-24T00:00:00"/>
    <x v="1"/>
    <x v="0"/>
    <x v="2"/>
    <s v="Nov"/>
    <s v="Q4"/>
    <s v="Adult"/>
    <s v="Very High"/>
    <s v="West - Salaried"/>
  </r>
  <r>
    <x v="385"/>
    <s v="Vedika Gopal"/>
    <n v="61"/>
    <x v="1"/>
    <x v="1"/>
    <x v="3"/>
    <x v="0"/>
    <x v="0"/>
    <x v="0"/>
    <n v="0.42"/>
    <d v="2022-07-30T00:00:00"/>
    <x v="3"/>
    <x v="0"/>
    <x v="3"/>
    <s v="Jul"/>
    <s v="Q3"/>
    <s v="Senior"/>
    <s v="High"/>
    <s v="West - Retired"/>
  </r>
  <r>
    <x v="386"/>
    <s v="Ayaan Dutt"/>
    <n v="35"/>
    <x v="1"/>
    <x v="2"/>
    <x v="1"/>
    <x v="1"/>
    <x v="0"/>
    <x v="1"/>
    <n v="0.5"/>
    <d v="2023-01-20T00:00:00"/>
    <x v="1"/>
    <x v="0"/>
    <x v="5"/>
    <s v="Jan"/>
    <s v="Q1"/>
    <s v="Adult"/>
    <s v="Low"/>
    <s v="East - Salaried"/>
  </r>
  <r>
    <x v="387"/>
    <s v="Kritika Rout"/>
    <n v="32"/>
    <x v="0"/>
    <x v="1"/>
    <x v="2"/>
    <x v="2"/>
    <x v="0"/>
    <x v="1"/>
    <n v="0.67"/>
    <d v="2018-01-24T00:00:00"/>
    <x v="1"/>
    <x v="0"/>
    <x v="1"/>
    <s v="Jan"/>
    <s v="Q1"/>
    <s v="Adult"/>
    <s v="Low"/>
    <s v="North - Self-employed"/>
  </r>
  <r>
    <x v="388"/>
    <s v="Hemal Krish"/>
    <n v="32"/>
    <x v="1"/>
    <x v="2"/>
    <x v="0"/>
    <x v="5"/>
    <x v="0"/>
    <x v="0"/>
    <n v="0.69"/>
    <d v="2018-07-25T00:00:00"/>
    <x v="1"/>
    <x v="0"/>
    <x v="1"/>
    <s v="Jul"/>
    <s v="Q3"/>
    <s v="Adult"/>
    <s v="High"/>
    <s v="Central - Student"/>
  </r>
  <r>
    <x v="389"/>
    <s v="Krishna Kumer"/>
    <n v="19"/>
    <x v="1"/>
    <x v="0"/>
    <x v="1"/>
    <x v="3"/>
    <x v="1"/>
    <x v="1"/>
    <n v="0.52"/>
    <d v="2022-09-15T00:00:00"/>
    <x v="0"/>
    <x v="0"/>
    <x v="3"/>
    <s v="Sep"/>
    <s v="Q3"/>
    <s v="Young"/>
    <s v="High"/>
    <s v="South - Salaried"/>
  </r>
  <r>
    <x v="390"/>
    <s v="Ekapad Sachar"/>
    <n v="20"/>
    <x v="0"/>
    <x v="2"/>
    <x v="3"/>
    <x v="0"/>
    <x v="1"/>
    <x v="0"/>
    <n v="0.74"/>
    <d v="2021-09-04T00:00:00"/>
    <x v="0"/>
    <x v="2"/>
    <x v="2"/>
    <s v="Sep"/>
    <s v="Q3"/>
    <s v="Young"/>
    <s v="Very High"/>
    <s v="West - Retired"/>
  </r>
  <r>
    <x v="391"/>
    <s v="Ekiya Jayaraman"/>
    <n v="38"/>
    <x v="1"/>
    <x v="1"/>
    <x v="0"/>
    <x v="4"/>
    <x v="1"/>
    <x v="0"/>
    <n v="0.55000000000000004"/>
    <d v="2018-04-15T00:00:00"/>
    <x v="1"/>
    <x v="0"/>
    <x v="1"/>
    <s v="Apr"/>
    <s v="Q2"/>
    <s v="Adult"/>
    <s v="Very High"/>
    <s v="North-East - Student"/>
  </r>
  <r>
    <x v="392"/>
    <s v="Abhiram Lalla"/>
    <n v="63"/>
    <x v="0"/>
    <x v="1"/>
    <x v="2"/>
    <x v="3"/>
    <x v="1"/>
    <x v="0"/>
    <n v="0.75"/>
    <d v="2018-02-24T00:00:00"/>
    <x v="3"/>
    <x v="2"/>
    <x v="1"/>
    <s v="Feb"/>
    <s v="Q1"/>
    <s v="Senior"/>
    <s v="Very High"/>
    <s v="South - Self-employed"/>
  </r>
  <r>
    <x v="393"/>
    <s v="Vidhi Saini"/>
    <n v="42"/>
    <x v="1"/>
    <x v="2"/>
    <x v="2"/>
    <x v="4"/>
    <x v="0"/>
    <x v="0"/>
    <n v="0.22"/>
    <d v="2022-01-08T00:00:00"/>
    <x v="1"/>
    <x v="1"/>
    <x v="3"/>
    <s v="Jan"/>
    <s v="Q1"/>
    <s v="Adult"/>
    <s v="High"/>
    <s v="North-East - Self-employed"/>
  </r>
  <r>
    <x v="394"/>
    <s v="Pahal Desai"/>
    <n v="50"/>
    <x v="0"/>
    <x v="0"/>
    <x v="1"/>
    <x v="5"/>
    <x v="1"/>
    <x v="0"/>
    <n v="0.65"/>
    <d v="2021-12-18T00:00:00"/>
    <x v="2"/>
    <x v="0"/>
    <x v="2"/>
    <s v="Dec"/>
    <s v="Q4"/>
    <s v="Adult"/>
    <s v="Very High"/>
    <s v="Central - Salaried"/>
  </r>
  <r>
    <x v="395"/>
    <s v="Adya Lad"/>
    <n v="60"/>
    <x v="1"/>
    <x v="1"/>
    <x v="1"/>
    <x v="5"/>
    <x v="0"/>
    <x v="0"/>
    <n v="0.39"/>
    <d v="2021-03-03T00:00:00"/>
    <x v="2"/>
    <x v="0"/>
    <x v="2"/>
    <s v="Mar"/>
    <s v="Q1"/>
    <s v="Senior"/>
    <s v="High"/>
    <s v="Central - Salaried"/>
  </r>
  <r>
    <x v="396"/>
    <s v="Sudiksha D’Alia"/>
    <n v="51"/>
    <x v="0"/>
    <x v="0"/>
    <x v="3"/>
    <x v="5"/>
    <x v="0"/>
    <x v="0"/>
    <n v="0.32"/>
    <d v="2020-07-23T00:00:00"/>
    <x v="2"/>
    <x v="0"/>
    <x v="0"/>
    <s v="Jul"/>
    <s v="Q3"/>
    <s v="Senior"/>
    <s v="High"/>
    <s v="Central - Retired"/>
  </r>
  <r>
    <x v="397"/>
    <s v="Edhitha Kakar"/>
    <n v="59"/>
    <x v="0"/>
    <x v="0"/>
    <x v="0"/>
    <x v="4"/>
    <x v="0"/>
    <x v="1"/>
    <n v="0.36"/>
    <d v="2022-05-14T00:00:00"/>
    <x v="2"/>
    <x v="0"/>
    <x v="3"/>
    <s v="May"/>
    <s v="Q2"/>
    <s v="Senior"/>
    <s v="Low"/>
    <s v="North-East - Student"/>
  </r>
  <r>
    <x v="398"/>
    <s v="Nisha Basu"/>
    <n v="64"/>
    <x v="1"/>
    <x v="0"/>
    <x v="0"/>
    <x v="3"/>
    <x v="0"/>
    <x v="0"/>
    <n v="0.56999999999999995"/>
    <d v="2020-04-07T00:00:00"/>
    <x v="3"/>
    <x v="0"/>
    <x v="0"/>
    <s v="Apr"/>
    <s v="Q2"/>
    <s v="Senior"/>
    <s v="High"/>
    <s v="South - Student"/>
  </r>
  <r>
    <x v="399"/>
    <s v="Ekaja Panchal"/>
    <n v="69"/>
    <x v="0"/>
    <x v="0"/>
    <x v="0"/>
    <x v="2"/>
    <x v="0"/>
    <x v="1"/>
    <n v="0.47"/>
    <d v="2018-11-24T00:00:00"/>
    <x v="3"/>
    <x v="0"/>
    <x v="1"/>
    <s v="Nov"/>
    <s v="Q4"/>
    <s v="Senior"/>
    <s v="Low"/>
    <s v="North - Student"/>
  </r>
  <r>
    <x v="400"/>
    <s v="Warjas Narasimhan"/>
    <n v="50"/>
    <x v="1"/>
    <x v="0"/>
    <x v="2"/>
    <x v="3"/>
    <x v="1"/>
    <x v="0"/>
    <n v="0.38"/>
    <d v="2023-04-09T00:00:00"/>
    <x v="2"/>
    <x v="0"/>
    <x v="5"/>
    <s v="Apr"/>
    <s v="Q2"/>
    <s v="Adult"/>
    <s v="Very High"/>
    <s v="South - Self-employed"/>
  </r>
  <r>
    <x v="401"/>
    <s v="Laban Swaminathan"/>
    <n v="24"/>
    <x v="1"/>
    <x v="0"/>
    <x v="3"/>
    <x v="0"/>
    <x v="0"/>
    <x v="1"/>
    <n v="0.85"/>
    <d v="2023-01-27T00:00:00"/>
    <x v="0"/>
    <x v="2"/>
    <x v="5"/>
    <s v="Jan"/>
    <s v="Q1"/>
    <s v="Young"/>
    <s v="Low"/>
    <s v="West - Retired"/>
  </r>
  <r>
    <x v="402"/>
    <s v="Sudiksha Lata"/>
    <n v="56"/>
    <x v="1"/>
    <x v="0"/>
    <x v="2"/>
    <x v="4"/>
    <x v="1"/>
    <x v="0"/>
    <n v="0.86"/>
    <d v="2020-07-21T00:00:00"/>
    <x v="2"/>
    <x v="2"/>
    <x v="0"/>
    <s v="Jul"/>
    <s v="Q3"/>
    <s v="Senior"/>
    <s v="Very High"/>
    <s v="North-East - Self-employed"/>
  </r>
  <r>
    <x v="403"/>
    <s v="Ansh Sandal"/>
    <n v="63"/>
    <x v="0"/>
    <x v="0"/>
    <x v="0"/>
    <x v="1"/>
    <x v="0"/>
    <x v="1"/>
    <n v="0.93"/>
    <d v="2018-05-18T00:00:00"/>
    <x v="3"/>
    <x v="2"/>
    <x v="1"/>
    <s v="May"/>
    <s v="Q2"/>
    <s v="Senior"/>
    <s v="Low"/>
    <s v="East - Student"/>
  </r>
  <r>
    <x v="404"/>
    <s v="Hitesh Rajagopal"/>
    <n v="34"/>
    <x v="1"/>
    <x v="1"/>
    <x v="2"/>
    <x v="3"/>
    <x v="1"/>
    <x v="0"/>
    <n v="0.54"/>
    <d v="2022-09-07T00:00:00"/>
    <x v="1"/>
    <x v="0"/>
    <x v="3"/>
    <s v="Sep"/>
    <s v="Q3"/>
    <s v="Adult"/>
    <s v="Very High"/>
    <s v="South - Self-employed"/>
  </r>
  <r>
    <x v="405"/>
    <s v="Bakhshi Jain"/>
    <n v="35"/>
    <x v="0"/>
    <x v="2"/>
    <x v="0"/>
    <x v="0"/>
    <x v="0"/>
    <x v="0"/>
    <n v="0.46"/>
    <d v="2019-11-27T00:00:00"/>
    <x v="1"/>
    <x v="0"/>
    <x v="4"/>
    <s v="Nov"/>
    <s v="Q4"/>
    <s v="Adult"/>
    <s v="High"/>
    <s v="West - Student"/>
  </r>
  <r>
    <x v="406"/>
    <s v="Yashica Tak"/>
    <n v="25"/>
    <x v="1"/>
    <x v="2"/>
    <x v="1"/>
    <x v="3"/>
    <x v="0"/>
    <x v="1"/>
    <n v="0.5"/>
    <d v="2022-08-24T00:00:00"/>
    <x v="0"/>
    <x v="0"/>
    <x v="3"/>
    <s v="Aug"/>
    <s v="Q3"/>
    <s v="Young"/>
    <s v="Low"/>
    <s v="South - Salaried"/>
  </r>
  <r>
    <x v="407"/>
    <s v="Yauvani Kapadia"/>
    <n v="24"/>
    <x v="1"/>
    <x v="2"/>
    <x v="2"/>
    <x v="1"/>
    <x v="0"/>
    <x v="1"/>
    <n v="0.46"/>
    <d v="2021-05-02T00:00:00"/>
    <x v="0"/>
    <x v="0"/>
    <x v="2"/>
    <s v="May"/>
    <s v="Q2"/>
    <s v="Young"/>
    <s v="Low"/>
    <s v="East - Self-employed"/>
  </r>
  <r>
    <x v="408"/>
    <s v="Tanish Ravel"/>
    <n v="56"/>
    <x v="0"/>
    <x v="2"/>
    <x v="2"/>
    <x v="4"/>
    <x v="0"/>
    <x v="0"/>
    <n v="0.63"/>
    <d v="2019-04-06T00:00:00"/>
    <x v="2"/>
    <x v="0"/>
    <x v="4"/>
    <s v="Apr"/>
    <s v="Q2"/>
    <s v="Senior"/>
    <s v="High"/>
    <s v="North-East - Self-employed"/>
  </r>
  <r>
    <x v="409"/>
    <s v="Zayan Chandra"/>
    <n v="22"/>
    <x v="0"/>
    <x v="0"/>
    <x v="3"/>
    <x v="2"/>
    <x v="0"/>
    <x v="1"/>
    <n v="0.64"/>
    <d v="2022-10-19T00:00:00"/>
    <x v="0"/>
    <x v="0"/>
    <x v="3"/>
    <s v="Oct"/>
    <s v="Q4"/>
    <s v="Young"/>
    <s v="Low"/>
    <s v="North - Retired"/>
  </r>
  <r>
    <x v="410"/>
    <s v="Abhiram Arora"/>
    <n v="59"/>
    <x v="1"/>
    <x v="1"/>
    <x v="0"/>
    <x v="0"/>
    <x v="1"/>
    <x v="1"/>
    <n v="0.35"/>
    <d v="2018-09-04T00:00:00"/>
    <x v="2"/>
    <x v="0"/>
    <x v="1"/>
    <s v="Sep"/>
    <s v="Q3"/>
    <s v="Senior"/>
    <s v="High"/>
    <s v="West - Student"/>
  </r>
  <r>
    <x v="411"/>
    <s v="Ikshita Hans"/>
    <n v="23"/>
    <x v="1"/>
    <x v="1"/>
    <x v="1"/>
    <x v="5"/>
    <x v="1"/>
    <x v="0"/>
    <n v="0.47"/>
    <d v="2018-10-05T00:00:00"/>
    <x v="0"/>
    <x v="0"/>
    <x v="1"/>
    <s v="Oct"/>
    <s v="Q4"/>
    <s v="Young"/>
    <s v="Very High"/>
    <s v="Central - Salaried"/>
  </r>
  <r>
    <x v="412"/>
    <s v="Aishani Ganesan"/>
    <n v="45"/>
    <x v="1"/>
    <x v="0"/>
    <x v="2"/>
    <x v="3"/>
    <x v="1"/>
    <x v="0"/>
    <n v="0.72"/>
    <d v="2021-05-16T00:00:00"/>
    <x v="1"/>
    <x v="2"/>
    <x v="2"/>
    <s v="May"/>
    <s v="Q2"/>
    <s v="Adult"/>
    <s v="Very High"/>
    <s v="South - Self-employed"/>
  </r>
  <r>
    <x v="413"/>
    <s v="Adweta Bir"/>
    <n v="23"/>
    <x v="1"/>
    <x v="0"/>
    <x v="3"/>
    <x v="1"/>
    <x v="0"/>
    <x v="0"/>
    <n v="0.64"/>
    <d v="2021-10-20T00:00:00"/>
    <x v="0"/>
    <x v="0"/>
    <x v="2"/>
    <s v="Oct"/>
    <s v="Q4"/>
    <s v="Young"/>
    <s v="High"/>
    <s v="East - Retired"/>
  </r>
  <r>
    <x v="414"/>
    <s v="Ishani Seshadri"/>
    <n v="33"/>
    <x v="0"/>
    <x v="1"/>
    <x v="1"/>
    <x v="4"/>
    <x v="1"/>
    <x v="0"/>
    <n v="1"/>
    <d v="2021-01-08T00:00:00"/>
    <x v="1"/>
    <x v="2"/>
    <x v="2"/>
    <s v="Jan"/>
    <s v="Q1"/>
    <s v="Adult"/>
    <s v="Very High"/>
    <s v="North-East - Salaried"/>
  </r>
  <r>
    <x v="415"/>
    <s v="Krish Amble"/>
    <n v="50"/>
    <x v="0"/>
    <x v="2"/>
    <x v="1"/>
    <x v="0"/>
    <x v="1"/>
    <x v="1"/>
    <n v="0.69"/>
    <d v="2019-10-21T00:00:00"/>
    <x v="2"/>
    <x v="0"/>
    <x v="4"/>
    <s v="Oct"/>
    <s v="Q4"/>
    <s v="Adult"/>
    <s v="High"/>
    <s v="West - Salaried"/>
  </r>
  <r>
    <x v="416"/>
    <s v="Ati Bhatti"/>
    <n v="23"/>
    <x v="1"/>
    <x v="1"/>
    <x v="0"/>
    <x v="4"/>
    <x v="0"/>
    <x v="1"/>
    <n v="0.76"/>
    <d v="2022-09-08T00:00:00"/>
    <x v="0"/>
    <x v="2"/>
    <x v="3"/>
    <s v="Sep"/>
    <s v="Q3"/>
    <s v="Young"/>
    <s v="Low"/>
    <s v="North-East - Student"/>
  </r>
  <r>
    <x v="417"/>
    <s v="Dayamai Chaudhary"/>
    <n v="32"/>
    <x v="0"/>
    <x v="2"/>
    <x v="2"/>
    <x v="1"/>
    <x v="1"/>
    <x v="1"/>
    <n v="0.72"/>
    <d v="2019-01-24T00:00:00"/>
    <x v="1"/>
    <x v="2"/>
    <x v="4"/>
    <s v="Jan"/>
    <s v="Q1"/>
    <s v="Adult"/>
    <s v="High"/>
    <s v="East - Self-employed"/>
  </r>
  <r>
    <x v="418"/>
    <s v="Maanas Malhotra"/>
    <n v="69"/>
    <x v="1"/>
    <x v="2"/>
    <x v="3"/>
    <x v="1"/>
    <x v="0"/>
    <x v="0"/>
    <n v="0.56999999999999995"/>
    <d v="2019-11-04T00:00:00"/>
    <x v="3"/>
    <x v="0"/>
    <x v="4"/>
    <s v="Nov"/>
    <s v="Q4"/>
    <s v="Senior"/>
    <s v="High"/>
    <s v="East - Retired"/>
  </r>
  <r>
    <x v="419"/>
    <s v="Ayaan Soman"/>
    <n v="47"/>
    <x v="1"/>
    <x v="1"/>
    <x v="2"/>
    <x v="2"/>
    <x v="0"/>
    <x v="0"/>
    <n v="0.54"/>
    <d v="2018-07-29T00:00:00"/>
    <x v="2"/>
    <x v="0"/>
    <x v="1"/>
    <s v="Jul"/>
    <s v="Q3"/>
    <s v="Adult"/>
    <s v="High"/>
    <s v="North - Self-employed"/>
  </r>
  <r>
    <x v="420"/>
    <s v="Madhavi Kumer"/>
    <n v="34"/>
    <x v="0"/>
    <x v="2"/>
    <x v="0"/>
    <x v="3"/>
    <x v="1"/>
    <x v="0"/>
    <n v="0.45"/>
    <d v="2019-10-12T00:00:00"/>
    <x v="1"/>
    <x v="0"/>
    <x v="4"/>
    <s v="Oct"/>
    <s v="Q4"/>
    <s v="Adult"/>
    <s v="Very High"/>
    <s v="South - Student"/>
  </r>
  <r>
    <x v="421"/>
    <s v="Samarth Goswami"/>
    <n v="55"/>
    <x v="0"/>
    <x v="2"/>
    <x v="0"/>
    <x v="3"/>
    <x v="0"/>
    <x v="1"/>
    <n v="0.37"/>
    <d v="2018-02-07T00:00:00"/>
    <x v="2"/>
    <x v="0"/>
    <x v="1"/>
    <s v="Feb"/>
    <s v="Q1"/>
    <s v="Senior"/>
    <s v="Low"/>
    <s v="South - Student"/>
  </r>
  <r>
    <x v="422"/>
    <s v="Bimala Atwal"/>
    <n v="35"/>
    <x v="0"/>
    <x v="1"/>
    <x v="0"/>
    <x v="3"/>
    <x v="0"/>
    <x v="1"/>
    <n v="0.32"/>
    <d v="2022-04-30T00:00:00"/>
    <x v="1"/>
    <x v="0"/>
    <x v="3"/>
    <s v="Apr"/>
    <s v="Q2"/>
    <s v="Adult"/>
    <s v="Low"/>
    <s v="South - Student"/>
  </r>
  <r>
    <x v="423"/>
    <s v="Tanish Gera"/>
    <n v="45"/>
    <x v="1"/>
    <x v="1"/>
    <x v="2"/>
    <x v="1"/>
    <x v="0"/>
    <x v="1"/>
    <n v="0.35"/>
    <d v="2018-07-27T00:00:00"/>
    <x v="1"/>
    <x v="0"/>
    <x v="1"/>
    <s v="Jul"/>
    <s v="Q3"/>
    <s v="Adult"/>
    <s v="Low"/>
    <s v="East - Self-employed"/>
  </r>
  <r>
    <x v="424"/>
    <s v="Lavanya Vora"/>
    <n v="36"/>
    <x v="0"/>
    <x v="0"/>
    <x v="0"/>
    <x v="3"/>
    <x v="1"/>
    <x v="0"/>
    <n v="0.86"/>
    <d v="2021-04-17T00:00:00"/>
    <x v="1"/>
    <x v="2"/>
    <x v="2"/>
    <s v="Apr"/>
    <s v="Q2"/>
    <s v="Adult"/>
    <s v="Very High"/>
    <s v="South - Student"/>
  </r>
  <r>
    <x v="425"/>
    <s v="Omkaar Bhalla"/>
    <n v="50"/>
    <x v="0"/>
    <x v="2"/>
    <x v="2"/>
    <x v="4"/>
    <x v="1"/>
    <x v="0"/>
    <n v="0.49"/>
    <d v="2019-01-25T00:00:00"/>
    <x v="2"/>
    <x v="0"/>
    <x v="4"/>
    <s v="Jan"/>
    <s v="Q1"/>
    <s v="Adult"/>
    <s v="Very High"/>
    <s v="North-East - Self-employed"/>
  </r>
  <r>
    <x v="426"/>
    <s v="Advaith Nori"/>
    <n v="60"/>
    <x v="1"/>
    <x v="1"/>
    <x v="0"/>
    <x v="2"/>
    <x v="1"/>
    <x v="1"/>
    <n v="0.55000000000000004"/>
    <d v="2022-08-26T00:00:00"/>
    <x v="2"/>
    <x v="0"/>
    <x v="3"/>
    <s v="Aug"/>
    <s v="Q3"/>
    <s v="Senior"/>
    <s v="High"/>
    <s v="North - Student"/>
  </r>
  <r>
    <x v="427"/>
    <s v="Vamakshi Munshi"/>
    <n v="29"/>
    <x v="0"/>
    <x v="1"/>
    <x v="1"/>
    <x v="3"/>
    <x v="0"/>
    <x v="0"/>
    <n v="0.56000000000000005"/>
    <d v="2021-04-28T00:00:00"/>
    <x v="0"/>
    <x v="0"/>
    <x v="2"/>
    <s v="Apr"/>
    <s v="Q2"/>
    <s v="Young"/>
    <s v="High"/>
    <s v="South - Salaried"/>
  </r>
  <r>
    <x v="428"/>
    <s v="Darpan Char"/>
    <n v="43"/>
    <x v="1"/>
    <x v="1"/>
    <x v="1"/>
    <x v="4"/>
    <x v="1"/>
    <x v="1"/>
    <n v="0.53"/>
    <d v="2020-12-08T00:00:00"/>
    <x v="1"/>
    <x v="0"/>
    <x v="0"/>
    <s v="Dec"/>
    <s v="Q4"/>
    <s v="Adult"/>
    <s v="High"/>
    <s v="North-East - Salaried"/>
  </r>
  <r>
    <x v="429"/>
    <s v="Yagnesh Deshpande"/>
    <n v="54"/>
    <x v="1"/>
    <x v="0"/>
    <x v="1"/>
    <x v="4"/>
    <x v="0"/>
    <x v="0"/>
    <n v="0.85"/>
    <d v="2021-07-03T00:00:00"/>
    <x v="2"/>
    <x v="2"/>
    <x v="2"/>
    <s v="Jul"/>
    <s v="Q3"/>
    <s v="Senior"/>
    <s v="High"/>
    <s v="North-East - Salaried"/>
  </r>
  <r>
    <x v="430"/>
    <s v="Advik Bal"/>
    <n v="21"/>
    <x v="1"/>
    <x v="0"/>
    <x v="1"/>
    <x v="0"/>
    <x v="0"/>
    <x v="1"/>
    <n v="0.35"/>
    <d v="2021-03-25T00:00:00"/>
    <x v="0"/>
    <x v="0"/>
    <x v="2"/>
    <s v="Mar"/>
    <s v="Q1"/>
    <s v="Young"/>
    <s v="Low"/>
    <s v="West - Salaried"/>
  </r>
  <r>
    <x v="431"/>
    <s v="Ranveer Banerjee"/>
    <n v="33"/>
    <x v="0"/>
    <x v="0"/>
    <x v="3"/>
    <x v="3"/>
    <x v="1"/>
    <x v="0"/>
    <n v="0.25"/>
    <d v="2021-11-20T00:00:00"/>
    <x v="1"/>
    <x v="1"/>
    <x v="2"/>
    <s v="Nov"/>
    <s v="Q4"/>
    <s v="Adult"/>
    <s v="Very High"/>
    <s v="South - Retired"/>
  </r>
  <r>
    <x v="432"/>
    <s v="Ikbal Jayaraman"/>
    <n v="44"/>
    <x v="0"/>
    <x v="1"/>
    <x v="0"/>
    <x v="3"/>
    <x v="0"/>
    <x v="0"/>
    <n v="0.54"/>
    <d v="2019-11-23T00:00:00"/>
    <x v="1"/>
    <x v="0"/>
    <x v="4"/>
    <s v="Nov"/>
    <s v="Q4"/>
    <s v="Adult"/>
    <s v="High"/>
    <s v="South - Student"/>
  </r>
  <r>
    <x v="433"/>
    <s v="Benjamin Upadhyay"/>
    <n v="65"/>
    <x v="0"/>
    <x v="1"/>
    <x v="1"/>
    <x v="1"/>
    <x v="1"/>
    <x v="1"/>
    <n v="0.72"/>
    <d v="2022-11-12T00:00:00"/>
    <x v="3"/>
    <x v="2"/>
    <x v="3"/>
    <s v="Nov"/>
    <s v="Q4"/>
    <s v="Senior"/>
    <s v="High"/>
    <s v="East - Salaried"/>
  </r>
  <r>
    <x v="434"/>
    <s v="Faqid Ramakrishnan"/>
    <n v="39"/>
    <x v="1"/>
    <x v="0"/>
    <x v="3"/>
    <x v="5"/>
    <x v="0"/>
    <x v="0"/>
    <n v="0.28000000000000003"/>
    <d v="2020-06-29T00:00:00"/>
    <x v="1"/>
    <x v="1"/>
    <x v="0"/>
    <s v="Jun"/>
    <s v="Q2"/>
    <s v="Adult"/>
    <s v="High"/>
    <s v="Central - Retired"/>
  </r>
  <r>
    <x v="435"/>
    <s v="Lucky Grewal"/>
    <n v="46"/>
    <x v="0"/>
    <x v="0"/>
    <x v="0"/>
    <x v="2"/>
    <x v="0"/>
    <x v="1"/>
    <n v="1"/>
    <d v="2021-07-21T00:00:00"/>
    <x v="2"/>
    <x v="2"/>
    <x v="2"/>
    <s v="Jul"/>
    <s v="Q3"/>
    <s v="Adult"/>
    <s v="Low"/>
    <s v="North - Student"/>
  </r>
  <r>
    <x v="436"/>
    <s v="Aryan Kulkarni"/>
    <n v="38"/>
    <x v="1"/>
    <x v="2"/>
    <x v="1"/>
    <x v="3"/>
    <x v="1"/>
    <x v="1"/>
    <n v="0.35"/>
    <d v="2019-12-30T00:00:00"/>
    <x v="1"/>
    <x v="0"/>
    <x v="4"/>
    <s v="Dec"/>
    <s v="Q4"/>
    <s v="Adult"/>
    <s v="High"/>
    <s v="South - Salaried"/>
  </r>
  <r>
    <x v="437"/>
    <s v="Ekapad Som"/>
    <n v="47"/>
    <x v="0"/>
    <x v="0"/>
    <x v="2"/>
    <x v="0"/>
    <x v="0"/>
    <x v="0"/>
    <n v="0.33"/>
    <d v="2021-09-30T00:00:00"/>
    <x v="2"/>
    <x v="0"/>
    <x v="2"/>
    <s v="Sep"/>
    <s v="Q3"/>
    <s v="Adult"/>
    <s v="High"/>
    <s v="West - Self-employed"/>
  </r>
  <r>
    <x v="438"/>
    <s v="Suhani Kunda"/>
    <n v="27"/>
    <x v="0"/>
    <x v="2"/>
    <x v="1"/>
    <x v="0"/>
    <x v="1"/>
    <x v="0"/>
    <n v="0.56000000000000005"/>
    <d v="2021-02-14T00:00:00"/>
    <x v="0"/>
    <x v="0"/>
    <x v="2"/>
    <s v="Feb"/>
    <s v="Q1"/>
    <s v="Young"/>
    <s v="Very High"/>
    <s v="West - Salaried"/>
  </r>
  <r>
    <x v="439"/>
    <s v="Yash Ray"/>
    <n v="49"/>
    <x v="0"/>
    <x v="0"/>
    <x v="3"/>
    <x v="3"/>
    <x v="1"/>
    <x v="0"/>
    <n v="0.67"/>
    <d v="2019-11-23T00:00:00"/>
    <x v="2"/>
    <x v="0"/>
    <x v="4"/>
    <s v="Nov"/>
    <s v="Q4"/>
    <s v="Adult"/>
    <s v="Very High"/>
    <s v="South - Retired"/>
  </r>
  <r>
    <x v="440"/>
    <s v="Maanav Kar"/>
    <n v="54"/>
    <x v="1"/>
    <x v="0"/>
    <x v="2"/>
    <x v="0"/>
    <x v="0"/>
    <x v="1"/>
    <n v="0.4"/>
    <d v="2019-09-15T00:00:00"/>
    <x v="2"/>
    <x v="0"/>
    <x v="4"/>
    <s v="Sep"/>
    <s v="Q3"/>
    <s v="Senior"/>
    <s v="Low"/>
    <s v="West - Self-employed"/>
  </r>
  <r>
    <x v="441"/>
    <s v="Chaaya Deep"/>
    <n v="67"/>
    <x v="0"/>
    <x v="1"/>
    <x v="2"/>
    <x v="5"/>
    <x v="0"/>
    <x v="1"/>
    <n v="0.7"/>
    <d v="2018-07-13T00:00:00"/>
    <x v="3"/>
    <x v="2"/>
    <x v="1"/>
    <s v="Jul"/>
    <s v="Q3"/>
    <s v="Senior"/>
    <s v="Low"/>
    <s v="Central - Self-employed"/>
  </r>
  <r>
    <x v="442"/>
    <s v="Jalsa Dhawan"/>
    <n v="43"/>
    <x v="0"/>
    <x v="2"/>
    <x v="0"/>
    <x v="1"/>
    <x v="0"/>
    <x v="0"/>
    <n v="0.64"/>
    <d v="2020-12-25T00:00:00"/>
    <x v="1"/>
    <x v="0"/>
    <x v="0"/>
    <s v="Dec"/>
    <s v="Q4"/>
    <s v="Adult"/>
    <s v="High"/>
    <s v="East - Student"/>
  </r>
  <r>
    <x v="443"/>
    <s v="Mekhala Aurora"/>
    <n v="61"/>
    <x v="0"/>
    <x v="1"/>
    <x v="3"/>
    <x v="4"/>
    <x v="1"/>
    <x v="0"/>
    <n v="0.63"/>
    <d v="2020-07-09T00:00:00"/>
    <x v="3"/>
    <x v="0"/>
    <x v="0"/>
    <s v="Jul"/>
    <s v="Q3"/>
    <s v="Senior"/>
    <s v="Very High"/>
    <s v="North-East - Retired"/>
  </r>
  <r>
    <x v="444"/>
    <s v="Anamika Butala"/>
    <n v="36"/>
    <x v="1"/>
    <x v="1"/>
    <x v="2"/>
    <x v="3"/>
    <x v="1"/>
    <x v="1"/>
    <n v="0.5"/>
    <d v="2018-03-25T00:00:00"/>
    <x v="1"/>
    <x v="0"/>
    <x v="1"/>
    <s v="Mar"/>
    <s v="Q1"/>
    <s v="Adult"/>
    <s v="High"/>
    <s v="South - Self-employed"/>
  </r>
  <r>
    <x v="445"/>
    <s v="Anay Magar"/>
    <n v="53"/>
    <x v="1"/>
    <x v="0"/>
    <x v="3"/>
    <x v="4"/>
    <x v="0"/>
    <x v="0"/>
    <n v="0.45"/>
    <d v="2021-10-02T00:00:00"/>
    <x v="2"/>
    <x v="0"/>
    <x v="2"/>
    <s v="Oct"/>
    <s v="Q4"/>
    <s v="Senior"/>
    <s v="High"/>
    <s v="North-East - Retired"/>
  </r>
  <r>
    <x v="446"/>
    <s v="Keya Bajaj"/>
    <n v="29"/>
    <x v="1"/>
    <x v="0"/>
    <x v="1"/>
    <x v="2"/>
    <x v="1"/>
    <x v="1"/>
    <n v="0.82"/>
    <d v="2020-11-02T00:00:00"/>
    <x v="0"/>
    <x v="2"/>
    <x v="0"/>
    <s v="Nov"/>
    <s v="Q4"/>
    <s v="Young"/>
    <s v="High"/>
    <s v="North - Salaried"/>
  </r>
  <r>
    <x v="447"/>
    <s v="Kalpit Singhal"/>
    <n v="46"/>
    <x v="1"/>
    <x v="2"/>
    <x v="0"/>
    <x v="5"/>
    <x v="0"/>
    <x v="1"/>
    <n v="0.68"/>
    <d v="2021-09-11T00:00:00"/>
    <x v="2"/>
    <x v="0"/>
    <x v="2"/>
    <s v="Sep"/>
    <s v="Q3"/>
    <s v="Adult"/>
    <s v="Low"/>
    <s v="Central - Student"/>
  </r>
  <r>
    <x v="448"/>
    <s v="Farhan Shroff"/>
    <n v="22"/>
    <x v="1"/>
    <x v="0"/>
    <x v="0"/>
    <x v="1"/>
    <x v="0"/>
    <x v="1"/>
    <n v="0.62"/>
    <d v="2022-07-17T00:00:00"/>
    <x v="0"/>
    <x v="0"/>
    <x v="3"/>
    <s v="Jul"/>
    <s v="Q3"/>
    <s v="Young"/>
    <s v="Low"/>
    <s v="East - Student"/>
  </r>
  <r>
    <x v="449"/>
    <s v="Arjun Desai"/>
    <n v="59"/>
    <x v="1"/>
    <x v="0"/>
    <x v="0"/>
    <x v="3"/>
    <x v="1"/>
    <x v="1"/>
    <n v="0.56000000000000005"/>
    <d v="2022-03-31T00:00:00"/>
    <x v="2"/>
    <x v="0"/>
    <x v="3"/>
    <s v="Mar"/>
    <s v="Q1"/>
    <s v="Senior"/>
    <s v="High"/>
    <s v="South - Student"/>
  </r>
  <r>
    <x v="450"/>
    <s v="Hemani Parmer"/>
    <n v="32"/>
    <x v="0"/>
    <x v="2"/>
    <x v="0"/>
    <x v="1"/>
    <x v="1"/>
    <x v="0"/>
    <n v="0.44"/>
    <d v="2018-01-28T00:00:00"/>
    <x v="1"/>
    <x v="0"/>
    <x v="1"/>
    <s v="Jan"/>
    <s v="Q1"/>
    <s v="Adult"/>
    <s v="Very High"/>
    <s v="East - Student"/>
  </r>
  <r>
    <x v="451"/>
    <s v="Karan Cherian"/>
    <n v="27"/>
    <x v="0"/>
    <x v="2"/>
    <x v="2"/>
    <x v="5"/>
    <x v="0"/>
    <x v="0"/>
    <n v="0.55000000000000004"/>
    <d v="2021-06-07T00:00:00"/>
    <x v="0"/>
    <x v="0"/>
    <x v="2"/>
    <s v="Jun"/>
    <s v="Q2"/>
    <s v="Young"/>
    <s v="High"/>
    <s v="Central - Self-employed"/>
  </r>
  <r>
    <x v="452"/>
    <s v="Indrajit Nagarajan"/>
    <n v="43"/>
    <x v="0"/>
    <x v="1"/>
    <x v="2"/>
    <x v="1"/>
    <x v="1"/>
    <x v="1"/>
    <n v="0.41"/>
    <d v="2018-03-16T00:00:00"/>
    <x v="1"/>
    <x v="0"/>
    <x v="1"/>
    <s v="Mar"/>
    <s v="Q1"/>
    <s v="Adult"/>
    <s v="High"/>
    <s v="East - Self-employed"/>
  </r>
  <r>
    <x v="453"/>
    <s v="Onkar Sani"/>
    <n v="58"/>
    <x v="0"/>
    <x v="2"/>
    <x v="3"/>
    <x v="0"/>
    <x v="0"/>
    <x v="1"/>
    <n v="0.41"/>
    <d v="2019-06-27T00:00:00"/>
    <x v="2"/>
    <x v="0"/>
    <x v="4"/>
    <s v="Jun"/>
    <s v="Q2"/>
    <s v="Senior"/>
    <s v="Low"/>
    <s v="West - Retired"/>
  </r>
  <r>
    <x v="454"/>
    <s v="Aadhya Srinivas"/>
    <n v="30"/>
    <x v="1"/>
    <x v="0"/>
    <x v="0"/>
    <x v="0"/>
    <x v="1"/>
    <x v="1"/>
    <n v="0"/>
    <d v="2021-07-14T00:00:00"/>
    <x v="0"/>
    <x v="1"/>
    <x v="2"/>
    <s v="Jul"/>
    <s v="Q3"/>
    <s v="Adult"/>
    <s v="High"/>
    <s v="West - Student"/>
  </r>
  <r>
    <x v="455"/>
    <s v="Tanish Sheth"/>
    <n v="25"/>
    <x v="1"/>
    <x v="2"/>
    <x v="2"/>
    <x v="5"/>
    <x v="1"/>
    <x v="0"/>
    <n v="0.54"/>
    <d v="2018-02-16T00:00:00"/>
    <x v="0"/>
    <x v="0"/>
    <x v="1"/>
    <s v="Feb"/>
    <s v="Q1"/>
    <s v="Young"/>
    <s v="Very High"/>
    <s v="Central - Self-employed"/>
  </r>
  <r>
    <x v="456"/>
    <s v="Daniel Andra"/>
    <n v="23"/>
    <x v="0"/>
    <x v="1"/>
    <x v="3"/>
    <x v="3"/>
    <x v="0"/>
    <x v="0"/>
    <n v="0.2"/>
    <d v="2022-06-15T00:00:00"/>
    <x v="0"/>
    <x v="1"/>
    <x v="3"/>
    <s v="Jun"/>
    <s v="Q2"/>
    <s v="Young"/>
    <s v="High"/>
    <s v="South - Retired"/>
  </r>
  <r>
    <x v="457"/>
    <s v="Devika Shan"/>
    <n v="57"/>
    <x v="0"/>
    <x v="1"/>
    <x v="3"/>
    <x v="3"/>
    <x v="1"/>
    <x v="1"/>
    <n v="0.33"/>
    <d v="2020-08-27T00:00:00"/>
    <x v="2"/>
    <x v="0"/>
    <x v="0"/>
    <s v="Aug"/>
    <s v="Q3"/>
    <s v="Senior"/>
    <s v="High"/>
    <s v="South - Retired"/>
  </r>
  <r>
    <x v="458"/>
    <s v="Kalpit Chada"/>
    <n v="37"/>
    <x v="0"/>
    <x v="1"/>
    <x v="3"/>
    <x v="1"/>
    <x v="0"/>
    <x v="1"/>
    <n v="0.48"/>
    <d v="2023-05-18T00:00:00"/>
    <x v="1"/>
    <x v="0"/>
    <x v="5"/>
    <s v="May"/>
    <s v="Q2"/>
    <s v="Adult"/>
    <s v="Low"/>
    <s v="East - Retired"/>
  </r>
  <r>
    <x v="459"/>
    <s v="Amruta Uppal"/>
    <n v="28"/>
    <x v="1"/>
    <x v="1"/>
    <x v="0"/>
    <x v="2"/>
    <x v="0"/>
    <x v="0"/>
    <n v="0.52"/>
    <d v="2022-05-05T00:00:00"/>
    <x v="0"/>
    <x v="0"/>
    <x v="3"/>
    <s v="May"/>
    <s v="Q2"/>
    <s v="Young"/>
    <s v="High"/>
    <s v="North - Student"/>
  </r>
  <r>
    <x v="460"/>
    <s v="Anamika Sen"/>
    <n v="31"/>
    <x v="1"/>
    <x v="1"/>
    <x v="0"/>
    <x v="3"/>
    <x v="1"/>
    <x v="1"/>
    <n v="0.28000000000000003"/>
    <d v="2020-10-09T00:00:00"/>
    <x v="1"/>
    <x v="1"/>
    <x v="0"/>
    <s v="Oct"/>
    <s v="Q4"/>
    <s v="Adult"/>
    <s v="High"/>
    <s v="South - Student"/>
  </r>
  <r>
    <x v="461"/>
    <s v="Yamini Dugar"/>
    <n v="50"/>
    <x v="1"/>
    <x v="0"/>
    <x v="1"/>
    <x v="2"/>
    <x v="0"/>
    <x v="1"/>
    <n v="0.4"/>
    <d v="2022-12-06T00:00:00"/>
    <x v="2"/>
    <x v="0"/>
    <x v="3"/>
    <s v="Dec"/>
    <s v="Q4"/>
    <s v="Adult"/>
    <s v="Low"/>
    <s v="North - Salaried"/>
  </r>
  <r>
    <x v="462"/>
    <s v="Udarsh Wable"/>
    <n v="35"/>
    <x v="1"/>
    <x v="2"/>
    <x v="1"/>
    <x v="3"/>
    <x v="0"/>
    <x v="1"/>
    <n v="0.38"/>
    <d v="2023-05-09T00:00:00"/>
    <x v="1"/>
    <x v="0"/>
    <x v="5"/>
    <s v="May"/>
    <s v="Q2"/>
    <s v="Adult"/>
    <s v="Low"/>
    <s v="South - Salaried"/>
  </r>
  <r>
    <x v="463"/>
    <s v="Eiravati Mahal"/>
    <n v="58"/>
    <x v="0"/>
    <x v="1"/>
    <x v="1"/>
    <x v="5"/>
    <x v="1"/>
    <x v="0"/>
    <n v="0.36"/>
    <d v="2019-11-12T00:00:00"/>
    <x v="2"/>
    <x v="0"/>
    <x v="4"/>
    <s v="Nov"/>
    <s v="Q4"/>
    <s v="Senior"/>
    <s v="Very High"/>
    <s v="Central - Salaried"/>
  </r>
  <r>
    <x v="464"/>
    <s v="Rachit Divan"/>
    <n v="35"/>
    <x v="1"/>
    <x v="1"/>
    <x v="3"/>
    <x v="4"/>
    <x v="1"/>
    <x v="1"/>
    <n v="0.68"/>
    <d v="2018-09-20T00:00:00"/>
    <x v="1"/>
    <x v="0"/>
    <x v="1"/>
    <s v="Sep"/>
    <s v="Q3"/>
    <s v="Adult"/>
    <s v="High"/>
    <s v="North-East - Retired"/>
  </r>
  <r>
    <x v="465"/>
    <s v="Om Bhatti"/>
    <n v="42"/>
    <x v="1"/>
    <x v="0"/>
    <x v="3"/>
    <x v="2"/>
    <x v="0"/>
    <x v="1"/>
    <n v="0.76"/>
    <d v="2022-02-15T00:00:00"/>
    <x v="1"/>
    <x v="2"/>
    <x v="3"/>
    <s v="Feb"/>
    <s v="Q1"/>
    <s v="Adult"/>
    <s v="Low"/>
    <s v="North - Retired"/>
  </r>
  <r>
    <x v="466"/>
    <s v="Akshay Parmer"/>
    <n v="30"/>
    <x v="1"/>
    <x v="0"/>
    <x v="1"/>
    <x v="5"/>
    <x v="0"/>
    <x v="1"/>
    <n v="0.38"/>
    <d v="2022-07-11T00:00:00"/>
    <x v="0"/>
    <x v="0"/>
    <x v="3"/>
    <s v="Jul"/>
    <s v="Q3"/>
    <s v="Adult"/>
    <s v="Low"/>
    <s v="Central - Salaried"/>
  </r>
  <r>
    <x v="467"/>
    <s v="Aarav Joshi"/>
    <n v="51"/>
    <x v="1"/>
    <x v="0"/>
    <x v="0"/>
    <x v="2"/>
    <x v="0"/>
    <x v="1"/>
    <n v="0.83"/>
    <d v="2020-11-11T00:00:00"/>
    <x v="2"/>
    <x v="2"/>
    <x v="0"/>
    <s v="Nov"/>
    <s v="Q4"/>
    <s v="Senior"/>
    <s v="Low"/>
    <s v="North - Student"/>
  </r>
  <r>
    <x v="468"/>
    <s v="Aarnav Bhat"/>
    <n v="19"/>
    <x v="0"/>
    <x v="2"/>
    <x v="3"/>
    <x v="2"/>
    <x v="1"/>
    <x v="0"/>
    <n v="0.55000000000000004"/>
    <d v="2021-01-18T00:00:00"/>
    <x v="0"/>
    <x v="0"/>
    <x v="2"/>
    <s v="Jan"/>
    <s v="Q1"/>
    <s v="Young"/>
    <s v="Very High"/>
    <s v="North - Retired"/>
  </r>
  <r>
    <x v="469"/>
    <s v="Andrew Venkataraman"/>
    <n v="58"/>
    <x v="0"/>
    <x v="2"/>
    <x v="3"/>
    <x v="0"/>
    <x v="1"/>
    <x v="0"/>
    <n v="0.28999999999999998"/>
    <d v="2020-09-03T00:00:00"/>
    <x v="2"/>
    <x v="1"/>
    <x v="0"/>
    <s v="Sep"/>
    <s v="Q3"/>
    <s v="Senior"/>
    <s v="Very High"/>
    <s v="West - Retired"/>
  </r>
  <r>
    <x v="470"/>
    <s v="Aayush Aggarwal"/>
    <n v="69"/>
    <x v="1"/>
    <x v="1"/>
    <x v="3"/>
    <x v="3"/>
    <x v="0"/>
    <x v="0"/>
    <n v="0.95"/>
    <d v="2020-12-31T00:00:00"/>
    <x v="3"/>
    <x v="2"/>
    <x v="0"/>
    <s v="Dec"/>
    <s v="Q4"/>
    <s v="Senior"/>
    <s v="High"/>
    <s v="South - Retired"/>
  </r>
  <r>
    <x v="471"/>
    <s v="Jairaj Krishnan"/>
    <n v="41"/>
    <x v="1"/>
    <x v="1"/>
    <x v="0"/>
    <x v="5"/>
    <x v="1"/>
    <x v="1"/>
    <n v="0.34"/>
    <d v="2019-04-16T00:00:00"/>
    <x v="1"/>
    <x v="0"/>
    <x v="4"/>
    <s v="Apr"/>
    <s v="Q2"/>
    <s v="Adult"/>
    <s v="High"/>
    <s v="Central - Student"/>
  </r>
  <r>
    <x v="472"/>
    <s v="Saksham Shan"/>
    <n v="29"/>
    <x v="1"/>
    <x v="1"/>
    <x v="0"/>
    <x v="0"/>
    <x v="1"/>
    <x v="1"/>
    <n v="1"/>
    <d v="2020-03-09T00:00:00"/>
    <x v="0"/>
    <x v="2"/>
    <x v="0"/>
    <s v="Mar"/>
    <s v="Q1"/>
    <s v="Young"/>
    <s v="High"/>
    <s v="West - Student"/>
  </r>
  <r>
    <x v="473"/>
    <s v="Chaitanya Rama"/>
    <n v="38"/>
    <x v="1"/>
    <x v="0"/>
    <x v="1"/>
    <x v="0"/>
    <x v="0"/>
    <x v="0"/>
    <n v="0.78"/>
    <d v="2018-03-24T00:00:00"/>
    <x v="1"/>
    <x v="2"/>
    <x v="1"/>
    <s v="Mar"/>
    <s v="Q1"/>
    <s v="Adult"/>
    <s v="High"/>
    <s v="West - Salaried"/>
  </r>
  <r>
    <x v="474"/>
    <s v="Pavani Srinivasan"/>
    <n v="40"/>
    <x v="1"/>
    <x v="0"/>
    <x v="2"/>
    <x v="2"/>
    <x v="0"/>
    <x v="1"/>
    <n v="0.73"/>
    <d v="2023-07-18T00:00:00"/>
    <x v="1"/>
    <x v="2"/>
    <x v="5"/>
    <s v="Jul"/>
    <s v="Q3"/>
    <s v="Adult"/>
    <s v="Low"/>
    <s v="North - Self-employed"/>
  </r>
  <r>
    <x v="475"/>
    <s v="Lipika Konda"/>
    <n v="45"/>
    <x v="1"/>
    <x v="2"/>
    <x v="2"/>
    <x v="0"/>
    <x v="1"/>
    <x v="1"/>
    <n v="0.23"/>
    <d v="2019-03-29T00:00:00"/>
    <x v="1"/>
    <x v="1"/>
    <x v="4"/>
    <s v="Mar"/>
    <s v="Q1"/>
    <s v="Adult"/>
    <s v="High"/>
    <s v="West - Self-employed"/>
  </r>
  <r>
    <x v="476"/>
    <s v="Chandresh Bajaj"/>
    <n v="25"/>
    <x v="0"/>
    <x v="2"/>
    <x v="0"/>
    <x v="2"/>
    <x v="0"/>
    <x v="1"/>
    <n v="0.36"/>
    <d v="2020-05-22T00:00:00"/>
    <x v="0"/>
    <x v="0"/>
    <x v="0"/>
    <s v="May"/>
    <s v="Q2"/>
    <s v="Young"/>
    <s v="Low"/>
    <s v="North - Student"/>
  </r>
  <r>
    <x v="477"/>
    <s v="Jagat Chatterjee"/>
    <n v="66"/>
    <x v="0"/>
    <x v="1"/>
    <x v="3"/>
    <x v="3"/>
    <x v="1"/>
    <x v="1"/>
    <n v="0.48"/>
    <d v="2022-07-26T00:00:00"/>
    <x v="3"/>
    <x v="0"/>
    <x v="3"/>
    <s v="Jul"/>
    <s v="Q3"/>
    <s v="Senior"/>
    <s v="High"/>
    <s v="South - Retired"/>
  </r>
  <r>
    <x v="478"/>
    <s v="Sanaya Butala"/>
    <n v="38"/>
    <x v="1"/>
    <x v="2"/>
    <x v="2"/>
    <x v="3"/>
    <x v="0"/>
    <x v="0"/>
    <n v="0.43"/>
    <d v="2019-08-13T00:00:00"/>
    <x v="1"/>
    <x v="0"/>
    <x v="4"/>
    <s v="Aug"/>
    <s v="Q3"/>
    <s v="Adult"/>
    <s v="High"/>
    <s v="South - Self-employed"/>
  </r>
  <r>
    <x v="479"/>
    <s v="Kala Lad"/>
    <n v="27"/>
    <x v="1"/>
    <x v="1"/>
    <x v="3"/>
    <x v="0"/>
    <x v="0"/>
    <x v="1"/>
    <n v="0.55000000000000004"/>
    <d v="2019-06-01T00:00:00"/>
    <x v="0"/>
    <x v="0"/>
    <x v="4"/>
    <s v="Jun"/>
    <s v="Q2"/>
    <s v="Young"/>
    <s v="Low"/>
    <s v="West - Retired"/>
  </r>
  <r>
    <x v="480"/>
    <s v="Yachana Dhaliwal"/>
    <n v="35"/>
    <x v="1"/>
    <x v="2"/>
    <x v="1"/>
    <x v="1"/>
    <x v="0"/>
    <x v="1"/>
    <n v="0.6"/>
    <d v="2023-09-30T00:00:00"/>
    <x v="1"/>
    <x v="0"/>
    <x v="5"/>
    <s v="Sep"/>
    <s v="Q3"/>
    <s v="Adult"/>
    <s v="Low"/>
    <s v="East - Salaried"/>
  </r>
  <r>
    <x v="481"/>
    <s v="Janani Jani"/>
    <n v="63"/>
    <x v="1"/>
    <x v="0"/>
    <x v="2"/>
    <x v="1"/>
    <x v="1"/>
    <x v="1"/>
    <n v="0.36"/>
    <d v="2020-07-16T00:00:00"/>
    <x v="3"/>
    <x v="0"/>
    <x v="0"/>
    <s v="Jul"/>
    <s v="Q3"/>
    <s v="Senior"/>
    <s v="High"/>
    <s v="East - Self-employed"/>
  </r>
  <r>
    <x v="482"/>
    <s v="William Mall"/>
    <n v="67"/>
    <x v="0"/>
    <x v="0"/>
    <x v="2"/>
    <x v="4"/>
    <x v="1"/>
    <x v="1"/>
    <n v="0.6"/>
    <d v="2022-04-22T00:00:00"/>
    <x v="3"/>
    <x v="0"/>
    <x v="3"/>
    <s v="Apr"/>
    <s v="Q2"/>
    <s v="Senior"/>
    <s v="High"/>
    <s v="North-East - Self-employed"/>
  </r>
  <r>
    <x v="483"/>
    <s v="Nirja Balan"/>
    <n v="23"/>
    <x v="1"/>
    <x v="2"/>
    <x v="0"/>
    <x v="1"/>
    <x v="0"/>
    <x v="0"/>
    <n v="0.42"/>
    <d v="2021-08-21T00:00:00"/>
    <x v="0"/>
    <x v="0"/>
    <x v="2"/>
    <s v="Aug"/>
    <s v="Q3"/>
    <s v="Young"/>
    <s v="High"/>
    <s v="East - Student"/>
  </r>
  <r>
    <x v="484"/>
    <s v="Ekanta Prashad"/>
    <n v="36"/>
    <x v="0"/>
    <x v="1"/>
    <x v="2"/>
    <x v="1"/>
    <x v="1"/>
    <x v="0"/>
    <n v="0.5"/>
    <d v="2022-08-15T00:00:00"/>
    <x v="1"/>
    <x v="0"/>
    <x v="3"/>
    <s v="Aug"/>
    <s v="Q3"/>
    <s v="Adult"/>
    <s v="Very High"/>
    <s v="East - Self-employed"/>
  </r>
  <r>
    <x v="485"/>
    <s v="Bhanumati Mahajan"/>
    <n v="26"/>
    <x v="1"/>
    <x v="0"/>
    <x v="3"/>
    <x v="3"/>
    <x v="1"/>
    <x v="1"/>
    <n v="0.75"/>
    <d v="2018-10-28T00:00:00"/>
    <x v="0"/>
    <x v="2"/>
    <x v="1"/>
    <s v="Oct"/>
    <s v="Q4"/>
    <s v="Young"/>
    <s v="High"/>
    <s v="South - Retired"/>
  </r>
  <r>
    <x v="486"/>
    <s v="Rachana Sathe"/>
    <n v="65"/>
    <x v="1"/>
    <x v="1"/>
    <x v="1"/>
    <x v="1"/>
    <x v="1"/>
    <x v="0"/>
    <n v="0.39"/>
    <d v="2023-10-29T00:00:00"/>
    <x v="3"/>
    <x v="0"/>
    <x v="5"/>
    <s v="Oct"/>
    <s v="Q4"/>
    <s v="Senior"/>
    <s v="Very High"/>
    <s v="East - Salaried"/>
  </r>
  <r>
    <x v="487"/>
    <s v="Chatresh Chandran"/>
    <n v="42"/>
    <x v="0"/>
    <x v="2"/>
    <x v="0"/>
    <x v="3"/>
    <x v="1"/>
    <x v="0"/>
    <n v="0.57999999999999996"/>
    <d v="2020-07-04T00:00:00"/>
    <x v="1"/>
    <x v="0"/>
    <x v="0"/>
    <s v="Jul"/>
    <s v="Q3"/>
    <s v="Adult"/>
    <s v="Very High"/>
    <s v="South - Student"/>
  </r>
  <r>
    <x v="488"/>
    <s v="Lakshit Loke"/>
    <n v="21"/>
    <x v="1"/>
    <x v="2"/>
    <x v="0"/>
    <x v="1"/>
    <x v="0"/>
    <x v="1"/>
    <n v="0.32"/>
    <d v="2022-03-05T00:00:00"/>
    <x v="0"/>
    <x v="0"/>
    <x v="3"/>
    <s v="Mar"/>
    <s v="Q1"/>
    <s v="Young"/>
    <s v="Low"/>
    <s v="East - Student"/>
  </r>
  <r>
    <x v="489"/>
    <s v="Yashica Doshi"/>
    <n v="37"/>
    <x v="0"/>
    <x v="1"/>
    <x v="3"/>
    <x v="4"/>
    <x v="0"/>
    <x v="1"/>
    <n v="0.51"/>
    <d v="2018-02-04T00:00:00"/>
    <x v="1"/>
    <x v="0"/>
    <x v="1"/>
    <s v="Feb"/>
    <s v="Q1"/>
    <s v="Adult"/>
    <s v="Low"/>
    <s v="North-East - Retired"/>
  </r>
  <r>
    <x v="490"/>
    <s v="Tristan Varghese"/>
    <n v="22"/>
    <x v="1"/>
    <x v="0"/>
    <x v="3"/>
    <x v="2"/>
    <x v="0"/>
    <x v="1"/>
    <n v="0.69"/>
    <d v="2020-12-29T00:00:00"/>
    <x v="0"/>
    <x v="0"/>
    <x v="0"/>
    <s v="Dec"/>
    <s v="Q4"/>
    <s v="Young"/>
    <s v="Low"/>
    <s v="North - Retired"/>
  </r>
  <r>
    <x v="491"/>
    <s v="Bhavya Agarwal"/>
    <n v="58"/>
    <x v="1"/>
    <x v="0"/>
    <x v="2"/>
    <x v="3"/>
    <x v="0"/>
    <x v="1"/>
    <n v="0.72"/>
    <d v="2019-12-11T00:00:00"/>
    <x v="2"/>
    <x v="2"/>
    <x v="4"/>
    <s v="Dec"/>
    <s v="Q4"/>
    <s v="Senior"/>
    <s v="Low"/>
    <s v="South - Self-employed"/>
  </r>
  <r>
    <x v="492"/>
    <s v="Mahika Dhaliwal"/>
    <n v="32"/>
    <x v="1"/>
    <x v="1"/>
    <x v="0"/>
    <x v="5"/>
    <x v="1"/>
    <x v="1"/>
    <n v="0.35"/>
    <d v="2020-10-06T00:00:00"/>
    <x v="1"/>
    <x v="0"/>
    <x v="0"/>
    <s v="Oct"/>
    <s v="Q4"/>
    <s v="Adult"/>
    <s v="High"/>
    <s v="Central - Student"/>
  </r>
  <r>
    <x v="493"/>
    <s v="Hiral Tella"/>
    <n v="58"/>
    <x v="1"/>
    <x v="2"/>
    <x v="1"/>
    <x v="2"/>
    <x v="0"/>
    <x v="0"/>
    <n v="0.81"/>
    <d v="2021-10-03T00:00:00"/>
    <x v="2"/>
    <x v="2"/>
    <x v="2"/>
    <s v="Oct"/>
    <s v="Q4"/>
    <s v="Senior"/>
    <s v="High"/>
    <s v="North - Salaried"/>
  </r>
  <r>
    <x v="494"/>
    <s v="Watika Lala"/>
    <n v="25"/>
    <x v="1"/>
    <x v="0"/>
    <x v="3"/>
    <x v="2"/>
    <x v="0"/>
    <x v="1"/>
    <n v="0.37"/>
    <d v="2022-01-27T00:00:00"/>
    <x v="0"/>
    <x v="0"/>
    <x v="3"/>
    <s v="Jan"/>
    <s v="Q1"/>
    <s v="Young"/>
    <s v="Low"/>
    <s v="North - Retired"/>
  </r>
  <r>
    <x v="495"/>
    <s v="Devika Dutta"/>
    <n v="48"/>
    <x v="0"/>
    <x v="1"/>
    <x v="1"/>
    <x v="5"/>
    <x v="0"/>
    <x v="1"/>
    <n v="0.65"/>
    <d v="2019-10-16T00:00:00"/>
    <x v="2"/>
    <x v="0"/>
    <x v="4"/>
    <s v="Oct"/>
    <s v="Q4"/>
    <s v="Adult"/>
    <s v="Low"/>
    <s v="Central - Salaried"/>
  </r>
  <r>
    <x v="496"/>
    <s v="Hemangini Sha"/>
    <n v="46"/>
    <x v="0"/>
    <x v="0"/>
    <x v="3"/>
    <x v="0"/>
    <x v="1"/>
    <x v="1"/>
    <n v="0.14000000000000001"/>
    <d v="2021-02-09T00:00:00"/>
    <x v="2"/>
    <x v="1"/>
    <x v="2"/>
    <s v="Feb"/>
    <s v="Q1"/>
    <s v="Adult"/>
    <s v="High"/>
    <s v="West - Retired"/>
  </r>
  <r>
    <x v="497"/>
    <s v="Falak Pal"/>
    <n v="58"/>
    <x v="1"/>
    <x v="1"/>
    <x v="1"/>
    <x v="3"/>
    <x v="0"/>
    <x v="0"/>
    <n v="0.68"/>
    <d v="2023-06-20T00:00:00"/>
    <x v="2"/>
    <x v="0"/>
    <x v="5"/>
    <s v="Jun"/>
    <s v="Q2"/>
    <s v="Senior"/>
    <s v="High"/>
    <s v="South - Salaried"/>
  </r>
  <r>
    <x v="498"/>
    <s v="Azad Bhat"/>
    <n v="58"/>
    <x v="0"/>
    <x v="2"/>
    <x v="1"/>
    <x v="5"/>
    <x v="1"/>
    <x v="1"/>
    <n v="0.53"/>
    <d v="2018-03-07T00:00:00"/>
    <x v="2"/>
    <x v="0"/>
    <x v="1"/>
    <s v="Mar"/>
    <s v="Q1"/>
    <s v="Senior"/>
    <s v="High"/>
    <s v="Central - Salaried"/>
  </r>
  <r>
    <x v="499"/>
    <s v="Aishani Sandhu"/>
    <n v="60"/>
    <x v="0"/>
    <x v="1"/>
    <x v="1"/>
    <x v="1"/>
    <x v="0"/>
    <x v="0"/>
    <n v="0.27"/>
    <d v="2021-10-29T00:00:00"/>
    <x v="2"/>
    <x v="1"/>
    <x v="2"/>
    <s v="Oct"/>
    <s v="Q4"/>
    <s v="Senior"/>
    <s v="High"/>
    <s v="East - Salaried"/>
  </r>
  <r>
    <x v="500"/>
    <s v="Arjun Bhagat"/>
    <n v="44"/>
    <x v="1"/>
    <x v="1"/>
    <x v="1"/>
    <x v="4"/>
    <x v="1"/>
    <x v="0"/>
    <n v="0.18"/>
    <d v="2020-08-24T00:00:00"/>
    <x v="1"/>
    <x v="1"/>
    <x v="0"/>
    <s v="Aug"/>
    <s v="Q3"/>
    <s v="Adult"/>
    <s v="Very High"/>
    <s v="North-East - Salaried"/>
  </r>
  <r>
    <x v="501"/>
    <s v="Joshua Kibe"/>
    <n v="23"/>
    <x v="0"/>
    <x v="0"/>
    <x v="0"/>
    <x v="4"/>
    <x v="0"/>
    <x v="1"/>
    <n v="0.13"/>
    <d v="2022-09-09T00:00:00"/>
    <x v="0"/>
    <x v="1"/>
    <x v="3"/>
    <s v="Sep"/>
    <s v="Q3"/>
    <s v="Young"/>
    <s v="Low"/>
    <s v="North-East - Student"/>
  </r>
  <r>
    <x v="502"/>
    <s v="Gaurav Gill"/>
    <n v="42"/>
    <x v="1"/>
    <x v="2"/>
    <x v="2"/>
    <x v="5"/>
    <x v="1"/>
    <x v="0"/>
    <n v="0.2"/>
    <d v="2021-11-21T00:00:00"/>
    <x v="1"/>
    <x v="1"/>
    <x v="2"/>
    <s v="Nov"/>
    <s v="Q4"/>
    <s v="Adult"/>
    <s v="Very High"/>
    <s v="Central - Self-employed"/>
  </r>
  <r>
    <x v="503"/>
    <s v="Indali Chakraborty"/>
    <n v="22"/>
    <x v="1"/>
    <x v="1"/>
    <x v="3"/>
    <x v="5"/>
    <x v="1"/>
    <x v="0"/>
    <n v="0.47"/>
    <d v="2022-05-12T00:00:00"/>
    <x v="0"/>
    <x v="0"/>
    <x v="3"/>
    <s v="May"/>
    <s v="Q2"/>
    <s v="Young"/>
    <s v="Very High"/>
    <s v="Central - Retired"/>
  </r>
  <r>
    <x v="504"/>
    <s v="Ayushman Lalla"/>
    <n v="39"/>
    <x v="0"/>
    <x v="1"/>
    <x v="2"/>
    <x v="2"/>
    <x v="1"/>
    <x v="0"/>
    <n v="0.6"/>
    <d v="2018-11-20T00:00:00"/>
    <x v="1"/>
    <x v="0"/>
    <x v="1"/>
    <s v="Nov"/>
    <s v="Q4"/>
    <s v="Adult"/>
    <s v="Very High"/>
    <s v="North - Self-employed"/>
  </r>
  <r>
    <x v="505"/>
    <s v="Radhika Nair"/>
    <n v="21"/>
    <x v="0"/>
    <x v="2"/>
    <x v="0"/>
    <x v="1"/>
    <x v="0"/>
    <x v="0"/>
    <n v="0.7"/>
    <d v="2020-05-14T00:00:00"/>
    <x v="0"/>
    <x v="2"/>
    <x v="0"/>
    <s v="May"/>
    <s v="Q2"/>
    <s v="Young"/>
    <s v="High"/>
    <s v="East - Student"/>
  </r>
  <r>
    <x v="506"/>
    <s v="Aarna Muni"/>
    <n v="25"/>
    <x v="0"/>
    <x v="2"/>
    <x v="3"/>
    <x v="2"/>
    <x v="0"/>
    <x v="0"/>
    <n v="0.42"/>
    <d v="2023-08-16T00:00:00"/>
    <x v="0"/>
    <x v="0"/>
    <x v="5"/>
    <s v="Aug"/>
    <s v="Q3"/>
    <s v="Young"/>
    <s v="High"/>
    <s v="North - Retired"/>
  </r>
  <r>
    <x v="507"/>
    <s v="Chakradhar Mody"/>
    <n v="21"/>
    <x v="1"/>
    <x v="2"/>
    <x v="1"/>
    <x v="0"/>
    <x v="0"/>
    <x v="1"/>
    <n v="0.53"/>
    <d v="2018-06-11T00:00:00"/>
    <x v="0"/>
    <x v="0"/>
    <x v="1"/>
    <s v="Jun"/>
    <s v="Q2"/>
    <s v="Young"/>
    <s v="Low"/>
    <s v="West - Salaried"/>
  </r>
  <r>
    <x v="508"/>
    <s v="Maanas Sarraf"/>
    <n v="31"/>
    <x v="1"/>
    <x v="0"/>
    <x v="3"/>
    <x v="3"/>
    <x v="1"/>
    <x v="0"/>
    <n v="0.7"/>
    <d v="2020-07-15T00:00:00"/>
    <x v="1"/>
    <x v="2"/>
    <x v="0"/>
    <s v="Jul"/>
    <s v="Q3"/>
    <s v="Adult"/>
    <s v="Very High"/>
    <s v="South - Retired"/>
  </r>
  <r>
    <x v="509"/>
    <s v="Theodore Mital"/>
    <n v="30"/>
    <x v="0"/>
    <x v="2"/>
    <x v="2"/>
    <x v="1"/>
    <x v="0"/>
    <x v="1"/>
    <n v="0.31"/>
    <d v="2020-11-09T00:00:00"/>
    <x v="0"/>
    <x v="0"/>
    <x v="0"/>
    <s v="Nov"/>
    <s v="Q4"/>
    <s v="Adult"/>
    <s v="Low"/>
    <s v="East - Self-employed"/>
  </r>
  <r>
    <x v="510"/>
    <s v="Aryan Chhabra"/>
    <n v="43"/>
    <x v="0"/>
    <x v="0"/>
    <x v="0"/>
    <x v="2"/>
    <x v="1"/>
    <x v="1"/>
    <n v="0.41"/>
    <d v="2022-01-27T00:00:00"/>
    <x v="1"/>
    <x v="0"/>
    <x v="3"/>
    <s v="Jan"/>
    <s v="Q1"/>
    <s v="Adult"/>
    <s v="High"/>
    <s v="North - Student"/>
  </r>
  <r>
    <x v="511"/>
    <s v="Jasmit Tata"/>
    <n v="66"/>
    <x v="0"/>
    <x v="1"/>
    <x v="3"/>
    <x v="5"/>
    <x v="1"/>
    <x v="0"/>
    <n v="0.56000000000000005"/>
    <d v="2021-07-03T00:00:00"/>
    <x v="3"/>
    <x v="0"/>
    <x v="2"/>
    <s v="Jul"/>
    <s v="Q3"/>
    <s v="Senior"/>
    <s v="Very High"/>
    <s v="Central - Retired"/>
  </r>
  <r>
    <x v="512"/>
    <s v="Dayamai Swamy"/>
    <n v="39"/>
    <x v="0"/>
    <x v="1"/>
    <x v="2"/>
    <x v="1"/>
    <x v="0"/>
    <x v="1"/>
    <n v="0.43"/>
    <d v="2019-07-31T00:00:00"/>
    <x v="1"/>
    <x v="0"/>
    <x v="4"/>
    <s v="Jul"/>
    <s v="Q3"/>
    <s v="Adult"/>
    <s v="Low"/>
    <s v="East - Self-employed"/>
  </r>
  <r>
    <x v="513"/>
    <s v="Aashi Keer"/>
    <n v="52"/>
    <x v="1"/>
    <x v="1"/>
    <x v="3"/>
    <x v="5"/>
    <x v="1"/>
    <x v="0"/>
    <n v="0.61"/>
    <d v="2018-03-04T00:00:00"/>
    <x v="2"/>
    <x v="0"/>
    <x v="1"/>
    <s v="Mar"/>
    <s v="Q1"/>
    <s v="Senior"/>
    <s v="Very High"/>
    <s v="Central - Retired"/>
  </r>
  <r>
    <x v="514"/>
    <s v="Oviya Chacko"/>
    <n v="43"/>
    <x v="1"/>
    <x v="1"/>
    <x v="0"/>
    <x v="1"/>
    <x v="0"/>
    <x v="0"/>
    <n v="0.6"/>
    <d v="2019-12-30T00:00:00"/>
    <x v="1"/>
    <x v="0"/>
    <x v="4"/>
    <s v="Dec"/>
    <s v="Q4"/>
    <s v="Adult"/>
    <s v="High"/>
    <s v="East - Student"/>
  </r>
  <r>
    <x v="515"/>
    <s v="Nimrat Warrior"/>
    <n v="61"/>
    <x v="1"/>
    <x v="1"/>
    <x v="0"/>
    <x v="3"/>
    <x v="0"/>
    <x v="1"/>
    <n v="0.54"/>
    <d v="2019-10-31T00:00:00"/>
    <x v="3"/>
    <x v="0"/>
    <x v="4"/>
    <s v="Oct"/>
    <s v="Q4"/>
    <s v="Senior"/>
    <s v="Low"/>
    <s v="South - Student"/>
  </r>
  <r>
    <x v="516"/>
    <s v="Nihal Nadkarni"/>
    <n v="20"/>
    <x v="0"/>
    <x v="0"/>
    <x v="0"/>
    <x v="5"/>
    <x v="1"/>
    <x v="0"/>
    <n v="0.69"/>
    <d v="2019-12-14T00:00:00"/>
    <x v="0"/>
    <x v="0"/>
    <x v="4"/>
    <s v="Dec"/>
    <s v="Q4"/>
    <s v="Young"/>
    <s v="Very High"/>
    <s v="Central - Student"/>
  </r>
  <r>
    <x v="517"/>
    <s v="Jonathan Shanker"/>
    <n v="46"/>
    <x v="1"/>
    <x v="2"/>
    <x v="2"/>
    <x v="1"/>
    <x v="1"/>
    <x v="0"/>
    <n v="0.57999999999999996"/>
    <d v="2021-11-11T00:00:00"/>
    <x v="2"/>
    <x v="0"/>
    <x v="2"/>
    <s v="Nov"/>
    <s v="Q4"/>
    <s v="Adult"/>
    <s v="Very High"/>
    <s v="East - Self-employed"/>
  </r>
  <r>
    <x v="518"/>
    <s v="Meera Sethi"/>
    <n v="33"/>
    <x v="1"/>
    <x v="1"/>
    <x v="0"/>
    <x v="5"/>
    <x v="1"/>
    <x v="0"/>
    <n v="0.6"/>
    <d v="2019-07-04T00:00:00"/>
    <x v="1"/>
    <x v="0"/>
    <x v="4"/>
    <s v="Jul"/>
    <s v="Q3"/>
    <s v="Adult"/>
    <s v="Very High"/>
    <s v="Central - Student"/>
  </r>
  <r>
    <x v="519"/>
    <s v="Lila Panchal"/>
    <n v="65"/>
    <x v="0"/>
    <x v="1"/>
    <x v="3"/>
    <x v="1"/>
    <x v="1"/>
    <x v="0"/>
    <n v="0.73"/>
    <d v="2022-05-03T00:00:00"/>
    <x v="3"/>
    <x v="2"/>
    <x v="3"/>
    <s v="May"/>
    <s v="Q2"/>
    <s v="Senior"/>
    <s v="Very High"/>
    <s v="East - Retired"/>
  </r>
  <r>
    <x v="520"/>
    <s v="Michael De"/>
    <n v="66"/>
    <x v="1"/>
    <x v="2"/>
    <x v="0"/>
    <x v="3"/>
    <x v="0"/>
    <x v="0"/>
    <n v="0.41"/>
    <d v="2021-02-10T00:00:00"/>
    <x v="3"/>
    <x v="0"/>
    <x v="2"/>
    <s v="Feb"/>
    <s v="Q1"/>
    <s v="Senior"/>
    <s v="High"/>
    <s v="South - Student"/>
  </r>
  <r>
    <x v="521"/>
    <s v="Faraj Sathe"/>
    <n v="25"/>
    <x v="0"/>
    <x v="1"/>
    <x v="3"/>
    <x v="4"/>
    <x v="1"/>
    <x v="0"/>
    <n v="0.55000000000000004"/>
    <d v="2018-05-06T00:00:00"/>
    <x v="0"/>
    <x v="0"/>
    <x v="1"/>
    <s v="May"/>
    <s v="Q2"/>
    <s v="Young"/>
    <s v="Very High"/>
    <s v="North-East - Retired"/>
  </r>
  <r>
    <x v="522"/>
    <s v="Chaaya Solanki"/>
    <n v="38"/>
    <x v="1"/>
    <x v="1"/>
    <x v="1"/>
    <x v="0"/>
    <x v="0"/>
    <x v="1"/>
    <n v="0.4"/>
    <d v="2020-11-18T00:00:00"/>
    <x v="1"/>
    <x v="0"/>
    <x v="0"/>
    <s v="Nov"/>
    <s v="Q4"/>
    <s v="Adult"/>
    <s v="Low"/>
    <s v="West - Salaried"/>
  </r>
  <r>
    <x v="523"/>
    <s v="Faris Dutta"/>
    <n v="28"/>
    <x v="1"/>
    <x v="2"/>
    <x v="2"/>
    <x v="2"/>
    <x v="1"/>
    <x v="0"/>
    <n v="0.69"/>
    <d v="2018-09-09T00:00:00"/>
    <x v="0"/>
    <x v="0"/>
    <x v="1"/>
    <s v="Sep"/>
    <s v="Q3"/>
    <s v="Young"/>
    <s v="Very High"/>
    <s v="North - Self-employed"/>
  </r>
  <r>
    <x v="524"/>
    <s v="Yashvi Mitter"/>
    <n v="61"/>
    <x v="1"/>
    <x v="1"/>
    <x v="2"/>
    <x v="3"/>
    <x v="0"/>
    <x v="0"/>
    <n v="0.82"/>
    <d v="2019-06-30T00:00:00"/>
    <x v="3"/>
    <x v="2"/>
    <x v="4"/>
    <s v="Jun"/>
    <s v="Q2"/>
    <s v="Senior"/>
    <s v="High"/>
    <s v="South - Self-employed"/>
  </r>
  <r>
    <x v="525"/>
    <s v="Charvi Dhingra"/>
    <n v="40"/>
    <x v="1"/>
    <x v="0"/>
    <x v="2"/>
    <x v="5"/>
    <x v="1"/>
    <x v="0"/>
    <n v="0.18"/>
    <d v="2020-12-16T00:00:00"/>
    <x v="1"/>
    <x v="1"/>
    <x v="0"/>
    <s v="Dec"/>
    <s v="Q4"/>
    <s v="Adult"/>
    <s v="Very High"/>
    <s v="Central - Self-employed"/>
  </r>
  <r>
    <x v="526"/>
    <s v="Wahab Munshi"/>
    <n v="54"/>
    <x v="0"/>
    <x v="2"/>
    <x v="0"/>
    <x v="0"/>
    <x v="0"/>
    <x v="0"/>
    <n v="0.53"/>
    <d v="2023-02-11T00:00:00"/>
    <x v="2"/>
    <x v="0"/>
    <x v="5"/>
    <s v="Feb"/>
    <s v="Q1"/>
    <s v="Senior"/>
    <s v="High"/>
    <s v="West - Student"/>
  </r>
  <r>
    <x v="527"/>
    <s v="Damyanti Saini"/>
    <n v="27"/>
    <x v="0"/>
    <x v="1"/>
    <x v="3"/>
    <x v="3"/>
    <x v="1"/>
    <x v="0"/>
    <n v="0.5"/>
    <d v="2021-02-28T00:00:00"/>
    <x v="0"/>
    <x v="0"/>
    <x v="2"/>
    <s v="Feb"/>
    <s v="Q1"/>
    <s v="Young"/>
    <s v="Very High"/>
    <s v="South - Retired"/>
  </r>
  <r>
    <x v="528"/>
    <s v="Gabriel Nayar"/>
    <n v="40"/>
    <x v="0"/>
    <x v="1"/>
    <x v="0"/>
    <x v="4"/>
    <x v="0"/>
    <x v="1"/>
    <n v="0.51"/>
    <d v="2019-12-24T00:00:00"/>
    <x v="1"/>
    <x v="0"/>
    <x v="4"/>
    <s v="Dec"/>
    <s v="Q4"/>
    <s v="Adult"/>
    <s v="Low"/>
    <s v="North-East - Student"/>
  </r>
  <r>
    <x v="529"/>
    <s v="Zayyan Parekh"/>
    <n v="32"/>
    <x v="0"/>
    <x v="1"/>
    <x v="3"/>
    <x v="0"/>
    <x v="0"/>
    <x v="0"/>
    <n v="0.57999999999999996"/>
    <d v="2022-02-18T00:00:00"/>
    <x v="1"/>
    <x v="0"/>
    <x v="3"/>
    <s v="Feb"/>
    <s v="Q1"/>
    <s v="Adult"/>
    <s v="High"/>
    <s v="West - Retired"/>
  </r>
  <r>
    <x v="530"/>
    <s v="Anay Ratta"/>
    <n v="28"/>
    <x v="1"/>
    <x v="0"/>
    <x v="2"/>
    <x v="4"/>
    <x v="1"/>
    <x v="0"/>
    <n v="0.55000000000000004"/>
    <d v="2021-07-23T00:00:00"/>
    <x v="0"/>
    <x v="0"/>
    <x v="2"/>
    <s v="Jul"/>
    <s v="Q3"/>
    <s v="Young"/>
    <s v="Very High"/>
    <s v="North-East - Self-employed"/>
  </r>
  <r>
    <x v="531"/>
    <s v="Harrison Tailor"/>
    <n v="34"/>
    <x v="1"/>
    <x v="1"/>
    <x v="0"/>
    <x v="5"/>
    <x v="1"/>
    <x v="1"/>
    <n v="0.28999999999999998"/>
    <d v="2020-05-31T00:00:00"/>
    <x v="1"/>
    <x v="1"/>
    <x v="0"/>
    <s v="May"/>
    <s v="Q2"/>
    <s v="Adult"/>
    <s v="High"/>
    <s v="Central - Student"/>
  </r>
  <r>
    <x v="532"/>
    <s v="Pushti Kaur"/>
    <n v="66"/>
    <x v="0"/>
    <x v="1"/>
    <x v="3"/>
    <x v="4"/>
    <x v="1"/>
    <x v="0"/>
    <n v="0.46"/>
    <d v="2021-02-24T00:00:00"/>
    <x v="3"/>
    <x v="0"/>
    <x v="2"/>
    <s v="Feb"/>
    <s v="Q1"/>
    <s v="Senior"/>
    <s v="Very High"/>
    <s v="North-East - Retired"/>
  </r>
  <r>
    <x v="533"/>
    <s v="Umang Nazareth"/>
    <n v="57"/>
    <x v="1"/>
    <x v="0"/>
    <x v="0"/>
    <x v="0"/>
    <x v="0"/>
    <x v="0"/>
    <n v="0.56999999999999995"/>
    <d v="2022-07-01T00:00:00"/>
    <x v="2"/>
    <x v="0"/>
    <x v="3"/>
    <s v="Jul"/>
    <s v="Q3"/>
    <s v="Senior"/>
    <s v="High"/>
    <s v="West - Student"/>
  </r>
  <r>
    <x v="534"/>
    <s v="Xiti Thakkar"/>
    <n v="25"/>
    <x v="0"/>
    <x v="1"/>
    <x v="0"/>
    <x v="1"/>
    <x v="0"/>
    <x v="1"/>
    <n v="0.19"/>
    <d v="2023-03-19T00:00:00"/>
    <x v="0"/>
    <x v="1"/>
    <x v="5"/>
    <s v="Mar"/>
    <s v="Q1"/>
    <s v="Young"/>
    <s v="Low"/>
    <s v="East - Student"/>
  </r>
  <r>
    <x v="535"/>
    <s v="Dhruv Wable"/>
    <n v="42"/>
    <x v="0"/>
    <x v="1"/>
    <x v="0"/>
    <x v="5"/>
    <x v="1"/>
    <x v="0"/>
    <n v="0.56000000000000005"/>
    <d v="2018-03-25T00:00:00"/>
    <x v="1"/>
    <x v="0"/>
    <x v="1"/>
    <s v="Mar"/>
    <s v="Q1"/>
    <s v="Adult"/>
    <s v="Very High"/>
    <s v="Central - Student"/>
  </r>
  <r>
    <x v="536"/>
    <s v="Harrison Bassi"/>
    <n v="51"/>
    <x v="0"/>
    <x v="2"/>
    <x v="1"/>
    <x v="5"/>
    <x v="0"/>
    <x v="1"/>
    <n v="0.93"/>
    <d v="2019-02-07T00:00:00"/>
    <x v="2"/>
    <x v="2"/>
    <x v="4"/>
    <s v="Feb"/>
    <s v="Q1"/>
    <s v="Senior"/>
    <s v="Low"/>
    <s v="Central - Salaried"/>
  </r>
  <r>
    <x v="537"/>
    <s v="Deepa Hayre"/>
    <n v="56"/>
    <x v="1"/>
    <x v="0"/>
    <x v="3"/>
    <x v="3"/>
    <x v="1"/>
    <x v="1"/>
    <n v="0.39"/>
    <d v="2021-04-15T00:00:00"/>
    <x v="2"/>
    <x v="0"/>
    <x v="2"/>
    <s v="Apr"/>
    <s v="Q2"/>
    <s v="Senior"/>
    <s v="High"/>
    <s v="South - Retired"/>
  </r>
  <r>
    <x v="538"/>
    <s v="Ayushman Dani"/>
    <n v="25"/>
    <x v="0"/>
    <x v="0"/>
    <x v="3"/>
    <x v="2"/>
    <x v="0"/>
    <x v="0"/>
    <n v="0.64"/>
    <d v="2023-03-19T00:00:00"/>
    <x v="0"/>
    <x v="0"/>
    <x v="5"/>
    <s v="Mar"/>
    <s v="Q1"/>
    <s v="Young"/>
    <s v="High"/>
    <s v="North - Retired"/>
  </r>
  <r>
    <x v="539"/>
    <s v="Aayush Khatri"/>
    <n v="38"/>
    <x v="0"/>
    <x v="0"/>
    <x v="3"/>
    <x v="3"/>
    <x v="0"/>
    <x v="1"/>
    <n v="0.37"/>
    <d v="2022-03-09T00:00:00"/>
    <x v="1"/>
    <x v="0"/>
    <x v="3"/>
    <s v="Mar"/>
    <s v="Q1"/>
    <s v="Adult"/>
    <s v="Low"/>
    <s v="South - Retired"/>
  </r>
  <r>
    <x v="540"/>
    <s v="Lucky Chaudhry"/>
    <n v="19"/>
    <x v="1"/>
    <x v="1"/>
    <x v="0"/>
    <x v="0"/>
    <x v="0"/>
    <x v="0"/>
    <n v="0.45"/>
    <d v="2020-10-23T00:00:00"/>
    <x v="0"/>
    <x v="0"/>
    <x v="0"/>
    <s v="Oct"/>
    <s v="Q4"/>
    <s v="Young"/>
    <s v="High"/>
    <s v="West - Student"/>
  </r>
  <r>
    <x v="541"/>
    <s v="Chatresh Bhardwaj"/>
    <n v="50"/>
    <x v="0"/>
    <x v="2"/>
    <x v="3"/>
    <x v="5"/>
    <x v="0"/>
    <x v="1"/>
    <n v="0.36"/>
    <d v="2018-07-16T00:00:00"/>
    <x v="2"/>
    <x v="0"/>
    <x v="1"/>
    <s v="Jul"/>
    <s v="Q3"/>
    <s v="Adult"/>
    <s v="Low"/>
    <s v="Central - Retired"/>
  </r>
  <r>
    <x v="542"/>
    <s v="Henry Sekhon"/>
    <n v="63"/>
    <x v="1"/>
    <x v="0"/>
    <x v="0"/>
    <x v="0"/>
    <x v="1"/>
    <x v="0"/>
    <n v="0.6"/>
    <d v="2023-09-20T00:00:00"/>
    <x v="3"/>
    <x v="0"/>
    <x v="5"/>
    <s v="Sep"/>
    <s v="Q3"/>
    <s v="Senior"/>
    <s v="Very High"/>
    <s v="West - Student"/>
  </r>
  <r>
    <x v="543"/>
    <s v="Chameli Soman"/>
    <n v="58"/>
    <x v="0"/>
    <x v="1"/>
    <x v="1"/>
    <x v="0"/>
    <x v="1"/>
    <x v="0"/>
    <n v="0.64"/>
    <d v="2021-04-02T00:00:00"/>
    <x v="2"/>
    <x v="0"/>
    <x v="2"/>
    <s v="Apr"/>
    <s v="Q2"/>
    <s v="Senior"/>
    <s v="Very High"/>
    <s v="West - Salaried"/>
  </r>
  <r>
    <x v="544"/>
    <s v="Wridesh Chhabra"/>
    <n v="40"/>
    <x v="0"/>
    <x v="2"/>
    <x v="0"/>
    <x v="0"/>
    <x v="1"/>
    <x v="0"/>
    <n v="0.57999999999999996"/>
    <d v="2020-06-12T00:00:00"/>
    <x v="1"/>
    <x v="0"/>
    <x v="0"/>
    <s v="Jun"/>
    <s v="Q2"/>
    <s v="Adult"/>
    <s v="Very High"/>
    <s v="West - Student"/>
  </r>
  <r>
    <x v="545"/>
    <s v="Hardik Shukla"/>
    <n v="33"/>
    <x v="0"/>
    <x v="2"/>
    <x v="2"/>
    <x v="0"/>
    <x v="0"/>
    <x v="0"/>
    <n v="0.43"/>
    <d v="2022-01-24T00:00:00"/>
    <x v="1"/>
    <x v="0"/>
    <x v="3"/>
    <s v="Jan"/>
    <s v="Q1"/>
    <s v="Adult"/>
    <s v="High"/>
    <s v="West - Self-employed"/>
  </r>
  <r>
    <x v="546"/>
    <s v="Chakradev Cheema"/>
    <n v="52"/>
    <x v="1"/>
    <x v="1"/>
    <x v="0"/>
    <x v="4"/>
    <x v="0"/>
    <x v="1"/>
    <n v="0.37"/>
    <d v="2020-04-27T00:00:00"/>
    <x v="2"/>
    <x v="0"/>
    <x v="0"/>
    <s v="Apr"/>
    <s v="Q2"/>
    <s v="Senior"/>
    <s v="Low"/>
    <s v="North-East - Student"/>
  </r>
  <r>
    <x v="547"/>
    <s v="Bhavani Shukla"/>
    <n v="19"/>
    <x v="1"/>
    <x v="1"/>
    <x v="0"/>
    <x v="4"/>
    <x v="1"/>
    <x v="0"/>
    <n v="0.27"/>
    <d v="2022-04-01T00:00:00"/>
    <x v="0"/>
    <x v="1"/>
    <x v="3"/>
    <s v="Apr"/>
    <s v="Q2"/>
    <s v="Young"/>
    <s v="Very High"/>
    <s v="North-East - Student"/>
  </r>
  <r>
    <x v="548"/>
    <s v="Harini Kapoor"/>
    <n v="45"/>
    <x v="0"/>
    <x v="1"/>
    <x v="1"/>
    <x v="5"/>
    <x v="0"/>
    <x v="0"/>
    <n v="0.67"/>
    <d v="2021-10-11T00:00:00"/>
    <x v="1"/>
    <x v="0"/>
    <x v="2"/>
    <s v="Oct"/>
    <s v="Q4"/>
    <s v="Adult"/>
    <s v="High"/>
    <s v="Central - Salaried"/>
  </r>
  <r>
    <x v="549"/>
    <s v="Noah Dar"/>
    <n v="43"/>
    <x v="1"/>
    <x v="2"/>
    <x v="2"/>
    <x v="2"/>
    <x v="1"/>
    <x v="1"/>
    <n v="0.62"/>
    <d v="2020-04-02T00:00:00"/>
    <x v="1"/>
    <x v="0"/>
    <x v="0"/>
    <s v="Apr"/>
    <s v="Q2"/>
    <s v="Adult"/>
    <s v="High"/>
    <s v="North - Self-employed"/>
  </r>
  <r>
    <x v="550"/>
    <s v="Urmi Ganesan"/>
    <n v="25"/>
    <x v="1"/>
    <x v="0"/>
    <x v="1"/>
    <x v="2"/>
    <x v="0"/>
    <x v="0"/>
    <n v="0.56000000000000005"/>
    <d v="2022-05-12T00:00:00"/>
    <x v="0"/>
    <x v="0"/>
    <x v="3"/>
    <s v="May"/>
    <s v="Q2"/>
    <s v="Young"/>
    <s v="High"/>
    <s v="North - Salaried"/>
  </r>
  <r>
    <x v="551"/>
    <s v="Aarush Sinha"/>
    <n v="29"/>
    <x v="1"/>
    <x v="0"/>
    <x v="0"/>
    <x v="5"/>
    <x v="0"/>
    <x v="0"/>
    <n v="0.49"/>
    <d v="2021-05-15T00:00:00"/>
    <x v="0"/>
    <x v="0"/>
    <x v="2"/>
    <s v="May"/>
    <s v="Q2"/>
    <s v="Young"/>
    <s v="High"/>
    <s v="Central - Student"/>
  </r>
  <r>
    <x v="552"/>
    <s v="Upadhriti Bhalla"/>
    <n v="45"/>
    <x v="0"/>
    <x v="0"/>
    <x v="2"/>
    <x v="4"/>
    <x v="0"/>
    <x v="0"/>
    <n v="0.44"/>
    <d v="2023-05-06T00:00:00"/>
    <x v="1"/>
    <x v="0"/>
    <x v="5"/>
    <s v="May"/>
    <s v="Q2"/>
    <s v="Adult"/>
    <s v="High"/>
    <s v="North-East - Self-employed"/>
  </r>
  <r>
    <x v="553"/>
    <s v="Upadhriti Choudhury"/>
    <n v="67"/>
    <x v="0"/>
    <x v="1"/>
    <x v="0"/>
    <x v="1"/>
    <x v="1"/>
    <x v="1"/>
    <n v="0.37"/>
    <d v="2019-10-31T00:00:00"/>
    <x v="3"/>
    <x v="0"/>
    <x v="4"/>
    <s v="Oct"/>
    <s v="Q4"/>
    <s v="Senior"/>
    <s v="High"/>
    <s v="East - Student"/>
  </r>
  <r>
    <x v="554"/>
    <s v="Vedhika Nigam"/>
    <n v="55"/>
    <x v="1"/>
    <x v="0"/>
    <x v="2"/>
    <x v="2"/>
    <x v="1"/>
    <x v="1"/>
    <n v="0.6"/>
    <d v="2021-03-22T00:00:00"/>
    <x v="2"/>
    <x v="0"/>
    <x v="2"/>
    <s v="Mar"/>
    <s v="Q1"/>
    <s v="Senior"/>
    <s v="High"/>
    <s v="North - Self-employed"/>
  </r>
  <r>
    <x v="555"/>
    <s v="Banjeet Sem"/>
    <n v="49"/>
    <x v="0"/>
    <x v="2"/>
    <x v="0"/>
    <x v="0"/>
    <x v="1"/>
    <x v="0"/>
    <n v="0.53"/>
    <d v="2018-10-04T00:00:00"/>
    <x v="2"/>
    <x v="0"/>
    <x v="1"/>
    <s v="Oct"/>
    <s v="Q4"/>
    <s v="Adult"/>
    <s v="Very High"/>
    <s v="West - Student"/>
  </r>
  <r>
    <x v="556"/>
    <s v="Hitesh Amble"/>
    <n v="25"/>
    <x v="1"/>
    <x v="0"/>
    <x v="3"/>
    <x v="2"/>
    <x v="0"/>
    <x v="1"/>
    <n v="0.42"/>
    <d v="2018-12-15T00:00:00"/>
    <x v="0"/>
    <x v="0"/>
    <x v="1"/>
    <s v="Dec"/>
    <s v="Q4"/>
    <s v="Young"/>
    <s v="Low"/>
    <s v="North - Retired"/>
  </r>
  <r>
    <x v="557"/>
    <s v="Bhavini Aurora"/>
    <n v="35"/>
    <x v="1"/>
    <x v="2"/>
    <x v="3"/>
    <x v="1"/>
    <x v="1"/>
    <x v="0"/>
    <n v="0.84"/>
    <d v="2020-06-20T00:00:00"/>
    <x v="1"/>
    <x v="2"/>
    <x v="0"/>
    <s v="Jun"/>
    <s v="Q2"/>
    <s v="Adult"/>
    <s v="Very High"/>
    <s v="East - Retired"/>
  </r>
  <r>
    <x v="558"/>
    <s v="Alexander Gara"/>
    <n v="45"/>
    <x v="1"/>
    <x v="0"/>
    <x v="1"/>
    <x v="4"/>
    <x v="1"/>
    <x v="0"/>
    <n v="0.38"/>
    <d v="2019-12-28T00:00:00"/>
    <x v="1"/>
    <x v="0"/>
    <x v="4"/>
    <s v="Dec"/>
    <s v="Q4"/>
    <s v="Adult"/>
    <s v="Very High"/>
    <s v="North-East - Salaried"/>
  </r>
  <r>
    <x v="559"/>
    <s v="Chaaya Hari"/>
    <n v="34"/>
    <x v="0"/>
    <x v="0"/>
    <x v="3"/>
    <x v="3"/>
    <x v="0"/>
    <x v="1"/>
    <n v="0.46"/>
    <d v="2019-03-02T00:00:00"/>
    <x v="1"/>
    <x v="0"/>
    <x v="4"/>
    <s v="Mar"/>
    <s v="Q1"/>
    <s v="Adult"/>
    <s v="Low"/>
    <s v="South - Retired"/>
  </r>
  <r>
    <x v="560"/>
    <s v="Mitali Sodhi"/>
    <n v="32"/>
    <x v="0"/>
    <x v="1"/>
    <x v="0"/>
    <x v="1"/>
    <x v="0"/>
    <x v="1"/>
    <n v="0.67"/>
    <d v="2021-12-07T00:00:00"/>
    <x v="1"/>
    <x v="0"/>
    <x v="2"/>
    <s v="Dec"/>
    <s v="Q4"/>
    <s v="Adult"/>
    <s v="Low"/>
    <s v="East - Student"/>
  </r>
  <r>
    <x v="561"/>
    <s v="Yatan Patla"/>
    <n v="39"/>
    <x v="1"/>
    <x v="2"/>
    <x v="0"/>
    <x v="0"/>
    <x v="1"/>
    <x v="0"/>
    <n v="0"/>
    <d v="2023-01-04T00:00:00"/>
    <x v="1"/>
    <x v="1"/>
    <x v="5"/>
    <s v="Jan"/>
    <s v="Q1"/>
    <s v="Adult"/>
    <s v="Very High"/>
    <s v="West - Student"/>
  </r>
  <r>
    <x v="562"/>
    <s v="Gaurav Nagy"/>
    <n v="45"/>
    <x v="1"/>
    <x v="2"/>
    <x v="2"/>
    <x v="0"/>
    <x v="0"/>
    <x v="1"/>
    <n v="0.28999999999999998"/>
    <d v="2021-09-15T00:00:00"/>
    <x v="1"/>
    <x v="1"/>
    <x v="2"/>
    <s v="Sep"/>
    <s v="Q3"/>
    <s v="Adult"/>
    <s v="Low"/>
    <s v="West - Self-employed"/>
  </r>
  <r>
    <x v="563"/>
    <s v="Maanav Rama"/>
    <n v="21"/>
    <x v="1"/>
    <x v="0"/>
    <x v="2"/>
    <x v="0"/>
    <x v="1"/>
    <x v="0"/>
    <n v="0.71"/>
    <d v="2022-10-29T00:00:00"/>
    <x v="0"/>
    <x v="2"/>
    <x v="3"/>
    <s v="Oct"/>
    <s v="Q4"/>
    <s v="Young"/>
    <s v="Very High"/>
    <s v="West - Self-employed"/>
  </r>
  <r>
    <x v="564"/>
    <s v="Aayush Srinivasan"/>
    <n v="24"/>
    <x v="0"/>
    <x v="1"/>
    <x v="1"/>
    <x v="5"/>
    <x v="1"/>
    <x v="1"/>
    <n v="0.48"/>
    <d v="2018-01-03T00:00:00"/>
    <x v="0"/>
    <x v="0"/>
    <x v="1"/>
    <s v="Jan"/>
    <s v="Q1"/>
    <s v="Young"/>
    <s v="High"/>
    <s v="Central - Salaried"/>
  </r>
  <r>
    <x v="565"/>
    <s v="Teerth Hora"/>
    <n v="29"/>
    <x v="0"/>
    <x v="0"/>
    <x v="0"/>
    <x v="1"/>
    <x v="1"/>
    <x v="1"/>
    <n v="0.52"/>
    <d v="2020-09-30T00:00:00"/>
    <x v="0"/>
    <x v="0"/>
    <x v="0"/>
    <s v="Sep"/>
    <s v="Q3"/>
    <s v="Young"/>
    <s v="High"/>
    <s v="East - Student"/>
  </r>
  <r>
    <x v="566"/>
    <s v="Chakradhar Virk"/>
    <n v="55"/>
    <x v="1"/>
    <x v="2"/>
    <x v="1"/>
    <x v="1"/>
    <x v="1"/>
    <x v="0"/>
    <n v="0.5"/>
    <d v="2021-04-01T00:00:00"/>
    <x v="2"/>
    <x v="0"/>
    <x v="2"/>
    <s v="Apr"/>
    <s v="Q2"/>
    <s v="Senior"/>
    <s v="Very High"/>
    <s v="East - Salaried"/>
  </r>
  <r>
    <x v="567"/>
    <s v="Naksh Manda"/>
    <n v="48"/>
    <x v="0"/>
    <x v="2"/>
    <x v="1"/>
    <x v="1"/>
    <x v="0"/>
    <x v="0"/>
    <n v="0.75"/>
    <d v="2022-09-03T00:00:00"/>
    <x v="2"/>
    <x v="2"/>
    <x v="3"/>
    <s v="Sep"/>
    <s v="Q3"/>
    <s v="Adult"/>
    <s v="High"/>
    <s v="East - Salaried"/>
  </r>
  <r>
    <x v="568"/>
    <s v="Isaiah Yohannan"/>
    <n v="51"/>
    <x v="0"/>
    <x v="1"/>
    <x v="0"/>
    <x v="4"/>
    <x v="0"/>
    <x v="0"/>
    <n v="0.33"/>
    <d v="2018-11-08T00:00:00"/>
    <x v="2"/>
    <x v="0"/>
    <x v="1"/>
    <s v="Nov"/>
    <s v="Q4"/>
    <s v="Senior"/>
    <s v="High"/>
    <s v="North-East - Student"/>
  </r>
  <r>
    <x v="569"/>
    <s v="Arjun Anne"/>
    <n v="25"/>
    <x v="1"/>
    <x v="2"/>
    <x v="2"/>
    <x v="0"/>
    <x v="0"/>
    <x v="1"/>
    <n v="0.23"/>
    <d v="2020-04-19T00:00:00"/>
    <x v="0"/>
    <x v="1"/>
    <x v="0"/>
    <s v="Apr"/>
    <s v="Q2"/>
    <s v="Young"/>
    <s v="Low"/>
    <s v="West - Self-employed"/>
  </r>
  <r>
    <x v="570"/>
    <s v="Hredhaan Sandal"/>
    <n v="61"/>
    <x v="1"/>
    <x v="1"/>
    <x v="3"/>
    <x v="5"/>
    <x v="0"/>
    <x v="1"/>
    <n v="0.4"/>
    <d v="2023-09-04T00:00:00"/>
    <x v="3"/>
    <x v="0"/>
    <x v="5"/>
    <s v="Sep"/>
    <s v="Q3"/>
    <s v="Senior"/>
    <s v="Low"/>
    <s v="Central - Retired"/>
  </r>
  <r>
    <x v="571"/>
    <s v="Chakradhar Din"/>
    <n v="31"/>
    <x v="1"/>
    <x v="2"/>
    <x v="3"/>
    <x v="4"/>
    <x v="0"/>
    <x v="0"/>
    <n v="0.68"/>
    <d v="2022-11-18T00:00:00"/>
    <x v="1"/>
    <x v="0"/>
    <x v="3"/>
    <s v="Nov"/>
    <s v="Q4"/>
    <s v="Adult"/>
    <s v="High"/>
    <s v="North-East - Retired"/>
  </r>
  <r>
    <x v="572"/>
    <s v="Jyoti Bobal"/>
    <n v="35"/>
    <x v="0"/>
    <x v="1"/>
    <x v="3"/>
    <x v="3"/>
    <x v="0"/>
    <x v="1"/>
    <n v="0.59"/>
    <d v="2020-10-24T00:00:00"/>
    <x v="1"/>
    <x v="0"/>
    <x v="0"/>
    <s v="Oct"/>
    <s v="Q4"/>
    <s v="Adult"/>
    <s v="Low"/>
    <s v="South - Retired"/>
  </r>
  <r>
    <x v="573"/>
    <s v="Vamakshi Patla"/>
    <n v="25"/>
    <x v="1"/>
    <x v="2"/>
    <x v="0"/>
    <x v="1"/>
    <x v="1"/>
    <x v="1"/>
    <n v="0.57999999999999996"/>
    <d v="2019-10-09T00:00:00"/>
    <x v="0"/>
    <x v="0"/>
    <x v="4"/>
    <s v="Oct"/>
    <s v="Q4"/>
    <s v="Young"/>
    <s v="High"/>
    <s v="East - Student"/>
  </r>
  <r>
    <x v="574"/>
    <s v="Vihaan Narayan"/>
    <n v="52"/>
    <x v="1"/>
    <x v="2"/>
    <x v="1"/>
    <x v="5"/>
    <x v="1"/>
    <x v="1"/>
    <n v="0.46"/>
    <d v="2021-09-22T00:00:00"/>
    <x v="2"/>
    <x v="0"/>
    <x v="2"/>
    <s v="Sep"/>
    <s v="Q3"/>
    <s v="Senior"/>
    <s v="High"/>
    <s v="Central - Salaried"/>
  </r>
  <r>
    <x v="575"/>
    <s v="Aarush Nanda"/>
    <n v="25"/>
    <x v="0"/>
    <x v="2"/>
    <x v="1"/>
    <x v="1"/>
    <x v="0"/>
    <x v="1"/>
    <n v="0.48"/>
    <d v="2019-04-10T00:00:00"/>
    <x v="0"/>
    <x v="0"/>
    <x v="4"/>
    <s v="Apr"/>
    <s v="Q2"/>
    <s v="Young"/>
    <s v="Low"/>
    <s v="East - Salaried"/>
  </r>
  <r>
    <x v="576"/>
    <s v="Osha Lad"/>
    <n v="52"/>
    <x v="1"/>
    <x v="1"/>
    <x v="1"/>
    <x v="5"/>
    <x v="1"/>
    <x v="1"/>
    <n v="0.65"/>
    <d v="2021-05-25T00:00:00"/>
    <x v="2"/>
    <x v="0"/>
    <x v="2"/>
    <s v="May"/>
    <s v="Q2"/>
    <s v="Senior"/>
    <s v="High"/>
    <s v="Central - Salaried"/>
  </r>
  <r>
    <x v="577"/>
    <s v="Vritti Tiwari"/>
    <n v="31"/>
    <x v="0"/>
    <x v="2"/>
    <x v="0"/>
    <x v="3"/>
    <x v="0"/>
    <x v="0"/>
    <n v="0.53"/>
    <d v="2019-07-06T00:00:00"/>
    <x v="1"/>
    <x v="0"/>
    <x v="4"/>
    <s v="Jul"/>
    <s v="Q3"/>
    <s v="Adult"/>
    <s v="High"/>
    <s v="South - Student"/>
  </r>
  <r>
    <x v="578"/>
    <s v="Yatin Nazareth"/>
    <n v="30"/>
    <x v="0"/>
    <x v="0"/>
    <x v="3"/>
    <x v="3"/>
    <x v="0"/>
    <x v="1"/>
    <n v="0.37"/>
    <d v="2021-07-09T00:00:00"/>
    <x v="0"/>
    <x v="0"/>
    <x v="2"/>
    <s v="Jul"/>
    <s v="Q3"/>
    <s v="Adult"/>
    <s v="Low"/>
    <s v="South - Retired"/>
  </r>
  <r>
    <x v="579"/>
    <s v="Indrajit Devan"/>
    <n v="62"/>
    <x v="0"/>
    <x v="1"/>
    <x v="0"/>
    <x v="3"/>
    <x v="1"/>
    <x v="0"/>
    <n v="0.5"/>
    <d v="2022-07-11T00:00:00"/>
    <x v="3"/>
    <x v="0"/>
    <x v="3"/>
    <s v="Jul"/>
    <s v="Q3"/>
    <s v="Senior"/>
    <s v="Very High"/>
    <s v="South - Student"/>
  </r>
  <r>
    <x v="580"/>
    <s v="Saumya Tailor"/>
    <n v="45"/>
    <x v="0"/>
    <x v="1"/>
    <x v="0"/>
    <x v="5"/>
    <x v="0"/>
    <x v="1"/>
    <n v="0.46"/>
    <d v="2023-04-12T00:00:00"/>
    <x v="1"/>
    <x v="0"/>
    <x v="5"/>
    <s v="Apr"/>
    <s v="Q2"/>
    <s v="Adult"/>
    <s v="Low"/>
    <s v="Central - Student"/>
  </r>
  <r>
    <x v="581"/>
    <s v="Guneet Desai"/>
    <n v="42"/>
    <x v="0"/>
    <x v="1"/>
    <x v="0"/>
    <x v="3"/>
    <x v="0"/>
    <x v="1"/>
    <n v="0.43"/>
    <d v="2020-10-10T00:00:00"/>
    <x v="1"/>
    <x v="0"/>
    <x v="0"/>
    <s v="Oct"/>
    <s v="Q4"/>
    <s v="Adult"/>
    <s v="Low"/>
    <s v="South - Student"/>
  </r>
  <r>
    <x v="582"/>
    <s v="Kashish Tank"/>
    <n v="54"/>
    <x v="0"/>
    <x v="1"/>
    <x v="0"/>
    <x v="0"/>
    <x v="1"/>
    <x v="0"/>
    <n v="0.65"/>
    <d v="2022-11-27T00:00:00"/>
    <x v="2"/>
    <x v="0"/>
    <x v="3"/>
    <s v="Nov"/>
    <s v="Q4"/>
    <s v="Senior"/>
    <s v="Very High"/>
    <s v="West - Student"/>
  </r>
  <r>
    <x v="583"/>
    <s v="Mohammed Puri"/>
    <n v="51"/>
    <x v="1"/>
    <x v="2"/>
    <x v="1"/>
    <x v="2"/>
    <x v="0"/>
    <x v="1"/>
    <n v="0.95"/>
    <d v="2022-01-30T00:00:00"/>
    <x v="2"/>
    <x v="2"/>
    <x v="3"/>
    <s v="Jan"/>
    <s v="Q1"/>
    <s v="Senior"/>
    <s v="Low"/>
    <s v="North - Salaried"/>
  </r>
  <r>
    <x v="584"/>
    <s v="Triya Dyal"/>
    <n v="59"/>
    <x v="0"/>
    <x v="2"/>
    <x v="2"/>
    <x v="5"/>
    <x v="0"/>
    <x v="0"/>
    <n v="0.3"/>
    <d v="2018-04-22T00:00:00"/>
    <x v="2"/>
    <x v="0"/>
    <x v="1"/>
    <s v="Apr"/>
    <s v="Q2"/>
    <s v="Senior"/>
    <s v="High"/>
    <s v="Central - Self-employed"/>
  </r>
  <r>
    <x v="585"/>
    <s v="Leela Bahl"/>
    <n v="30"/>
    <x v="0"/>
    <x v="0"/>
    <x v="0"/>
    <x v="5"/>
    <x v="1"/>
    <x v="0"/>
    <n v="0.63"/>
    <d v="2019-08-28T00:00:00"/>
    <x v="0"/>
    <x v="0"/>
    <x v="4"/>
    <s v="Aug"/>
    <s v="Q3"/>
    <s v="Adult"/>
    <s v="Very High"/>
    <s v="Central - Student"/>
  </r>
  <r>
    <x v="586"/>
    <s v="Chakrika Master"/>
    <n v="64"/>
    <x v="1"/>
    <x v="2"/>
    <x v="2"/>
    <x v="0"/>
    <x v="1"/>
    <x v="1"/>
    <n v="0.35"/>
    <d v="2021-04-01T00:00:00"/>
    <x v="3"/>
    <x v="0"/>
    <x v="2"/>
    <s v="Apr"/>
    <s v="Q2"/>
    <s v="Senior"/>
    <s v="High"/>
    <s v="West - Self-employed"/>
  </r>
  <r>
    <x v="587"/>
    <s v="Balhaar Parmar"/>
    <n v="24"/>
    <x v="0"/>
    <x v="1"/>
    <x v="0"/>
    <x v="3"/>
    <x v="0"/>
    <x v="1"/>
    <n v="0.37"/>
    <d v="2019-01-06T00:00:00"/>
    <x v="0"/>
    <x v="0"/>
    <x v="4"/>
    <s v="Jan"/>
    <s v="Q1"/>
    <s v="Young"/>
    <s v="Low"/>
    <s v="South - Student"/>
  </r>
  <r>
    <x v="588"/>
    <s v="Triveni Jani"/>
    <n v="55"/>
    <x v="1"/>
    <x v="1"/>
    <x v="3"/>
    <x v="3"/>
    <x v="1"/>
    <x v="1"/>
    <n v="0.09"/>
    <d v="2020-03-12T00:00:00"/>
    <x v="2"/>
    <x v="1"/>
    <x v="0"/>
    <s v="Mar"/>
    <s v="Q1"/>
    <s v="Senior"/>
    <s v="High"/>
    <s v="South - Retired"/>
  </r>
  <r>
    <x v="589"/>
    <s v="Xiti Sheth"/>
    <n v="51"/>
    <x v="1"/>
    <x v="2"/>
    <x v="0"/>
    <x v="3"/>
    <x v="0"/>
    <x v="0"/>
    <n v="0.64"/>
    <d v="2022-02-28T00:00:00"/>
    <x v="2"/>
    <x v="0"/>
    <x v="3"/>
    <s v="Feb"/>
    <s v="Q1"/>
    <s v="Senior"/>
    <s v="High"/>
    <s v="South - Student"/>
  </r>
  <r>
    <x v="590"/>
    <s v="Janaki Rajagopalan"/>
    <n v="39"/>
    <x v="0"/>
    <x v="2"/>
    <x v="1"/>
    <x v="1"/>
    <x v="1"/>
    <x v="0"/>
    <n v="0"/>
    <d v="2018-07-06T00:00:00"/>
    <x v="1"/>
    <x v="1"/>
    <x v="1"/>
    <s v="Jul"/>
    <s v="Q3"/>
    <s v="Adult"/>
    <s v="Very High"/>
    <s v="East - Salaried"/>
  </r>
  <r>
    <x v="591"/>
    <s v="Vasana Wali"/>
    <n v="50"/>
    <x v="1"/>
    <x v="1"/>
    <x v="0"/>
    <x v="0"/>
    <x v="1"/>
    <x v="0"/>
    <n v="0.17"/>
    <d v="2019-06-11T00:00:00"/>
    <x v="2"/>
    <x v="1"/>
    <x v="4"/>
    <s v="Jun"/>
    <s v="Q2"/>
    <s v="Adult"/>
    <s v="Very High"/>
    <s v="West - Student"/>
  </r>
  <r>
    <x v="592"/>
    <s v="Vasana Bhat"/>
    <n v="59"/>
    <x v="0"/>
    <x v="2"/>
    <x v="0"/>
    <x v="5"/>
    <x v="1"/>
    <x v="1"/>
    <n v="0.54"/>
    <d v="2018-04-26T00:00:00"/>
    <x v="2"/>
    <x v="0"/>
    <x v="1"/>
    <s v="Apr"/>
    <s v="Q2"/>
    <s v="Senior"/>
    <s v="High"/>
    <s v="Central - Student"/>
  </r>
  <r>
    <x v="593"/>
    <s v="Guneet Sur"/>
    <n v="66"/>
    <x v="0"/>
    <x v="2"/>
    <x v="3"/>
    <x v="3"/>
    <x v="0"/>
    <x v="0"/>
    <n v="0.33"/>
    <d v="2019-04-03T00:00:00"/>
    <x v="3"/>
    <x v="0"/>
    <x v="4"/>
    <s v="Apr"/>
    <s v="Q2"/>
    <s v="Senior"/>
    <s v="High"/>
    <s v="South - Retired"/>
  </r>
  <r>
    <x v="594"/>
    <s v="Quincy Sathe"/>
    <n v="35"/>
    <x v="0"/>
    <x v="2"/>
    <x v="2"/>
    <x v="2"/>
    <x v="0"/>
    <x v="0"/>
    <n v="0.2"/>
    <d v="2018-05-25T00:00:00"/>
    <x v="1"/>
    <x v="1"/>
    <x v="1"/>
    <s v="May"/>
    <s v="Q2"/>
    <s v="Adult"/>
    <s v="High"/>
    <s v="North - Self-employed"/>
  </r>
  <r>
    <x v="595"/>
    <s v="Elijah Mitra"/>
    <n v="66"/>
    <x v="1"/>
    <x v="1"/>
    <x v="2"/>
    <x v="2"/>
    <x v="0"/>
    <x v="1"/>
    <n v="0.47"/>
    <d v="2023-08-18T00:00:00"/>
    <x v="3"/>
    <x v="0"/>
    <x v="5"/>
    <s v="Aug"/>
    <s v="Q3"/>
    <s v="Senior"/>
    <s v="Low"/>
    <s v="North - Self-employed"/>
  </r>
  <r>
    <x v="596"/>
    <s v="Tripti Golla"/>
    <n v="52"/>
    <x v="0"/>
    <x v="2"/>
    <x v="1"/>
    <x v="0"/>
    <x v="0"/>
    <x v="0"/>
    <n v="0.4"/>
    <d v="2020-03-25T00:00:00"/>
    <x v="2"/>
    <x v="0"/>
    <x v="0"/>
    <s v="Mar"/>
    <s v="Q1"/>
    <s v="Senior"/>
    <s v="High"/>
    <s v="West - Salaried"/>
  </r>
  <r>
    <x v="597"/>
    <s v="Chandresh Edwin"/>
    <n v="54"/>
    <x v="1"/>
    <x v="2"/>
    <x v="3"/>
    <x v="4"/>
    <x v="0"/>
    <x v="0"/>
    <n v="0.46"/>
    <d v="2022-06-23T00:00:00"/>
    <x v="2"/>
    <x v="0"/>
    <x v="3"/>
    <s v="Jun"/>
    <s v="Q2"/>
    <s v="Senior"/>
    <s v="High"/>
    <s v="North-East - Retired"/>
  </r>
  <r>
    <x v="598"/>
    <s v="Gaurangi Lad"/>
    <n v="69"/>
    <x v="1"/>
    <x v="2"/>
    <x v="3"/>
    <x v="1"/>
    <x v="0"/>
    <x v="1"/>
    <n v="0.4"/>
    <d v="2020-09-24T00:00:00"/>
    <x v="3"/>
    <x v="0"/>
    <x v="0"/>
    <s v="Sep"/>
    <s v="Q3"/>
    <s v="Senior"/>
    <s v="Low"/>
    <s v="East - Retired"/>
  </r>
  <r>
    <x v="599"/>
    <s v="Neha Divan"/>
    <n v="48"/>
    <x v="1"/>
    <x v="2"/>
    <x v="1"/>
    <x v="2"/>
    <x v="0"/>
    <x v="1"/>
    <n v="0.62"/>
    <d v="2023-05-26T00:00:00"/>
    <x v="2"/>
    <x v="0"/>
    <x v="5"/>
    <s v="May"/>
    <s v="Q2"/>
    <s v="Adult"/>
    <s v="Low"/>
    <s v="North - Salaried"/>
  </r>
  <r>
    <x v="600"/>
    <s v="Quincy Varty"/>
    <n v="23"/>
    <x v="0"/>
    <x v="2"/>
    <x v="1"/>
    <x v="1"/>
    <x v="1"/>
    <x v="0"/>
    <n v="0.5"/>
    <d v="2021-09-06T00:00:00"/>
    <x v="0"/>
    <x v="0"/>
    <x v="2"/>
    <s v="Sep"/>
    <s v="Q3"/>
    <s v="Young"/>
    <s v="Very High"/>
    <s v="East - Salaried"/>
  </r>
  <r>
    <x v="601"/>
    <s v="Chakradev Sen"/>
    <n v="69"/>
    <x v="0"/>
    <x v="0"/>
    <x v="3"/>
    <x v="1"/>
    <x v="0"/>
    <x v="0"/>
    <n v="0.33"/>
    <d v="2020-05-15T00:00:00"/>
    <x v="3"/>
    <x v="0"/>
    <x v="0"/>
    <s v="May"/>
    <s v="Q2"/>
    <s v="Senior"/>
    <s v="High"/>
    <s v="East - Retired"/>
  </r>
  <r>
    <x v="602"/>
    <s v="Priya Krishna"/>
    <n v="46"/>
    <x v="1"/>
    <x v="2"/>
    <x v="3"/>
    <x v="1"/>
    <x v="0"/>
    <x v="0"/>
    <n v="0.69"/>
    <d v="2018-07-10T00:00:00"/>
    <x v="2"/>
    <x v="0"/>
    <x v="1"/>
    <s v="Jul"/>
    <s v="Q3"/>
    <s v="Adult"/>
    <s v="High"/>
    <s v="East - Retired"/>
  </r>
  <r>
    <x v="603"/>
    <s v="Advaith Sehgal"/>
    <n v="30"/>
    <x v="0"/>
    <x v="0"/>
    <x v="3"/>
    <x v="2"/>
    <x v="1"/>
    <x v="1"/>
    <n v="0.31"/>
    <d v="2018-12-17T00:00:00"/>
    <x v="0"/>
    <x v="0"/>
    <x v="1"/>
    <s v="Dec"/>
    <s v="Q4"/>
    <s v="Adult"/>
    <s v="High"/>
    <s v="North - Retired"/>
  </r>
  <r>
    <x v="604"/>
    <s v="Samuel Dhawan"/>
    <n v="36"/>
    <x v="1"/>
    <x v="0"/>
    <x v="0"/>
    <x v="4"/>
    <x v="0"/>
    <x v="0"/>
    <n v="0.59"/>
    <d v="2019-04-24T00:00:00"/>
    <x v="1"/>
    <x v="0"/>
    <x v="4"/>
    <s v="Apr"/>
    <s v="Q2"/>
    <s v="Adult"/>
    <s v="High"/>
    <s v="North-East - Student"/>
  </r>
  <r>
    <x v="605"/>
    <s v="Ekansh Jhaveri"/>
    <n v="63"/>
    <x v="1"/>
    <x v="2"/>
    <x v="1"/>
    <x v="5"/>
    <x v="1"/>
    <x v="1"/>
    <n v="0.5"/>
    <d v="2019-04-15T00:00:00"/>
    <x v="3"/>
    <x v="0"/>
    <x v="4"/>
    <s v="Apr"/>
    <s v="Q2"/>
    <s v="Senior"/>
    <s v="High"/>
    <s v="Central - Salaried"/>
  </r>
  <r>
    <x v="606"/>
    <s v="Sathvik Rattan"/>
    <n v="49"/>
    <x v="0"/>
    <x v="2"/>
    <x v="3"/>
    <x v="4"/>
    <x v="0"/>
    <x v="1"/>
    <n v="0.5"/>
    <d v="2019-01-01T00:00:00"/>
    <x v="2"/>
    <x v="0"/>
    <x v="4"/>
    <s v="Jan"/>
    <s v="Q1"/>
    <s v="Adult"/>
    <s v="Low"/>
    <s v="North-East - Retired"/>
  </r>
  <r>
    <x v="607"/>
    <s v="Jeremiah Kamdar"/>
    <n v="68"/>
    <x v="0"/>
    <x v="0"/>
    <x v="1"/>
    <x v="1"/>
    <x v="0"/>
    <x v="1"/>
    <n v="0.15"/>
    <d v="2018-05-19T00:00:00"/>
    <x v="3"/>
    <x v="1"/>
    <x v="1"/>
    <s v="May"/>
    <s v="Q2"/>
    <s v="Senior"/>
    <s v="Low"/>
    <s v="East - Salaried"/>
  </r>
  <r>
    <x v="608"/>
    <s v="Yamini Soman"/>
    <n v="22"/>
    <x v="0"/>
    <x v="0"/>
    <x v="0"/>
    <x v="2"/>
    <x v="0"/>
    <x v="0"/>
    <n v="0.74"/>
    <d v="2022-04-24T00:00:00"/>
    <x v="0"/>
    <x v="2"/>
    <x v="3"/>
    <s v="Apr"/>
    <s v="Q2"/>
    <s v="Young"/>
    <s v="High"/>
    <s v="North - Student"/>
  </r>
  <r>
    <x v="609"/>
    <s v="Niharika Balan"/>
    <n v="45"/>
    <x v="1"/>
    <x v="1"/>
    <x v="3"/>
    <x v="5"/>
    <x v="1"/>
    <x v="1"/>
    <n v="0.6"/>
    <d v="2022-11-26T00:00:00"/>
    <x v="1"/>
    <x v="0"/>
    <x v="3"/>
    <s v="Nov"/>
    <s v="Q4"/>
    <s v="Adult"/>
    <s v="High"/>
    <s v="Central - Retired"/>
  </r>
  <r>
    <x v="610"/>
    <s v="Zansi Virk"/>
    <n v="18"/>
    <x v="1"/>
    <x v="1"/>
    <x v="1"/>
    <x v="4"/>
    <x v="1"/>
    <x v="1"/>
    <n v="0.68"/>
    <d v="2020-05-14T00:00:00"/>
    <x v="0"/>
    <x v="0"/>
    <x v="0"/>
    <s v="May"/>
    <s v="Q2"/>
    <s v="Young"/>
    <s v="High"/>
    <s v="North-East - Salaried"/>
  </r>
  <r>
    <x v="611"/>
    <s v="Vivaan Goda"/>
    <n v="19"/>
    <x v="0"/>
    <x v="2"/>
    <x v="3"/>
    <x v="0"/>
    <x v="1"/>
    <x v="0"/>
    <n v="0.31"/>
    <d v="2021-05-31T00:00:00"/>
    <x v="0"/>
    <x v="0"/>
    <x v="2"/>
    <s v="May"/>
    <s v="Q2"/>
    <s v="Young"/>
    <s v="Very High"/>
    <s v="West - Retired"/>
  </r>
  <r>
    <x v="612"/>
    <s v="Gaurika Prabhakar"/>
    <n v="51"/>
    <x v="1"/>
    <x v="2"/>
    <x v="1"/>
    <x v="0"/>
    <x v="1"/>
    <x v="0"/>
    <n v="0.67"/>
    <d v="2020-08-23T00:00:00"/>
    <x v="2"/>
    <x v="0"/>
    <x v="0"/>
    <s v="Aug"/>
    <s v="Q3"/>
    <s v="Senior"/>
    <s v="Very High"/>
    <s v="West - Salaried"/>
  </r>
  <r>
    <x v="613"/>
    <s v="Aashi Ahuja"/>
    <n v="25"/>
    <x v="1"/>
    <x v="0"/>
    <x v="3"/>
    <x v="4"/>
    <x v="1"/>
    <x v="1"/>
    <n v="0.48"/>
    <d v="2021-01-19T00:00:00"/>
    <x v="0"/>
    <x v="0"/>
    <x v="2"/>
    <s v="Jan"/>
    <s v="Q1"/>
    <s v="Young"/>
    <s v="High"/>
    <s v="North-East - Retired"/>
  </r>
  <r>
    <x v="614"/>
    <s v="Fiyaz Narang"/>
    <n v="35"/>
    <x v="1"/>
    <x v="1"/>
    <x v="2"/>
    <x v="1"/>
    <x v="1"/>
    <x v="1"/>
    <n v="0.61"/>
    <d v="2018-02-11T00:00:00"/>
    <x v="1"/>
    <x v="0"/>
    <x v="1"/>
    <s v="Feb"/>
    <s v="Q1"/>
    <s v="Adult"/>
    <s v="High"/>
    <s v="East - Self-employed"/>
  </r>
  <r>
    <x v="615"/>
    <s v="Dipta Handa"/>
    <n v="58"/>
    <x v="1"/>
    <x v="0"/>
    <x v="1"/>
    <x v="0"/>
    <x v="0"/>
    <x v="0"/>
    <n v="0.18"/>
    <d v="2020-07-01T00:00:00"/>
    <x v="2"/>
    <x v="1"/>
    <x v="0"/>
    <s v="Jul"/>
    <s v="Q3"/>
    <s v="Senior"/>
    <s v="High"/>
    <s v="West - Salaried"/>
  </r>
  <r>
    <x v="616"/>
    <s v="Nisha Seshadri"/>
    <n v="62"/>
    <x v="0"/>
    <x v="0"/>
    <x v="3"/>
    <x v="0"/>
    <x v="1"/>
    <x v="0"/>
    <n v="0.43"/>
    <d v="2019-01-28T00:00:00"/>
    <x v="3"/>
    <x v="0"/>
    <x v="4"/>
    <s v="Jan"/>
    <s v="Q1"/>
    <s v="Senior"/>
    <s v="Very High"/>
    <s v="West - Retired"/>
  </r>
  <r>
    <x v="617"/>
    <s v="Urvi Tella"/>
    <n v="53"/>
    <x v="1"/>
    <x v="0"/>
    <x v="1"/>
    <x v="0"/>
    <x v="0"/>
    <x v="1"/>
    <n v="0.5"/>
    <d v="2020-12-05T00:00:00"/>
    <x v="2"/>
    <x v="0"/>
    <x v="0"/>
    <s v="Dec"/>
    <s v="Q4"/>
    <s v="Senior"/>
    <s v="Low"/>
    <s v="West - Salaried"/>
  </r>
  <r>
    <x v="618"/>
    <s v="Xalak Nori"/>
    <n v="24"/>
    <x v="1"/>
    <x v="2"/>
    <x v="2"/>
    <x v="1"/>
    <x v="0"/>
    <x v="0"/>
    <n v="0.27"/>
    <d v="2019-04-03T00:00:00"/>
    <x v="0"/>
    <x v="1"/>
    <x v="4"/>
    <s v="Apr"/>
    <s v="Q2"/>
    <s v="Young"/>
    <s v="High"/>
    <s v="East - Self-employed"/>
  </r>
  <r>
    <x v="619"/>
    <s v="Aachal Dutt"/>
    <n v="24"/>
    <x v="0"/>
    <x v="2"/>
    <x v="2"/>
    <x v="0"/>
    <x v="1"/>
    <x v="0"/>
    <n v="0.76"/>
    <d v="2022-12-13T00:00:00"/>
    <x v="0"/>
    <x v="2"/>
    <x v="3"/>
    <s v="Dec"/>
    <s v="Q4"/>
    <s v="Young"/>
    <s v="Very High"/>
    <s v="West - Self-employed"/>
  </r>
  <r>
    <x v="620"/>
    <s v="Aashi Din"/>
    <n v="45"/>
    <x v="1"/>
    <x v="1"/>
    <x v="3"/>
    <x v="0"/>
    <x v="0"/>
    <x v="1"/>
    <n v="0.56999999999999995"/>
    <d v="2018-06-02T00:00:00"/>
    <x v="1"/>
    <x v="0"/>
    <x v="1"/>
    <s v="Jun"/>
    <s v="Q2"/>
    <s v="Adult"/>
    <s v="Low"/>
    <s v="West - Retired"/>
  </r>
  <r>
    <x v="621"/>
    <s v="Vansha Kade"/>
    <n v="42"/>
    <x v="0"/>
    <x v="1"/>
    <x v="0"/>
    <x v="2"/>
    <x v="0"/>
    <x v="0"/>
    <n v="0.64"/>
    <d v="2020-06-22T00:00:00"/>
    <x v="1"/>
    <x v="0"/>
    <x v="0"/>
    <s v="Jun"/>
    <s v="Q2"/>
    <s v="Adult"/>
    <s v="High"/>
    <s v="North - Student"/>
  </r>
  <r>
    <x v="622"/>
    <s v="Parth Din"/>
    <n v="46"/>
    <x v="1"/>
    <x v="2"/>
    <x v="1"/>
    <x v="1"/>
    <x v="0"/>
    <x v="0"/>
    <n v="0.39"/>
    <d v="2022-02-24T00:00:00"/>
    <x v="2"/>
    <x v="0"/>
    <x v="3"/>
    <s v="Feb"/>
    <s v="Q1"/>
    <s v="Adult"/>
    <s v="High"/>
    <s v="East - Salaried"/>
  </r>
  <r>
    <x v="623"/>
    <s v="Harshil Cherian"/>
    <n v="35"/>
    <x v="0"/>
    <x v="2"/>
    <x v="3"/>
    <x v="1"/>
    <x v="0"/>
    <x v="0"/>
    <n v="0.57999999999999996"/>
    <d v="2022-08-24T00:00:00"/>
    <x v="1"/>
    <x v="0"/>
    <x v="3"/>
    <s v="Aug"/>
    <s v="Q3"/>
    <s v="Adult"/>
    <s v="High"/>
    <s v="East - Retired"/>
  </r>
  <r>
    <x v="624"/>
    <s v="Ucchal Prabhakar"/>
    <n v="42"/>
    <x v="1"/>
    <x v="1"/>
    <x v="3"/>
    <x v="1"/>
    <x v="1"/>
    <x v="0"/>
    <n v="0.68"/>
    <d v="2020-06-16T00:00:00"/>
    <x v="1"/>
    <x v="0"/>
    <x v="0"/>
    <s v="Jun"/>
    <s v="Q2"/>
    <s v="Adult"/>
    <s v="Very High"/>
    <s v="East - Retired"/>
  </r>
  <r>
    <x v="625"/>
    <s v="Pooja Dara"/>
    <n v="20"/>
    <x v="1"/>
    <x v="1"/>
    <x v="1"/>
    <x v="1"/>
    <x v="0"/>
    <x v="1"/>
    <n v="0.45"/>
    <d v="2019-07-08T00:00:00"/>
    <x v="0"/>
    <x v="0"/>
    <x v="4"/>
    <s v="Jul"/>
    <s v="Q3"/>
    <s v="Young"/>
    <s v="Low"/>
    <s v="East - Salaried"/>
  </r>
  <r>
    <x v="626"/>
    <s v="Hredhaan Sampath"/>
    <n v="41"/>
    <x v="0"/>
    <x v="1"/>
    <x v="2"/>
    <x v="5"/>
    <x v="1"/>
    <x v="1"/>
    <n v="0.46"/>
    <d v="2020-10-06T00:00:00"/>
    <x v="1"/>
    <x v="0"/>
    <x v="0"/>
    <s v="Oct"/>
    <s v="Q4"/>
    <s v="Adult"/>
    <s v="High"/>
    <s v="Central - Self-employed"/>
  </r>
  <r>
    <x v="627"/>
    <s v="Dakshesh Menon"/>
    <n v="19"/>
    <x v="1"/>
    <x v="2"/>
    <x v="2"/>
    <x v="1"/>
    <x v="1"/>
    <x v="1"/>
    <n v="0.31"/>
    <d v="2022-09-04T00:00:00"/>
    <x v="0"/>
    <x v="0"/>
    <x v="3"/>
    <s v="Sep"/>
    <s v="Q3"/>
    <s v="Young"/>
    <s v="High"/>
    <s v="East - Self-employed"/>
  </r>
  <r>
    <x v="628"/>
    <s v="Bachittar Prasad"/>
    <n v="47"/>
    <x v="1"/>
    <x v="0"/>
    <x v="3"/>
    <x v="3"/>
    <x v="0"/>
    <x v="1"/>
    <n v="0.53"/>
    <d v="2021-10-30T00:00:00"/>
    <x v="2"/>
    <x v="0"/>
    <x v="2"/>
    <s v="Oct"/>
    <s v="Q4"/>
    <s v="Adult"/>
    <s v="Low"/>
    <s v="South - Retired"/>
  </r>
  <r>
    <x v="629"/>
    <s v="Hemang Sandal"/>
    <n v="20"/>
    <x v="1"/>
    <x v="0"/>
    <x v="2"/>
    <x v="3"/>
    <x v="0"/>
    <x v="0"/>
    <n v="1"/>
    <d v="2018-12-28T00:00:00"/>
    <x v="0"/>
    <x v="2"/>
    <x v="1"/>
    <s v="Dec"/>
    <s v="Q4"/>
    <s v="Young"/>
    <s v="High"/>
    <s v="South - Self-employed"/>
  </r>
  <r>
    <x v="630"/>
    <s v="Qarin Rao"/>
    <n v="47"/>
    <x v="1"/>
    <x v="1"/>
    <x v="2"/>
    <x v="4"/>
    <x v="1"/>
    <x v="1"/>
    <n v="0.31"/>
    <d v="2019-10-03T00:00:00"/>
    <x v="2"/>
    <x v="0"/>
    <x v="4"/>
    <s v="Oct"/>
    <s v="Q4"/>
    <s v="Adult"/>
    <s v="High"/>
    <s v="North-East - Self-employed"/>
  </r>
  <r>
    <x v="631"/>
    <s v="Pahal Bakshi"/>
    <n v="28"/>
    <x v="0"/>
    <x v="1"/>
    <x v="2"/>
    <x v="4"/>
    <x v="1"/>
    <x v="1"/>
    <n v="0.28000000000000003"/>
    <d v="2023-12-09T00:00:00"/>
    <x v="0"/>
    <x v="1"/>
    <x v="5"/>
    <s v="Dec"/>
    <s v="Q4"/>
    <s v="Young"/>
    <s v="High"/>
    <s v="North-East - Self-employed"/>
  </r>
  <r>
    <x v="632"/>
    <s v="Shravya Shetty"/>
    <n v="62"/>
    <x v="0"/>
    <x v="1"/>
    <x v="2"/>
    <x v="3"/>
    <x v="0"/>
    <x v="1"/>
    <n v="0.47"/>
    <d v="2019-10-11T00:00:00"/>
    <x v="3"/>
    <x v="0"/>
    <x v="4"/>
    <s v="Oct"/>
    <s v="Q4"/>
    <s v="Senior"/>
    <s v="Low"/>
    <s v="South - Self-employed"/>
  </r>
  <r>
    <x v="633"/>
    <s v="Rishi Sehgal"/>
    <n v="50"/>
    <x v="1"/>
    <x v="1"/>
    <x v="0"/>
    <x v="0"/>
    <x v="0"/>
    <x v="1"/>
    <n v="0.79"/>
    <d v="2021-10-07T00:00:00"/>
    <x v="2"/>
    <x v="2"/>
    <x v="2"/>
    <s v="Oct"/>
    <s v="Q4"/>
    <s v="Adult"/>
    <s v="Low"/>
    <s v="West - Student"/>
  </r>
  <r>
    <x v="634"/>
    <s v="Bishakha Issac"/>
    <n v="38"/>
    <x v="0"/>
    <x v="1"/>
    <x v="3"/>
    <x v="1"/>
    <x v="1"/>
    <x v="0"/>
    <n v="0.43"/>
    <d v="2020-04-04T00:00:00"/>
    <x v="1"/>
    <x v="0"/>
    <x v="0"/>
    <s v="Apr"/>
    <s v="Q2"/>
    <s v="Adult"/>
    <s v="Very High"/>
    <s v="East - Retired"/>
  </r>
  <r>
    <x v="635"/>
    <s v="Qasim Sachdev"/>
    <n v="56"/>
    <x v="1"/>
    <x v="2"/>
    <x v="3"/>
    <x v="4"/>
    <x v="0"/>
    <x v="0"/>
    <n v="0.39"/>
    <d v="2022-07-10T00:00:00"/>
    <x v="2"/>
    <x v="0"/>
    <x v="3"/>
    <s v="Jul"/>
    <s v="Q3"/>
    <s v="Senior"/>
    <s v="High"/>
    <s v="North-East - Retired"/>
  </r>
  <r>
    <x v="636"/>
    <s v="Qadim Kulkarni"/>
    <n v="19"/>
    <x v="1"/>
    <x v="1"/>
    <x v="3"/>
    <x v="4"/>
    <x v="1"/>
    <x v="1"/>
    <n v="0.48"/>
    <d v="2020-07-30T00:00:00"/>
    <x v="0"/>
    <x v="0"/>
    <x v="0"/>
    <s v="Jul"/>
    <s v="Q3"/>
    <s v="Young"/>
    <s v="High"/>
    <s v="North-East - Retired"/>
  </r>
  <r>
    <x v="637"/>
    <s v="Sachi Sant"/>
    <n v="57"/>
    <x v="1"/>
    <x v="1"/>
    <x v="1"/>
    <x v="1"/>
    <x v="1"/>
    <x v="1"/>
    <n v="0.6"/>
    <d v="2018-06-18T00:00:00"/>
    <x v="2"/>
    <x v="0"/>
    <x v="1"/>
    <s v="Jun"/>
    <s v="Q2"/>
    <s v="Senior"/>
    <s v="High"/>
    <s v="East - Salaried"/>
  </r>
  <r>
    <x v="638"/>
    <s v="Abdul Zacharia"/>
    <n v="41"/>
    <x v="0"/>
    <x v="1"/>
    <x v="2"/>
    <x v="3"/>
    <x v="1"/>
    <x v="0"/>
    <n v="0.28000000000000003"/>
    <d v="2021-07-30T00:00:00"/>
    <x v="1"/>
    <x v="1"/>
    <x v="2"/>
    <s v="Jul"/>
    <s v="Q3"/>
    <s v="Adult"/>
    <s v="Very High"/>
    <s v="South - Self-employed"/>
  </r>
  <r>
    <x v="639"/>
    <s v="Bachittar Rao"/>
    <n v="40"/>
    <x v="0"/>
    <x v="1"/>
    <x v="1"/>
    <x v="2"/>
    <x v="0"/>
    <x v="1"/>
    <n v="0.32"/>
    <d v="2021-02-19T00:00:00"/>
    <x v="1"/>
    <x v="0"/>
    <x v="2"/>
    <s v="Feb"/>
    <s v="Q1"/>
    <s v="Adult"/>
    <s v="Low"/>
    <s v="North - Salaried"/>
  </r>
  <r>
    <x v="640"/>
    <s v="Inaya Nair"/>
    <n v="58"/>
    <x v="0"/>
    <x v="1"/>
    <x v="3"/>
    <x v="3"/>
    <x v="1"/>
    <x v="0"/>
    <n v="0.23"/>
    <d v="2021-12-19T00:00:00"/>
    <x v="2"/>
    <x v="1"/>
    <x v="2"/>
    <s v="Dec"/>
    <s v="Q4"/>
    <s v="Senior"/>
    <s v="Very High"/>
    <s v="South - Retired"/>
  </r>
  <r>
    <x v="641"/>
    <s v="Theodore Kar"/>
    <n v="36"/>
    <x v="1"/>
    <x v="1"/>
    <x v="2"/>
    <x v="5"/>
    <x v="0"/>
    <x v="0"/>
    <n v="0.23"/>
    <d v="2022-01-12T00:00:00"/>
    <x v="1"/>
    <x v="1"/>
    <x v="3"/>
    <s v="Jan"/>
    <s v="Q1"/>
    <s v="Adult"/>
    <s v="High"/>
    <s v="Central - Self-employed"/>
  </r>
  <r>
    <x v="642"/>
    <s v="Turvi Dugar"/>
    <n v="62"/>
    <x v="1"/>
    <x v="0"/>
    <x v="3"/>
    <x v="2"/>
    <x v="0"/>
    <x v="0"/>
    <n v="0.27"/>
    <d v="2018-03-30T00:00:00"/>
    <x v="3"/>
    <x v="1"/>
    <x v="1"/>
    <s v="Mar"/>
    <s v="Q1"/>
    <s v="Senior"/>
    <s v="High"/>
    <s v="North - Retired"/>
  </r>
  <r>
    <x v="643"/>
    <s v="Pranit Zachariah"/>
    <n v="43"/>
    <x v="1"/>
    <x v="2"/>
    <x v="1"/>
    <x v="5"/>
    <x v="0"/>
    <x v="0"/>
    <n v="0.48"/>
    <d v="2020-08-23T00:00:00"/>
    <x v="1"/>
    <x v="0"/>
    <x v="0"/>
    <s v="Aug"/>
    <s v="Q3"/>
    <s v="Adult"/>
    <s v="High"/>
    <s v="Central - Salaried"/>
  </r>
  <r>
    <x v="644"/>
    <s v="Nathaniel Dalal"/>
    <n v="26"/>
    <x v="1"/>
    <x v="2"/>
    <x v="1"/>
    <x v="1"/>
    <x v="0"/>
    <x v="0"/>
    <n v="0.47"/>
    <d v="2019-08-02T00:00:00"/>
    <x v="0"/>
    <x v="0"/>
    <x v="4"/>
    <s v="Aug"/>
    <s v="Q3"/>
    <s v="Young"/>
    <s v="High"/>
    <s v="East - Salaried"/>
  </r>
  <r>
    <x v="645"/>
    <s v="Tristan Pall"/>
    <n v="61"/>
    <x v="1"/>
    <x v="1"/>
    <x v="2"/>
    <x v="3"/>
    <x v="0"/>
    <x v="1"/>
    <n v="0.27"/>
    <d v="2019-06-24T00:00:00"/>
    <x v="3"/>
    <x v="1"/>
    <x v="4"/>
    <s v="Jun"/>
    <s v="Q2"/>
    <s v="Senior"/>
    <s v="Low"/>
    <s v="South - Self-employed"/>
  </r>
  <r>
    <x v="646"/>
    <s v="Chanchal Sanghvi"/>
    <n v="68"/>
    <x v="0"/>
    <x v="2"/>
    <x v="1"/>
    <x v="4"/>
    <x v="1"/>
    <x v="1"/>
    <n v="0.56999999999999995"/>
    <d v="2019-02-11T00:00:00"/>
    <x v="3"/>
    <x v="0"/>
    <x v="4"/>
    <s v="Feb"/>
    <s v="Q1"/>
    <s v="Senior"/>
    <s v="High"/>
    <s v="North-East - Salaried"/>
  </r>
  <r>
    <x v="647"/>
    <s v="Onveer Setty"/>
    <n v="55"/>
    <x v="1"/>
    <x v="0"/>
    <x v="1"/>
    <x v="2"/>
    <x v="0"/>
    <x v="1"/>
    <n v="0.51"/>
    <d v="2020-01-24T00:00:00"/>
    <x v="2"/>
    <x v="0"/>
    <x v="0"/>
    <s v="Jan"/>
    <s v="Q1"/>
    <s v="Senior"/>
    <s v="Low"/>
    <s v="North - Salaried"/>
  </r>
  <r>
    <x v="648"/>
    <s v="Vrinda Lanka"/>
    <n v="50"/>
    <x v="0"/>
    <x v="2"/>
    <x v="1"/>
    <x v="0"/>
    <x v="1"/>
    <x v="0"/>
    <n v="0.48"/>
    <d v="2021-04-06T00:00:00"/>
    <x v="2"/>
    <x v="0"/>
    <x v="2"/>
    <s v="Apr"/>
    <s v="Q2"/>
    <s v="Adult"/>
    <s v="Very High"/>
    <s v="West - Salaried"/>
  </r>
  <r>
    <x v="649"/>
    <s v="Yashasvi Saran"/>
    <n v="22"/>
    <x v="1"/>
    <x v="0"/>
    <x v="3"/>
    <x v="3"/>
    <x v="1"/>
    <x v="0"/>
    <n v="0.56999999999999995"/>
    <d v="2018-02-11T00:00:00"/>
    <x v="0"/>
    <x v="0"/>
    <x v="1"/>
    <s v="Feb"/>
    <s v="Q1"/>
    <s v="Young"/>
    <s v="Very High"/>
    <s v="South - Retired"/>
  </r>
  <r>
    <x v="650"/>
    <s v="Aarnav Sahota"/>
    <n v="36"/>
    <x v="0"/>
    <x v="0"/>
    <x v="1"/>
    <x v="1"/>
    <x v="0"/>
    <x v="0"/>
    <n v="0.25"/>
    <d v="2022-06-18T00:00:00"/>
    <x v="1"/>
    <x v="1"/>
    <x v="3"/>
    <s v="Jun"/>
    <s v="Q2"/>
    <s v="Adult"/>
    <s v="High"/>
    <s v="East - Salaried"/>
  </r>
  <r>
    <x v="651"/>
    <s v="Januja Sachar"/>
    <n v="27"/>
    <x v="0"/>
    <x v="2"/>
    <x v="1"/>
    <x v="4"/>
    <x v="1"/>
    <x v="1"/>
    <n v="0.21"/>
    <d v="2023-07-11T00:00:00"/>
    <x v="0"/>
    <x v="1"/>
    <x v="5"/>
    <s v="Jul"/>
    <s v="Q3"/>
    <s v="Young"/>
    <s v="High"/>
    <s v="North-East - Salaried"/>
  </r>
  <r>
    <x v="652"/>
    <s v="Omkaar Basu"/>
    <n v="29"/>
    <x v="1"/>
    <x v="1"/>
    <x v="3"/>
    <x v="4"/>
    <x v="0"/>
    <x v="0"/>
    <n v="0.32"/>
    <d v="2018-09-16T00:00:00"/>
    <x v="0"/>
    <x v="0"/>
    <x v="1"/>
    <s v="Sep"/>
    <s v="Q3"/>
    <s v="Young"/>
    <s v="High"/>
    <s v="North-East - Retired"/>
  </r>
  <r>
    <x v="653"/>
    <s v="Harshil Garg"/>
    <n v="22"/>
    <x v="0"/>
    <x v="0"/>
    <x v="0"/>
    <x v="3"/>
    <x v="1"/>
    <x v="1"/>
    <n v="0.22"/>
    <d v="2019-12-15T00:00:00"/>
    <x v="0"/>
    <x v="1"/>
    <x v="4"/>
    <s v="Dec"/>
    <s v="Q4"/>
    <s v="Young"/>
    <s v="High"/>
    <s v="South - Student"/>
  </r>
  <r>
    <x v="654"/>
    <s v="Noah Grewal"/>
    <n v="34"/>
    <x v="0"/>
    <x v="1"/>
    <x v="2"/>
    <x v="3"/>
    <x v="1"/>
    <x v="1"/>
    <n v="0.62"/>
    <d v="2019-12-17T00:00:00"/>
    <x v="1"/>
    <x v="0"/>
    <x v="4"/>
    <s v="Dec"/>
    <s v="Q4"/>
    <s v="Adult"/>
    <s v="High"/>
    <s v="South - Self-employed"/>
  </r>
  <r>
    <x v="655"/>
    <s v="Kamya Mistry"/>
    <n v="27"/>
    <x v="1"/>
    <x v="2"/>
    <x v="1"/>
    <x v="2"/>
    <x v="0"/>
    <x v="0"/>
    <n v="0.47"/>
    <d v="2021-04-26T00:00:00"/>
    <x v="0"/>
    <x v="0"/>
    <x v="2"/>
    <s v="Apr"/>
    <s v="Q2"/>
    <s v="Young"/>
    <s v="High"/>
    <s v="North - Salaried"/>
  </r>
  <r>
    <x v="656"/>
    <s v="Bachittar Mammen"/>
    <n v="27"/>
    <x v="1"/>
    <x v="2"/>
    <x v="3"/>
    <x v="3"/>
    <x v="1"/>
    <x v="1"/>
    <n v="0.4"/>
    <d v="2021-06-29T00:00:00"/>
    <x v="0"/>
    <x v="0"/>
    <x v="2"/>
    <s v="Jun"/>
    <s v="Q2"/>
    <s v="Young"/>
    <s v="High"/>
    <s v="South - Retired"/>
  </r>
  <r>
    <x v="657"/>
    <s v="Bakhshi Kar"/>
    <n v="48"/>
    <x v="1"/>
    <x v="1"/>
    <x v="3"/>
    <x v="0"/>
    <x v="1"/>
    <x v="0"/>
    <n v="0.31"/>
    <d v="2023-05-02T00:00:00"/>
    <x v="2"/>
    <x v="0"/>
    <x v="5"/>
    <s v="May"/>
    <s v="Q2"/>
    <s v="Adult"/>
    <s v="Very High"/>
    <s v="West - Retired"/>
  </r>
  <r>
    <x v="658"/>
    <s v="Yug Jhaveri"/>
    <n v="47"/>
    <x v="0"/>
    <x v="2"/>
    <x v="3"/>
    <x v="1"/>
    <x v="0"/>
    <x v="0"/>
    <n v="0.49"/>
    <d v="2021-02-21T00:00:00"/>
    <x v="2"/>
    <x v="0"/>
    <x v="2"/>
    <s v="Feb"/>
    <s v="Q1"/>
    <s v="Adult"/>
    <s v="High"/>
    <s v="East - Retired"/>
  </r>
  <r>
    <x v="659"/>
    <s v="Ishita Bhavsar"/>
    <n v="26"/>
    <x v="0"/>
    <x v="1"/>
    <x v="0"/>
    <x v="4"/>
    <x v="0"/>
    <x v="0"/>
    <n v="0.92"/>
    <d v="2018-08-11T00:00:00"/>
    <x v="0"/>
    <x v="2"/>
    <x v="1"/>
    <s v="Aug"/>
    <s v="Q3"/>
    <s v="Young"/>
    <s v="High"/>
    <s v="North-East - Student"/>
  </r>
  <r>
    <x v="660"/>
    <s v="Mitesh Prasad"/>
    <n v="21"/>
    <x v="0"/>
    <x v="0"/>
    <x v="0"/>
    <x v="3"/>
    <x v="1"/>
    <x v="0"/>
    <n v="0.5"/>
    <d v="2020-07-18T00:00:00"/>
    <x v="0"/>
    <x v="0"/>
    <x v="0"/>
    <s v="Jul"/>
    <s v="Q3"/>
    <s v="Young"/>
    <s v="Very High"/>
    <s v="South - Student"/>
  </r>
  <r>
    <x v="661"/>
    <s v="Hemangini Bhargava"/>
    <n v="28"/>
    <x v="1"/>
    <x v="1"/>
    <x v="1"/>
    <x v="1"/>
    <x v="1"/>
    <x v="0"/>
    <n v="0.74"/>
    <d v="2020-08-26T00:00:00"/>
    <x v="0"/>
    <x v="2"/>
    <x v="0"/>
    <s v="Aug"/>
    <s v="Q3"/>
    <s v="Young"/>
    <s v="Very High"/>
    <s v="East - Salaried"/>
  </r>
  <r>
    <x v="662"/>
    <s v="Upkaar Nazareth"/>
    <n v="41"/>
    <x v="0"/>
    <x v="2"/>
    <x v="0"/>
    <x v="5"/>
    <x v="0"/>
    <x v="1"/>
    <n v="0.24"/>
    <d v="2018-03-17T00:00:00"/>
    <x v="1"/>
    <x v="1"/>
    <x v="1"/>
    <s v="Mar"/>
    <s v="Q1"/>
    <s v="Adult"/>
    <s v="Low"/>
    <s v="Central - Student"/>
  </r>
  <r>
    <x v="663"/>
    <s v="Nidhi Thaman"/>
    <n v="58"/>
    <x v="0"/>
    <x v="0"/>
    <x v="3"/>
    <x v="3"/>
    <x v="1"/>
    <x v="1"/>
    <n v="0.5"/>
    <d v="2019-11-13T00:00:00"/>
    <x v="2"/>
    <x v="0"/>
    <x v="4"/>
    <s v="Nov"/>
    <s v="Q4"/>
    <s v="Senior"/>
    <s v="High"/>
    <s v="South - Retired"/>
  </r>
  <r>
    <x v="664"/>
    <s v="Sathvik Hari"/>
    <n v="40"/>
    <x v="0"/>
    <x v="2"/>
    <x v="1"/>
    <x v="4"/>
    <x v="1"/>
    <x v="0"/>
    <n v="0.08"/>
    <d v="2022-05-08T00:00:00"/>
    <x v="1"/>
    <x v="1"/>
    <x v="3"/>
    <s v="May"/>
    <s v="Q2"/>
    <s v="Adult"/>
    <s v="Very High"/>
    <s v="North-East - Salaried"/>
  </r>
  <r>
    <x v="665"/>
    <s v="Yatin Ramesh"/>
    <n v="29"/>
    <x v="1"/>
    <x v="0"/>
    <x v="3"/>
    <x v="2"/>
    <x v="1"/>
    <x v="0"/>
    <n v="0.46"/>
    <d v="2019-03-08T00:00:00"/>
    <x v="0"/>
    <x v="0"/>
    <x v="4"/>
    <s v="Mar"/>
    <s v="Q1"/>
    <s v="Young"/>
    <s v="Very High"/>
    <s v="North - Retired"/>
  </r>
  <r>
    <x v="666"/>
    <s v="Pooja Deo"/>
    <n v="47"/>
    <x v="0"/>
    <x v="0"/>
    <x v="0"/>
    <x v="2"/>
    <x v="0"/>
    <x v="0"/>
    <n v="0.03"/>
    <d v="2021-04-23T00:00:00"/>
    <x v="2"/>
    <x v="1"/>
    <x v="2"/>
    <s v="Apr"/>
    <s v="Q2"/>
    <s v="Adult"/>
    <s v="High"/>
    <s v="North - Student"/>
  </r>
  <r>
    <x v="667"/>
    <s v="Avi Palan"/>
    <n v="47"/>
    <x v="1"/>
    <x v="2"/>
    <x v="3"/>
    <x v="2"/>
    <x v="0"/>
    <x v="0"/>
    <n v="0.54"/>
    <d v="2022-01-22T00:00:00"/>
    <x v="2"/>
    <x v="0"/>
    <x v="3"/>
    <s v="Jan"/>
    <s v="Q1"/>
    <s v="Adult"/>
    <s v="High"/>
    <s v="North - Retired"/>
  </r>
  <r>
    <x v="668"/>
    <s v="Jason Date"/>
    <n v="66"/>
    <x v="0"/>
    <x v="1"/>
    <x v="1"/>
    <x v="5"/>
    <x v="1"/>
    <x v="0"/>
    <n v="0.28000000000000003"/>
    <d v="2021-09-24T00:00:00"/>
    <x v="3"/>
    <x v="1"/>
    <x v="2"/>
    <s v="Sep"/>
    <s v="Q3"/>
    <s v="Senior"/>
    <s v="Very High"/>
    <s v="Central - Salaried"/>
  </r>
  <r>
    <x v="669"/>
    <s v="Dakshesh Sawhney"/>
    <n v="28"/>
    <x v="0"/>
    <x v="2"/>
    <x v="3"/>
    <x v="2"/>
    <x v="0"/>
    <x v="1"/>
    <n v="0.53"/>
    <d v="2020-09-04T00:00:00"/>
    <x v="0"/>
    <x v="0"/>
    <x v="0"/>
    <s v="Sep"/>
    <s v="Q3"/>
    <s v="Young"/>
    <s v="Low"/>
    <s v="North - Retired"/>
  </r>
  <r>
    <x v="670"/>
    <s v="Maya Munshi"/>
    <n v="30"/>
    <x v="1"/>
    <x v="0"/>
    <x v="3"/>
    <x v="2"/>
    <x v="1"/>
    <x v="0"/>
    <n v="0.33"/>
    <d v="2019-09-07T00:00:00"/>
    <x v="0"/>
    <x v="0"/>
    <x v="4"/>
    <s v="Sep"/>
    <s v="Q3"/>
    <s v="Adult"/>
    <s v="Very High"/>
    <s v="North - Retired"/>
  </r>
  <r>
    <x v="671"/>
    <s v="Xavier Taneja"/>
    <n v="18"/>
    <x v="1"/>
    <x v="2"/>
    <x v="0"/>
    <x v="2"/>
    <x v="1"/>
    <x v="1"/>
    <n v="0.53"/>
    <d v="2019-11-18T00:00:00"/>
    <x v="0"/>
    <x v="0"/>
    <x v="4"/>
    <s v="Nov"/>
    <s v="Q4"/>
    <s v="Young"/>
    <s v="High"/>
    <s v="North - Student"/>
  </r>
  <r>
    <x v="672"/>
    <s v="Rudra Borra"/>
    <n v="57"/>
    <x v="0"/>
    <x v="2"/>
    <x v="0"/>
    <x v="0"/>
    <x v="0"/>
    <x v="1"/>
    <n v="0.65"/>
    <d v="2018-11-29T00:00:00"/>
    <x v="2"/>
    <x v="0"/>
    <x v="1"/>
    <s v="Nov"/>
    <s v="Q4"/>
    <s v="Senior"/>
    <s v="Low"/>
    <s v="West - Student"/>
  </r>
  <r>
    <x v="673"/>
    <s v="Alexander Rajagopalan"/>
    <n v="31"/>
    <x v="0"/>
    <x v="2"/>
    <x v="1"/>
    <x v="1"/>
    <x v="0"/>
    <x v="0"/>
    <n v="0.28000000000000003"/>
    <d v="2022-07-01T00:00:00"/>
    <x v="1"/>
    <x v="1"/>
    <x v="3"/>
    <s v="Jul"/>
    <s v="Q3"/>
    <s v="Adult"/>
    <s v="High"/>
    <s v="East - Salaried"/>
  </r>
  <r>
    <x v="674"/>
    <s v="Amrita Chander"/>
    <n v="45"/>
    <x v="0"/>
    <x v="0"/>
    <x v="0"/>
    <x v="2"/>
    <x v="0"/>
    <x v="0"/>
    <n v="0.67"/>
    <d v="2019-01-19T00:00:00"/>
    <x v="1"/>
    <x v="0"/>
    <x v="4"/>
    <s v="Jan"/>
    <s v="Q1"/>
    <s v="Adult"/>
    <s v="High"/>
    <s v="North - Student"/>
  </r>
  <r>
    <x v="675"/>
    <s v="Sara Oommen"/>
    <n v="45"/>
    <x v="0"/>
    <x v="2"/>
    <x v="2"/>
    <x v="4"/>
    <x v="0"/>
    <x v="0"/>
    <n v="0.49"/>
    <d v="2019-10-06T00:00:00"/>
    <x v="1"/>
    <x v="0"/>
    <x v="4"/>
    <s v="Oct"/>
    <s v="Q4"/>
    <s v="Adult"/>
    <s v="High"/>
    <s v="North-East - Self-employed"/>
  </r>
  <r>
    <x v="676"/>
    <s v="Kevin Golla"/>
    <n v="37"/>
    <x v="1"/>
    <x v="1"/>
    <x v="3"/>
    <x v="1"/>
    <x v="0"/>
    <x v="1"/>
    <n v="0.78"/>
    <d v="2022-12-06T00:00:00"/>
    <x v="1"/>
    <x v="2"/>
    <x v="3"/>
    <s v="Dec"/>
    <s v="Q4"/>
    <s v="Adult"/>
    <s v="Low"/>
    <s v="East - Retired"/>
  </r>
  <r>
    <x v="677"/>
    <s v="Vincent Rattan"/>
    <n v="26"/>
    <x v="1"/>
    <x v="2"/>
    <x v="1"/>
    <x v="5"/>
    <x v="0"/>
    <x v="1"/>
    <n v="0.56000000000000005"/>
    <d v="2018-01-21T00:00:00"/>
    <x v="0"/>
    <x v="0"/>
    <x v="1"/>
    <s v="Jan"/>
    <s v="Q1"/>
    <s v="Young"/>
    <s v="Low"/>
    <s v="Central - Salaried"/>
  </r>
  <r>
    <x v="678"/>
    <s v="Pallavi Mahal"/>
    <n v="45"/>
    <x v="0"/>
    <x v="2"/>
    <x v="1"/>
    <x v="2"/>
    <x v="1"/>
    <x v="1"/>
    <n v="0.46"/>
    <d v="2022-07-10T00:00:00"/>
    <x v="1"/>
    <x v="0"/>
    <x v="3"/>
    <s v="Jul"/>
    <s v="Q3"/>
    <s v="Adult"/>
    <s v="High"/>
    <s v="North - Salaried"/>
  </r>
  <r>
    <x v="679"/>
    <s v="Eiravati Dora"/>
    <n v="40"/>
    <x v="0"/>
    <x v="2"/>
    <x v="1"/>
    <x v="0"/>
    <x v="1"/>
    <x v="0"/>
    <n v="0.37"/>
    <d v="2018-05-31T00:00:00"/>
    <x v="1"/>
    <x v="0"/>
    <x v="1"/>
    <s v="May"/>
    <s v="Q2"/>
    <s v="Adult"/>
    <s v="Very High"/>
    <s v="West - Salaried"/>
  </r>
  <r>
    <x v="680"/>
    <s v="Lucky Bal"/>
    <n v="41"/>
    <x v="0"/>
    <x v="2"/>
    <x v="2"/>
    <x v="2"/>
    <x v="1"/>
    <x v="1"/>
    <n v="0.55000000000000004"/>
    <d v="2023-04-10T00:00:00"/>
    <x v="1"/>
    <x v="0"/>
    <x v="5"/>
    <s v="Apr"/>
    <s v="Q2"/>
    <s v="Adult"/>
    <s v="High"/>
    <s v="North - Self-employed"/>
  </r>
  <r>
    <x v="681"/>
    <s v="Jai Sen"/>
    <n v="64"/>
    <x v="1"/>
    <x v="2"/>
    <x v="0"/>
    <x v="1"/>
    <x v="1"/>
    <x v="0"/>
    <n v="0.34"/>
    <d v="2018-09-18T00:00:00"/>
    <x v="3"/>
    <x v="0"/>
    <x v="1"/>
    <s v="Sep"/>
    <s v="Q3"/>
    <s v="Senior"/>
    <s v="Very High"/>
    <s v="East - Student"/>
  </r>
  <r>
    <x v="682"/>
    <s v="Avi Agrawal"/>
    <n v="33"/>
    <x v="0"/>
    <x v="1"/>
    <x v="3"/>
    <x v="1"/>
    <x v="1"/>
    <x v="1"/>
    <n v="1"/>
    <d v="2018-08-23T00:00:00"/>
    <x v="1"/>
    <x v="2"/>
    <x v="1"/>
    <s v="Aug"/>
    <s v="Q3"/>
    <s v="Adult"/>
    <s v="High"/>
    <s v="East - Retired"/>
  </r>
  <r>
    <x v="683"/>
    <s v="Anamika Bhat"/>
    <n v="51"/>
    <x v="1"/>
    <x v="0"/>
    <x v="3"/>
    <x v="4"/>
    <x v="1"/>
    <x v="1"/>
    <n v="0.01"/>
    <d v="2018-10-13T00:00:00"/>
    <x v="2"/>
    <x v="1"/>
    <x v="1"/>
    <s v="Oct"/>
    <s v="Q4"/>
    <s v="Senior"/>
    <s v="High"/>
    <s v="North-East - Retired"/>
  </r>
  <r>
    <x v="684"/>
    <s v="Irya Karpe"/>
    <n v="50"/>
    <x v="0"/>
    <x v="2"/>
    <x v="2"/>
    <x v="3"/>
    <x v="1"/>
    <x v="0"/>
    <n v="0.4"/>
    <d v="2022-10-09T00:00:00"/>
    <x v="2"/>
    <x v="0"/>
    <x v="3"/>
    <s v="Oct"/>
    <s v="Q4"/>
    <s v="Adult"/>
    <s v="Very High"/>
    <s v="South - Self-employed"/>
  </r>
  <r>
    <x v="685"/>
    <s v="Isha Anne"/>
    <n v="36"/>
    <x v="1"/>
    <x v="0"/>
    <x v="1"/>
    <x v="2"/>
    <x v="0"/>
    <x v="1"/>
    <n v="0.26"/>
    <d v="2022-06-28T00:00:00"/>
    <x v="1"/>
    <x v="1"/>
    <x v="3"/>
    <s v="Jun"/>
    <s v="Q2"/>
    <s v="Adult"/>
    <s v="Low"/>
    <s v="North - Salaried"/>
  </r>
  <r>
    <x v="686"/>
    <s v="Liam Chaudhry"/>
    <n v="29"/>
    <x v="1"/>
    <x v="1"/>
    <x v="0"/>
    <x v="0"/>
    <x v="0"/>
    <x v="0"/>
    <n v="0.42"/>
    <d v="2018-09-22T00:00:00"/>
    <x v="0"/>
    <x v="0"/>
    <x v="1"/>
    <s v="Sep"/>
    <s v="Q3"/>
    <s v="Young"/>
    <s v="High"/>
    <s v="West - Student"/>
  </r>
  <r>
    <x v="687"/>
    <s v="Triya Dey"/>
    <n v="44"/>
    <x v="0"/>
    <x v="2"/>
    <x v="3"/>
    <x v="2"/>
    <x v="1"/>
    <x v="0"/>
    <n v="0.27"/>
    <d v="2023-05-03T00:00:00"/>
    <x v="1"/>
    <x v="1"/>
    <x v="5"/>
    <s v="May"/>
    <s v="Q2"/>
    <s v="Adult"/>
    <s v="Very High"/>
    <s v="North - Retired"/>
  </r>
  <r>
    <x v="688"/>
    <s v="Unnati Date"/>
    <n v="33"/>
    <x v="0"/>
    <x v="0"/>
    <x v="3"/>
    <x v="4"/>
    <x v="0"/>
    <x v="0"/>
    <n v="0.45"/>
    <d v="2019-03-07T00:00:00"/>
    <x v="1"/>
    <x v="0"/>
    <x v="4"/>
    <s v="Mar"/>
    <s v="Q1"/>
    <s v="Adult"/>
    <s v="High"/>
    <s v="North-East - Retired"/>
  </r>
  <r>
    <x v="689"/>
    <s v="Zayan Deep"/>
    <n v="41"/>
    <x v="0"/>
    <x v="2"/>
    <x v="1"/>
    <x v="4"/>
    <x v="0"/>
    <x v="1"/>
    <n v="0.14000000000000001"/>
    <d v="2021-08-08T00:00:00"/>
    <x v="1"/>
    <x v="1"/>
    <x v="2"/>
    <s v="Aug"/>
    <s v="Q3"/>
    <s v="Adult"/>
    <s v="Low"/>
    <s v="North-East - Salaried"/>
  </r>
  <r>
    <x v="690"/>
    <s v="Girik Thaker"/>
    <n v="36"/>
    <x v="1"/>
    <x v="1"/>
    <x v="0"/>
    <x v="2"/>
    <x v="1"/>
    <x v="0"/>
    <n v="0.74"/>
    <d v="2018-02-26T00:00:00"/>
    <x v="1"/>
    <x v="2"/>
    <x v="1"/>
    <s v="Feb"/>
    <s v="Q1"/>
    <s v="Adult"/>
    <s v="Very High"/>
    <s v="North - Student"/>
  </r>
  <r>
    <x v="691"/>
    <s v="Aachal Nagy"/>
    <n v="58"/>
    <x v="1"/>
    <x v="0"/>
    <x v="3"/>
    <x v="4"/>
    <x v="0"/>
    <x v="1"/>
    <n v="0.41"/>
    <d v="2023-06-24T00:00:00"/>
    <x v="2"/>
    <x v="0"/>
    <x v="5"/>
    <s v="Jun"/>
    <s v="Q2"/>
    <s v="Senior"/>
    <s v="Low"/>
    <s v="North-East - Retired"/>
  </r>
  <r>
    <x v="692"/>
    <s v="Pranit Amble"/>
    <n v="55"/>
    <x v="1"/>
    <x v="2"/>
    <x v="2"/>
    <x v="3"/>
    <x v="0"/>
    <x v="0"/>
    <n v="0.63"/>
    <d v="2022-03-01T00:00:00"/>
    <x v="2"/>
    <x v="0"/>
    <x v="3"/>
    <s v="Mar"/>
    <s v="Q1"/>
    <s v="Senior"/>
    <s v="High"/>
    <s v="South - Self-employed"/>
  </r>
  <r>
    <x v="693"/>
    <s v="Vasudha Tailor"/>
    <n v="21"/>
    <x v="1"/>
    <x v="0"/>
    <x v="0"/>
    <x v="5"/>
    <x v="0"/>
    <x v="0"/>
    <n v="0.39"/>
    <d v="2019-01-20T00:00:00"/>
    <x v="0"/>
    <x v="0"/>
    <x v="4"/>
    <s v="Jan"/>
    <s v="Q1"/>
    <s v="Young"/>
    <s v="High"/>
    <s v="Central - Student"/>
  </r>
  <r>
    <x v="694"/>
    <s v="Raagini Tailor"/>
    <n v="37"/>
    <x v="1"/>
    <x v="1"/>
    <x v="3"/>
    <x v="3"/>
    <x v="0"/>
    <x v="0"/>
    <n v="0.5"/>
    <d v="2018-11-10T00:00:00"/>
    <x v="1"/>
    <x v="0"/>
    <x v="1"/>
    <s v="Nov"/>
    <s v="Q4"/>
    <s v="Adult"/>
    <s v="High"/>
    <s v="South - Retired"/>
  </r>
  <r>
    <x v="695"/>
    <s v="Girish Parmar"/>
    <n v="29"/>
    <x v="1"/>
    <x v="1"/>
    <x v="1"/>
    <x v="4"/>
    <x v="0"/>
    <x v="0"/>
    <n v="0.65"/>
    <d v="2018-03-29T00:00:00"/>
    <x v="0"/>
    <x v="0"/>
    <x v="1"/>
    <s v="Mar"/>
    <s v="Q1"/>
    <s v="Young"/>
    <s v="High"/>
    <s v="North-East - Salaried"/>
  </r>
  <r>
    <x v="696"/>
    <s v="Noah Oak"/>
    <n v="50"/>
    <x v="1"/>
    <x v="1"/>
    <x v="3"/>
    <x v="2"/>
    <x v="0"/>
    <x v="1"/>
    <n v="0.61"/>
    <d v="2019-09-20T00:00:00"/>
    <x v="2"/>
    <x v="0"/>
    <x v="4"/>
    <s v="Sep"/>
    <s v="Q3"/>
    <s v="Adult"/>
    <s v="Low"/>
    <s v="North - Retired"/>
  </r>
  <r>
    <x v="697"/>
    <s v="Bimala Sant"/>
    <n v="39"/>
    <x v="0"/>
    <x v="1"/>
    <x v="3"/>
    <x v="0"/>
    <x v="1"/>
    <x v="1"/>
    <n v="0.57999999999999996"/>
    <d v="2022-06-20T00:00:00"/>
    <x v="1"/>
    <x v="0"/>
    <x v="3"/>
    <s v="Jun"/>
    <s v="Q2"/>
    <s v="Adult"/>
    <s v="High"/>
    <s v="West - Retired"/>
  </r>
  <r>
    <x v="698"/>
    <s v="Yahvi Parmer"/>
    <n v="18"/>
    <x v="1"/>
    <x v="1"/>
    <x v="1"/>
    <x v="2"/>
    <x v="0"/>
    <x v="1"/>
    <n v="0.18"/>
    <d v="2018-05-25T00:00:00"/>
    <x v="0"/>
    <x v="1"/>
    <x v="1"/>
    <s v="May"/>
    <s v="Q2"/>
    <s v="Young"/>
    <s v="Low"/>
    <s v="North - Salaried"/>
  </r>
  <r>
    <x v="699"/>
    <s v="Vanya Deshmukh"/>
    <n v="21"/>
    <x v="0"/>
    <x v="0"/>
    <x v="1"/>
    <x v="3"/>
    <x v="1"/>
    <x v="1"/>
    <n v="0.82"/>
    <d v="2021-09-22T00:00:00"/>
    <x v="0"/>
    <x v="2"/>
    <x v="2"/>
    <s v="Sep"/>
    <s v="Q3"/>
    <s v="Young"/>
    <s v="High"/>
    <s v="South - Salaried"/>
  </r>
  <r>
    <x v="700"/>
    <s v="Mitali Subramaniam"/>
    <n v="40"/>
    <x v="0"/>
    <x v="2"/>
    <x v="0"/>
    <x v="0"/>
    <x v="0"/>
    <x v="0"/>
    <n v="0.54"/>
    <d v="2021-11-19T00:00:00"/>
    <x v="1"/>
    <x v="0"/>
    <x v="2"/>
    <s v="Nov"/>
    <s v="Q4"/>
    <s v="Adult"/>
    <s v="High"/>
    <s v="West - Student"/>
  </r>
  <r>
    <x v="701"/>
    <s v="Om Patil"/>
    <n v="43"/>
    <x v="0"/>
    <x v="1"/>
    <x v="2"/>
    <x v="5"/>
    <x v="0"/>
    <x v="1"/>
    <n v="0.44"/>
    <d v="2019-05-20T00:00:00"/>
    <x v="1"/>
    <x v="0"/>
    <x v="4"/>
    <s v="May"/>
    <s v="Q2"/>
    <s v="Adult"/>
    <s v="Low"/>
    <s v="Central - Self-employed"/>
  </r>
  <r>
    <x v="702"/>
    <s v="Tarak Nagar"/>
    <n v="58"/>
    <x v="1"/>
    <x v="0"/>
    <x v="0"/>
    <x v="4"/>
    <x v="1"/>
    <x v="1"/>
    <n v="7.0000000000000007E-2"/>
    <d v="2019-01-12T00:00:00"/>
    <x v="2"/>
    <x v="1"/>
    <x v="4"/>
    <s v="Jan"/>
    <s v="Q1"/>
    <s v="Senior"/>
    <s v="High"/>
    <s v="North-East - Student"/>
  </r>
  <r>
    <x v="703"/>
    <s v="Nathan Gera"/>
    <n v="69"/>
    <x v="0"/>
    <x v="2"/>
    <x v="0"/>
    <x v="3"/>
    <x v="0"/>
    <x v="1"/>
    <n v="0.91"/>
    <d v="2020-01-07T00:00:00"/>
    <x v="3"/>
    <x v="2"/>
    <x v="0"/>
    <s v="Jan"/>
    <s v="Q1"/>
    <s v="Senior"/>
    <s v="Low"/>
    <s v="South - Student"/>
  </r>
  <r>
    <x v="704"/>
    <s v="Qadim Pandit"/>
    <n v="49"/>
    <x v="0"/>
    <x v="0"/>
    <x v="0"/>
    <x v="5"/>
    <x v="1"/>
    <x v="1"/>
    <n v="0.39"/>
    <d v="2020-12-04T00:00:00"/>
    <x v="2"/>
    <x v="0"/>
    <x v="0"/>
    <s v="Dec"/>
    <s v="Q4"/>
    <s v="Adult"/>
    <s v="High"/>
    <s v="Central - Student"/>
  </r>
  <r>
    <x v="705"/>
    <s v="Om Mital"/>
    <n v="31"/>
    <x v="0"/>
    <x v="2"/>
    <x v="0"/>
    <x v="2"/>
    <x v="0"/>
    <x v="0"/>
    <n v="0.64"/>
    <d v="2021-11-03T00:00:00"/>
    <x v="1"/>
    <x v="0"/>
    <x v="2"/>
    <s v="Nov"/>
    <s v="Q4"/>
    <s v="Adult"/>
    <s v="High"/>
    <s v="North - Student"/>
  </r>
  <r>
    <x v="706"/>
    <s v="Orinder Sabharwal"/>
    <n v="35"/>
    <x v="0"/>
    <x v="1"/>
    <x v="3"/>
    <x v="5"/>
    <x v="1"/>
    <x v="1"/>
    <n v="0.69"/>
    <d v="2020-07-15T00:00:00"/>
    <x v="1"/>
    <x v="0"/>
    <x v="0"/>
    <s v="Jul"/>
    <s v="Q3"/>
    <s v="Adult"/>
    <s v="High"/>
    <s v="Central - Retired"/>
  </r>
  <r>
    <x v="707"/>
    <s v="Zayan Gole"/>
    <n v="41"/>
    <x v="0"/>
    <x v="1"/>
    <x v="3"/>
    <x v="1"/>
    <x v="0"/>
    <x v="1"/>
    <n v="0.36"/>
    <d v="2020-07-05T00:00:00"/>
    <x v="1"/>
    <x v="0"/>
    <x v="0"/>
    <s v="Jul"/>
    <s v="Q3"/>
    <s v="Adult"/>
    <s v="Low"/>
    <s v="East - Retired"/>
  </r>
  <r>
    <x v="708"/>
    <s v="Yatan Mahal"/>
    <n v="30"/>
    <x v="1"/>
    <x v="0"/>
    <x v="2"/>
    <x v="5"/>
    <x v="1"/>
    <x v="1"/>
    <n v="0.62"/>
    <d v="2018-10-20T00:00:00"/>
    <x v="0"/>
    <x v="0"/>
    <x v="1"/>
    <s v="Oct"/>
    <s v="Q4"/>
    <s v="Adult"/>
    <s v="High"/>
    <s v="Central - Self-employed"/>
  </r>
  <r>
    <x v="709"/>
    <s v="Bhavna Gill"/>
    <n v="53"/>
    <x v="0"/>
    <x v="1"/>
    <x v="2"/>
    <x v="2"/>
    <x v="1"/>
    <x v="1"/>
    <n v="0.56999999999999995"/>
    <d v="2019-03-01T00:00:00"/>
    <x v="2"/>
    <x v="0"/>
    <x v="4"/>
    <s v="Mar"/>
    <s v="Q1"/>
    <s v="Senior"/>
    <s v="High"/>
    <s v="North - Self-employed"/>
  </r>
  <r>
    <x v="710"/>
    <s v="Agastya Sahni"/>
    <n v="21"/>
    <x v="0"/>
    <x v="1"/>
    <x v="1"/>
    <x v="3"/>
    <x v="1"/>
    <x v="0"/>
    <n v="0.63"/>
    <d v="2019-03-14T00:00:00"/>
    <x v="0"/>
    <x v="0"/>
    <x v="4"/>
    <s v="Mar"/>
    <s v="Q1"/>
    <s v="Young"/>
    <s v="Very High"/>
    <s v="South - Salaried"/>
  </r>
  <r>
    <x v="711"/>
    <s v="Onkar Sawhney"/>
    <n v="43"/>
    <x v="0"/>
    <x v="2"/>
    <x v="3"/>
    <x v="3"/>
    <x v="0"/>
    <x v="0"/>
    <n v="0.72"/>
    <d v="2019-12-31T00:00:00"/>
    <x v="1"/>
    <x v="2"/>
    <x v="4"/>
    <s v="Dec"/>
    <s v="Q4"/>
    <s v="Adult"/>
    <s v="High"/>
    <s v="South - Retired"/>
  </r>
  <r>
    <x v="712"/>
    <s v="Krish Rout"/>
    <n v="38"/>
    <x v="1"/>
    <x v="2"/>
    <x v="3"/>
    <x v="5"/>
    <x v="0"/>
    <x v="0"/>
    <n v="0.62"/>
    <d v="2019-11-30T00:00:00"/>
    <x v="1"/>
    <x v="0"/>
    <x v="4"/>
    <s v="Nov"/>
    <s v="Q4"/>
    <s v="Adult"/>
    <s v="High"/>
    <s v="Central - Retired"/>
  </r>
  <r>
    <x v="713"/>
    <s v="Aadi Lala"/>
    <n v="57"/>
    <x v="0"/>
    <x v="0"/>
    <x v="2"/>
    <x v="3"/>
    <x v="1"/>
    <x v="0"/>
    <n v="0.51"/>
    <d v="2018-05-17T00:00:00"/>
    <x v="2"/>
    <x v="0"/>
    <x v="1"/>
    <s v="May"/>
    <s v="Q2"/>
    <s v="Senior"/>
    <s v="Very High"/>
    <s v="South - Self-employed"/>
  </r>
  <r>
    <x v="714"/>
    <s v="Vansha Mane"/>
    <n v="46"/>
    <x v="1"/>
    <x v="1"/>
    <x v="0"/>
    <x v="5"/>
    <x v="1"/>
    <x v="1"/>
    <n v="0.45"/>
    <d v="2019-11-26T00:00:00"/>
    <x v="2"/>
    <x v="0"/>
    <x v="4"/>
    <s v="Nov"/>
    <s v="Q4"/>
    <s v="Adult"/>
    <s v="High"/>
    <s v="Central - Student"/>
  </r>
  <r>
    <x v="715"/>
    <s v="Anirudh Kata"/>
    <n v="19"/>
    <x v="0"/>
    <x v="0"/>
    <x v="1"/>
    <x v="0"/>
    <x v="1"/>
    <x v="0"/>
    <n v="0.42"/>
    <d v="2022-03-20T00:00:00"/>
    <x v="0"/>
    <x v="0"/>
    <x v="3"/>
    <s v="Mar"/>
    <s v="Q1"/>
    <s v="Young"/>
    <s v="Very High"/>
    <s v="West - Salaried"/>
  </r>
  <r>
    <x v="716"/>
    <s v="Chandresh Chad"/>
    <n v="32"/>
    <x v="0"/>
    <x v="1"/>
    <x v="1"/>
    <x v="5"/>
    <x v="1"/>
    <x v="1"/>
    <n v="0.85"/>
    <d v="2018-10-04T00:00:00"/>
    <x v="1"/>
    <x v="2"/>
    <x v="1"/>
    <s v="Oct"/>
    <s v="Q4"/>
    <s v="Adult"/>
    <s v="High"/>
    <s v="Central - Salaried"/>
  </r>
  <r>
    <x v="717"/>
    <s v="Yatan Prabhakar"/>
    <n v="35"/>
    <x v="1"/>
    <x v="0"/>
    <x v="2"/>
    <x v="2"/>
    <x v="0"/>
    <x v="1"/>
    <n v="0.43"/>
    <d v="2021-01-10T00:00:00"/>
    <x v="1"/>
    <x v="0"/>
    <x v="2"/>
    <s v="Jan"/>
    <s v="Q1"/>
    <s v="Adult"/>
    <s v="Low"/>
    <s v="North - Self-employed"/>
  </r>
  <r>
    <x v="718"/>
    <s v="Gabriel Kapadia"/>
    <n v="43"/>
    <x v="0"/>
    <x v="1"/>
    <x v="3"/>
    <x v="5"/>
    <x v="0"/>
    <x v="1"/>
    <n v="0.53"/>
    <d v="2019-11-24T00:00:00"/>
    <x v="1"/>
    <x v="0"/>
    <x v="4"/>
    <s v="Nov"/>
    <s v="Q4"/>
    <s v="Adult"/>
    <s v="Low"/>
    <s v="Central - Retired"/>
  </r>
  <r>
    <x v="719"/>
    <s v="Abdul Batra"/>
    <n v="32"/>
    <x v="1"/>
    <x v="2"/>
    <x v="3"/>
    <x v="1"/>
    <x v="1"/>
    <x v="1"/>
    <n v="0.22"/>
    <d v="2023-06-23T00:00:00"/>
    <x v="1"/>
    <x v="1"/>
    <x v="5"/>
    <s v="Jun"/>
    <s v="Q2"/>
    <s v="Adult"/>
    <s v="High"/>
    <s v="East - Retired"/>
  </r>
  <r>
    <x v="720"/>
    <s v="Triya Sunder"/>
    <n v="57"/>
    <x v="0"/>
    <x v="0"/>
    <x v="3"/>
    <x v="5"/>
    <x v="1"/>
    <x v="0"/>
    <n v="0.56000000000000005"/>
    <d v="2023-09-25T00:00:00"/>
    <x v="2"/>
    <x v="0"/>
    <x v="5"/>
    <s v="Sep"/>
    <s v="Q3"/>
    <s v="Senior"/>
    <s v="Very High"/>
    <s v="Central - Retired"/>
  </r>
  <r>
    <x v="721"/>
    <s v="Ekani Ratta"/>
    <n v="26"/>
    <x v="0"/>
    <x v="1"/>
    <x v="2"/>
    <x v="5"/>
    <x v="1"/>
    <x v="1"/>
    <n v="0.53"/>
    <d v="2018-08-26T00:00:00"/>
    <x v="0"/>
    <x v="0"/>
    <x v="1"/>
    <s v="Aug"/>
    <s v="Q3"/>
    <s v="Young"/>
    <s v="High"/>
    <s v="Central - Self-employed"/>
  </r>
  <r>
    <x v="722"/>
    <s v="Tejas Vora"/>
    <n v="63"/>
    <x v="1"/>
    <x v="0"/>
    <x v="0"/>
    <x v="0"/>
    <x v="0"/>
    <x v="1"/>
    <n v="0.54"/>
    <d v="2018-09-07T00:00:00"/>
    <x v="3"/>
    <x v="0"/>
    <x v="1"/>
    <s v="Sep"/>
    <s v="Q3"/>
    <s v="Senior"/>
    <s v="Low"/>
    <s v="West - Student"/>
  </r>
  <r>
    <x v="723"/>
    <s v="Vedant Sheth"/>
    <n v="45"/>
    <x v="0"/>
    <x v="0"/>
    <x v="3"/>
    <x v="1"/>
    <x v="1"/>
    <x v="0"/>
    <n v="0.61"/>
    <d v="2020-09-30T00:00:00"/>
    <x v="1"/>
    <x v="0"/>
    <x v="0"/>
    <s v="Sep"/>
    <s v="Q3"/>
    <s v="Adult"/>
    <s v="Very High"/>
    <s v="East - Retired"/>
  </r>
  <r>
    <x v="724"/>
    <s v="Ryan Madan"/>
    <n v="54"/>
    <x v="1"/>
    <x v="0"/>
    <x v="1"/>
    <x v="3"/>
    <x v="0"/>
    <x v="0"/>
    <n v="0.69"/>
    <d v="2020-08-01T00:00:00"/>
    <x v="2"/>
    <x v="0"/>
    <x v="0"/>
    <s v="Aug"/>
    <s v="Q3"/>
    <s v="Senior"/>
    <s v="High"/>
    <s v="South - Salaried"/>
  </r>
  <r>
    <x v="725"/>
    <s v="Gautam Saxena"/>
    <n v="29"/>
    <x v="1"/>
    <x v="2"/>
    <x v="1"/>
    <x v="0"/>
    <x v="1"/>
    <x v="0"/>
    <n v="0.5"/>
    <d v="2023-06-13T00:00:00"/>
    <x v="0"/>
    <x v="0"/>
    <x v="5"/>
    <s v="Jun"/>
    <s v="Q2"/>
    <s v="Young"/>
    <s v="Very High"/>
    <s v="West - Salaried"/>
  </r>
  <r>
    <x v="726"/>
    <s v="Ishwar Arora"/>
    <n v="57"/>
    <x v="1"/>
    <x v="0"/>
    <x v="3"/>
    <x v="0"/>
    <x v="0"/>
    <x v="0"/>
    <n v="0.57999999999999996"/>
    <d v="2021-05-07T00:00:00"/>
    <x v="2"/>
    <x v="0"/>
    <x v="2"/>
    <s v="May"/>
    <s v="Q2"/>
    <s v="Senior"/>
    <s v="High"/>
    <s v="West - Retired"/>
  </r>
  <r>
    <x v="727"/>
    <s v="Barkha Chander"/>
    <n v="60"/>
    <x v="1"/>
    <x v="1"/>
    <x v="3"/>
    <x v="0"/>
    <x v="1"/>
    <x v="0"/>
    <n v="0.36"/>
    <d v="2022-01-15T00:00:00"/>
    <x v="2"/>
    <x v="0"/>
    <x v="3"/>
    <s v="Jan"/>
    <s v="Q1"/>
    <s v="Senior"/>
    <s v="Very High"/>
    <s v="West - Retired"/>
  </r>
  <r>
    <x v="728"/>
    <s v="Chandani Devan"/>
    <n v="49"/>
    <x v="1"/>
    <x v="0"/>
    <x v="0"/>
    <x v="1"/>
    <x v="1"/>
    <x v="0"/>
    <n v="0.72"/>
    <d v="2021-10-05T00:00:00"/>
    <x v="2"/>
    <x v="2"/>
    <x v="2"/>
    <s v="Oct"/>
    <s v="Q4"/>
    <s v="Adult"/>
    <s v="Very High"/>
    <s v="East - Student"/>
  </r>
  <r>
    <x v="729"/>
    <s v="Hardik Ramachandran"/>
    <n v="18"/>
    <x v="0"/>
    <x v="2"/>
    <x v="0"/>
    <x v="5"/>
    <x v="1"/>
    <x v="0"/>
    <n v="0.73"/>
    <d v="2018-04-10T00:00:00"/>
    <x v="0"/>
    <x v="2"/>
    <x v="1"/>
    <s v="Apr"/>
    <s v="Q2"/>
    <s v="Young"/>
    <s v="Very High"/>
    <s v="Central - Student"/>
  </r>
  <r>
    <x v="730"/>
    <s v="Ronith Sharaf"/>
    <n v="29"/>
    <x v="0"/>
    <x v="2"/>
    <x v="3"/>
    <x v="2"/>
    <x v="1"/>
    <x v="1"/>
    <n v="0.56000000000000005"/>
    <d v="2020-12-13T00:00:00"/>
    <x v="0"/>
    <x v="0"/>
    <x v="0"/>
    <s v="Dec"/>
    <s v="Q4"/>
    <s v="Young"/>
    <s v="High"/>
    <s v="North - Retired"/>
  </r>
  <r>
    <x v="731"/>
    <s v="Ucchal Singhal"/>
    <n v="35"/>
    <x v="1"/>
    <x v="2"/>
    <x v="0"/>
    <x v="1"/>
    <x v="0"/>
    <x v="0"/>
    <n v="0.36"/>
    <d v="2023-01-06T00:00:00"/>
    <x v="1"/>
    <x v="0"/>
    <x v="5"/>
    <s v="Jan"/>
    <s v="Q1"/>
    <s v="Adult"/>
    <s v="High"/>
    <s v="East - Student"/>
  </r>
  <r>
    <x v="732"/>
    <s v="Janaki Sood"/>
    <n v="59"/>
    <x v="1"/>
    <x v="2"/>
    <x v="2"/>
    <x v="2"/>
    <x v="0"/>
    <x v="1"/>
    <n v="0.44"/>
    <d v="2018-08-16T00:00:00"/>
    <x v="2"/>
    <x v="0"/>
    <x v="1"/>
    <s v="Aug"/>
    <s v="Q3"/>
    <s v="Senior"/>
    <s v="Low"/>
    <s v="North - Self-employed"/>
  </r>
  <r>
    <x v="733"/>
    <s v="Azad Sami"/>
    <n v="40"/>
    <x v="1"/>
    <x v="0"/>
    <x v="3"/>
    <x v="4"/>
    <x v="0"/>
    <x v="1"/>
    <n v="0.56000000000000005"/>
    <d v="2023-06-07T00:00:00"/>
    <x v="1"/>
    <x v="0"/>
    <x v="5"/>
    <s v="Jun"/>
    <s v="Q2"/>
    <s v="Adult"/>
    <s v="Low"/>
    <s v="North-East - Retired"/>
  </r>
  <r>
    <x v="734"/>
    <s v="Chakradev Mall"/>
    <n v="60"/>
    <x v="1"/>
    <x v="1"/>
    <x v="2"/>
    <x v="2"/>
    <x v="1"/>
    <x v="0"/>
    <n v="0.69"/>
    <d v="2020-07-06T00:00:00"/>
    <x v="2"/>
    <x v="0"/>
    <x v="0"/>
    <s v="Jul"/>
    <s v="Q3"/>
    <s v="Senior"/>
    <s v="Very High"/>
    <s v="North - Self-employed"/>
  </r>
  <r>
    <x v="735"/>
    <s v="Harini Chaudhry"/>
    <n v="66"/>
    <x v="1"/>
    <x v="1"/>
    <x v="0"/>
    <x v="2"/>
    <x v="1"/>
    <x v="1"/>
    <n v="0"/>
    <d v="2021-01-18T00:00:00"/>
    <x v="3"/>
    <x v="1"/>
    <x v="2"/>
    <s v="Jan"/>
    <s v="Q1"/>
    <s v="Senior"/>
    <s v="High"/>
    <s v="North - Student"/>
  </r>
  <r>
    <x v="736"/>
    <s v="Anmol Chadha"/>
    <n v="55"/>
    <x v="1"/>
    <x v="2"/>
    <x v="3"/>
    <x v="5"/>
    <x v="0"/>
    <x v="0"/>
    <n v="0.3"/>
    <d v="2018-07-20T00:00:00"/>
    <x v="2"/>
    <x v="0"/>
    <x v="1"/>
    <s v="Jul"/>
    <s v="Q3"/>
    <s v="Senior"/>
    <s v="High"/>
    <s v="Central - Retired"/>
  </r>
  <r>
    <x v="737"/>
    <s v="Ranbir Gera"/>
    <n v="53"/>
    <x v="0"/>
    <x v="0"/>
    <x v="3"/>
    <x v="2"/>
    <x v="1"/>
    <x v="1"/>
    <n v="0.25"/>
    <d v="2022-08-16T00:00:00"/>
    <x v="2"/>
    <x v="1"/>
    <x v="3"/>
    <s v="Aug"/>
    <s v="Q3"/>
    <s v="Senior"/>
    <s v="High"/>
    <s v="North - Retired"/>
  </r>
  <r>
    <x v="738"/>
    <s v="Qadim Barman"/>
    <n v="65"/>
    <x v="1"/>
    <x v="2"/>
    <x v="3"/>
    <x v="5"/>
    <x v="0"/>
    <x v="1"/>
    <n v="0.25"/>
    <d v="2023-12-05T00:00:00"/>
    <x v="3"/>
    <x v="1"/>
    <x v="5"/>
    <s v="Dec"/>
    <s v="Q4"/>
    <s v="Senior"/>
    <s v="Low"/>
    <s v="Central - Retired"/>
  </r>
  <r>
    <x v="739"/>
    <s v="Bhavini Kanda"/>
    <n v="62"/>
    <x v="0"/>
    <x v="2"/>
    <x v="0"/>
    <x v="1"/>
    <x v="1"/>
    <x v="1"/>
    <n v="0.7"/>
    <d v="2022-07-23T00:00:00"/>
    <x v="3"/>
    <x v="2"/>
    <x v="3"/>
    <s v="Jul"/>
    <s v="Q3"/>
    <s v="Senior"/>
    <s v="High"/>
    <s v="East - Student"/>
  </r>
  <r>
    <x v="740"/>
    <s v="Darika Loke"/>
    <n v="19"/>
    <x v="0"/>
    <x v="2"/>
    <x v="2"/>
    <x v="1"/>
    <x v="0"/>
    <x v="1"/>
    <n v="0.33"/>
    <d v="2019-07-06T00:00:00"/>
    <x v="0"/>
    <x v="0"/>
    <x v="4"/>
    <s v="Jul"/>
    <s v="Q3"/>
    <s v="Young"/>
    <s v="Low"/>
    <s v="East - Self-employed"/>
  </r>
  <r>
    <x v="741"/>
    <s v="Theodore Luthra"/>
    <n v="55"/>
    <x v="0"/>
    <x v="1"/>
    <x v="0"/>
    <x v="5"/>
    <x v="0"/>
    <x v="0"/>
    <n v="0.72"/>
    <d v="2019-01-01T00:00:00"/>
    <x v="2"/>
    <x v="2"/>
    <x v="4"/>
    <s v="Jan"/>
    <s v="Q1"/>
    <s v="Senior"/>
    <s v="High"/>
    <s v="Central - Student"/>
  </r>
  <r>
    <x v="742"/>
    <s v="Priya Nayak"/>
    <n v="42"/>
    <x v="0"/>
    <x v="0"/>
    <x v="1"/>
    <x v="0"/>
    <x v="0"/>
    <x v="0"/>
    <n v="0.48"/>
    <d v="2022-03-08T00:00:00"/>
    <x v="1"/>
    <x v="0"/>
    <x v="3"/>
    <s v="Mar"/>
    <s v="Q1"/>
    <s v="Adult"/>
    <s v="High"/>
    <s v="West - Salaried"/>
  </r>
  <r>
    <x v="743"/>
    <s v="Saumya Apte"/>
    <n v="39"/>
    <x v="0"/>
    <x v="0"/>
    <x v="3"/>
    <x v="2"/>
    <x v="0"/>
    <x v="0"/>
    <n v="0.41"/>
    <d v="2023-07-30T00:00:00"/>
    <x v="1"/>
    <x v="0"/>
    <x v="5"/>
    <s v="Jul"/>
    <s v="Q3"/>
    <s v="Adult"/>
    <s v="High"/>
    <s v="North - Retired"/>
  </r>
  <r>
    <x v="744"/>
    <s v="Umang Radhakrishnan"/>
    <n v="42"/>
    <x v="1"/>
    <x v="0"/>
    <x v="1"/>
    <x v="4"/>
    <x v="1"/>
    <x v="0"/>
    <n v="0.36"/>
    <d v="2019-10-03T00:00:00"/>
    <x v="1"/>
    <x v="0"/>
    <x v="4"/>
    <s v="Oct"/>
    <s v="Q4"/>
    <s v="Adult"/>
    <s v="Very High"/>
    <s v="North-East - Salaried"/>
  </r>
  <r>
    <x v="745"/>
    <s v="Omya Barman"/>
    <n v="69"/>
    <x v="0"/>
    <x v="0"/>
    <x v="0"/>
    <x v="0"/>
    <x v="0"/>
    <x v="0"/>
    <n v="0"/>
    <d v="2019-10-27T00:00:00"/>
    <x v="3"/>
    <x v="1"/>
    <x v="4"/>
    <s v="Oct"/>
    <s v="Q4"/>
    <s v="Senior"/>
    <s v="High"/>
    <s v="West - Student"/>
  </r>
  <r>
    <x v="746"/>
    <s v="Unni Ghose"/>
    <n v="52"/>
    <x v="1"/>
    <x v="2"/>
    <x v="0"/>
    <x v="2"/>
    <x v="0"/>
    <x v="1"/>
    <n v="0.41"/>
    <d v="2021-04-13T00:00:00"/>
    <x v="2"/>
    <x v="0"/>
    <x v="2"/>
    <s v="Apr"/>
    <s v="Q2"/>
    <s v="Senior"/>
    <s v="Low"/>
    <s v="North - Student"/>
  </r>
  <r>
    <x v="747"/>
    <s v="Zaitra Saraf"/>
    <n v="65"/>
    <x v="1"/>
    <x v="2"/>
    <x v="0"/>
    <x v="1"/>
    <x v="0"/>
    <x v="0"/>
    <n v="0.79"/>
    <d v="2020-10-26T00:00:00"/>
    <x v="3"/>
    <x v="2"/>
    <x v="0"/>
    <s v="Oct"/>
    <s v="Q4"/>
    <s v="Senior"/>
    <s v="High"/>
    <s v="East - Student"/>
  </r>
  <r>
    <x v="748"/>
    <s v="Dev Arora"/>
    <n v="20"/>
    <x v="1"/>
    <x v="0"/>
    <x v="2"/>
    <x v="3"/>
    <x v="1"/>
    <x v="0"/>
    <n v="0.26"/>
    <d v="2020-09-18T00:00:00"/>
    <x v="0"/>
    <x v="1"/>
    <x v="0"/>
    <s v="Sep"/>
    <s v="Q3"/>
    <s v="Young"/>
    <s v="Very High"/>
    <s v="South - Self-employed"/>
  </r>
  <r>
    <x v="749"/>
    <s v="Arya Keer"/>
    <n v="44"/>
    <x v="1"/>
    <x v="2"/>
    <x v="2"/>
    <x v="5"/>
    <x v="1"/>
    <x v="1"/>
    <n v="0.44"/>
    <d v="2023-08-23T00:00:00"/>
    <x v="1"/>
    <x v="0"/>
    <x v="5"/>
    <s v="Aug"/>
    <s v="Q3"/>
    <s v="Adult"/>
    <s v="High"/>
    <s v="Central - Self-employed"/>
  </r>
  <r>
    <x v="750"/>
    <s v="Adweta Sane"/>
    <n v="67"/>
    <x v="1"/>
    <x v="1"/>
    <x v="1"/>
    <x v="1"/>
    <x v="1"/>
    <x v="1"/>
    <n v="0.39"/>
    <d v="2019-08-30T00:00:00"/>
    <x v="3"/>
    <x v="0"/>
    <x v="4"/>
    <s v="Aug"/>
    <s v="Q3"/>
    <s v="Senior"/>
    <s v="High"/>
    <s v="East - Salaried"/>
  </r>
  <r>
    <x v="751"/>
    <s v="Anya Kala"/>
    <n v="60"/>
    <x v="1"/>
    <x v="0"/>
    <x v="0"/>
    <x v="1"/>
    <x v="1"/>
    <x v="1"/>
    <n v="0.45"/>
    <d v="2020-05-12T00:00:00"/>
    <x v="2"/>
    <x v="0"/>
    <x v="0"/>
    <s v="May"/>
    <s v="Q2"/>
    <s v="Senior"/>
    <s v="High"/>
    <s v="East - Student"/>
  </r>
  <r>
    <x v="752"/>
    <s v="Ojasvi Kunda"/>
    <n v="32"/>
    <x v="1"/>
    <x v="1"/>
    <x v="2"/>
    <x v="4"/>
    <x v="0"/>
    <x v="1"/>
    <n v="0.49"/>
    <d v="2018-07-10T00:00:00"/>
    <x v="1"/>
    <x v="0"/>
    <x v="1"/>
    <s v="Jul"/>
    <s v="Q3"/>
    <s v="Adult"/>
    <s v="Low"/>
    <s v="North-East - Self-employed"/>
  </r>
  <r>
    <x v="753"/>
    <s v="Unni Deep"/>
    <n v="39"/>
    <x v="1"/>
    <x v="2"/>
    <x v="0"/>
    <x v="0"/>
    <x v="0"/>
    <x v="0"/>
    <n v="0.52"/>
    <d v="2021-01-17T00:00:00"/>
    <x v="1"/>
    <x v="0"/>
    <x v="2"/>
    <s v="Jan"/>
    <s v="Q1"/>
    <s v="Adult"/>
    <s v="High"/>
    <s v="West - Student"/>
  </r>
  <r>
    <x v="754"/>
    <s v="Vivaan Raval"/>
    <n v="48"/>
    <x v="0"/>
    <x v="2"/>
    <x v="0"/>
    <x v="0"/>
    <x v="1"/>
    <x v="0"/>
    <n v="0.36"/>
    <d v="2022-02-04T00:00:00"/>
    <x v="2"/>
    <x v="0"/>
    <x v="3"/>
    <s v="Feb"/>
    <s v="Q1"/>
    <s v="Adult"/>
    <s v="Very High"/>
    <s v="West - Student"/>
  </r>
  <r>
    <x v="755"/>
    <s v="Jhalak Mishra"/>
    <n v="67"/>
    <x v="0"/>
    <x v="1"/>
    <x v="1"/>
    <x v="1"/>
    <x v="0"/>
    <x v="1"/>
    <n v="0.47"/>
    <d v="2020-11-14T00:00:00"/>
    <x v="3"/>
    <x v="0"/>
    <x v="0"/>
    <s v="Nov"/>
    <s v="Q4"/>
    <s v="Senior"/>
    <s v="Low"/>
    <s v="East - Salaried"/>
  </r>
  <r>
    <x v="756"/>
    <s v="Zilmil Pradhan"/>
    <n v="21"/>
    <x v="1"/>
    <x v="0"/>
    <x v="3"/>
    <x v="0"/>
    <x v="0"/>
    <x v="0"/>
    <n v="0.36"/>
    <d v="2022-02-25T00:00:00"/>
    <x v="0"/>
    <x v="0"/>
    <x v="3"/>
    <s v="Feb"/>
    <s v="Q1"/>
    <s v="Young"/>
    <s v="High"/>
    <s v="West - Retired"/>
  </r>
  <r>
    <x v="757"/>
    <s v="Darpan Dixit"/>
    <n v="54"/>
    <x v="1"/>
    <x v="1"/>
    <x v="2"/>
    <x v="0"/>
    <x v="0"/>
    <x v="1"/>
    <n v="0.38"/>
    <d v="2021-01-07T00:00:00"/>
    <x v="2"/>
    <x v="0"/>
    <x v="2"/>
    <s v="Jan"/>
    <s v="Q1"/>
    <s v="Senior"/>
    <s v="Low"/>
    <s v="West - Self-employed"/>
  </r>
  <r>
    <x v="758"/>
    <s v="Vaishnavi Ganesan"/>
    <n v="21"/>
    <x v="1"/>
    <x v="2"/>
    <x v="3"/>
    <x v="4"/>
    <x v="0"/>
    <x v="1"/>
    <n v="0.46"/>
    <d v="2022-08-07T00:00:00"/>
    <x v="0"/>
    <x v="0"/>
    <x v="3"/>
    <s v="Aug"/>
    <s v="Q3"/>
    <s v="Young"/>
    <s v="Low"/>
    <s v="North-East - Retired"/>
  </r>
  <r>
    <x v="759"/>
    <s v="Gaurika Baria"/>
    <n v="60"/>
    <x v="1"/>
    <x v="0"/>
    <x v="3"/>
    <x v="3"/>
    <x v="1"/>
    <x v="1"/>
    <n v="0.36"/>
    <d v="2019-10-20T00:00:00"/>
    <x v="2"/>
    <x v="0"/>
    <x v="4"/>
    <s v="Oct"/>
    <s v="Q4"/>
    <s v="Senior"/>
    <s v="High"/>
    <s v="South - Retired"/>
  </r>
  <r>
    <x v="760"/>
    <s v="Priya Bandi"/>
    <n v="29"/>
    <x v="1"/>
    <x v="0"/>
    <x v="2"/>
    <x v="0"/>
    <x v="0"/>
    <x v="0"/>
    <n v="0.37"/>
    <d v="2020-02-07T00:00:00"/>
    <x v="0"/>
    <x v="0"/>
    <x v="0"/>
    <s v="Feb"/>
    <s v="Q1"/>
    <s v="Young"/>
    <s v="High"/>
    <s v="West - Self-employed"/>
  </r>
  <r>
    <x v="761"/>
    <s v="Yashodhara Korpal"/>
    <n v="19"/>
    <x v="1"/>
    <x v="0"/>
    <x v="0"/>
    <x v="0"/>
    <x v="0"/>
    <x v="1"/>
    <n v="0.04"/>
    <d v="2019-07-26T00:00:00"/>
    <x v="0"/>
    <x v="1"/>
    <x v="4"/>
    <s v="Jul"/>
    <s v="Q3"/>
    <s v="Young"/>
    <s v="Low"/>
    <s v="West - Student"/>
  </r>
  <r>
    <x v="762"/>
    <s v="Krishna Goswami"/>
    <n v="49"/>
    <x v="0"/>
    <x v="2"/>
    <x v="0"/>
    <x v="5"/>
    <x v="0"/>
    <x v="0"/>
    <n v="0.5"/>
    <d v="2023-05-22T00:00:00"/>
    <x v="2"/>
    <x v="0"/>
    <x v="5"/>
    <s v="May"/>
    <s v="Q2"/>
    <s v="Adult"/>
    <s v="High"/>
    <s v="Central - Student"/>
  </r>
  <r>
    <x v="763"/>
    <s v="Avni Bumb"/>
    <n v="56"/>
    <x v="0"/>
    <x v="0"/>
    <x v="2"/>
    <x v="4"/>
    <x v="0"/>
    <x v="0"/>
    <n v="0.33"/>
    <d v="2019-08-03T00:00:00"/>
    <x v="2"/>
    <x v="0"/>
    <x v="4"/>
    <s v="Aug"/>
    <s v="Q3"/>
    <s v="Senior"/>
    <s v="High"/>
    <s v="North-East - Self-employed"/>
  </r>
  <r>
    <x v="764"/>
    <s v="Yauvani Seth"/>
    <n v="22"/>
    <x v="0"/>
    <x v="2"/>
    <x v="3"/>
    <x v="3"/>
    <x v="1"/>
    <x v="1"/>
    <n v="0.12"/>
    <d v="2019-12-21T00:00:00"/>
    <x v="0"/>
    <x v="1"/>
    <x v="4"/>
    <s v="Dec"/>
    <s v="Q4"/>
    <s v="Young"/>
    <s v="High"/>
    <s v="South - Retired"/>
  </r>
  <r>
    <x v="765"/>
    <s v="Daksha Gara"/>
    <n v="39"/>
    <x v="0"/>
    <x v="2"/>
    <x v="0"/>
    <x v="1"/>
    <x v="0"/>
    <x v="0"/>
    <n v="0.49"/>
    <d v="2018-12-03T00:00:00"/>
    <x v="1"/>
    <x v="0"/>
    <x v="1"/>
    <s v="Dec"/>
    <s v="Q4"/>
    <s v="Adult"/>
    <s v="High"/>
    <s v="East - Student"/>
  </r>
  <r>
    <x v="766"/>
    <s v="Mugdha Bajwa"/>
    <n v="38"/>
    <x v="0"/>
    <x v="0"/>
    <x v="2"/>
    <x v="3"/>
    <x v="1"/>
    <x v="1"/>
    <n v="0.47"/>
    <d v="2022-04-26T00:00:00"/>
    <x v="1"/>
    <x v="0"/>
    <x v="3"/>
    <s v="Apr"/>
    <s v="Q2"/>
    <s v="Adult"/>
    <s v="High"/>
    <s v="South - Self-employed"/>
  </r>
  <r>
    <x v="767"/>
    <s v="Ekantika Bains"/>
    <n v="43"/>
    <x v="1"/>
    <x v="1"/>
    <x v="0"/>
    <x v="4"/>
    <x v="0"/>
    <x v="0"/>
    <n v="0.39"/>
    <d v="2020-06-07T00:00:00"/>
    <x v="1"/>
    <x v="0"/>
    <x v="0"/>
    <s v="Jun"/>
    <s v="Q2"/>
    <s v="Adult"/>
    <s v="High"/>
    <s v="North-East - Student"/>
  </r>
  <r>
    <x v="768"/>
    <s v="Lakshit Dewan"/>
    <n v="43"/>
    <x v="1"/>
    <x v="0"/>
    <x v="2"/>
    <x v="4"/>
    <x v="0"/>
    <x v="1"/>
    <n v="0.68"/>
    <d v="2021-03-21T00:00:00"/>
    <x v="1"/>
    <x v="0"/>
    <x v="2"/>
    <s v="Mar"/>
    <s v="Q1"/>
    <s v="Adult"/>
    <s v="Low"/>
    <s v="North-East - Self-employed"/>
  </r>
  <r>
    <x v="769"/>
    <s v="Pahal Brahmbhatt"/>
    <n v="52"/>
    <x v="0"/>
    <x v="2"/>
    <x v="3"/>
    <x v="2"/>
    <x v="1"/>
    <x v="0"/>
    <n v="0.43"/>
    <d v="2020-01-05T00:00:00"/>
    <x v="2"/>
    <x v="0"/>
    <x v="0"/>
    <s v="Jan"/>
    <s v="Q1"/>
    <s v="Senior"/>
    <s v="Very High"/>
    <s v="North - Retired"/>
  </r>
  <r>
    <x v="770"/>
    <s v="Saanvi Balan"/>
    <n v="53"/>
    <x v="1"/>
    <x v="2"/>
    <x v="2"/>
    <x v="4"/>
    <x v="1"/>
    <x v="1"/>
    <n v="0.52"/>
    <d v="2020-04-17T00:00:00"/>
    <x v="2"/>
    <x v="0"/>
    <x v="0"/>
    <s v="Apr"/>
    <s v="Q2"/>
    <s v="Senior"/>
    <s v="High"/>
    <s v="North-East - Self-employed"/>
  </r>
  <r>
    <x v="771"/>
    <s v="Mahika Jha"/>
    <n v="67"/>
    <x v="0"/>
    <x v="2"/>
    <x v="2"/>
    <x v="1"/>
    <x v="1"/>
    <x v="1"/>
    <n v="0.12"/>
    <d v="2021-12-14T00:00:00"/>
    <x v="3"/>
    <x v="1"/>
    <x v="2"/>
    <s v="Dec"/>
    <s v="Q4"/>
    <s v="Senior"/>
    <s v="High"/>
    <s v="East - Self-employed"/>
  </r>
  <r>
    <x v="772"/>
    <s v="Nicholas Aurora"/>
    <n v="56"/>
    <x v="0"/>
    <x v="1"/>
    <x v="0"/>
    <x v="3"/>
    <x v="0"/>
    <x v="1"/>
    <n v="0.27"/>
    <d v="2023-06-20T00:00:00"/>
    <x v="2"/>
    <x v="1"/>
    <x v="5"/>
    <s v="Jun"/>
    <s v="Q2"/>
    <s v="Senior"/>
    <s v="Low"/>
    <s v="South - Student"/>
  </r>
  <r>
    <x v="773"/>
    <s v="Rehaan Goel"/>
    <n v="18"/>
    <x v="0"/>
    <x v="1"/>
    <x v="3"/>
    <x v="5"/>
    <x v="1"/>
    <x v="0"/>
    <n v="0.09"/>
    <d v="2023-11-27T00:00:00"/>
    <x v="0"/>
    <x v="1"/>
    <x v="5"/>
    <s v="Nov"/>
    <s v="Q4"/>
    <s v="Young"/>
    <s v="Very High"/>
    <s v="Central - Retired"/>
  </r>
  <r>
    <x v="774"/>
    <s v="Nathaniel Swaminathan"/>
    <n v="32"/>
    <x v="1"/>
    <x v="2"/>
    <x v="2"/>
    <x v="5"/>
    <x v="0"/>
    <x v="1"/>
    <n v="0.32"/>
    <d v="2020-11-19T00:00:00"/>
    <x v="1"/>
    <x v="0"/>
    <x v="0"/>
    <s v="Nov"/>
    <s v="Q4"/>
    <s v="Adult"/>
    <s v="Low"/>
    <s v="Central - Self-employed"/>
  </r>
  <r>
    <x v="775"/>
    <s v="Mitesh Sahota"/>
    <n v="68"/>
    <x v="1"/>
    <x v="1"/>
    <x v="0"/>
    <x v="5"/>
    <x v="1"/>
    <x v="0"/>
    <n v="0.06"/>
    <d v="2021-04-21T00:00:00"/>
    <x v="3"/>
    <x v="1"/>
    <x v="2"/>
    <s v="Apr"/>
    <s v="Q2"/>
    <s v="Senior"/>
    <s v="Very High"/>
    <s v="Central - Student"/>
  </r>
  <r>
    <x v="776"/>
    <s v="Samar Kaul"/>
    <n v="52"/>
    <x v="0"/>
    <x v="2"/>
    <x v="0"/>
    <x v="4"/>
    <x v="1"/>
    <x v="1"/>
    <n v="0.18"/>
    <d v="2022-04-10T00:00:00"/>
    <x v="2"/>
    <x v="1"/>
    <x v="3"/>
    <s v="Apr"/>
    <s v="Q2"/>
    <s v="Senior"/>
    <s v="High"/>
    <s v="North-East - Student"/>
  </r>
  <r>
    <x v="777"/>
    <s v="Gautam Shankar"/>
    <n v="67"/>
    <x v="1"/>
    <x v="0"/>
    <x v="3"/>
    <x v="2"/>
    <x v="0"/>
    <x v="1"/>
    <n v="0.76"/>
    <d v="2020-06-21T00:00:00"/>
    <x v="3"/>
    <x v="2"/>
    <x v="0"/>
    <s v="Jun"/>
    <s v="Q2"/>
    <s v="Senior"/>
    <s v="Low"/>
    <s v="North - Retired"/>
  </r>
  <r>
    <x v="778"/>
    <s v="Pallavi Morar"/>
    <n v="20"/>
    <x v="0"/>
    <x v="1"/>
    <x v="1"/>
    <x v="3"/>
    <x v="1"/>
    <x v="1"/>
    <n v="0.5"/>
    <d v="2018-03-24T00:00:00"/>
    <x v="0"/>
    <x v="0"/>
    <x v="1"/>
    <s v="Mar"/>
    <s v="Q1"/>
    <s v="Young"/>
    <s v="High"/>
    <s v="South - Salaried"/>
  </r>
  <r>
    <x v="779"/>
    <s v="Onveer Ravel"/>
    <n v="42"/>
    <x v="1"/>
    <x v="0"/>
    <x v="1"/>
    <x v="0"/>
    <x v="1"/>
    <x v="0"/>
    <n v="0.47"/>
    <d v="2019-07-06T00:00:00"/>
    <x v="1"/>
    <x v="0"/>
    <x v="4"/>
    <s v="Jul"/>
    <s v="Q3"/>
    <s v="Adult"/>
    <s v="Very High"/>
    <s v="West - Salaried"/>
  </r>
  <r>
    <x v="780"/>
    <s v="Nakul Balan"/>
    <n v="50"/>
    <x v="1"/>
    <x v="0"/>
    <x v="2"/>
    <x v="0"/>
    <x v="1"/>
    <x v="0"/>
    <n v="0.6"/>
    <d v="2022-09-26T00:00:00"/>
    <x v="2"/>
    <x v="0"/>
    <x v="3"/>
    <s v="Sep"/>
    <s v="Q3"/>
    <s v="Adult"/>
    <s v="Very High"/>
    <s v="West - Self-employed"/>
  </r>
  <r>
    <x v="781"/>
    <s v="Eta Mittal"/>
    <n v="58"/>
    <x v="1"/>
    <x v="0"/>
    <x v="1"/>
    <x v="5"/>
    <x v="1"/>
    <x v="1"/>
    <n v="0.49"/>
    <d v="2020-05-06T00:00:00"/>
    <x v="2"/>
    <x v="0"/>
    <x v="0"/>
    <s v="May"/>
    <s v="Q2"/>
    <s v="Senior"/>
    <s v="High"/>
    <s v="Central - Salaried"/>
  </r>
  <r>
    <x v="782"/>
    <s v="Lajita Gola"/>
    <n v="27"/>
    <x v="1"/>
    <x v="0"/>
    <x v="1"/>
    <x v="4"/>
    <x v="1"/>
    <x v="1"/>
    <n v="0.14000000000000001"/>
    <d v="2021-02-01T00:00:00"/>
    <x v="0"/>
    <x v="1"/>
    <x v="2"/>
    <s v="Feb"/>
    <s v="Q1"/>
    <s v="Young"/>
    <s v="High"/>
    <s v="North-East - Salaried"/>
  </r>
  <r>
    <x v="783"/>
    <s v="Harini Yohannan"/>
    <n v="46"/>
    <x v="0"/>
    <x v="0"/>
    <x v="0"/>
    <x v="1"/>
    <x v="0"/>
    <x v="0"/>
    <n v="0.76"/>
    <d v="2023-08-09T00:00:00"/>
    <x v="2"/>
    <x v="2"/>
    <x v="5"/>
    <s v="Aug"/>
    <s v="Q3"/>
    <s v="Adult"/>
    <s v="High"/>
    <s v="East - Student"/>
  </r>
  <r>
    <x v="784"/>
    <s v="Ranveer Agate"/>
    <n v="66"/>
    <x v="0"/>
    <x v="0"/>
    <x v="2"/>
    <x v="2"/>
    <x v="0"/>
    <x v="0"/>
    <n v="0.57999999999999996"/>
    <d v="2023-01-31T00:00:00"/>
    <x v="3"/>
    <x v="0"/>
    <x v="5"/>
    <s v="Jan"/>
    <s v="Q1"/>
    <s v="Senior"/>
    <s v="High"/>
    <s v="North - Self-employed"/>
  </r>
  <r>
    <x v="785"/>
    <s v="Aarna Wali"/>
    <n v="64"/>
    <x v="0"/>
    <x v="0"/>
    <x v="0"/>
    <x v="4"/>
    <x v="1"/>
    <x v="0"/>
    <n v="0.62"/>
    <d v="2018-01-24T00:00:00"/>
    <x v="3"/>
    <x v="0"/>
    <x v="1"/>
    <s v="Jan"/>
    <s v="Q1"/>
    <s v="Senior"/>
    <s v="Very High"/>
    <s v="North-East - Student"/>
  </r>
  <r>
    <x v="786"/>
    <s v="Anita Kata"/>
    <n v="67"/>
    <x v="0"/>
    <x v="1"/>
    <x v="3"/>
    <x v="5"/>
    <x v="1"/>
    <x v="1"/>
    <n v="0.54"/>
    <d v="2019-10-03T00:00:00"/>
    <x v="3"/>
    <x v="0"/>
    <x v="4"/>
    <s v="Oct"/>
    <s v="Q4"/>
    <s v="Senior"/>
    <s v="High"/>
    <s v="Central - Retired"/>
  </r>
  <r>
    <x v="787"/>
    <s v="Yatan Bhagat"/>
    <n v="18"/>
    <x v="0"/>
    <x v="1"/>
    <x v="2"/>
    <x v="3"/>
    <x v="0"/>
    <x v="0"/>
    <n v="0.65"/>
    <d v="2018-01-01T00:00:00"/>
    <x v="0"/>
    <x v="0"/>
    <x v="1"/>
    <s v="Jan"/>
    <s v="Q1"/>
    <s v="Young"/>
    <s v="High"/>
    <s v="South - Self-employed"/>
  </r>
  <r>
    <x v="788"/>
    <s v="Faqid Shukla"/>
    <n v="69"/>
    <x v="1"/>
    <x v="0"/>
    <x v="2"/>
    <x v="5"/>
    <x v="0"/>
    <x v="1"/>
    <n v="0.49"/>
    <d v="2021-01-10T00:00:00"/>
    <x v="3"/>
    <x v="0"/>
    <x v="2"/>
    <s v="Jan"/>
    <s v="Q1"/>
    <s v="Senior"/>
    <s v="Low"/>
    <s v="Central - Self-employed"/>
  </r>
  <r>
    <x v="789"/>
    <s v="Oeshi Sinha"/>
    <n v="39"/>
    <x v="1"/>
    <x v="2"/>
    <x v="1"/>
    <x v="3"/>
    <x v="0"/>
    <x v="0"/>
    <n v="0.41"/>
    <d v="2021-01-14T00:00:00"/>
    <x v="1"/>
    <x v="0"/>
    <x v="2"/>
    <s v="Jan"/>
    <s v="Q1"/>
    <s v="Adult"/>
    <s v="High"/>
    <s v="South - Salaried"/>
  </r>
  <r>
    <x v="790"/>
    <s v="Libni Puri"/>
    <n v="51"/>
    <x v="0"/>
    <x v="2"/>
    <x v="1"/>
    <x v="1"/>
    <x v="0"/>
    <x v="0"/>
    <n v="0.38"/>
    <d v="2018-09-20T00:00:00"/>
    <x v="2"/>
    <x v="0"/>
    <x v="1"/>
    <s v="Sep"/>
    <s v="Q3"/>
    <s v="Senior"/>
    <s v="High"/>
    <s v="East - Salaried"/>
  </r>
  <r>
    <x v="791"/>
    <s v="Tristan Comar"/>
    <n v="68"/>
    <x v="0"/>
    <x v="0"/>
    <x v="3"/>
    <x v="1"/>
    <x v="1"/>
    <x v="0"/>
    <n v="0.71"/>
    <d v="2021-07-17T00:00:00"/>
    <x v="3"/>
    <x v="2"/>
    <x v="2"/>
    <s v="Jul"/>
    <s v="Q3"/>
    <s v="Senior"/>
    <s v="Very High"/>
    <s v="East - Retired"/>
  </r>
  <r>
    <x v="792"/>
    <s v="Charles Chauhan"/>
    <n v="30"/>
    <x v="0"/>
    <x v="0"/>
    <x v="1"/>
    <x v="5"/>
    <x v="0"/>
    <x v="1"/>
    <n v="0.64"/>
    <d v="2018-08-27T00:00:00"/>
    <x v="0"/>
    <x v="0"/>
    <x v="1"/>
    <s v="Aug"/>
    <s v="Q3"/>
    <s v="Adult"/>
    <s v="Low"/>
    <s v="Central - Salaried"/>
  </r>
  <r>
    <x v="793"/>
    <s v="Saumya Batra"/>
    <n v="53"/>
    <x v="1"/>
    <x v="2"/>
    <x v="2"/>
    <x v="1"/>
    <x v="0"/>
    <x v="1"/>
    <n v="0.64"/>
    <d v="2018-02-03T00:00:00"/>
    <x v="2"/>
    <x v="0"/>
    <x v="1"/>
    <s v="Feb"/>
    <s v="Q1"/>
    <s v="Senior"/>
    <s v="Low"/>
    <s v="East - Self-employed"/>
  </r>
  <r>
    <x v="794"/>
    <s v="Vamakshi Bhagat"/>
    <n v="40"/>
    <x v="1"/>
    <x v="0"/>
    <x v="2"/>
    <x v="1"/>
    <x v="0"/>
    <x v="1"/>
    <n v="0.62"/>
    <d v="2018-08-22T00:00:00"/>
    <x v="1"/>
    <x v="0"/>
    <x v="1"/>
    <s v="Aug"/>
    <s v="Q3"/>
    <s v="Adult"/>
    <s v="Low"/>
    <s v="East - Self-employed"/>
  </r>
  <r>
    <x v="795"/>
    <s v="Nitara Misra"/>
    <n v="31"/>
    <x v="1"/>
    <x v="1"/>
    <x v="3"/>
    <x v="4"/>
    <x v="0"/>
    <x v="0"/>
    <n v="0.7"/>
    <d v="2023-07-09T00:00:00"/>
    <x v="1"/>
    <x v="2"/>
    <x v="5"/>
    <s v="Jul"/>
    <s v="Q3"/>
    <s v="Adult"/>
    <s v="High"/>
    <s v="North-East - Retired"/>
  </r>
  <r>
    <x v="796"/>
    <s v="Sanaya Bava"/>
    <n v="25"/>
    <x v="1"/>
    <x v="2"/>
    <x v="1"/>
    <x v="4"/>
    <x v="1"/>
    <x v="1"/>
    <n v="0.59"/>
    <d v="2023-08-06T00:00:00"/>
    <x v="0"/>
    <x v="0"/>
    <x v="5"/>
    <s v="Aug"/>
    <s v="Q3"/>
    <s v="Young"/>
    <s v="High"/>
    <s v="North-East - Salaried"/>
  </r>
  <r>
    <x v="797"/>
    <s v="Azaan Varghese"/>
    <n v="65"/>
    <x v="0"/>
    <x v="0"/>
    <x v="3"/>
    <x v="5"/>
    <x v="1"/>
    <x v="1"/>
    <n v="0.75"/>
    <d v="2018-08-16T00:00:00"/>
    <x v="3"/>
    <x v="2"/>
    <x v="1"/>
    <s v="Aug"/>
    <s v="Q3"/>
    <s v="Senior"/>
    <s v="High"/>
    <s v="Central - Retired"/>
  </r>
  <r>
    <x v="798"/>
    <s v="Zarna Bhatti"/>
    <n v="58"/>
    <x v="1"/>
    <x v="1"/>
    <x v="1"/>
    <x v="2"/>
    <x v="0"/>
    <x v="1"/>
    <n v="0.56000000000000005"/>
    <d v="2021-12-21T00:00:00"/>
    <x v="2"/>
    <x v="0"/>
    <x v="2"/>
    <s v="Dec"/>
    <s v="Q4"/>
    <s v="Senior"/>
    <s v="Low"/>
    <s v="North - Salaried"/>
  </r>
  <r>
    <x v="799"/>
    <s v="Nathaniel Ratti"/>
    <n v="59"/>
    <x v="1"/>
    <x v="0"/>
    <x v="2"/>
    <x v="0"/>
    <x v="0"/>
    <x v="1"/>
    <n v="0.55000000000000004"/>
    <d v="2021-08-28T00:00:00"/>
    <x v="2"/>
    <x v="0"/>
    <x v="2"/>
    <s v="Aug"/>
    <s v="Q3"/>
    <s v="Senior"/>
    <s v="Low"/>
    <s v="West - Self-employed"/>
  </r>
  <r>
    <x v="800"/>
    <s v="Ayushman Bahl"/>
    <n v="26"/>
    <x v="1"/>
    <x v="1"/>
    <x v="1"/>
    <x v="5"/>
    <x v="1"/>
    <x v="1"/>
    <n v="0.5"/>
    <d v="2018-06-28T00:00:00"/>
    <x v="0"/>
    <x v="0"/>
    <x v="1"/>
    <s v="Jun"/>
    <s v="Q2"/>
    <s v="Young"/>
    <s v="High"/>
    <s v="Central - Salaried"/>
  </r>
  <r>
    <x v="801"/>
    <s v="Qarin Sibal"/>
    <n v="39"/>
    <x v="1"/>
    <x v="1"/>
    <x v="3"/>
    <x v="5"/>
    <x v="0"/>
    <x v="0"/>
    <n v="0.39"/>
    <d v="2021-04-16T00:00:00"/>
    <x v="1"/>
    <x v="0"/>
    <x v="2"/>
    <s v="Apr"/>
    <s v="Q2"/>
    <s v="Adult"/>
    <s v="High"/>
    <s v="Central - Retired"/>
  </r>
  <r>
    <x v="802"/>
    <s v="Aarnav Sampath"/>
    <n v="36"/>
    <x v="0"/>
    <x v="2"/>
    <x v="0"/>
    <x v="4"/>
    <x v="1"/>
    <x v="1"/>
    <n v="0.35"/>
    <d v="2018-02-13T00:00:00"/>
    <x v="1"/>
    <x v="0"/>
    <x v="1"/>
    <s v="Feb"/>
    <s v="Q1"/>
    <s v="Adult"/>
    <s v="High"/>
    <s v="North-East - Student"/>
  </r>
  <r>
    <x v="803"/>
    <s v="Urmi Ravi"/>
    <n v="69"/>
    <x v="1"/>
    <x v="0"/>
    <x v="2"/>
    <x v="5"/>
    <x v="0"/>
    <x v="1"/>
    <n v="0.5"/>
    <d v="2022-08-11T00:00:00"/>
    <x v="3"/>
    <x v="0"/>
    <x v="3"/>
    <s v="Aug"/>
    <s v="Q3"/>
    <s v="Senior"/>
    <s v="Low"/>
    <s v="Central - Self-employed"/>
  </r>
  <r>
    <x v="804"/>
    <s v="Kevin Aurora"/>
    <n v="53"/>
    <x v="0"/>
    <x v="1"/>
    <x v="1"/>
    <x v="1"/>
    <x v="0"/>
    <x v="0"/>
    <n v="0.2"/>
    <d v="2023-02-24T00:00:00"/>
    <x v="2"/>
    <x v="1"/>
    <x v="5"/>
    <s v="Feb"/>
    <s v="Q1"/>
    <s v="Senior"/>
    <s v="High"/>
    <s v="East - Salaried"/>
  </r>
  <r>
    <x v="805"/>
    <s v="Jagdish Shan"/>
    <n v="21"/>
    <x v="0"/>
    <x v="1"/>
    <x v="0"/>
    <x v="1"/>
    <x v="1"/>
    <x v="0"/>
    <n v="0.53"/>
    <d v="2018-01-23T00:00:00"/>
    <x v="0"/>
    <x v="0"/>
    <x v="1"/>
    <s v="Jan"/>
    <s v="Q1"/>
    <s v="Young"/>
    <s v="Very High"/>
    <s v="East - Student"/>
  </r>
  <r>
    <x v="806"/>
    <s v="Aishani Mand"/>
    <n v="41"/>
    <x v="1"/>
    <x v="2"/>
    <x v="1"/>
    <x v="5"/>
    <x v="0"/>
    <x v="1"/>
    <n v="0.95"/>
    <d v="2023-05-30T00:00:00"/>
    <x v="1"/>
    <x v="2"/>
    <x v="5"/>
    <s v="May"/>
    <s v="Q2"/>
    <s v="Adult"/>
    <s v="Low"/>
    <s v="Central - Salaried"/>
  </r>
  <r>
    <x v="807"/>
    <s v="Tejas Nanda"/>
    <n v="29"/>
    <x v="0"/>
    <x v="2"/>
    <x v="0"/>
    <x v="0"/>
    <x v="1"/>
    <x v="0"/>
    <n v="0.33"/>
    <d v="2019-10-15T00:00:00"/>
    <x v="0"/>
    <x v="0"/>
    <x v="4"/>
    <s v="Oct"/>
    <s v="Q4"/>
    <s v="Young"/>
    <s v="Very High"/>
    <s v="West - Student"/>
  </r>
  <r>
    <x v="808"/>
    <s v="Qarin Kulkarni"/>
    <n v="49"/>
    <x v="0"/>
    <x v="1"/>
    <x v="2"/>
    <x v="1"/>
    <x v="1"/>
    <x v="1"/>
    <n v="0.13"/>
    <d v="2020-04-20T00:00:00"/>
    <x v="2"/>
    <x v="1"/>
    <x v="0"/>
    <s v="Apr"/>
    <s v="Q2"/>
    <s v="Adult"/>
    <s v="High"/>
    <s v="East - Self-employed"/>
  </r>
  <r>
    <x v="809"/>
    <s v="Luke Misra"/>
    <n v="36"/>
    <x v="1"/>
    <x v="2"/>
    <x v="3"/>
    <x v="4"/>
    <x v="1"/>
    <x v="0"/>
    <n v="0.43"/>
    <d v="2019-11-30T00:00:00"/>
    <x v="1"/>
    <x v="0"/>
    <x v="4"/>
    <s v="Nov"/>
    <s v="Q4"/>
    <s v="Adult"/>
    <s v="Very High"/>
    <s v="North-East - Retired"/>
  </r>
  <r>
    <x v="810"/>
    <s v="Udant Shanker"/>
    <n v="26"/>
    <x v="0"/>
    <x v="0"/>
    <x v="2"/>
    <x v="0"/>
    <x v="1"/>
    <x v="0"/>
    <n v="0.41"/>
    <d v="2018-06-06T00:00:00"/>
    <x v="0"/>
    <x v="0"/>
    <x v="1"/>
    <s v="Jun"/>
    <s v="Q2"/>
    <s v="Young"/>
    <s v="Very High"/>
    <s v="West - Self-employed"/>
  </r>
  <r>
    <x v="811"/>
    <s v="Saumya Acharya"/>
    <n v="52"/>
    <x v="0"/>
    <x v="2"/>
    <x v="0"/>
    <x v="0"/>
    <x v="1"/>
    <x v="1"/>
    <n v="0.45"/>
    <d v="2022-08-21T00:00:00"/>
    <x v="2"/>
    <x v="0"/>
    <x v="3"/>
    <s v="Aug"/>
    <s v="Q3"/>
    <s v="Senior"/>
    <s v="High"/>
    <s v="West - Student"/>
  </r>
  <r>
    <x v="812"/>
    <s v="Eesha Deol"/>
    <n v="29"/>
    <x v="0"/>
    <x v="0"/>
    <x v="3"/>
    <x v="3"/>
    <x v="0"/>
    <x v="1"/>
    <n v="0.22"/>
    <d v="2020-02-10T00:00:00"/>
    <x v="0"/>
    <x v="1"/>
    <x v="0"/>
    <s v="Feb"/>
    <s v="Q1"/>
    <s v="Young"/>
    <s v="Low"/>
    <s v="South - Retired"/>
  </r>
  <r>
    <x v="813"/>
    <s v="Brijesh Pandey"/>
    <n v="52"/>
    <x v="0"/>
    <x v="0"/>
    <x v="2"/>
    <x v="3"/>
    <x v="0"/>
    <x v="1"/>
    <n v="0.35"/>
    <d v="2022-01-12T00:00:00"/>
    <x v="2"/>
    <x v="0"/>
    <x v="3"/>
    <s v="Jan"/>
    <s v="Q1"/>
    <s v="Senior"/>
    <s v="Low"/>
    <s v="South - Self-employed"/>
  </r>
  <r>
    <x v="814"/>
    <s v="Yachana Buch"/>
    <n v="59"/>
    <x v="1"/>
    <x v="0"/>
    <x v="0"/>
    <x v="2"/>
    <x v="1"/>
    <x v="1"/>
    <n v="0.57999999999999996"/>
    <d v="2019-04-26T00:00:00"/>
    <x v="2"/>
    <x v="0"/>
    <x v="4"/>
    <s v="Apr"/>
    <s v="Q2"/>
    <s v="Senior"/>
    <s v="High"/>
    <s v="North - Student"/>
  </r>
  <r>
    <x v="815"/>
    <s v="Xavier Ratta"/>
    <n v="36"/>
    <x v="1"/>
    <x v="0"/>
    <x v="2"/>
    <x v="2"/>
    <x v="1"/>
    <x v="1"/>
    <n v="0.49"/>
    <d v="2022-10-30T00:00:00"/>
    <x v="1"/>
    <x v="0"/>
    <x v="3"/>
    <s v="Oct"/>
    <s v="Q4"/>
    <s v="Adult"/>
    <s v="High"/>
    <s v="North - Self-employed"/>
  </r>
  <r>
    <x v="816"/>
    <s v="Indira Seth"/>
    <n v="66"/>
    <x v="1"/>
    <x v="0"/>
    <x v="0"/>
    <x v="1"/>
    <x v="1"/>
    <x v="1"/>
    <n v="0.18"/>
    <d v="2022-03-08T00:00:00"/>
    <x v="3"/>
    <x v="1"/>
    <x v="3"/>
    <s v="Mar"/>
    <s v="Q1"/>
    <s v="Senior"/>
    <s v="High"/>
    <s v="East - Student"/>
  </r>
  <r>
    <x v="817"/>
    <s v="Yuvraj Vasa"/>
    <n v="51"/>
    <x v="0"/>
    <x v="2"/>
    <x v="3"/>
    <x v="0"/>
    <x v="1"/>
    <x v="1"/>
    <n v="0.56999999999999995"/>
    <d v="2020-09-20T00:00:00"/>
    <x v="2"/>
    <x v="0"/>
    <x v="0"/>
    <s v="Sep"/>
    <s v="Q3"/>
    <s v="Senior"/>
    <s v="High"/>
    <s v="West - Retired"/>
  </r>
  <r>
    <x v="818"/>
    <s v="Aradhana Ratta"/>
    <n v="22"/>
    <x v="0"/>
    <x v="2"/>
    <x v="0"/>
    <x v="2"/>
    <x v="1"/>
    <x v="1"/>
    <n v="0.7"/>
    <d v="2023-12-10T00:00:00"/>
    <x v="0"/>
    <x v="2"/>
    <x v="5"/>
    <s v="Dec"/>
    <s v="Q4"/>
    <s v="Young"/>
    <s v="High"/>
    <s v="North - Student"/>
  </r>
  <r>
    <x v="819"/>
    <s v="Lakshmi Rau"/>
    <n v="53"/>
    <x v="1"/>
    <x v="2"/>
    <x v="3"/>
    <x v="0"/>
    <x v="1"/>
    <x v="0"/>
    <n v="0.36"/>
    <d v="2021-03-04T00:00:00"/>
    <x v="2"/>
    <x v="0"/>
    <x v="2"/>
    <s v="Mar"/>
    <s v="Q1"/>
    <s v="Senior"/>
    <s v="Very High"/>
    <s v="West - Retired"/>
  </r>
  <r>
    <x v="820"/>
    <s v="Kai Pradhan"/>
    <n v="42"/>
    <x v="0"/>
    <x v="1"/>
    <x v="3"/>
    <x v="2"/>
    <x v="0"/>
    <x v="0"/>
    <n v="0.78"/>
    <d v="2021-11-11T00:00:00"/>
    <x v="1"/>
    <x v="2"/>
    <x v="2"/>
    <s v="Nov"/>
    <s v="Q4"/>
    <s v="Adult"/>
    <s v="High"/>
    <s v="North - Retired"/>
  </r>
  <r>
    <x v="821"/>
    <s v="Vedhika Ghosh"/>
    <n v="28"/>
    <x v="1"/>
    <x v="0"/>
    <x v="2"/>
    <x v="2"/>
    <x v="0"/>
    <x v="0"/>
    <n v="0.65"/>
    <d v="2022-01-17T00:00:00"/>
    <x v="0"/>
    <x v="0"/>
    <x v="3"/>
    <s v="Jan"/>
    <s v="Q1"/>
    <s v="Young"/>
    <s v="High"/>
    <s v="North - Self-employed"/>
  </r>
  <r>
    <x v="822"/>
    <s v="Chandresh Kunda"/>
    <n v="29"/>
    <x v="0"/>
    <x v="2"/>
    <x v="3"/>
    <x v="2"/>
    <x v="1"/>
    <x v="0"/>
    <n v="0.44"/>
    <d v="2021-09-11T00:00:00"/>
    <x v="0"/>
    <x v="0"/>
    <x v="2"/>
    <s v="Sep"/>
    <s v="Q3"/>
    <s v="Young"/>
    <s v="Very High"/>
    <s v="North - Retired"/>
  </r>
  <r>
    <x v="823"/>
    <s v="Lila Gour"/>
    <n v="26"/>
    <x v="0"/>
    <x v="2"/>
    <x v="0"/>
    <x v="2"/>
    <x v="1"/>
    <x v="1"/>
    <n v="0.5"/>
    <d v="2023-09-21T00:00:00"/>
    <x v="0"/>
    <x v="0"/>
    <x v="5"/>
    <s v="Sep"/>
    <s v="Q3"/>
    <s v="Young"/>
    <s v="High"/>
    <s v="North - Student"/>
  </r>
  <r>
    <x v="824"/>
    <s v="Nirja Dave"/>
    <n v="42"/>
    <x v="1"/>
    <x v="1"/>
    <x v="3"/>
    <x v="2"/>
    <x v="0"/>
    <x v="0"/>
    <n v="0.68"/>
    <d v="2020-05-03T00:00:00"/>
    <x v="1"/>
    <x v="0"/>
    <x v="0"/>
    <s v="May"/>
    <s v="Q2"/>
    <s v="Adult"/>
    <s v="High"/>
    <s v="North - Retired"/>
  </r>
  <r>
    <x v="825"/>
    <s v="Leena Saha"/>
    <n v="63"/>
    <x v="0"/>
    <x v="1"/>
    <x v="3"/>
    <x v="2"/>
    <x v="1"/>
    <x v="1"/>
    <n v="0.66"/>
    <d v="2019-01-15T00:00:00"/>
    <x v="3"/>
    <x v="0"/>
    <x v="4"/>
    <s v="Jan"/>
    <s v="Q1"/>
    <s v="Senior"/>
    <s v="High"/>
    <s v="North - Retired"/>
  </r>
  <r>
    <x v="826"/>
    <s v="Peter Gulati"/>
    <n v="24"/>
    <x v="0"/>
    <x v="2"/>
    <x v="3"/>
    <x v="2"/>
    <x v="0"/>
    <x v="1"/>
    <n v="0.54"/>
    <d v="2020-05-21T00:00:00"/>
    <x v="0"/>
    <x v="0"/>
    <x v="0"/>
    <s v="May"/>
    <s v="Q2"/>
    <s v="Young"/>
    <s v="Low"/>
    <s v="North - Retired"/>
  </r>
  <r>
    <x v="827"/>
    <s v="Krishna Dubey"/>
    <n v="59"/>
    <x v="0"/>
    <x v="0"/>
    <x v="0"/>
    <x v="0"/>
    <x v="1"/>
    <x v="1"/>
    <n v="0.51"/>
    <d v="2020-12-22T00:00:00"/>
    <x v="2"/>
    <x v="0"/>
    <x v="0"/>
    <s v="Dec"/>
    <s v="Q4"/>
    <s v="Senior"/>
    <s v="High"/>
    <s v="West - Student"/>
  </r>
  <r>
    <x v="828"/>
    <s v="Tanveer Nagi"/>
    <n v="41"/>
    <x v="1"/>
    <x v="0"/>
    <x v="0"/>
    <x v="5"/>
    <x v="1"/>
    <x v="0"/>
    <n v="0.62"/>
    <d v="2019-09-10T00:00:00"/>
    <x v="1"/>
    <x v="0"/>
    <x v="4"/>
    <s v="Sep"/>
    <s v="Q3"/>
    <s v="Adult"/>
    <s v="Very High"/>
    <s v="Central - Student"/>
  </r>
  <r>
    <x v="829"/>
    <s v="Mugdha Varma"/>
    <n v="36"/>
    <x v="1"/>
    <x v="0"/>
    <x v="2"/>
    <x v="5"/>
    <x v="1"/>
    <x v="1"/>
    <n v="0.39"/>
    <d v="2018-07-29T00:00:00"/>
    <x v="1"/>
    <x v="0"/>
    <x v="1"/>
    <s v="Jul"/>
    <s v="Q3"/>
    <s v="Adult"/>
    <s v="High"/>
    <s v="Central - Self-employed"/>
  </r>
  <r>
    <x v="830"/>
    <s v="Kashish Saraf"/>
    <n v="29"/>
    <x v="0"/>
    <x v="2"/>
    <x v="1"/>
    <x v="3"/>
    <x v="0"/>
    <x v="0"/>
    <n v="0.55000000000000004"/>
    <d v="2021-05-01T00:00:00"/>
    <x v="0"/>
    <x v="0"/>
    <x v="2"/>
    <s v="May"/>
    <s v="Q2"/>
    <s v="Young"/>
    <s v="High"/>
    <s v="South - Salaried"/>
  </r>
  <r>
    <x v="831"/>
    <s v="Charvi Dara"/>
    <n v="54"/>
    <x v="0"/>
    <x v="0"/>
    <x v="3"/>
    <x v="5"/>
    <x v="1"/>
    <x v="0"/>
    <n v="0.67"/>
    <d v="2022-10-29T00:00:00"/>
    <x v="2"/>
    <x v="0"/>
    <x v="3"/>
    <s v="Oct"/>
    <s v="Q4"/>
    <s v="Senior"/>
    <s v="Very High"/>
    <s v="Central - Retired"/>
  </r>
  <r>
    <x v="832"/>
    <s v="Aachal Vohra"/>
    <n v="67"/>
    <x v="1"/>
    <x v="1"/>
    <x v="3"/>
    <x v="3"/>
    <x v="0"/>
    <x v="1"/>
    <n v="0.63"/>
    <d v="2020-04-30T00:00:00"/>
    <x v="3"/>
    <x v="0"/>
    <x v="0"/>
    <s v="Apr"/>
    <s v="Q2"/>
    <s v="Senior"/>
    <s v="Low"/>
    <s v="South - Retired"/>
  </r>
  <r>
    <x v="833"/>
    <s v="Chandran Virk"/>
    <n v="59"/>
    <x v="1"/>
    <x v="2"/>
    <x v="2"/>
    <x v="2"/>
    <x v="0"/>
    <x v="1"/>
    <n v="0.56999999999999995"/>
    <d v="2021-02-20T00:00:00"/>
    <x v="2"/>
    <x v="0"/>
    <x v="2"/>
    <s v="Feb"/>
    <s v="Q1"/>
    <s v="Senior"/>
    <s v="Low"/>
    <s v="North - Self-employed"/>
  </r>
  <r>
    <x v="834"/>
    <s v="Yatin Chandran"/>
    <n v="46"/>
    <x v="1"/>
    <x v="2"/>
    <x v="1"/>
    <x v="1"/>
    <x v="1"/>
    <x v="1"/>
    <n v="0.85"/>
    <d v="2019-03-22T00:00:00"/>
    <x v="2"/>
    <x v="2"/>
    <x v="4"/>
    <s v="Mar"/>
    <s v="Q1"/>
    <s v="Adult"/>
    <s v="High"/>
    <s v="East - Salaried"/>
  </r>
  <r>
    <x v="835"/>
    <s v="Frado Dubey"/>
    <n v="29"/>
    <x v="1"/>
    <x v="0"/>
    <x v="2"/>
    <x v="4"/>
    <x v="1"/>
    <x v="0"/>
    <n v="0.36"/>
    <d v="2020-03-23T00:00:00"/>
    <x v="0"/>
    <x v="0"/>
    <x v="0"/>
    <s v="Mar"/>
    <s v="Q1"/>
    <s v="Young"/>
    <s v="Very High"/>
    <s v="North-East - Self-employed"/>
  </r>
  <r>
    <x v="836"/>
    <s v="Neha Anne"/>
    <n v="64"/>
    <x v="0"/>
    <x v="2"/>
    <x v="2"/>
    <x v="3"/>
    <x v="1"/>
    <x v="0"/>
    <n v="0.7"/>
    <d v="2023-10-24T00:00:00"/>
    <x v="3"/>
    <x v="2"/>
    <x v="5"/>
    <s v="Oct"/>
    <s v="Q4"/>
    <s v="Senior"/>
    <s v="Very High"/>
    <s v="South - Self-employed"/>
  </r>
  <r>
    <x v="837"/>
    <s v="Aayush Bhavsar"/>
    <n v="64"/>
    <x v="0"/>
    <x v="0"/>
    <x v="0"/>
    <x v="2"/>
    <x v="1"/>
    <x v="1"/>
    <n v="0.37"/>
    <d v="2018-04-21T00:00:00"/>
    <x v="3"/>
    <x v="0"/>
    <x v="1"/>
    <s v="Apr"/>
    <s v="Q2"/>
    <s v="Senior"/>
    <s v="High"/>
    <s v="North - Student"/>
  </r>
  <r>
    <x v="838"/>
    <s v="Chameli Bawa"/>
    <n v="52"/>
    <x v="0"/>
    <x v="2"/>
    <x v="1"/>
    <x v="1"/>
    <x v="1"/>
    <x v="0"/>
    <n v="0.81"/>
    <d v="2021-06-25T00:00:00"/>
    <x v="2"/>
    <x v="2"/>
    <x v="2"/>
    <s v="Jun"/>
    <s v="Q2"/>
    <s v="Senior"/>
    <s v="Very High"/>
    <s v="East - Salaried"/>
  </r>
  <r>
    <x v="839"/>
    <s v="Dalaja Karan"/>
    <n v="63"/>
    <x v="0"/>
    <x v="2"/>
    <x v="2"/>
    <x v="0"/>
    <x v="1"/>
    <x v="0"/>
    <n v="0.35"/>
    <d v="2023-03-16T00:00:00"/>
    <x v="3"/>
    <x v="0"/>
    <x v="5"/>
    <s v="Mar"/>
    <s v="Q1"/>
    <s v="Senior"/>
    <s v="Very High"/>
    <s v="West - Self-employed"/>
  </r>
  <r>
    <x v="840"/>
    <s v="Ekanta Doshi"/>
    <n v="40"/>
    <x v="0"/>
    <x v="2"/>
    <x v="0"/>
    <x v="0"/>
    <x v="1"/>
    <x v="1"/>
    <n v="0.06"/>
    <d v="2022-01-22T00:00:00"/>
    <x v="1"/>
    <x v="1"/>
    <x v="3"/>
    <s v="Jan"/>
    <s v="Q1"/>
    <s v="Adult"/>
    <s v="High"/>
    <s v="West - Student"/>
  </r>
  <r>
    <x v="841"/>
    <s v="Kevin Bali"/>
    <n v="40"/>
    <x v="0"/>
    <x v="1"/>
    <x v="0"/>
    <x v="3"/>
    <x v="1"/>
    <x v="0"/>
    <n v="0.75"/>
    <d v="2023-09-08T00:00:00"/>
    <x v="1"/>
    <x v="2"/>
    <x v="5"/>
    <s v="Sep"/>
    <s v="Q3"/>
    <s v="Adult"/>
    <s v="Very High"/>
    <s v="South - Student"/>
  </r>
  <r>
    <x v="842"/>
    <s v="Nathaniel Deshmukh"/>
    <n v="40"/>
    <x v="1"/>
    <x v="0"/>
    <x v="1"/>
    <x v="0"/>
    <x v="0"/>
    <x v="0"/>
    <n v="0.46"/>
    <d v="2019-10-16T00:00:00"/>
    <x v="1"/>
    <x v="0"/>
    <x v="4"/>
    <s v="Oct"/>
    <s v="Q4"/>
    <s v="Adult"/>
    <s v="High"/>
    <s v="West - Salaried"/>
  </r>
  <r>
    <x v="843"/>
    <s v="Advay Narayan"/>
    <n v="21"/>
    <x v="1"/>
    <x v="1"/>
    <x v="1"/>
    <x v="1"/>
    <x v="1"/>
    <x v="1"/>
    <n v="0.64"/>
    <d v="2019-12-05T00:00:00"/>
    <x v="0"/>
    <x v="0"/>
    <x v="4"/>
    <s v="Dec"/>
    <s v="Q4"/>
    <s v="Young"/>
    <s v="High"/>
    <s v="East - Salaried"/>
  </r>
  <r>
    <x v="844"/>
    <s v="Vivaan Nayar"/>
    <n v="37"/>
    <x v="1"/>
    <x v="1"/>
    <x v="2"/>
    <x v="3"/>
    <x v="0"/>
    <x v="0"/>
    <n v="0.57999999999999996"/>
    <d v="2023-02-13T00:00:00"/>
    <x v="1"/>
    <x v="0"/>
    <x v="5"/>
    <s v="Feb"/>
    <s v="Q1"/>
    <s v="Adult"/>
    <s v="High"/>
    <s v="South - Self-employed"/>
  </r>
  <r>
    <x v="845"/>
    <s v="Priya Chaudry"/>
    <n v="31"/>
    <x v="0"/>
    <x v="2"/>
    <x v="1"/>
    <x v="5"/>
    <x v="0"/>
    <x v="1"/>
    <n v="0.36"/>
    <d v="2020-11-20T00:00:00"/>
    <x v="1"/>
    <x v="0"/>
    <x v="0"/>
    <s v="Nov"/>
    <s v="Q4"/>
    <s v="Adult"/>
    <s v="Low"/>
    <s v="Central - Salaried"/>
  </r>
  <r>
    <x v="846"/>
    <s v="Nandini Dass"/>
    <n v="65"/>
    <x v="1"/>
    <x v="1"/>
    <x v="1"/>
    <x v="1"/>
    <x v="1"/>
    <x v="0"/>
    <n v="0.5"/>
    <d v="2020-11-10T00:00:00"/>
    <x v="3"/>
    <x v="0"/>
    <x v="0"/>
    <s v="Nov"/>
    <s v="Q4"/>
    <s v="Senior"/>
    <s v="Very High"/>
    <s v="East - Salaried"/>
  </r>
  <r>
    <x v="847"/>
    <s v="Kala Ratti"/>
    <n v="47"/>
    <x v="1"/>
    <x v="2"/>
    <x v="0"/>
    <x v="4"/>
    <x v="0"/>
    <x v="0"/>
    <n v="0.8"/>
    <d v="2022-05-04T00:00:00"/>
    <x v="2"/>
    <x v="2"/>
    <x v="3"/>
    <s v="May"/>
    <s v="Q2"/>
    <s v="Adult"/>
    <s v="High"/>
    <s v="North-East - Student"/>
  </r>
  <r>
    <x v="848"/>
    <s v="Saumya Rege"/>
    <n v="47"/>
    <x v="1"/>
    <x v="0"/>
    <x v="1"/>
    <x v="5"/>
    <x v="0"/>
    <x v="0"/>
    <n v="0.55000000000000004"/>
    <d v="2020-05-16T00:00:00"/>
    <x v="2"/>
    <x v="0"/>
    <x v="0"/>
    <s v="May"/>
    <s v="Q2"/>
    <s v="Adult"/>
    <s v="High"/>
    <s v="Central - Salaried"/>
  </r>
  <r>
    <x v="849"/>
    <s v="Harish Vora"/>
    <n v="67"/>
    <x v="1"/>
    <x v="1"/>
    <x v="2"/>
    <x v="4"/>
    <x v="0"/>
    <x v="0"/>
    <n v="0.56999999999999995"/>
    <d v="2022-12-03T00:00:00"/>
    <x v="3"/>
    <x v="0"/>
    <x v="3"/>
    <s v="Dec"/>
    <s v="Q4"/>
    <s v="Senior"/>
    <s v="High"/>
    <s v="North-East - Self-employed"/>
  </r>
  <r>
    <x v="850"/>
    <s v="Gauri Srinivasan"/>
    <n v="56"/>
    <x v="0"/>
    <x v="0"/>
    <x v="0"/>
    <x v="4"/>
    <x v="0"/>
    <x v="0"/>
    <n v="0.31"/>
    <d v="2021-03-22T00:00:00"/>
    <x v="2"/>
    <x v="0"/>
    <x v="2"/>
    <s v="Mar"/>
    <s v="Q1"/>
    <s v="Senior"/>
    <s v="High"/>
    <s v="North-East - Student"/>
  </r>
  <r>
    <x v="851"/>
    <s v="Bina Ahuja"/>
    <n v="30"/>
    <x v="0"/>
    <x v="2"/>
    <x v="3"/>
    <x v="0"/>
    <x v="1"/>
    <x v="0"/>
    <n v="0.75"/>
    <d v="2022-12-06T00:00:00"/>
    <x v="0"/>
    <x v="2"/>
    <x v="3"/>
    <s v="Dec"/>
    <s v="Q4"/>
    <s v="Adult"/>
    <s v="Very High"/>
    <s v="West - Retired"/>
  </r>
  <r>
    <x v="852"/>
    <s v="Yug Mohanty"/>
    <n v="69"/>
    <x v="0"/>
    <x v="1"/>
    <x v="1"/>
    <x v="1"/>
    <x v="1"/>
    <x v="0"/>
    <n v="0.02"/>
    <d v="2023-05-12T00:00:00"/>
    <x v="3"/>
    <x v="1"/>
    <x v="5"/>
    <s v="May"/>
    <s v="Q2"/>
    <s v="Senior"/>
    <s v="Very High"/>
    <s v="East - Salaried"/>
  </r>
  <r>
    <x v="853"/>
    <s v="Aarini Dara"/>
    <n v="30"/>
    <x v="1"/>
    <x v="2"/>
    <x v="2"/>
    <x v="1"/>
    <x v="0"/>
    <x v="1"/>
    <n v="0.23"/>
    <d v="2020-10-29T00:00:00"/>
    <x v="0"/>
    <x v="1"/>
    <x v="0"/>
    <s v="Oct"/>
    <s v="Q4"/>
    <s v="Adult"/>
    <s v="Low"/>
    <s v="East - Self-employed"/>
  </r>
  <r>
    <x v="854"/>
    <s v="Eesha Kar"/>
    <n v="53"/>
    <x v="0"/>
    <x v="0"/>
    <x v="1"/>
    <x v="0"/>
    <x v="1"/>
    <x v="1"/>
    <n v="0.35"/>
    <d v="2020-07-14T00:00:00"/>
    <x v="2"/>
    <x v="0"/>
    <x v="0"/>
    <s v="Jul"/>
    <s v="Q3"/>
    <s v="Senior"/>
    <s v="High"/>
    <s v="West - Salaried"/>
  </r>
  <r>
    <x v="855"/>
    <s v="Rishi Subramaniam"/>
    <n v="23"/>
    <x v="0"/>
    <x v="2"/>
    <x v="0"/>
    <x v="0"/>
    <x v="0"/>
    <x v="0"/>
    <n v="0.27"/>
    <d v="2018-05-12T00:00:00"/>
    <x v="0"/>
    <x v="1"/>
    <x v="1"/>
    <s v="May"/>
    <s v="Q2"/>
    <s v="Young"/>
    <s v="High"/>
    <s v="West - Student"/>
  </r>
  <r>
    <x v="856"/>
    <s v="Nidhi Chatterjee"/>
    <n v="42"/>
    <x v="1"/>
    <x v="0"/>
    <x v="0"/>
    <x v="5"/>
    <x v="0"/>
    <x v="1"/>
    <n v="0.15"/>
    <d v="2020-11-02T00:00:00"/>
    <x v="1"/>
    <x v="1"/>
    <x v="0"/>
    <s v="Nov"/>
    <s v="Q4"/>
    <s v="Adult"/>
    <s v="Low"/>
    <s v="Central - Student"/>
  </r>
  <r>
    <x v="857"/>
    <s v="Warhi Hegde"/>
    <n v="38"/>
    <x v="1"/>
    <x v="0"/>
    <x v="1"/>
    <x v="5"/>
    <x v="0"/>
    <x v="1"/>
    <n v="0.45"/>
    <d v="2022-10-17T00:00:00"/>
    <x v="1"/>
    <x v="0"/>
    <x v="3"/>
    <s v="Oct"/>
    <s v="Q4"/>
    <s v="Adult"/>
    <s v="Low"/>
    <s v="Central - Salaried"/>
  </r>
  <r>
    <x v="858"/>
    <s v="Ethan Taneja"/>
    <n v="62"/>
    <x v="1"/>
    <x v="1"/>
    <x v="2"/>
    <x v="1"/>
    <x v="0"/>
    <x v="1"/>
    <n v="0.69"/>
    <d v="2019-09-06T00:00:00"/>
    <x v="3"/>
    <x v="0"/>
    <x v="4"/>
    <s v="Sep"/>
    <s v="Q3"/>
    <s v="Senior"/>
    <s v="Low"/>
    <s v="East - Self-employed"/>
  </r>
  <r>
    <x v="859"/>
    <s v="David Kara"/>
    <n v="59"/>
    <x v="1"/>
    <x v="2"/>
    <x v="0"/>
    <x v="0"/>
    <x v="0"/>
    <x v="0"/>
    <n v="0.34"/>
    <d v="2020-01-02T00:00:00"/>
    <x v="2"/>
    <x v="0"/>
    <x v="0"/>
    <s v="Jan"/>
    <s v="Q1"/>
    <s v="Senior"/>
    <s v="High"/>
    <s v="West - Student"/>
  </r>
  <r>
    <x v="860"/>
    <s v="Gabriel Gola"/>
    <n v="30"/>
    <x v="0"/>
    <x v="2"/>
    <x v="2"/>
    <x v="3"/>
    <x v="0"/>
    <x v="1"/>
    <n v="0.41"/>
    <d v="2021-01-16T00:00:00"/>
    <x v="0"/>
    <x v="0"/>
    <x v="2"/>
    <s v="Jan"/>
    <s v="Q1"/>
    <s v="Adult"/>
    <s v="Low"/>
    <s v="South - Self-employed"/>
  </r>
  <r>
    <x v="861"/>
    <s v="Manan Nath"/>
    <n v="31"/>
    <x v="0"/>
    <x v="2"/>
    <x v="1"/>
    <x v="2"/>
    <x v="0"/>
    <x v="1"/>
    <n v="0.53"/>
    <d v="2019-03-03T00:00:00"/>
    <x v="1"/>
    <x v="0"/>
    <x v="4"/>
    <s v="Mar"/>
    <s v="Q1"/>
    <s v="Adult"/>
    <s v="Low"/>
    <s v="North - Salaried"/>
  </r>
  <r>
    <x v="862"/>
    <s v="Rushil Varty"/>
    <n v="41"/>
    <x v="0"/>
    <x v="1"/>
    <x v="2"/>
    <x v="0"/>
    <x v="1"/>
    <x v="1"/>
    <n v="0.41"/>
    <d v="2023-11-23T00:00:00"/>
    <x v="1"/>
    <x v="0"/>
    <x v="5"/>
    <s v="Nov"/>
    <s v="Q4"/>
    <s v="Adult"/>
    <s v="High"/>
    <s v="West - Self-employed"/>
  </r>
  <r>
    <x v="863"/>
    <s v="Rishi Kade"/>
    <n v="54"/>
    <x v="0"/>
    <x v="0"/>
    <x v="2"/>
    <x v="3"/>
    <x v="0"/>
    <x v="0"/>
    <n v="0.28000000000000003"/>
    <d v="2019-09-28T00:00:00"/>
    <x v="2"/>
    <x v="1"/>
    <x v="4"/>
    <s v="Sep"/>
    <s v="Q3"/>
    <s v="Senior"/>
    <s v="High"/>
    <s v="South - Self-employed"/>
  </r>
  <r>
    <x v="864"/>
    <s v="Banjeet Gupta"/>
    <n v="20"/>
    <x v="1"/>
    <x v="1"/>
    <x v="3"/>
    <x v="0"/>
    <x v="0"/>
    <x v="0"/>
    <n v="0.31"/>
    <d v="2022-08-16T00:00:00"/>
    <x v="0"/>
    <x v="0"/>
    <x v="3"/>
    <s v="Aug"/>
    <s v="Q3"/>
    <s v="Young"/>
    <s v="High"/>
    <s v="West - Retired"/>
  </r>
  <r>
    <x v="865"/>
    <s v="Qarin Memon"/>
    <n v="27"/>
    <x v="1"/>
    <x v="0"/>
    <x v="1"/>
    <x v="3"/>
    <x v="0"/>
    <x v="1"/>
    <n v="0.26"/>
    <d v="2022-03-08T00:00:00"/>
    <x v="0"/>
    <x v="1"/>
    <x v="3"/>
    <s v="Mar"/>
    <s v="Q1"/>
    <s v="Young"/>
    <s v="Low"/>
    <s v="South - Salaried"/>
  </r>
  <r>
    <x v="866"/>
    <s v="Anvi Sen"/>
    <n v="34"/>
    <x v="1"/>
    <x v="2"/>
    <x v="1"/>
    <x v="5"/>
    <x v="0"/>
    <x v="0"/>
    <n v="0.5"/>
    <d v="2023-07-03T00:00:00"/>
    <x v="1"/>
    <x v="0"/>
    <x v="5"/>
    <s v="Jul"/>
    <s v="Q3"/>
    <s v="Adult"/>
    <s v="High"/>
    <s v="Central - Salaried"/>
  </r>
  <r>
    <x v="867"/>
    <s v="Aadi Madan"/>
    <n v="41"/>
    <x v="0"/>
    <x v="1"/>
    <x v="3"/>
    <x v="5"/>
    <x v="1"/>
    <x v="1"/>
    <n v="0.51"/>
    <d v="2019-08-20T00:00:00"/>
    <x v="1"/>
    <x v="0"/>
    <x v="4"/>
    <s v="Aug"/>
    <s v="Q3"/>
    <s v="Adult"/>
    <s v="High"/>
    <s v="Central - Retired"/>
  </r>
  <r>
    <x v="868"/>
    <s v="Raagini Bal"/>
    <n v="63"/>
    <x v="1"/>
    <x v="0"/>
    <x v="3"/>
    <x v="2"/>
    <x v="0"/>
    <x v="0"/>
    <n v="0.47"/>
    <d v="2018-08-03T00:00:00"/>
    <x v="3"/>
    <x v="0"/>
    <x v="1"/>
    <s v="Aug"/>
    <s v="Q3"/>
    <s v="Senior"/>
    <s v="High"/>
    <s v="North - Retired"/>
  </r>
  <r>
    <x v="869"/>
    <s v="Divya Bhatti"/>
    <n v="23"/>
    <x v="1"/>
    <x v="0"/>
    <x v="3"/>
    <x v="5"/>
    <x v="1"/>
    <x v="0"/>
    <n v="0.56999999999999995"/>
    <d v="2018-01-27T00:00:00"/>
    <x v="0"/>
    <x v="0"/>
    <x v="1"/>
    <s v="Jan"/>
    <s v="Q1"/>
    <s v="Young"/>
    <s v="Very High"/>
    <s v="Central - Retired"/>
  </r>
  <r>
    <x v="870"/>
    <s v="Faraj Bora"/>
    <n v="26"/>
    <x v="1"/>
    <x v="2"/>
    <x v="3"/>
    <x v="4"/>
    <x v="1"/>
    <x v="0"/>
    <n v="0.54"/>
    <d v="2018-08-12T00:00:00"/>
    <x v="0"/>
    <x v="0"/>
    <x v="1"/>
    <s v="Aug"/>
    <s v="Q3"/>
    <s v="Young"/>
    <s v="Very High"/>
    <s v="North-East - Retired"/>
  </r>
  <r>
    <x v="871"/>
    <s v="Idika Brar"/>
    <n v="69"/>
    <x v="1"/>
    <x v="1"/>
    <x v="2"/>
    <x v="2"/>
    <x v="0"/>
    <x v="0"/>
    <n v="0.8"/>
    <d v="2019-10-09T00:00:00"/>
    <x v="3"/>
    <x v="2"/>
    <x v="4"/>
    <s v="Oct"/>
    <s v="Q4"/>
    <s v="Senior"/>
    <s v="High"/>
    <s v="North - Self-employed"/>
  </r>
  <r>
    <x v="872"/>
    <s v="Indira Rajagopal"/>
    <n v="63"/>
    <x v="0"/>
    <x v="2"/>
    <x v="0"/>
    <x v="1"/>
    <x v="0"/>
    <x v="0"/>
    <n v="0.4"/>
    <d v="2018-07-07T00:00:00"/>
    <x v="3"/>
    <x v="0"/>
    <x v="1"/>
    <s v="Jul"/>
    <s v="Q3"/>
    <s v="Senior"/>
    <s v="High"/>
    <s v="East - Student"/>
  </r>
  <r>
    <x v="873"/>
    <s v="Aadhya Bansal"/>
    <n v="35"/>
    <x v="1"/>
    <x v="0"/>
    <x v="0"/>
    <x v="2"/>
    <x v="1"/>
    <x v="1"/>
    <n v="0.54"/>
    <d v="2019-01-17T00:00:00"/>
    <x v="1"/>
    <x v="0"/>
    <x v="4"/>
    <s v="Jan"/>
    <s v="Q1"/>
    <s v="Adult"/>
    <s v="High"/>
    <s v="North - Student"/>
  </r>
  <r>
    <x v="874"/>
    <s v="Irya Upadhyay"/>
    <n v="60"/>
    <x v="0"/>
    <x v="1"/>
    <x v="3"/>
    <x v="2"/>
    <x v="1"/>
    <x v="1"/>
    <n v="0.66"/>
    <d v="2018-05-18T00:00:00"/>
    <x v="2"/>
    <x v="0"/>
    <x v="1"/>
    <s v="May"/>
    <s v="Q2"/>
    <s v="Senior"/>
    <s v="High"/>
    <s v="North - Retired"/>
  </r>
  <r>
    <x v="875"/>
    <s v="Hemangini Pal"/>
    <n v="40"/>
    <x v="0"/>
    <x v="2"/>
    <x v="3"/>
    <x v="3"/>
    <x v="1"/>
    <x v="1"/>
    <n v="0.76"/>
    <d v="2022-09-19T00:00:00"/>
    <x v="1"/>
    <x v="2"/>
    <x v="3"/>
    <s v="Sep"/>
    <s v="Q3"/>
    <s v="Adult"/>
    <s v="High"/>
    <s v="South - Retired"/>
  </r>
  <r>
    <x v="876"/>
    <s v="Girish Nagi"/>
    <n v="64"/>
    <x v="1"/>
    <x v="0"/>
    <x v="3"/>
    <x v="5"/>
    <x v="0"/>
    <x v="1"/>
    <n v="0.6"/>
    <d v="2021-10-18T00:00:00"/>
    <x v="3"/>
    <x v="0"/>
    <x v="2"/>
    <s v="Oct"/>
    <s v="Q4"/>
    <s v="Senior"/>
    <s v="Low"/>
    <s v="Central - Retired"/>
  </r>
  <r>
    <x v="877"/>
    <s v="Abha Madan"/>
    <n v="48"/>
    <x v="0"/>
    <x v="2"/>
    <x v="3"/>
    <x v="2"/>
    <x v="0"/>
    <x v="0"/>
    <n v="0.47"/>
    <d v="2021-03-11T00:00:00"/>
    <x v="2"/>
    <x v="0"/>
    <x v="2"/>
    <s v="Mar"/>
    <s v="Q1"/>
    <s v="Adult"/>
    <s v="High"/>
    <s v="North - Retired"/>
  </r>
  <r>
    <x v="878"/>
    <s v="Jasmit Kothari"/>
    <n v="54"/>
    <x v="1"/>
    <x v="2"/>
    <x v="3"/>
    <x v="2"/>
    <x v="1"/>
    <x v="1"/>
    <n v="0.47"/>
    <d v="2018-03-02T00:00:00"/>
    <x v="2"/>
    <x v="0"/>
    <x v="1"/>
    <s v="Mar"/>
    <s v="Q1"/>
    <s v="Senior"/>
    <s v="High"/>
    <s v="North - Retired"/>
  </r>
  <r>
    <x v="879"/>
    <s v="Mitali Batta"/>
    <n v="62"/>
    <x v="0"/>
    <x v="1"/>
    <x v="3"/>
    <x v="4"/>
    <x v="0"/>
    <x v="0"/>
    <n v="0.8"/>
    <d v="2023-08-04T00:00:00"/>
    <x v="3"/>
    <x v="2"/>
    <x v="5"/>
    <s v="Aug"/>
    <s v="Q3"/>
    <s v="Senior"/>
    <s v="High"/>
    <s v="North-East - Retired"/>
  </r>
  <r>
    <x v="880"/>
    <s v="Urvashi Agate"/>
    <n v="31"/>
    <x v="1"/>
    <x v="2"/>
    <x v="0"/>
    <x v="1"/>
    <x v="1"/>
    <x v="0"/>
    <n v="0.49"/>
    <d v="2020-12-02T00:00:00"/>
    <x v="1"/>
    <x v="0"/>
    <x v="0"/>
    <s v="Dec"/>
    <s v="Q4"/>
    <s v="Adult"/>
    <s v="Very High"/>
    <s v="East - Student"/>
  </r>
  <r>
    <x v="881"/>
    <s v="Advik Mukhopadhyay"/>
    <n v="56"/>
    <x v="0"/>
    <x v="0"/>
    <x v="0"/>
    <x v="1"/>
    <x v="1"/>
    <x v="0"/>
    <n v="0.67"/>
    <d v="2020-10-05T00:00:00"/>
    <x v="2"/>
    <x v="0"/>
    <x v="0"/>
    <s v="Oct"/>
    <s v="Q4"/>
    <s v="Senior"/>
    <s v="Very High"/>
    <s v="East - Student"/>
  </r>
  <r>
    <x v="882"/>
    <s v="Shaurya Raja"/>
    <n v="35"/>
    <x v="1"/>
    <x v="0"/>
    <x v="3"/>
    <x v="4"/>
    <x v="0"/>
    <x v="1"/>
    <n v="0.53"/>
    <d v="2023-05-24T00:00:00"/>
    <x v="1"/>
    <x v="0"/>
    <x v="5"/>
    <s v="May"/>
    <s v="Q2"/>
    <s v="Adult"/>
    <s v="Low"/>
    <s v="North-East - Retired"/>
  </r>
  <r>
    <x v="883"/>
    <s v="Yoshita Prabhu"/>
    <n v="34"/>
    <x v="1"/>
    <x v="2"/>
    <x v="1"/>
    <x v="2"/>
    <x v="1"/>
    <x v="1"/>
    <n v="0.43"/>
    <d v="2021-04-09T00:00:00"/>
    <x v="1"/>
    <x v="0"/>
    <x v="2"/>
    <s v="Apr"/>
    <s v="Q2"/>
    <s v="Adult"/>
    <s v="High"/>
    <s v="North - Salaried"/>
  </r>
  <r>
    <x v="884"/>
    <s v="Arya Bail"/>
    <n v="33"/>
    <x v="1"/>
    <x v="0"/>
    <x v="2"/>
    <x v="5"/>
    <x v="1"/>
    <x v="0"/>
    <n v="0.22"/>
    <d v="2022-04-03T00:00:00"/>
    <x v="1"/>
    <x v="1"/>
    <x v="3"/>
    <s v="Apr"/>
    <s v="Q2"/>
    <s v="Adult"/>
    <s v="Very High"/>
    <s v="Central - Self-employed"/>
  </r>
  <r>
    <x v="885"/>
    <s v="Ekanta Dugar"/>
    <n v="32"/>
    <x v="1"/>
    <x v="1"/>
    <x v="0"/>
    <x v="2"/>
    <x v="1"/>
    <x v="1"/>
    <n v="0.6"/>
    <d v="2023-10-14T00:00:00"/>
    <x v="1"/>
    <x v="0"/>
    <x v="5"/>
    <s v="Oct"/>
    <s v="Q4"/>
    <s v="Adult"/>
    <s v="High"/>
    <s v="North - Student"/>
  </r>
  <r>
    <x v="886"/>
    <s v="Rajeshri Jhaveri"/>
    <n v="29"/>
    <x v="1"/>
    <x v="1"/>
    <x v="3"/>
    <x v="3"/>
    <x v="0"/>
    <x v="1"/>
    <n v="0.78"/>
    <d v="2022-04-01T00:00:00"/>
    <x v="0"/>
    <x v="2"/>
    <x v="3"/>
    <s v="Apr"/>
    <s v="Q2"/>
    <s v="Young"/>
    <s v="Low"/>
    <s v="South - Retired"/>
  </r>
  <r>
    <x v="887"/>
    <s v="Ranveer Sidhu"/>
    <n v="36"/>
    <x v="0"/>
    <x v="0"/>
    <x v="2"/>
    <x v="5"/>
    <x v="0"/>
    <x v="1"/>
    <n v="0.01"/>
    <d v="2020-09-04T00:00:00"/>
    <x v="1"/>
    <x v="1"/>
    <x v="0"/>
    <s v="Sep"/>
    <s v="Q3"/>
    <s v="Adult"/>
    <s v="Low"/>
    <s v="Central - Self-employed"/>
  </r>
  <r>
    <x v="888"/>
    <s v="Adya Bail"/>
    <n v="49"/>
    <x v="1"/>
    <x v="2"/>
    <x v="3"/>
    <x v="1"/>
    <x v="1"/>
    <x v="1"/>
    <n v="0.96"/>
    <d v="2020-05-07T00:00:00"/>
    <x v="2"/>
    <x v="2"/>
    <x v="0"/>
    <s v="May"/>
    <s v="Q2"/>
    <s v="Adult"/>
    <s v="High"/>
    <s v="East - Retired"/>
  </r>
  <r>
    <x v="889"/>
    <s v="Rachana Sura"/>
    <n v="38"/>
    <x v="0"/>
    <x v="0"/>
    <x v="2"/>
    <x v="2"/>
    <x v="1"/>
    <x v="0"/>
    <n v="0.6"/>
    <d v="2020-01-18T00:00:00"/>
    <x v="1"/>
    <x v="0"/>
    <x v="0"/>
    <s v="Jan"/>
    <s v="Q1"/>
    <s v="Adult"/>
    <s v="Very High"/>
    <s v="North - Self-employed"/>
  </r>
  <r>
    <x v="890"/>
    <s v="George Zachariah"/>
    <n v="34"/>
    <x v="0"/>
    <x v="2"/>
    <x v="1"/>
    <x v="0"/>
    <x v="1"/>
    <x v="1"/>
    <n v="0.76"/>
    <d v="2018-03-23T00:00:00"/>
    <x v="1"/>
    <x v="2"/>
    <x v="1"/>
    <s v="Mar"/>
    <s v="Q1"/>
    <s v="Adult"/>
    <s v="High"/>
    <s v="West - Salaried"/>
  </r>
  <r>
    <x v="891"/>
    <s v="Ryan Dhillon"/>
    <n v="23"/>
    <x v="1"/>
    <x v="0"/>
    <x v="3"/>
    <x v="4"/>
    <x v="1"/>
    <x v="0"/>
    <n v="0.57999999999999996"/>
    <d v="2022-10-17T00:00:00"/>
    <x v="0"/>
    <x v="0"/>
    <x v="3"/>
    <s v="Oct"/>
    <s v="Q4"/>
    <s v="Young"/>
    <s v="Very High"/>
    <s v="North-East - Retired"/>
  </r>
  <r>
    <x v="892"/>
    <s v="Kritika Chaudhry"/>
    <n v="20"/>
    <x v="1"/>
    <x v="2"/>
    <x v="2"/>
    <x v="2"/>
    <x v="0"/>
    <x v="0"/>
    <n v="0.75"/>
    <d v="2020-11-11T00:00:00"/>
    <x v="0"/>
    <x v="2"/>
    <x v="0"/>
    <s v="Nov"/>
    <s v="Q4"/>
    <s v="Young"/>
    <s v="High"/>
    <s v="North - Self-employed"/>
  </r>
  <r>
    <x v="893"/>
    <s v="Hamsini Batta"/>
    <n v="19"/>
    <x v="1"/>
    <x v="2"/>
    <x v="3"/>
    <x v="3"/>
    <x v="1"/>
    <x v="1"/>
    <n v="0.23"/>
    <d v="2020-03-10T00:00:00"/>
    <x v="0"/>
    <x v="1"/>
    <x v="0"/>
    <s v="Mar"/>
    <s v="Q1"/>
    <s v="Young"/>
    <s v="High"/>
    <s v="South - Retired"/>
  </r>
  <r>
    <x v="894"/>
    <s v="Quincy Dar"/>
    <n v="38"/>
    <x v="1"/>
    <x v="0"/>
    <x v="2"/>
    <x v="5"/>
    <x v="0"/>
    <x v="1"/>
    <n v="0.93"/>
    <d v="2019-09-22T00:00:00"/>
    <x v="1"/>
    <x v="2"/>
    <x v="4"/>
    <s v="Sep"/>
    <s v="Q3"/>
    <s v="Adult"/>
    <s v="Low"/>
    <s v="Central - Self-employed"/>
  </r>
  <r>
    <x v="895"/>
    <s v="Neha Bali"/>
    <n v="24"/>
    <x v="0"/>
    <x v="2"/>
    <x v="2"/>
    <x v="4"/>
    <x v="1"/>
    <x v="0"/>
    <n v="0.42"/>
    <d v="2022-09-14T00:00:00"/>
    <x v="0"/>
    <x v="0"/>
    <x v="3"/>
    <s v="Sep"/>
    <s v="Q3"/>
    <s v="Young"/>
    <s v="Very High"/>
    <s v="North-East - Self-employed"/>
  </r>
  <r>
    <x v="896"/>
    <s v="Andrew Murthy"/>
    <n v="66"/>
    <x v="1"/>
    <x v="2"/>
    <x v="0"/>
    <x v="2"/>
    <x v="0"/>
    <x v="1"/>
    <n v="0.36"/>
    <d v="2020-07-06T00:00:00"/>
    <x v="3"/>
    <x v="0"/>
    <x v="0"/>
    <s v="Jul"/>
    <s v="Q3"/>
    <s v="Senior"/>
    <s v="Low"/>
    <s v="North - Student"/>
  </r>
  <r>
    <x v="897"/>
    <s v="Upma Amble"/>
    <n v="25"/>
    <x v="0"/>
    <x v="0"/>
    <x v="1"/>
    <x v="4"/>
    <x v="0"/>
    <x v="0"/>
    <n v="0.34"/>
    <d v="2018-10-19T00:00:00"/>
    <x v="0"/>
    <x v="0"/>
    <x v="1"/>
    <s v="Oct"/>
    <s v="Q4"/>
    <s v="Young"/>
    <s v="High"/>
    <s v="North-East - Salaried"/>
  </r>
  <r>
    <x v="898"/>
    <s v="Ronith Buch"/>
    <n v="58"/>
    <x v="1"/>
    <x v="2"/>
    <x v="3"/>
    <x v="5"/>
    <x v="0"/>
    <x v="0"/>
    <n v="0.73"/>
    <d v="2018-01-21T00:00:00"/>
    <x v="2"/>
    <x v="2"/>
    <x v="1"/>
    <s v="Jan"/>
    <s v="Q1"/>
    <s v="Senior"/>
    <s v="High"/>
    <s v="Central - Retired"/>
  </r>
  <r>
    <x v="899"/>
    <s v="Ethan Nori"/>
    <n v="22"/>
    <x v="0"/>
    <x v="0"/>
    <x v="1"/>
    <x v="1"/>
    <x v="1"/>
    <x v="1"/>
    <n v="0.36"/>
    <d v="2022-04-19T00:00:00"/>
    <x v="0"/>
    <x v="0"/>
    <x v="3"/>
    <s v="Apr"/>
    <s v="Q2"/>
    <s v="Young"/>
    <s v="High"/>
    <s v="East - Salaried"/>
  </r>
  <r>
    <x v="900"/>
    <s v="Anita Sama"/>
    <n v="24"/>
    <x v="0"/>
    <x v="0"/>
    <x v="0"/>
    <x v="4"/>
    <x v="1"/>
    <x v="1"/>
    <n v="0.42"/>
    <d v="2021-03-21T00:00:00"/>
    <x v="0"/>
    <x v="0"/>
    <x v="2"/>
    <s v="Mar"/>
    <s v="Q1"/>
    <s v="Young"/>
    <s v="High"/>
    <s v="North-East - Student"/>
  </r>
  <r>
    <x v="901"/>
    <s v="Lila Reddy"/>
    <n v="61"/>
    <x v="1"/>
    <x v="0"/>
    <x v="2"/>
    <x v="0"/>
    <x v="0"/>
    <x v="1"/>
    <n v="0.59"/>
    <d v="2020-03-07T00:00:00"/>
    <x v="3"/>
    <x v="0"/>
    <x v="0"/>
    <s v="Mar"/>
    <s v="Q1"/>
    <s v="Senior"/>
    <s v="Low"/>
    <s v="West - Self-employed"/>
  </r>
  <r>
    <x v="902"/>
    <s v="Nikita Gole"/>
    <n v="49"/>
    <x v="0"/>
    <x v="0"/>
    <x v="3"/>
    <x v="3"/>
    <x v="0"/>
    <x v="0"/>
    <n v="0.39"/>
    <d v="2023-07-09T00:00:00"/>
    <x v="2"/>
    <x v="0"/>
    <x v="5"/>
    <s v="Jul"/>
    <s v="Q3"/>
    <s v="Adult"/>
    <s v="High"/>
    <s v="South - Retired"/>
  </r>
  <r>
    <x v="903"/>
    <s v="Eta Prashad"/>
    <n v="22"/>
    <x v="0"/>
    <x v="1"/>
    <x v="1"/>
    <x v="0"/>
    <x v="0"/>
    <x v="1"/>
    <n v="0.38"/>
    <d v="2020-02-29T00:00:00"/>
    <x v="0"/>
    <x v="0"/>
    <x v="0"/>
    <s v="Feb"/>
    <s v="Q1"/>
    <s v="Young"/>
    <s v="Low"/>
    <s v="West - Salaried"/>
  </r>
  <r>
    <x v="904"/>
    <s v="Januja Kata"/>
    <n v="56"/>
    <x v="0"/>
    <x v="2"/>
    <x v="3"/>
    <x v="1"/>
    <x v="0"/>
    <x v="0"/>
    <n v="0.77"/>
    <d v="2022-03-19T00:00:00"/>
    <x v="2"/>
    <x v="2"/>
    <x v="3"/>
    <s v="Mar"/>
    <s v="Q1"/>
    <s v="Senior"/>
    <s v="High"/>
    <s v="East - Retired"/>
  </r>
  <r>
    <x v="905"/>
    <s v="Charvi Babu"/>
    <n v="56"/>
    <x v="0"/>
    <x v="1"/>
    <x v="2"/>
    <x v="0"/>
    <x v="0"/>
    <x v="0"/>
    <n v="0.78"/>
    <d v="2021-12-24T00:00:00"/>
    <x v="2"/>
    <x v="2"/>
    <x v="2"/>
    <s v="Dec"/>
    <s v="Q4"/>
    <s v="Senior"/>
    <s v="High"/>
    <s v="West - Self-employed"/>
  </r>
  <r>
    <x v="906"/>
    <s v="Kashvi Sunder"/>
    <n v="34"/>
    <x v="1"/>
    <x v="0"/>
    <x v="0"/>
    <x v="5"/>
    <x v="0"/>
    <x v="0"/>
    <n v="0.65"/>
    <d v="2022-12-27T00:00:00"/>
    <x v="1"/>
    <x v="0"/>
    <x v="3"/>
    <s v="Dec"/>
    <s v="Q4"/>
    <s v="Adult"/>
    <s v="High"/>
    <s v="Central - Student"/>
  </r>
  <r>
    <x v="907"/>
    <s v="Abeer Kalita"/>
    <n v="34"/>
    <x v="0"/>
    <x v="2"/>
    <x v="1"/>
    <x v="5"/>
    <x v="1"/>
    <x v="1"/>
    <n v="0.77"/>
    <d v="2018-12-30T00:00:00"/>
    <x v="1"/>
    <x v="2"/>
    <x v="1"/>
    <s v="Dec"/>
    <s v="Q4"/>
    <s v="Adult"/>
    <s v="High"/>
    <s v="Central - Salaried"/>
  </r>
  <r>
    <x v="908"/>
    <s v="Ganga Ben"/>
    <n v="45"/>
    <x v="0"/>
    <x v="2"/>
    <x v="3"/>
    <x v="5"/>
    <x v="1"/>
    <x v="1"/>
    <n v="0.3"/>
    <d v="2021-02-11T00:00:00"/>
    <x v="1"/>
    <x v="0"/>
    <x v="2"/>
    <s v="Feb"/>
    <s v="Q1"/>
    <s v="Adult"/>
    <s v="High"/>
    <s v="Central - Retired"/>
  </r>
  <r>
    <x v="909"/>
    <s v="Meghana Khare"/>
    <n v="33"/>
    <x v="1"/>
    <x v="0"/>
    <x v="1"/>
    <x v="4"/>
    <x v="0"/>
    <x v="0"/>
    <n v="0.45"/>
    <d v="2021-01-12T00:00:00"/>
    <x v="1"/>
    <x v="0"/>
    <x v="2"/>
    <s v="Jan"/>
    <s v="Q1"/>
    <s v="Adult"/>
    <s v="High"/>
    <s v="North-East - Salaried"/>
  </r>
  <r>
    <x v="910"/>
    <s v="Kai Wali"/>
    <n v="31"/>
    <x v="1"/>
    <x v="2"/>
    <x v="0"/>
    <x v="0"/>
    <x v="0"/>
    <x v="1"/>
    <n v="0.39"/>
    <d v="2022-02-25T00:00:00"/>
    <x v="1"/>
    <x v="0"/>
    <x v="3"/>
    <s v="Feb"/>
    <s v="Q1"/>
    <s v="Adult"/>
    <s v="Low"/>
    <s v="West - Student"/>
  </r>
  <r>
    <x v="911"/>
    <s v="Pushti Lata"/>
    <n v="50"/>
    <x v="1"/>
    <x v="1"/>
    <x v="0"/>
    <x v="1"/>
    <x v="0"/>
    <x v="0"/>
    <n v="0.73"/>
    <d v="2019-07-25T00:00:00"/>
    <x v="2"/>
    <x v="2"/>
    <x v="4"/>
    <s v="Jul"/>
    <s v="Q3"/>
    <s v="Adult"/>
    <s v="High"/>
    <s v="East - Student"/>
  </r>
  <r>
    <x v="912"/>
    <s v="Jai Apte"/>
    <n v="47"/>
    <x v="1"/>
    <x v="2"/>
    <x v="3"/>
    <x v="2"/>
    <x v="1"/>
    <x v="1"/>
    <n v="0.89"/>
    <d v="2018-01-12T00:00:00"/>
    <x v="2"/>
    <x v="2"/>
    <x v="1"/>
    <s v="Jan"/>
    <s v="Q1"/>
    <s v="Adult"/>
    <s v="High"/>
    <s v="North - Retired"/>
  </r>
  <r>
    <x v="913"/>
    <s v="Caleb Dani"/>
    <n v="63"/>
    <x v="1"/>
    <x v="1"/>
    <x v="3"/>
    <x v="5"/>
    <x v="1"/>
    <x v="0"/>
    <n v="0.68"/>
    <d v="2020-09-15T00:00:00"/>
    <x v="3"/>
    <x v="0"/>
    <x v="0"/>
    <s v="Sep"/>
    <s v="Q3"/>
    <s v="Senior"/>
    <s v="Very High"/>
    <s v="Central - Retired"/>
  </r>
  <r>
    <x v="914"/>
    <s v="Daniel Khalsa"/>
    <n v="32"/>
    <x v="0"/>
    <x v="0"/>
    <x v="3"/>
    <x v="0"/>
    <x v="1"/>
    <x v="0"/>
    <n v="0.55000000000000004"/>
    <d v="2021-06-26T00:00:00"/>
    <x v="1"/>
    <x v="0"/>
    <x v="2"/>
    <s v="Jun"/>
    <s v="Q2"/>
    <s v="Adult"/>
    <s v="Very High"/>
    <s v="West - Retired"/>
  </r>
  <r>
    <x v="915"/>
    <s v="Luke Patla"/>
    <n v="27"/>
    <x v="1"/>
    <x v="1"/>
    <x v="1"/>
    <x v="0"/>
    <x v="1"/>
    <x v="1"/>
    <n v="0.52"/>
    <d v="2021-10-01T00:00:00"/>
    <x v="0"/>
    <x v="0"/>
    <x v="2"/>
    <s v="Oct"/>
    <s v="Q4"/>
    <s v="Young"/>
    <s v="High"/>
    <s v="West - Salaried"/>
  </r>
  <r>
    <x v="916"/>
    <s v="Arin Lala"/>
    <n v="37"/>
    <x v="0"/>
    <x v="2"/>
    <x v="2"/>
    <x v="2"/>
    <x v="0"/>
    <x v="0"/>
    <n v="0.35"/>
    <d v="2021-04-28T00:00:00"/>
    <x v="1"/>
    <x v="0"/>
    <x v="2"/>
    <s v="Apr"/>
    <s v="Q2"/>
    <s v="Adult"/>
    <s v="High"/>
    <s v="North - Self-employed"/>
  </r>
  <r>
    <x v="917"/>
    <s v="Nakul Iyengar"/>
    <n v="65"/>
    <x v="0"/>
    <x v="1"/>
    <x v="1"/>
    <x v="0"/>
    <x v="1"/>
    <x v="1"/>
    <n v="0.04"/>
    <d v="2019-09-03T00:00:00"/>
    <x v="3"/>
    <x v="1"/>
    <x v="4"/>
    <s v="Sep"/>
    <s v="Q3"/>
    <s v="Senior"/>
    <s v="High"/>
    <s v="West - Salaried"/>
  </r>
  <r>
    <x v="918"/>
    <s v="Vihaan Choudhury"/>
    <n v="53"/>
    <x v="0"/>
    <x v="0"/>
    <x v="0"/>
    <x v="0"/>
    <x v="1"/>
    <x v="1"/>
    <n v="0.55000000000000004"/>
    <d v="2018-08-12T00:00:00"/>
    <x v="2"/>
    <x v="0"/>
    <x v="1"/>
    <s v="Aug"/>
    <s v="Q3"/>
    <s v="Senior"/>
    <s v="High"/>
    <s v="West - Student"/>
  </r>
  <r>
    <x v="919"/>
    <s v="Chakrika Nagy"/>
    <n v="57"/>
    <x v="0"/>
    <x v="1"/>
    <x v="0"/>
    <x v="1"/>
    <x v="0"/>
    <x v="0"/>
    <n v="1"/>
    <d v="2019-09-02T00:00:00"/>
    <x v="2"/>
    <x v="2"/>
    <x v="4"/>
    <s v="Sep"/>
    <s v="Q3"/>
    <s v="Senior"/>
    <s v="High"/>
    <s v="East - Student"/>
  </r>
  <r>
    <x v="920"/>
    <s v="Anjali Devan"/>
    <n v="65"/>
    <x v="0"/>
    <x v="1"/>
    <x v="2"/>
    <x v="2"/>
    <x v="0"/>
    <x v="1"/>
    <n v="0.47"/>
    <d v="2023-04-06T00:00:00"/>
    <x v="3"/>
    <x v="0"/>
    <x v="5"/>
    <s v="Apr"/>
    <s v="Q2"/>
    <s v="Senior"/>
    <s v="Low"/>
    <s v="North - Self-employed"/>
  </r>
  <r>
    <x v="921"/>
    <s v="Eiravati Mangal"/>
    <n v="27"/>
    <x v="1"/>
    <x v="1"/>
    <x v="2"/>
    <x v="1"/>
    <x v="1"/>
    <x v="1"/>
    <n v="0.48"/>
    <d v="2021-11-27T00:00:00"/>
    <x v="0"/>
    <x v="0"/>
    <x v="2"/>
    <s v="Nov"/>
    <s v="Q4"/>
    <s v="Young"/>
    <s v="High"/>
    <s v="East - Self-employed"/>
  </r>
  <r>
    <x v="922"/>
    <s v="Yoshita Chana"/>
    <n v="55"/>
    <x v="1"/>
    <x v="1"/>
    <x v="2"/>
    <x v="4"/>
    <x v="1"/>
    <x v="0"/>
    <n v="0.42"/>
    <d v="2018-05-27T00:00:00"/>
    <x v="2"/>
    <x v="0"/>
    <x v="1"/>
    <s v="May"/>
    <s v="Q2"/>
    <s v="Senior"/>
    <s v="Very High"/>
    <s v="North-East - Self-employed"/>
  </r>
  <r>
    <x v="923"/>
    <s v="Amol Dara"/>
    <n v="19"/>
    <x v="1"/>
    <x v="0"/>
    <x v="3"/>
    <x v="1"/>
    <x v="0"/>
    <x v="1"/>
    <n v="0.81"/>
    <d v="2021-12-24T00:00:00"/>
    <x v="0"/>
    <x v="2"/>
    <x v="2"/>
    <s v="Dec"/>
    <s v="Q4"/>
    <s v="Young"/>
    <s v="Low"/>
    <s v="East - Retired"/>
  </r>
  <r>
    <x v="924"/>
    <s v="Ijaya Palla"/>
    <n v="20"/>
    <x v="0"/>
    <x v="0"/>
    <x v="2"/>
    <x v="3"/>
    <x v="0"/>
    <x v="1"/>
    <n v="0.71"/>
    <d v="2019-09-13T00:00:00"/>
    <x v="0"/>
    <x v="2"/>
    <x v="4"/>
    <s v="Sep"/>
    <s v="Q3"/>
    <s v="Young"/>
    <s v="Low"/>
    <s v="South - Self-employed"/>
  </r>
  <r>
    <x v="925"/>
    <s v="Bhanumati Mandal"/>
    <n v="61"/>
    <x v="0"/>
    <x v="0"/>
    <x v="3"/>
    <x v="0"/>
    <x v="0"/>
    <x v="0"/>
    <n v="0.56999999999999995"/>
    <d v="2021-02-08T00:00:00"/>
    <x v="3"/>
    <x v="0"/>
    <x v="2"/>
    <s v="Feb"/>
    <s v="Q1"/>
    <s v="Senior"/>
    <s v="High"/>
    <s v="West - Retired"/>
  </r>
  <r>
    <x v="926"/>
    <s v="Oliver Prabhakar"/>
    <n v="32"/>
    <x v="1"/>
    <x v="1"/>
    <x v="1"/>
    <x v="4"/>
    <x v="1"/>
    <x v="1"/>
    <n v="0.4"/>
    <d v="2018-11-23T00:00:00"/>
    <x v="1"/>
    <x v="0"/>
    <x v="1"/>
    <s v="Nov"/>
    <s v="Q4"/>
    <s v="Adult"/>
    <s v="High"/>
    <s v="North-East - Salaried"/>
  </r>
  <r>
    <x v="927"/>
    <s v="Charles Murty"/>
    <n v="53"/>
    <x v="0"/>
    <x v="2"/>
    <x v="0"/>
    <x v="4"/>
    <x v="1"/>
    <x v="1"/>
    <n v="0.38"/>
    <d v="2018-12-18T00:00:00"/>
    <x v="2"/>
    <x v="0"/>
    <x v="1"/>
    <s v="Dec"/>
    <s v="Q4"/>
    <s v="Senior"/>
    <s v="High"/>
    <s v="North-East - Student"/>
  </r>
  <r>
    <x v="928"/>
    <s v="Lajita Arora"/>
    <n v="62"/>
    <x v="0"/>
    <x v="0"/>
    <x v="1"/>
    <x v="1"/>
    <x v="1"/>
    <x v="0"/>
    <n v="0.48"/>
    <d v="2020-09-15T00:00:00"/>
    <x v="3"/>
    <x v="0"/>
    <x v="0"/>
    <s v="Sep"/>
    <s v="Q3"/>
    <s v="Senior"/>
    <s v="Very High"/>
    <s v="East - Salaried"/>
  </r>
  <r>
    <x v="929"/>
    <s v="Liam Mukherjee"/>
    <n v="50"/>
    <x v="1"/>
    <x v="2"/>
    <x v="3"/>
    <x v="1"/>
    <x v="0"/>
    <x v="0"/>
    <n v="0.2"/>
    <d v="2021-11-22T00:00:00"/>
    <x v="2"/>
    <x v="1"/>
    <x v="2"/>
    <s v="Nov"/>
    <s v="Q4"/>
    <s v="Adult"/>
    <s v="High"/>
    <s v="East - Retired"/>
  </r>
  <r>
    <x v="930"/>
    <s v="Dev Pau"/>
    <n v="57"/>
    <x v="0"/>
    <x v="0"/>
    <x v="0"/>
    <x v="0"/>
    <x v="1"/>
    <x v="1"/>
    <n v="0.35"/>
    <d v="2019-10-31T00:00:00"/>
    <x v="2"/>
    <x v="0"/>
    <x v="4"/>
    <s v="Oct"/>
    <s v="Q4"/>
    <s v="Senior"/>
    <s v="High"/>
    <s v="West - Student"/>
  </r>
  <r>
    <x v="931"/>
    <s v="Ridhi Karpe"/>
    <n v="54"/>
    <x v="1"/>
    <x v="1"/>
    <x v="3"/>
    <x v="4"/>
    <x v="0"/>
    <x v="0"/>
    <n v="0.62"/>
    <d v="2021-03-12T00:00:00"/>
    <x v="2"/>
    <x v="0"/>
    <x v="2"/>
    <s v="Mar"/>
    <s v="Q1"/>
    <s v="Senior"/>
    <s v="High"/>
    <s v="North-East - Retired"/>
  </r>
  <r>
    <x v="932"/>
    <s v="Pallavi Taneja"/>
    <n v="47"/>
    <x v="0"/>
    <x v="0"/>
    <x v="2"/>
    <x v="2"/>
    <x v="1"/>
    <x v="0"/>
    <n v="0.31"/>
    <d v="2022-02-06T00:00:00"/>
    <x v="2"/>
    <x v="0"/>
    <x v="3"/>
    <s v="Feb"/>
    <s v="Q1"/>
    <s v="Adult"/>
    <s v="Very High"/>
    <s v="North - Self-employed"/>
  </r>
  <r>
    <x v="933"/>
    <s v="Diya Sampath"/>
    <n v="68"/>
    <x v="0"/>
    <x v="1"/>
    <x v="0"/>
    <x v="2"/>
    <x v="0"/>
    <x v="1"/>
    <n v="0.46"/>
    <d v="2022-11-18T00:00:00"/>
    <x v="3"/>
    <x v="0"/>
    <x v="3"/>
    <s v="Nov"/>
    <s v="Q4"/>
    <s v="Senior"/>
    <s v="Low"/>
    <s v="North - Student"/>
  </r>
  <r>
    <x v="934"/>
    <s v="Idika Vyas"/>
    <n v="66"/>
    <x v="0"/>
    <x v="0"/>
    <x v="3"/>
    <x v="5"/>
    <x v="0"/>
    <x v="1"/>
    <n v="0.73"/>
    <d v="2022-09-14T00:00:00"/>
    <x v="3"/>
    <x v="2"/>
    <x v="3"/>
    <s v="Sep"/>
    <s v="Q3"/>
    <s v="Senior"/>
    <s v="Low"/>
    <s v="Central - Retired"/>
  </r>
  <r>
    <x v="935"/>
    <s v="Praneel Kumer"/>
    <n v="65"/>
    <x v="0"/>
    <x v="0"/>
    <x v="3"/>
    <x v="2"/>
    <x v="1"/>
    <x v="0"/>
    <n v="0.33"/>
    <d v="2018-02-11T00:00:00"/>
    <x v="3"/>
    <x v="0"/>
    <x v="1"/>
    <s v="Feb"/>
    <s v="Q1"/>
    <s v="Senior"/>
    <s v="Very High"/>
    <s v="North - Retired"/>
  </r>
  <r>
    <x v="936"/>
    <s v="Falan Kadakia"/>
    <n v="57"/>
    <x v="0"/>
    <x v="2"/>
    <x v="2"/>
    <x v="3"/>
    <x v="0"/>
    <x v="0"/>
    <n v="0.23"/>
    <d v="2019-08-17T00:00:00"/>
    <x v="2"/>
    <x v="1"/>
    <x v="4"/>
    <s v="Aug"/>
    <s v="Q3"/>
    <s v="Senior"/>
    <s v="High"/>
    <s v="South - Self-employed"/>
  </r>
  <r>
    <x v="937"/>
    <s v="Eta Mohanty"/>
    <n v="65"/>
    <x v="1"/>
    <x v="2"/>
    <x v="0"/>
    <x v="2"/>
    <x v="0"/>
    <x v="1"/>
    <n v="0.61"/>
    <d v="2019-11-09T00:00:00"/>
    <x v="3"/>
    <x v="0"/>
    <x v="4"/>
    <s v="Nov"/>
    <s v="Q4"/>
    <s v="Senior"/>
    <s v="Low"/>
    <s v="North - Student"/>
  </r>
  <r>
    <x v="938"/>
    <s v="Aishani Pau"/>
    <n v="31"/>
    <x v="0"/>
    <x v="1"/>
    <x v="3"/>
    <x v="1"/>
    <x v="1"/>
    <x v="0"/>
    <n v="0.43"/>
    <d v="2020-09-14T00:00:00"/>
    <x v="1"/>
    <x v="0"/>
    <x v="0"/>
    <s v="Sep"/>
    <s v="Q3"/>
    <s v="Adult"/>
    <s v="Very High"/>
    <s v="East - Retired"/>
  </r>
  <r>
    <x v="939"/>
    <s v="Gunbir Nagarajan"/>
    <n v="18"/>
    <x v="0"/>
    <x v="0"/>
    <x v="1"/>
    <x v="1"/>
    <x v="0"/>
    <x v="1"/>
    <n v="0.35"/>
    <d v="2022-07-19T00:00:00"/>
    <x v="0"/>
    <x v="0"/>
    <x v="3"/>
    <s v="Jul"/>
    <s v="Q3"/>
    <s v="Young"/>
    <s v="Low"/>
    <s v="East - Salaried"/>
  </r>
  <r>
    <x v="940"/>
    <s v="Robert Naidu"/>
    <n v="67"/>
    <x v="1"/>
    <x v="2"/>
    <x v="0"/>
    <x v="3"/>
    <x v="1"/>
    <x v="1"/>
    <n v="0.31"/>
    <d v="2020-03-19T00:00:00"/>
    <x v="3"/>
    <x v="0"/>
    <x v="0"/>
    <s v="Mar"/>
    <s v="Q1"/>
    <s v="Senior"/>
    <s v="High"/>
    <s v="South - Student"/>
  </r>
  <r>
    <x v="941"/>
    <s v="Aishani Sharma"/>
    <n v="62"/>
    <x v="0"/>
    <x v="2"/>
    <x v="1"/>
    <x v="2"/>
    <x v="0"/>
    <x v="1"/>
    <n v="0.69"/>
    <d v="2021-08-27T00:00:00"/>
    <x v="3"/>
    <x v="0"/>
    <x v="2"/>
    <s v="Aug"/>
    <s v="Q3"/>
    <s v="Senior"/>
    <s v="Low"/>
    <s v="North - Salaried"/>
  </r>
  <r>
    <x v="942"/>
    <s v="Abhimanyu Prasad"/>
    <n v="65"/>
    <x v="1"/>
    <x v="1"/>
    <x v="1"/>
    <x v="1"/>
    <x v="1"/>
    <x v="1"/>
    <n v="0.98"/>
    <d v="2018-06-20T00:00:00"/>
    <x v="3"/>
    <x v="2"/>
    <x v="1"/>
    <s v="Jun"/>
    <s v="Q2"/>
    <s v="Senior"/>
    <s v="High"/>
    <s v="East - Salaried"/>
  </r>
  <r>
    <x v="943"/>
    <s v="Chandran Grewal"/>
    <n v="19"/>
    <x v="1"/>
    <x v="1"/>
    <x v="2"/>
    <x v="5"/>
    <x v="0"/>
    <x v="0"/>
    <n v="0.1"/>
    <d v="2022-02-05T00:00:00"/>
    <x v="0"/>
    <x v="1"/>
    <x v="3"/>
    <s v="Feb"/>
    <s v="Q1"/>
    <s v="Young"/>
    <s v="High"/>
    <s v="Central - Self-employed"/>
  </r>
  <r>
    <x v="944"/>
    <s v="Vanya Som"/>
    <n v="30"/>
    <x v="1"/>
    <x v="1"/>
    <x v="0"/>
    <x v="4"/>
    <x v="1"/>
    <x v="0"/>
    <n v="0.37"/>
    <d v="2023-01-25T00:00:00"/>
    <x v="0"/>
    <x v="0"/>
    <x v="5"/>
    <s v="Jan"/>
    <s v="Q1"/>
    <s v="Adult"/>
    <s v="Very High"/>
    <s v="North-East - Student"/>
  </r>
  <r>
    <x v="945"/>
    <s v="Alka Konda"/>
    <n v="59"/>
    <x v="0"/>
    <x v="2"/>
    <x v="2"/>
    <x v="4"/>
    <x v="0"/>
    <x v="1"/>
    <n v="0.38"/>
    <d v="2020-06-10T00:00:00"/>
    <x v="2"/>
    <x v="0"/>
    <x v="0"/>
    <s v="Jun"/>
    <s v="Q2"/>
    <s v="Senior"/>
    <s v="Low"/>
    <s v="North-East - Self-employed"/>
  </r>
  <r>
    <x v="946"/>
    <s v="Atharv Parsa"/>
    <n v="60"/>
    <x v="1"/>
    <x v="0"/>
    <x v="2"/>
    <x v="4"/>
    <x v="1"/>
    <x v="1"/>
    <n v="0.97"/>
    <d v="2023-02-28T00:00:00"/>
    <x v="2"/>
    <x v="2"/>
    <x v="5"/>
    <s v="Feb"/>
    <s v="Q1"/>
    <s v="Senior"/>
    <s v="High"/>
    <s v="North-East - Self-employed"/>
  </r>
  <r>
    <x v="947"/>
    <s v="Vrinda Khurana"/>
    <n v="56"/>
    <x v="1"/>
    <x v="0"/>
    <x v="1"/>
    <x v="2"/>
    <x v="0"/>
    <x v="0"/>
    <n v="0.54"/>
    <d v="2019-07-10T00:00:00"/>
    <x v="2"/>
    <x v="0"/>
    <x v="4"/>
    <s v="Jul"/>
    <s v="Q3"/>
    <s v="Senior"/>
    <s v="High"/>
    <s v="North - Salaried"/>
  </r>
  <r>
    <x v="948"/>
    <s v="Ranveer Dhawan"/>
    <n v="69"/>
    <x v="1"/>
    <x v="1"/>
    <x v="1"/>
    <x v="3"/>
    <x v="0"/>
    <x v="0"/>
    <n v="0.75"/>
    <d v="2021-03-15T00:00:00"/>
    <x v="3"/>
    <x v="2"/>
    <x v="2"/>
    <s v="Mar"/>
    <s v="Q1"/>
    <s v="Senior"/>
    <s v="High"/>
    <s v="South - Salaried"/>
  </r>
  <r>
    <x v="949"/>
    <s v="Nidhi Mann"/>
    <n v="26"/>
    <x v="0"/>
    <x v="0"/>
    <x v="0"/>
    <x v="5"/>
    <x v="0"/>
    <x v="0"/>
    <n v="0.2"/>
    <d v="2023-11-21T00:00:00"/>
    <x v="0"/>
    <x v="1"/>
    <x v="5"/>
    <s v="Nov"/>
    <s v="Q4"/>
    <s v="Young"/>
    <s v="High"/>
    <s v="Central - Student"/>
  </r>
  <r>
    <x v="950"/>
    <s v="Ekanta Khatri"/>
    <n v="48"/>
    <x v="0"/>
    <x v="1"/>
    <x v="2"/>
    <x v="4"/>
    <x v="0"/>
    <x v="1"/>
    <n v="0.48"/>
    <d v="2023-01-30T00:00:00"/>
    <x v="2"/>
    <x v="0"/>
    <x v="5"/>
    <s v="Jan"/>
    <s v="Q1"/>
    <s v="Adult"/>
    <s v="Low"/>
    <s v="North-East - Self-employed"/>
  </r>
  <r>
    <x v="951"/>
    <s v="Megha Sharma"/>
    <n v="22"/>
    <x v="1"/>
    <x v="0"/>
    <x v="0"/>
    <x v="0"/>
    <x v="0"/>
    <x v="1"/>
    <n v="0.55000000000000004"/>
    <d v="2021-09-22T00:00:00"/>
    <x v="0"/>
    <x v="0"/>
    <x v="2"/>
    <s v="Sep"/>
    <s v="Q3"/>
    <s v="Young"/>
    <s v="Low"/>
    <s v="West - Student"/>
  </r>
  <r>
    <x v="952"/>
    <s v="Rachit Kuruvilla"/>
    <n v="20"/>
    <x v="0"/>
    <x v="0"/>
    <x v="3"/>
    <x v="0"/>
    <x v="1"/>
    <x v="0"/>
    <n v="0.62"/>
    <d v="2019-09-20T00:00:00"/>
    <x v="0"/>
    <x v="0"/>
    <x v="4"/>
    <s v="Sep"/>
    <s v="Q3"/>
    <s v="Young"/>
    <s v="Very High"/>
    <s v="West - Retired"/>
  </r>
  <r>
    <x v="953"/>
    <s v="Reva Solanki"/>
    <n v="57"/>
    <x v="0"/>
    <x v="1"/>
    <x v="2"/>
    <x v="1"/>
    <x v="0"/>
    <x v="1"/>
    <n v="0.35"/>
    <d v="2021-01-06T00:00:00"/>
    <x v="2"/>
    <x v="0"/>
    <x v="2"/>
    <s v="Jan"/>
    <s v="Q1"/>
    <s v="Senior"/>
    <s v="Low"/>
    <s v="East - Self-employed"/>
  </r>
  <r>
    <x v="954"/>
    <s v="Lohit Batra"/>
    <n v="18"/>
    <x v="0"/>
    <x v="1"/>
    <x v="0"/>
    <x v="2"/>
    <x v="0"/>
    <x v="0"/>
    <n v="0.54"/>
    <d v="2020-12-13T00:00:00"/>
    <x v="0"/>
    <x v="0"/>
    <x v="0"/>
    <s v="Dec"/>
    <s v="Q4"/>
    <s v="Young"/>
    <s v="High"/>
    <s v="North - Student"/>
  </r>
  <r>
    <x v="955"/>
    <s v="William Gopal"/>
    <n v="62"/>
    <x v="1"/>
    <x v="0"/>
    <x v="1"/>
    <x v="0"/>
    <x v="1"/>
    <x v="0"/>
    <n v="0.34"/>
    <d v="2019-08-01T00:00:00"/>
    <x v="3"/>
    <x v="0"/>
    <x v="4"/>
    <s v="Aug"/>
    <s v="Q3"/>
    <s v="Senior"/>
    <s v="Very High"/>
    <s v="West - Salaried"/>
  </r>
  <r>
    <x v="956"/>
    <s v="Girindra Krishnamurthy"/>
    <n v="27"/>
    <x v="0"/>
    <x v="2"/>
    <x v="2"/>
    <x v="5"/>
    <x v="0"/>
    <x v="0"/>
    <n v="0.54"/>
    <d v="2021-06-07T00:00:00"/>
    <x v="0"/>
    <x v="0"/>
    <x v="2"/>
    <s v="Jun"/>
    <s v="Q2"/>
    <s v="Young"/>
    <s v="High"/>
    <s v="Central - Self-employed"/>
  </r>
  <r>
    <x v="957"/>
    <s v="Dhruv Sampath"/>
    <n v="21"/>
    <x v="0"/>
    <x v="2"/>
    <x v="3"/>
    <x v="4"/>
    <x v="0"/>
    <x v="0"/>
    <n v="0.74"/>
    <d v="2018-08-23T00:00:00"/>
    <x v="0"/>
    <x v="2"/>
    <x v="1"/>
    <s v="Aug"/>
    <s v="Q3"/>
    <s v="Young"/>
    <s v="High"/>
    <s v="North-East - Retired"/>
  </r>
  <r>
    <x v="958"/>
    <s v="Vedant Gill"/>
    <n v="61"/>
    <x v="0"/>
    <x v="2"/>
    <x v="2"/>
    <x v="4"/>
    <x v="1"/>
    <x v="1"/>
    <n v="0.82"/>
    <d v="2022-03-23T00:00:00"/>
    <x v="3"/>
    <x v="2"/>
    <x v="3"/>
    <s v="Mar"/>
    <s v="Q1"/>
    <s v="Senior"/>
    <s v="High"/>
    <s v="North-East - Self-employed"/>
  </r>
  <r>
    <x v="959"/>
    <s v="Chaaya Devi"/>
    <n v="27"/>
    <x v="1"/>
    <x v="1"/>
    <x v="0"/>
    <x v="3"/>
    <x v="0"/>
    <x v="0"/>
    <n v="0.62"/>
    <d v="2022-04-20T00:00:00"/>
    <x v="0"/>
    <x v="0"/>
    <x v="3"/>
    <s v="Apr"/>
    <s v="Q2"/>
    <s v="Young"/>
    <s v="High"/>
    <s v="South - Student"/>
  </r>
  <r>
    <x v="960"/>
    <s v="Manthan Andra"/>
    <n v="33"/>
    <x v="0"/>
    <x v="1"/>
    <x v="0"/>
    <x v="2"/>
    <x v="1"/>
    <x v="0"/>
    <n v="0.4"/>
    <d v="2018-01-15T00:00:00"/>
    <x v="1"/>
    <x v="0"/>
    <x v="1"/>
    <s v="Jan"/>
    <s v="Q1"/>
    <s v="Adult"/>
    <s v="Very High"/>
    <s v="North - Student"/>
  </r>
  <r>
    <x v="961"/>
    <s v="Falguni Luthra"/>
    <n v="62"/>
    <x v="0"/>
    <x v="0"/>
    <x v="0"/>
    <x v="5"/>
    <x v="1"/>
    <x v="1"/>
    <n v="0.4"/>
    <d v="2023-09-02T00:00:00"/>
    <x v="3"/>
    <x v="0"/>
    <x v="5"/>
    <s v="Sep"/>
    <s v="Q3"/>
    <s v="Senior"/>
    <s v="High"/>
    <s v="Central - Student"/>
  </r>
  <r>
    <x v="962"/>
    <s v="Jonathan Ramachandran"/>
    <n v="28"/>
    <x v="1"/>
    <x v="2"/>
    <x v="3"/>
    <x v="3"/>
    <x v="0"/>
    <x v="0"/>
    <n v="0.56000000000000005"/>
    <d v="2019-04-08T00:00:00"/>
    <x v="0"/>
    <x v="0"/>
    <x v="4"/>
    <s v="Apr"/>
    <s v="Q2"/>
    <s v="Young"/>
    <s v="High"/>
    <s v="South - Retired"/>
  </r>
  <r>
    <x v="963"/>
    <s v="Saanvi Naik"/>
    <n v="35"/>
    <x v="0"/>
    <x v="0"/>
    <x v="0"/>
    <x v="4"/>
    <x v="0"/>
    <x v="1"/>
    <n v="0.52"/>
    <d v="2022-09-03T00:00:00"/>
    <x v="1"/>
    <x v="0"/>
    <x v="3"/>
    <s v="Sep"/>
    <s v="Q3"/>
    <s v="Adult"/>
    <s v="Low"/>
    <s v="North-East - Student"/>
  </r>
  <r>
    <x v="964"/>
    <s v="Tanay Dubey"/>
    <n v="35"/>
    <x v="0"/>
    <x v="1"/>
    <x v="1"/>
    <x v="2"/>
    <x v="0"/>
    <x v="1"/>
    <n v="0.23"/>
    <d v="2023-03-11T00:00:00"/>
    <x v="1"/>
    <x v="1"/>
    <x v="5"/>
    <s v="Mar"/>
    <s v="Q1"/>
    <s v="Adult"/>
    <s v="Low"/>
    <s v="North - Salaried"/>
  </r>
  <r>
    <x v="965"/>
    <s v="Rachana Dora"/>
    <n v="29"/>
    <x v="0"/>
    <x v="1"/>
    <x v="1"/>
    <x v="4"/>
    <x v="1"/>
    <x v="0"/>
    <n v="0.62"/>
    <d v="2019-05-19T00:00:00"/>
    <x v="0"/>
    <x v="0"/>
    <x v="4"/>
    <s v="May"/>
    <s v="Q2"/>
    <s v="Young"/>
    <s v="Very High"/>
    <s v="North-East - Salaried"/>
  </r>
  <r>
    <x v="966"/>
    <s v="Waida Sengupta"/>
    <n v="45"/>
    <x v="0"/>
    <x v="2"/>
    <x v="3"/>
    <x v="5"/>
    <x v="0"/>
    <x v="1"/>
    <n v="0.47"/>
    <d v="2022-05-07T00:00:00"/>
    <x v="1"/>
    <x v="0"/>
    <x v="3"/>
    <s v="May"/>
    <s v="Q2"/>
    <s v="Adult"/>
    <s v="Low"/>
    <s v="Central - Retired"/>
  </r>
  <r>
    <x v="967"/>
    <s v="Unni Kamdar"/>
    <n v="68"/>
    <x v="0"/>
    <x v="0"/>
    <x v="1"/>
    <x v="3"/>
    <x v="1"/>
    <x v="0"/>
    <n v="0.86"/>
    <d v="2019-06-29T00:00:00"/>
    <x v="3"/>
    <x v="2"/>
    <x v="4"/>
    <s v="Jun"/>
    <s v="Q2"/>
    <s v="Senior"/>
    <s v="Very High"/>
    <s v="South - Salaried"/>
  </r>
  <r>
    <x v="968"/>
    <s v="Faqid Sachdeva"/>
    <n v="35"/>
    <x v="0"/>
    <x v="2"/>
    <x v="1"/>
    <x v="0"/>
    <x v="1"/>
    <x v="1"/>
    <n v="0.51"/>
    <d v="2019-12-29T00:00:00"/>
    <x v="1"/>
    <x v="0"/>
    <x v="4"/>
    <s v="Dec"/>
    <s v="Q4"/>
    <s v="Adult"/>
    <s v="High"/>
    <s v="West - Salaried"/>
  </r>
  <r>
    <x v="969"/>
    <s v="Mitali Ratti"/>
    <n v="59"/>
    <x v="0"/>
    <x v="0"/>
    <x v="0"/>
    <x v="1"/>
    <x v="1"/>
    <x v="0"/>
    <n v="0.67"/>
    <d v="2023-12-24T00:00:00"/>
    <x v="2"/>
    <x v="0"/>
    <x v="5"/>
    <s v="Dec"/>
    <s v="Q4"/>
    <s v="Senior"/>
    <s v="Very High"/>
    <s v="East - Student"/>
  </r>
  <r>
    <x v="970"/>
    <s v="Vanya Bala"/>
    <n v="32"/>
    <x v="1"/>
    <x v="1"/>
    <x v="2"/>
    <x v="2"/>
    <x v="0"/>
    <x v="0"/>
    <n v="0.57999999999999996"/>
    <d v="2018-04-10T00:00:00"/>
    <x v="1"/>
    <x v="0"/>
    <x v="1"/>
    <s v="Apr"/>
    <s v="Q2"/>
    <s v="Adult"/>
    <s v="High"/>
    <s v="North - Self-employed"/>
  </r>
  <r>
    <x v="971"/>
    <s v="Aarush Johal"/>
    <n v="59"/>
    <x v="1"/>
    <x v="0"/>
    <x v="0"/>
    <x v="1"/>
    <x v="1"/>
    <x v="1"/>
    <n v="0.39"/>
    <d v="2019-11-17T00:00:00"/>
    <x v="2"/>
    <x v="0"/>
    <x v="4"/>
    <s v="Nov"/>
    <s v="Q4"/>
    <s v="Senior"/>
    <s v="High"/>
    <s v="East - Student"/>
  </r>
  <r>
    <x v="972"/>
    <s v="Charles Khanna"/>
    <n v="60"/>
    <x v="1"/>
    <x v="0"/>
    <x v="1"/>
    <x v="2"/>
    <x v="0"/>
    <x v="0"/>
    <n v="0.6"/>
    <d v="2019-02-01T00:00:00"/>
    <x v="2"/>
    <x v="0"/>
    <x v="4"/>
    <s v="Feb"/>
    <s v="Q1"/>
    <s v="Senior"/>
    <s v="High"/>
    <s v="North - Salaried"/>
  </r>
  <r>
    <x v="973"/>
    <s v="Bakhshi Nayak"/>
    <n v="52"/>
    <x v="0"/>
    <x v="0"/>
    <x v="1"/>
    <x v="0"/>
    <x v="1"/>
    <x v="1"/>
    <n v="0.28000000000000003"/>
    <d v="2018-09-21T00:00:00"/>
    <x v="2"/>
    <x v="1"/>
    <x v="1"/>
    <s v="Sep"/>
    <s v="Q3"/>
    <s v="Senior"/>
    <s v="High"/>
    <s v="West - Salaried"/>
  </r>
  <r>
    <x v="974"/>
    <s v="Omkaar Thakur"/>
    <n v="62"/>
    <x v="0"/>
    <x v="2"/>
    <x v="2"/>
    <x v="3"/>
    <x v="1"/>
    <x v="0"/>
    <n v="0.27"/>
    <d v="2018-11-04T00:00:00"/>
    <x v="3"/>
    <x v="1"/>
    <x v="1"/>
    <s v="Nov"/>
    <s v="Q4"/>
    <s v="Senior"/>
    <s v="Very High"/>
    <s v="South - Self-employed"/>
  </r>
  <r>
    <x v="975"/>
    <s v="Krishna Mani"/>
    <n v="60"/>
    <x v="0"/>
    <x v="1"/>
    <x v="0"/>
    <x v="2"/>
    <x v="1"/>
    <x v="0"/>
    <n v="0.53"/>
    <d v="2019-01-08T00:00:00"/>
    <x v="2"/>
    <x v="0"/>
    <x v="4"/>
    <s v="Jan"/>
    <s v="Q1"/>
    <s v="Senior"/>
    <s v="Very High"/>
    <s v="North - Student"/>
  </r>
  <r>
    <x v="976"/>
    <s v="Baljiwan Solanki"/>
    <n v="51"/>
    <x v="1"/>
    <x v="0"/>
    <x v="1"/>
    <x v="1"/>
    <x v="0"/>
    <x v="1"/>
    <n v="0.67"/>
    <d v="2018-12-04T00:00:00"/>
    <x v="2"/>
    <x v="0"/>
    <x v="1"/>
    <s v="Dec"/>
    <s v="Q4"/>
    <s v="Senior"/>
    <s v="Low"/>
    <s v="East - Salaried"/>
  </r>
  <r>
    <x v="977"/>
    <s v="Anamika Badami"/>
    <n v="52"/>
    <x v="0"/>
    <x v="0"/>
    <x v="3"/>
    <x v="1"/>
    <x v="1"/>
    <x v="0"/>
    <n v="0.28000000000000003"/>
    <d v="2022-11-13T00:00:00"/>
    <x v="2"/>
    <x v="1"/>
    <x v="3"/>
    <s v="Nov"/>
    <s v="Q4"/>
    <s v="Senior"/>
    <s v="Very High"/>
    <s v="East - Retired"/>
  </r>
  <r>
    <x v="978"/>
    <s v="Priya Setty"/>
    <n v="45"/>
    <x v="0"/>
    <x v="0"/>
    <x v="0"/>
    <x v="4"/>
    <x v="1"/>
    <x v="1"/>
    <n v="0.49"/>
    <d v="2019-06-25T00:00:00"/>
    <x v="1"/>
    <x v="0"/>
    <x v="4"/>
    <s v="Jun"/>
    <s v="Q2"/>
    <s v="Adult"/>
    <s v="High"/>
    <s v="North-East - Student"/>
  </r>
  <r>
    <x v="979"/>
    <s v="Lakshit Prabhu"/>
    <n v="39"/>
    <x v="1"/>
    <x v="0"/>
    <x v="1"/>
    <x v="1"/>
    <x v="0"/>
    <x v="1"/>
    <n v="0.51"/>
    <d v="2019-05-05T00:00:00"/>
    <x v="1"/>
    <x v="0"/>
    <x v="4"/>
    <s v="May"/>
    <s v="Q2"/>
    <s v="Adult"/>
    <s v="Low"/>
    <s v="East - Salaried"/>
  </r>
  <r>
    <x v="980"/>
    <s v="Balveer Konda"/>
    <n v="24"/>
    <x v="0"/>
    <x v="0"/>
    <x v="2"/>
    <x v="2"/>
    <x v="0"/>
    <x v="1"/>
    <n v="0.45"/>
    <d v="2020-04-11T00:00:00"/>
    <x v="0"/>
    <x v="0"/>
    <x v="0"/>
    <s v="Apr"/>
    <s v="Q2"/>
    <s v="Young"/>
    <s v="Low"/>
    <s v="North - Self-employed"/>
  </r>
  <r>
    <x v="981"/>
    <s v="Amara Murty"/>
    <n v="53"/>
    <x v="1"/>
    <x v="2"/>
    <x v="3"/>
    <x v="3"/>
    <x v="1"/>
    <x v="0"/>
    <n v="0.42"/>
    <d v="2021-08-04T00:00:00"/>
    <x v="2"/>
    <x v="0"/>
    <x v="2"/>
    <s v="Aug"/>
    <s v="Q3"/>
    <s v="Senior"/>
    <s v="Very High"/>
    <s v="South - Retired"/>
  </r>
  <r>
    <x v="982"/>
    <s v="Sathvik Chawla"/>
    <n v="63"/>
    <x v="0"/>
    <x v="1"/>
    <x v="1"/>
    <x v="2"/>
    <x v="0"/>
    <x v="0"/>
    <n v="0.85"/>
    <d v="2022-05-25T00:00:00"/>
    <x v="3"/>
    <x v="2"/>
    <x v="3"/>
    <s v="May"/>
    <s v="Q2"/>
    <s v="Senior"/>
    <s v="High"/>
    <s v="North - Salaried"/>
  </r>
  <r>
    <x v="983"/>
    <s v="Vedhika Mall"/>
    <n v="67"/>
    <x v="0"/>
    <x v="1"/>
    <x v="0"/>
    <x v="0"/>
    <x v="0"/>
    <x v="0"/>
    <n v="0.82"/>
    <d v="2019-01-14T00:00:00"/>
    <x v="3"/>
    <x v="2"/>
    <x v="4"/>
    <s v="Jan"/>
    <s v="Q1"/>
    <s v="Senior"/>
    <s v="High"/>
    <s v="West - Student"/>
  </r>
  <r>
    <x v="984"/>
    <s v="Aarini Toor"/>
    <n v="33"/>
    <x v="1"/>
    <x v="2"/>
    <x v="2"/>
    <x v="4"/>
    <x v="1"/>
    <x v="1"/>
    <n v="0.25"/>
    <d v="2022-05-22T00:00:00"/>
    <x v="1"/>
    <x v="1"/>
    <x v="3"/>
    <s v="May"/>
    <s v="Q2"/>
    <s v="Adult"/>
    <s v="High"/>
    <s v="North-East - Self-employed"/>
  </r>
  <r>
    <x v="985"/>
    <s v="Bakhshi Murty"/>
    <n v="56"/>
    <x v="1"/>
    <x v="0"/>
    <x v="1"/>
    <x v="3"/>
    <x v="0"/>
    <x v="1"/>
    <n v="0.46"/>
    <d v="2022-01-17T00:00:00"/>
    <x v="2"/>
    <x v="0"/>
    <x v="3"/>
    <s v="Jan"/>
    <s v="Q1"/>
    <s v="Senior"/>
    <s v="Low"/>
    <s v="South - Salaried"/>
  </r>
  <r>
    <x v="986"/>
    <s v="Luke Saha"/>
    <n v="28"/>
    <x v="0"/>
    <x v="1"/>
    <x v="1"/>
    <x v="3"/>
    <x v="1"/>
    <x v="0"/>
    <n v="0.62"/>
    <d v="2018-01-09T00:00:00"/>
    <x v="0"/>
    <x v="0"/>
    <x v="1"/>
    <s v="Jan"/>
    <s v="Q1"/>
    <s v="Young"/>
    <s v="Very High"/>
    <s v="South - Salaried"/>
  </r>
  <r>
    <x v="987"/>
    <s v="Chaman Kalita"/>
    <n v="25"/>
    <x v="0"/>
    <x v="2"/>
    <x v="3"/>
    <x v="2"/>
    <x v="1"/>
    <x v="1"/>
    <n v="0.75"/>
    <d v="2018-03-06T00:00:00"/>
    <x v="0"/>
    <x v="2"/>
    <x v="1"/>
    <s v="Mar"/>
    <s v="Q1"/>
    <s v="Young"/>
    <s v="High"/>
    <s v="North - Retired"/>
  </r>
  <r>
    <x v="988"/>
    <s v="Karan Kapadia"/>
    <n v="20"/>
    <x v="0"/>
    <x v="2"/>
    <x v="3"/>
    <x v="2"/>
    <x v="0"/>
    <x v="1"/>
    <n v="0.56000000000000005"/>
    <d v="2019-05-07T00:00:00"/>
    <x v="0"/>
    <x v="0"/>
    <x v="4"/>
    <s v="May"/>
    <s v="Q2"/>
    <s v="Young"/>
    <s v="Low"/>
    <s v="North - Retired"/>
  </r>
  <r>
    <x v="989"/>
    <s v="Lakshmi Chaudhuri"/>
    <n v="47"/>
    <x v="0"/>
    <x v="2"/>
    <x v="0"/>
    <x v="0"/>
    <x v="0"/>
    <x v="0"/>
    <n v="0.39"/>
    <d v="2021-02-23T00:00:00"/>
    <x v="2"/>
    <x v="0"/>
    <x v="2"/>
    <s v="Feb"/>
    <s v="Q1"/>
    <s v="Adult"/>
    <s v="High"/>
    <s v="West - Student"/>
  </r>
  <r>
    <x v="990"/>
    <s v="Harinakshi Kari"/>
    <n v="27"/>
    <x v="0"/>
    <x v="0"/>
    <x v="1"/>
    <x v="1"/>
    <x v="0"/>
    <x v="0"/>
    <n v="0.25"/>
    <d v="2018-05-03T00:00:00"/>
    <x v="0"/>
    <x v="1"/>
    <x v="1"/>
    <s v="May"/>
    <s v="Q2"/>
    <s v="Young"/>
    <s v="High"/>
    <s v="East - Salaried"/>
  </r>
  <r>
    <x v="991"/>
    <s v="Amol Agrawal"/>
    <n v="32"/>
    <x v="0"/>
    <x v="2"/>
    <x v="3"/>
    <x v="3"/>
    <x v="0"/>
    <x v="1"/>
    <n v="0.43"/>
    <d v="2022-03-23T00:00:00"/>
    <x v="1"/>
    <x v="0"/>
    <x v="3"/>
    <s v="Mar"/>
    <s v="Q1"/>
    <s v="Adult"/>
    <s v="Low"/>
    <s v="South - Retired"/>
  </r>
  <r>
    <x v="992"/>
    <s v="Qabil Seshadri"/>
    <n v="30"/>
    <x v="1"/>
    <x v="0"/>
    <x v="3"/>
    <x v="1"/>
    <x v="1"/>
    <x v="1"/>
    <n v="0.31"/>
    <d v="2019-04-17T00:00:00"/>
    <x v="0"/>
    <x v="0"/>
    <x v="4"/>
    <s v="Apr"/>
    <s v="Q2"/>
    <s v="Adult"/>
    <s v="High"/>
    <s v="East - Retired"/>
  </r>
  <r>
    <x v="993"/>
    <s v="Nihal Devan"/>
    <n v="46"/>
    <x v="1"/>
    <x v="2"/>
    <x v="3"/>
    <x v="3"/>
    <x v="1"/>
    <x v="1"/>
    <n v="0.78"/>
    <d v="2022-01-28T00:00:00"/>
    <x v="2"/>
    <x v="2"/>
    <x v="3"/>
    <s v="Jan"/>
    <s v="Q1"/>
    <s v="Adult"/>
    <s v="High"/>
    <s v="South - Retired"/>
  </r>
  <r>
    <x v="994"/>
    <s v="Orinder Edwin"/>
    <n v="26"/>
    <x v="0"/>
    <x v="2"/>
    <x v="3"/>
    <x v="1"/>
    <x v="0"/>
    <x v="0"/>
    <n v="0.85"/>
    <d v="2021-07-14T00:00:00"/>
    <x v="0"/>
    <x v="2"/>
    <x v="2"/>
    <s v="Jul"/>
    <s v="Q3"/>
    <s v="Young"/>
    <s v="High"/>
    <s v="East - Retired"/>
  </r>
  <r>
    <x v="995"/>
    <s v="Mitali Shenoy"/>
    <n v="56"/>
    <x v="1"/>
    <x v="2"/>
    <x v="2"/>
    <x v="0"/>
    <x v="1"/>
    <x v="1"/>
    <n v="0.5"/>
    <d v="2020-04-12T00:00:00"/>
    <x v="2"/>
    <x v="0"/>
    <x v="0"/>
    <s v="Apr"/>
    <s v="Q2"/>
    <s v="Senior"/>
    <s v="High"/>
    <s v="West - Self-employed"/>
  </r>
  <r>
    <x v="996"/>
    <s v="Kabir Jayaraman"/>
    <n v="29"/>
    <x v="1"/>
    <x v="0"/>
    <x v="1"/>
    <x v="1"/>
    <x v="0"/>
    <x v="1"/>
    <n v="0.36"/>
    <d v="2022-12-16T00:00:00"/>
    <x v="0"/>
    <x v="0"/>
    <x v="3"/>
    <s v="Dec"/>
    <s v="Q4"/>
    <s v="Young"/>
    <s v="Low"/>
    <s v="East - Salaried"/>
  </r>
  <r>
    <x v="997"/>
    <s v="Vasudha Bhardwaj"/>
    <n v="19"/>
    <x v="0"/>
    <x v="0"/>
    <x v="2"/>
    <x v="0"/>
    <x v="1"/>
    <x v="1"/>
    <n v="0.57999999999999996"/>
    <d v="2021-04-25T00:00:00"/>
    <x v="0"/>
    <x v="0"/>
    <x v="2"/>
    <s v="Apr"/>
    <s v="Q2"/>
    <s v="Young"/>
    <s v="High"/>
    <s v="West - Self-employed"/>
  </r>
  <r>
    <x v="998"/>
    <s v="Bina Bir"/>
    <n v="33"/>
    <x v="0"/>
    <x v="2"/>
    <x v="1"/>
    <x v="0"/>
    <x v="1"/>
    <x v="0"/>
    <n v="0.51"/>
    <d v="2019-12-12T00:00:00"/>
    <x v="1"/>
    <x v="0"/>
    <x v="4"/>
    <s v="Dec"/>
    <s v="Q4"/>
    <s v="Adult"/>
    <s v="Very High"/>
    <s v="West - Salaried"/>
  </r>
  <r>
    <x v="999"/>
    <s v="Chandran Rajagopalan"/>
    <n v="52"/>
    <x v="1"/>
    <x v="0"/>
    <x v="3"/>
    <x v="1"/>
    <x v="1"/>
    <x v="0"/>
    <n v="0.31"/>
    <d v="2020-02-10T00:00:00"/>
    <x v="2"/>
    <x v="0"/>
    <x v="0"/>
    <s v="Feb"/>
    <s v="Q1"/>
    <s v="Senior"/>
    <s v="Very High"/>
    <s v="East - Retired"/>
  </r>
  <r>
    <x v="1000"/>
    <s v="Ryan Kumer"/>
    <n v="18"/>
    <x v="1"/>
    <x v="1"/>
    <x v="1"/>
    <x v="0"/>
    <x v="0"/>
    <x v="0"/>
    <n v="0.48"/>
    <d v="2020-02-04T00:00:00"/>
    <x v="0"/>
    <x v="0"/>
    <x v="0"/>
    <s v="Feb"/>
    <s v="Q1"/>
    <s v="Young"/>
    <s v="High"/>
    <s v="West - Salaried"/>
  </r>
  <r>
    <x v="1001"/>
    <s v="Sachi Luthra"/>
    <n v="20"/>
    <x v="0"/>
    <x v="1"/>
    <x v="2"/>
    <x v="3"/>
    <x v="0"/>
    <x v="0"/>
    <n v="0.47"/>
    <d v="2018-04-18T00:00:00"/>
    <x v="0"/>
    <x v="0"/>
    <x v="1"/>
    <s v="Apr"/>
    <s v="Q2"/>
    <s v="Young"/>
    <s v="High"/>
    <s v="South - Self-employed"/>
  </r>
  <r>
    <x v="1002"/>
    <s v="Reyansh Khurana"/>
    <n v="36"/>
    <x v="0"/>
    <x v="1"/>
    <x v="0"/>
    <x v="4"/>
    <x v="0"/>
    <x v="1"/>
    <n v="0.36"/>
    <d v="2019-03-23T00:00:00"/>
    <x v="1"/>
    <x v="0"/>
    <x v="4"/>
    <s v="Mar"/>
    <s v="Q1"/>
    <s v="Adult"/>
    <s v="Low"/>
    <s v="North-East - Student"/>
  </r>
  <r>
    <x v="1003"/>
    <s v="Sai Dube"/>
    <n v="40"/>
    <x v="0"/>
    <x v="0"/>
    <x v="0"/>
    <x v="1"/>
    <x v="0"/>
    <x v="1"/>
    <n v="0.32"/>
    <d v="2022-08-02T00:00:00"/>
    <x v="1"/>
    <x v="0"/>
    <x v="3"/>
    <s v="Aug"/>
    <s v="Q3"/>
    <s v="Adult"/>
    <s v="Low"/>
    <s v="East - Student"/>
  </r>
  <r>
    <x v="1004"/>
    <s v="Megha Dar"/>
    <n v="58"/>
    <x v="1"/>
    <x v="2"/>
    <x v="3"/>
    <x v="0"/>
    <x v="0"/>
    <x v="1"/>
    <n v="0.09"/>
    <d v="2019-11-26T00:00:00"/>
    <x v="2"/>
    <x v="1"/>
    <x v="4"/>
    <s v="Nov"/>
    <s v="Q4"/>
    <s v="Senior"/>
    <s v="Low"/>
    <s v="West - Retired"/>
  </r>
  <r>
    <x v="1005"/>
    <s v="Daniel Dhaliwal"/>
    <n v="61"/>
    <x v="1"/>
    <x v="0"/>
    <x v="3"/>
    <x v="1"/>
    <x v="1"/>
    <x v="0"/>
    <n v="0.35"/>
    <d v="2021-06-06T00:00:00"/>
    <x v="3"/>
    <x v="0"/>
    <x v="2"/>
    <s v="Jun"/>
    <s v="Q2"/>
    <s v="Senior"/>
    <s v="Very High"/>
    <s v="East - Retired"/>
  </r>
  <r>
    <x v="1006"/>
    <s v="Kevin Amble"/>
    <n v="45"/>
    <x v="1"/>
    <x v="0"/>
    <x v="1"/>
    <x v="3"/>
    <x v="0"/>
    <x v="1"/>
    <n v="0.68"/>
    <d v="2019-03-15T00:00:00"/>
    <x v="1"/>
    <x v="0"/>
    <x v="4"/>
    <s v="Mar"/>
    <s v="Q1"/>
    <s v="Adult"/>
    <s v="Low"/>
    <s v="South - Salaried"/>
  </r>
  <r>
    <x v="1007"/>
    <s v="Omya Naidu"/>
    <n v="30"/>
    <x v="1"/>
    <x v="0"/>
    <x v="2"/>
    <x v="1"/>
    <x v="0"/>
    <x v="0"/>
    <n v="0.23"/>
    <d v="2018-02-15T00:00:00"/>
    <x v="0"/>
    <x v="1"/>
    <x v="1"/>
    <s v="Feb"/>
    <s v="Q1"/>
    <s v="Adult"/>
    <s v="High"/>
    <s v="East - Self-employed"/>
  </r>
  <r>
    <x v="1008"/>
    <s v="Arunima Narayanan"/>
    <n v="45"/>
    <x v="0"/>
    <x v="2"/>
    <x v="2"/>
    <x v="5"/>
    <x v="1"/>
    <x v="0"/>
    <n v="0.74"/>
    <d v="2021-10-19T00:00:00"/>
    <x v="1"/>
    <x v="2"/>
    <x v="2"/>
    <s v="Oct"/>
    <s v="Q4"/>
    <s v="Adult"/>
    <s v="Very High"/>
    <s v="Central - Self-employed"/>
  </r>
  <r>
    <x v="1009"/>
    <s v="Mohini Naidu"/>
    <n v="50"/>
    <x v="0"/>
    <x v="0"/>
    <x v="0"/>
    <x v="0"/>
    <x v="1"/>
    <x v="0"/>
    <n v="0.17"/>
    <d v="2020-07-10T00:00:00"/>
    <x v="2"/>
    <x v="1"/>
    <x v="0"/>
    <s v="Jul"/>
    <s v="Q3"/>
    <s v="Adult"/>
    <s v="Very High"/>
    <s v="West - Student"/>
  </r>
  <r>
    <x v="1010"/>
    <s v="Jagrati Tak"/>
    <n v="24"/>
    <x v="0"/>
    <x v="0"/>
    <x v="3"/>
    <x v="2"/>
    <x v="1"/>
    <x v="1"/>
    <n v="0.32"/>
    <d v="2023-04-29T00:00:00"/>
    <x v="0"/>
    <x v="0"/>
    <x v="5"/>
    <s v="Apr"/>
    <s v="Q2"/>
    <s v="Young"/>
    <s v="High"/>
    <s v="North - Retired"/>
  </r>
  <r>
    <x v="1011"/>
    <s v="Harish Gera"/>
    <n v="54"/>
    <x v="1"/>
    <x v="2"/>
    <x v="2"/>
    <x v="4"/>
    <x v="1"/>
    <x v="0"/>
    <n v="0.66"/>
    <d v="2018-03-13T00:00:00"/>
    <x v="2"/>
    <x v="0"/>
    <x v="1"/>
    <s v="Mar"/>
    <s v="Q1"/>
    <s v="Senior"/>
    <s v="Very High"/>
    <s v="North-East - Self-employed"/>
  </r>
  <r>
    <x v="1012"/>
    <s v="Upma Sankar"/>
    <n v="20"/>
    <x v="1"/>
    <x v="0"/>
    <x v="0"/>
    <x v="2"/>
    <x v="0"/>
    <x v="0"/>
    <n v="0.68"/>
    <d v="2021-12-20T00:00:00"/>
    <x v="0"/>
    <x v="0"/>
    <x v="2"/>
    <s v="Dec"/>
    <s v="Q4"/>
    <s v="Young"/>
    <s v="High"/>
    <s v="North - Student"/>
  </r>
  <r>
    <x v="1013"/>
    <s v="Libni Viswanathan"/>
    <n v="31"/>
    <x v="0"/>
    <x v="2"/>
    <x v="2"/>
    <x v="5"/>
    <x v="0"/>
    <x v="1"/>
    <n v="0.59"/>
    <d v="2023-04-13T00:00:00"/>
    <x v="1"/>
    <x v="0"/>
    <x v="5"/>
    <s v="Apr"/>
    <s v="Q2"/>
    <s v="Adult"/>
    <s v="Low"/>
    <s v="Central - Self-employed"/>
  </r>
  <r>
    <x v="1014"/>
    <s v="Geetika Verma"/>
    <n v="65"/>
    <x v="0"/>
    <x v="1"/>
    <x v="3"/>
    <x v="3"/>
    <x v="1"/>
    <x v="1"/>
    <n v="0.39"/>
    <d v="2022-03-07T00:00:00"/>
    <x v="3"/>
    <x v="0"/>
    <x v="3"/>
    <s v="Mar"/>
    <s v="Q1"/>
    <s v="Senior"/>
    <s v="High"/>
    <s v="South - Retired"/>
  </r>
  <r>
    <x v="1015"/>
    <s v="Kevin Manne"/>
    <n v="23"/>
    <x v="1"/>
    <x v="2"/>
    <x v="0"/>
    <x v="5"/>
    <x v="0"/>
    <x v="1"/>
    <n v="0.49"/>
    <d v="2019-11-01T00:00:00"/>
    <x v="0"/>
    <x v="0"/>
    <x v="4"/>
    <s v="Nov"/>
    <s v="Q4"/>
    <s v="Young"/>
    <s v="Low"/>
    <s v="Central - Student"/>
  </r>
  <r>
    <x v="1016"/>
    <s v="Ishanvi Bora"/>
    <n v="69"/>
    <x v="1"/>
    <x v="0"/>
    <x v="0"/>
    <x v="3"/>
    <x v="1"/>
    <x v="1"/>
    <n v="0.44"/>
    <d v="2020-06-13T00:00:00"/>
    <x v="3"/>
    <x v="0"/>
    <x v="0"/>
    <s v="Jun"/>
    <s v="Q2"/>
    <s v="Senior"/>
    <s v="High"/>
    <s v="South - Student"/>
  </r>
  <r>
    <x v="1017"/>
    <s v="Ekta Chhabra"/>
    <n v="24"/>
    <x v="0"/>
    <x v="2"/>
    <x v="0"/>
    <x v="0"/>
    <x v="0"/>
    <x v="0"/>
    <n v="0.62"/>
    <d v="2020-12-23T00:00:00"/>
    <x v="0"/>
    <x v="0"/>
    <x v="0"/>
    <s v="Dec"/>
    <s v="Q4"/>
    <s v="Young"/>
    <s v="High"/>
    <s v="West - Student"/>
  </r>
  <r>
    <x v="1018"/>
    <s v="Parth Kunda"/>
    <n v="50"/>
    <x v="0"/>
    <x v="1"/>
    <x v="2"/>
    <x v="1"/>
    <x v="1"/>
    <x v="0"/>
    <n v="0.74"/>
    <d v="2023-01-11T00:00:00"/>
    <x v="2"/>
    <x v="2"/>
    <x v="5"/>
    <s v="Jan"/>
    <s v="Q1"/>
    <s v="Adult"/>
    <s v="Very High"/>
    <s v="East - Self-employed"/>
  </r>
  <r>
    <x v="1019"/>
    <s v="Abha Biswas"/>
    <n v="46"/>
    <x v="1"/>
    <x v="1"/>
    <x v="2"/>
    <x v="3"/>
    <x v="0"/>
    <x v="1"/>
    <n v="0.41"/>
    <d v="2018-12-18T00:00:00"/>
    <x v="2"/>
    <x v="0"/>
    <x v="1"/>
    <s v="Dec"/>
    <s v="Q4"/>
    <s v="Adult"/>
    <s v="Low"/>
    <s v="South - Self-employed"/>
  </r>
  <r>
    <x v="1020"/>
    <s v="Chaman Ahluwalia"/>
    <n v="50"/>
    <x v="1"/>
    <x v="0"/>
    <x v="3"/>
    <x v="4"/>
    <x v="1"/>
    <x v="0"/>
    <n v="0.45"/>
    <d v="2023-04-13T00:00:00"/>
    <x v="2"/>
    <x v="0"/>
    <x v="5"/>
    <s v="Apr"/>
    <s v="Q2"/>
    <s v="Adult"/>
    <s v="Very High"/>
    <s v="North-East - Retired"/>
  </r>
  <r>
    <x v="1021"/>
    <s v="Saksham Jaggi"/>
    <n v="68"/>
    <x v="0"/>
    <x v="0"/>
    <x v="3"/>
    <x v="3"/>
    <x v="1"/>
    <x v="1"/>
    <n v="0.46"/>
    <d v="2020-09-11T00:00:00"/>
    <x v="3"/>
    <x v="0"/>
    <x v="0"/>
    <s v="Sep"/>
    <s v="Q3"/>
    <s v="Senior"/>
    <s v="High"/>
    <s v="South - Retired"/>
  </r>
  <r>
    <x v="1022"/>
    <s v="Pooja Badal"/>
    <n v="40"/>
    <x v="1"/>
    <x v="2"/>
    <x v="2"/>
    <x v="0"/>
    <x v="1"/>
    <x v="0"/>
    <n v="0.68"/>
    <d v="2018-10-03T00:00:00"/>
    <x v="1"/>
    <x v="0"/>
    <x v="1"/>
    <s v="Oct"/>
    <s v="Q4"/>
    <s v="Adult"/>
    <s v="Very High"/>
    <s v="West - Self-employed"/>
  </r>
  <r>
    <x v="1023"/>
    <s v="Devansh Sethi"/>
    <n v="54"/>
    <x v="1"/>
    <x v="1"/>
    <x v="0"/>
    <x v="4"/>
    <x v="1"/>
    <x v="1"/>
    <n v="0.71"/>
    <d v="2019-08-09T00:00:00"/>
    <x v="2"/>
    <x v="2"/>
    <x v="4"/>
    <s v="Aug"/>
    <s v="Q3"/>
    <s v="Senior"/>
    <s v="High"/>
    <s v="North-East - Student"/>
  </r>
  <r>
    <x v="1024"/>
    <s v="Mitesh Kala"/>
    <n v="19"/>
    <x v="0"/>
    <x v="1"/>
    <x v="3"/>
    <x v="1"/>
    <x v="1"/>
    <x v="1"/>
    <n v="0.21"/>
    <d v="2021-08-18T00:00:00"/>
    <x v="0"/>
    <x v="1"/>
    <x v="2"/>
    <s v="Aug"/>
    <s v="Q3"/>
    <s v="Young"/>
    <s v="High"/>
    <s v="East - Retired"/>
  </r>
  <r>
    <x v="1025"/>
    <s v="Darsh Ghose"/>
    <n v="23"/>
    <x v="1"/>
    <x v="2"/>
    <x v="3"/>
    <x v="0"/>
    <x v="1"/>
    <x v="0"/>
    <n v="0.62"/>
    <d v="2019-02-05T00:00:00"/>
    <x v="0"/>
    <x v="0"/>
    <x v="4"/>
    <s v="Feb"/>
    <s v="Q1"/>
    <s v="Young"/>
    <s v="Very High"/>
    <s v="West - Retired"/>
  </r>
  <r>
    <x v="1026"/>
    <s v="Gaurangi Bava"/>
    <n v="52"/>
    <x v="1"/>
    <x v="1"/>
    <x v="3"/>
    <x v="5"/>
    <x v="1"/>
    <x v="1"/>
    <n v="0.34"/>
    <d v="2022-07-07T00:00:00"/>
    <x v="2"/>
    <x v="0"/>
    <x v="3"/>
    <s v="Jul"/>
    <s v="Q3"/>
    <s v="Senior"/>
    <s v="High"/>
    <s v="Central - Retired"/>
  </r>
  <r>
    <x v="1027"/>
    <s v="Azaan Mall"/>
    <n v="39"/>
    <x v="0"/>
    <x v="2"/>
    <x v="1"/>
    <x v="2"/>
    <x v="0"/>
    <x v="0"/>
    <n v="0.66"/>
    <d v="2020-03-07T00:00:00"/>
    <x v="1"/>
    <x v="0"/>
    <x v="0"/>
    <s v="Mar"/>
    <s v="Q1"/>
    <s v="Adult"/>
    <s v="High"/>
    <s v="North - Salaried"/>
  </r>
  <r>
    <x v="1028"/>
    <s v="Rachita Bhatti"/>
    <n v="44"/>
    <x v="0"/>
    <x v="2"/>
    <x v="3"/>
    <x v="0"/>
    <x v="1"/>
    <x v="0"/>
    <n v="0.79"/>
    <d v="2020-12-19T00:00:00"/>
    <x v="1"/>
    <x v="2"/>
    <x v="0"/>
    <s v="Dec"/>
    <s v="Q4"/>
    <s v="Adult"/>
    <s v="Very High"/>
    <s v="West - Retired"/>
  </r>
  <r>
    <x v="1029"/>
    <s v="Vedhika Sur"/>
    <n v="45"/>
    <x v="0"/>
    <x v="1"/>
    <x v="1"/>
    <x v="4"/>
    <x v="1"/>
    <x v="1"/>
    <n v="0.5"/>
    <d v="2021-03-10T00:00:00"/>
    <x v="1"/>
    <x v="0"/>
    <x v="2"/>
    <s v="Mar"/>
    <s v="Q1"/>
    <s v="Adult"/>
    <s v="High"/>
    <s v="North-East - Salaried"/>
  </r>
  <r>
    <x v="1030"/>
    <s v="Anjali Nayar"/>
    <n v="30"/>
    <x v="1"/>
    <x v="1"/>
    <x v="2"/>
    <x v="5"/>
    <x v="1"/>
    <x v="1"/>
    <n v="0.65"/>
    <d v="2018-09-26T00:00:00"/>
    <x v="0"/>
    <x v="0"/>
    <x v="1"/>
    <s v="Sep"/>
    <s v="Q3"/>
    <s v="Adult"/>
    <s v="High"/>
    <s v="Central - Self-employed"/>
  </r>
  <r>
    <x v="1031"/>
    <s v="Janani Ramachandran"/>
    <n v="69"/>
    <x v="0"/>
    <x v="2"/>
    <x v="2"/>
    <x v="2"/>
    <x v="0"/>
    <x v="0"/>
    <n v="0.46"/>
    <d v="2019-01-19T00:00:00"/>
    <x v="3"/>
    <x v="0"/>
    <x v="4"/>
    <s v="Jan"/>
    <s v="Q1"/>
    <s v="Senior"/>
    <s v="High"/>
    <s v="North - Self-employed"/>
  </r>
  <r>
    <x v="1032"/>
    <s v="Agastya Misra"/>
    <n v="61"/>
    <x v="0"/>
    <x v="0"/>
    <x v="0"/>
    <x v="3"/>
    <x v="1"/>
    <x v="0"/>
    <n v="0.63"/>
    <d v="2023-11-01T00:00:00"/>
    <x v="3"/>
    <x v="0"/>
    <x v="5"/>
    <s v="Nov"/>
    <s v="Q4"/>
    <s v="Senior"/>
    <s v="Very High"/>
    <s v="South - Student"/>
  </r>
  <r>
    <x v="1033"/>
    <s v="Irya Purohit"/>
    <n v="23"/>
    <x v="0"/>
    <x v="2"/>
    <x v="1"/>
    <x v="4"/>
    <x v="1"/>
    <x v="1"/>
    <n v="0.55000000000000004"/>
    <d v="2021-03-18T00:00:00"/>
    <x v="0"/>
    <x v="0"/>
    <x v="2"/>
    <s v="Mar"/>
    <s v="Q1"/>
    <s v="Young"/>
    <s v="High"/>
    <s v="North-East - Salaried"/>
  </r>
  <r>
    <x v="1034"/>
    <s v="Chandani Upadhyay"/>
    <n v="63"/>
    <x v="1"/>
    <x v="2"/>
    <x v="3"/>
    <x v="5"/>
    <x v="1"/>
    <x v="1"/>
    <n v="0.47"/>
    <d v="2020-03-20T00:00:00"/>
    <x v="3"/>
    <x v="0"/>
    <x v="0"/>
    <s v="Mar"/>
    <s v="Q1"/>
    <s v="Senior"/>
    <s v="High"/>
    <s v="Central - Retired"/>
  </r>
  <r>
    <x v="1035"/>
    <s v="Zayan Bahl"/>
    <n v="38"/>
    <x v="0"/>
    <x v="1"/>
    <x v="0"/>
    <x v="4"/>
    <x v="1"/>
    <x v="0"/>
    <n v="0.66"/>
    <d v="2022-01-30T00:00:00"/>
    <x v="1"/>
    <x v="0"/>
    <x v="3"/>
    <s v="Jan"/>
    <s v="Q1"/>
    <s v="Adult"/>
    <s v="Very High"/>
    <s v="North-East - Student"/>
  </r>
  <r>
    <x v="1036"/>
    <s v="Chakradev Dey"/>
    <n v="36"/>
    <x v="1"/>
    <x v="0"/>
    <x v="2"/>
    <x v="1"/>
    <x v="1"/>
    <x v="0"/>
    <n v="0.22"/>
    <d v="2019-12-18T00:00:00"/>
    <x v="1"/>
    <x v="1"/>
    <x v="4"/>
    <s v="Dec"/>
    <s v="Q4"/>
    <s v="Adult"/>
    <s v="Very High"/>
    <s v="East - Self-employed"/>
  </r>
  <r>
    <x v="1037"/>
    <s v="Aarav Ganguly"/>
    <n v="53"/>
    <x v="0"/>
    <x v="0"/>
    <x v="0"/>
    <x v="0"/>
    <x v="1"/>
    <x v="1"/>
    <n v="0.19"/>
    <d v="2018-07-30T00:00:00"/>
    <x v="2"/>
    <x v="1"/>
    <x v="1"/>
    <s v="Jul"/>
    <s v="Q3"/>
    <s v="Senior"/>
    <s v="High"/>
    <s v="West - Student"/>
  </r>
  <r>
    <x v="1038"/>
    <s v="Anamika Din"/>
    <n v="41"/>
    <x v="0"/>
    <x v="0"/>
    <x v="3"/>
    <x v="2"/>
    <x v="0"/>
    <x v="1"/>
    <n v="0.38"/>
    <d v="2022-07-12T00:00:00"/>
    <x v="1"/>
    <x v="0"/>
    <x v="3"/>
    <s v="Jul"/>
    <s v="Q3"/>
    <s v="Adult"/>
    <s v="Low"/>
    <s v="North - Retired"/>
  </r>
  <r>
    <x v="1039"/>
    <s v="Viraj Chana"/>
    <n v="62"/>
    <x v="0"/>
    <x v="0"/>
    <x v="0"/>
    <x v="1"/>
    <x v="1"/>
    <x v="1"/>
    <n v="0.6"/>
    <d v="2019-10-17T00:00:00"/>
    <x v="3"/>
    <x v="0"/>
    <x v="4"/>
    <s v="Oct"/>
    <s v="Q4"/>
    <s v="Senior"/>
    <s v="High"/>
    <s v="East - Student"/>
  </r>
  <r>
    <x v="1040"/>
    <s v="Logan Natarajan"/>
    <n v="67"/>
    <x v="1"/>
    <x v="1"/>
    <x v="3"/>
    <x v="5"/>
    <x v="1"/>
    <x v="0"/>
    <n v="0.66"/>
    <d v="2021-10-18T00:00:00"/>
    <x v="3"/>
    <x v="0"/>
    <x v="2"/>
    <s v="Oct"/>
    <s v="Q4"/>
    <s v="Senior"/>
    <s v="Very High"/>
    <s v="Central - Retired"/>
  </r>
  <r>
    <x v="1041"/>
    <s v="Devika Dube"/>
    <n v="38"/>
    <x v="0"/>
    <x v="2"/>
    <x v="2"/>
    <x v="5"/>
    <x v="0"/>
    <x v="0"/>
    <n v="0.43"/>
    <d v="2018-08-26T00:00:00"/>
    <x v="1"/>
    <x v="0"/>
    <x v="1"/>
    <s v="Aug"/>
    <s v="Q3"/>
    <s v="Adult"/>
    <s v="High"/>
    <s v="Central - Self-employed"/>
  </r>
  <r>
    <x v="1042"/>
    <s v="Utkarsh Char"/>
    <n v="33"/>
    <x v="0"/>
    <x v="0"/>
    <x v="0"/>
    <x v="4"/>
    <x v="1"/>
    <x v="1"/>
    <n v="0.19"/>
    <d v="2022-10-10T00:00:00"/>
    <x v="1"/>
    <x v="1"/>
    <x v="3"/>
    <s v="Oct"/>
    <s v="Q4"/>
    <s v="Adult"/>
    <s v="High"/>
    <s v="North-East - Student"/>
  </r>
  <r>
    <x v="1043"/>
    <s v="Rajeshri Sharma"/>
    <n v="20"/>
    <x v="0"/>
    <x v="0"/>
    <x v="0"/>
    <x v="3"/>
    <x v="0"/>
    <x v="1"/>
    <n v="0.2"/>
    <d v="2019-02-11T00:00:00"/>
    <x v="0"/>
    <x v="1"/>
    <x v="4"/>
    <s v="Feb"/>
    <s v="Q1"/>
    <s v="Young"/>
    <s v="Low"/>
    <s v="South - Student"/>
  </r>
  <r>
    <x v="1044"/>
    <s v="Jasmit Comar"/>
    <n v="51"/>
    <x v="0"/>
    <x v="2"/>
    <x v="0"/>
    <x v="4"/>
    <x v="1"/>
    <x v="0"/>
    <n v="0.38"/>
    <d v="2018-08-01T00:00:00"/>
    <x v="2"/>
    <x v="0"/>
    <x v="1"/>
    <s v="Aug"/>
    <s v="Q3"/>
    <s v="Senior"/>
    <s v="Very High"/>
    <s v="North-East - Student"/>
  </r>
  <r>
    <x v="1045"/>
    <s v="Ekalinga Varghese"/>
    <n v="36"/>
    <x v="1"/>
    <x v="2"/>
    <x v="1"/>
    <x v="2"/>
    <x v="0"/>
    <x v="1"/>
    <n v="0.94"/>
    <d v="2023-07-06T00:00:00"/>
    <x v="1"/>
    <x v="2"/>
    <x v="5"/>
    <s v="Jul"/>
    <s v="Q3"/>
    <s v="Adult"/>
    <s v="Low"/>
    <s v="North - Salaried"/>
  </r>
  <r>
    <x v="1046"/>
    <s v="Amara Virk"/>
    <n v="44"/>
    <x v="0"/>
    <x v="0"/>
    <x v="3"/>
    <x v="4"/>
    <x v="1"/>
    <x v="0"/>
    <n v="0.21"/>
    <d v="2018-01-04T00:00:00"/>
    <x v="1"/>
    <x v="1"/>
    <x v="1"/>
    <s v="Jan"/>
    <s v="Q1"/>
    <s v="Adult"/>
    <s v="Very High"/>
    <s v="North-East - Retired"/>
  </r>
  <r>
    <x v="1047"/>
    <s v="Saksham Aggarwal"/>
    <n v="22"/>
    <x v="1"/>
    <x v="2"/>
    <x v="0"/>
    <x v="2"/>
    <x v="1"/>
    <x v="0"/>
    <n v="0.63"/>
    <d v="2020-04-05T00:00:00"/>
    <x v="0"/>
    <x v="0"/>
    <x v="0"/>
    <s v="Apr"/>
    <s v="Q2"/>
    <s v="Young"/>
    <s v="Very High"/>
    <s v="North - Student"/>
  </r>
  <r>
    <x v="1048"/>
    <s v="Ekaja Venkatesh"/>
    <n v="41"/>
    <x v="1"/>
    <x v="0"/>
    <x v="3"/>
    <x v="5"/>
    <x v="0"/>
    <x v="1"/>
    <n v="0.64"/>
    <d v="2023-08-26T00:00:00"/>
    <x v="1"/>
    <x v="0"/>
    <x v="5"/>
    <s v="Aug"/>
    <s v="Q3"/>
    <s v="Adult"/>
    <s v="Low"/>
    <s v="Central - Retired"/>
  </r>
  <r>
    <x v="1049"/>
    <s v="Yoshita Malhotra"/>
    <n v="24"/>
    <x v="1"/>
    <x v="2"/>
    <x v="2"/>
    <x v="3"/>
    <x v="0"/>
    <x v="1"/>
    <n v="0.17"/>
    <d v="2018-10-15T00:00:00"/>
    <x v="0"/>
    <x v="1"/>
    <x v="1"/>
    <s v="Oct"/>
    <s v="Q4"/>
    <s v="Young"/>
    <s v="Low"/>
    <s v="South - Self-employed"/>
  </r>
  <r>
    <x v="1050"/>
    <s v="Osha Dutt"/>
    <n v="23"/>
    <x v="1"/>
    <x v="0"/>
    <x v="2"/>
    <x v="0"/>
    <x v="0"/>
    <x v="1"/>
    <n v="0.17"/>
    <d v="2018-04-14T00:00:00"/>
    <x v="0"/>
    <x v="1"/>
    <x v="1"/>
    <s v="Apr"/>
    <s v="Q2"/>
    <s v="Young"/>
    <s v="Low"/>
    <s v="West - Self-employed"/>
  </r>
  <r>
    <x v="1051"/>
    <s v="Azaan Patel"/>
    <n v="47"/>
    <x v="0"/>
    <x v="2"/>
    <x v="3"/>
    <x v="0"/>
    <x v="0"/>
    <x v="0"/>
    <n v="0.28999999999999998"/>
    <d v="2022-08-19T00:00:00"/>
    <x v="2"/>
    <x v="1"/>
    <x v="3"/>
    <s v="Aug"/>
    <s v="Q3"/>
    <s v="Adult"/>
    <s v="High"/>
    <s v="West - Retired"/>
  </r>
  <r>
    <x v="1052"/>
    <s v="Ati Gandhi"/>
    <n v="21"/>
    <x v="1"/>
    <x v="1"/>
    <x v="2"/>
    <x v="0"/>
    <x v="0"/>
    <x v="0"/>
    <n v="0.34"/>
    <d v="2020-10-07T00:00:00"/>
    <x v="0"/>
    <x v="0"/>
    <x v="0"/>
    <s v="Oct"/>
    <s v="Q4"/>
    <s v="Young"/>
    <s v="High"/>
    <s v="West - Self-employed"/>
  </r>
  <r>
    <x v="1053"/>
    <s v="Leena Rau"/>
    <n v="25"/>
    <x v="0"/>
    <x v="2"/>
    <x v="1"/>
    <x v="5"/>
    <x v="1"/>
    <x v="1"/>
    <n v="0.28999999999999998"/>
    <d v="2021-04-09T00:00:00"/>
    <x v="0"/>
    <x v="1"/>
    <x v="2"/>
    <s v="Apr"/>
    <s v="Q2"/>
    <s v="Young"/>
    <s v="High"/>
    <s v="Central - Salaried"/>
  </r>
  <r>
    <x v="1054"/>
    <s v="Tanay Chadha"/>
    <n v="60"/>
    <x v="1"/>
    <x v="1"/>
    <x v="2"/>
    <x v="3"/>
    <x v="0"/>
    <x v="0"/>
    <n v="0.56999999999999995"/>
    <d v="2021-03-01T00:00:00"/>
    <x v="2"/>
    <x v="0"/>
    <x v="2"/>
    <s v="Mar"/>
    <s v="Q1"/>
    <s v="Senior"/>
    <s v="High"/>
    <s v="South - Self-employed"/>
  </r>
  <r>
    <x v="1055"/>
    <s v="Chaitaly Din"/>
    <n v="35"/>
    <x v="0"/>
    <x v="1"/>
    <x v="3"/>
    <x v="5"/>
    <x v="1"/>
    <x v="1"/>
    <n v="0.59"/>
    <d v="2019-03-21T00:00:00"/>
    <x v="1"/>
    <x v="0"/>
    <x v="4"/>
    <s v="Mar"/>
    <s v="Q1"/>
    <s v="Adult"/>
    <s v="High"/>
    <s v="Central - Retired"/>
  </r>
  <r>
    <x v="1056"/>
    <s v="Oeshi Bajaj"/>
    <n v="68"/>
    <x v="1"/>
    <x v="0"/>
    <x v="2"/>
    <x v="5"/>
    <x v="1"/>
    <x v="1"/>
    <n v="0.4"/>
    <d v="2020-05-26T00:00:00"/>
    <x v="3"/>
    <x v="0"/>
    <x v="0"/>
    <s v="May"/>
    <s v="Q2"/>
    <s v="Senior"/>
    <s v="High"/>
    <s v="Central - Self-employed"/>
  </r>
  <r>
    <x v="1057"/>
    <s v="Michael Keer"/>
    <n v="44"/>
    <x v="1"/>
    <x v="2"/>
    <x v="1"/>
    <x v="4"/>
    <x v="1"/>
    <x v="1"/>
    <n v="0.52"/>
    <d v="2018-02-09T00:00:00"/>
    <x v="1"/>
    <x v="0"/>
    <x v="1"/>
    <s v="Feb"/>
    <s v="Q1"/>
    <s v="Adult"/>
    <s v="High"/>
    <s v="North-East - Salaried"/>
  </r>
  <r>
    <x v="1058"/>
    <s v="Urvi Dani"/>
    <n v="30"/>
    <x v="1"/>
    <x v="0"/>
    <x v="0"/>
    <x v="4"/>
    <x v="1"/>
    <x v="0"/>
    <n v="0.42"/>
    <d v="2018-11-24T00:00:00"/>
    <x v="0"/>
    <x v="0"/>
    <x v="1"/>
    <s v="Nov"/>
    <s v="Q4"/>
    <s v="Adult"/>
    <s v="Very High"/>
    <s v="North-East - Student"/>
  </r>
  <r>
    <x v="1059"/>
    <s v="Yadavi Bala"/>
    <n v="25"/>
    <x v="0"/>
    <x v="0"/>
    <x v="3"/>
    <x v="2"/>
    <x v="1"/>
    <x v="1"/>
    <n v="0.11"/>
    <d v="2022-02-12T00:00:00"/>
    <x v="0"/>
    <x v="1"/>
    <x v="3"/>
    <s v="Feb"/>
    <s v="Q1"/>
    <s v="Young"/>
    <s v="High"/>
    <s v="North - Retired"/>
  </r>
  <r>
    <x v="1060"/>
    <s v="Onveer Kari"/>
    <n v="35"/>
    <x v="1"/>
    <x v="0"/>
    <x v="3"/>
    <x v="2"/>
    <x v="1"/>
    <x v="1"/>
    <n v="0"/>
    <d v="2022-03-10T00:00:00"/>
    <x v="1"/>
    <x v="1"/>
    <x v="3"/>
    <s v="Mar"/>
    <s v="Q1"/>
    <s v="Adult"/>
    <s v="High"/>
    <s v="North - Retired"/>
  </r>
  <r>
    <x v="1061"/>
    <s v="Daksh Banik"/>
    <n v="45"/>
    <x v="1"/>
    <x v="2"/>
    <x v="3"/>
    <x v="1"/>
    <x v="0"/>
    <x v="1"/>
    <n v="0.73"/>
    <d v="2023-11-06T00:00:00"/>
    <x v="1"/>
    <x v="2"/>
    <x v="5"/>
    <s v="Nov"/>
    <s v="Q4"/>
    <s v="Adult"/>
    <s v="Low"/>
    <s v="East - Retired"/>
  </r>
  <r>
    <x v="1062"/>
    <s v="Diya Mahajan"/>
    <n v="54"/>
    <x v="1"/>
    <x v="0"/>
    <x v="2"/>
    <x v="5"/>
    <x v="1"/>
    <x v="0"/>
    <n v="0.44"/>
    <d v="2023-07-23T00:00:00"/>
    <x v="2"/>
    <x v="0"/>
    <x v="5"/>
    <s v="Jul"/>
    <s v="Q3"/>
    <s v="Senior"/>
    <s v="Very High"/>
    <s v="Central - Self-employed"/>
  </r>
  <r>
    <x v="1063"/>
    <s v="Sanya Naidu"/>
    <n v="25"/>
    <x v="0"/>
    <x v="1"/>
    <x v="3"/>
    <x v="2"/>
    <x v="1"/>
    <x v="1"/>
    <n v="0.71"/>
    <d v="2018-01-28T00:00:00"/>
    <x v="0"/>
    <x v="2"/>
    <x v="1"/>
    <s v="Jan"/>
    <s v="Q1"/>
    <s v="Young"/>
    <s v="High"/>
    <s v="North - Retired"/>
  </r>
  <r>
    <x v="1064"/>
    <s v="Ekavir Saxena"/>
    <n v="48"/>
    <x v="0"/>
    <x v="1"/>
    <x v="0"/>
    <x v="0"/>
    <x v="1"/>
    <x v="1"/>
    <n v="0.54"/>
    <d v="2018-10-01T00:00:00"/>
    <x v="2"/>
    <x v="0"/>
    <x v="1"/>
    <s v="Oct"/>
    <s v="Q4"/>
    <s v="Adult"/>
    <s v="High"/>
    <s v="West - Student"/>
  </r>
  <r>
    <x v="1065"/>
    <s v="Samaksh Vohra"/>
    <n v="45"/>
    <x v="0"/>
    <x v="2"/>
    <x v="3"/>
    <x v="4"/>
    <x v="0"/>
    <x v="1"/>
    <n v="0.28999999999999998"/>
    <d v="2023-03-12T00:00:00"/>
    <x v="1"/>
    <x v="1"/>
    <x v="5"/>
    <s v="Mar"/>
    <s v="Q1"/>
    <s v="Adult"/>
    <s v="Low"/>
    <s v="North-East - Retired"/>
  </r>
  <r>
    <x v="1066"/>
    <s v="Balveer Sethi"/>
    <n v="51"/>
    <x v="0"/>
    <x v="1"/>
    <x v="1"/>
    <x v="1"/>
    <x v="1"/>
    <x v="0"/>
    <n v="0.53"/>
    <d v="2022-05-05T00:00:00"/>
    <x v="2"/>
    <x v="0"/>
    <x v="3"/>
    <s v="May"/>
    <s v="Q2"/>
    <s v="Senior"/>
    <s v="Very High"/>
    <s v="East - Salaried"/>
  </r>
  <r>
    <x v="1067"/>
    <s v="Turvi Varkey"/>
    <n v="25"/>
    <x v="1"/>
    <x v="2"/>
    <x v="0"/>
    <x v="1"/>
    <x v="0"/>
    <x v="1"/>
    <n v="0.6"/>
    <d v="2022-05-30T00:00:00"/>
    <x v="0"/>
    <x v="0"/>
    <x v="3"/>
    <s v="May"/>
    <s v="Q2"/>
    <s v="Young"/>
    <s v="Low"/>
    <s v="East - Student"/>
  </r>
  <r>
    <x v="1068"/>
    <s v="Wakeeta Bhardwaj"/>
    <n v="42"/>
    <x v="1"/>
    <x v="0"/>
    <x v="2"/>
    <x v="5"/>
    <x v="1"/>
    <x v="1"/>
    <n v="0.36"/>
    <d v="2022-11-18T00:00:00"/>
    <x v="1"/>
    <x v="0"/>
    <x v="3"/>
    <s v="Nov"/>
    <s v="Q4"/>
    <s v="Adult"/>
    <s v="High"/>
    <s v="Central - Self-employed"/>
  </r>
  <r>
    <x v="1069"/>
    <s v="Kala Uppal"/>
    <n v="31"/>
    <x v="1"/>
    <x v="2"/>
    <x v="1"/>
    <x v="5"/>
    <x v="1"/>
    <x v="1"/>
    <n v="0.55000000000000004"/>
    <d v="2021-08-04T00:00:00"/>
    <x v="1"/>
    <x v="0"/>
    <x v="2"/>
    <s v="Aug"/>
    <s v="Q3"/>
    <s v="Adult"/>
    <s v="High"/>
    <s v="Central - Salaried"/>
  </r>
  <r>
    <x v="1070"/>
    <s v="Nirja Jha"/>
    <n v="49"/>
    <x v="1"/>
    <x v="0"/>
    <x v="2"/>
    <x v="0"/>
    <x v="1"/>
    <x v="0"/>
    <n v="0.57999999999999996"/>
    <d v="2019-10-10T00:00:00"/>
    <x v="2"/>
    <x v="0"/>
    <x v="4"/>
    <s v="Oct"/>
    <s v="Q4"/>
    <s v="Adult"/>
    <s v="Very High"/>
    <s v="West - Self-employed"/>
  </r>
  <r>
    <x v="1071"/>
    <s v="Nachiket Badal"/>
    <n v="37"/>
    <x v="0"/>
    <x v="0"/>
    <x v="3"/>
    <x v="1"/>
    <x v="1"/>
    <x v="0"/>
    <n v="0.43"/>
    <d v="2019-10-31T00:00:00"/>
    <x v="1"/>
    <x v="0"/>
    <x v="4"/>
    <s v="Oct"/>
    <s v="Q4"/>
    <s v="Adult"/>
    <s v="Very High"/>
    <s v="East - Retired"/>
  </r>
  <r>
    <x v="1072"/>
    <s v="Mohini Buch"/>
    <n v="24"/>
    <x v="0"/>
    <x v="0"/>
    <x v="3"/>
    <x v="4"/>
    <x v="0"/>
    <x v="1"/>
    <n v="0.7"/>
    <d v="2022-12-06T00:00:00"/>
    <x v="0"/>
    <x v="2"/>
    <x v="3"/>
    <s v="Dec"/>
    <s v="Q4"/>
    <s v="Young"/>
    <s v="Low"/>
    <s v="North-East - Retired"/>
  </r>
  <r>
    <x v="1073"/>
    <s v="Wazir Rastogi"/>
    <n v="28"/>
    <x v="0"/>
    <x v="0"/>
    <x v="0"/>
    <x v="3"/>
    <x v="0"/>
    <x v="1"/>
    <n v="0.52"/>
    <d v="2022-05-06T00:00:00"/>
    <x v="0"/>
    <x v="0"/>
    <x v="3"/>
    <s v="May"/>
    <s v="Q2"/>
    <s v="Young"/>
    <s v="Low"/>
    <s v="South - Student"/>
  </r>
  <r>
    <x v="1074"/>
    <s v="Gauri Chakrabarti"/>
    <n v="28"/>
    <x v="1"/>
    <x v="2"/>
    <x v="2"/>
    <x v="0"/>
    <x v="1"/>
    <x v="1"/>
    <n v="0.41"/>
    <d v="2019-03-24T00:00:00"/>
    <x v="0"/>
    <x v="0"/>
    <x v="4"/>
    <s v="Mar"/>
    <s v="Q1"/>
    <s v="Young"/>
    <s v="High"/>
    <s v="West - Self-employed"/>
  </r>
  <r>
    <x v="1075"/>
    <s v="Mohammed Zacharia"/>
    <n v="59"/>
    <x v="0"/>
    <x v="2"/>
    <x v="1"/>
    <x v="3"/>
    <x v="0"/>
    <x v="1"/>
    <n v="0.11"/>
    <d v="2023-02-09T00:00:00"/>
    <x v="2"/>
    <x v="1"/>
    <x v="5"/>
    <s v="Feb"/>
    <s v="Q1"/>
    <s v="Senior"/>
    <s v="Low"/>
    <s v="South - Salaried"/>
  </r>
  <r>
    <x v="1076"/>
    <s v="Avi Suresh"/>
    <n v="26"/>
    <x v="0"/>
    <x v="2"/>
    <x v="0"/>
    <x v="0"/>
    <x v="1"/>
    <x v="1"/>
    <n v="0.76"/>
    <d v="2018-11-22T00:00:00"/>
    <x v="0"/>
    <x v="2"/>
    <x v="1"/>
    <s v="Nov"/>
    <s v="Q4"/>
    <s v="Young"/>
    <s v="High"/>
    <s v="West - Student"/>
  </r>
  <r>
    <x v="1077"/>
    <s v="Neelima Rama"/>
    <n v="24"/>
    <x v="1"/>
    <x v="2"/>
    <x v="3"/>
    <x v="1"/>
    <x v="0"/>
    <x v="0"/>
    <n v="0.11"/>
    <d v="2019-06-26T00:00:00"/>
    <x v="0"/>
    <x v="1"/>
    <x v="4"/>
    <s v="Jun"/>
    <s v="Q2"/>
    <s v="Young"/>
    <s v="High"/>
    <s v="East - Retired"/>
  </r>
  <r>
    <x v="1078"/>
    <s v="Jagat Batta"/>
    <n v="41"/>
    <x v="0"/>
    <x v="1"/>
    <x v="3"/>
    <x v="1"/>
    <x v="0"/>
    <x v="0"/>
    <n v="0.59"/>
    <d v="2019-10-31T00:00:00"/>
    <x v="1"/>
    <x v="0"/>
    <x v="4"/>
    <s v="Oct"/>
    <s v="Q4"/>
    <s v="Adult"/>
    <s v="High"/>
    <s v="East - Retired"/>
  </r>
  <r>
    <x v="1079"/>
    <s v="Kevin Kanda"/>
    <n v="38"/>
    <x v="1"/>
    <x v="2"/>
    <x v="2"/>
    <x v="5"/>
    <x v="1"/>
    <x v="1"/>
    <n v="0.56000000000000005"/>
    <d v="2023-01-05T00:00:00"/>
    <x v="1"/>
    <x v="0"/>
    <x v="5"/>
    <s v="Jan"/>
    <s v="Q1"/>
    <s v="Adult"/>
    <s v="High"/>
    <s v="Central - Self-employed"/>
  </r>
  <r>
    <x v="1080"/>
    <s v="Suhani Batra"/>
    <n v="26"/>
    <x v="0"/>
    <x v="2"/>
    <x v="1"/>
    <x v="4"/>
    <x v="0"/>
    <x v="0"/>
    <n v="0.67"/>
    <d v="2021-02-26T00:00:00"/>
    <x v="0"/>
    <x v="0"/>
    <x v="2"/>
    <s v="Feb"/>
    <s v="Q1"/>
    <s v="Young"/>
    <s v="High"/>
    <s v="North-East - Salaried"/>
  </r>
  <r>
    <x v="1081"/>
    <s v="Diya Basu"/>
    <n v="60"/>
    <x v="1"/>
    <x v="2"/>
    <x v="0"/>
    <x v="1"/>
    <x v="1"/>
    <x v="1"/>
    <n v="0.49"/>
    <d v="2018-08-07T00:00:00"/>
    <x v="2"/>
    <x v="0"/>
    <x v="1"/>
    <s v="Aug"/>
    <s v="Q3"/>
    <s v="Senior"/>
    <s v="High"/>
    <s v="East - Student"/>
  </r>
  <r>
    <x v="1082"/>
    <s v="Vritti Narang"/>
    <n v="69"/>
    <x v="1"/>
    <x v="0"/>
    <x v="3"/>
    <x v="1"/>
    <x v="0"/>
    <x v="1"/>
    <n v="0.27"/>
    <d v="2019-09-09T00:00:00"/>
    <x v="3"/>
    <x v="1"/>
    <x v="4"/>
    <s v="Sep"/>
    <s v="Q3"/>
    <s v="Senior"/>
    <s v="Low"/>
    <s v="East - Retired"/>
  </r>
  <r>
    <x v="1083"/>
    <s v="Sanaya Arya"/>
    <n v="34"/>
    <x v="1"/>
    <x v="2"/>
    <x v="1"/>
    <x v="5"/>
    <x v="1"/>
    <x v="0"/>
    <n v="0.59"/>
    <d v="2020-10-31T00:00:00"/>
    <x v="1"/>
    <x v="0"/>
    <x v="0"/>
    <s v="Oct"/>
    <s v="Q4"/>
    <s v="Adult"/>
    <s v="Very High"/>
    <s v="Central - Salaried"/>
  </r>
  <r>
    <x v="1084"/>
    <s v="Riya Keer"/>
    <n v="31"/>
    <x v="1"/>
    <x v="0"/>
    <x v="2"/>
    <x v="0"/>
    <x v="1"/>
    <x v="0"/>
    <n v="0.44"/>
    <d v="2020-07-24T00:00:00"/>
    <x v="1"/>
    <x v="0"/>
    <x v="0"/>
    <s v="Jul"/>
    <s v="Q3"/>
    <s v="Adult"/>
    <s v="Very High"/>
    <s v="West - Self-employed"/>
  </r>
  <r>
    <x v="1085"/>
    <s v="Ekantika Narayan"/>
    <n v="30"/>
    <x v="1"/>
    <x v="2"/>
    <x v="1"/>
    <x v="4"/>
    <x v="0"/>
    <x v="1"/>
    <n v="0.59"/>
    <d v="2018-05-01T00:00:00"/>
    <x v="0"/>
    <x v="0"/>
    <x v="1"/>
    <s v="May"/>
    <s v="Q2"/>
    <s v="Adult"/>
    <s v="Low"/>
    <s v="North-East - Salaried"/>
  </r>
  <r>
    <x v="1086"/>
    <s v="Brijesh Nadkarni"/>
    <n v="62"/>
    <x v="0"/>
    <x v="0"/>
    <x v="2"/>
    <x v="5"/>
    <x v="1"/>
    <x v="1"/>
    <n v="0.1"/>
    <d v="2022-06-01T00:00:00"/>
    <x v="3"/>
    <x v="1"/>
    <x v="3"/>
    <s v="Jun"/>
    <s v="Q2"/>
    <s v="Senior"/>
    <s v="High"/>
    <s v="Central - Self-employed"/>
  </r>
  <r>
    <x v="1087"/>
    <s v="Bachittar Parmar"/>
    <n v="47"/>
    <x v="1"/>
    <x v="1"/>
    <x v="0"/>
    <x v="4"/>
    <x v="0"/>
    <x v="1"/>
    <n v="0.55000000000000004"/>
    <d v="2020-09-29T00:00:00"/>
    <x v="2"/>
    <x v="0"/>
    <x v="0"/>
    <s v="Sep"/>
    <s v="Q3"/>
    <s v="Adult"/>
    <s v="Low"/>
    <s v="North-East - Student"/>
  </r>
  <r>
    <x v="1088"/>
    <s v="Girik Vohra"/>
    <n v="46"/>
    <x v="0"/>
    <x v="2"/>
    <x v="0"/>
    <x v="2"/>
    <x v="0"/>
    <x v="0"/>
    <n v="0.61"/>
    <d v="2022-07-23T00:00:00"/>
    <x v="2"/>
    <x v="0"/>
    <x v="3"/>
    <s v="Jul"/>
    <s v="Q3"/>
    <s v="Adult"/>
    <s v="High"/>
    <s v="North - Student"/>
  </r>
  <r>
    <x v="1089"/>
    <s v="Tristan Varty"/>
    <n v="61"/>
    <x v="1"/>
    <x v="1"/>
    <x v="0"/>
    <x v="4"/>
    <x v="0"/>
    <x v="0"/>
    <n v="0.59"/>
    <d v="2022-07-12T00:00:00"/>
    <x v="3"/>
    <x v="0"/>
    <x v="3"/>
    <s v="Jul"/>
    <s v="Q3"/>
    <s v="Senior"/>
    <s v="High"/>
    <s v="North-East - Student"/>
  </r>
  <r>
    <x v="1090"/>
    <s v="Ati Lall"/>
    <n v="39"/>
    <x v="0"/>
    <x v="0"/>
    <x v="0"/>
    <x v="3"/>
    <x v="1"/>
    <x v="0"/>
    <n v="0.59"/>
    <d v="2018-02-12T00:00:00"/>
    <x v="1"/>
    <x v="0"/>
    <x v="1"/>
    <s v="Feb"/>
    <s v="Q1"/>
    <s v="Adult"/>
    <s v="Very High"/>
    <s v="South - Student"/>
  </r>
  <r>
    <x v="1091"/>
    <s v="Deepa Pillai"/>
    <n v="46"/>
    <x v="0"/>
    <x v="0"/>
    <x v="0"/>
    <x v="3"/>
    <x v="0"/>
    <x v="1"/>
    <n v="0.5"/>
    <d v="2021-05-26T00:00:00"/>
    <x v="2"/>
    <x v="0"/>
    <x v="2"/>
    <s v="May"/>
    <s v="Q2"/>
    <s v="Adult"/>
    <s v="Low"/>
    <s v="South - Student"/>
  </r>
  <r>
    <x v="1092"/>
    <s v="Henry Bose"/>
    <n v="34"/>
    <x v="0"/>
    <x v="1"/>
    <x v="3"/>
    <x v="0"/>
    <x v="0"/>
    <x v="1"/>
    <n v="0.78"/>
    <d v="2021-02-07T00:00:00"/>
    <x v="1"/>
    <x v="2"/>
    <x v="2"/>
    <s v="Feb"/>
    <s v="Q1"/>
    <s v="Adult"/>
    <s v="Low"/>
    <s v="West - Retired"/>
  </r>
  <r>
    <x v="1093"/>
    <s v="Charan Chaudry"/>
    <n v="39"/>
    <x v="1"/>
    <x v="0"/>
    <x v="3"/>
    <x v="5"/>
    <x v="0"/>
    <x v="1"/>
    <n v="0.52"/>
    <d v="2019-02-27T00:00:00"/>
    <x v="1"/>
    <x v="0"/>
    <x v="4"/>
    <s v="Feb"/>
    <s v="Q1"/>
    <s v="Adult"/>
    <s v="Low"/>
    <s v="Central - Retired"/>
  </r>
  <r>
    <x v="1094"/>
    <s v="Utkarsh Naidu"/>
    <n v="54"/>
    <x v="0"/>
    <x v="0"/>
    <x v="0"/>
    <x v="0"/>
    <x v="1"/>
    <x v="0"/>
    <n v="0.32"/>
    <d v="2018-05-09T00:00:00"/>
    <x v="2"/>
    <x v="0"/>
    <x v="1"/>
    <s v="May"/>
    <s v="Q2"/>
    <s v="Senior"/>
    <s v="Very High"/>
    <s v="West - Student"/>
  </r>
  <r>
    <x v="1095"/>
    <s v="Shravya Sekhon"/>
    <n v="40"/>
    <x v="1"/>
    <x v="1"/>
    <x v="0"/>
    <x v="5"/>
    <x v="1"/>
    <x v="0"/>
    <n v="0"/>
    <d v="2018-11-23T00:00:00"/>
    <x v="1"/>
    <x v="1"/>
    <x v="1"/>
    <s v="Nov"/>
    <s v="Q4"/>
    <s v="Adult"/>
    <s v="Very High"/>
    <s v="Central - Student"/>
  </r>
  <r>
    <x v="1096"/>
    <s v="Lucky Kata"/>
    <n v="60"/>
    <x v="0"/>
    <x v="0"/>
    <x v="2"/>
    <x v="2"/>
    <x v="0"/>
    <x v="0"/>
    <n v="0.65"/>
    <d v="2021-05-15T00:00:00"/>
    <x v="2"/>
    <x v="0"/>
    <x v="2"/>
    <s v="May"/>
    <s v="Q2"/>
    <s v="Senior"/>
    <s v="High"/>
    <s v="North - Self-employed"/>
  </r>
  <r>
    <x v="1097"/>
    <s v="Yauvani Manne"/>
    <n v="57"/>
    <x v="1"/>
    <x v="1"/>
    <x v="2"/>
    <x v="0"/>
    <x v="0"/>
    <x v="1"/>
    <n v="0.51"/>
    <d v="2019-01-17T00:00:00"/>
    <x v="2"/>
    <x v="0"/>
    <x v="4"/>
    <s v="Jan"/>
    <s v="Q1"/>
    <s v="Senior"/>
    <s v="Low"/>
    <s v="West - Self-employed"/>
  </r>
  <r>
    <x v="1098"/>
    <s v="Nisha Solanki"/>
    <n v="51"/>
    <x v="0"/>
    <x v="2"/>
    <x v="0"/>
    <x v="4"/>
    <x v="1"/>
    <x v="0"/>
    <n v="0.62"/>
    <d v="2020-07-15T00:00:00"/>
    <x v="2"/>
    <x v="0"/>
    <x v="0"/>
    <s v="Jul"/>
    <s v="Q3"/>
    <s v="Senior"/>
    <s v="Very High"/>
    <s v="North-East - Student"/>
  </r>
  <r>
    <x v="1099"/>
    <s v="Aryan Kata"/>
    <n v="59"/>
    <x v="0"/>
    <x v="2"/>
    <x v="0"/>
    <x v="5"/>
    <x v="0"/>
    <x v="0"/>
    <n v="0.57999999999999996"/>
    <d v="2018-03-23T00:00:00"/>
    <x v="2"/>
    <x v="0"/>
    <x v="1"/>
    <s v="Mar"/>
    <s v="Q1"/>
    <s v="Senior"/>
    <s v="High"/>
    <s v="Central - Student"/>
  </r>
  <r>
    <x v="1100"/>
    <s v="Dominic Sankaran"/>
    <n v="41"/>
    <x v="1"/>
    <x v="0"/>
    <x v="0"/>
    <x v="4"/>
    <x v="1"/>
    <x v="1"/>
    <n v="0.52"/>
    <d v="2018-08-06T00:00:00"/>
    <x v="1"/>
    <x v="0"/>
    <x v="1"/>
    <s v="Aug"/>
    <s v="Q3"/>
    <s v="Adult"/>
    <s v="High"/>
    <s v="North-East - Student"/>
  </r>
  <r>
    <x v="1101"/>
    <s v="Tejas Tara"/>
    <n v="62"/>
    <x v="1"/>
    <x v="0"/>
    <x v="0"/>
    <x v="3"/>
    <x v="1"/>
    <x v="1"/>
    <n v="0.49"/>
    <d v="2022-02-18T00:00:00"/>
    <x v="3"/>
    <x v="0"/>
    <x v="3"/>
    <s v="Feb"/>
    <s v="Q1"/>
    <s v="Senior"/>
    <s v="High"/>
    <s v="South - Student"/>
  </r>
  <r>
    <x v="1102"/>
    <s v="Jagat Pant"/>
    <n v="36"/>
    <x v="0"/>
    <x v="0"/>
    <x v="3"/>
    <x v="4"/>
    <x v="0"/>
    <x v="1"/>
    <n v="0.44"/>
    <d v="2022-01-22T00:00:00"/>
    <x v="1"/>
    <x v="0"/>
    <x v="3"/>
    <s v="Jan"/>
    <s v="Q1"/>
    <s v="Adult"/>
    <s v="Low"/>
    <s v="North-East - Retired"/>
  </r>
  <r>
    <x v="1103"/>
    <s v="Jasmit Sethi"/>
    <n v="55"/>
    <x v="1"/>
    <x v="2"/>
    <x v="1"/>
    <x v="3"/>
    <x v="1"/>
    <x v="0"/>
    <n v="0.47"/>
    <d v="2021-02-22T00:00:00"/>
    <x v="2"/>
    <x v="0"/>
    <x v="2"/>
    <s v="Feb"/>
    <s v="Q1"/>
    <s v="Senior"/>
    <s v="Very High"/>
    <s v="South - Salaried"/>
  </r>
  <r>
    <x v="1104"/>
    <s v="Manan Sarna"/>
    <n v="23"/>
    <x v="1"/>
    <x v="2"/>
    <x v="2"/>
    <x v="0"/>
    <x v="0"/>
    <x v="1"/>
    <n v="0.48"/>
    <d v="2018-08-01T00:00:00"/>
    <x v="0"/>
    <x v="0"/>
    <x v="1"/>
    <s v="Aug"/>
    <s v="Q3"/>
    <s v="Young"/>
    <s v="Low"/>
    <s v="West - Self-employed"/>
  </r>
  <r>
    <x v="1105"/>
    <s v="Sathvik Barad"/>
    <n v="36"/>
    <x v="1"/>
    <x v="0"/>
    <x v="3"/>
    <x v="4"/>
    <x v="0"/>
    <x v="0"/>
    <n v="0.56999999999999995"/>
    <d v="2021-11-05T00:00:00"/>
    <x v="1"/>
    <x v="0"/>
    <x v="2"/>
    <s v="Nov"/>
    <s v="Q4"/>
    <s v="Adult"/>
    <s v="High"/>
    <s v="North-East - Retired"/>
  </r>
  <r>
    <x v="1106"/>
    <s v="Daksha Gade"/>
    <n v="48"/>
    <x v="0"/>
    <x v="0"/>
    <x v="3"/>
    <x v="4"/>
    <x v="0"/>
    <x v="1"/>
    <n v="0.66"/>
    <d v="2018-10-26T00:00:00"/>
    <x v="2"/>
    <x v="0"/>
    <x v="1"/>
    <s v="Oct"/>
    <s v="Q4"/>
    <s v="Adult"/>
    <s v="Low"/>
    <s v="North-East - Retired"/>
  </r>
  <r>
    <x v="1107"/>
    <s v="Utkarsh Gill"/>
    <n v="64"/>
    <x v="0"/>
    <x v="1"/>
    <x v="3"/>
    <x v="2"/>
    <x v="0"/>
    <x v="1"/>
    <n v="0.08"/>
    <d v="2018-12-28T00:00:00"/>
    <x v="3"/>
    <x v="1"/>
    <x v="1"/>
    <s v="Dec"/>
    <s v="Q4"/>
    <s v="Senior"/>
    <s v="Low"/>
    <s v="North - Retired"/>
  </r>
  <r>
    <x v="1108"/>
    <s v="Gautam Prashad"/>
    <n v="22"/>
    <x v="1"/>
    <x v="0"/>
    <x v="3"/>
    <x v="4"/>
    <x v="1"/>
    <x v="1"/>
    <n v="0.36"/>
    <d v="2018-08-01T00:00:00"/>
    <x v="0"/>
    <x v="0"/>
    <x v="1"/>
    <s v="Aug"/>
    <s v="Q3"/>
    <s v="Young"/>
    <s v="High"/>
    <s v="North-East - Retired"/>
  </r>
  <r>
    <x v="1109"/>
    <s v="Ekapad Palan"/>
    <n v="45"/>
    <x v="1"/>
    <x v="1"/>
    <x v="3"/>
    <x v="1"/>
    <x v="0"/>
    <x v="1"/>
    <n v="0.81"/>
    <d v="2018-11-16T00:00:00"/>
    <x v="1"/>
    <x v="2"/>
    <x v="1"/>
    <s v="Nov"/>
    <s v="Q4"/>
    <s v="Adult"/>
    <s v="Low"/>
    <s v="East - Retired"/>
  </r>
  <r>
    <x v="1110"/>
    <s v="Yug Sant"/>
    <n v="50"/>
    <x v="0"/>
    <x v="0"/>
    <x v="0"/>
    <x v="5"/>
    <x v="1"/>
    <x v="1"/>
    <n v="0.5"/>
    <d v="2019-03-22T00:00:00"/>
    <x v="2"/>
    <x v="0"/>
    <x v="4"/>
    <s v="Mar"/>
    <s v="Q1"/>
    <s v="Adult"/>
    <s v="High"/>
    <s v="Central - Student"/>
  </r>
  <r>
    <x v="1111"/>
    <s v="Arjun Shukla"/>
    <n v="46"/>
    <x v="0"/>
    <x v="1"/>
    <x v="3"/>
    <x v="5"/>
    <x v="0"/>
    <x v="0"/>
    <n v="0.76"/>
    <d v="2022-12-06T00:00:00"/>
    <x v="2"/>
    <x v="2"/>
    <x v="3"/>
    <s v="Dec"/>
    <s v="Q4"/>
    <s v="Adult"/>
    <s v="High"/>
    <s v="Central - Retired"/>
  </r>
  <r>
    <x v="1112"/>
    <s v="Charita Manne"/>
    <n v="59"/>
    <x v="0"/>
    <x v="2"/>
    <x v="2"/>
    <x v="2"/>
    <x v="1"/>
    <x v="0"/>
    <n v="0.48"/>
    <d v="2021-07-16T00:00:00"/>
    <x v="2"/>
    <x v="0"/>
    <x v="2"/>
    <s v="Jul"/>
    <s v="Q3"/>
    <s v="Senior"/>
    <s v="Very High"/>
    <s v="North - Self-employed"/>
  </r>
  <r>
    <x v="1113"/>
    <s v="Patrick Das"/>
    <n v="65"/>
    <x v="0"/>
    <x v="1"/>
    <x v="3"/>
    <x v="1"/>
    <x v="1"/>
    <x v="0"/>
    <n v="0.45"/>
    <d v="2019-11-07T00:00:00"/>
    <x v="3"/>
    <x v="0"/>
    <x v="4"/>
    <s v="Nov"/>
    <s v="Q4"/>
    <s v="Senior"/>
    <s v="Very High"/>
    <s v="East - Retired"/>
  </r>
  <r>
    <x v="1114"/>
    <s v="Ishanvi Mander"/>
    <n v="66"/>
    <x v="0"/>
    <x v="0"/>
    <x v="3"/>
    <x v="2"/>
    <x v="0"/>
    <x v="1"/>
    <n v="0.54"/>
    <d v="2020-09-22T00:00:00"/>
    <x v="3"/>
    <x v="0"/>
    <x v="0"/>
    <s v="Sep"/>
    <s v="Q3"/>
    <s v="Senior"/>
    <s v="Low"/>
    <s v="North - Retired"/>
  </r>
  <r>
    <x v="1115"/>
    <s v="Aarush Nayar"/>
    <n v="55"/>
    <x v="0"/>
    <x v="2"/>
    <x v="3"/>
    <x v="4"/>
    <x v="0"/>
    <x v="1"/>
    <n v="0.54"/>
    <d v="2022-04-17T00:00:00"/>
    <x v="2"/>
    <x v="0"/>
    <x v="3"/>
    <s v="Apr"/>
    <s v="Q2"/>
    <s v="Senior"/>
    <s v="Low"/>
    <s v="North-East - Retired"/>
  </r>
  <r>
    <x v="1116"/>
    <s v="Yochana Chandra"/>
    <n v="64"/>
    <x v="1"/>
    <x v="1"/>
    <x v="0"/>
    <x v="5"/>
    <x v="1"/>
    <x v="0"/>
    <n v="0.48"/>
    <d v="2020-09-22T00:00:00"/>
    <x v="3"/>
    <x v="0"/>
    <x v="0"/>
    <s v="Sep"/>
    <s v="Q3"/>
    <s v="Senior"/>
    <s v="Very High"/>
    <s v="Central - Student"/>
  </r>
  <r>
    <x v="1117"/>
    <s v="Ekbal Mangat"/>
    <n v="62"/>
    <x v="1"/>
    <x v="0"/>
    <x v="1"/>
    <x v="2"/>
    <x v="0"/>
    <x v="0"/>
    <n v="0.51"/>
    <d v="2023-08-29T00:00:00"/>
    <x v="3"/>
    <x v="0"/>
    <x v="5"/>
    <s v="Aug"/>
    <s v="Q3"/>
    <s v="Senior"/>
    <s v="High"/>
    <s v="North - Salaried"/>
  </r>
  <r>
    <x v="1118"/>
    <s v="Vedant Mital"/>
    <n v="49"/>
    <x v="1"/>
    <x v="2"/>
    <x v="0"/>
    <x v="5"/>
    <x v="1"/>
    <x v="0"/>
    <n v="0.69"/>
    <d v="2021-10-25T00:00:00"/>
    <x v="2"/>
    <x v="0"/>
    <x v="2"/>
    <s v="Oct"/>
    <s v="Q4"/>
    <s v="Adult"/>
    <s v="Very High"/>
    <s v="Central - Student"/>
  </r>
  <r>
    <x v="1119"/>
    <s v="Varsha Raju"/>
    <n v="57"/>
    <x v="1"/>
    <x v="0"/>
    <x v="2"/>
    <x v="5"/>
    <x v="0"/>
    <x v="0"/>
    <n v="0.37"/>
    <d v="2018-02-19T00:00:00"/>
    <x v="2"/>
    <x v="0"/>
    <x v="1"/>
    <s v="Feb"/>
    <s v="Q1"/>
    <s v="Senior"/>
    <s v="High"/>
    <s v="Central - Self-employed"/>
  </r>
  <r>
    <x v="1120"/>
    <s v="Aadhya Jani"/>
    <n v="69"/>
    <x v="0"/>
    <x v="1"/>
    <x v="0"/>
    <x v="1"/>
    <x v="0"/>
    <x v="1"/>
    <n v="0.28999999999999998"/>
    <d v="2018-03-14T00:00:00"/>
    <x v="3"/>
    <x v="1"/>
    <x v="1"/>
    <s v="Mar"/>
    <s v="Q1"/>
    <s v="Senior"/>
    <s v="Low"/>
    <s v="East - Student"/>
  </r>
  <r>
    <x v="1121"/>
    <s v="Shivani Mani"/>
    <n v="25"/>
    <x v="1"/>
    <x v="2"/>
    <x v="3"/>
    <x v="0"/>
    <x v="1"/>
    <x v="1"/>
    <n v="0.59"/>
    <d v="2022-03-25T00:00:00"/>
    <x v="0"/>
    <x v="0"/>
    <x v="3"/>
    <s v="Mar"/>
    <s v="Q1"/>
    <s v="Young"/>
    <s v="High"/>
    <s v="West - Retired"/>
  </r>
  <r>
    <x v="1122"/>
    <s v="Bhavya Khurana"/>
    <n v="65"/>
    <x v="1"/>
    <x v="2"/>
    <x v="0"/>
    <x v="1"/>
    <x v="1"/>
    <x v="0"/>
    <n v="0.39"/>
    <d v="2019-06-26T00:00:00"/>
    <x v="3"/>
    <x v="0"/>
    <x v="4"/>
    <s v="Jun"/>
    <s v="Q2"/>
    <s v="Senior"/>
    <s v="Very High"/>
    <s v="East - Student"/>
  </r>
  <r>
    <x v="1123"/>
    <s v="Ayush Doshi"/>
    <n v="39"/>
    <x v="0"/>
    <x v="2"/>
    <x v="3"/>
    <x v="4"/>
    <x v="1"/>
    <x v="0"/>
    <n v="0.72"/>
    <d v="2020-10-29T00:00:00"/>
    <x v="1"/>
    <x v="2"/>
    <x v="0"/>
    <s v="Oct"/>
    <s v="Q4"/>
    <s v="Adult"/>
    <s v="Very High"/>
    <s v="North-East - Retired"/>
  </r>
  <r>
    <x v="1124"/>
    <s v="Ijaya Balan"/>
    <n v="64"/>
    <x v="1"/>
    <x v="1"/>
    <x v="1"/>
    <x v="0"/>
    <x v="0"/>
    <x v="0"/>
    <n v="0.55000000000000004"/>
    <d v="2018-03-27T00:00:00"/>
    <x v="3"/>
    <x v="0"/>
    <x v="1"/>
    <s v="Mar"/>
    <s v="Q1"/>
    <s v="Senior"/>
    <s v="High"/>
    <s v="West - Salaried"/>
  </r>
  <r>
    <x v="1125"/>
    <s v="Rachit Dada"/>
    <n v="37"/>
    <x v="1"/>
    <x v="2"/>
    <x v="3"/>
    <x v="0"/>
    <x v="0"/>
    <x v="0"/>
    <n v="0.17"/>
    <d v="2019-11-19T00:00:00"/>
    <x v="1"/>
    <x v="1"/>
    <x v="4"/>
    <s v="Nov"/>
    <s v="Q4"/>
    <s v="Adult"/>
    <s v="High"/>
    <s v="West - Retired"/>
  </r>
  <r>
    <x v="1126"/>
    <s v="Tripti Dasgupta"/>
    <n v="33"/>
    <x v="1"/>
    <x v="0"/>
    <x v="1"/>
    <x v="5"/>
    <x v="0"/>
    <x v="0"/>
    <n v="0.6"/>
    <d v="2018-01-02T00:00:00"/>
    <x v="1"/>
    <x v="0"/>
    <x v="1"/>
    <s v="Jan"/>
    <s v="Q1"/>
    <s v="Adult"/>
    <s v="High"/>
    <s v="Central - Salaried"/>
  </r>
  <r>
    <x v="1127"/>
    <s v="Faras Agarwal"/>
    <n v="25"/>
    <x v="0"/>
    <x v="1"/>
    <x v="1"/>
    <x v="4"/>
    <x v="0"/>
    <x v="1"/>
    <n v="0.39"/>
    <d v="2019-05-29T00:00:00"/>
    <x v="0"/>
    <x v="0"/>
    <x v="4"/>
    <s v="May"/>
    <s v="Q2"/>
    <s v="Young"/>
    <s v="Low"/>
    <s v="North-East - Salaried"/>
  </r>
  <r>
    <x v="1128"/>
    <s v="Dhriti Ramesh"/>
    <n v="38"/>
    <x v="1"/>
    <x v="0"/>
    <x v="0"/>
    <x v="0"/>
    <x v="0"/>
    <x v="1"/>
    <n v="0.19"/>
    <d v="2023-06-04T00:00:00"/>
    <x v="1"/>
    <x v="1"/>
    <x v="5"/>
    <s v="Jun"/>
    <s v="Q2"/>
    <s v="Adult"/>
    <s v="Low"/>
    <s v="West - Student"/>
  </r>
  <r>
    <x v="1129"/>
    <s v="Arunima Ghosh"/>
    <n v="66"/>
    <x v="0"/>
    <x v="0"/>
    <x v="0"/>
    <x v="4"/>
    <x v="1"/>
    <x v="1"/>
    <n v="0.43"/>
    <d v="2020-01-20T00:00:00"/>
    <x v="3"/>
    <x v="0"/>
    <x v="0"/>
    <s v="Jan"/>
    <s v="Q1"/>
    <s v="Senior"/>
    <s v="High"/>
    <s v="North-East - Student"/>
  </r>
  <r>
    <x v="1130"/>
    <s v="Krish Dave"/>
    <n v="43"/>
    <x v="1"/>
    <x v="2"/>
    <x v="0"/>
    <x v="1"/>
    <x v="1"/>
    <x v="0"/>
    <n v="0.57999999999999996"/>
    <d v="2020-10-12T00:00:00"/>
    <x v="1"/>
    <x v="0"/>
    <x v="0"/>
    <s v="Oct"/>
    <s v="Q4"/>
    <s v="Adult"/>
    <s v="Very High"/>
    <s v="East - Student"/>
  </r>
  <r>
    <x v="1131"/>
    <s v="Elijah Joshi"/>
    <n v="29"/>
    <x v="0"/>
    <x v="1"/>
    <x v="2"/>
    <x v="3"/>
    <x v="1"/>
    <x v="1"/>
    <n v="0.78"/>
    <d v="2019-10-11T00:00:00"/>
    <x v="0"/>
    <x v="2"/>
    <x v="4"/>
    <s v="Oct"/>
    <s v="Q4"/>
    <s v="Young"/>
    <s v="High"/>
    <s v="South - Self-employed"/>
  </r>
  <r>
    <x v="1132"/>
    <s v="Pallavi Kant"/>
    <n v="51"/>
    <x v="0"/>
    <x v="0"/>
    <x v="0"/>
    <x v="1"/>
    <x v="1"/>
    <x v="1"/>
    <n v="0.22"/>
    <d v="2022-03-27T00:00:00"/>
    <x v="2"/>
    <x v="1"/>
    <x v="3"/>
    <s v="Mar"/>
    <s v="Q1"/>
    <s v="Senior"/>
    <s v="High"/>
    <s v="East - Student"/>
  </r>
  <r>
    <x v="1133"/>
    <s v="Ekbal Narang"/>
    <n v="48"/>
    <x v="0"/>
    <x v="0"/>
    <x v="3"/>
    <x v="0"/>
    <x v="0"/>
    <x v="1"/>
    <n v="0.91"/>
    <d v="2023-04-27T00:00:00"/>
    <x v="2"/>
    <x v="2"/>
    <x v="5"/>
    <s v="Apr"/>
    <s v="Q2"/>
    <s v="Adult"/>
    <s v="Low"/>
    <s v="West - Retired"/>
  </r>
  <r>
    <x v="1134"/>
    <s v="Daksha Majumdar"/>
    <n v="49"/>
    <x v="0"/>
    <x v="0"/>
    <x v="0"/>
    <x v="2"/>
    <x v="0"/>
    <x v="0"/>
    <n v="0.45"/>
    <d v="2022-10-28T00:00:00"/>
    <x v="2"/>
    <x v="0"/>
    <x v="3"/>
    <s v="Oct"/>
    <s v="Q4"/>
    <s v="Adult"/>
    <s v="High"/>
    <s v="North - Student"/>
  </r>
  <r>
    <x v="1135"/>
    <s v="Jai Mahal"/>
    <n v="58"/>
    <x v="1"/>
    <x v="1"/>
    <x v="2"/>
    <x v="0"/>
    <x v="0"/>
    <x v="0"/>
    <n v="0.44"/>
    <d v="2018-10-24T00:00:00"/>
    <x v="2"/>
    <x v="0"/>
    <x v="1"/>
    <s v="Oct"/>
    <s v="Q4"/>
    <s v="Senior"/>
    <s v="High"/>
    <s v="West - Self-employed"/>
  </r>
  <r>
    <x v="1136"/>
    <s v="Tanvi Modi"/>
    <n v="29"/>
    <x v="1"/>
    <x v="0"/>
    <x v="3"/>
    <x v="0"/>
    <x v="0"/>
    <x v="1"/>
    <n v="0.51"/>
    <d v="2022-10-22T00:00:00"/>
    <x v="0"/>
    <x v="0"/>
    <x v="3"/>
    <s v="Oct"/>
    <s v="Q4"/>
    <s v="Young"/>
    <s v="Low"/>
    <s v="West - Retired"/>
  </r>
  <r>
    <x v="1137"/>
    <s v="Jalsa Saraf"/>
    <n v="62"/>
    <x v="1"/>
    <x v="1"/>
    <x v="3"/>
    <x v="0"/>
    <x v="0"/>
    <x v="1"/>
    <n v="0.63"/>
    <d v="2018-03-29T00:00:00"/>
    <x v="3"/>
    <x v="0"/>
    <x v="1"/>
    <s v="Mar"/>
    <s v="Q1"/>
    <s v="Senior"/>
    <s v="Low"/>
    <s v="West - Retired"/>
  </r>
  <r>
    <x v="1138"/>
    <s v="Logan Puri"/>
    <n v="38"/>
    <x v="0"/>
    <x v="1"/>
    <x v="2"/>
    <x v="0"/>
    <x v="0"/>
    <x v="1"/>
    <n v="0.61"/>
    <d v="2021-02-18T00:00:00"/>
    <x v="1"/>
    <x v="0"/>
    <x v="2"/>
    <s v="Feb"/>
    <s v="Q1"/>
    <s v="Adult"/>
    <s v="Low"/>
    <s v="West - Self-employed"/>
  </r>
  <r>
    <x v="1139"/>
    <s v="Vrishti Dave"/>
    <n v="55"/>
    <x v="1"/>
    <x v="1"/>
    <x v="0"/>
    <x v="1"/>
    <x v="1"/>
    <x v="0"/>
    <n v="0.54"/>
    <d v="2018-06-26T00:00:00"/>
    <x v="2"/>
    <x v="0"/>
    <x v="1"/>
    <s v="Jun"/>
    <s v="Q2"/>
    <s v="Senior"/>
    <s v="Very High"/>
    <s v="East - Student"/>
  </r>
  <r>
    <x v="1140"/>
    <s v="Tejas Bhavsar"/>
    <n v="57"/>
    <x v="0"/>
    <x v="2"/>
    <x v="3"/>
    <x v="3"/>
    <x v="1"/>
    <x v="1"/>
    <n v="1"/>
    <d v="2020-05-18T00:00:00"/>
    <x v="2"/>
    <x v="2"/>
    <x v="0"/>
    <s v="May"/>
    <s v="Q2"/>
    <s v="Senior"/>
    <s v="High"/>
    <s v="South - Retired"/>
  </r>
  <r>
    <x v="1141"/>
    <s v="Reva Prashad"/>
    <n v="20"/>
    <x v="1"/>
    <x v="2"/>
    <x v="2"/>
    <x v="4"/>
    <x v="0"/>
    <x v="1"/>
    <n v="0.4"/>
    <d v="2019-01-02T00:00:00"/>
    <x v="0"/>
    <x v="0"/>
    <x v="4"/>
    <s v="Jan"/>
    <s v="Q1"/>
    <s v="Young"/>
    <s v="Low"/>
    <s v="North-East - Self-employed"/>
  </r>
  <r>
    <x v="1142"/>
    <s v="George Misra"/>
    <n v="20"/>
    <x v="1"/>
    <x v="0"/>
    <x v="2"/>
    <x v="1"/>
    <x v="1"/>
    <x v="0"/>
    <n v="0.17"/>
    <d v="2023-04-14T00:00:00"/>
    <x v="0"/>
    <x v="1"/>
    <x v="5"/>
    <s v="Apr"/>
    <s v="Q2"/>
    <s v="Young"/>
    <s v="Very High"/>
    <s v="East - Self-employed"/>
  </r>
  <r>
    <x v="1143"/>
    <s v="Aarnav Gola"/>
    <n v="18"/>
    <x v="0"/>
    <x v="0"/>
    <x v="0"/>
    <x v="3"/>
    <x v="0"/>
    <x v="0"/>
    <n v="0.24"/>
    <d v="2020-10-13T00:00:00"/>
    <x v="0"/>
    <x v="1"/>
    <x v="0"/>
    <s v="Oct"/>
    <s v="Q4"/>
    <s v="Young"/>
    <s v="High"/>
    <s v="South - Student"/>
  </r>
  <r>
    <x v="1144"/>
    <s v="Mohini Srivastava"/>
    <n v="44"/>
    <x v="0"/>
    <x v="2"/>
    <x v="3"/>
    <x v="4"/>
    <x v="1"/>
    <x v="0"/>
    <n v="0.21"/>
    <d v="2022-06-18T00:00:00"/>
    <x v="1"/>
    <x v="1"/>
    <x v="3"/>
    <s v="Jun"/>
    <s v="Q2"/>
    <s v="Adult"/>
    <s v="Very High"/>
    <s v="North-East - Retired"/>
  </r>
  <r>
    <x v="1145"/>
    <s v="Pranit Walla"/>
    <n v="38"/>
    <x v="1"/>
    <x v="1"/>
    <x v="0"/>
    <x v="0"/>
    <x v="1"/>
    <x v="0"/>
    <n v="0.24"/>
    <d v="2019-02-14T00:00:00"/>
    <x v="1"/>
    <x v="1"/>
    <x v="4"/>
    <s v="Feb"/>
    <s v="Q1"/>
    <s v="Adult"/>
    <s v="Very High"/>
    <s v="West - Student"/>
  </r>
  <r>
    <x v="1146"/>
    <s v="Aadi Mital"/>
    <n v="26"/>
    <x v="0"/>
    <x v="2"/>
    <x v="1"/>
    <x v="4"/>
    <x v="0"/>
    <x v="0"/>
    <n v="0.25"/>
    <d v="2018-01-04T00:00:00"/>
    <x v="0"/>
    <x v="1"/>
    <x v="1"/>
    <s v="Jan"/>
    <s v="Q1"/>
    <s v="Young"/>
    <s v="High"/>
    <s v="North-East - Salaried"/>
  </r>
  <r>
    <x v="1147"/>
    <s v="Zayyan Patel"/>
    <n v="64"/>
    <x v="0"/>
    <x v="0"/>
    <x v="3"/>
    <x v="3"/>
    <x v="0"/>
    <x v="1"/>
    <n v="0.08"/>
    <d v="2020-04-07T00:00:00"/>
    <x v="3"/>
    <x v="1"/>
    <x v="0"/>
    <s v="Apr"/>
    <s v="Q2"/>
    <s v="Senior"/>
    <s v="Low"/>
    <s v="South - Retired"/>
  </r>
  <r>
    <x v="1148"/>
    <s v="Kritika Chacko"/>
    <n v="30"/>
    <x v="1"/>
    <x v="0"/>
    <x v="1"/>
    <x v="2"/>
    <x v="0"/>
    <x v="0"/>
    <n v="0.48"/>
    <d v="2022-06-06T00:00:00"/>
    <x v="0"/>
    <x v="0"/>
    <x v="3"/>
    <s v="Jun"/>
    <s v="Q2"/>
    <s v="Adult"/>
    <s v="High"/>
    <s v="North - Salaried"/>
  </r>
  <r>
    <x v="1149"/>
    <s v="Manthan Parmar"/>
    <n v="41"/>
    <x v="1"/>
    <x v="2"/>
    <x v="2"/>
    <x v="1"/>
    <x v="0"/>
    <x v="1"/>
    <n v="0.76"/>
    <d v="2021-10-06T00:00:00"/>
    <x v="1"/>
    <x v="2"/>
    <x v="2"/>
    <s v="Oct"/>
    <s v="Q4"/>
    <s v="Adult"/>
    <s v="Low"/>
    <s v="East - Self-employed"/>
  </r>
  <r>
    <x v="1150"/>
    <s v="Ishwar Lad"/>
    <n v="32"/>
    <x v="0"/>
    <x v="1"/>
    <x v="0"/>
    <x v="1"/>
    <x v="1"/>
    <x v="1"/>
    <n v="0.52"/>
    <d v="2019-12-08T00:00:00"/>
    <x v="1"/>
    <x v="0"/>
    <x v="4"/>
    <s v="Dec"/>
    <s v="Q4"/>
    <s v="Adult"/>
    <s v="High"/>
    <s v="East - Student"/>
  </r>
  <r>
    <x v="1151"/>
    <s v="Zansi Shukla"/>
    <n v="52"/>
    <x v="1"/>
    <x v="2"/>
    <x v="0"/>
    <x v="0"/>
    <x v="0"/>
    <x v="1"/>
    <n v="0.65"/>
    <d v="2020-06-24T00:00:00"/>
    <x v="2"/>
    <x v="0"/>
    <x v="0"/>
    <s v="Jun"/>
    <s v="Q2"/>
    <s v="Senior"/>
    <s v="Low"/>
    <s v="West - Student"/>
  </r>
  <r>
    <x v="1152"/>
    <s v="Tanay Bhatt"/>
    <n v="55"/>
    <x v="1"/>
    <x v="0"/>
    <x v="0"/>
    <x v="4"/>
    <x v="0"/>
    <x v="0"/>
    <n v="0.5"/>
    <d v="2020-07-08T00:00:00"/>
    <x v="2"/>
    <x v="0"/>
    <x v="0"/>
    <s v="Jul"/>
    <s v="Q3"/>
    <s v="Senior"/>
    <s v="High"/>
    <s v="North-East - Student"/>
  </r>
  <r>
    <x v="1153"/>
    <s v="Abhiram Mann"/>
    <n v="54"/>
    <x v="0"/>
    <x v="1"/>
    <x v="2"/>
    <x v="4"/>
    <x v="0"/>
    <x v="0"/>
    <n v="0.56000000000000005"/>
    <d v="2019-02-13T00:00:00"/>
    <x v="2"/>
    <x v="0"/>
    <x v="4"/>
    <s v="Feb"/>
    <s v="Q1"/>
    <s v="Senior"/>
    <s v="High"/>
    <s v="North-East - Self-employed"/>
  </r>
  <r>
    <x v="1154"/>
    <s v="Ekanta Mangal"/>
    <n v="33"/>
    <x v="1"/>
    <x v="1"/>
    <x v="1"/>
    <x v="5"/>
    <x v="0"/>
    <x v="0"/>
    <n v="0.44"/>
    <d v="2022-12-07T00:00:00"/>
    <x v="1"/>
    <x v="0"/>
    <x v="3"/>
    <s v="Dec"/>
    <s v="Q4"/>
    <s v="Adult"/>
    <s v="High"/>
    <s v="Central - Salaried"/>
  </r>
  <r>
    <x v="1155"/>
    <s v="Charles Wadhwa"/>
    <n v="54"/>
    <x v="1"/>
    <x v="0"/>
    <x v="1"/>
    <x v="1"/>
    <x v="0"/>
    <x v="0"/>
    <n v="0.67"/>
    <d v="2020-07-31T00:00:00"/>
    <x v="2"/>
    <x v="0"/>
    <x v="0"/>
    <s v="Jul"/>
    <s v="Q3"/>
    <s v="Senior"/>
    <s v="High"/>
    <s v="East - Salaried"/>
  </r>
  <r>
    <x v="1156"/>
    <s v="Yadavi Behl"/>
    <n v="60"/>
    <x v="1"/>
    <x v="0"/>
    <x v="0"/>
    <x v="3"/>
    <x v="1"/>
    <x v="1"/>
    <n v="0.42"/>
    <d v="2020-01-29T00:00:00"/>
    <x v="2"/>
    <x v="0"/>
    <x v="0"/>
    <s v="Jan"/>
    <s v="Q1"/>
    <s v="Senior"/>
    <s v="High"/>
    <s v="South - Student"/>
  </r>
  <r>
    <x v="1157"/>
    <s v="Harish Wason"/>
    <n v="39"/>
    <x v="0"/>
    <x v="2"/>
    <x v="0"/>
    <x v="0"/>
    <x v="1"/>
    <x v="0"/>
    <n v="0.28999999999999998"/>
    <d v="2018-04-20T00:00:00"/>
    <x v="1"/>
    <x v="1"/>
    <x v="1"/>
    <s v="Apr"/>
    <s v="Q2"/>
    <s v="Adult"/>
    <s v="Very High"/>
    <s v="West - Student"/>
  </r>
  <r>
    <x v="1158"/>
    <s v="Samuel Chad"/>
    <n v="50"/>
    <x v="1"/>
    <x v="1"/>
    <x v="2"/>
    <x v="0"/>
    <x v="1"/>
    <x v="1"/>
    <n v="0.73"/>
    <d v="2022-11-18T00:00:00"/>
    <x v="2"/>
    <x v="2"/>
    <x v="3"/>
    <s v="Nov"/>
    <s v="Q4"/>
    <s v="Adult"/>
    <s v="High"/>
    <s v="West - Self-employed"/>
  </r>
  <r>
    <x v="1159"/>
    <s v="Nitara Garde"/>
    <n v="57"/>
    <x v="0"/>
    <x v="0"/>
    <x v="0"/>
    <x v="4"/>
    <x v="0"/>
    <x v="0"/>
    <n v="0.62"/>
    <d v="2018-03-26T00:00:00"/>
    <x v="2"/>
    <x v="0"/>
    <x v="1"/>
    <s v="Mar"/>
    <s v="Q1"/>
    <s v="Senior"/>
    <s v="High"/>
    <s v="North-East - Student"/>
  </r>
  <r>
    <x v="1160"/>
    <s v="Alexander Sunder"/>
    <n v="38"/>
    <x v="1"/>
    <x v="2"/>
    <x v="0"/>
    <x v="1"/>
    <x v="1"/>
    <x v="0"/>
    <n v="0.54"/>
    <d v="2019-07-28T00:00:00"/>
    <x v="1"/>
    <x v="0"/>
    <x v="4"/>
    <s v="Jul"/>
    <s v="Q3"/>
    <s v="Adult"/>
    <s v="Very High"/>
    <s v="East - Student"/>
  </r>
  <r>
    <x v="1161"/>
    <s v="Pallavi Mitra"/>
    <n v="18"/>
    <x v="1"/>
    <x v="2"/>
    <x v="3"/>
    <x v="5"/>
    <x v="1"/>
    <x v="1"/>
    <n v="0.75"/>
    <d v="2019-07-27T00:00:00"/>
    <x v="0"/>
    <x v="2"/>
    <x v="4"/>
    <s v="Jul"/>
    <s v="Q3"/>
    <s v="Young"/>
    <s v="High"/>
    <s v="Central - Retired"/>
  </r>
  <r>
    <x v="1162"/>
    <s v="Ganga Sha"/>
    <n v="46"/>
    <x v="1"/>
    <x v="2"/>
    <x v="2"/>
    <x v="3"/>
    <x v="1"/>
    <x v="0"/>
    <n v="0.52"/>
    <d v="2021-10-14T00:00:00"/>
    <x v="2"/>
    <x v="0"/>
    <x v="2"/>
    <s v="Oct"/>
    <s v="Q4"/>
    <s v="Adult"/>
    <s v="Very High"/>
    <s v="South - Self-employed"/>
  </r>
  <r>
    <x v="1163"/>
    <s v="Priya Hora"/>
    <n v="30"/>
    <x v="0"/>
    <x v="2"/>
    <x v="1"/>
    <x v="5"/>
    <x v="0"/>
    <x v="1"/>
    <n v="0.81"/>
    <d v="2020-12-06T00:00:00"/>
    <x v="0"/>
    <x v="2"/>
    <x v="0"/>
    <s v="Dec"/>
    <s v="Q4"/>
    <s v="Adult"/>
    <s v="Low"/>
    <s v="Central - Salaried"/>
  </r>
  <r>
    <x v="1164"/>
    <s v="Ekbal Pradhan"/>
    <n v="58"/>
    <x v="1"/>
    <x v="2"/>
    <x v="3"/>
    <x v="4"/>
    <x v="1"/>
    <x v="0"/>
    <n v="0.35"/>
    <d v="2021-05-27T00:00:00"/>
    <x v="2"/>
    <x v="0"/>
    <x v="2"/>
    <s v="May"/>
    <s v="Q2"/>
    <s v="Senior"/>
    <s v="Very High"/>
    <s v="North-East - Retired"/>
  </r>
  <r>
    <x v="1165"/>
    <s v="Qasim Hayer"/>
    <n v="42"/>
    <x v="0"/>
    <x v="2"/>
    <x v="2"/>
    <x v="4"/>
    <x v="0"/>
    <x v="1"/>
    <n v="0.75"/>
    <d v="2020-12-03T00:00:00"/>
    <x v="1"/>
    <x v="2"/>
    <x v="0"/>
    <s v="Dec"/>
    <s v="Q4"/>
    <s v="Adult"/>
    <s v="Low"/>
    <s v="North-East - Self-employed"/>
  </r>
  <r>
    <x v="1166"/>
    <s v="Bimala Dube"/>
    <n v="24"/>
    <x v="0"/>
    <x v="0"/>
    <x v="3"/>
    <x v="5"/>
    <x v="0"/>
    <x v="0"/>
    <n v="0.53"/>
    <d v="2019-06-07T00:00:00"/>
    <x v="0"/>
    <x v="0"/>
    <x v="4"/>
    <s v="Jun"/>
    <s v="Q2"/>
    <s v="Young"/>
    <s v="High"/>
    <s v="Central - Retired"/>
  </r>
  <r>
    <x v="1167"/>
    <s v="Netra Rege"/>
    <n v="42"/>
    <x v="1"/>
    <x v="2"/>
    <x v="2"/>
    <x v="1"/>
    <x v="1"/>
    <x v="1"/>
    <n v="0.94"/>
    <d v="2018-03-05T00:00:00"/>
    <x v="1"/>
    <x v="2"/>
    <x v="1"/>
    <s v="Mar"/>
    <s v="Q1"/>
    <s v="Adult"/>
    <s v="High"/>
    <s v="East - Self-employed"/>
  </r>
  <r>
    <x v="1168"/>
    <s v="Lucky Bahl"/>
    <n v="64"/>
    <x v="0"/>
    <x v="0"/>
    <x v="1"/>
    <x v="1"/>
    <x v="0"/>
    <x v="0"/>
    <n v="0.66"/>
    <d v="2018-11-22T00:00:00"/>
    <x v="3"/>
    <x v="0"/>
    <x v="1"/>
    <s v="Nov"/>
    <s v="Q4"/>
    <s v="Senior"/>
    <s v="High"/>
    <s v="East - Salaried"/>
  </r>
  <r>
    <x v="1169"/>
    <s v="Neelima Samra"/>
    <n v="19"/>
    <x v="0"/>
    <x v="1"/>
    <x v="2"/>
    <x v="1"/>
    <x v="0"/>
    <x v="1"/>
    <n v="0.36"/>
    <d v="2018-02-03T00:00:00"/>
    <x v="0"/>
    <x v="0"/>
    <x v="1"/>
    <s v="Feb"/>
    <s v="Q1"/>
    <s v="Young"/>
    <s v="Low"/>
    <s v="East - Self-employed"/>
  </r>
  <r>
    <x v="1170"/>
    <s v="Samesh Venkataraman"/>
    <n v="50"/>
    <x v="0"/>
    <x v="0"/>
    <x v="0"/>
    <x v="0"/>
    <x v="1"/>
    <x v="0"/>
    <n v="0.47"/>
    <d v="2022-12-18T00:00:00"/>
    <x v="2"/>
    <x v="0"/>
    <x v="3"/>
    <s v="Dec"/>
    <s v="Q4"/>
    <s v="Adult"/>
    <s v="Very High"/>
    <s v="West - Student"/>
  </r>
  <r>
    <x v="1171"/>
    <s v="Kabir Deshmukh"/>
    <n v="23"/>
    <x v="1"/>
    <x v="1"/>
    <x v="1"/>
    <x v="1"/>
    <x v="0"/>
    <x v="1"/>
    <n v="0.71"/>
    <d v="2020-03-08T00:00:00"/>
    <x v="0"/>
    <x v="2"/>
    <x v="0"/>
    <s v="Mar"/>
    <s v="Q1"/>
    <s v="Young"/>
    <s v="Low"/>
    <s v="East - Salaried"/>
  </r>
  <r>
    <x v="1172"/>
    <s v="Arunima Barad"/>
    <n v="34"/>
    <x v="0"/>
    <x v="1"/>
    <x v="1"/>
    <x v="4"/>
    <x v="0"/>
    <x v="1"/>
    <n v="0.38"/>
    <d v="2021-01-16T00:00:00"/>
    <x v="1"/>
    <x v="0"/>
    <x v="2"/>
    <s v="Jan"/>
    <s v="Q1"/>
    <s v="Adult"/>
    <s v="Low"/>
    <s v="North-East - Salaried"/>
  </r>
  <r>
    <x v="1173"/>
    <s v="Ekaja Kata"/>
    <n v="44"/>
    <x v="1"/>
    <x v="1"/>
    <x v="3"/>
    <x v="2"/>
    <x v="1"/>
    <x v="0"/>
    <n v="0.43"/>
    <d v="2018-04-28T00:00:00"/>
    <x v="1"/>
    <x v="0"/>
    <x v="1"/>
    <s v="Apr"/>
    <s v="Q2"/>
    <s v="Adult"/>
    <s v="Very High"/>
    <s v="North - Retired"/>
  </r>
  <r>
    <x v="1174"/>
    <s v="Qarin Goda"/>
    <n v="20"/>
    <x v="0"/>
    <x v="0"/>
    <x v="1"/>
    <x v="0"/>
    <x v="0"/>
    <x v="0"/>
    <n v="0.67"/>
    <d v="2022-05-13T00:00:00"/>
    <x v="0"/>
    <x v="0"/>
    <x v="3"/>
    <s v="May"/>
    <s v="Q2"/>
    <s v="Young"/>
    <s v="High"/>
    <s v="West - Salaried"/>
  </r>
  <r>
    <x v="1175"/>
    <s v="Ayaan Chandran"/>
    <n v="52"/>
    <x v="1"/>
    <x v="2"/>
    <x v="3"/>
    <x v="3"/>
    <x v="0"/>
    <x v="1"/>
    <n v="0.6"/>
    <d v="2023-01-29T00:00:00"/>
    <x v="2"/>
    <x v="0"/>
    <x v="5"/>
    <s v="Jan"/>
    <s v="Q1"/>
    <s v="Senior"/>
    <s v="Low"/>
    <s v="South - Retired"/>
  </r>
  <r>
    <x v="1176"/>
    <s v="Aahana Warrior"/>
    <n v="35"/>
    <x v="1"/>
    <x v="0"/>
    <x v="0"/>
    <x v="2"/>
    <x v="1"/>
    <x v="0"/>
    <n v="0.34"/>
    <d v="2022-02-04T00:00:00"/>
    <x v="1"/>
    <x v="0"/>
    <x v="3"/>
    <s v="Feb"/>
    <s v="Q1"/>
    <s v="Adult"/>
    <s v="Very High"/>
    <s v="North - Student"/>
  </r>
  <r>
    <x v="1177"/>
    <s v="Reyansh Kari"/>
    <n v="58"/>
    <x v="0"/>
    <x v="0"/>
    <x v="3"/>
    <x v="3"/>
    <x v="0"/>
    <x v="0"/>
    <n v="0.27"/>
    <d v="2022-06-16T00:00:00"/>
    <x v="2"/>
    <x v="1"/>
    <x v="3"/>
    <s v="Jun"/>
    <s v="Q2"/>
    <s v="Senior"/>
    <s v="High"/>
    <s v="South - Retired"/>
  </r>
  <r>
    <x v="1178"/>
    <s v="Januja Golla"/>
    <n v="57"/>
    <x v="1"/>
    <x v="1"/>
    <x v="2"/>
    <x v="4"/>
    <x v="1"/>
    <x v="0"/>
    <n v="0.33"/>
    <d v="2020-02-20T00:00:00"/>
    <x v="2"/>
    <x v="0"/>
    <x v="0"/>
    <s v="Feb"/>
    <s v="Q1"/>
    <s v="Senior"/>
    <s v="Very High"/>
    <s v="North-East - Self-employed"/>
  </r>
  <r>
    <x v="1179"/>
    <s v="Jackson Kala"/>
    <n v="64"/>
    <x v="0"/>
    <x v="2"/>
    <x v="1"/>
    <x v="2"/>
    <x v="1"/>
    <x v="1"/>
    <n v="0.35"/>
    <d v="2019-11-28T00:00:00"/>
    <x v="3"/>
    <x v="0"/>
    <x v="4"/>
    <s v="Nov"/>
    <s v="Q4"/>
    <s v="Senior"/>
    <s v="High"/>
    <s v="North - Salaried"/>
  </r>
  <r>
    <x v="1180"/>
    <s v="Yagnesh Kumar"/>
    <n v="45"/>
    <x v="0"/>
    <x v="0"/>
    <x v="0"/>
    <x v="0"/>
    <x v="0"/>
    <x v="0"/>
    <n v="0.28000000000000003"/>
    <d v="2019-04-08T00:00:00"/>
    <x v="1"/>
    <x v="1"/>
    <x v="4"/>
    <s v="Apr"/>
    <s v="Q2"/>
    <s v="Adult"/>
    <s v="High"/>
    <s v="West - Student"/>
  </r>
  <r>
    <x v="1181"/>
    <s v="Jonathan Kalita"/>
    <n v="20"/>
    <x v="0"/>
    <x v="1"/>
    <x v="2"/>
    <x v="0"/>
    <x v="1"/>
    <x v="0"/>
    <n v="0.36"/>
    <d v="2021-06-16T00:00:00"/>
    <x v="0"/>
    <x v="0"/>
    <x v="2"/>
    <s v="Jun"/>
    <s v="Q2"/>
    <s v="Young"/>
    <s v="Very High"/>
    <s v="West - Self-employed"/>
  </r>
  <r>
    <x v="1182"/>
    <s v="Quincy Tella"/>
    <n v="46"/>
    <x v="0"/>
    <x v="1"/>
    <x v="0"/>
    <x v="3"/>
    <x v="0"/>
    <x v="0"/>
    <n v="0.6"/>
    <d v="2021-06-08T00:00:00"/>
    <x v="2"/>
    <x v="0"/>
    <x v="2"/>
    <s v="Jun"/>
    <s v="Q2"/>
    <s v="Adult"/>
    <s v="High"/>
    <s v="South - Student"/>
  </r>
  <r>
    <x v="1183"/>
    <s v="Chanchal Misra"/>
    <n v="26"/>
    <x v="0"/>
    <x v="1"/>
    <x v="0"/>
    <x v="3"/>
    <x v="0"/>
    <x v="1"/>
    <n v="0.32"/>
    <d v="2021-08-19T00:00:00"/>
    <x v="0"/>
    <x v="0"/>
    <x v="2"/>
    <s v="Aug"/>
    <s v="Q3"/>
    <s v="Young"/>
    <s v="Low"/>
    <s v="South - Student"/>
  </r>
  <r>
    <x v="1184"/>
    <s v="Priya Ahluwalia"/>
    <n v="27"/>
    <x v="1"/>
    <x v="1"/>
    <x v="1"/>
    <x v="2"/>
    <x v="1"/>
    <x v="0"/>
    <n v="0.1"/>
    <d v="2020-09-09T00:00:00"/>
    <x v="0"/>
    <x v="1"/>
    <x v="0"/>
    <s v="Sep"/>
    <s v="Q3"/>
    <s v="Young"/>
    <s v="Very High"/>
    <s v="North - Salaried"/>
  </r>
  <r>
    <x v="1185"/>
    <s v="Pushti Hans"/>
    <n v="20"/>
    <x v="1"/>
    <x v="1"/>
    <x v="2"/>
    <x v="4"/>
    <x v="1"/>
    <x v="1"/>
    <n v="0.3"/>
    <d v="2018-12-01T00:00:00"/>
    <x v="0"/>
    <x v="0"/>
    <x v="1"/>
    <s v="Dec"/>
    <s v="Q4"/>
    <s v="Young"/>
    <s v="High"/>
    <s v="North-East - Self-employed"/>
  </r>
  <r>
    <x v="1186"/>
    <s v="Owen Bhagat"/>
    <n v="25"/>
    <x v="0"/>
    <x v="2"/>
    <x v="3"/>
    <x v="5"/>
    <x v="0"/>
    <x v="1"/>
    <n v="0.4"/>
    <d v="2020-05-01T00:00:00"/>
    <x v="0"/>
    <x v="0"/>
    <x v="0"/>
    <s v="May"/>
    <s v="Q2"/>
    <s v="Young"/>
    <s v="Low"/>
    <s v="Central - Retired"/>
  </r>
  <r>
    <x v="1187"/>
    <s v="Yug Sarkar"/>
    <n v="58"/>
    <x v="0"/>
    <x v="1"/>
    <x v="2"/>
    <x v="5"/>
    <x v="0"/>
    <x v="0"/>
    <n v="0.52"/>
    <d v="2021-01-18T00:00:00"/>
    <x v="2"/>
    <x v="0"/>
    <x v="2"/>
    <s v="Jan"/>
    <s v="Q1"/>
    <s v="Senior"/>
    <s v="High"/>
    <s v="Central - Self-employed"/>
  </r>
  <r>
    <x v="1188"/>
    <s v="Jalsa Goel"/>
    <n v="28"/>
    <x v="0"/>
    <x v="1"/>
    <x v="1"/>
    <x v="3"/>
    <x v="0"/>
    <x v="0"/>
    <n v="0.28000000000000003"/>
    <d v="2021-01-30T00:00:00"/>
    <x v="0"/>
    <x v="1"/>
    <x v="2"/>
    <s v="Jan"/>
    <s v="Q1"/>
    <s v="Young"/>
    <s v="High"/>
    <s v="South - Salaried"/>
  </r>
  <r>
    <x v="1189"/>
    <s v="Vincent Parekh"/>
    <n v="67"/>
    <x v="1"/>
    <x v="2"/>
    <x v="1"/>
    <x v="2"/>
    <x v="1"/>
    <x v="1"/>
    <n v="0.77"/>
    <d v="2019-10-25T00:00:00"/>
    <x v="3"/>
    <x v="2"/>
    <x v="4"/>
    <s v="Oct"/>
    <s v="Q4"/>
    <s v="Senior"/>
    <s v="High"/>
    <s v="North - Salaried"/>
  </r>
  <r>
    <x v="1190"/>
    <s v="Gaurangi Bhatti"/>
    <n v="41"/>
    <x v="0"/>
    <x v="2"/>
    <x v="2"/>
    <x v="2"/>
    <x v="1"/>
    <x v="0"/>
    <n v="0.36"/>
    <d v="2021-12-27T00:00:00"/>
    <x v="1"/>
    <x v="0"/>
    <x v="2"/>
    <s v="Dec"/>
    <s v="Q4"/>
    <s v="Adult"/>
    <s v="Very High"/>
    <s v="North - Self-employed"/>
  </r>
  <r>
    <x v="1191"/>
    <s v="Vinaya Ramakrishnan"/>
    <n v="66"/>
    <x v="1"/>
    <x v="0"/>
    <x v="1"/>
    <x v="5"/>
    <x v="0"/>
    <x v="1"/>
    <n v="0.24"/>
    <d v="2020-05-11T00:00:00"/>
    <x v="3"/>
    <x v="1"/>
    <x v="0"/>
    <s v="May"/>
    <s v="Q2"/>
    <s v="Senior"/>
    <s v="Low"/>
    <s v="Central - Salaried"/>
  </r>
  <r>
    <x v="1192"/>
    <s v="Kala Koshy"/>
    <n v="22"/>
    <x v="1"/>
    <x v="2"/>
    <x v="3"/>
    <x v="4"/>
    <x v="1"/>
    <x v="0"/>
    <n v="0.27"/>
    <d v="2021-09-14T00:00:00"/>
    <x v="0"/>
    <x v="1"/>
    <x v="2"/>
    <s v="Sep"/>
    <s v="Q3"/>
    <s v="Young"/>
    <s v="Very High"/>
    <s v="North-East - Retired"/>
  </r>
  <r>
    <x v="1193"/>
    <s v="Kala Kanda"/>
    <n v="57"/>
    <x v="0"/>
    <x v="0"/>
    <x v="0"/>
    <x v="3"/>
    <x v="0"/>
    <x v="0"/>
    <n v="0.72"/>
    <d v="2021-04-16T00:00:00"/>
    <x v="2"/>
    <x v="2"/>
    <x v="2"/>
    <s v="Apr"/>
    <s v="Q2"/>
    <s v="Senior"/>
    <s v="High"/>
    <s v="South - Student"/>
  </r>
  <r>
    <x v="1194"/>
    <s v="Nidhi Prabhakar"/>
    <n v="65"/>
    <x v="1"/>
    <x v="2"/>
    <x v="1"/>
    <x v="2"/>
    <x v="1"/>
    <x v="1"/>
    <n v="0.46"/>
    <d v="2019-04-21T00:00:00"/>
    <x v="3"/>
    <x v="0"/>
    <x v="4"/>
    <s v="Apr"/>
    <s v="Q2"/>
    <s v="Senior"/>
    <s v="High"/>
    <s v="North - Salaried"/>
  </r>
  <r>
    <x v="1195"/>
    <s v="Bhavya Sathe"/>
    <n v="24"/>
    <x v="0"/>
    <x v="2"/>
    <x v="0"/>
    <x v="3"/>
    <x v="0"/>
    <x v="1"/>
    <n v="0.38"/>
    <d v="2022-10-07T00:00:00"/>
    <x v="0"/>
    <x v="0"/>
    <x v="3"/>
    <s v="Oct"/>
    <s v="Q4"/>
    <s v="Young"/>
    <s v="Low"/>
    <s v="South - Student"/>
  </r>
  <r>
    <x v="1196"/>
    <s v="Meera Saraf"/>
    <n v="41"/>
    <x v="0"/>
    <x v="1"/>
    <x v="3"/>
    <x v="0"/>
    <x v="0"/>
    <x v="0"/>
    <n v="0.5"/>
    <d v="2021-03-22T00:00:00"/>
    <x v="1"/>
    <x v="0"/>
    <x v="2"/>
    <s v="Mar"/>
    <s v="Q1"/>
    <s v="Adult"/>
    <s v="High"/>
    <s v="West - Retired"/>
  </r>
  <r>
    <x v="1197"/>
    <s v="Viraj Nigam"/>
    <n v="28"/>
    <x v="1"/>
    <x v="2"/>
    <x v="3"/>
    <x v="0"/>
    <x v="0"/>
    <x v="0"/>
    <n v="0.72"/>
    <d v="2018-08-11T00:00:00"/>
    <x v="0"/>
    <x v="2"/>
    <x v="1"/>
    <s v="Aug"/>
    <s v="Q3"/>
    <s v="Young"/>
    <s v="High"/>
    <s v="West - Retired"/>
  </r>
  <r>
    <x v="1198"/>
    <s v="Nikita Datta"/>
    <n v="41"/>
    <x v="0"/>
    <x v="2"/>
    <x v="0"/>
    <x v="3"/>
    <x v="1"/>
    <x v="0"/>
    <n v="0.75"/>
    <d v="2018-08-21T00:00:00"/>
    <x v="1"/>
    <x v="2"/>
    <x v="1"/>
    <s v="Aug"/>
    <s v="Q3"/>
    <s v="Adult"/>
    <s v="Very High"/>
    <s v="South - Student"/>
  </r>
  <r>
    <x v="1199"/>
    <s v="Zaid Dube"/>
    <n v="65"/>
    <x v="0"/>
    <x v="1"/>
    <x v="0"/>
    <x v="3"/>
    <x v="0"/>
    <x v="1"/>
    <n v="0.43"/>
    <d v="2021-06-13T00:00:00"/>
    <x v="3"/>
    <x v="0"/>
    <x v="2"/>
    <s v="Jun"/>
    <s v="Q2"/>
    <s v="Senior"/>
    <s v="Low"/>
    <s v="South - Student"/>
  </r>
  <r>
    <x v="1200"/>
    <s v="Samaksh Rama"/>
    <n v="34"/>
    <x v="0"/>
    <x v="1"/>
    <x v="1"/>
    <x v="1"/>
    <x v="1"/>
    <x v="0"/>
    <n v="0.05"/>
    <d v="2019-09-23T00:00:00"/>
    <x v="1"/>
    <x v="1"/>
    <x v="4"/>
    <s v="Sep"/>
    <s v="Q3"/>
    <s v="Adult"/>
    <s v="Very High"/>
    <s v="East - Salaried"/>
  </r>
  <r>
    <x v="1201"/>
    <s v="Hamsini Soman"/>
    <n v="31"/>
    <x v="0"/>
    <x v="0"/>
    <x v="0"/>
    <x v="5"/>
    <x v="1"/>
    <x v="1"/>
    <n v="0.43"/>
    <d v="2022-03-29T00:00:00"/>
    <x v="1"/>
    <x v="0"/>
    <x v="3"/>
    <s v="Mar"/>
    <s v="Q1"/>
    <s v="Adult"/>
    <s v="High"/>
    <s v="Central - Student"/>
  </r>
  <r>
    <x v="1202"/>
    <s v="Naksh Shankar"/>
    <n v="40"/>
    <x v="1"/>
    <x v="2"/>
    <x v="3"/>
    <x v="4"/>
    <x v="0"/>
    <x v="1"/>
    <n v="0.48"/>
    <d v="2019-07-23T00:00:00"/>
    <x v="1"/>
    <x v="0"/>
    <x v="4"/>
    <s v="Jul"/>
    <s v="Q3"/>
    <s v="Adult"/>
    <s v="Low"/>
    <s v="North-East - Retired"/>
  </r>
  <r>
    <x v="1203"/>
    <s v="Ronith Kapur"/>
    <n v="21"/>
    <x v="1"/>
    <x v="1"/>
    <x v="0"/>
    <x v="5"/>
    <x v="0"/>
    <x v="1"/>
    <n v="0.71"/>
    <d v="2022-01-14T00:00:00"/>
    <x v="0"/>
    <x v="2"/>
    <x v="3"/>
    <s v="Jan"/>
    <s v="Q1"/>
    <s v="Young"/>
    <s v="Low"/>
    <s v="Central - Student"/>
  </r>
  <r>
    <x v="1204"/>
    <s v="Nirja Narasimhan"/>
    <n v="56"/>
    <x v="0"/>
    <x v="1"/>
    <x v="0"/>
    <x v="1"/>
    <x v="0"/>
    <x v="0"/>
    <n v="0.45"/>
    <d v="2020-07-07T00:00:00"/>
    <x v="2"/>
    <x v="0"/>
    <x v="0"/>
    <s v="Jul"/>
    <s v="Q3"/>
    <s v="Senior"/>
    <s v="High"/>
    <s v="East - Student"/>
  </r>
  <r>
    <x v="1205"/>
    <s v="Yatin Bal"/>
    <n v="26"/>
    <x v="0"/>
    <x v="0"/>
    <x v="1"/>
    <x v="3"/>
    <x v="0"/>
    <x v="1"/>
    <n v="0.37"/>
    <d v="2020-12-05T00:00:00"/>
    <x v="0"/>
    <x v="0"/>
    <x v="0"/>
    <s v="Dec"/>
    <s v="Q4"/>
    <s v="Young"/>
    <s v="Low"/>
    <s v="South - Salaried"/>
  </r>
  <r>
    <x v="1206"/>
    <s v="Chaman Singhal"/>
    <n v="54"/>
    <x v="1"/>
    <x v="1"/>
    <x v="3"/>
    <x v="3"/>
    <x v="0"/>
    <x v="1"/>
    <n v="0.32"/>
    <d v="2021-03-24T00:00:00"/>
    <x v="2"/>
    <x v="0"/>
    <x v="2"/>
    <s v="Mar"/>
    <s v="Q1"/>
    <s v="Senior"/>
    <s v="Low"/>
    <s v="South - Retired"/>
  </r>
  <r>
    <x v="1207"/>
    <s v="Faras Sagar"/>
    <n v="27"/>
    <x v="1"/>
    <x v="0"/>
    <x v="3"/>
    <x v="2"/>
    <x v="0"/>
    <x v="1"/>
    <n v="0.46"/>
    <d v="2018-05-25T00:00:00"/>
    <x v="0"/>
    <x v="0"/>
    <x v="1"/>
    <s v="May"/>
    <s v="Q2"/>
    <s v="Young"/>
    <s v="Low"/>
    <s v="North - Retired"/>
  </r>
  <r>
    <x v="1208"/>
    <s v="Sathvik Som"/>
    <n v="22"/>
    <x v="0"/>
    <x v="1"/>
    <x v="2"/>
    <x v="3"/>
    <x v="1"/>
    <x v="1"/>
    <n v="0.62"/>
    <d v="2018-11-10T00:00:00"/>
    <x v="0"/>
    <x v="0"/>
    <x v="1"/>
    <s v="Nov"/>
    <s v="Q4"/>
    <s v="Young"/>
    <s v="High"/>
    <s v="South - Self-employed"/>
  </r>
  <r>
    <x v="1209"/>
    <s v="Ladli Bhargava"/>
    <n v="65"/>
    <x v="1"/>
    <x v="2"/>
    <x v="1"/>
    <x v="2"/>
    <x v="1"/>
    <x v="0"/>
    <n v="0.33"/>
    <d v="2022-03-26T00:00:00"/>
    <x v="3"/>
    <x v="0"/>
    <x v="3"/>
    <s v="Mar"/>
    <s v="Q1"/>
    <s v="Senior"/>
    <s v="Very High"/>
    <s v="North - Salaried"/>
  </r>
  <r>
    <x v="1210"/>
    <s v="Ojas Agrawal"/>
    <n v="31"/>
    <x v="1"/>
    <x v="1"/>
    <x v="0"/>
    <x v="1"/>
    <x v="1"/>
    <x v="1"/>
    <n v="0.42"/>
    <d v="2018-07-31T00:00:00"/>
    <x v="1"/>
    <x v="0"/>
    <x v="1"/>
    <s v="Jul"/>
    <s v="Q3"/>
    <s v="Adult"/>
    <s v="High"/>
    <s v="East - Student"/>
  </r>
  <r>
    <x v="1211"/>
    <s v="Vasatika Bahl"/>
    <n v="28"/>
    <x v="0"/>
    <x v="2"/>
    <x v="2"/>
    <x v="4"/>
    <x v="0"/>
    <x v="1"/>
    <n v="0.42"/>
    <d v="2023-04-11T00:00:00"/>
    <x v="0"/>
    <x v="0"/>
    <x v="5"/>
    <s v="Apr"/>
    <s v="Q2"/>
    <s v="Young"/>
    <s v="Low"/>
    <s v="North-East - Self-employed"/>
  </r>
  <r>
    <x v="1212"/>
    <s v="Jacob Deep"/>
    <n v="66"/>
    <x v="0"/>
    <x v="1"/>
    <x v="0"/>
    <x v="2"/>
    <x v="0"/>
    <x v="0"/>
    <n v="0.51"/>
    <d v="2023-11-27T00:00:00"/>
    <x v="3"/>
    <x v="0"/>
    <x v="5"/>
    <s v="Nov"/>
    <s v="Q4"/>
    <s v="Senior"/>
    <s v="High"/>
    <s v="North - Student"/>
  </r>
  <r>
    <x v="1213"/>
    <s v="Chameli Sathe"/>
    <n v="53"/>
    <x v="0"/>
    <x v="0"/>
    <x v="0"/>
    <x v="4"/>
    <x v="0"/>
    <x v="0"/>
    <n v="0.46"/>
    <d v="2018-10-03T00:00:00"/>
    <x v="2"/>
    <x v="0"/>
    <x v="1"/>
    <s v="Oct"/>
    <s v="Q4"/>
    <s v="Senior"/>
    <s v="High"/>
    <s v="North-East - Student"/>
  </r>
  <r>
    <x v="1214"/>
    <s v="Qarin Naik"/>
    <n v="50"/>
    <x v="1"/>
    <x v="1"/>
    <x v="1"/>
    <x v="4"/>
    <x v="1"/>
    <x v="1"/>
    <n v="0.79"/>
    <d v="2020-03-04T00:00:00"/>
    <x v="2"/>
    <x v="2"/>
    <x v="0"/>
    <s v="Mar"/>
    <s v="Q1"/>
    <s v="Adult"/>
    <s v="High"/>
    <s v="North-East - Salaried"/>
  </r>
  <r>
    <x v="1215"/>
    <s v="Maanas Gala"/>
    <n v="21"/>
    <x v="0"/>
    <x v="0"/>
    <x v="0"/>
    <x v="2"/>
    <x v="0"/>
    <x v="1"/>
    <n v="0.08"/>
    <d v="2023-07-01T00:00:00"/>
    <x v="0"/>
    <x v="1"/>
    <x v="5"/>
    <s v="Jul"/>
    <s v="Q3"/>
    <s v="Young"/>
    <s v="Low"/>
    <s v="North - Student"/>
  </r>
  <r>
    <x v="1216"/>
    <s v="Samesh Halder"/>
    <n v="44"/>
    <x v="1"/>
    <x v="2"/>
    <x v="3"/>
    <x v="1"/>
    <x v="1"/>
    <x v="0"/>
    <n v="0.85"/>
    <d v="2022-08-30T00:00:00"/>
    <x v="1"/>
    <x v="2"/>
    <x v="3"/>
    <s v="Aug"/>
    <s v="Q3"/>
    <s v="Adult"/>
    <s v="Very High"/>
    <s v="East - Retired"/>
  </r>
  <r>
    <x v="1217"/>
    <s v="Triveni Dewan"/>
    <n v="41"/>
    <x v="0"/>
    <x v="0"/>
    <x v="1"/>
    <x v="0"/>
    <x v="1"/>
    <x v="1"/>
    <n v="0.5"/>
    <d v="2020-05-08T00:00:00"/>
    <x v="1"/>
    <x v="0"/>
    <x v="0"/>
    <s v="May"/>
    <s v="Q2"/>
    <s v="Adult"/>
    <s v="High"/>
    <s v="West - Salaried"/>
  </r>
  <r>
    <x v="1218"/>
    <s v="Adweta Tiwari"/>
    <n v="65"/>
    <x v="0"/>
    <x v="1"/>
    <x v="3"/>
    <x v="1"/>
    <x v="1"/>
    <x v="0"/>
    <n v="0.77"/>
    <d v="2019-12-24T00:00:00"/>
    <x v="3"/>
    <x v="2"/>
    <x v="4"/>
    <s v="Dec"/>
    <s v="Q4"/>
    <s v="Senior"/>
    <s v="Very High"/>
    <s v="East - Retired"/>
  </r>
  <r>
    <x v="1219"/>
    <s v="Imaran Golla"/>
    <n v="32"/>
    <x v="1"/>
    <x v="1"/>
    <x v="1"/>
    <x v="4"/>
    <x v="1"/>
    <x v="1"/>
    <n v="0.62"/>
    <d v="2021-11-24T00:00:00"/>
    <x v="1"/>
    <x v="0"/>
    <x v="2"/>
    <s v="Nov"/>
    <s v="Q4"/>
    <s v="Adult"/>
    <s v="High"/>
    <s v="North-East - Salaried"/>
  </r>
  <r>
    <x v="1220"/>
    <s v="Leela Master"/>
    <n v="33"/>
    <x v="1"/>
    <x v="2"/>
    <x v="1"/>
    <x v="2"/>
    <x v="0"/>
    <x v="0"/>
    <n v="0.78"/>
    <d v="2023-03-21T00:00:00"/>
    <x v="1"/>
    <x v="2"/>
    <x v="5"/>
    <s v="Mar"/>
    <s v="Q1"/>
    <s v="Adult"/>
    <s v="High"/>
    <s v="North - Salaried"/>
  </r>
  <r>
    <x v="1221"/>
    <s v="Indrajit Bali"/>
    <n v="52"/>
    <x v="0"/>
    <x v="0"/>
    <x v="0"/>
    <x v="2"/>
    <x v="0"/>
    <x v="1"/>
    <n v="0.42"/>
    <d v="2020-08-09T00:00:00"/>
    <x v="2"/>
    <x v="0"/>
    <x v="0"/>
    <s v="Aug"/>
    <s v="Q3"/>
    <s v="Senior"/>
    <s v="Low"/>
    <s v="North - Student"/>
  </r>
  <r>
    <x v="1222"/>
    <s v="Nandini Koshy"/>
    <n v="66"/>
    <x v="1"/>
    <x v="0"/>
    <x v="0"/>
    <x v="4"/>
    <x v="1"/>
    <x v="1"/>
    <n v="0.56999999999999995"/>
    <d v="2018-06-04T00:00:00"/>
    <x v="3"/>
    <x v="0"/>
    <x v="1"/>
    <s v="Jun"/>
    <s v="Q2"/>
    <s v="Senior"/>
    <s v="High"/>
    <s v="North-East - Student"/>
  </r>
  <r>
    <x v="1223"/>
    <s v="Bahadurjit Bumb"/>
    <n v="37"/>
    <x v="0"/>
    <x v="2"/>
    <x v="2"/>
    <x v="2"/>
    <x v="0"/>
    <x v="0"/>
    <n v="0.68"/>
    <d v="2021-01-06T00:00:00"/>
    <x v="1"/>
    <x v="0"/>
    <x v="2"/>
    <s v="Jan"/>
    <s v="Q1"/>
    <s v="Adult"/>
    <s v="High"/>
    <s v="North - Self-employed"/>
  </r>
  <r>
    <x v="1224"/>
    <s v="Upkaar Kata"/>
    <n v="40"/>
    <x v="0"/>
    <x v="2"/>
    <x v="1"/>
    <x v="0"/>
    <x v="1"/>
    <x v="0"/>
    <n v="0.55000000000000004"/>
    <d v="2022-04-11T00:00:00"/>
    <x v="1"/>
    <x v="0"/>
    <x v="3"/>
    <s v="Apr"/>
    <s v="Q2"/>
    <s v="Adult"/>
    <s v="Very High"/>
    <s v="West - Salaried"/>
  </r>
  <r>
    <x v="1225"/>
    <s v="Anusha Walla"/>
    <n v="22"/>
    <x v="1"/>
    <x v="0"/>
    <x v="2"/>
    <x v="1"/>
    <x v="1"/>
    <x v="1"/>
    <n v="0.6"/>
    <d v="2022-01-15T00:00:00"/>
    <x v="0"/>
    <x v="0"/>
    <x v="3"/>
    <s v="Jan"/>
    <s v="Q1"/>
    <s v="Young"/>
    <s v="High"/>
    <s v="East - Self-employed"/>
  </r>
  <r>
    <x v="1226"/>
    <s v="Baghyawati Bath"/>
    <n v="33"/>
    <x v="0"/>
    <x v="0"/>
    <x v="0"/>
    <x v="2"/>
    <x v="1"/>
    <x v="0"/>
    <n v="0.44"/>
    <d v="2018-03-11T00:00:00"/>
    <x v="1"/>
    <x v="0"/>
    <x v="1"/>
    <s v="Mar"/>
    <s v="Q1"/>
    <s v="Adult"/>
    <s v="Very High"/>
    <s v="North - Student"/>
  </r>
  <r>
    <x v="1227"/>
    <s v="Gaurang Bhatia"/>
    <n v="48"/>
    <x v="0"/>
    <x v="2"/>
    <x v="3"/>
    <x v="4"/>
    <x v="1"/>
    <x v="1"/>
    <n v="0.65"/>
    <d v="2022-01-30T00:00:00"/>
    <x v="2"/>
    <x v="0"/>
    <x v="3"/>
    <s v="Jan"/>
    <s v="Q1"/>
    <s v="Adult"/>
    <s v="High"/>
    <s v="North-East - Retired"/>
  </r>
  <r>
    <x v="1228"/>
    <s v="Radha Tak"/>
    <n v="18"/>
    <x v="0"/>
    <x v="0"/>
    <x v="3"/>
    <x v="2"/>
    <x v="0"/>
    <x v="0"/>
    <n v="0.48"/>
    <d v="2022-03-13T00:00:00"/>
    <x v="0"/>
    <x v="0"/>
    <x v="3"/>
    <s v="Mar"/>
    <s v="Q1"/>
    <s v="Young"/>
    <s v="High"/>
    <s v="North - Retired"/>
  </r>
  <r>
    <x v="1229"/>
    <s v="Baljiwan Borah"/>
    <n v="30"/>
    <x v="1"/>
    <x v="1"/>
    <x v="2"/>
    <x v="3"/>
    <x v="0"/>
    <x v="1"/>
    <n v="0.68"/>
    <d v="2022-01-05T00:00:00"/>
    <x v="0"/>
    <x v="0"/>
    <x v="3"/>
    <s v="Jan"/>
    <s v="Q1"/>
    <s v="Adult"/>
    <s v="Low"/>
    <s v="South - Self-employed"/>
  </r>
  <r>
    <x v="1230"/>
    <s v="Gavin Chawla"/>
    <n v="50"/>
    <x v="1"/>
    <x v="0"/>
    <x v="3"/>
    <x v="5"/>
    <x v="1"/>
    <x v="0"/>
    <n v="0.75"/>
    <d v="2020-12-03T00:00:00"/>
    <x v="2"/>
    <x v="2"/>
    <x v="0"/>
    <s v="Dec"/>
    <s v="Q4"/>
    <s v="Adult"/>
    <s v="Very High"/>
    <s v="Central - Retired"/>
  </r>
  <r>
    <x v="1231"/>
    <s v="Advaith Mandal"/>
    <n v="23"/>
    <x v="0"/>
    <x v="1"/>
    <x v="0"/>
    <x v="1"/>
    <x v="0"/>
    <x v="0"/>
    <n v="0.52"/>
    <d v="2018-06-29T00:00:00"/>
    <x v="0"/>
    <x v="0"/>
    <x v="1"/>
    <s v="Jun"/>
    <s v="Q2"/>
    <s v="Young"/>
    <s v="High"/>
    <s v="East - Student"/>
  </r>
  <r>
    <x v="1232"/>
    <s v="Aryan Batta"/>
    <n v="37"/>
    <x v="1"/>
    <x v="1"/>
    <x v="3"/>
    <x v="0"/>
    <x v="1"/>
    <x v="0"/>
    <n v="0.81"/>
    <d v="2023-11-19T00:00:00"/>
    <x v="1"/>
    <x v="2"/>
    <x v="5"/>
    <s v="Nov"/>
    <s v="Q4"/>
    <s v="Adult"/>
    <s v="Very High"/>
    <s v="West - Retired"/>
  </r>
  <r>
    <x v="1233"/>
    <s v="Omisha Sahni"/>
    <n v="67"/>
    <x v="0"/>
    <x v="2"/>
    <x v="3"/>
    <x v="0"/>
    <x v="0"/>
    <x v="0"/>
    <n v="0.2"/>
    <d v="2019-02-25T00:00:00"/>
    <x v="3"/>
    <x v="1"/>
    <x v="4"/>
    <s v="Feb"/>
    <s v="Q1"/>
    <s v="Senior"/>
    <s v="High"/>
    <s v="West - Retired"/>
  </r>
  <r>
    <x v="1234"/>
    <s v="Balveer Koshy"/>
    <n v="56"/>
    <x v="1"/>
    <x v="1"/>
    <x v="1"/>
    <x v="4"/>
    <x v="0"/>
    <x v="1"/>
    <n v="0.23"/>
    <d v="2023-12-31T00:00:00"/>
    <x v="2"/>
    <x v="1"/>
    <x v="5"/>
    <s v="Dec"/>
    <s v="Q4"/>
    <s v="Senior"/>
    <s v="Low"/>
    <s v="North-East - Salaried"/>
  </r>
  <r>
    <x v="1235"/>
    <s v="Aarna Thaker"/>
    <n v="58"/>
    <x v="0"/>
    <x v="2"/>
    <x v="2"/>
    <x v="2"/>
    <x v="0"/>
    <x v="0"/>
    <n v="0.83"/>
    <d v="2018-03-16T00:00:00"/>
    <x v="2"/>
    <x v="2"/>
    <x v="1"/>
    <s v="Mar"/>
    <s v="Q1"/>
    <s v="Senior"/>
    <s v="High"/>
    <s v="North - Self-employed"/>
  </r>
  <r>
    <x v="1236"/>
    <s v="Chasmum Lal"/>
    <n v="33"/>
    <x v="0"/>
    <x v="2"/>
    <x v="2"/>
    <x v="4"/>
    <x v="1"/>
    <x v="0"/>
    <n v="0.23"/>
    <d v="2018-06-02T00:00:00"/>
    <x v="1"/>
    <x v="1"/>
    <x v="1"/>
    <s v="Jun"/>
    <s v="Q2"/>
    <s v="Adult"/>
    <s v="Very High"/>
    <s v="North-East - Self-employed"/>
  </r>
  <r>
    <x v="1237"/>
    <s v="Darpan Kadakia"/>
    <n v="38"/>
    <x v="1"/>
    <x v="1"/>
    <x v="0"/>
    <x v="2"/>
    <x v="1"/>
    <x v="1"/>
    <n v="0.31"/>
    <d v="2020-09-18T00:00:00"/>
    <x v="1"/>
    <x v="0"/>
    <x v="0"/>
    <s v="Sep"/>
    <s v="Q3"/>
    <s v="Adult"/>
    <s v="High"/>
    <s v="North - Student"/>
  </r>
  <r>
    <x v="1238"/>
    <s v="Rudra Borde"/>
    <n v="26"/>
    <x v="1"/>
    <x v="1"/>
    <x v="1"/>
    <x v="4"/>
    <x v="1"/>
    <x v="1"/>
    <n v="0.94"/>
    <d v="2019-08-26T00:00:00"/>
    <x v="0"/>
    <x v="2"/>
    <x v="4"/>
    <s v="Aug"/>
    <s v="Q3"/>
    <s v="Young"/>
    <s v="High"/>
    <s v="North-East - Salaried"/>
  </r>
  <r>
    <x v="1239"/>
    <s v="Darsh Sridhar"/>
    <n v="22"/>
    <x v="0"/>
    <x v="0"/>
    <x v="0"/>
    <x v="2"/>
    <x v="1"/>
    <x v="0"/>
    <n v="0.55000000000000004"/>
    <d v="2020-06-04T00:00:00"/>
    <x v="0"/>
    <x v="0"/>
    <x v="0"/>
    <s v="Jun"/>
    <s v="Q2"/>
    <s v="Young"/>
    <s v="Very High"/>
    <s v="North - Student"/>
  </r>
  <r>
    <x v="1240"/>
    <s v="Vedika Chaudhry"/>
    <n v="31"/>
    <x v="0"/>
    <x v="1"/>
    <x v="0"/>
    <x v="4"/>
    <x v="1"/>
    <x v="1"/>
    <n v="0.4"/>
    <d v="2018-01-09T00:00:00"/>
    <x v="1"/>
    <x v="0"/>
    <x v="1"/>
    <s v="Jan"/>
    <s v="Q1"/>
    <s v="Adult"/>
    <s v="High"/>
    <s v="North-East - Student"/>
  </r>
  <r>
    <x v="1241"/>
    <s v="Lavanya Bhargava"/>
    <n v="38"/>
    <x v="0"/>
    <x v="1"/>
    <x v="3"/>
    <x v="1"/>
    <x v="0"/>
    <x v="0"/>
    <n v="0"/>
    <d v="2019-08-20T00:00:00"/>
    <x v="1"/>
    <x v="1"/>
    <x v="4"/>
    <s v="Aug"/>
    <s v="Q3"/>
    <s v="Adult"/>
    <s v="High"/>
    <s v="East - Retired"/>
  </r>
  <r>
    <x v="1242"/>
    <s v="Ekiya Srivastava"/>
    <n v="60"/>
    <x v="1"/>
    <x v="1"/>
    <x v="2"/>
    <x v="3"/>
    <x v="0"/>
    <x v="0"/>
    <n v="0.28000000000000003"/>
    <d v="2018-04-02T00:00:00"/>
    <x v="2"/>
    <x v="1"/>
    <x v="1"/>
    <s v="Apr"/>
    <s v="Q2"/>
    <s v="Senior"/>
    <s v="High"/>
    <s v="South - Self-employed"/>
  </r>
  <r>
    <x v="1243"/>
    <s v="Gabriel Tandon"/>
    <n v="59"/>
    <x v="0"/>
    <x v="0"/>
    <x v="2"/>
    <x v="4"/>
    <x v="1"/>
    <x v="0"/>
    <n v="0.61"/>
    <d v="2018-04-22T00:00:00"/>
    <x v="2"/>
    <x v="0"/>
    <x v="1"/>
    <s v="Apr"/>
    <s v="Q2"/>
    <s v="Senior"/>
    <s v="Very High"/>
    <s v="North-East - Self-employed"/>
  </r>
  <r>
    <x v="1244"/>
    <s v="Samar Deshmukh"/>
    <n v="68"/>
    <x v="0"/>
    <x v="0"/>
    <x v="2"/>
    <x v="0"/>
    <x v="1"/>
    <x v="0"/>
    <n v="0.56000000000000005"/>
    <d v="2020-12-20T00:00:00"/>
    <x v="3"/>
    <x v="0"/>
    <x v="0"/>
    <s v="Dec"/>
    <s v="Q4"/>
    <s v="Senior"/>
    <s v="Very High"/>
    <s v="West - Self-employed"/>
  </r>
  <r>
    <x v="1245"/>
    <s v="Chavvi Shetty"/>
    <n v="61"/>
    <x v="1"/>
    <x v="0"/>
    <x v="2"/>
    <x v="5"/>
    <x v="0"/>
    <x v="1"/>
    <n v="0.4"/>
    <d v="2019-04-23T00:00:00"/>
    <x v="3"/>
    <x v="0"/>
    <x v="4"/>
    <s v="Apr"/>
    <s v="Q2"/>
    <s v="Senior"/>
    <s v="Low"/>
    <s v="Central - Self-employed"/>
  </r>
  <r>
    <x v="1246"/>
    <s v="Neel Verma"/>
    <n v="43"/>
    <x v="1"/>
    <x v="2"/>
    <x v="2"/>
    <x v="5"/>
    <x v="0"/>
    <x v="1"/>
    <n v="0.35"/>
    <d v="2022-07-29T00:00:00"/>
    <x v="1"/>
    <x v="0"/>
    <x v="3"/>
    <s v="Jul"/>
    <s v="Q3"/>
    <s v="Adult"/>
    <s v="Low"/>
    <s v="Central - Self-employed"/>
  </r>
  <r>
    <x v="1247"/>
    <s v="Bimala Chanda"/>
    <n v="57"/>
    <x v="1"/>
    <x v="2"/>
    <x v="3"/>
    <x v="2"/>
    <x v="0"/>
    <x v="1"/>
    <n v="0.77"/>
    <d v="2022-01-26T00:00:00"/>
    <x v="2"/>
    <x v="2"/>
    <x v="3"/>
    <s v="Jan"/>
    <s v="Q1"/>
    <s v="Senior"/>
    <s v="Low"/>
    <s v="North - Retired"/>
  </r>
  <r>
    <x v="1248"/>
    <s v="Kevin Walla"/>
    <n v="20"/>
    <x v="0"/>
    <x v="2"/>
    <x v="1"/>
    <x v="1"/>
    <x v="1"/>
    <x v="0"/>
    <n v="0.65"/>
    <d v="2018-01-02T00:00:00"/>
    <x v="0"/>
    <x v="0"/>
    <x v="1"/>
    <s v="Jan"/>
    <s v="Q1"/>
    <s v="Young"/>
    <s v="Very High"/>
    <s v="East - Salaried"/>
  </r>
  <r>
    <x v="1249"/>
    <s v="Chandani Nadig"/>
    <n v="20"/>
    <x v="1"/>
    <x v="0"/>
    <x v="1"/>
    <x v="0"/>
    <x v="1"/>
    <x v="0"/>
    <n v="0.27"/>
    <d v="2022-03-24T00:00:00"/>
    <x v="0"/>
    <x v="1"/>
    <x v="3"/>
    <s v="Mar"/>
    <s v="Q1"/>
    <s v="Young"/>
    <s v="Very High"/>
    <s v="West - Salaried"/>
  </r>
  <r>
    <x v="1250"/>
    <s v="Vedhika Borde"/>
    <n v="52"/>
    <x v="0"/>
    <x v="0"/>
    <x v="0"/>
    <x v="3"/>
    <x v="1"/>
    <x v="1"/>
    <n v="0.52"/>
    <d v="2022-09-29T00:00:00"/>
    <x v="2"/>
    <x v="0"/>
    <x v="3"/>
    <s v="Sep"/>
    <s v="Q3"/>
    <s v="Senior"/>
    <s v="High"/>
    <s v="South - Student"/>
  </r>
  <r>
    <x v="1251"/>
    <s v="Vritti Rai"/>
    <n v="61"/>
    <x v="1"/>
    <x v="0"/>
    <x v="2"/>
    <x v="1"/>
    <x v="0"/>
    <x v="1"/>
    <n v="0.41"/>
    <d v="2023-01-20T00:00:00"/>
    <x v="3"/>
    <x v="0"/>
    <x v="5"/>
    <s v="Jan"/>
    <s v="Q1"/>
    <s v="Senior"/>
    <s v="Low"/>
    <s v="East - Self-employed"/>
  </r>
  <r>
    <x v="1252"/>
    <s v="William Buch"/>
    <n v="66"/>
    <x v="0"/>
    <x v="0"/>
    <x v="3"/>
    <x v="0"/>
    <x v="1"/>
    <x v="0"/>
    <n v="0.5"/>
    <d v="2019-11-10T00:00:00"/>
    <x v="3"/>
    <x v="0"/>
    <x v="4"/>
    <s v="Nov"/>
    <s v="Q4"/>
    <s v="Senior"/>
    <s v="Very High"/>
    <s v="West - Retired"/>
  </r>
  <r>
    <x v="1253"/>
    <s v="Jagat Pall"/>
    <n v="18"/>
    <x v="1"/>
    <x v="2"/>
    <x v="1"/>
    <x v="3"/>
    <x v="0"/>
    <x v="1"/>
    <n v="0.25"/>
    <d v="2019-10-20T00:00:00"/>
    <x v="0"/>
    <x v="1"/>
    <x v="4"/>
    <s v="Oct"/>
    <s v="Q4"/>
    <s v="Young"/>
    <s v="Low"/>
    <s v="South - Salaried"/>
  </r>
  <r>
    <x v="1254"/>
    <s v="Chanakya Borra"/>
    <n v="53"/>
    <x v="0"/>
    <x v="1"/>
    <x v="2"/>
    <x v="1"/>
    <x v="0"/>
    <x v="1"/>
    <n v="0.51"/>
    <d v="2022-12-19T00:00:00"/>
    <x v="2"/>
    <x v="0"/>
    <x v="3"/>
    <s v="Dec"/>
    <s v="Q4"/>
    <s v="Senior"/>
    <s v="Low"/>
    <s v="East - Self-employed"/>
  </r>
  <r>
    <x v="1255"/>
    <s v="Fitan Nayak"/>
    <n v="60"/>
    <x v="0"/>
    <x v="1"/>
    <x v="2"/>
    <x v="5"/>
    <x v="1"/>
    <x v="1"/>
    <n v="0.34"/>
    <d v="2018-05-22T00:00:00"/>
    <x v="2"/>
    <x v="0"/>
    <x v="1"/>
    <s v="May"/>
    <s v="Q2"/>
    <s v="Senior"/>
    <s v="High"/>
    <s v="Central - Self-employed"/>
  </r>
  <r>
    <x v="1256"/>
    <s v="Rachita Goyal"/>
    <n v="18"/>
    <x v="1"/>
    <x v="0"/>
    <x v="3"/>
    <x v="3"/>
    <x v="0"/>
    <x v="0"/>
    <n v="0.44"/>
    <d v="2020-04-28T00:00:00"/>
    <x v="0"/>
    <x v="0"/>
    <x v="0"/>
    <s v="Apr"/>
    <s v="Q2"/>
    <s v="Young"/>
    <s v="High"/>
    <s v="South - Retired"/>
  </r>
  <r>
    <x v="1257"/>
    <s v="Hemangini Nazareth"/>
    <n v="52"/>
    <x v="0"/>
    <x v="0"/>
    <x v="3"/>
    <x v="1"/>
    <x v="0"/>
    <x v="1"/>
    <n v="0.47"/>
    <d v="2021-11-16T00:00:00"/>
    <x v="2"/>
    <x v="0"/>
    <x v="2"/>
    <s v="Nov"/>
    <s v="Q4"/>
    <s v="Senior"/>
    <s v="Low"/>
    <s v="East - Retired"/>
  </r>
  <r>
    <x v="1258"/>
    <s v="Devika Borde"/>
    <n v="18"/>
    <x v="0"/>
    <x v="1"/>
    <x v="2"/>
    <x v="2"/>
    <x v="1"/>
    <x v="1"/>
    <n v="0.59"/>
    <d v="2018-01-19T00:00:00"/>
    <x v="0"/>
    <x v="0"/>
    <x v="1"/>
    <s v="Jan"/>
    <s v="Q1"/>
    <s v="Young"/>
    <s v="High"/>
    <s v="North - Self-employed"/>
  </r>
  <r>
    <x v="1259"/>
    <s v="Liam Patla"/>
    <n v="24"/>
    <x v="1"/>
    <x v="0"/>
    <x v="0"/>
    <x v="5"/>
    <x v="0"/>
    <x v="1"/>
    <n v="0.52"/>
    <d v="2022-06-02T00:00:00"/>
    <x v="0"/>
    <x v="0"/>
    <x v="3"/>
    <s v="Jun"/>
    <s v="Q2"/>
    <s v="Young"/>
    <s v="Low"/>
    <s v="Central - Student"/>
  </r>
  <r>
    <x v="1260"/>
    <s v="Vidhi Bhattacharyya"/>
    <n v="40"/>
    <x v="1"/>
    <x v="2"/>
    <x v="0"/>
    <x v="4"/>
    <x v="0"/>
    <x v="0"/>
    <n v="0.55000000000000004"/>
    <d v="2019-02-06T00:00:00"/>
    <x v="1"/>
    <x v="0"/>
    <x v="4"/>
    <s v="Feb"/>
    <s v="Q1"/>
    <s v="Adult"/>
    <s v="High"/>
    <s v="North-East - Student"/>
  </r>
  <r>
    <x v="1261"/>
    <s v="Anya Verma"/>
    <n v="54"/>
    <x v="1"/>
    <x v="1"/>
    <x v="2"/>
    <x v="4"/>
    <x v="0"/>
    <x v="1"/>
    <n v="0.49"/>
    <d v="2022-01-27T00:00:00"/>
    <x v="2"/>
    <x v="0"/>
    <x v="3"/>
    <s v="Jan"/>
    <s v="Q1"/>
    <s v="Senior"/>
    <s v="Low"/>
    <s v="North-East - Self-employed"/>
  </r>
  <r>
    <x v="1262"/>
    <s v="Azaan Pingle"/>
    <n v="53"/>
    <x v="0"/>
    <x v="0"/>
    <x v="1"/>
    <x v="1"/>
    <x v="0"/>
    <x v="1"/>
    <n v="0"/>
    <d v="2019-12-30T00:00:00"/>
    <x v="2"/>
    <x v="1"/>
    <x v="4"/>
    <s v="Dec"/>
    <s v="Q4"/>
    <s v="Senior"/>
    <s v="Low"/>
    <s v="East - Salaried"/>
  </r>
  <r>
    <x v="1263"/>
    <s v="Harini Sant"/>
    <n v="45"/>
    <x v="1"/>
    <x v="0"/>
    <x v="2"/>
    <x v="0"/>
    <x v="0"/>
    <x v="1"/>
    <n v="0.59"/>
    <d v="2022-09-20T00:00:00"/>
    <x v="1"/>
    <x v="0"/>
    <x v="3"/>
    <s v="Sep"/>
    <s v="Q3"/>
    <s v="Adult"/>
    <s v="Low"/>
    <s v="West - Self-employed"/>
  </r>
  <r>
    <x v="1264"/>
    <s v="Ijaya Ratti"/>
    <n v="43"/>
    <x v="0"/>
    <x v="1"/>
    <x v="3"/>
    <x v="2"/>
    <x v="0"/>
    <x v="1"/>
    <n v="0.56999999999999995"/>
    <d v="2021-05-22T00:00:00"/>
    <x v="1"/>
    <x v="0"/>
    <x v="2"/>
    <s v="May"/>
    <s v="Q2"/>
    <s v="Adult"/>
    <s v="Low"/>
    <s v="North - Retired"/>
  </r>
  <r>
    <x v="1265"/>
    <s v="Jasmit Patla"/>
    <n v="21"/>
    <x v="1"/>
    <x v="0"/>
    <x v="2"/>
    <x v="3"/>
    <x v="0"/>
    <x v="1"/>
    <n v="0.71"/>
    <d v="2019-11-30T00:00:00"/>
    <x v="0"/>
    <x v="2"/>
    <x v="4"/>
    <s v="Nov"/>
    <s v="Q4"/>
    <s v="Young"/>
    <s v="Low"/>
    <s v="South - Self-employed"/>
  </r>
  <r>
    <x v="1266"/>
    <s v="Gabriel Shah"/>
    <n v="46"/>
    <x v="1"/>
    <x v="2"/>
    <x v="2"/>
    <x v="3"/>
    <x v="0"/>
    <x v="0"/>
    <n v="0.33"/>
    <d v="2021-04-23T00:00:00"/>
    <x v="2"/>
    <x v="0"/>
    <x v="2"/>
    <s v="Apr"/>
    <s v="Q2"/>
    <s v="Adult"/>
    <s v="High"/>
    <s v="South - Self-employed"/>
  </r>
  <r>
    <x v="1267"/>
    <s v="Madhavi Raval"/>
    <n v="60"/>
    <x v="0"/>
    <x v="2"/>
    <x v="1"/>
    <x v="4"/>
    <x v="1"/>
    <x v="1"/>
    <n v="0.52"/>
    <d v="2018-10-19T00:00:00"/>
    <x v="2"/>
    <x v="0"/>
    <x v="1"/>
    <s v="Oct"/>
    <s v="Q4"/>
    <s v="Senior"/>
    <s v="High"/>
    <s v="North-East - Salaried"/>
  </r>
  <r>
    <x v="1268"/>
    <s v="Janaki Ravel"/>
    <n v="40"/>
    <x v="1"/>
    <x v="0"/>
    <x v="3"/>
    <x v="3"/>
    <x v="1"/>
    <x v="0"/>
    <n v="0.69"/>
    <d v="2018-09-24T00:00:00"/>
    <x v="1"/>
    <x v="0"/>
    <x v="1"/>
    <s v="Sep"/>
    <s v="Q3"/>
    <s v="Adult"/>
    <s v="Very High"/>
    <s v="South - Retired"/>
  </r>
  <r>
    <x v="1269"/>
    <s v="Atharv Lad"/>
    <n v="33"/>
    <x v="1"/>
    <x v="1"/>
    <x v="0"/>
    <x v="5"/>
    <x v="1"/>
    <x v="0"/>
    <n v="0.72"/>
    <d v="2022-02-04T00:00:00"/>
    <x v="1"/>
    <x v="2"/>
    <x v="3"/>
    <s v="Feb"/>
    <s v="Q1"/>
    <s v="Adult"/>
    <s v="Very High"/>
    <s v="Central - Student"/>
  </r>
  <r>
    <x v="1270"/>
    <s v="Abhiram Soni"/>
    <n v="60"/>
    <x v="0"/>
    <x v="1"/>
    <x v="1"/>
    <x v="4"/>
    <x v="1"/>
    <x v="0"/>
    <n v="0.33"/>
    <d v="2022-01-28T00:00:00"/>
    <x v="2"/>
    <x v="0"/>
    <x v="3"/>
    <s v="Jan"/>
    <s v="Q1"/>
    <s v="Senior"/>
    <s v="Very High"/>
    <s v="North-East - Salaried"/>
  </r>
  <r>
    <x v="1271"/>
    <s v="Brijesh Butala"/>
    <n v="39"/>
    <x v="0"/>
    <x v="1"/>
    <x v="0"/>
    <x v="1"/>
    <x v="0"/>
    <x v="1"/>
    <n v="0.53"/>
    <d v="2022-11-30T00:00:00"/>
    <x v="1"/>
    <x v="0"/>
    <x v="3"/>
    <s v="Nov"/>
    <s v="Q4"/>
    <s v="Adult"/>
    <s v="Low"/>
    <s v="East - Student"/>
  </r>
  <r>
    <x v="1272"/>
    <s v="Anvi Choudhry"/>
    <n v="54"/>
    <x v="1"/>
    <x v="0"/>
    <x v="0"/>
    <x v="0"/>
    <x v="0"/>
    <x v="1"/>
    <n v="0.77"/>
    <d v="2021-02-28T00:00:00"/>
    <x v="2"/>
    <x v="2"/>
    <x v="2"/>
    <s v="Feb"/>
    <s v="Q1"/>
    <s v="Senior"/>
    <s v="Low"/>
    <s v="West - Student"/>
  </r>
  <r>
    <x v="1273"/>
    <s v="Abdul Radhakrishnan"/>
    <n v="60"/>
    <x v="0"/>
    <x v="1"/>
    <x v="0"/>
    <x v="4"/>
    <x v="1"/>
    <x v="0"/>
    <n v="0.74"/>
    <d v="2023-03-27T00:00:00"/>
    <x v="2"/>
    <x v="2"/>
    <x v="5"/>
    <s v="Mar"/>
    <s v="Q1"/>
    <s v="Senior"/>
    <s v="Very High"/>
    <s v="North-East - Student"/>
  </r>
  <r>
    <x v="1274"/>
    <s v="Abdul Aggarwal"/>
    <n v="22"/>
    <x v="1"/>
    <x v="0"/>
    <x v="1"/>
    <x v="2"/>
    <x v="0"/>
    <x v="1"/>
    <n v="0.15"/>
    <d v="2018-03-22T00:00:00"/>
    <x v="0"/>
    <x v="1"/>
    <x v="1"/>
    <s v="Mar"/>
    <s v="Q1"/>
    <s v="Young"/>
    <s v="Low"/>
    <s v="North - Salaried"/>
  </r>
  <r>
    <x v="1275"/>
    <s v="Nilima Bhargava"/>
    <n v="51"/>
    <x v="0"/>
    <x v="2"/>
    <x v="3"/>
    <x v="5"/>
    <x v="1"/>
    <x v="0"/>
    <n v="0.62"/>
    <d v="2018-09-10T00:00:00"/>
    <x v="2"/>
    <x v="0"/>
    <x v="1"/>
    <s v="Sep"/>
    <s v="Q3"/>
    <s v="Senior"/>
    <s v="Very High"/>
    <s v="Central - Retired"/>
  </r>
  <r>
    <x v="1276"/>
    <s v="Harish Sunder"/>
    <n v="52"/>
    <x v="1"/>
    <x v="0"/>
    <x v="2"/>
    <x v="4"/>
    <x v="1"/>
    <x v="1"/>
    <n v="0.65"/>
    <d v="2019-12-10T00:00:00"/>
    <x v="2"/>
    <x v="0"/>
    <x v="4"/>
    <s v="Dec"/>
    <s v="Q4"/>
    <s v="Senior"/>
    <s v="High"/>
    <s v="North-East - Self-employed"/>
  </r>
  <r>
    <x v="1277"/>
    <s v="Lohit Amble"/>
    <n v="57"/>
    <x v="0"/>
    <x v="2"/>
    <x v="2"/>
    <x v="2"/>
    <x v="0"/>
    <x v="1"/>
    <n v="0.57999999999999996"/>
    <d v="2018-08-20T00:00:00"/>
    <x v="2"/>
    <x v="0"/>
    <x v="1"/>
    <s v="Aug"/>
    <s v="Q3"/>
    <s v="Senior"/>
    <s v="Low"/>
    <s v="North - Self-employed"/>
  </r>
  <r>
    <x v="1278"/>
    <s v="Nikita Ganguly"/>
    <n v="31"/>
    <x v="1"/>
    <x v="0"/>
    <x v="2"/>
    <x v="2"/>
    <x v="1"/>
    <x v="1"/>
    <n v="0.5"/>
    <d v="2018-06-14T00:00:00"/>
    <x v="1"/>
    <x v="0"/>
    <x v="1"/>
    <s v="Jun"/>
    <s v="Q2"/>
    <s v="Adult"/>
    <s v="High"/>
    <s v="North - Self-employed"/>
  </r>
  <r>
    <x v="1279"/>
    <s v="Yachana Choudhry"/>
    <n v="62"/>
    <x v="1"/>
    <x v="1"/>
    <x v="2"/>
    <x v="2"/>
    <x v="1"/>
    <x v="1"/>
    <n v="0.71"/>
    <d v="2022-02-26T00:00:00"/>
    <x v="3"/>
    <x v="2"/>
    <x v="3"/>
    <s v="Feb"/>
    <s v="Q1"/>
    <s v="Senior"/>
    <s v="High"/>
    <s v="North - Self-employed"/>
  </r>
  <r>
    <x v="1280"/>
    <s v="Indali Edwin"/>
    <n v="19"/>
    <x v="0"/>
    <x v="0"/>
    <x v="1"/>
    <x v="1"/>
    <x v="0"/>
    <x v="1"/>
    <n v="0.65"/>
    <d v="2018-06-09T00:00:00"/>
    <x v="0"/>
    <x v="0"/>
    <x v="1"/>
    <s v="Jun"/>
    <s v="Q2"/>
    <s v="Young"/>
    <s v="Low"/>
    <s v="East - Salaried"/>
  </r>
  <r>
    <x v="1281"/>
    <s v="Pratyush Gill"/>
    <n v="19"/>
    <x v="1"/>
    <x v="0"/>
    <x v="3"/>
    <x v="5"/>
    <x v="1"/>
    <x v="1"/>
    <n v="0.36"/>
    <d v="2018-10-22T00:00:00"/>
    <x v="0"/>
    <x v="0"/>
    <x v="1"/>
    <s v="Oct"/>
    <s v="Q4"/>
    <s v="Young"/>
    <s v="High"/>
    <s v="Central - Retired"/>
  </r>
  <r>
    <x v="1282"/>
    <s v="Bhanumati Arya"/>
    <n v="33"/>
    <x v="1"/>
    <x v="2"/>
    <x v="1"/>
    <x v="5"/>
    <x v="0"/>
    <x v="0"/>
    <n v="0.56000000000000005"/>
    <d v="2020-12-24T00:00:00"/>
    <x v="1"/>
    <x v="0"/>
    <x v="0"/>
    <s v="Dec"/>
    <s v="Q4"/>
    <s v="Adult"/>
    <s v="High"/>
    <s v="Central - Salaried"/>
  </r>
  <r>
    <x v="1283"/>
    <s v="Urishilla Narain"/>
    <n v="19"/>
    <x v="0"/>
    <x v="2"/>
    <x v="0"/>
    <x v="2"/>
    <x v="1"/>
    <x v="0"/>
    <n v="0.51"/>
    <d v="2021-11-04T00:00:00"/>
    <x v="0"/>
    <x v="0"/>
    <x v="2"/>
    <s v="Nov"/>
    <s v="Q4"/>
    <s v="Young"/>
    <s v="Very High"/>
    <s v="North - Student"/>
  </r>
  <r>
    <x v="1284"/>
    <s v="Reyansh Parmar"/>
    <n v="56"/>
    <x v="0"/>
    <x v="1"/>
    <x v="0"/>
    <x v="2"/>
    <x v="1"/>
    <x v="1"/>
    <n v="0.52"/>
    <d v="2019-05-16T00:00:00"/>
    <x v="2"/>
    <x v="0"/>
    <x v="4"/>
    <s v="May"/>
    <s v="Q2"/>
    <s v="Senior"/>
    <s v="High"/>
    <s v="North - Student"/>
  </r>
  <r>
    <x v="1285"/>
    <s v="Azad Agarwal"/>
    <n v="28"/>
    <x v="0"/>
    <x v="0"/>
    <x v="0"/>
    <x v="3"/>
    <x v="0"/>
    <x v="0"/>
    <n v="0.41"/>
    <d v="2020-11-14T00:00:00"/>
    <x v="0"/>
    <x v="0"/>
    <x v="0"/>
    <s v="Nov"/>
    <s v="Q4"/>
    <s v="Young"/>
    <s v="High"/>
    <s v="South - Student"/>
  </r>
  <r>
    <x v="1286"/>
    <s v="Dipta Hari"/>
    <n v="50"/>
    <x v="0"/>
    <x v="2"/>
    <x v="1"/>
    <x v="5"/>
    <x v="0"/>
    <x v="1"/>
    <n v="0.28000000000000003"/>
    <d v="2019-12-26T00:00:00"/>
    <x v="2"/>
    <x v="1"/>
    <x v="4"/>
    <s v="Dec"/>
    <s v="Q4"/>
    <s v="Adult"/>
    <s v="Low"/>
    <s v="Central - Salaried"/>
  </r>
  <r>
    <x v="1287"/>
    <s v="Saanvi Dhingra"/>
    <n v="29"/>
    <x v="1"/>
    <x v="0"/>
    <x v="0"/>
    <x v="4"/>
    <x v="1"/>
    <x v="1"/>
    <n v="0.66"/>
    <d v="2019-06-10T00:00:00"/>
    <x v="0"/>
    <x v="0"/>
    <x v="4"/>
    <s v="Jun"/>
    <s v="Q2"/>
    <s v="Young"/>
    <s v="High"/>
    <s v="North-East - Student"/>
  </r>
  <r>
    <x v="1288"/>
    <s v="Karan Amble"/>
    <n v="58"/>
    <x v="1"/>
    <x v="0"/>
    <x v="2"/>
    <x v="0"/>
    <x v="1"/>
    <x v="0"/>
    <n v="0.56999999999999995"/>
    <d v="2018-03-03T00:00:00"/>
    <x v="2"/>
    <x v="0"/>
    <x v="1"/>
    <s v="Mar"/>
    <s v="Q1"/>
    <s v="Senior"/>
    <s v="Very High"/>
    <s v="West - Self-employed"/>
  </r>
  <r>
    <x v="1289"/>
    <s v="Bimala Dalal"/>
    <n v="33"/>
    <x v="0"/>
    <x v="0"/>
    <x v="1"/>
    <x v="4"/>
    <x v="0"/>
    <x v="0"/>
    <n v="0.68"/>
    <d v="2018-04-16T00:00:00"/>
    <x v="1"/>
    <x v="0"/>
    <x v="1"/>
    <s v="Apr"/>
    <s v="Q2"/>
    <s v="Adult"/>
    <s v="High"/>
    <s v="North-East - Salaried"/>
  </r>
  <r>
    <x v="1290"/>
    <s v="Vrishti Baria"/>
    <n v="69"/>
    <x v="0"/>
    <x v="0"/>
    <x v="0"/>
    <x v="4"/>
    <x v="1"/>
    <x v="0"/>
    <n v="0.63"/>
    <d v="2020-01-27T00:00:00"/>
    <x v="3"/>
    <x v="0"/>
    <x v="0"/>
    <s v="Jan"/>
    <s v="Q1"/>
    <s v="Senior"/>
    <s v="Very High"/>
    <s v="North-East - Student"/>
  </r>
  <r>
    <x v="1291"/>
    <s v="Anay Bora"/>
    <n v="24"/>
    <x v="1"/>
    <x v="1"/>
    <x v="2"/>
    <x v="1"/>
    <x v="0"/>
    <x v="0"/>
    <n v="0.6"/>
    <d v="2019-09-01T00:00:00"/>
    <x v="0"/>
    <x v="0"/>
    <x v="4"/>
    <s v="Sep"/>
    <s v="Q3"/>
    <s v="Young"/>
    <s v="High"/>
    <s v="East - Self-employed"/>
  </r>
  <r>
    <x v="1292"/>
    <s v="Charita Chaudry"/>
    <n v="34"/>
    <x v="1"/>
    <x v="2"/>
    <x v="3"/>
    <x v="4"/>
    <x v="1"/>
    <x v="1"/>
    <n v="0.19"/>
    <d v="2020-09-21T00:00:00"/>
    <x v="1"/>
    <x v="1"/>
    <x v="0"/>
    <s v="Sep"/>
    <s v="Q3"/>
    <s v="Adult"/>
    <s v="High"/>
    <s v="North-East - Retired"/>
  </r>
  <r>
    <x v="1293"/>
    <s v="Faras Natarajan"/>
    <n v="23"/>
    <x v="0"/>
    <x v="2"/>
    <x v="1"/>
    <x v="3"/>
    <x v="1"/>
    <x v="1"/>
    <n v="0.89"/>
    <d v="2019-08-31T00:00:00"/>
    <x v="0"/>
    <x v="2"/>
    <x v="4"/>
    <s v="Aug"/>
    <s v="Q3"/>
    <s v="Young"/>
    <s v="High"/>
    <s v="South - Salaried"/>
  </r>
  <r>
    <x v="1294"/>
    <s v="Bhavna Singh"/>
    <n v="36"/>
    <x v="1"/>
    <x v="1"/>
    <x v="2"/>
    <x v="4"/>
    <x v="0"/>
    <x v="1"/>
    <n v="0.59"/>
    <d v="2023-02-23T00:00:00"/>
    <x v="1"/>
    <x v="0"/>
    <x v="5"/>
    <s v="Feb"/>
    <s v="Q1"/>
    <s v="Adult"/>
    <s v="Low"/>
    <s v="North-East - Self-employed"/>
  </r>
  <r>
    <x v="1295"/>
    <s v="Suhani Mani"/>
    <n v="21"/>
    <x v="0"/>
    <x v="0"/>
    <x v="0"/>
    <x v="2"/>
    <x v="1"/>
    <x v="1"/>
    <n v="0.59"/>
    <d v="2018-08-09T00:00:00"/>
    <x v="0"/>
    <x v="0"/>
    <x v="1"/>
    <s v="Aug"/>
    <s v="Q3"/>
    <s v="Young"/>
    <s v="High"/>
    <s v="North - Student"/>
  </r>
  <r>
    <x v="1296"/>
    <s v="Balhaar Gill"/>
    <n v="43"/>
    <x v="0"/>
    <x v="1"/>
    <x v="3"/>
    <x v="2"/>
    <x v="1"/>
    <x v="0"/>
    <n v="0.54"/>
    <d v="2019-02-02T00:00:00"/>
    <x v="1"/>
    <x v="0"/>
    <x v="4"/>
    <s v="Feb"/>
    <s v="Q1"/>
    <s v="Adult"/>
    <s v="Very High"/>
    <s v="North - Retired"/>
  </r>
  <r>
    <x v="1297"/>
    <s v="Yashvi Kapoor"/>
    <n v="36"/>
    <x v="1"/>
    <x v="2"/>
    <x v="2"/>
    <x v="2"/>
    <x v="1"/>
    <x v="0"/>
    <n v="0.47"/>
    <d v="2022-11-06T00:00:00"/>
    <x v="1"/>
    <x v="0"/>
    <x v="3"/>
    <s v="Nov"/>
    <s v="Q4"/>
    <s v="Adult"/>
    <s v="Very High"/>
    <s v="North - Self-employed"/>
  </r>
  <r>
    <x v="1298"/>
    <s v="Lekha Kapadia"/>
    <n v="49"/>
    <x v="1"/>
    <x v="0"/>
    <x v="0"/>
    <x v="4"/>
    <x v="1"/>
    <x v="0"/>
    <n v="0.38"/>
    <d v="2018-12-04T00:00:00"/>
    <x v="2"/>
    <x v="0"/>
    <x v="1"/>
    <s v="Dec"/>
    <s v="Q4"/>
    <s v="Adult"/>
    <s v="Very High"/>
    <s v="North-East - Student"/>
  </r>
  <r>
    <x v="1299"/>
    <s v="Ucchal D’Alia"/>
    <n v="49"/>
    <x v="1"/>
    <x v="0"/>
    <x v="0"/>
    <x v="5"/>
    <x v="0"/>
    <x v="0"/>
    <n v="0.35"/>
    <d v="2018-12-25T00:00:00"/>
    <x v="2"/>
    <x v="0"/>
    <x v="1"/>
    <s v="Dec"/>
    <s v="Q4"/>
    <s v="Adult"/>
    <s v="High"/>
    <s v="Central - Student"/>
  </r>
  <r>
    <x v="1300"/>
    <s v="Gunbir Kapadia"/>
    <n v="56"/>
    <x v="0"/>
    <x v="1"/>
    <x v="3"/>
    <x v="2"/>
    <x v="1"/>
    <x v="0"/>
    <n v="0.55000000000000004"/>
    <d v="2020-01-10T00:00:00"/>
    <x v="2"/>
    <x v="0"/>
    <x v="0"/>
    <s v="Jan"/>
    <s v="Q1"/>
    <s v="Senior"/>
    <s v="Very High"/>
    <s v="North - Retired"/>
  </r>
  <r>
    <x v="1301"/>
    <s v="Kashish Mohan"/>
    <n v="32"/>
    <x v="1"/>
    <x v="2"/>
    <x v="1"/>
    <x v="5"/>
    <x v="1"/>
    <x v="0"/>
    <n v="0.6"/>
    <d v="2021-10-23T00:00:00"/>
    <x v="1"/>
    <x v="0"/>
    <x v="2"/>
    <s v="Oct"/>
    <s v="Q4"/>
    <s v="Adult"/>
    <s v="Very High"/>
    <s v="Central - Salaried"/>
  </r>
  <r>
    <x v="1302"/>
    <s v="Oni Sani"/>
    <n v="38"/>
    <x v="0"/>
    <x v="2"/>
    <x v="1"/>
    <x v="4"/>
    <x v="1"/>
    <x v="1"/>
    <n v="0.39"/>
    <d v="2022-02-27T00:00:00"/>
    <x v="1"/>
    <x v="0"/>
    <x v="3"/>
    <s v="Feb"/>
    <s v="Q1"/>
    <s v="Adult"/>
    <s v="High"/>
    <s v="North-East - Salaried"/>
  </r>
  <r>
    <x v="1303"/>
    <s v="Chanchal Parmer"/>
    <n v="29"/>
    <x v="1"/>
    <x v="2"/>
    <x v="3"/>
    <x v="2"/>
    <x v="0"/>
    <x v="0"/>
    <n v="0.62"/>
    <d v="2019-06-04T00:00:00"/>
    <x v="0"/>
    <x v="0"/>
    <x v="4"/>
    <s v="Jun"/>
    <s v="Q2"/>
    <s v="Young"/>
    <s v="High"/>
    <s v="North - Retired"/>
  </r>
  <r>
    <x v="1304"/>
    <s v="Lipika Narula"/>
    <n v="31"/>
    <x v="0"/>
    <x v="1"/>
    <x v="1"/>
    <x v="4"/>
    <x v="1"/>
    <x v="1"/>
    <n v="0.62"/>
    <d v="2020-05-12T00:00:00"/>
    <x v="1"/>
    <x v="0"/>
    <x v="0"/>
    <s v="May"/>
    <s v="Q2"/>
    <s v="Adult"/>
    <s v="High"/>
    <s v="North-East - Salaried"/>
  </r>
  <r>
    <x v="1305"/>
    <s v="Tripti Khosla"/>
    <n v="59"/>
    <x v="1"/>
    <x v="2"/>
    <x v="3"/>
    <x v="5"/>
    <x v="1"/>
    <x v="0"/>
    <n v="0.53"/>
    <d v="2019-07-03T00:00:00"/>
    <x v="2"/>
    <x v="0"/>
    <x v="4"/>
    <s v="Jul"/>
    <s v="Q3"/>
    <s v="Senior"/>
    <s v="Very High"/>
    <s v="Central - Retired"/>
  </r>
  <r>
    <x v="1306"/>
    <s v="Sachi Bassi"/>
    <n v="32"/>
    <x v="1"/>
    <x v="2"/>
    <x v="3"/>
    <x v="1"/>
    <x v="1"/>
    <x v="0"/>
    <n v="0.51"/>
    <d v="2021-02-17T00:00:00"/>
    <x v="1"/>
    <x v="0"/>
    <x v="2"/>
    <s v="Feb"/>
    <s v="Q1"/>
    <s v="Adult"/>
    <s v="Very High"/>
    <s v="East - Retired"/>
  </r>
  <r>
    <x v="1307"/>
    <s v="Mohini Nadkarni"/>
    <n v="26"/>
    <x v="0"/>
    <x v="2"/>
    <x v="3"/>
    <x v="4"/>
    <x v="1"/>
    <x v="0"/>
    <n v="0.17"/>
    <d v="2021-09-23T00:00:00"/>
    <x v="0"/>
    <x v="1"/>
    <x v="2"/>
    <s v="Sep"/>
    <s v="Q3"/>
    <s v="Young"/>
    <s v="Very High"/>
    <s v="North-East - Retired"/>
  </r>
  <r>
    <x v="1308"/>
    <s v="Sachi Sachdeva"/>
    <n v="46"/>
    <x v="1"/>
    <x v="2"/>
    <x v="2"/>
    <x v="3"/>
    <x v="0"/>
    <x v="0"/>
    <n v="0.85"/>
    <d v="2020-10-11T00:00:00"/>
    <x v="2"/>
    <x v="2"/>
    <x v="0"/>
    <s v="Oct"/>
    <s v="Q4"/>
    <s v="Adult"/>
    <s v="High"/>
    <s v="South - Self-employed"/>
  </r>
  <r>
    <x v="1309"/>
    <s v="Udant Sahota"/>
    <n v="65"/>
    <x v="1"/>
    <x v="0"/>
    <x v="2"/>
    <x v="5"/>
    <x v="1"/>
    <x v="0"/>
    <n v="0.64"/>
    <d v="2022-10-05T00:00:00"/>
    <x v="3"/>
    <x v="0"/>
    <x v="3"/>
    <s v="Oct"/>
    <s v="Q4"/>
    <s v="Senior"/>
    <s v="Very High"/>
    <s v="Central - Self-employed"/>
  </r>
  <r>
    <x v="1310"/>
    <s v="Ishita Kannan"/>
    <n v="53"/>
    <x v="1"/>
    <x v="0"/>
    <x v="3"/>
    <x v="2"/>
    <x v="0"/>
    <x v="0"/>
    <n v="0.77"/>
    <d v="2020-11-25T00:00:00"/>
    <x v="2"/>
    <x v="2"/>
    <x v="0"/>
    <s v="Nov"/>
    <s v="Q4"/>
    <s v="Senior"/>
    <s v="High"/>
    <s v="North - Retired"/>
  </r>
  <r>
    <x v="1311"/>
    <s v="Yauvani Mand"/>
    <n v="26"/>
    <x v="1"/>
    <x v="2"/>
    <x v="2"/>
    <x v="5"/>
    <x v="1"/>
    <x v="1"/>
    <n v="0.45"/>
    <d v="2018-01-05T00:00:00"/>
    <x v="0"/>
    <x v="0"/>
    <x v="1"/>
    <s v="Jan"/>
    <s v="Q1"/>
    <s v="Young"/>
    <s v="High"/>
    <s v="Central - Self-employed"/>
  </r>
  <r>
    <x v="1312"/>
    <s v="Varenya Rastogi"/>
    <n v="51"/>
    <x v="0"/>
    <x v="0"/>
    <x v="1"/>
    <x v="0"/>
    <x v="1"/>
    <x v="0"/>
    <n v="0.31"/>
    <d v="2020-04-29T00:00:00"/>
    <x v="2"/>
    <x v="0"/>
    <x v="0"/>
    <s v="Apr"/>
    <s v="Q2"/>
    <s v="Senior"/>
    <s v="Very High"/>
    <s v="West - Salaried"/>
  </r>
  <r>
    <x v="1313"/>
    <s v="Mitali Merchant"/>
    <n v="37"/>
    <x v="1"/>
    <x v="1"/>
    <x v="1"/>
    <x v="2"/>
    <x v="1"/>
    <x v="0"/>
    <n v="0.47"/>
    <d v="2020-10-17T00:00:00"/>
    <x v="1"/>
    <x v="0"/>
    <x v="0"/>
    <s v="Oct"/>
    <s v="Q4"/>
    <s v="Adult"/>
    <s v="Very High"/>
    <s v="North - Salaried"/>
  </r>
  <r>
    <x v="1314"/>
    <s v="Charvi Sharaf"/>
    <n v="54"/>
    <x v="0"/>
    <x v="0"/>
    <x v="2"/>
    <x v="3"/>
    <x v="0"/>
    <x v="0"/>
    <n v="0.31"/>
    <d v="2022-07-17T00:00:00"/>
    <x v="2"/>
    <x v="0"/>
    <x v="3"/>
    <s v="Jul"/>
    <s v="Q3"/>
    <s v="Senior"/>
    <s v="High"/>
    <s v="South - Self-employed"/>
  </r>
  <r>
    <x v="1315"/>
    <s v="Lohit Krishna"/>
    <n v="63"/>
    <x v="1"/>
    <x v="2"/>
    <x v="3"/>
    <x v="1"/>
    <x v="1"/>
    <x v="1"/>
    <n v="0.3"/>
    <d v="2020-07-03T00:00:00"/>
    <x v="3"/>
    <x v="0"/>
    <x v="0"/>
    <s v="Jul"/>
    <s v="Q3"/>
    <s v="Senior"/>
    <s v="High"/>
    <s v="East - Retired"/>
  </r>
  <r>
    <x v="1316"/>
    <s v="Azad Mahal"/>
    <n v="33"/>
    <x v="0"/>
    <x v="1"/>
    <x v="2"/>
    <x v="0"/>
    <x v="0"/>
    <x v="0"/>
    <n v="0.7"/>
    <d v="2022-11-03T00:00:00"/>
    <x v="1"/>
    <x v="2"/>
    <x v="3"/>
    <s v="Nov"/>
    <s v="Q4"/>
    <s v="Adult"/>
    <s v="High"/>
    <s v="West - Self-employed"/>
  </r>
  <r>
    <x v="1317"/>
    <s v="Indrajit Narayanan"/>
    <n v="22"/>
    <x v="0"/>
    <x v="1"/>
    <x v="2"/>
    <x v="5"/>
    <x v="0"/>
    <x v="1"/>
    <n v="0.49"/>
    <d v="2021-12-27T00:00:00"/>
    <x v="0"/>
    <x v="0"/>
    <x v="2"/>
    <s v="Dec"/>
    <s v="Q4"/>
    <s v="Young"/>
    <s v="Low"/>
    <s v="Central - Self-employed"/>
  </r>
  <r>
    <x v="1318"/>
    <s v="Falak Warrior"/>
    <n v="28"/>
    <x v="1"/>
    <x v="2"/>
    <x v="2"/>
    <x v="3"/>
    <x v="0"/>
    <x v="1"/>
    <n v="0.83"/>
    <d v="2021-12-13T00:00:00"/>
    <x v="0"/>
    <x v="2"/>
    <x v="2"/>
    <s v="Dec"/>
    <s v="Q4"/>
    <s v="Young"/>
    <s v="Low"/>
    <s v="South - Self-employed"/>
  </r>
  <r>
    <x v="1319"/>
    <s v="Divya Shanker"/>
    <n v="21"/>
    <x v="0"/>
    <x v="1"/>
    <x v="1"/>
    <x v="5"/>
    <x v="1"/>
    <x v="0"/>
    <n v="0.47"/>
    <d v="2020-08-13T00:00:00"/>
    <x v="0"/>
    <x v="0"/>
    <x v="0"/>
    <s v="Aug"/>
    <s v="Q3"/>
    <s v="Young"/>
    <s v="Very High"/>
    <s v="Central - Salaried"/>
  </r>
  <r>
    <x v="1320"/>
    <s v="Ayush Rajagopalan"/>
    <n v="19"/>
    <x v="1"/>
    <x v="1"/>
    <x v="0"/>
    <x v="0"/>
    <x v="1"/>
    <x v="1"/>
    <n v="0.5"/>
    <d v="2021-05-28T00:00:00"/>
    <x v="0"/>
    <x v="0"/>
    <x v="2"/>
    <s v="May"/>
    <s v="Q2"/>
    <s v="Young"/>
    <s v="High"/>
    <s v="West - Student"/>
  </r>
  <r>
    <x v="1321"/>
    <s v="Jyoti Sethi"/>
    <n v="54"/>
    <x v="0"/>
    <x v="1"/>
    <x v="0"/>
    <x v="5"/>
    <x v="0"/>
    <x v="1"/>
    <n v="0.19"/>
    <d v="2022-05-27T00:00:00"/>
    <x v="2"/>
    <x v="1"/>
    <x v="3"/>
    <s v="May"/>
    <s v="Q2"/>
    <s v="Senior"/>
    <s v="Low"/>
    <s v="Central - Student"/>
  </r>
  <r>
    <x v="1322"/>
    <s v="Maanas Nigam"/>
    <n v="31"/>
    <x v="0"/>
    <x v="0"/>
    <x v="3"/>
    <x v="5"/>
    <x v="1"/>
    <x v="1"/>
    <n v="0.43"/>
    <d v="2021-11-01T00:00:00"/>
    <x v="1"/>
    <x v="0"/>
    <x v="2"/>
    <s v="Nov"/>
    <s v="Q4"/>
    <s v="Adult"/>
    <s v="High"/>
    <s v="Central - Retired"/>
  </r>
  <r>
    <x v="1323"/>
    <s v="Jagrati Golla"/>
    <n v="33"/>
    <x v="0"/>
    <x v="0"/>
    <x v="3"/>
    <x v="0"/>
    <x v="1"/>
    <x v="1"/>
    <n v="0.33"/>
    <d v="2018-10-12T00:00:00"/>
    <x v="1"/>
    <x v="0"/>
    <x v="1"/>
    <s v="Oct"/>
    <s v="Q4"/>
    <s v="Adult"/>
    <s v="High"/>
    <s v="West - Retired"/>
  </r>
  <r>
    <x v="1324"/>
    <s v="Fitan Nagy"/>
    <n v="34"/>
    <x v="0"/>
    <x v="0"/>
    <x v="0"/>
    <x v="0"/>
    <x v="0"/>
    <x v="0"/>
    <n v="0.8"/>
    <d v="2023-11-13T00:00:00"/>
    <x v="1"/>
    <x v="2"/>
    <x v="5"/>
    <s v="Nov"/>
    <s v="Q4"/>
    <s v="Adult"/>
    <s v="High"/>
    <s v="West - Student"/>
  </r>
  <r>
    <x v="1325"/>
    <s v="Lila Kara"/>
    <n v="23"/>
    <x v="1"/>
    <x v="0"/>
    <x v="1"/>
    <x v="2"/>
    <x v="0"/>
    <x v="1"/>
    <n v="0.39"/>
    <d v="2021-07-23T00:00:00"/>
    <x v="0"/>
    <x v="0"/>
    <x v="2"/>
    <s v="Jul"/>
    <s v="Q3"/>
    <s v="Young"/>
    <s v="Low"/>
    <s v="North - Salaried"/>
  </r>
  <r>
    <x v="1326"/>
    <s v="Ati Bahri"/>
    <n v="60"/>
    <x v="1"/>
    <x v="1"/>
    <x v="2"/>
    <x v="4"/>
    <x v="0"/>
    <x v="0"/>
    <n v="0.63"/>
    <d v="2022-02-22T00:00:00"/>
    <x v="2"/>
    <x v="0"/>
    <x v="3"/>
    <s v="Feb"/>
    <s v="Q1"/>
    <s v="Senior"/>
    <s v="High"/>
    <s v="North-East - Self-employed"/>
  </r>
  <r>
    <x v="1327"/>
    <s v="Radhika Ramanathan"/>
    <n v="62"/>
    <x v="1"/>
    <x v="2"/>
    <x v="2"/>
    <x v="5"/>
    <x v="1"/>
    <x v="1"/>
    <n v="0.56000000000000005"/>
    <d v="2020-10-23T00:00:00"/>
    <x v="3"/>
    <x v="0"/>
    <x v="0"/>
    <s v="Oct"/>
    <s v="Q4"/>
    <s v="Senior"/>
    <s v="High"/>
    <s v="Central - Self-employed"/>
  </r>
  <r>
    <x v="1328"/>
    <s v="Gautam Savant"/>
    <n v="20"/>
    <x v="0"/>
    <x v="1"/>
    <x v="3"/>
    <x v="4"/>
    <x v="0"/>
    <x v="1"/>
    <n v="0.52"/>
    <d v="2018-03-14T00:00:00"/>
    <x v="0"/>
    <x v="0"/>
    <x v="1"/>
    <s v="Mar"/>
    <s v="Q1"/>
    <s v="Young"/>
    <s v="Low"/>
    <s v="North-East - Retired"/>
  </r>
  <r>
    <x v="1329"/>
    <s v="Hardik Sunder"/>
    <n v="60"/>
    <x v="0"/>
    <x v="1"/>
    <x v="0"/>
    <x v="3"/>
    <x v="1"/>
    <x v="1"/>
    <n v="0.23"/>
    <d v="2022-03-25T00:00:00"/>
    <x v="2"/>
    <x v="1"/>
    <x v="3"/>
    <s v="Mar"/>
    <s v="Q1"/>
    <s v="Senior"/>
    <s v="High"/>
    <s v="South - Student"/>
  </r>
  <r>
    <x v="1330"/>
    <s v="Naksh Dewan"/>
    <n v="31"/>
    <x v="1"/>
    <x v="1"/>
    <x v="1"/>
    <x v="5"/>
    <x v="1"/>
    <x v="1"/>
    <n v="0.74"/>
    <d v="2021-04-20T00:00:00"/>
    <x v="1"/>
    <x v="2"/>
    <x v="2"/>
    <s v="Apr"/>
    <s v="Q2"/>
    <s v="Adult"/>
    <s v="High"/>
    <s v="Central - Salaried"/>
  </r>
  <r>
    <x v="1331"/>
    <s v="Avi Mittal"/>
    <n v="63"/>
    <x v="1"/>
    <x v="0"/>
    <x v="2"/>
    <x v="5"/>
    <x v="0"/>
    <x v="1"/>
    <n v="0.45"/>
    <d v="2020-07-11T00:00:00"/>
    <x v="3"/>
    <x v="0"/>
    <x v="0"/>
    <s v="Jul"/>
    <s v="Q3"/>
    <s v="Senior"/>
    <s v="Low"/>
    <s v="Central - Self-employed"/>
  </r>
  <r>
    <x v="1332"/>
    <s v="Jagdish Parmer"/>
    <n v="36"/>
    <x v="1"/>
    <x v="0"/>
    <x v="0"/>
    <x v="5"/>
    <x v="1"/>
    <x v="0"/>
    <n v="0.16"/>
    <d v="2021-04-08T00:00:00"/>
    <x v="1"/>
    <x v="1"/>
    <x v="2"/>
    <s v="Apr"/>
    <s v="Q2"/>
    <s v="Adult"/>
    <s v="Very High"/>
    <s v="Central - Student"/>
  </r>
  <r>
    <x v="1333"/>
    <s v="Isha Bali"/>
    <n v="30"/>
    <x v="0"/>
    <x v="0"/>
    <x v="0"/>
    <x v="5"/>
    <x v="1"/>
    <x v="1"/>
    <n v="0.14000000000000001"/>
    <d v="2023-07-06T00:00:00"/>
    <x v="0"/>
    <x v="1"/>
    <x v="5"/>
    <s v="Jul"/>
    <s v="Q3"/>
    <s v="Adult"/>
    <s v="High"/>
    <s v="Central - Student"/>
  </r>
  <r>
    <x v="1334"/>
    <s v="Xiti Bath"/>
    <n v="29"/>
    <x v="0"/>
    <x v="0"/>
    <x v="2"/>
    <x v="5"/>
    <x v="0"/>
    <x v="0"/>
    <n v="0.45"/>
    <d v="2018-08-16T00:00:00"/>
    <x v="0"/>
    <x v="0"/>
    <x v="1"/>
    <s v="Aug"/>
    <s v="Q3"/>
    <s v="Young"/>
    <s v="High"/>
    <s v="Central - Self-employed"/>
  </r>
  <r>
    <x v="1335"/>
    <s v="Ishita Amble"/>
    <n v="56"/>
    <x v="1"/>
    <x v="1"/>
    <x v="0"/>
    <x v="0"/>
    <x v="0"/>
    <x v="1"/>
    <n v="0.67"/>
    <d v="2021-09-30T00:00:00"/>
    <x v="2"/>
    <x v="0"/>
    <x v="2"/>
    <s v="Sep"/>
    <s v="Q3"/>
    <s v="Senior"/>
    <s v="Low"/>
    <s v="West - Student"/>
  </r>
  <r>
    <x v="1336"/>
    <s v="Matthew Bath"/>
    <n v="47"/>
    <x v="0"/>
    <x v="0"/>
    <x v="3"/>
    <x v="3"/>
    <x v="0"/>
    <x v="1"/>
    <n v="0.67"/>
    <d v="2022-04-21T00:00:00"/>
    <x v="2"/>
    <x v="0"/>
    <x v="3"/>
    <s v="Apr"/>
    <s v="Q2"/>
    <s v="Adult"/>
    <s v="Low"/>
    <s v="South - Retired"/>
  </r>
  <r>
    <x v="1337"/>
    <s v="Wriddhish Kohli"/>
    <n v="60"/>
    <x v="1"/>
    <x v="0"/>
    <x v="3"/>
    <x v="3"/>
    <x v="0"/>
    <x v="1"/>
    <n v="0.25"/>
    <d v="2021-02-24T00:00:00"/>
    <x v="2"/>
    <x v="1"/>
    <x v="2"/>
    <s v="Feb"/>
    <s v="Q1"/>
    <s v="Senior"/>
    <s v="Low"/>
    <s v="South - Retired"/>
  </r>
  <r>
    <x v="1338"/>
    <s v="Kashvi Kara"/>
    <n v="34"/>
    <x v="0"/>
    <x v="2"/>
    <x v="1"/>
    <x v="0"/>
    <x v="1"/>
    <x v="0"/>
    <n v="0.66"/>
    <d v="2021-07-18T00:00:00"/>
    <x v="1"/>
    <x v="0"/>
    <x v="2"/>
    <s v="Jul"/>
    <s v="Q3"/>
    <s v="Adult"/>
    <s v="Very High"/>
    <s v="West - Salaried"/>
  </r>
  <r>
    <x v="1339"/>
    <s v="Vidhi Chad"/>
    <n v="51"/>
    <x v="1"/>
    <x v="2"/>
    <x v="1"/>
    <x v="4"/>
    <x v="0"/>
    <x v="0"/>
    <n v="0.3"/>
    <d v="2020-12-19T00:00:00"/>
    <x v="2"/>
    <x v="0"/>
    <x v="0"/>
    <s v="Dec"/>
    <s v="Q4"/>
    <s v="Senior"/>
    <s v="High"/>
    <s v="North-East - Salaried"/>
  </r>
  <r>
    <x v="1340"/>
    <s v="Qarin Oak"/>
    <n v="50"/>
    <x v="0"/>
    <x v="2"/>
    <x v="3"/>
    <x v="2"/>
    <x v="0"/>
    <x v="1"/>
    <n v="0.43"/>
    <d v="2018-04-16T00:00:00"/>
    <x v="2"/>
    <x v="0"/>
    <x v="1"/>
    <s v="Apr"/>
    <s v="Q2"/>
    <s v="Adult"/>
    <s v="Low"/>
    <s v="North - Retired"/>
  </r>
  <r>
    <x v="1341"/>
    <s v="Avni Tailor"/>
    <n v="57"/>
    <x v="0"/>
    <x v="0"/>
    <x v="2"/>
    <x v="1"/>
    <x v="0"/>
    <x v="0"/>
    <n v="0.62"/>
    <d v="2021-09-13T00:00:00"/>
    <x v="2"/>
    <x v="0"/>
    <x v="2"/>
    <s v="Sep"/>
    <s v="Q3"/>
    <s v="Senior"/>
    <s v="High"/>
    <s v="East - Self-employed"/>
  </r>
  <r>
    <x v="1342"/>
    <s v="Yoshita Pillay"/>
    <n v="46"/>
    <x v="1"/>
    <x v="0"/>
    <x v="0"/>
    <x v="5"/>
    <x v="1"/>
    <x v="1"/>
    <n v="0.49"/>
    <d v="2023-05-11T00:00:00"/>
    <x v="2"/>
    <x v="0"/>
    <x v="5"/>
    <s v="May"/>
    <s v="Q2"/>
    <s v="Adult"/>
    <s v="High"/>
    <s v="Central - Student"/>
  </r>
  <r>
    <x v="1343"/>
    <s v="Dayamai Agate"/>
    <n v="51"/>
    <x v="1"/>
    <x v="2"/>
    <x v="3"/>
    <x v="1"/>
    <x v="1"/>
    <x v="0"/>
    <n v="0.26"/>
    <d v="2020-07-08T00:00:00"/>
    <x v="2"/>
    <x v="1"/>
    <x v="0"/>
    <s v="Jul"/>
    <s v="Q3"/>
    <s v="Senior"/>
    <s v="Very High"/>
    <s v="East - Retired"/>
  </r>
  <r>
    <x v="1344"/>
    <s v="Laban Kaur"/>
    <n v="63"/>
    <x v="1"/>
    <x v="2"/>
    <x v="2"/>
    <x v="5"/>
    <x v="1"/>
    <x v="1"/>
    <n v="0.54"/>
    <d v="2023-05-15T00:00:00"/>
    <x v="3"/>
    <x v="0"/>
    <x v="5"/>
    <s v="May"/>
    <s v="Q2"/>
    <s v="Senior"/>
    <s v="High"/>
    <s v="Central - Self-employed"/>
  </r>
  <r>
    <x v="1345"/>
    <s v="Lekha Sidhu"/>
    <n v="62"/>
    <x v="1"/>
    <x v="2"/>
    <x v="2"/>
    <x v="0"/>
    <x v="0"/>
    <x v="1"/>
    <n v="0.3"/>
    <d v="2021-10-28T00:00:00"/>
    <x v="3"/>
    <x v="0"/>
    <x v="2"/>
    <s v="Oct"/>
    <s v="Q4"/>
    <s v="Senior"/>
    <s v="Low"/>
    <s v="West - Self-employed"/>
  </r>
  <r>
    <x v="1346"/>
    <s v="Faqid Mane"/>
    <n v="61"/>
    <x v="1"/>
    <x v="0"/>
    <x v="2"/>
    <x v="1"/>
    <x v="1"/>
    <x v="1"/>
    <n v="0.57999999999999996"/>
    <d v="2022-01-19T00:00:00"/>
    <x v="3"/>
    <x v="0"/>
    <x v="3"/>
    <s v="Jan"/>
    <s v="Q1"/>
    <s v="Senior"/>
    <s v="High"/>
    <s v="East - Self-employed"/>
  </r>
  <r>
    <x v="1347"/>
    <s v="Krisha Mann"/>
    <n v="18"/>
    <x v="1"/>
    <x v="2"/>
    <x v="2"/>
    <x v="0"/>
    <x v="0"/>
    <x v="0"/>
    <n v="0.15"/>
    <d v="2020-01-13T00:00:00"/>
    <x v="0"/>
    <x v="1"/>
    <x v="0"/>
    <s v="Jan"/>
    <s v="Q1"/>
    <s v="Young"/>
    <s v="High"/>
    <s v="West - Self-employed"/>
  </r>
  <r>
    <x v="1348"/>
    <s v="Bhavna Konda"/>
    <n v="56"/>
    <x v="0"/>
    <x v="1"/>
    <x v="3"/>
    <x v="0"/>
    <x v="1"/>
    <x v="1"/>
    <n v="0.56999999999999995"/>
    <d v="2020-11-18T00:00:00"/>
    <x v="2"/>
    <x v="0"/>
    <x v="0"/>
    <s v="Nov"/>
    <s v="Q4"/>
    <s v="Senior"/>
    <s v="High"/>
    <s v="West - Retired"/>
  </r>
  <r>
    <x v="1349"/>
    <s v="Ira Hayre"/>
    <n v="39"/>
    <x v="1"/>
    <x v="2"/>
    <x v="2"/>
    <x v="0"/>
    <x v="1"/>
    <x v="1"/>
    <n v="0.28000000000000003"/>
    <d v="2020-09-10T00:00:00"/>
    <x v="1"/>
    <x v="1"/>
    <x v="0"/>
    <s v="Sep"/>
    <s v="Q3"/>
    <s v="Adult"/>
    <s v="High"/>
    <s v="West - Self-employed"/>
  </r>
  <r>
    <x v="1350"/>
    <s v="Priya Salvi"/>
    <n v="44"/>
    <x v="0"/>
    <x v="2"/>
    <x v="3"/>
    <x v="3"/>
    <x v="1"/>
    <x v="0"/>
    <n v="7.0000000000000007E-2"/>
    <d v="2023-03-25T00:00:00"/>
    <x v="1"/>
    <x v="1"/>
    <x v="5"/>
    <s v="Mar"/>
    <s v="Q1"/>
    <s v="Adult"/>
    <s v="Very High"/>
    <s v="South - Retired"/>
  </r>
  <r>
    <x v="1351"/>
    <s v="Harini Bhardwaj"/>
    <n v="51"/>
    <x v="0"/>
    <x v="1"/>
    <x v="3"/>
    <x v="1"/>
    <x v="0"/>
    <x v="0"/>
    <n v="0.24"/>
    <d v="2021-02-22T00:00:00"/>
    <x v="2"/>
    <x v="1"/>
    <x v="2"/>
    <s v="Feb"/>
    <s v="Q1"/>
    <s v="Senior"/>
    <s v="High"/>
    <s v="East - Retired"/>
  </r>
  <r>
    <x v="1352"/>
    <s v="Peter Sinha"/>
    <n v="32"/>
    <x v="0"/>
    <x v="0"/>
    <x v="3"/>
    <x v="5"/>
    <x v="1"/>
    <x v="1"/>
    <n v="0.5"/>
    <d v="2022-10-04T00:00:00"/>
    <x v="1"/>
    <x v="0"/>
    <x v="3"/>
    <s v="Oct"/>
    <s v="Q4"/>
    <s v="Adult"/>
    <s v="High"/>
    <s v="Central - Retired"/>
  </r>
  <r>
    <x v="1353"/>
    <s v="Vansha Bhakta"/>
    <n v="38"/>
    <x v="1"/>
    <x v="0"/>
    <x v="1"/>
    <x v="1"/>
    <x v="0"/>
    <x v="1"/>
    <n v="0.57999999999999996"/>
    <d v="2020-03-03T00:00:00"/>
    <x v="1"/>
    <x v="0"/>
    <x v="0"/>
    <s v="Mar"/>
    <s v="Q1"/>
    <s v="Adult"/>
    <s v="Low"/>
    <s v="East - Salaried"/>
  </r>
  <r>
    <x v="1354"/>
    <s v="Kevin Korpal"/>
    <n v="41"/>
    <x v="0"/>
    <x v="0"/>
    <x v="0"/>
    <x v="3"/>
    <x v="0"/>
    <x v="1"/>
    <n v="0.55000000000000004"/>
    <d v="2018-12-18T00:00:00"/>
    <x v="1"/>
    <x v="0"/>
    <x v="1"/>
    <s v="Dec"/>
    <s v="Q4"/>
    <s v="Adult"/>
    <s v="Low"/>
    <s v="South - Student"/>
  </r>
  <r>
    <x v="1355"/>
    <s v="Ishaan Raman"/>
    <n v="28"/>
    <x v="0"/>
    <x v="1"/>
    <x v="0"/>
    <x v="3"/>
    <x v="1"/>
    <x v="1"/>
    <n v="0.52"/>
    <d v="2018-03-24T00:00:00"/>
    <x v="0"/>
    <x v="0"/>
    <x v="1"/>
    <s v="Mar"/>
    <s v="Q1"/>
    <s v="Young"/>
    <s v="High"/>
    <s v="South - Student"/>
  </r>
  <r>
    <x v="1356"/>
    <s v="Riya Bajwa"/>
    <n v="68"/>
    <x v="0"/>
    <x v="0"/>
    <x v="1"/>
    <x v="0"/>
    <x v="0"/>
    <x v="1"/>
    <n v="0.52"/>
    <d v="2019-05-08T00:00:00"/>
    <x v="3"/>
    <x v="0"/>
    <x v="4"/>
    <s v="May"/>
    <s v="Q2"/>
    <s v="Senior"/>
    <s v="Low"/>
    <s v="West - Salaried"/>
  </r>
  <r>
    <x v="1357"/>
    <s v="Nachiket Bora"/>
    <n v="62"/>
    <x v="1"/>
    <x v="0"/>
    <x v="3"/>
    <x v="5"/>
    <x v="0"/>
    <x v="1"/>
    <n v="0.12"/>
    <d v="2019-08-01T00:00:00"/>
    <x v="3"/>
    <x v="1"/>
    <x v="4"/>
    <s v="Aug"/>
    <s v="Q3"/>
    <s v="Senior"/>
    <s v="Low"/>
    <s v="Central - Retired"/>
  </r>
  <r>
    <x v="1358"/>
    <s v="Kritika Varughese"/>
    <n v="59"/>
    <x v="1"/>
    <x v="2"/>
    <x v="3"/>
    <x v="4"/>
    <x v="1"/>
    <x v="0"/>
    <n v="0.49"/>
    <d v="2021-07-16T00:00:00"/>
    <x v="2"/>
    <x v="0"/>
    <x v="2"/>
    <s v="Jul"/>
    <s v="Q3"/>
    <s v="Senior"/>
    <s v="Very High"/>
    <s v="North-East - Retired"/>
  </r>
  <r>
    <x v="1359"/>
    <s v="Yauvani Pillai"/>
    <n v="54"/>
    <x v="0"/>
    <x v="1"/>
    <x v="1"/>
    <x v="2"/>
    <x v="1"/>
    <x v="1"/>
    <n v="0.49"/>
    <d v="2018-10-15T00:00:00"/>
    <x v="2"/>
    <x v="0"/>
    <x v="1"/>
    <s v="Oct"/>
    <s v="Q4"/>
    <s v="Senior"/>
    <s v="High"/>
    <s v="North - Salaried"/>
  </r>
  <r>
    <x v="1360"/>
    <s v="Thomas Tank"/>
    <n v="19"/>
    <x v="0"/>
    <x v="2"/>
    <x v="2"/>
    <x v="1"/>
    <x v="0"/>
    <x v="1"/>
    <n v="0.73"/>
    <d v="2019-06-11T00:00:00"/>
    <x v="0"/>
    <x v="2"/>
    <x v="4"/>
    <s v="Jun"/>
    <s v="Q2"/>
    <s v="Young"/>
    <s v="Low"/>
    <s v="East - Self-employed"/>
  </r>
  <r>
    <x v="1361"/>
    <s v="Devika Hans"/>
    <n v="23"/>
    <x v="0"/>
    <x v="0"/>
    <x v="1"/>
    <x v="5"/>
    <x v="1"/>
    <x v="1"/>
    <n v="0.83"/>
    <d v="2018-12-12T00:00:00"/>
    <x v="0"/>
    <x v="2"/>
    <x v="1"/>
    <s v="Dec"/>
    <s v="Q4"/>
    <s v="Young"/>
    <s v="High"/>
    <s v="Central - Salaried"/>
  </r>
  <r>
    <x v="1362"/>
    <s v="Sudiksha Nayar"/>
    <n v="24"/>
    <x v="1"/>
    <x v="1"/>
    <x v="0"/>
    <x v="4"/>
    <x v="1"/>
    <x v="0"/>
    <n v="0.59"/>
    <d v="2020-05-08T00:00:00"/>
    <x v="0"/>
    <x v="0"/>
    <x v="0"/>
    <s v="May"/>
    <s v="Q2"/>
    <s v="Young"/>
    <s v="Very High"/>
    <s v="North-East - Student"/>
  </r>
  <r>
    <x v="1363"/>
    <s v="Manthan Kohli"/>
    <n v="33"/>
    <x v="0"/>
    <x v="2"/>
    <x v="3"/>
    <x v="1"/>
    <x v="1"/>
    <x v="0"/>
    <n v="0.44"/>
    <d v="2020-03-02T00:00:00"/>
    <x v="1"/>
    <x v="0"/>
    <x v="0"/>
    <s v="Mar"/>
    <s v="Q1"/>
    <s v="Adult"/>
    <s v="Very High"/>
    <s v="East - Retired"/>
  </r>
  <r>
    <x v="1364"/>
    <s v="Sarthak Dhar"/>
    <n v="63"/>
    <x v="1"/>
    <x v="2"/>
    <x v="2"/>
    <x v="1"/>
    <x v="0"/>
    <x v="0"/>
    <n v="0.49"/>
    <d v="2020-07-02T00:00:00"/>
    <x v="3"/>
    <x v="0"/>
    <x v="0"/>
    <s v="Jul"/>
    <s v="Q3"/>
    <s v="Senior"/>
    <s v="High"/>
    <s v="East - Self-employed"/>
  </r>
  <r>
    <x v="1365"/>
    <s v="Rajeshri Padmanabhan"/>
    <n v="46"/>
    <x v="1"/>
    <x v="0"/>
    <x v="2"/>
    <x v="4"/>
    <x v="1"/>
    <x v="0"/>
    <n v="0.6"/>
    <d v="2018-05-16T00:00:00"/>
    <x v="2"/>
    <x v="0"/>
    <x v="1"/>
    <s v="May"/>
    <s v="Q2"/>
    <s v="Adult"/>
    <s v="Very High"/>
    <s v="North-East - Self-employed"/>
  </r>
  <r>
    <x v="1366"/>
    <s v="Varenya Wason"/>
    <n v="57"/>
    <x v="0"/>
    <x v="2"/>
    <x v="3"/>
    <x v="5"/>
    <x v="0"/>
    <x v="1"/>
    <n v="0.42"/>
    <d v="2018-06-23T00:00:00"/>
    <x v="2"/>
    <x v="0"/>
    <x v="1"/>
    <s v="Jun"/>
    <s v="Q2"/>
    <s v="Senior"/>
    <s v="Low"/>
    <s v="Central - Retired"/>
  </r>
  <r>
    <x v="1367"/>
    <s v="Liam Barman"/>
    <n v="46"/>
    <x v="1"/>
    <x v="1"/>
    <x v="2"/>
    <x v="0"/>
    <x v="0"/>
    <x v="0"/>
    <n v="0.33"/>
    <d v="2022-09-14T00:00:00"/>
    <x v="2"/>
    <x v="0"/>
    <x v="3"/>
    <s v="Sep"/>
    <s v="Q3"/>
    <s v="Adult"/>
    <s v="High"/>
    <s v="West - Self-employed"/>
  </r>
  <r>
    <x v="1368"/>
    <s v="Priya Ramaswamy"/>
    <n v="56"/>
    <x v="0"/>
    <x v="2"/>
    <x v="1"/>
    <x v="1"/>
    <x v="1"/>
    <x v="1"/>
    <n v="0.18"/>
    <d v="2019-08-25T00:00:00"/>
    <x v="2"/>
    <x v="1"/>
    <x v="4"/>
    <s v="Aug"/>
    <s v="Q3"/>
    <s v="Senior"/>
    <s v="High"/>
    <s v="East - Salaried"/>
  </r>
  <r>
    <x v="1369"/>
    <s v="Maanas Sura"/>
    <n v="54"/>
    <x v="0"/>
    <x v="1"/>
    <x v="2"/>
    <x v="5"/>
    <x v="0"/>
    <x v="0"/>
    <n v="0.56000000000000005"/>
    <d v="2019-05-02T00:00:00"/>
    <x v="2"/>
    <x v="0"/>
    <x v="4"/>
    <s v="May"/>
    <s v="Q2"/>
    <s v="Senior"/>
    <s v="High"/>
    <s v="Central - Self-employed"/>
  </r>
  <r>
    <x v="1370"/>
    <s v="Ati Mutti"/>
    <n v="34"/>
    <x v="0"/>
    <x v="0"/>
    <x v="1"/>
    <x v="3"/>
    <x v="1"/>
    <x v="0"/>
    <n v="0.53"/>
    <d v="2018-06-17T00:00:00"/>
    <x v="1"/>
    <x v="0"/>
    <x v="1"/>
    <s v="Jun"/>
    <s v="Q2"/>
    <s v="Adult"/>
    <s v="Very High"/>
    <s v="South - Salaried"/>
  </r>
  <r>
    <x v="1371"/>
    <s v="Thomas Kothari"/>
    <n v="32"/>
    <x v="0"/>
    <x v="2"/>
    <x v="1"/>
    <x v="4"/>
    <x v="0"/>
    <x v="1"/>
    <n v="0.05"/>
    <d v="2021-05-05T00:00:00"/>
    <x v="1"/>
    <x v="1"/>
    <x v="2"/>
    <s v="May"/>
    <s v="Q2"/>
    <s v="Adult"/>
    <s v="Low"/>
    <s v="North-East - Salaried"/>
  </r>
  <r>
    <x v="1372"/>
    <s v="Libni Singh"/>
    <n v="26"/>
    <x v="0"/>
    <x v="0"/>
    <x v="1"/>
    <x v="1"/>
    <x v="1"/>
    <x v="0"/>
    <n v="0.04"/>
    <d v="2021-08-31T00:00:00"/>
    <x v="0"/>
    <x v="1"/>
    <x v="2"/>
    <s v="Aug"/>
    <s v="Q3"/>
    <s v="Young"/>
    <s v="Very High"/>
    <s v="East - Salaried"/>
  </r>
  <r>
    <x v="1373"/>
    <s v="Abha Wadhwa"/>
    <n v="33"/>
    <x v="1"/>
    <x v="2"/>
    <x v="1"/>
    <x v="2"/>
    <x v="1"/>
    <x v="0"/>
    <n v="0.44"/>
    <d v="2021-01-28T00:00:00"/>
    <x v="1"/>
    <x v="0"/>
    <x v="2"/>
    <s v="Jan"/>
    <s v="Q1"/>
    <s v="Adult"/>
    <s v="Very High"/>
    <s v="North - Salaried"/>
  </r>
  <r>
    <x v="1374"/>
    <s v="Nathaniel Gala"/>
    <n v="57"/>
    <x v="0"/>
    <x v="0"/>
    <x v="1"/>
    <x v="4"/>
    <x v="1"/>
    <x v="0"/>
    <n v="0.38"/>
    <d v="2021-11-10T00:00:00"/>
    <x v="2"/>
    <x v="0"/>
    <x v="2"/>
    <s v="Nov"/>
    <s v="Q4"/>
    <s v="Senior"/>
    <s v="Very High"/>
    <s v="North-East - Salaried"/>
  </r>
  <r>
    <x v="1375"/>
    <s v="Anthony Mohanty"/>
    <n v="42"/>
    <x v="0"/>
    <x v="1"/>
    <x v="0"/>
    <x v="5"/>
    <x v="1"/>
    <x v="0"/>
    <n v="0.22"/>
    <d v="2020-08-20T00:00:00"/>
    <x v="1"/>
    <x v="1"/>
    <x v="0"/>
    <s v="Aug"/>
    <s v="Q3"/>
    <s v="Adult"/>
    <s v="Very High"/>
    <s v="Central - Student"/>
  </r>
  <r>
    <x v="1376"/>
    <s v="Lakshit Murty"/>
    <n v="23"/>
    <x v="1"/>
    <x v="2"/>
    <x v="1"/>
    <x v="0"/>
    <x v="0"/>
    <x v="1"/>
    <n v="0.56000000000000005"/>
    <d v="2019-06-12T00:00:00"/>
    <x v="0"/>
    <x v="0"/>
    <x v="4"/>
    <s v="Jun"/>
    <s v="Q2"/>
    <s v="Young"/>
    <s v="Low"/>
    <s v="West - Salaried"/>
  </r>
  <r>
    <x v="1377"/>
    <s v="Odika Dayal"/>
    <n v="65"/>
    <x v="0"/>
    <x v="2"/>
    <x v="3"/>
    <x v="5"/>
    <x v="1"/>
    <x v="1"/>
    <n v="0.49"/>
    <d v="2018-04-13T00:00:00"/>
    <x v="3"/>
    <x v="0"/>
    <x v="1"/>
    <s v="Apr"/>
    <s v="Q2"/>
    <s v="Senior"/>
    <s v="High"/>
    <s v="Central - Retired"/>
  </r>
  <r>
    <x v="1378"/>
    <s v="Eta Rajagopal"/>
    <n v="47"/>
    <x v="0"/>
    <x v="0"/>
    <x v="0"/>
    <x v="5"/>
    <x v="1"/>
    <x v="0"/>
    <n v="0.43"/>
    <d v="2018-12-03T00:00:00"/>
    <x v="2"/>
    <x v="0"/>
    <x v="1"/>
    <s v="Dec"/>
    <s v="Q4"/>
    <s v="Adult"/>
    <s v="Very High"/>
    <s v="Central - Student"/>
  </r>
  <r>
    <x v="1379"/>
    <s v="Vihaan Nagarajan"/>
    <n v="67"/>
    <x v="1"/>
    <x v="0"/>
    <x v="3"/>
    <x v="3"/>
    <x v="1"/>
    <x v="1"/>
    <n v="0.3"/>
    <d v="2020-06-21T00:00:00"/>
    <x v="3"/>
    <x v="0"/>
    <x v="0"/>
    <s v="Jun"/>
    <s v="Q2"/>
    <s v="Senior"/>
    <s v="High"/>
    <s v="South - Retired"/>
  </r>
  <r>
    <x v="1380"/>
    <s v="Amruta Devi"/>
    <n v="52"/>
    <x v="1"/>
    <x v="1"/>
    <x v="0"/>
    <x v="2"/>
    <x v="0"/>
    <x v="1"/>
    <n v="0.54"/>
    <d v="2021-02-05T00:00:00"/>
    <x v="2"/>
    <x v="0"/>
    <x v="2"/>
    <s v="Feb"/>
    <s v="Q1"/>
    <s v="Senior"/>
    <s v="Low"/>
    <s v="North - Student"/>
  </r>
  <r>
    <x v="1381"/>
    <s v="Karan Choudhary"/>
    <n v="65"/>
    <x v="1"/>
    <x v="2"/>
    <x v="3"/>
    <x v="2"/>
    <x v="0"/>
    <x v="0"/>
    <n v="0.09"/>
    <d v="2019-10-30T00:00:00"/>
    <x v="3"/>
    <x v="1"/>
    <x v="4"/>
    <s v="Oct"/>
    <s v="Q4"/>
    <s v="Senior"/>
    <s v="High"/>
    <s v="North - Retired"/>
  </r>
  <r>
    <x v="1382"/>
    <s v="Quincy Din"/>
    <n v="64"/>
    <x v="0"/>
    <x v="1"/>
    <x v="2"/>
    <x v="1"/>
    <x v="1"/>
    <x v="0"/>
    <n v="0.7"/>
    <d v="2018-01-07T00:00:00"/>
    <x v="3"/>
    <x v="2"/>
    <x v="1"/>
    <s v="Jan"/>
    <s v="Q1"/>
    <s v="Senior"/>
    <s v="Very High"/>
    <s v="East - Self-employed"/>
  </r>
  <r>
    <x v="1383"/>
    <s v="Abeer Mangat"/>
    <n v="62"/>
    <x v="1"/>
    <x v="1"/>
    <x v="1"/>
    <x v="5"/>
    <x v="0"/>
    <x v="0"/>
    <n v="0.53"/>
    <d v="2018-10-24T00:00:00"/>
    <x v="3"/>
    <x v="0"/>
    <x v="1"/>
    <s v="Oct"/>
    <s v="Q4"/>
    <s v="Senior"/>
    <s v="High"/>
    <s v="Central - Salaried"/>
  </r>
  <r>
    <x v="1384"/>
    <s v="Waida Sheth"/>
    <n v="23"/>
    <x v="1"/>
    <x v="1"/>
    <x v="0"/>
    <x v="5"/>
    <x v="1"/>
    <x v="1"/>
    <n v="0.93"/>
    <d v="2020-02-14T00:00:00"/>
    <x v="0"/>
    <x v="2"/>
    <x v="0"/>
    <s v="Feb"/>
    <s v="Q1"/>
    <s v="Young"/>
    <s v="High"/>
    <s v="Central - Student"/>
  </r>
  <r>
    <x v="1385"/>
    <s v="Kashvi Dada"/>
    <n v="54"/>
    <x v="1"/>
    <x v="0"/>
    <x v="1"/>
    <x v="2"/>
    <x v="1"/>
    <x v="1"/>
    <n v="0.23"/>
    <d v="2021-08-21T00:00:00"/>
    <x v="2"/>
    <x v="1"/>
    <x v="2"/>
    <s v="Aug"/>
    <s v="Q3"/>
    <s v="Senior"/>
    <s v="High"/>
    <s v="North - Salaried"/>
  </r>
  <r>
    <x v="1386"/>
    <s v="Samar Karpe"/>
    <n v="21"/>
    <x v="0"/>
    <x v="0"/>
    <x v="0"/>
    <x v="0"/>
    <x v="1"/>
    <x v="0"/>
    <n v="0.54"/>
    <d v="2019-09-21T00:00:00"/>
    <x v="0"/>
    <x v="0"/>
    <x v="4"/>
    <s v="Sep"/>
    <s v="Q3"/>
    <s v="Young"/>
    <s v="Very High"/>
    <s v="West - Student"/>
  </r>
  <r>
    <x v="1387"/>
    <s v="Girik Master"/>
    <n v="19"/>
    <x v="0"/>
    <x v="2"/>
    <x v="0"/>
    <x v="5"/>
    <x v="0"/>
    <x v="1"/>
    <n v="0.18"/>
    <d v="2020-04-20T00:00:00"/>
    <x v="0"/>
    <x v="1"/>
    <x v="0"/>
    <s v="Apr"/>
    <s v="Q2"/>
    <s v="Young"/>
    <s v="Low"/>
    <s v="Central - Student"/>
  </r>
  <r>
    <x v="1388"/>
    <s v="Maanas Kibe"/>
    <n v="55"/>
    <x v="0"/>
    <x v="2"/>
    <x v="3"/>
    <x v="5"/>
    <x v="0"/>
    <x v="0"/>
    <n v="0.44"/>
    <d v="2020-02-13T00:00:00"/>
    <x v="2"/>
    <x v="0"/>
    <x v="0"/>
    <s v="Feb"/>
    <s v="Q1"/>
    <s v="Senior"/>
    <s v="High"/>
    <s v="Central - Retired"/>
  </r>
  <r>
    <x v="1389"/>
    <s v="Sai Dugal"/>
    <n v="53"/>
    <x v="1"/>
    <x v="0"/>
    <x v="3"/>
    <x v="4"/>
    <x v="1"/>
    <x v="1"/>
    <n v="0.54"/>
    <d v="2018-02-28T00:00:00"/>
    <x v="2"/>
    <x v="0"/>
    <x v="1"/>
    <s v="Feb"/>
    <s v="Q1"/>
    <s v="Senior"/>
    <s v="High"/>
    <s v="North-East - Retired"/>
  </r>
  <r>
    <x v="1390"/>
    <s v="Anamika Nadig"/>
    <n v="54"/>
    <x v="1"/>
    <x v="0"/>
    <x v="1"/>
    <x v="5"/>
    <x v="1"/>
    <x v="0"/>
    <n v="0.8"/>
    <d v="2022-05-02T00:00:00"/>
    <x v="2"/>
    <x v="2"/>
    <x v="3"/>
    <s v="May"/>
    <s v="Q2"/>
    <s v="Senior"/>
    <s v="Very High"/>
    <s v="Central - Salaried"/>
  </r>
  <r>
    <x v="1391"/>
    <s v="Ronith Ray"/>
    <n v="42"/>
    <x v="0"/>
    <x v="0"/>
    <x v="3"/>
    <x v="4"/>
    <x v="0"/>
    <x v="0"/>
    <n v="0.35"/>
    <d v="2021-07-27T00:00:00"/>
    <x v="1"/>
    <x v="0"/>
    <x v="2"/>
    <s v="Jul"/>
    <s v="Q3"/>
    <s v="Adult"/>
    <s v="High"/>
    <s v="North-East - Retired"/>
  </r>
  <r>
    <x v="1392"/>
    <s v="Logan Venkatesh"/>
    <n v="68"/>
    <x v="1"/>
    <x v="0"/>
    <x v="0"/>
    <x v="3"/>
    <x v="0"/>
    <x v="1"/>
    <n v="0.55000000000000004"/>
    <d v="2022-11-02T00:00:00"/>
    <x v="3"/>
    <x v="0"/>
    <x v="3"/>
    <s v="Nov"/>
    <s v="Q4"/>
    <s v="Senior"/>
    <s v="Low"/>
    <s v="South - Student"/>
  </r>
  <r>
    <x v="1393"/>
    <s v="Sai Agrawal"/>
    <n v="52"/>
    <x v="0"/>
    <x v="2"/>
    <x v="3"/>
    <x v="2"/>
    <x v="1"/>
    <x v="1"/>
    <n v="0.98"/>
    <d v="2018-09-08T00:00:00"/>
    <x v="2"/>
    <x v="2"/>
    <x v="1"/>
    <s v="Sep"/>
    <s v="Q3"/>
    <s v="Senior"/>
    <s v="High"/>
    <s v="North - Retired"/>
  </r>
  <r>
    <x v="1394"/>
    <s v="Ekalinga Devi"/>
    <n v="39"/>
    <x v="0"/>
    <x v="0"/>
    <x v="2"/>
    <x v="4"/>
    <x v="1"/>
    <x v="0"/>
    <n v="0.56999999999999995"/>
    <d v="2021-09-27T00:00:00"/>
    <x v="1"/>
    <x v="0"/>
    <x v="2"/>
    <s v="Sep"/>
    <s v="Q3"/>
    <s v="Adult"/>
    <s v="Very High"/>
    <s v="North-East - Self-employed"/>
  </r>
  <r>
    <x v="1395"/>
    <s v="Avi Bawa"/>
    <n v="57"/>
    <x v="0"/>
    <x v="1"/>
    <x v="3"/>
    <x v="2"/>
    <x v="0"/>
    <x v="1"/>
    <n v="0.26"/>
    <d v="2019-03-25T00:00:00"/>
    <x v="2"/>
    <x v="1"/>
    <x v="4"/>
    <s v="Mar"/>
    <s v="Q1"/>
    <s v="Senior"/>
    <s v="Low"/>
    <s v="North - Retired"/>
  </r>
  <r>
    <x v="1396"/>
    <s v="Yahvi Loyal"/>
    <n v="56"/>
    <x v="0"/>
    <x v="0"/>
    <x v="3"/>
    <x v="5"/>
    <x v="1"/>
    <x v="0"/>
    <n v="0.78"/>
    <d v="2020-10-23T00:00:00"/>
    <x v="2"/>
    <x v="2"/>
    <x v="0"/>
    <s v="Oct"/>
    <s v="Q4"/>
    <s v="Senior"/>
    <s v="Very High"/>
    <s v="Central - Retired"/>
  </r>
  <r>
    <x v="1397"/>
    <s v="Siya Raj"/>
    <n v="53"/>
    <x v="0"/>
    <x v="1"/>
    <x v="1"/>
    <x v="2"/>
    <x v="1"/>
    <x v="0"/>
    <n v="0.42"/>
    <d v="2019-11-06T00:00:00"/>
    <x v="2"/>
    <x v="0"/>
    <x v="4"/>
    <s v="Nov"/>
    <s v="Q4"/>
    <s v="Senior"/>
    <s v="Very High"/>
    <s v="North - Salaried"/>
  </r>
  <r>
    <x v="1398"/>
    <s v="Yashodhara Ganesan"/>
    <n v="54"/>
    <x v="0"/>
    <x v="0"/>
    <x v="1"/>
    <x v="2"/>
    <x v="0"/>
    <x v="1"/>
    <n v="0.36"/>
    <d v="2022-04-12T00:00:00"/>
    <x v="2"/>
    <x v="0"/>
    <x v="3"/>
    <s v="Apr"/>
    <s v="Q2"/>
    <s v="Senior"/>
    <s v="Low"/>
    <s v="North - Salaried"/>
  </r>
  <r>
    <x v="1399"/>
    <s v="Wishi Chada"/>
    <n v="40"/>
    <x v="1"/>
    <x v="2"/>
    <x v="0"/>
    <x v="4"/>
    <x v="0"/>
    <x v="0"/>
    <n v="0.52"/>
    <d v="2020-02-04T00:00:00"/>
    <x v="1"/>
    <x v="0"/>
    <x v="0"/>
    <s v="Feb"/>
    <s v="Q1"/>
    <s v="Adult"/>
    <s v="High"/>
    <s v="North-East - Student"/>
  </r>
  <r>
    <x v="1400"/>
    <s v="Lakshmi Anand"/>
    <n v="25"/>
    <x v="0"/>
    <x v="1"/>
    <x v="2"/>
    <x v="0"/>
    <x v="0"/>
    <x v="0"/>
    <n v="0.35"/>
    <d v="2021-04-16T00:00:00"/>
    <x v="0"/>
    <x v="0"/>
    <x v="2"/>
    <s v="Apr"/>
    <s v="Q2"/>
    <s v="Young"/>
    <s v="High"/>
    <s v="West - Self-employed"/>
  </r>
  <r>
    <x v="1401"/>
    <s v="Garima Manne"/>
    <n v="50"/>
    <x v="1"/>
    <x v="0"/>
    <x v="0"/>
    <x v="1"/>
    <x v="1"/>
    <x v="1"/>
    <n v="0.37"/>
    <d v="2019-07-30T00:00:00"/>
    <x v="2"/>
    <x v="0"/>
    <x v="4"/>
    <s v="Jul"/>
    <s v="Q3"/>
    <s v="Adult"/>
    <s v="High"/>
    <s v="East - Student"/>
  </r>
  <r>
    <x v="1402"/>
    <s v="Imaran Soman"/>
    <n v="30"/>
    <x v="0"/>
    <x v="0"/>
    <x v="0"/>
    <x v="3"/>
    <x v="1"/>
    <x v="1"/>
    <n v="0.57999999999999996"/>
    <d v="2019-08-03T00:00:00"/>
    <x v="0"/>
    <x v="0"/>
    <x v="4"/>
    <s v="Aug"/>
    <s v="Q3"/>
    <s v="Adult"/>
    <s v="High"/>
    <s v="South - Student"/>
  </r>
  <r>
    <x v="1403"/>
    <s v="Darpan Zachariah"/>
    <n v="60"/>
    <x v="1"/>
    <x v="1"/>
    <x v="0"/>
    <x v="4"/>
    <x v="1"/>
    <x v="0"/>
    <n v="0.65"/>
    <d v="2019-10-26T00:00:00"/>
    <x v="2"/>
    <x v="0"/>
    <x v="4"/>
    <s v="Oct"/>
    <s v="Q4"/>
    <s v="Senior"/>
    <s v="Very High"/>
    <s v="North-East - Student"/>
  </r>
  <r>
    <x v="1404"/>
    <s v="Tarak Viswanathan"/>
    <n v="28"/>
    <x v="0"/>
    <x v="0"/>
    <x v="1"/>
    <x v="4"/>
    <x v="0"/>
    <x v="0"/>
    <n v="0.52"/>
    <d v="2022-04-22T00:00:00"/>
    <x v="0"/>
    <x v="0"/>
    <x v="3"/>
    <s v="Apr"/>
    <s v="Q2"/>
    <s v="Young"/>
    <s v="High"/>
    <s v="North-East - Salaried"/>
  </r>
  <r>
    <x v="1405"/>
    <s v="Bhavika Kumer"/>
    <n v="39"/>
    <x v="1"/>
    <x v="0"/>
    <x v="2"/>
    <x v="4"/>
    <x v="0"/>
    <x v="0"/>
    <n v="0.8"/>
    <d v="2018-05-15T00:00:00"/>
    <x v="1"/>
    <x v="2"/>
    <x v="1"/>
    <s v="May"/>
    <s v="Q2"/>
    <s v="Adult"/>
    <s v="High"/>
    <s v="North-East - Self-employed"/>
  </r>
  <r>
    <x v="1406"/>
    <s v="Darsh Manda"/>
    <n v="40"/>
    <x v="1"/>
    <x v="1"/>
    <x v="3"/>
    <x v="0"/>
    <x v="1"/>
    <x v="0"/>
    <n v="0.73"/>
    <d v="2019-03-14T00:00:00"/>
    <x v="1"/>
    <x v="2"/>
    <x v="4"/>
    <s v="Mar"/>
    <s v="Q1"/>
    <s v="Adult"/>
    <s v="Very High"/>
    <s v="West - Retired"/>
  </r>
  <r>
    <x v="1407"/>
    <s v="Anita Khurana"/>
    <n v="26"/>
    <x v="1"/>
    <x v="2"/>
    <x v="0"/>
    <x v="3"/>
    <x v="0"/>
    <x v="0"/>
    <n v="0.27"/>
    <d v="2018-09-06T00:00:00"/>
    <x v="0"/>
    <x v="1"/>
    <x v="1"/>
    <s v="Sep"/>
    <s v="Q3"/>
    <s v="Young"/>
    <s v="High"/>
    <s v="South - Student"/>
  </r>
  <r>
    <x v="1408"/>
    <s v="Ijaya Ravi"/>
    <n v="66"/>
    <x v="0"/>
    <x v="0"/>
    <x v="2"/>
    <x v="1"/>
    <x v="1"/>
    <x v="0"/>
    <n v="0.76"/>
    <d v="2018-03-06T00:00:00"/>
    <x v="3"/>
    <x v="2"/>
    <x v="1"/>
    <s v="Mar"/>
    <s v="Q1"/>
    <s v="Senior"/>
    <s v="Very High"/>
    <s v="East - Self-employed"/>
  </r>
  <r>
    <x v="1409"/>
    <s v="Yashodhara Oak"/>
    <n v="49"/>
    <x v="0"/>
    <x v="0"/>
    <x v="1"/>
    <x v="3"/>
    <x v="1"/>
    <x v="1"/>
    <n v="0.54"/>
    <d v="2022-10-04T00:00:00"/>
    <x v="2"/>
    <x v="0"/>
    <x v="3"/>
    <s v="Oct"/>
    <s v="Q4"/>
    <s v="Adult"/>
    <s v="High"/>
    <s v="South - Salaried"/>
  </r>
  <r>
    <x v="1410"/>
    <s v="Harshil Maharaj"/>
    <n v="40"/>
    <x v="1"/>
    <x v="1"/>
    <x v="1"/>
    <x v="1"/>
    <x v="0"/>
    <x v="0"/>
    <n v="0.63"/>
    <d v="2019-06-30T00:00:00"/>
    <x v="1"/>
    <x v="0"/>
    <x v="4"/>
    <s v="Jun"/>
    <s v="Q2"/>
    <s v="Adult"/>
    <s v="High"/>
    <s v="East - Salaried"/>
  </r>
  <r>
    <x v="1411"/>
    <s v="Vansha Mukherjee"/>
    <n v="46"/>
    <x v="1"/>
    <x v="2"/>
    <x v="1"/>
    <x v="4"/>
    <x v="1"/>
    <x v="1"/>
    <n v="0.66"/>
    <d v="2018-08-06T00:00:00"/>
    <x v="2"/>
    <x v="0"/>
    <x v="1"/>
    <s v="Aug"/>
    <s v="Q3"/>
    <s v="Adult"/>
    <s v="High"/>
    <s v="North-East - Salaried"/>
  </r>
  <r>
    <x v="1412"/>
    <s v="Ekaja Pandey"/>
    <n v="44"/>
    <x v="1"/>
    <x v="1"/>
    <x v="0"/>
    <x v="0"/>
    <x v="0"/>
    <x v="1"/>
    <n v="0.57999999999999996"/>
    <d v="2020-01-23T00:00:00"/>
    <x v="1"/>
    <x v="0"/>
    <x v="0"/>
    <s v="Jan"/>
    <s v="Q1"/>
    <s v="Adult"/>
    <s v="Low"/>
    <s v="West - Student"/>
  </r>
  <r>
    <x v="1413"/>
    <s v="Harshil Rau"/>
    <n v="69"/>
    <x v="0"/>
    <x v="2"/>
    <x v="1"/>
    <x v="0"/>
    <x v="0"/>
    <x v="1"/>
    <n v="0.5"/>
    <d v="2022-04-07T00:00:00"/>
    <x v="3"/>
    <x v="0"/>
    <x v="3"/>
    <s v="Apr"/>
    <s v="Q2"/>
    <s v="Senior"/>
    <s v="Low"/>
    <s v="West - Salaried"/>
  </r>
  <r>
    <x v="1414"/>
    <s v="Lakshmi Manda"/>
    <n v="67"/>
    <x v="1"/>
    <x v="0"/>
    <x v="0"/>
    <x v="4"/>
    <x v="0"/>
    <x v="0"/>
    <n v="0.44"/>
    <d v="2020-06-10T00:00:00"/>
    <x v="3"/>
    <x v="0"/>
    <x v="0"/>
    <s v="Jun"/>
    <s v="Q2"/>
    <s v="Senior"/>
    <s v="High"/>
    <s v="North-East - Student"/>
  </r>
  <r>
    <x v="1415"/>
    <s v="Imaran Sur"/>
    <n v="32"/>
    <x v="1"/>
    <x v="1"/>
    <x v="1"/>
    <x v="2"/>
    <x v="0"/>
    <x v="0"/>
    <n v="0.65"/>
    <d v="2019-03-11T00:00:00"/>
    <x v="1"/>
    <x v="0"/>
    <x v="4"/>
    <s v="Mar"/>
    <s v="Q1"/>
    <s v="Adult"/>
    <s v="High"/>
    <s v="North - Salaried"/>
  </r>
  <r>
    <x v="1416"/>
    <s v="Baljiwan Dubey"/>
    <n v="67"/>
    <x v="0"/>
    <x v="0"/>
    <x v="1"/>
    <x v="3"/>
    <x v="0"/>
    <x v="0"/>
    <n v="0.55000000000000004"/>
    <d v="2021-02-28T00:00:00"/>
    <x v="3"/>
    <x v="0"/>
    <x v="2"/>
    <s v="Feb"/>
    <s v="Q1"/>
    <s v="Senior"/>
    <s v="High"/>
    <s v="South - Salaried"/>
  </r>
  <r>
    <x v="1417"/>
    <s v="Harshil Ravel"/>
    <n v="50"/>
    <x v="0"/>
    <x v="0"/>
    <x v="3"/>
    <x v="5"/>
    <x v="1"/>
    <x v="0"/>
    <n v="0.14000000000000001"/>
    <d v="2019-07-21T00:00:00"/>
    <x v="2"/>
    <x v="1"/>
    <x v="4"/>
    <s v="Jul"/>
    <s v="Q3"/>
    <s v="Adult"/>
    <s v="Very High"/>
    <s v="Central - Retired"/>
  </r>
  <r>
    <x v="1418"/>
    <s v="Veda Chauhan"/>
    <n v="48"/>
    <x v="0"/>
    <x v="1"/>
    <x v="1"/>
    <x v="1"/>
    <x v="1"/>
    <x v="0"/>
    <n v="0.65"/>
    <d v="2019-04-03T00:00:00"/>
    <x v="2"/>
    <x v="0"/>
    <x v="4"/>
    <s v="Apr"/>
    <s v="Q2"/>
    <s v="Adult"/>
    <s v="Very High"/>
    <s v="East - Salaried"/>
  </r>
  <r>
    <x v="1419"/>
    <s v="Girik Chhabra"/>
    <n v="66"/>
    <x v="1"/>
    <x v="0"/>
    <x v="0"/>
    <x v="0"/>
    <x v="0"/>
    <x v="1"/>
    <n v="0.75"/>
    <d v="2021-06-13T00:00:00"/>
    <x v="3"/>
    <x v="2"/>
    <x v="2"/>
    <s v="Jun"/>
    <s v="Q2"/>
    <s v="Senior"/>
    <s v="Low"/>
    <s v="West - Student"/>
  </r>
  <r>
    <x v="1420"/>
    <s v="Zaitra Ramachandran"/>
    <n v="56"/>
    <x v="1"/>
    <x v="1"/>
    <x v="0"/>
    <x v="2"/>
    <x v="0"/>
    <x v="0"/>
    <n v="0.4"/>
    <d v="2019-04-04T00:00:00"/>
    <x v="2"/>
    <x v="0"/>
    <x v="4"/>
    <s v="Apr"/>
    <s v="Q2"/>
    <s v="Senior"/>
    <s v="High"/>
    <s v="North - Student"/>
  </r>
  <r>
    <x v="1421"/>
    <s v="Zansi Sami"/>
    <n v="56"/>
    <x v="1"/>
    <x v="0"/>
    <x v="1"/>
    <x v="2"/>
    <x v="0"/>
    <x v="1"/>
    <n v="0.2"/>
    <d v="2023-02-02T00:00:00"/>
    <x v="2"/>
    <x v="1"/>
    <x v="5"/>
    <s v="Feb"/>
    <s v="Q1"/>
    <s v="Senior"/>
    <s v="Low"/>
    <s v="North - Salaried"/>
  </r>
  <r>
    <x v="1422"/>
    <s v="Frederick Singhal"/>
    <n v="19"/>
    <x v="0"/>
    <x v="0"/>
    <x v="1"/>
    <x v="3"/>
    <x v="0"/>
    <x v="0"/>
    <n v="0.45"/>
    <d v="2021-08-11T00:00:00"/>
    <x v="0"/>
    <x v="0"/>
    <x v="2"/>
    <s v="Aug"/>
    <s v="Q3"/>
    <s v="Young"/>
    <s v="High"/>
    <s v="South - Salaried"/>
  </r>
  <r>
    <x v="1423"/>
    <s v="Rushil Dutta"/>
    <n v="62"/>
    <x v="0"/>
    <x v="0"/>
    <x v="0"/>
    <x v="3"/>
    <x v="0"/>
    <x v="1"/>
    <n v="0.5"/>
    <d v="2023-09-18T00:00:00"/>
    <x v="3"/>
    <x v="0"/>
    <x v="5"/>
    <s v="Sep"/>
    <s v="Q3"/>
    <s v="Senior"/>
    <s v="Low"/>
    <s v="South - Student"/>
  </r>
  <r>
    <x v="1424"/>
    <s v="Dominic Soni"/>
    <n v="65"/>
    <x v="1"/>
    <x v="1"/>
    <x v="0"/>
    <x v="4"/>
    <x v="1"/>
    <x v="1"/>
    <n v="0.5"/>
    <d v="2018-10-11T00:00:00"/>
    <x v="3"/>
    <x v="0"/>
    <x v="1"/>
    <s v="Oct"/>
    <s v="Q4"/>
    <s v="Senior"/>
    <s v="High"/>
    <s v="North-East - Student"/>
  </r>
  <r>
    <x v="1425"/>
    <s v="Ekani Bala"/>
    <n v="23"/>
    <x v="1"/>
    <x v="2"/>
    <x v="0"/>
    <x v="1"/>
    <x v="1"/>
    <x v="0"/>
    <n v="0.48"/>
    <d v="2022-01-02T00:00:00"/>
    <x v="0"/>
    <x v="0"/>
    <x v="3"/>
    <s v="Jan"/>
    <s v="Q1"/>
    <s v="Young"/>
    <s v="Very High"/>
    <s v="East - Student"/>
  </r>
  <r>
    <x v="1426"/>
    <s v="Sarthak Prasad"/>
    <n v="53"/>
    <x v="1"/>
    <x v="1"/>
    <x v="1"/>
    <x v="2"/>
    <x v="0"/>
    <x v="1"/>
    <n v="0.35"/>
    <d v="2021-06-10T00:00:00"/>
    <x v="2"/>
    <x v="0"/>
    <x v="2"/>
    <s v="Jun"/>
    <s v="Q2"/>
    <s v="Senior"/>
    <s v="Low"/>
    <s v="North - Salaried"/>
  </r>
  <r>
    <x v="1427"/>
    <s v="Aadhya Parikh"/>
    <n v="21"/>
    <x v="1"/>
    <x v="0"/>
    <x v="1"/>
    <x v="3"/>
    <x v="0"/>
    <x v="1"/>
    <n v="0.44"/>
    <d v="2023-09-16T00:00:00"/>
    <x v="0"/>
    <x v="0"/>
    <x v="5"/>
    <s v="Sep"/>
    <s v="Q3"/>
    <s v="Young"/>
    <s v="Low"/>
    <s v="South - Salaried"/>
  </r>
  <r>
    <x v="1428"/>
    <s v="Ijaya Sami"/>
    <n v="25"/>
    <x v="1"/>
    <x v="0"/>
    <x v="3"/>
    <x v="1"/>
    <x v="1"/>
    <x v="1"/>
    <n v="0.66"/>
    <d v="2020-04-19T00:00:00"/>
    <x v="0"/>
    <x v="0"/>
    <x v="0"/>
    <s v="Apr"/>
    <s v="Q2"/>
    <s v="Young"/>
    <s v="High"/>
    <s v="East - Retired"/>
  </r>
  <r>
    <x v="1429"/>
    <s v="Ria Doctor"/>
    <n v="37"/>
    <x v="1"/>
    <x v="2"/>
    <x v="0"/>
    <x v="2"/>
    <x v="0"/>
    <x v="1"/>
    <n v="0.7"/>
    <d v="2022-06-16T00:00:00"/>
    <x v="1"/>
    <x v="2"/>
    <x v="3"/>
    <s v="Jun"/>
    <s v="Q2"/>
    <s v="Adult"/>
    <s v="Low"/>
    <s v="North - Student"/>
  </r>
  <r>
    <x v="1430"/>
    <s v="Yug Upadhyay"/>
    <n v="67"/>
    <x v="0"/>
    <x v="1"/>
    <x v="0"/>
    <x v="4"/>
    <x v="0"/>
    <x v="0"/>
    <n v="0.6"/>
    <d v="2021-04-26T00:00:00"/>
    <x v="3"/>
    <x v="0"/>
    <x v="2"/>
    <s v="Apr"/>
    <s v="Q2"/>
    <s v="Senior"/>
    <s v="High"/>
    <s v="North-East - Student"/>
  </r>
  <r>
    <x v="1431"/>
    <s v="Mugdha Dhar"/>
    <n v="59"/>
    <x v="1"/>
    <x v="2"/>
    <x v="2"/>
    <x v="0"/>
    <x v="1"/>
    <x v="0"/>
    <n v="0.4"/>
    <d v="2019-02-24T00:00:00"/>
    <x v="2"/>
    <x v="0"/>
    <x v="4"/>
    <s v="Feb"/>
    <s v="Q1"/>
    <s v="Senior"/>
    <s v="Very High"/>
    <s v="West - Self-employed"/>
  </r>
  <r>
    <x v="1432"/>
    <s v="Upadhriti Subramaniam"/>
    <n v="53"/>
    <x v="0"/>
    <x v="2"/>
    <x v="0"/>
    <x v="0"/>
    <x v="0"/>
    <x v="1"/>
    <n v="0.46"/>
    <d v="2019-05-11T00:00:00"/>
    <x v="2"/>
    <x v="0"/>
    <x v="4"/>
    <s v="May"/>
    <s v="Q2"/>
    <s v="Senior"/>
    <s v="Low"/>
    <s v="West - Student"/>
  </r>
  <r>
    <x v="1433"/>
    <s v="Caleb Bhavsar"/>
    <n v="56"/>
    <x v="0"/>
    <x v="2"/>
    <x v="3"/>
    <x v="4"/>
    <x v="0"/>
    <x v="1"/>
    <n v="0.33"/>
    <d v="2022-11-30T00:00:00"/>
    <x v="2"/>
    <x v="0"/>
    <x v="3"/>
    <s v="Nov"/>
    <s v="Q4"/>
    <s v="Senior"/>
    <s v="Low"/>
    <s v="North-East - Retired"/>
  </r>
  <r>
    <x v="1434"/>
    <s v="Vedhika Joshi"/>
    <n v="32"/>
    <x v="1"/>
    <x v="1"/>
    <x v="1"/>
    <x v="1"/>
    <x v="0"/>
    <x v="1"/>
    <n v="0.54"/>
    <d v="2020-05-12T00:00:00"/>
    <x v="1"/>
    <x v="0"/>
    <x v="0"/>
    <s v="May"/>
    <s v="Q2"/>
    <s v="Adult"/>
    <s v="Low"/>
    <s v="East - Salaried"/>
  </r>
  <r>
    <x v="1435"/>
    <s v="Nakul Shere"/>
    <n v="68"/>
    <x v="0"/>
    <x v="1"/>
    <x v="3"/>
    <x v="0"/>
    <x v="0"/>
    <x v="0"/>
    <n v="0.76"/>
    <d v="2020-11-24T00:00:00"/>
    <x v="3"/>
    <x v="2"/>
    <x v="0"/>
    <s v="Nov"/>
    <s v="Q4"/>
    <s v="Senior"/>
    <s v="High"/>
    <s v="West - Retired"/>
  </r>
  <r>
    <x v="1436"/>
    <s v="Varenya Rajagopalan"/>
    <n v="33"/>
    <x v="0"/>
    <x v="2"/>
    <x v="3"/>
    <x v="1"/>
    <x v="1"/>
    <x v="1"/>
    <n v="0.36"/>
    <d v="2019-03-05T00:00:00"/>
    <x v="1"/>
    <x v="0"/>
    <x v="4"/>
    <s v="Mar"/>
    <s v="Q1"/>
    <s v="Adult"/>
    <s v="High"/>
    <s v="East - Retired"/>
  </r>
  <r>
    <x v="1437"/>
    <s v="Tristan Kumer"/>
    <n v="19"/>
    <x v="1"/>
    <x v="2"/>
    <x v="3"/>
    <x v="4"/>
    <x v="0"/>
    <x v="1"/>
    <n v="0.53"/>
    <d v="2021-08-06T00:00:00"/>
    <x v="0"/>
    <x v="0"/>
    <x v="2"/>
    <s v="Aug"/>
    <s v="Q3"/>
    <s v="Young"/>
    <s v="Low"/>
    <s v="North-East - Retired"/>
  </r>
  <r>
    <x v="1438"/>
    <s v="Nitesh Nagarajan"/>
    <n v="34"/>
    <x v="1"/>
    <x v="2"/>
    <x v="2"/>
    <x v="5"/>
    <x v="1"/>
    <x v="0"/>
    <n v="0.48"/>
    <d v="2018-04-07T00:00:00"/>
    <x v="1"/>
    <x v="0"/>
    <x v="1"/>
    <s v="Apr"/>
    <s v="Q2"/>
    <s v="Adult"/>
    <s v="Very High"/>
    <s v="Central - Self-employed"/>
  </r>
  <r>
    <x v="1439"/>
    <s v="Pooja Chhabra"/>
    <n v="22"/>
    <x v="1"/>
    <x v="1"/>
    <x v="0"/>
    <x v="2"/>
    <x v="0"/>
    <x v="0"/>
    <n v="0.48"/>
    <d v="2022-03-21T00:00:00"/>
    <x v="0"/>
    <x v="0"/>
    <x v="3"/>
    <s v="Mar"/>
    <s v="Q1"/>
    <s v="Young"/>
    <s v="High"/>
    <s v="North - Student"/>
  </r>
  <r>
    <x v="1440"/>
    <s v="Abhimanyu Wason"/>
    <n v="22"/>
    <x v="1"/>
    <x v="2"/>
    <x v="1"/>
    <x v="5"/>
    <x v="0"/>
    <x v="1"/>
    <n v="0.13"/>
    <d v="2020-08-07T00:00:00"/>
    <x v="0"/>
    <x v="1"/>
    <x v="0"/>
    <s v="Aug"/>
    <s v="Q3"/>
    <s v="Young"/>
    <s v="Low"/>
    <s v="Central - Salaried"/>
  </r>
  <r>
    <x v="1441"/>
    <s v="Jeremiah Anand"/>
    <n v="48"/>
    <x v="1"/>
    <x v="0"/>
    <x v="3"/>
    <x v="2"/>
    <x v="1"/>
    <x v="0"/>
    <n v="0.28999999999999998"/>
    <d v="2019-10-21T00:00:00"/>
    <x v="2"/>
    <x v="1"/>
    <x v="4"/>
    <s v="Oct"/>
    <s v="Q4"/>
    <s v="Adult"/>
    <s v="Very High"/>
    <s v="North - Retired"/>
  </r>
  <r>
    <x v="1442"/>
    <s v="Udarsh Ganesan"/>
    <n v="48"/>
    <x v="0"/>
    <x v="1"/>
    <x v="3"/>
    <x v="0"/>
    <x v="1"/>
    <x v="0"/>
    <n v="0.69"/>
    <d v="2018-08-31T00:00:00"/>
    <x v="2"/>
    <x v="0"/>
    <x v="1"/>
    <s v="Aug"/>
    <s v="Q3"/>
    <s v="Adult"/>
    <s v="Very High"/>
    <s v="West - Retired"/>
  </r>
  <r>
    <x v="1443"/>
    <s v="Vaishnavi Singh"/>
    <n v="27"/>
    <x v="1"/>
    <x v="1"/>
    <x v="1"/>
    <x v="0"/>
    <x v="0"/>
    <x v="0"/>
    <n v="0.69"/>
    <d v="2022-06-14T00:00:00"/>
    <x v="0"/>
    <x v="0"/>
    <x v="3"/>
    <s v="Jun"/>
    <s v="Q2"/>
    <s v="Young"/>
    <s v="High"/>
    <s v="West - Salaried"/>
  </r>
  <r>
    <x v="1444"/>
    <s v="Jack Dara"/>
    <n v="31"/>
    <x v="1"/>
    <x v="1"/>
    <x v="1"/>
    <x v="4"/>
    <x v="0"/>
    <x v="1"/>
    <n v="0.32"/>
    <d v="2021-01-21T00:00:00"/>
    <x v="1"/>
    <x v="0"/>
    <x v="2"/>
    <s v="Jan"/>
    <s v="Q1"/>
    <s v="Adult"/>
    <s v="Low"/>
    <s v="North-East - Salaried"/>
  </r>
  <r>
    <x v="1445"/>
    <s v="Logan Nagar"/>
    <n v="23"/>
    <x v="1"/>
    <x v="0"/>
    <x v="2"/>
    <x v="0"/>
    <x v="0"/>
    <x v="1"/>
    <n v="0.46"/>
    <d v="2018-10-23T00:00:00"/>
    <x v="0"/>
    <x v="0"/>
    <x v="1"/>
    <s v="Oct"/>
    <s v="Q4"/>
    <s v="Young"/>
    <s v="Low"/>
    <s v="West - Self-employed"/>
  </r>
  <r>
    <x v="1446"/>
    <s v="Vasana Thaman"/>
    <n v="55"/>
    <x v="0"/>
    <x v="1"/>
    <x v="1"/>
    <x v="2"/>
    <x v="1"/>
    <x v="0"/>
    <n v="0.6"/>
    <d v="2022-03-18T00:00:00"/>
    <x v="2"/>
    <x v="0"/>
    <x v="3"/>
    <s v="Mar"/>
    <s v="Q1"/>
    <s v="Senior"/>
    <s v="Very High"/>
    <s v="North - Salaried"/>
  </r>
  <r>
    <x v="1447"/>
    <s v="Rushil Agarwal"/>
    <n v="47"/>
    <x v="1"/>
    <x v="2"/>
    <x v="1"/>
    <x v="1"/>
    <x v="1"/>
    <x v="1"/>
    <n v="0.67"/>
    <d v="2019-08-12T00:00:00"/>
    <x v="2"/>
    <x v="0"/>
    <x v="4"/>
    <s v="Aug"/>
    <s v="Q3"/>
    <s v="Adult"/>
    <s v="High"/>
    <s v="East - Salaried"/>
  </r>
  <r>
    <x v="1448"/>
    <s v="Abhiram Savant"/>
    <n v="38"/>
    <x v="0"/>
    <x v="0"/>
    <x v="1"/>
    <x v="1"/>
    <x v="1"/>
    <x v="1"/>
    <n v="0.61"/>
    <d v="2021-07-14T00:00:00"/>
    <x v="1"/>
    <x v="0"/>
    <x v="2"/>
    <s v="Jul"/>
    <s v="Q3"/>
    <s v="Adult"/>
    <s v="High"/>
    <s v="East - Salaried"/>
  </r>
  <r>
    <x v="1449"/>
    <s v="Madhav Bora"/>
    <n v="20"/>
    <x v="0"/>
    <x v="1"/>
    <x v="0"/>
    <x v="0"/>
    <x v="1"/>
    <x v="1"/>
    <n v="0.56000000000000005"/>
    <d v="2018-04-23T00:00:00"/>
    <x v="0"/>
    <x v="0"/>
    <x v="1"/>
    <s v="Apr"/>
    <s v="Q2"/>
    <s v="Young"/>
    <s v="High"/>
    <s v="West - Student"/>
  </r>
  <r>
    <x v="1450"/>
    <s v="Lohit Mallick"/>
    <n v="58"/>
    <x v="1"/>
    <x v="1"/>
    <x v="0"/>
    <x v="1"/>
    <x v="1"/>
    <x v="0"/>
    <n v="0.41"/>
    <d v="2021-01-13T00:00:00"/>
    <x v="2"/>
    <x v="0"/>
    <x v="2"/>
    <s v="Jan"/>
    <s v="Q1"/>
    <s v="Senior"/>
    <s v="Very High"/>
    <s v="East - Student"/>
  </r>
  <r>
    <x v="1451"/>
    <s v="Rishi Merchant"/>
    <n v="32"/>
    <x v="0"/>
    <x v="2"/>
    <x v="2"/>
    <x v="3"/>
    <x v="1"/>
    <x v="1"/>
    <n v="0.92"/>
    <d v="2018-07-11T00:00:00"/>
    <x v="1"/>
    <x v="2"/>
    <x v="1"/>
    <s v="Jul"/>
    <s v="Q3"/>
    <s v="Adult"/>
    <s v="High"/>
    <s v="South - Self-employed"/>
  </r>
  <r>
    <x v="1452"/>
    <s v="Upasna Chandra"/>
    <n v="25"/>
    <x v="0"/>
    <x v="1"/>
    <x v="0"/>
    <x v="0"/>
    <x v="0"/>
    <x v="0"/>
    <n v="0.49"/>
    <d v="2022-06-17T00:00:00"/>
    <x v="0"/>
    <x v="0"/>
    <x v="3"/>
    <s v="Jun"/>
    <s v="Q2"/>
    <s v="Young"/>
    <s v="High"/>
    <s v="West - Student"/>
  </r>
  <r>
    <x v="1453"/>
    <s v="Jai Soman"/>
    <n v="18"/>
    <x v="0"/>
    <x v="0"/>
    <x v="0"/>
    <x v="0"/>
    <x v="0"/>
    <x v="1"/>
    <n v="0.3"/>
    <d v="2020-05-24T00:00:00"/>
    <x v="0"/>
    <x v="0"/>
    <x v="0"/>
    <s v="May"/>
    <s v="Q2"/>
    <s v="Young"/>
    <s v="Low"/>
    <s v="West - Student"/>
  </r>
  <r>
    <x v="1454"/>
    <s v="Krisha Patla"/>
    <n v="30"/>
    <x v="0"/>
    <x v="0"/>
    <x v="1"/>
    <x v="2"/>
    <x v="1"/>
    <x v="0"/>
    <n v="0.44"/>
    <d v="2021-12-04T00:00:00"/>
    <x v="0"/>
    <x v="0"/>
    <x v="2"/>
    <s v="Dec"/>
    <s v="Q4"/>
    <s v="Adult"/>
    <s v="Very High"/>
    <s v="North - Salaried"/>
  </r>
  <r>
    <x v="1455"/>
    <s v="Inaya Rastogi"/>
    <n v="37"/>
    <x v="0"/>
    <x v="1"/>
    <x v="2"/>
    <x v="3"/>
    <x v="1"/>
    <x v="1"/>
    <n v="0.79"/>
    <d v="2019-11-05T00:00:00"/>
    <x v="1"/>
    <x v="2"/>
    <x v="4"/>
    <s v="Nov"/>
    <s v="Q4"/>
    <s v="Adult"/>
    <s v="High"/>
    <s v="South - Self-employed"/>
  </r>
  <r>
    <x v="1456"/>
    <s v="Tamanna Ray"/>
    <n v="38"/>
    <x v="0"/>
    <x v="0"/>
    <x v="0"/>
    <x v="0"/>
    <x v="0"/>
    <x v="0"/>
    <n v="0.63"/>
    <d v="2021-01-09T00:00:00"/>
    <x v="1"/>
    <x v="0"/>
    <x v="2"/>
    <s v="Jan"/>
    <s v="Q1"/>
    <s v="Adult"/>
    <s v="High"/>
    <s v="West - Student"/>
  </r>
  <r>
    <x v="1457"/>
    <s v="Banjeet Purohit"/>
    <n v="57"/>
    <x v="1"/>
    <x v="1"/>
    <x v="1"/>
    <x v="0"/>
    <x v="1"/>
    <x v="0"/>
    <n v="0.73"/>
    <d v="2020-12-17T00:00:00"/>
    <x v="2"/>
    <x v="2"/>
    <x v="0"/>
    <s v="Dec"/>
    <s v="Q4"/>
    <s v="Senior"/>
    <s v="Very High"/>
    <s v="West - Salaried"/>
  </r>
  <r>
    <x v="1458"/>
    <s v="Amol Badal"/>
    <n v="22"/>
    <x v="1"/>
    <x v="0"/>
    <x v="2"/>
    <x v="0"/>
    <x v="1"/>
    <x v="1"/>
    <n v="0.36"/>
    <d v="2022-02-09T00:00:00"/>
    <x v="0"/>
    <x v="0"/>
    <x v="3"/>
    <s v="Feb"/>
    <s v="Q1"/>
    <s v="Young"/>
    <s v="High"/>
    <s v="West - Self-employed"/>
  </r>
  <r>
    <x v="1459"/>
    <s v="Max Edwin"/>
    <n v="63"/>
    <x v="1"/>
    <x v="1"/>
    <x v="3"/>
    <x v="3"/>
    <x v="0"/>
    <x v="0"/>
    <n v="0.31"/>
    <d v="2020-03-15T00:00:00"/>
    <x v="3"/>
    <x v="0"/>
    <x v="0"/>
    <s v="Mar"/>
    <s v="Q1"/>
    <s v="Senior"/>
    <s v="High"/>
    <s v="South - Retired"/>
  </r>
  <r>
    <x v="1460"/>
    <s v="Lakshit Raghavan"/>
    <n v="31"/>
    <x v="1"/>
    <x v="0"/>
    <x v="2"/>
    <x v="2"/>
    <x v="0"/>
    <x v="1"/>
    <n v="0.63"/>
    <d v="2018-11-14T00:00:00"/>
    <x v="1"/>
    <x v="0"/>
    <x v="1"/>
    <s v="Nov"/>
    <s v="Q4"/>
    <s v="Adult"/>
    <s v="Low"/>
    <s v="North - Self-employed"/>
  </r>
  <r>
    <x v="1461"/>
    <s v="Rohan Shanker"/>
    <n v="48"/>
    <x v="1"/>
    <x v="1"/>
    <x v="1"/>
    <x v="1"/>
    <x v="0"/>
    <x v="1"/>
    <n v="0.41"/>
    <d v="2018-10-26T00:00:00"/>
    <x v="2"/>
    <x v="0"/>
    <x v="1"/>
    <s v="Oct"/>
    <s v="Q4"/>
    <s v="Adult"/>
    <s v="Low"/>
    <s v="East - Salaried"/>
  </r>
  <r>
    <x v="1462"/>
    <s v="Qabil Datta"/>
    <n v="31"/>
    <x v="0"/>
    <x v="0"/>
    <x v="0"/>
    <x v="4"/>
    <x v="0"/>
    <x v="1"/>
    <n v="0.73"/>
    <d v="2021-04-18T00:00:00"/>
    <x v="1"/>
    <x v="2"/>
    <x v="2"/>
    <s v="Apr"/>
    <s v="Q2"/>
    <s v="Adult"/>
    <s v="Low"/>
    <s v="North-East - Student"/>
  </r>
  <r>
    <x v="1463"/>
    <s v="Faqid Kuruvilla"/>
    <n v="40"/>
    <x v="0"/>
    <x v="1"/>
    <x v="1"/>
    <x v="1"/>
    <x v="1"/>
    <x v="1"/>
    <n v="0.54"/>
    <d v="2023-03-20T00:00:00"/>
    <x v="1"/>
    <x v="0"/>
    <x v="5"/>
    <s v="Mar"/>
    <s v="Q1"/>
    <s v="Adult"/>
    <s v="High"/>
    <s v="East - Salaried"/>
  </r>
  <r>
    <x v="1464"/>
    <s v="Janaki Mane"/>
    <n v="32"/>
    <x v="0"/>
    <x v="2"/>
    <x v="0"/>
    <x v="3"/>
    <x v="1"/>
    <x v="1"/>
    <n v="0.61"/>
    <d v="2020-02-05T00:00:00"/>
    <x v="1"/>
    <x v="0"/>
    <x v="0"/>
    <s v="Feb"/>
    <s v="Q1"/>
    <s v="Adult"/>
    <s v="High"/>
    <s v="South - Student"/>
  </r>
  <r>
    <x v="1465"/>
    <s v="Yagnesh Sama"/>
    <n v="45"/>
    <x v="1"/>
    <x v="2"/>
    <x v="3"/>
    <x v="1"/>
    <x v="0"/>
    <x v="0"/>
    <n v="0.48"/>
    <d v="2021-04-19T00:00:00"/>
    <x v="1"/>
    <x v="0"/>
    <x v="2"/>
    <s v="Apr"/>
    <s v="Q2"/>
    <s v="Adult"/>
    <s v="High"/>
    <s v="East - Retired"/>
  </r>
  <r>
    <x v="1466"/>
    <s v="Ishaan Natt"/>
    <n v="38"/>
    <x v="1"/>
    <x v="0"/>
    <x v="1"/>
    <x v="5"/>
    <x v="1"/>
    <x v="1"/>
    <n v="0.78"/>
    <d v="2021-08-04T00:00:00"/>
    <x v="1"/>
    <x v="2"/>
    <x v="2"/>
    <s v="Aug"/>
    <s v="Q3"/>
    <s v="Adult"/>
    <s v="High"/>
    <s v="Central - Salaried"/>
  </r>
  <r>
    <x v="1467"/>
    <s v="Baljiwan Char"/>
    <n v="41"/>
    <x v="0"/>
    <x v="0"/>
    <x v="1"/>
    <x v="0"/>
    <x v="0"/>
    <x v="0"/>
    <n v="0.41"/>
    <d v="2020-01-07T00:00:00"/>
    <x v="1"/>
    <x v="0"/>
    <x v="0"/>
    <s v="Jan"/>
    <s v="Q1"/>
    <s v="Adult"/>
    <s v="High"/>
    <s v="West - Salaried"/>
  </r>
  <r>
    <x v="1468"/>
    <s v="Oni Andra"/>
    <n v="31"/>
    <x v="1"/>
    <x v="1"/>
    <x v="3"/>
    <x v="3"/>
    <x v="1"/>
    <x v="0"/>
    <n v="0.37"/>
    <d v="2019-08-05T00:00:00"/>
    <x v="1"/>
    <x v="0"/>
    <x v="4"/>
    <s v="Aug"/>
    <s v="Q3"/>
    <s v="Adult"/>
    <s v="Very High"/>
    <s v="South - Retired"/>
  </r>
  <r>
    <x v="1469"/>
    <s v="Yamini Bali"/>
    <n v="48"/>
    <x v="1"/>
    <x v="0"/>
    <x v="3"/>
    <x v="2"/>
    <x v="0"/>
    <x v="1"/>
    <n v="0.68"/>
    <d v="2023-05-14T00:00:00"/>
    <x v="2"/>
    <x v="0"/>
    <x v="5"/>
    <s v="May"/>
    <s v="Q2"/>
    <s v="Adult"/>
    <s v="Low"/>
    <s v="North - Retired"/>
  </r>
  <r>
    <x v="1470"/>
    <s v="Nandini Palla"/>
    <n v="48"/>
    <x v="1"/>
    <x v="0"/>
    <x v="0"/>
    <x v="0"/>
    <x v="0"/>
    <x v="1"/>
    <n v="0.56000000000000005"/>
    <d v="2019-10-25T00:00:00"/>
    <x v="2"/>
    <x v="0"/>
    <x v="4"/>
    <s v="Oct"/>
    <s v="Q4"/>
    <s v="Adult"/>
    <s v="Low"/>
    <s v="West - Student"/>
  </r>
  <r>
    <x v="1471"/>
    <s v="Eiravati Mani"/>
    <n v="54"/>
    <x v="0"/>
    <x v="1"/>
    <x v="2"/>
    <x v="0"/>
    <x v="1"/>
    <x v="1"/>
    <n v="0.44"/>
    <d v="2019-04-06T00:00:00"/>
    <x v="2"/>
    <x v="0"/>
    <x v="4"/>
    <s v="Apr"/>
    <s v="Q2"/>
    <s v="Senior"/>
    <s v="High"/>
    <s v="West - Self-employed"/>
  </r>
  <r>
    <x v="1472"/>
    <s v="Ishita Swamy"/>
    <n v="19"/>
    <x v="1"/>
    <x v="1"/>
    <x v="2"/>
    <x v="0"/>
    <x v="0"/>
    <x v="1"/>
    <n v="0.67"/>
    <d v="2022-04-16T00:00:00"/>
    <x v="0"/>
    <x v="0"/>
    <x v="3"/>
    <s v="Apr"/>
    <s v="Q2"/>
    <s v="Young"/>
    <s v="Low"/>
    <s v="West - Self-employed"/>
  </r>
  <r>
    <x v="1473"/>
    <s v="Rachit Chokshi"/>
    <n v="32"/>
    <x v="0"/>
    <x v="1"/>
    <x v="1"/>
    <x v="0"/>
    <x v="0"/>
    <x v="1"/>
    <n v="0.7"/>
    <d v="2021-10-07T00:00:00"/>
    <x v="1"/>
    <x v="2"/>
    <x v="2"/>
    <s v="Oct"/>
    <s v="Q4"/>
    <s v="Adult"/>
    <s v="Low"/>
    <s v="West - Salaried"/>
  </r>
  <r>
    <x v="1474"/>
    <s v="Neha Sodhi"/>
    <n v="37"/>
    <x v="0"/>
    <x v="0"/>
    <x v="1"/>
    <x v="2"/>
    <x v="1"/>
    <x v="0"/>
    <n v="0.89"/>
    <d v="2023-06-08T00:00:00"/>
    <x v="1"/>
    <x v="2"/>
    <x v="5"/>
    <s v="Jun"/>
    <s v="Q2"/>
    <s v="Adult"/>
    <s v="Very High"/>
    <s v="North - Salaried"/>
  </r>
  <r>
    <x v="1475"/>
    <s v="Zayyan Rajagopalan"/>
    <n v="26"/>
    <x v="1"/>
    <x v="0"/>
    <x v="2"/>
    <x v="4"/>
    <x v="0"/>
    <x v="0"/>
    <n v="0.99"/>
    <d v="2021-02-24T00:00:00"/>
    <x v="0"/>
    <x v="2"/>
    <x v="2"/>
    <s v="Feb"/>
    <s v="Q1"/>
    <s v="Young"/>
    <s v="High"/>
    <s v="North-East - Self-employed"/>
  </r>
  <r>
    <x v="1476"/>
    <s v="Yashasvi Sachdev"/>
    <n v="24"/>
    <x v="1"/>
    <x v="0"/>
    <x v="2"/>
    <x v="5"/>
    <x v="1"/>
    <x v="0"/>
    <n v="0.59"/>
    <d v="2020-06-28T00:00:00"/>
    <x v="0"/>
    <x v="0"/>
    <x v="0"/>
    <s v="Jun"/>
    <s v="Q2"/>
    <s v="Young"/>
    <s v="Very High"/>
    <s v="Central - Self-employed"/>
  </r>
  <r>
    <x v="1477"/>
    <s v="Bhanumati Khatri"/>
    <n v="45"/>
    <x v="1"/>
    <x v="0"/>
    <x v="3"/>
    <x v="3"/>
    <x v="1"/>
    <x v="0"/>
    <n v="0.71"/>
    <d v="2023-04-19T00:00:00"/>
    <x v="1"/>
    <x v="2"/>
    <x v="5"/>
    <s v="Apr"/>
    <s v="Q2"/>
    <s v="Adult"/>
    <s v="Very High"/>
    <s v="South - Retired"/>
  </r>
  <r>
    <x v="1478"/>
    <s v="Arin Johal"/>
    <n v="19"/>
    <x v="1"/>
    <x v="2"/>
    <x v="2"/>
    <x v="0"/>
    <x v="1"/>
    <x v="0"/>
    <n v="0.28999999999999998"/>
    <d v="2019-08-13T00:00:00"/>
    <x v="0"/>
    <x v="1"/>
    <x v="4"/>
    <s v="Aug"/>
    <s v="Q3"/>
    <s v="Young"/>
    <s v="Very High"/>
    <s v="West - Self-employed"/>
  </r>
  <r>
    <x v="1479"/>
    <s v="Pallavi Patla"/>
    <n v="63"/>
    <x v="1"/>
    <x v="2"/>
    <x v="2"/>
    <x v="5"/>
    <x v="1"/>
    <x v="0"/>
    <n v="0.76"/>
    <d v="2022-06-07T00:00:00"/>
    <x v="3"/>
    <x v="2"/>
    <x v="3"/>
    <s v="Jun"/>
    <s v="Q2"/>
    <s v="Senior"/>
    <s v="Very High"/>
    <s v="Central - Self-employed"/>
  </r>
  <r>
    <x v="1480"/>
    <s v="Maya Yohannan"/>
    <n v="21"/>
    <x v="0"/>
    <x v="1"/>
    <x v="3"/>
    <x v="5"/>
    <x v="1"/>
    <x v="1"/>
    <n v="0.11"/>
    <d v="2018-11-05T00:00:00"/>
    <x v="0"/>
    <x v="1"/>
    <x v="1"/>
    <s v="Nov"/>
    <s v="Q4"/>
    <s v="Young"/>
    <s v="High"/>
    <s v="Central - Retired"/>
  </r>
  <r>
    <x v="1481"/>
    <s v="Aishani Ganesan"/>
    <n v="25"/>
    <x v="0"/>
    <x v="1"/>
    <x v="1"/>
    <x v="5"/>
    <x v="1"/>
    <x v="1"/>
    <n v="0.42"/>
    <d v="2018-03-21T00:00:00"/>
    <x v="0"/>
    <x v="0"/>
    <x v="1"/>
    <s v="Mar"/>
    <s v="Q1"/>
    <s v="Young"/>
    <s v="High"/>
    <s v="Central - Salaried"/>
  </r>
  <r>
    <x v="1482"/>
    <s v="Kabir Mannan"/>
    <n v="40"/>
    <x v="0"/>
    <x v="0"/>
    <x v="0"/>
    <x v="4"/>
    <x v="1"/>
    <x v="1"/>
    <n v="0.34"/>
    <d v="2019-08-24T00:00:00"/>
    <x v="1"/>
    <x v="0"/>
    <x v="4"/>
    <s v="Aug"/>
    <s v="Q3"/>
    <s v="Adult"/>
    <s v="High"/>
    <s v="North-East - Student"/>
  </r>
  <r>
    <x v="1483"/>
    <s v="Ansh Raman"/>
    <n v="53"/>
    <x v="1"/>
    <x v="0"/>
    <x v="0"/>
    <x v="0"/>
    <x v="1"/>
    <x v="0"/>
    <n v="0.86"/>
    <d v="2023-06-07T00:00:00"/>
    <x v="2"/>
    <x v="2"/>
    <x v="5"/>
    <s v="Jun"/>
    <s v="Q2"/>
    <s v="Senior"/>
    <s v="Very High"/>
    <s v="West - Student"/>
  </r>
  <r>
    <x v="1484"/>
    <s v="Gabriel Modi"/>
    <n v="44"/>
    <x v="0"/>
    <x v="0"/>
    <x v="2"/>
    <x v="2"/>
    <x v="0"/>
    <x v="1"/>
    <n v="0.75"/>
    <d v="2020-09-02T00:00:00"/>
    <x v="1"/>
    <x v="2"/>
    <x v="0"/>
    <s v="Sep"/>
    <s v="Q3"/>
    <s v="Adult"/>
    <s v="Low"/>
    <s v="North - Self-employed"/>
  </r>
  <r>
    <x v="1485"/>
    <s v="Anay Nagarajan"/>
    <n v="30"/>
    <x v="0"/>
    <x v="2"/>
    <x v="1"/>
    <x v="2"/>
    <x v="0"/>
    <x v="0"/>
    <n v="0.49"/>
    <d v="2020-02-01T00:00:00"/>
    <x v="0"/>
    <x v="0"/>
    <x v="0"/>
    <s v="Feb"/>
    <s v="Q1"/>
    <s v="Adult"/>
    <s v="High"/>
    <s v="North - Salaried"/>
  </r>
  <r>
    <x v="1486"/>
    <s v="Sathvik Dhar"/>
    <n v="67"/>
    <x v="0"/>
    <x v="2"/>
    <x v="1"/>
    <x v="5"/>
    <x v="0"/>
    <x v="0"/>
    <n v="0.2"/>
    <d v="2021-04-28T00:00:00"/>
    <x v="3"/>
    <x v="1"/>
    <x v="2"/>
    <s v="Apr"/>
    <s v="Q2"/>
    <s v="Senior"/>
    <s v="High"/>
    <s v="Central - Salaried"/>
  </r>
  <r>
    <x v="1487"/>
    <s v="Ishwar Rattan"/>
    <n v="49"/>
    <x v="1"/>
    <x v="0"/>
    <x v="2"/>
    <x v="3"/>
    <x v="0"/>
    <x v="1"/>
    <n v="0.69"/>
    <d v="2018-01-20T00:00:00"/>
    <x v="2"/>
    <x v="0"/>
    <x v="1"/>
    <s v="Jan"/>
    <s v="Q1"/>
    <s v="Adult"/>
    <s v="Low"/>
    <s v="South - Self-employed"/>
  </r>
  <r>
    <x v="1488"/>
    <s v="Dakshesh Hora"/>
    <n v="53"/>
    <x v="1"/>
    <x v="2"/>
    <x v="3"/>
    <x v="3"/>
    <x v="0"/>
    <x v="1"/>
    <n v="0.54"/>
    <d v="2021-06-02T00:00:00"/>
    <x v="2"/>
    <x v="0"/>
    <x v="2"/>
    <s v="Jun"/>
    <s v="Q2"/>
    <s v="Senior"/>
    <s v="Low"/>
    <s v="South - Retired"/>
  </r>
  <r>
    <x v="1489"/>
    <s v="Ekaja Salvi"/>
    <n v="67"/>
    <x v="1"/>
    <x v="0"/>
    <x v="1"/>
    <x v="5"/>
    <x v="1"/>
    <x v="0"/>
    <n v="0.42"/>
    <d v="2019-07-06T00:00:00"/>
    <x v="3"/>
    <x v="0"/>
    <x v="4"/>
    <s v="Jul"/>
    <s v="Q3"/>
    <s v="Senior"/>
    <s v="Very High"/>
    <s v="Central - Salaried"/>
  </r>
  <r>
    <x v="1490"/>
    <s v="Lakshmi Iyer"/>
    <n v="52"/>
    <x v="0"/>
    <x v="2"/>
    <x v="2"/>
    <x v="3"/>
    <x v="1"/>
    <x v="0"/>
    <n v="0.75"/>
    <d v="2020-12-13T00:00:00"/>
    <x v="2"/>
    <x v="2"/>
    <x v="0"/>
    <s v="Dec"/>
    <s v="Q4"/>
    <s v="Senior"/>
    <s v="Very High"/>
    <s v="South - Self-employed"/>
  </r>
  <r>
    <x v="1491"/>
    <s v="Gaurav Bhardwaj"/>
    <n v="53"/>
    <x v="1"/>
    <x v="2"/>
    <x v="3"/>
    <x v="2"/>
    <x v="0"/>
    <x v="0"/>
    <n v="0.53"/>
    <d v="2022-11-08T00:00:00"/>
    <x v="2"/>
    <x v="0"/>
    <x v="3"/>
    <s v="Nov"/>
    <s v="Q4"/>
    <s v="Senior"/>
    <s v="High"/>
    <s v="North - Retired"/>
  </r>
  <r>
    <x v="1492"/>
    <s v="Dominic Sawhney"/>
    <n v="32"/>
    <x v="0"/>
    <x v="1"/>
    <x v="0"/>
    <x v="0"/>
    <x v="0"/>
    <x v="1"/>
    <n v="0.69"/>
    <d v="2018-09-09T00:00:00"/>
    <x v="1"/>
    <x v="0"/>
    <x v="1"/>
    <s v="Sep"/>
    <s v="Q3"/>
    <s v="Adult"/>
    <s v="Low"/>
    <s v="West - Student"/>
  </r>
  <r>
    <x v="1493"/>
    <s v="Aarush Mukherjee"/>
    <n v="18"/>
    <x v="0"/>
    <x v="0"/>
    <x v="2"/>
    <x v="0"/>
    <x v="0"/>
    <x v="1"/>
    <n v="0.31"/>
    <d v="2021-11-24T00:00:00"/>
    <x v="0"/>
    <x v="0"/>
    <x v="2"/>
    <s v="Nov"/>
    <s v="Q4"/>
    <s v="Young"/>
    <s v="Low"/>
    <s v="West - Self-employed"/>
  </r>
  <r>
    <x v="1494"/>
    <s v="Oscar Vyas"/>
    <n v="65"/>
    <x v="0"/>
    <x v="2"/>
    <x v="2"/>
    <x v="0"/>
    <x v="1"/>
    <x v="1"/>
    <n v="0.72"/>
    <d v="2020-03-18T00:00:00"/>
    <x v="3"/>
    <x v="2"/>
    <x v="0"/>
    <s v="Mar"/>
    <s v="Q1"/>
    <s v="Senior"/>
    <s v="High"/>
    <s v="West - Self-employed"/>
  </r>
  <r>
    <x v="1495"/>
    <s v="Gautami Mallick"/>
    <n v="21"/>
    <x v="1"/>
    <x v="0"/>
    <x v="3"/>
    <x v="5"/>
    <x v="1"/>
    <x v="1"/>
    <n v="0.49"/>
    <d v="2019-09-29T00:00:00"/>
    <x v="0"/>
    <x v="0"/>
    <x v="4"/>
    <s v="Sep"/>
    <s v="Q3"/>
    <s v="Young"/>
    <s v="High"/>
    <s v="Central - Retired"/>
  </r>
  <r>
    <x v="1496"/>
    <s v="Victor Bawa"/>
    <n v="33"/>
    <x v="1"/>
    <x v="0"/>
    <x v="2"/>
    <x v="3"/>
    <x v="1"/>
    <x v="0"/>
    <n v="0.46"/>
    <d v="2021-05-20T00:00:00"/>
    <x v="1"/>
    <x v="0"/>
    <x v="2"/>
    <s v="May"/>
    <s v="Q2"/>
    <s v="Adult"/>
    <s v="Very High"/>
    <s v="South - Self-employed"/>
  </r>
  <r>
    <x v="1497"/>
    <s v="Aryan Vala"/>
    <n v="47"/>
    <x v="0"/>
    <x v="1"/>
    <x v="3"/>
    <x v="2"/>
    <x v="1"/>
    <x v="0"/>
    <n v="0.32"/>
    <d v="2019-11-21T00:00:00"/>
    <x v="2"/>
    <x v="0"/>
    <x v="4"/>
    <s v="Nov"/>
    <s v="Q4"/>
    <s v="Adult"/>
    <s v="Very High"/>
    <s v="North - Retired"/>
  </r>
  <r>
    <x v="1498"/>
    <s v="Chavvi Shanker"/>
    <n v="45"/>
    <x v="0"/>
    <x v="0"/>
    <x v="0"/>
    <x v="2"/>
    <x v="1"/>
    <x v="1"/>
    <n v="0.28999999999999998"/>
    <d v="2020-08-01T00:00:00"/>
    <x v="1"/>
    <x v="1"/>
    <x v="0"/>
    <s v="Aug"/>
    <s v="Q3"/>
    <s v="Adult"/>
    <s v="High"/>
    <s v="North - Student"/>
  </r>
  <r>
    <x v="1499"/>
    <s v="Tanvi Aggarwal"/>
    <n v="52"/>
    <x v="0"/>
    <x v="2"/>
    <x v="3"/>
    <x v="0"/>
    <x v="1"/>
    <x v="1"/>
    <n v="0.69"/>
    <d v="2020-12-02T00:00:00"/>
    <x v="2"/>
    <x v="0"/>
    <x v="0"/>
    <s v="Dec"/>
    <s v="Q4"/>
    <s v="Senior"/>
    <s v="High"/>
    <s v="West - Retired"/>
  </r>
  <r>
    <x v="1500"/>
    <s v="Yash Anand"/>
    <n v="24"/>
    <x v="0"/>
    <x v="1"/>
    <x v="3"/>
    <x v="1"/>
    <x v="1"/>
    <x v="0"/>
    <n v="0.57999999999999996"/>
    <d v="2023-09-30T00:00:00"/>
    <x v="0"/>
    <x v="0"/>
    <x v="5"/>
    <s v="Sep"/>
    <s v="Q3"/>
    <s v="Young"/>
    <s v="Very High"/>
    <s v="East - Retired"/>
  </r>
  <r>
    <x v="1501"/>
    <s v="Yahvi Mannan"/>
    <n v="38"/>
    <x v="0"/>
    <x v="2"/>
    <x v="2"/>
    <x v="1"/>
    <x v="0"/>
    <x v="0"/>
    <n v="0.09"/>
    <d v="2019-03-14T00:00:00"/>
    <x v="1"/>
    <x v="1"/>
    <x v="4"/>
    <s v="Mar"/>
    <s v="Q1"/>
    <s v="Adult"/>
    <s v="High"/>
    <s v="East - Self-employed"/>
  </r>
  <r>
    <x v="1502"/>
    <s v="Girindra Dash"/>
    <n v="66"/>
    <x v="1"/>
    <x v="2"/>
    <x v="2"/>
    <x v="4"/>
    <x v="0"/>
    <x v="1"/>
    <n v="0.47"/>
    <d v="2019-02-13T00:00:00"/>
    <x v="3"/>
    <x v="0"/>
    <x v="4"/>
    <s v="Feb"/>
    <s v="Q1"/>
    <s v="Senior"/>
    <s v="Low"/>
    <s v="North-East - Self-employed"/>
  </r>
  <r>
    <x v="1503"/>
    <s v="Logan Sami"/>
    <n v="62"/>
    <x v="0"/>
    <x v="0"/>
    <x v="0"/>
    <x v="2"/>
    <x v="1"/>
    <x v="1"/>
    <n v="0.55000000000000004"/>
    <d v="2023-03-24T00:00:00"/>
    <x v="3"/>
    <x v="0"/>
    <x v="5"/>
    <s v="Mar"/>
    <s v="Q1"/>
    <s v="Senior"/>
    <s v="High"/>
    <s v="North - Student"/>
  </r>
  <r>
    <x v="1504"/>
    <s v="Vedika Sane"/>
    <n v="56"/>
    <x v="0"/>
    <x v="2"/>
    <x v="0"/>
    <x v="2"/>
    <x v="1"/>
    <x v="1"/>
    <n v="0.23"/>
    <d v="2020-11-29T00:00:00"/>
    <x v="2"/>
    <x v="1"/>
    <x v="0"/>
    <s v="Nov"/>
    <s v="Q4"/>
    <s v="Senior"/>
    <s v="High"/>
    <s v="North - Student"/>
  </r>
  <r>
    <x v="1505"/>
    <s v="Guneet Upadhyay"/>
    <n v="25"/>
    <x v="1"/>
    <x v="0"/>
    <x v="0"/>
    <x v="5"/>
    <x v="0"/>
    <x v="0"/>
    <n v="0.46"/>
    <d v="2018-11-16T00:00:00"/>
    <x v="0"/>
    <x v="0"/>
    <x v="1"/>
    <s v="Nov"/>
    <s v="Q4"/>
    <s v="Young"/>
    <s v="High"/>
    <s v="Central - Student"/>
  </r>
  <r>
    <x v="1506"/>
    <s v="Varenya Rao"/>
    <n v="67"/>
    <x v="0"/>
    <x v="0"/>
    <x v="0"/>
    <x v="5"/>
    <x v="0"/>
    <x v="0"/>
    <n v="0.34"/>
    <d v="2022-05-08T00:00:00"/>
    <x v="3"/>
    <x v="0"/>
    <x v="3"/>
    <s v="May"/>
    <s v="Q2"/>
    <s v="Senior"/>
    <s v="High"/>
    <s v="Central - Student"/>
  </r>
  <r>
    <x v="1507"/>
    <s v="Tarak Rege"/>
    <n v="49"/>
    <x v="1"/>
    <x v="0"/>
    <x v="0"/>
    <x v="0"/>
    <x v="1"/>
    <x v="0"/>
    <n v="0.6"/>
    <d v="2021-01-22T00:00:00"/>
    <x v="2"/>
    <x v="0"/>
    <x v="2"/>
    <s v="Jan"/>
    <s v="Q1"/>
    <s v="Adult"/>
    <s v="Very High"/>
    <s v="West - Student"/>
  </r>
  <r>
    <x v="1508"/>
    <s v="Rachana Vora"/>
    <n v="66"/>
    <x v="0"/>
    <x v="1"/>
    <x v="0"/>
    <x v="3"/>
    <x v="1"/>
    <x v="0"/>
    <n v="0.39"/>
    <d v="2019-03-10T00:00:00"/>
    <x v="3"/>
    <x v="0"/>
    <x v="4"/>
    <s v="Mar"/>
    <s v="Q1"/>
    <s v="Senior"/>
    <s v="Very High"/>
    <s v="South - Student"/>
  </r>
  <r>
    <x v="1509"/>
    <s v="Aryan Chahal"/>
    <n v="23"/>
    <x v="1"/>
    <x v="2"/>
    <x v="0"/>
    <x v="1"/>
    <x v="0"/>
    <x v="1"/>
    <n v="0.56000000000000005"/>
    <d v="2023-07-06T00:00:00"/>
    <x v="0"/>
    <x v="0"/>
    <x v="5"/>
    <s v="Jul"/>
    <s v="Q3"/>
    <s v="Young"/>
    <s v="Low"/>
    <s v="East - Student"/>
  </r>
  <r>
    <x v="1510"/>
    <s v="Neel Sharaf"/>
    <n v="56"/>
    <x v="1"/>
    <x v="0"/>
    <x v="1"/>
    <x v="5"/>
    <x v="1"/>
    <x v="1"/>
    <n v="0.7"/>
    <d v="2021-11-12T00:00:00"/>
    <x v="2"/>
    <x v="2"/>
    <x v="2"/>
    <s v="Nov"/>
    <s v="Q4"/>
    <s v="Senior"/>
    <s v="High"/>
    <s v="Central - Salaried"/>
  </r>
  <r>
    <x v="1511"/>
    <s v="Orinder Dutt"/>
    <n v="45"/>
    <x v="0"/>
    <x v="0"/>
    <x v="0"/>
    <x v="1"/>
    <x v="0"/>
    <x v="0"/>
    <n v="0.82"/>
    <d v="2020-12-02T00:00:00"/>
    <x v="1"/>
    <x v="2"/>
    <x v="0"/>
    <s v="Dec"/>
    <s v="Q4"/>
    <s v="Adult"/>
    <s v="High"/>
    <s v="East - Student"/>
  </r>
  <r>
    <x v="1512"/>
    <s v="Pavani Sankaran"/>
    <n v="67"/>
    <x v="1"/>
    <x v="0"/>
    <x v="0"/>
    <x v="2"/>
    <x v="0"/>
    <x v="0"/>
    <n v="0.39"/>
    <d v="2021-01-18T00:00:00"/>
    <x v="3"/>
    <x v="0"/>
    <x v="2"/>
    <s v="Jan"/>
    <s v="Q1"/>
    <s v="Senior"/>
    <s v="High"/>
    <s v="North - Student"/>
  </r>
  <r>
    <x v="1513"/>
    <s v="Robert Sem"/>
    <n v="21"/>
    <x v="1"/>
    <x v="2"/>
    <x v="0"/>
    <x v="0"/>
    <x v="1"/>
    <x v="1"/>
    <n v="0.02"/>
    <d v="2018-12-31T00:00:00"/>
    <x v="0"/>
    <x v="1"/>
    <x v="1"/>
    <s v="Dec"/>
    <s v="Q4"/>
    <s v="Young"/>
    <s v="High"/>
    <s v="West - Student"/>
  </r>
  <r>
    <x v="1514"/>
    <s v="Omkaar Grover"/>
    <n v="18"/>
    <x v="0"/>
    <x v="2"/>
    <x v="1"/>
    <x v="3"/>
    <x v="0"/>
    <x v="1"/>
    <n v="0.68"/>
    <d v="2019-10-20T00:00:00"/>
    <x v="0"/>
    <x v="0"/>
    <x v="4"/>
    <s v="Oct"/>
    <s v="Q4"/>
    <s v="Young"/>
    <s v="Low"/>
    <s v="South - Salaried"/>
  </r>
  <r>
    <x v="1515"/>
    <s v="Vansha Srinivasan"/>
    <n v="39"/>
    <x v="0"/>
    <x v="2"/>
    <x v="3"/>
    <x v="3"/>
    <x v="0"/>
    <x v="1"/>
    <n v="0.61"/>
    <d v="2020-03-14T00:00:00"/>
    <x v="1"/>
    <x v="0"/>
    <x v="0"/>
    <s v="Mar"/>
    <s v="Q1"/>
    <s v="Adult"/>
    <s v="Low"/>
    <s v="South - Retired"/>
  </r>
  <r>
    <x v="1516"/>
    <s v="Max Saraf"/>
    <n v="68"/>
    <x v="1"/>
    <x v="2"/>
    <x v="2"/>
    <x v="5"/>
    <x v="0"/>
    <x v="0"/>
    <n v="0.56999999999999995"/>
    <d v="2018-11-11T00:00:00"/>
    <x v="3"/>
    <x v="0"/>
    <x v="1"/>
    <s v="Nov"/>
    <s v="Q4"/>
    <s v="Senior"/>
    <s v="High"/>
    <s v="Central - Self-employed"/>
  </r>
  <r>
    <x v="1517"/>
    <s v="Aryan Guha"/>
    <n v="48"/>
    <x v="1"/>
    <x v="0"/>
    <x v="3"/>
    <x v="1"/>
    <x v="1"/>
    <x v="1"/>
    <n v="0.56000000000000005"/>
    <d v="2023-11-06T00:00:00"/>
    <x v="2"/>
    <x v="0"/>
    <x v="5"/>
    <s v="Nov"/>
    <s v="Q4"/>
    <s v="Adult"/>
    <s v="High"/>
    <s v="East - Retired"/>
  </r>
  <r>
    <x v="1518"/>
    <s v="Aryan Nadig"/>
    <n v="37"/>
    <x v="1"/>
    <x v="1"/>
    <x v="2"/>
    <x v="5"/>
    <x v="0"/>
    <x v="1"/>
    <n v="0.26"/>
    <d v="2020-08-22T00:00:00"/>
    <x v="1"/>
    <x v="1"/>
    <x v="0"/>
    <s v="Aug"/>
    <s v="Q3"/>
    <s v="Adult"/>
    <s v="Low"/>
    <s v="Central - Self-employed"/>
  </r>
  <r>
    <x v="1519"/>
    <s v="Elijah Mannan"/>
    <n v="42"/>
    <x v="0"/>
    <x v="1"/>
    <x v="0"/>
    <x v="4"/>
    <x v="1"/>
    <x v="1"/>
    <n v="0.24"/>
    <d v="2021-08-25T00:00:00"/>
    <x v="1"/>
    <x v="1"/>
    <x v="2"/>
    <s v="Aug"/>
    <s v="Q3"/>
    <s v="Adult"/>
    <s v="High"/>
    <s v="North-East - Student"/>
  </r>
  <r>
    <x v="1520"/>
    <s v="Ridhi Chopra"/>
    <n v="54"/>
    <x v="1"/>
    <x v="0"/>
    <x v="0"/>
    <x v="5"/>
    <x v="1"/>
    <x v="1"/>
    <n v="0.55000000000000004"/>
    <d v="2020-06-17T00:00:00"/>
    <x v="2"/>
    <x v="0"/>
    <x v="0"/>
    <s v="Jun"/>
    <s v="Q2"/>
    <s v="Senior"/>
    <s v="High"/>
    <s v="Central - Student"/>
  </r>
  <r>
    <x v="1521"/>
    <s v="Meghana Panchal"/>
    <n v="48"/>
    <x v="0"/>
    <x v="2"/>
    <x v="2"/>
    <x v="5"/>
    <x v="0"/>
    <x v="1"/>
    <n v="0.34"/>
    <d v="2020-12-07T00:00:00"/>
    <x v="2"/>
    <x v="0"/>
    <x v="0"/>
    <s v="Dec"/>
    <s v="Q4"/>
    <s v="Adult"/>
    <s v="Low"/>
    <s v="Central - Self-employed"/>
  </r>
  <r>
    <x v="1522"/>
    <s v="Ridhi Buch"/>
    <n v="40"/>
    <x v="0"/>
    <x v="2"/>
    <x v="1"/>
    <x v="1"/>
    <x v="1"/>
    <x v="1"/>
    <n v="0.56000000000000005"/>
    <d v="2023-03-21T00:00:00"/>
    <x v="1"/>
    <x v="0"/>
    <x v="5"/>
    <s v="Mar"/>
    <s v="Q1"/>
    <s v="Adult"/>
    <s v="High"/>
    <s v="East - Salaried"/>
  </r>
  <r>
    <x v="1523"/>
    <s v="Darika Vora"/>
    <n v="69"/>
    <x v="0"/>
    <x v="0"/>
    <x v="3"/>
    <x v="1"/>
    <x v="0"/>
    <x v="1"/>
    <n v="0.86"/>
    <d v="2022-04-07T00:00:00"/>
    <x v="3"/>
    <x v="2"/>
    <x v="3"/>
    <s v="Apr"/>
    <s v="Q2"/>
    <s v="Senior"/>
    <s v="Low"/>
    <s v="East - Retired"/>
  </r>
  <r>
    <x v="1524"/>
    <s v="Caleb Agrawal"/>
    <n v="18"/>
    <x v="0"/>
    <x v="1"/>
    <x v="1"/>
    <x v="5"/>
    <x v="1"/>
    <x v="1"/>
    <n v="0.62"/>
    <d v="2021-12-19T00:00:00"/>
    <x v="0"/>
    <x v="0"/>
    <x v="2"/>
    <s v="Dec"/>
    <s v="Q4"/>
    <s v="Young"/>
    <s v="High"/>
    <s v="Central - Salaried"/>
  </r>
  <r>
    <x v="1525"/>
    <s v="Adweta Madan"/>
    <n v="21"/>
    <x v="0"/>
    <x v="1"/>
    <x v="3"/>
    <x v="2"/>
    <x v="0"/>
    <x v="0"/>
    <n v="0.43"/>
    <d v="2020-07-24T00:00:00"/>
    <x v="0"/>
    <x v="0"/>
    <x v="0"/>
    <s v="Jul"/>
    <s v="Q3"/>
    <s v="Young"/>
    <s v="High"/>
    <s v="North - Retired"/>
  </r>
  <r>
    <x v="1526"/>
    <s v="Sanya Swamy"/>
    <n v="26"/>
    <x v="1"/>
    <x v="2"/>
    <x v="1"/>
    <x v="1"/>
    <x v="1"/>
    <x v="1"/>
    <n v="0.28000000000000003"/>
    <d v="2019-04-30T00:00:00"/>
    <x v="0"/>
    <x v="1"/>
    <x v="4"/>
    <s v="Apr"/>
    <s v="Q2"/>
    <s v="Young"/>
    <s v="High"/>
    <s v="East - Salaried"/>
  </r>
  <r>
    <x v="1527"/>
    <s v="Ubika Bawa"/>
    <n v="58"/>
    <x v="0"/>
    <x v="2"/>
    <x v="1"/>
    <x v="5"/>
    <x v="1"/>
    <x v="0"/>
    <n v="0.39"/>
    <d v="2019-07-24T00:00:00"/>
    <x v="2"/>
    <x v="0"/>
    <x v="4"/>
    <s v="Jul"/>
    <s v="Q3"/>
    <s v="Senior"/>
    <s v="Very High"/>
    <s v="Central - Salaried"/>
  </r>
  <r>
    <x v="1528"/>
    <s v="Anay Dhaliwal"/>
    <n v="36"/>
    <x v="0"/>
    <x v="1"/>
    <x v="2"/>
    <x v="1"/>
    <x v="1"/>
    <x v="0"/>
    <n v="1"/>
    <d v="2018-04-27T00:00:00"/>
    <x v="1"/>
    <x v="2"/>
    <x v="1"/>
    <s v="Apr"/>
    <s v="Q2"/>
    <s v="Adult"/>
    <s v="Very High"/>
    <s v="East - Self-employed"/>
  </r>
  <r>
    <x v="1529"/>
    <s v="Andrew Dasgupta"/>
    <n v="26"/>
    <x v="0"/>
    <x v="0"/>
    <x v="3"/>
    <x v="2"/>
    <x v="1"/>
    <x v="0"/>
    <n v="0.48"/>
    <d v="2021-05-29T00:00:00"/>
    <x v="0"/>
    <x v="0"/>
    <x v="2"/>
    <s v="May"/>
    <s v="Q2"/>
    <s v="Young"/>
    <s v="Very High"/>
    <s v="North - Retired"/>
  </r>
  <r>
    <x v="1530"/>
    <s v="Devansh Tripathi"/>
    <n v="51"/>
    <x v="1"/>
    <x v="0"/>
    <x v="2"/>
    <x v="0"/>
    <x v="1"/>
    <x v="0"/>
    <n v="0.21"/>
    <d v="2020-10-31T00:00:00"/>
    <x v="2"/>
    <x v="1"/>
    <x v="0"/>
    <s v="Oct"/>
    <s v="Q4"/>
    <s v="Senior"/>
    <s v="Very High"/>
    <s v="West - Self-employed"/>
  </r>
  <r>
    <x v="1531"/>
    <s v="Balendra Tak"/>
    <n v="57"/>
    <x v="1"/>
    <x v="2"/>
    <x v="0"/>
    <x v="4"/>
    <x v="0"/>
    <x v="1"/>
    <n v="0.68"/>
    <d v="2022-03-24T00:00:00"/>
    <x v="2"/>
    <x v="0"/>
    <x v="3"/>
    <s v="Mar"/>
    <s v="Q1"/>
    <s v="Senior"/>
    <s v="Low"/>
    <s v="North-East - Student"/>
  </r>
  <r>
    <x v="1532"/>
    <s v="Onveer Bajaj"/>
    <n v="59"/>
    <x v="1"/>
    <x v="2"/>
    <x v="2"/>
    <x v="0"/>
    <x v="1"/>
    <x v="0"/>
    <n v="0.66"/>
    <d v="2020-05-13T00:00:00"/>
    <x v="2"/>
    <x v="0"/>
    <x v="0"/>
    <s v="May"/>
    <s v="Q2"/>
    <s v="Senior"/>
    <s v="Very High"/>
    <s v="West - Self-employed"/>
  </r>
  <r>
    <x v="1533"/>
    <s v="Neel Karan"/>
    <n v="37"/>
    <x v="0"/>
    <x v="0"/>
    <x v="3"/>
    <x v="5"/>
    <x v="1"/>
    <x v="0"/>
    <n v="0.49"/>
    <d v="2019-07-19T00:00:00"/>
    <x v="1"/>
    <x v="0"/>
    <x v="4"/>
    <s v="Jul"/>
    <s v="Q3"/>
    <s v="Adult"/>
    <s v="Very High"/>
    <s v="Central - Retired"/>
  </r>
  <r>
    <x v="1534"/>
    <s v="Nikita Kade"/>
    <n v="56"/>
    <x v="1"/>
    <x v="0"/>
    <x v="2"/>
    <x v="2"/>
    <x v="1"/>
    <x v="1"/>
    <n v="0.41"/>
    <d v="2018-07-20T00:00:00"/>
    <x v="2"/>
    <x v="0"/>
    <x v="1"/>
    <s v="Jul"/>
    <s v="Q3"/>
    <s v="Senior"/>
    <s v="High"/>
    <s v="North - Self-employed"/>
  </r>
  <r>
    <x v="1535"/>
    <s v="Amol Rajagopalan"/>
    <n v="64"/>
    <x v="1"/>
    <x v="1"/>
    <x v="3"/>
    <x v="4"/>
    <x v="0"/>
    <x v="0"/>
    <n v="0.48"/>
    <d v="2020-04-04T00:00:00"/>
    <x v="3"/>
    <x v="0"/>
    <x v="0"/>
    <s v="Apr"/>
    <s v="Q2"/>
    <s v="Senior"/>
    <s v="High"/>
    <s v="North-East - Retired"/>
  </r>
  <r>
    <x v="1536"/>
    <s v="Advika Gera"/>
    <n v="64"/>
    <x v="0"/>
    <x v="1"/>
    <x v="2"/>
    <x v="2"/>
    <x v="1"/>
    <x v="0"/>
    <n v="0.3"/>
    <d v="2022-04-18T00:00:00"/>
    <x v="3"/>
    <x v="0"/>
    <x v="3"/>
    <s v="Apr"/>
    <s v="Q2"/>
    <s v="Senior"/>
    <s v="Very High"/>
    <s v="North - Self-employed"/>
  </r>
  <r>
    <x v="1537"/>
    <s v="Pallavi Dewan"/>
    <n v="24"/>
    <x v="0"/>
    <x v="2"/>
    <x v="2"/>
    <x v="5"/>
    <x v="1"/>
    <x v="0"/>
    <n v="0.44"/>
    <d v="2018-10-02T00:00:00"/>
    <x v="0"/>
    <x v="0"/>
    <x v="1"/>
    <s v="Oct"/>
    <s v="Q4"/>
    <s v="Young"/>
    <s v="Very High"/>
    <s v="Central - Self-employed"/>
  </r>
  <r>
    <x v="1538"/>
    <s v="Siya Patla"/>
    <n v="21"/>
    <x v="1"/>
    <x v="2"/>
    <x v="1"/>
    <x v="4"/>
    <x v="1"/>
    <x v="0"/>
    <n v="0.41"/>
    <d v="2018-09-06T00:00:00"/>
    <x v="0"/>
    <x v="0"/>
    <x v="1"/>
    <s v="Sep"/>
    <s v="Q3"/>
    <s v="Young"/>
    <s v="Very High"/>
    <s v="North-East - Salaried"/>
  </r>
  <r>
    <x v="1539"/>
    <s v="Aradhana Mody"/>
    <n v="30"/>
    <x v="1"/>
    <x v="1"/>
    <x v="1"/>
    <x v="2"/>
    <x v="1"/>
    <x v="1"/>
    <n v="0.39"/>
    <d v="2021-04-10T00:00:00"/>
    <x v="0"/>
    <x v="0"/>
    <x v="2"/>
    <s v="Apr"/>
    <s v="Q2"/>
    <s v="Adult"/>
    <s v="High"/>
    <s v="North - Salaried"/>
  </r>
  <r>
    <x v="1540"/>
    <s v="Jhalak Reddy"/>
    <n v="66"/>
    <x v="1"/>
    <x v="1"/>
    <x v="2"/>
    <x v="5"/>
    <x v="0"/>
    <x v="0"/>
    <n v="0"/>
    <d v="2022-05-26T00:00:00"/>
    <x v="3"/>
    <x v="1"/>
    <x v="3"/>
    <s v="May"/>
    <s v="Q2"/>
    <s v="Senior"/>
    <s v="High"/>
    <s v="Central - Self-employed"/>
  </r>
  <r>
    <x v="1541"/>
    <s v="Waida Joshi"/>
    <n v="21"/>
    <x v="1"/>
    <x v="1"/>
    <x v="2"/>
    <x v="2"/>
    <x v="1"/>
    <x v="0"/>
    <n v="0.33"/>
    <d v="2023-04-30T00:00:00"/>
    <x v="0"/>
    <x v="0"/>
    <x v="5"/>
    <s v="Apr"/>
    <s v="Q2"/>
    <s v="Young"/>
    <s v="Very High"/>
    <s v="North - Self-employed"/>
  </r>
  <r>
    <x v="1542"/>
    <s v="Daksha Kulkarni"/>
    <n v="40"/>
    <x v="1"/>
    <x v="1"/>
    <x v="1"/>
    <x v="1"/>
    <x v="0"/>
    <x v="0"/>
    <n v="0.78"/>
    <d v="2018-07-01T00:00:00"/>
    <x v="1"/>
    <x v="2"/>
    <x v="1"/>
    <s v="Jul"/>
    <s v="Q3"/>
    <s v="Adult"/>
    <s v="High"/>
    <s v="East - Salaried"/>
  </r>
  <r>
    <x v="1543"/>
    <s v="Dominic Mand"/>
    <n v="51"/>
    <x v="1"/>
    <x v="1"/>
    <x v="2"/>
    <x v="5"/>
    <x v="0"/>
    <x v="0"/>
    <n v="0.41"/>
    <d v="2019-01-03T00:00:00"/>
    <x v="2"/>
    <x v="0"/>
    <x v="4"/>
    <s v="Jan"/>
    <s v="Q1"/>
    <s v="Senior"/>
    <s v="High"/>
    <s v="Central - Self-employed"/>
  </r>
  <r>
    <x v="1544"/>
    <s v="Pushti Yadav"/>
    <n v="52"/>
    <x v="0"/>
    <x v="2"/>
    <x v="0"/>
    <x v="3"/>
    <x v="1"/>
    <x v="0"/>
    <n v="0.55000000000000004"/>
    <d v="2023-10-30T00:00:00"/>
    <x v="2"/>
    <x v="0"/>
    <x v="5"/>
    <s v="Oct"/>
    <s v="Q4"/>
    <s v="Senior"/>
    <s v="Very High"/>
    <s v="South - Student"/>
  </r>
  <r>
    <x v="1545"/>
    <s v="Irya Varkey"/>
    <n v="62"/>
    <x v="0"/>
    <x v="2"/>
    <x v="0"/>
    <x v="1"/>
    <x v="1"/>
    <x v="1"/>
    <n v="0.39"/>
    <d v="2018-08-03T00:00:00"/>
    <x v="3"/>
    <x v="0"/>
    <x v="1"/>
    <s v="Aug"/>
    <s v="Q3"/>
    <s v="Senior"/>
    <s v="High"/>
    <s v="East - Student"/>
  </r>
  <r>
    <x v="1546"/>
    <s v="Pushti Dutta"/>
    <n v="40"/>
    <x v="0"/>
    <x v="0"/>
    <x v="1"/>
    <x v="4"/>
    <x v="1"/>
    <x v="1"/>
    <n v="0.6"/>
    <d v="2021-06-24T00:00:00"/>
    <x v="1"/>
    <x v="0"/>
    <x v="2"/>
    <s v="Jun"/>
    <s v="Q2"/>
    <s v="Adult"/>
    <s v="High"/>
    <s v="North-East - Salaried"/>
  </r>
  <r>
    <x v="1547"/>
    <s v="Wridesh Dube"/>
    <n v="58"/>
    <x v="0"/>
    <x v="0"/>
    <x v="1"/>
    <x v="4"/>
    <x v="0"/>
    <x v="1"/>
    <n v="0.62"/>
    <d v="2021-09-06T00:00:00"/>
    <x v="2"/>
    <x v="0"/>
    <x v="2"/>
    <s v="Sep"/>
    <s v="Q3"/>
    <s v="Senior"/>
    <s v="Low"/>
    <s v="North-East - Salaried"/>
  </r>
  <r>
    <x v="1548"/>
    <s v="Triveni Solanki"/>
    <n v="56"/>
    <x v="0"/>
    <x v="0"/>
    <x v="3"/>
    <x v="1"/>
    <x v="1"/>
    <x v="0"/>
    <n v="0.56999999999999995"/>
    <d v="2018-04-17T00:00:00"/>
    <x v="2"/>
    <x v="0"/>
    <x v="1"/>
    <s v="Apr"/>
    <s v="Q2"/>
    <s v="Senior"/>
    <s v="Very High"/>
    <s v="East - Retired"/>
  </r>
  <r>
    <x v="1549"/>
    <s v="Urishilla Agrawal"/>
    <n v="52"/>
    <x v="0"/>
    <x v="0"/>
    <x v="1"/>
    <x v="4"/>
    <x v="0"/>
    <x v="0"/>
    <n v="1"/>
    <d v="2018-08-02T00:00:00"/>
    <x v="2"/>
    <x v="2"/>
    <x v="1"/>
    <s v="Aug"/>
    <s v="Q3"/>
    <s v="Senior"/>
    <s v="High"/>
    <s v="North-East - Salaried"/>
  </r>
  <r>
    <x v="1550"/>
    <s v="Yagnesh Dutt"/>
    <n v="63"/>
    <x v="0"/>
    <x v="1"/>
    <x v="0"/>
    <x v="3"/>
    <x v="1"/>
    <x v="0"/>
    <n v="0.65"/>
    <d v="2019-09-08T00:00:00"/>
    <x v="3"/>
    <x v="0"/>
    <x v="4"/>
    <s v="Sep"/>
    <s v="Q3"/>
    <s v="Senior"/>
    <s v="Very High"/>
    <s v="South - Student"/>
  </r>
  <r>
    <x v="1551"/>
    <s v="Tejas Krishnamurthy"/>
    <n v="19"/>
    <x v="1"/>
    <x v="0"/>
    <x v="3"/>
    <x v="0"/>
    <x v="0"/>
    <x v="1"/>
    <n v="0.73"/>
    <d v="2019-04-14T00:00:00"/>
    <x v="0"/>
    <x v="2"/>
    <x v="4"/>
    <s v="Apr"/>
    <s v="Q2"/>
    <s v="Young"/>
    <s v="Low"/>
    <s v="West - Retired"/>
  </r>
  <r>
    <x v="1552"/>
    <s v="Azad Parekh"/>
    <n v="66"/>
    <x v="1"/>
    <x v="1"/>
    <x v="2"/>
    <x v="3"/>
    <x v="1"/>
    <x v="0"/>
    <n v="0.59"/>
    <d v="2019-10-11T00:00:00"/>
    <x v="3"/>
    <x v="0"/>
    <x v="4"/>
    <s v="Oct"/>
    <s v="Q4"/>
    <s v="Senior"/>
    <s v="Very High"/>
    <s v="South - Self-employed"/>
  </r>
  <r>
    <x v="1553"/>
    <s v="Jalsa Balay"/>
    <n v="52"/>
    <x v="0"/>
    <x v="0"/>
    <x v="2"/>
    <x v="0"/>
    <x v="0"/>
    <x v="1"/>
    <n v="0.55000000000000004"/>
    <d v="2019-10-19T00:00:00"/>
    <x v="2"/>
    <x v="0"/>
    <x v="4"/>
    <s v="Oct"/>
    <s v="Q4"/>
    <s v="Senior"/>
    <s v="Low"/>
    <s v="West - Self-employed"/>
  </r>
  <r>
    <x v="1554"/>
    <s v="Oviya Devi"/>
    <n v="66"/>
    <x v="1"/>
    <x v="2"/>
    <x v="3"/>
    <x v="2"/>
    <x v="1"/>
    <x v="1"/>
    <n v="0.55000000000000004"/>
    <d v="2018-01-22T00:00:00"/>
    <x v="3"/>
    <x v="0"/>
    <x v="1"/>
    <s v="Jan"/>
    <s v="Q1"/>
    <s v="Senior"/>
    <s v="High"/>
    <s v="North - Retired"/>
  </r>
  <r>
    <x v="1555"/>
    <s v="Indali Choudhary"/>
    <n v="47"/>
    <x v="1"/>
    <x v="1"/>
    <x v="2"/>
    <x v="1"/>
    <x v="0"/>
    <x v="1"/>
    <n v="0.7"/>
    <d v="2018-01-12T00:00:00"/>
    <x v="2"/>
    <x v="2"/>
    <x v="1"/>
    <s v="Jan"/>
    <s v="Q1"/>
    <s v="Adult"/>
    <s v="Low"/>
    <s v="East - Self-employed"/>
  </r>
  <r>
    <x v="1556"/>
    <s v="Balvan Deo"/>
    <n v="42"/>
    <x v="1"/>
    <x v="0"/>
    <x v="0"/>
    <x v="1"/>
    <x v="0"/>
    <x v="1"/>
    <n v="0.41"/>
    <d v="2022-01-02T00:00:00"/>
    <x v="1"/>
    <x v="0"/>
    <x v="3"/>
    <s v="Jan"/>
    <s v="Q1"/>
    <s v="Adult"/>
    <s v="Low"/>
    <s v="East - Student"/>
  </r>
  <r>
    <x v="1557"/>
    <s v="Charita Oza"/>
    <n v="55"/>
    <x v="0"/>
    <x v="1"/>
    <x v="1"/>
    <x v="1"/>
    <x v="0"/>
    <x v="1"/>
    <n v="0.4"/>
    <d v="2018-01-28T00:00:00"/>
    <x v="2"/>
    <x v="0"/>
    <x v="1"/>
    <s v="Jan"/>
    <s v="Q1"/>
    <s v="Senior"/>
    <s v="Low"/>
    <s v="East - Salaried"/>
  </r>
  <r>
    <x v="1558"/>
    <s v="Qasim Chandra"/>
    <n v="43"/>
    <x v="1"/>
    <x v="0"/>
    <x v="2"/>
    <x v="5"/>
    <x v="0"/>
    <x v="0"/>
    <n v="0.62"/>
    <d v="2021-04-26T00:00:00"/>
    <x v="1"/>
    <x v="0"/>
    <x v="2"/>
    <s v="Apr"/>
    <s v="Q2"/>
    <s v="Adult"/>
    <s v="High"/>
    <s v="Central - Self-employed"/>
  </r>
  <r>
    <x v="1559"/>
    <s v="Shaurya Oza"/>
    <n v="55"/>
    <x v="0"/>
    <x v="2"/>
    <x v="2"/>
    <x v="0"/>
    <x v="0"/>
    <x v="0"/>
    <n v="0.43"/>
    <d v="2019-10-29T00:00:00"/>
    <x v="2"/>
    <x v="0"/>
    <x v="4"/>
    <s v="Oct"/>
    <s v="Q4"/>
    <s v="Senior"/>
    <s v="High"/>
    <s v="West - Self-employed"/>
  </r>
  <r>
    <x v="1560"/>
    <s v="Dhruv Dewan"/>
    <n v="44"/>
    <x v="0"/>
    <x v="1"/>
    <x v="2"/>
    <x v="3"/>
    <x v="0"/>
    <x v="0"/>
    <n v="1"/>
    <d v="2019-03-27T00:00:00"/>
    <x v="1"/>
    <x v="2"/>
    <x v="4"/>
    <s v="Mar"/>
    <s v="Q1"/>
    <s v="Adult"/>
    <s v="High"/>
    <s v="South - Self-employed"/>
  </r>
  <r>
    <x v="1561"/>
    <s v="Vyanjana Narayanan"/>
    <n v="32"/>
    <x v="0"/>
    <x v="2"/>
    <x v="0"/>
    <x v="3"/>
    <x v="0"/>
    <x v="0"/>
    <n v="0.63"/>
    <d v="2021-04-17T00:00:00"/>
    <x v="1"/>
    <x v="0"/>
    <x v="2"/>
    <s v="Apr"/>
    <s v="Q2"/>
    <s v="Adult"/>
    <s v="High"/>
    <s v="South - Student"/>
  </r>
  <r>
    <x v="1562"/>
    <s v="Lucky Khare"/>
    <n v="45"/>
    <x v="0"/>
    <x v="1"/>
    <x v="3"/>
    <x v="1"/>
    <x v="0"/>
    <x v="0"/>
    <n v="0.93"/>
    <d v="2021-07-06T00:00:00"/>
    <x v="1"/>
    <x v="2"/>
    <x v="2"/>
    <s v="Jul"/>
    <s v="Q3"/>
    <s v="Adult"/>
    <s v="High"/>
    <s v="East - Retired"/>
  </r>
  <r>
    <x v="1563"/>
    <s v="Ayush Maharaj"/>
    <n v="42"/>
    <x v="0"/>
    <x v="1"/>
    <x v="2"/>
    <x v="1"/>
    <x v="0"/>
    <x v="0"/>
    <n v="0.56000000000000005"/>
    <d v="2022-11-10T00:00:00"/>
    <x v="1"/>
    <x v="0"/>
    <x v="3"/>
    <s v="Nov"/>
    <s v="Q4"/>
    <s v="Adult"/>
    <s v="High"/>
    <s v="East - Self-employed"/>
  </r>
  <r>
    <x v="1564"/>
    <s v="Nandini Parmar"/>
    <n v="40"/>
    <x v="1"/>
    <x v="0"/>
    <x v="3"/>
    <x v="4"/>
    <x v="0"/>
    <x v="0"/>
    <n v="0.56999999999999995"/>
    <d v="2019-07-01T00:00:00"/>
    <x v="1"/>
    <x v="0"/>
    <x v="4"/>
    <s v="Jul"/>
    <s v="Q3"/>
    <s v="Adult"/>
    <s v="High"/>
    <s v="North-East - Retired"/>
  </r>
  <r>
    <x v="1565"/>
    <s v="Triveni Lalla"/>
    <n v="23"/>
    <x v="1"/>
    <x v="1"/>
    <x v="3"/>
    <x v="2"/>
    <x v="1"/>
    <x v="0"/>
    <n v="0.1"/>
    <d v="2018-06-30T00:00:00"/>
    <x v="0"/>
    <x v="1"/>
    <x v="1"/>
    <s v="Jun"/>
    <s v="Q2"/>
    <s v="Young"/>
    <s v="Very High"/>
    <s v="North - Retired"/>
  </r>
  <r>
    <x v="1566"/>
    <s v="Radha Rai"/>
    <n v="18"/>
    <x v="0"/>
    <x v="1"/>
    <x v="1"/>
    <x v="0"/>
    <x v="0"/>
    <x v="1"/>
    <n v="0.23"/>
    <d v="2020-10-18T00:00:00"/>
    <x v="0"/>
    <x v="1"/>
    <x v="0"/>
    <s v="Oct"/>
    <s v="Q4"/>
    <s v="Young"/>
    <s v="Low"/>
    <s v="West - Salaried"/>
  </r>
  <r>
    <x v="1567"/>
    <s v="Hemangini Choudhry"/>
    <n v="41"/>
    <x v="0"/>
    <x v="0"/>
    <x v="1"/>
    <x v="1"/>
    <x v="0"/>
    <x v="0"/>
    <n v="0.33"/>
    <d v="2020-05-09T00:00:00"/>
    <x v="1"/>
    <x v="0"/>
    <x v="0"/>
    <s v="May"/>
    <s v="Q2"/>
    <s v="Adult"/>
    <s v="High"/>
    <s v="East - Salaried"/>
  </r>
  <r>
    <x v="1568"/>
    <s v="Januja Tandon"/>
    <n v="22"/>
    <x v="1"/>
    <x v="0"/>
    <x v="1"/>
    <x v="2"/>
    <x v="0"/>
    <x v="0"/>
    <n v="0.37"/>
    <d v="2021-02-28T00:00:00"/>
    <x v="0"/>
    <x v="0"/>
    <x v="2"/>
    <s v="Feb"/>
    <s v="Q1"/>
    <s v="Young"/>
    <s v="High"/>
    <s v="North - Salaried"/>
  </r>
  <r>
    <x v="1569"/>
    <s v="Reyansh Palla"/>
    <n v="48"/>
    <x v="1"/>
    <x v="1"/>
    <x v="0"/>
    <x v="4"/>
    <x v="1"/>
    <x v="1"/>
    <n v="0.05"/>
    <d v="2021-01-07T00:00:00"/>
    <x v="2"/>
    <x v="1"/>
    <x v="2"/>
    <s v="Jan"/>
    <s v="Q1"/>
    <s v="Adult"/>
    <s v="High"/>
    <s v="North-East - Student"/>
  </r>
  <r>
    <x v="1570"/>
    <s v="Aashi Sankar"/>
    <n v="20"/>
    <x v="0"/>
    <x v="2"/>
    <x v="3"/>
    <x v="1"/>
    <x v="0"/>
    <x v="0"/>
    <n v="0.68"/>
    <d v="2018-12-31T00:00:00"/>
    <x v="0"/>
    <x v="0"/>
    <x v="1"/>
    <s v="Dec"/>
    <s v="Q4"/>
    <s v="Young"/>
    <s v="High"/>
    <s v="East - Retired"/>
  </r>
  <r>
    <x v="1571"/>
    <s v="Faris Kata"/>
    <n v="19"/>
    <x v="0"/>
    <x v="1"/>
    <x v="3"/>
    <x v="3"/>
    <x v="1"/>
    <x v="1"/>
    <n v="0.39"/>
    <d v="2019-01-03T00:00:00"/>
    <x v="0"/>
    <x v="0"/>
    <x v="4"/>
    <s v="Jan"/>
    <s v="Q1"/>
    <s v="Young"/>
    <s v="High"/>
    <s v="South - Retired"/>
  </r>
  <r>
    <x v="1572"/>
    <s v="Girindra Brar"/>
    <n v="41"/>
    <x v="0"/>
    <x v="1"/>
    <x v="0"/>
    <x v="1"/>
    <x v="0"/>
    <x v="0"/>
    <n v="0.44"/>
    <d v="2023-03-21T00:00:00"/>
    <x v="1"/>
    <x v="0"/>
    <x v="5"/>
    <s v="Mar"/>
    <s v="Q1"/>
    <s v="Adult"/>
    <s v="High"/>
    <s v="East - Student"/>
  </r>
  <r>
    <x v="1573"/>
    <s v="Daksha Padmanabhan"/>
    <n v="69"/>
    <x v="1"/>
    <x v="0"/>
    <x v="3"/>
    <x v="1"/>
    <x v="1"/>
    <x v="1"/>
    <n v="0.27"/>
    <d v="2021-06-27T00:00:00"/>
    <x v="3"/>
    <x v="1"/>
    <x v="2"/>
    <s v="Jun"/>
    <s v="Q2"/>
    <s v="Senior"/>
    <s v="High"/>
    <s v="East - Retired"/>
  </r>
  <r>
    <x v="1574"/>
    <s v="Dhriti Kannan"/>
    <n v="40"/>
    <x v="0"/>
    <x v="2"/>
    <x v="1"/>
    <x v="5"/>
    <x v="1"/>
    <x v="0"/>
    <n v="0.24"/>
    <d v="2023-02-19T00:00:00"/>
    <x v="1"/>
    <x v="1"/>
    <x v="5"/>
    <s v="Feb"/>
    <s v="Q1"/>
    <s v="Adult"/>
    <s v="Very High"/>
    <s v="Central - Salaried"/>
  </r>
  <r>
    <x v="1575"/>
    <s v="Azad Sahni"/>
    <n v="26"/>
    <x v="1"/>
    <x v="2"/>
    <x v="0"/>
    <x v="2"/>
    <x v="0"/>
    <x v="1"/>
    <n v="0.35"/>
    <d v="2018-05-02T00:00:00"/>
    <x v="0"/>
    <x v="0"/>
    <x v="1"/>
    <s v="May"/>
    <s v="Q2"/>
    <s v="Young"/>
    <s v="Low"/>
    <s v="North - Student"/>
  </r>
  <r>
    <x v="1576"/>
    <s v="Urvi Grewal"/>
    <n v="67"/>
    <x v="1"/>
    <x v="0"/>
    <x v="0"/>
    <x v="5"/>
    <x v="0"/>
    <x v="0"/>
    <n v="0.43"/>
    <d v="2020-05-15T00:00:00"/>
    <x v="3"/>
    <x v="0"/>
    <x v="0"/>
    <s v="May"/>
    <s v="Q2"/>
    <s v="Senior"/>
    <s v="High"/>
    <s v="Central - Student"/>
  </r>
  <r>
    <x v="1577"/>
    <s v="Ojasvi Shah"/>
    <n v="26"/>
    <x v="1"/>
    <x v="0"/>
    <x v="2"/>
    <x v="5"/>
    <x v="0"/>
    <x v="0"/>
    <n v="0.47"/>
    <d v="2022-04-05T00:00:00"/>
    <x v="0"/>
    <x v="0"/>
    <x v="3"/>
    <s v="Apr"/>
    <s v="Q2"/>
    <s v="Young"/>
    <s v="High"/>
    <s v="Central - Self-employed"/>
  </r>
  <r>
    <x v="1578"/>
    <s v="Lekha Chandran"/>
    <n v="51"/>
    <x v="0"/>
    <x v="1"/>
    <x v="0"/>
    <x v="5"/>
    <x v="1"/>
    <x v="0"/>
    <n v="0.05"/>
    <d v="2022-08-31T00:00:00"/>
    <x v="2"/>
    <x v="1"/>
    <x v="3"/>
    <s v="Aug"/>
    <s v="Q3"/>
    <s v="Senior"/>
    <s v="Very High"/>
    <s v="Central - Student"/>
  </r>
  <r>
    <x v="1579"/>
    <s v="Yasti Sathe"/>
    <n v="53"/>
    <x v="1"/>
    <x v="0"/>
    <x v="2"/>
    <x v="0"/>
    <x v="0"/>
    <x v="1"/>
    <n v="0.56999999999999995"/>
    <d v="2018-12-15T00:00:00"/>
    <x v="2"/>
    <x v="0"/>
    <x v="1"/>
    <s v="Dec"/>
    <s v="Q4"/>
    <s v="Senior"/>
    <s v="Low"/>
    <s v="West - Self-employed"/>
  </r>
  <r>
    <x v="1580"/>
    <s v="Nathaniel Atwal"/>
    <n v="36"/>
    <x v="0"/>
    <x v="1"/>
    <x v="0"/>
    <x v="4"/>
    <x v="0"/>
    <x v="0"/>
    <n v="0.57999999999999996"/>
    <d v="2019-04-08T00:00:00"/>
    <x v="1"/>
    <x v="0"/>
    <x v="4"/>
    <s v="Apr"/>
    <s v="Q2"/>
    <s v="Adult"/>
    <s v="High"/>
    <s v="North-East - Student"/>
  </r>
  <r>
    <x v="1581"/>
    <s v="Raagini Khosla"/>
    <n v="30"/>
    <x v="1"/>
    <x v="1"/>
    <x v="2"/>
    <x v="3"/>
    <x v="1"/>
    <x v="0"/>
    <n v="0.52"/>
    <d v="2020-12-25T00:00:00"/>
    <x v="0"/>
    <x v="0"/>
    <x v="0"/>
    <s v="Dec"/>
    <s v="Q4"/>
    <s v="Adult"/>
    <s v="Very High"/>
    <s v="South - Self-employed"/>
  </r>
  <r>
    <x v="1582"/>
    <s v="Wahab Nayar"/>
    <n v="63"/>
    <x v="0"/>
    <x v="0"/>
    <x v="3"/>
    <x v="2"/>
    <x v="0"/>
    <x v="0"/>
    <n v="0.55000000000000004"/>
    <d v="2023-03-21T00:00:00"/>
    <x v="3"/>
    <x v="0"/>
    <x v="5"/>
    <s v="Mar"/>
    <s v="Q1"/>
    <s v="Senior"/>
    <s v="High"/>
    <s v="North - Retired"/>
  </r>
  <r>
    <x v="1583"/>
    <s v="Rajata Tak"/>
    <n v="62"/>
    <x v="0"/>
    <x v="0"/>
    <x v="0"/>
    <x v="5"/>
    <x v="0"/>
    <x v="1"/>
    <n v="0.24"/>
    <d v="2020-09-09T00:00:00"/>
    <x v="3"/>
    <x v="1"/>
    <x v="0"/>
    <s v="Sep"/>
    <s v="Q3"/>
    <s v="Senior"/>
    <s v="Low"/>
    <s v="Central - Student"/>
  </r>
  <r>
    <x v="1584"/>
    <s v="Deepa Nayak"/>
    <n v="58"/>
    <x v="0"/>
    <x v="1"/>
    <x v="0"/>
    <x v="5"/>
    <x v="1"/>
    <x v="0"/>
    <n v="0.36"/>
    <d v="2020-02-26T00:00:00"/>
    <x v="2"/>
    <x v="0"/>
    <x v="0"/>
    <s v="Feb"/>
    <s v="Q1"/>
    <s v="Senior"/>
    <s v="Very High"/>
    <s v="Central - Student"/>
  </r>
  <r>
    <x v="1585"/>
    <s v="Forum Zacharia"/>
    <n v="33"/>
    <x v="0"/>
    <x v="0"/>
    <x v="1"/>
    <x v="5"/>
    <x v="1"/>
    <x v="0"/>
    <n v="0.66"/>
    <d v="2018-08-10T00:00:00"/>
    <x v="1"/>
    <x v="0"/>
    <x v="1"/>
    <s v="Aug"/>
    <s v="Q3"/>
    <s v="Adult"/>
    <s v="Very High"/>
    <s v="Central - Salaried"/>
  </r>
  <r>
    <x v="1586"/>
    <s v="Tanveer Mand"/>
    <n v="58"/>
    <x v="0"/>
    <x v="0"/>
    <x v="3"/>
    <x v="3"/>
    <x v="0"/>
    <x v="0"/>
    <n v="0.28000000000000003"/>
    <d v="2018-03-02T00:00:00"/>
    <x v="2"/>
    <x v="1"/>
    <x v="1"/>
    <s v="Mar"/>
    <s v="Q1"/>
    <s v="Senior"/>
    <s v="High"/>
    <s v="South - Retired"/>
  </r>
  <r>
    <x v="1587"/>
    <s v="Balvan Morar"/>
    <n v="44"/>
    <x v="0"/>
    <x v="1"/>
    <x v="3"/>
    <x v="3"/>
    <x v="1"/>
    <x v="1"/>
    <n v="0.4"/>
    <d v="2019-02-04T00:00:00"/>
    <x v="1"/>
    <x v="0"/>
    <x v="4"/>
    <s v="Feb"/>
    <s v="Q1"/>
    <s v="Adult"/>
    <s v="High"/>
    <s v="South - Retired"/>
  </r>
  <r>
    <x v="1588"/>
    <s v="Gautam Manne"/>
    <n v="21"/>
    <x v="1"/>
    <x v="0"/>
    <x v="1"/>
    <x v="5"/>
    <x v="1"/>
    <x v="0"/>
    <n v="0.6"/>
    <d v="2020-09-04T00:00:00"/>
    <x v="0"/>
    <x v="0"/>
    <x v="0"/>
    <s v="Sep"/>
    <s v="Q3"/>
    <s v="Young"/>
    <s v="Very High"/>
    <s v="Central - Salaried"/>
  </r>
  <r>
    <x v="1589"/>
    <s v="Dakshesh Dhillon"/>
    <n v="21"/>
    <x v="1"/>
    <x v="2"/>
    <x v="3"/>
    <x v="3"/>
    <x v="0"/>
    <x v="0"/>
    <n v="0.23"/>
    <d v="2020-07-07T00:00:00"/>
    <x v="0"/>
    <x v="1"/>
    <x v="0"/>
    <s v="Jul"/>
    <s v="Q3"/>
    <s v="Young"/>
    <s v="High"/>
    <s v="South - Retired"/>
  </r>
  <r>
    <x v="1590"/>
    <s v="Urishilla Pathak"/>
    <n v="45"/>
    <x v="1"/>
    <x v="0"/>
    <x v="1"/>
    <x v="2"/>
    <x v="0"/>
    <x v="1"/>
    <n v="0.14000000000000001"/>
    <d v="2018-02-05T00:00:00"/>
    <x v="1"/>
    <x v="1"/>
    <x v="1"/>
    <s v="Feb"/>
    <s v="Q1"/>
    <s v="Adult"/>
    <s v="Low"/>
    <s v="North - Salaried"/>
  </r>
  <r>
    <x v="1591"/>
    <s v="Riya Radhakrishnan"/>
    <n v="67"/>
    <x v="0"/>
    <x v="2"/>
    <x v="2"/>
    <x v="2"/>
    <x v="1"/>
    <x v="0"/>
    <n v="0.28000000000000003"/>
    <d v="2019-06-28T00:00:00"/>
    <x v="3"/>
    <x v="1"/>
    <x v="4"/>
    <s v="Jun"/>
    <s v="Q2"/>
    <s v="Senior"/>
    <s v="Very High"/>
    <s v="North - Self-employed"/>
  </r>
  <r>
    <x v="1592"/>
    <s v="Garima Master"/>
    <n v="49"/>
    <x v="1"/>
    <x v="1"/>
    <x v="2"/>
    <x v="0"/>
    <x v="1"/>
    <x v="0"/>
    <n v="0.45"/>
    <d v="2019-04-22T00:00:00"/>
    <x v="2"/>
    <x v="0"/>
    <x v="4"/>
    <s v="Apr"/>
    <s v="Q2"/>
    <s v="Adult"/>
    <s v="Very High"/>
    <s v="West - Self-employed"/>
  </r>
  <r>
    <x v="1593"/>
    <s v="Bhavika Kuruvilla"/>
    <n v="56"/>
    <x v="0"/>
    <x v="1"/>
    <x v="3"/>
    <x v="2"/>
    <x v="1"/>
    <x v="0"/>
    <n v="0.59"/>
    <d v="2020-09-09T00:00:00"/>
    <x v="2"/>
    <x v="0"/>
    <x v="0"/>
    <s v="Sep"/>
    <s v="Q3"/>
    <s v="Senior"/>
    <s v="Very High"/>
    <s v="North - Retired"/>
  </r>
  <r>
    <x v="1594"/>
    <s v="Frederick Verma"/>
    <n v="64"/>
    <x v="1"/>
    <x v="2"/>
    <x v="0"/>
    <x v="5"/>
    <x v="0"/>
    <x v="0"/>
    <n v="0.76"/>
    <d v="2019-06-28T00:00:00"/>
    <x v="3"/>
    <x v="2"/>
    <x v="4"/>
    <s v="Jun"/>
    <s v="Q2"/>
    <s v="Senior"/>
    <s v="High"/>
    <s v="Central - Student"/>
  </r>
  <r>
    <x v="1595"/>
    <s v="Balvan Dugar"/>
    <n v="19"/>
    <x v="0"/>
    <x v="1"/>
    <x v="1"/>
    <x v="1"/>
    <x v="0"/>
    <x v="1"/>
    <n v="0.65"/>
    <d v="2021-06-09T00:00:00"/>
    <x v="0"/>
    <x v="0"/>
    <x v="2"/>
    <s v="Jun"/>
    <s v="Q2"/>
    <s v="Young"/>
    <s v="Low"/>
    <s v="East - Salaried"/>
  </r>
  <r>
    <x v="1596"/>
    <s v="Veda Dani"/>
    <n v="34"/>
    <x v="0"/>
    <x v="1"/>
    <x v="1"/>
    <x v="0"/>
    <x v="0"/>
    <x v="1"/>
    <n v="0.71"/>
    <d v="2020-08-03T00:00:00"/>
    <x v="1"/>
    <x v="2"/>
    <x v="0"/>
    <s v="Aug"/>
    <s v="Q3"/>
    <s v="Adult"/>
    <s v="Low"/>
    <s v="West - Salaried"/>
  </r>
  <r>
    <x v="1597"/>
    <s v="Veer Dugal"/>
    <n v="20"/>
    <x v="1"/>
    <x v="2"/>
    <x v="2"/>
    <x v="4"/>
    <x v="0"/>
    <x v="0"/>
    <n v="0.32"/>
    <d v="2022-01-22T00:00:00"/>
    <x v="0"/>
    <x v="0"/>
    <x v="3"/>
    <s v="Jan"/>
    <s v="Q1"/>
    <s v="Young"/>
    <s v="High"/>
    <s v="North-East - Self-employed"/>
  </r>
  <r>
    <x v="1598"/>
    <s v="Guneet Koshy"/>
    <n v="39"/>
    <x v="1"/>
    <x v="0"/>
    <x v="2"/>
    <x v="1"/>
    <x v="1"/>
    <x v="0"/>
    <n v="0.37"/>
    <d v="2021-07-23T00:00:00"/>
    <x v="1"/>
    <x v="0"/>
    <x v="2"/>
    <s v="Jul"/>
    <s v="Q3"/>
    <s v="Adult"/>
    <s v="Very High"/>
    <s v="East - Self-employed"/>
  </r>
  <r>
    <x v="1599"/>
    <s v="Faqid Nagy"/>
    <n v="29"/>
    <x v="0"/>
    <x v="1"/>
    <x v="2"/>
    <x v="5"/>
    <x v="1"/>
    <x v="1"/>
    <n v="0.59"/>
    <d v="2019-02-06T00:00:00"/>
    <x v="0"/>
    <x v="0"/>
    <x v="4"/>
    <s v="Feb"/>
    <s v="Q1"/>
    <s v="Young"/>
    <s v="High"/>
    <s v="Central - Self-employed"/>
  </r>
  <r>
    <x v="1600"/>
    <s v="Tejas Sharma"/>
    <n v="65"/>
    <x v="0"/>
    <x v="2"/>
    <x v="0"/>
    <x v="3"/>
    <x v="1"/>
    <x v="0"/>
    <n v="0.19"/>
    <d v="2023-02-08T00:00:00"/>
    <x v="3"/>
    <x v="1"/>
    <x v="5"/>
    <s v="Feb"/>
    <s v="Q1"/>
    <s v="Senior"/>
    <s v="Very High"/>
    <s v="South - Student"/>
  </r>
  <r>
    <x v="1601"/>
    <s v="Veda Comar"/>
    <n v="24"/>
    <x v="0"/>
    <x v="0"/>
    <x v="0"/>
    <x v="1"/>
    <x v="1"/>
    <x v="1"/>
    <n v="0.3"/>
    <d v="2021-11-16T00:00:00"/>
    <x v="0"/>
    <x v="0"/>
    <x v="2"/>
    <s v="Nov"/>
    <s v="Q4"/>
    <s v="Young"/>
    <s v="High"/>
    <s v="East - Student"/>
  </r>
  <r>
    <x v="1602"/>
    <s v="Jagrati Devan"/>
    <n v="27"/>
    <x v="0"/>
    <x v="2"/>
    <x v="1"/>
    <x v="4"/>
    <x v="1"/>
    <x v="1"/>
    <n v="0.2"/>
    <d v="2020-08-25T00:00:00"/>
    <x v="0"/>
    <x v="1"/>
    <x v="0"/>
    <s v="Aug"/>
    <s v="Q3"/>
    <s v="Young"/>
    <s v="High"/>
    <s v="North-East - Salaried"/>
  </r>
  <r>
    <x v="1603"/>
    <s v="Brinda Pal"/>
    <n v="65"/>
    <x v="0"/>
    <x v="0"/>
    <x v="1"/>
    <x v="5"/>
    <x v="0"/>
    <x v="0"/>
    <n v="0.87"/>
    <d v="2023-02-28T00:00:00"/>
    <x v="3"/>
    <x v="2"/>
    <x v="5"/>
    <s v="Feb"/>
    <s v="Q1"/>
    <s v="Senior"/>
    <s v="High"/>
    <s v="Central - Salaried"/>
  </r>
  <r>
    <x v="1604"/>
    <s v="Kashvi Hegde"/>
    <n v="48"/>
    <x v="1"/>
    <x v="2"/>
    <x v="2"/>
    <x v="0"/>
    <x v="1"/>
    <x v="0"/>
    <n v="0.15"/>
    <d v="2018-12-25T00:00:00"/>
    <x v="2"/>
    <x v="1"/>
    <x v="1"/>
    <s v="Dec"/>
    <s v="Q4"/>
    <s v="Adult"/>
    <s v="Very High"/>
    <s v="West - Self-employed"/>
  </r>
  <r>
    <x v="1605"/>
    <s v="Charan Anne"/>
    <n v="37"/>
    <x v="0"/>
    <x v="1"/>
    <x v="1"/>
    <x v="2"/>
    <x v="0"/>
    <x v="0"/>
    <n v="0.88"/>
    <d v="2019-05-07T00:00:00"/>
    <x v="1"/>
    <x v="2"/>
    <x v="4"/>
    <s v="May"/>
    <s v="Q2"/>
    <s v="Adult"/>
    <s v="High"/>
    <s v="North - Salaried"/>
  </r>
  <r>
    <x v="1606"/>
    <s v="Abeer Deep"/>
    <n v="33"/>
    <x v="1"/>
    <x v="1"/>
    <x v="2"/>
    <x v="1"/>
    <x v="1"/>
    <x v="0"/>
    <n v="0.49"/>
    <d v="2022-08-14T00:00:00"/>
    <x v="1"/>
    <x v="0"/>
    <x v="3"/>
    <s v="Aug"/>
    <s v="Q3"/>
    <s v="Adult"/>
    <s v="Very High"/>
    <s v="East - Self-employed"/>
  </r>
  <r>
    <x v="1607"/>
    <s v="Yagnesh Talwar"/>
    <n v="42"/>
    <x v="1"/>
    <x v="0"/>
    <x v="2"/>
    <x v="4"/>
    <x v="0"/>
    <x v="1"/>
    <n v="0.44"/>
    <d v="2020-02-10T00:00:00"/>
    <x v="1"/>
    <x v="0"/>
    <x v="0"/>
    <s v="Feb"/>
    <s v="Q1"/>
    <s v="Adult"/>
    <s v="Low"/>
    <s v="North-East - Self-employed"/>
  </r>
  <r>
    <x v="1608"/>
    <s v="Tanay Mukherjee"/>
    <n v="32"/>
    <x v="1"/>
    <x v="0"/>
    <x v="2"/>
    <x v="1"/>
    <x v="0"/>
    <x v="0"/>
    <n v="0.44"/>
    <d v="2022-12-27T00:00:00"/>
    <x v="1"/>
    <x v="0"/>
    <x v="3"/>
    <s v="Dec"/>
    <s v="Q4"/>
    <s v="Adult"/>
    <s v="High"/>
    <s v="East - Self-employed"/>
  </r>
  <r>
    <x v="1609"/>
    <s v="Yahvi Ratta"/>
    <n v="22"/>
    <x v="1"/>
    <x v="0"/>
    <x v="3"/>
    <x v="3"/>
    <x v="1"/>
    <x v="0"/>
    <n v="0.62"/>
    <d v="2018-11-28T00:00:00"/>
    <x v="0"/>
    <x v="0"/>
    <x v="1"/>
    <s v="Nov"/>
    <s v="Q4"/>
    <s v="Young"/>
    <s v="Very High"/>
    <s v="South - Retired"/>
  </r>
  <r>
    <x v="1610"/>
    <s v="Champak Magar"/>
    <n v="57"/>
    <x v="1"/>
    <x v="1"/>
    <x v="2"/>
    <x v="2"/>
    <x v="0"/>
    <x v="0"/>
    <n v="0.36"/>
    <d v="2021-06-06T00:00:00"/>
    <x v="2"/>
    <x v="0"/>
    <x v="2"/>
    <s v="Jun"/>
    <s v="Q2"/>
    <s v="Senior"/>
    <s v="High"/>
    <s v="North - Self-employed"/>
  </r>
  <r>
    <x v="1611"/>
    <s v="Samesh Mahajan"/>
    <n v="46"/>
    <x v="1"/>
    <x v="2"/>
    <x v="2"/>
    <x v="5"/>
    <x v="1"/>
    <x v="1"/>
    <n v="0.39"/>
    <d v="2019-05-02T00:00:00"/>
    <x v="2"/>
    <x v="0"/>
    <x v="4"/>
    <s v="May"/>
    <s v="Q2"/>
    <s v="Adult"/>
    <s v="High"/>
    <s v="Central - Self-employed"/>
  </r>
  <r>
    <x v="1612"/>
    <s v="Tripti Pall"/>
    <n v="47"/>
    <x v="0"/>
    <x v="0"/>
    <x v="2"/>
    <x v="1"/>
    <x v="0"/>
    <x v="1"/>
    <n v="0.84"/>
    <d v="2018-11-16T00:00:00"/>
    <x v="2"/>
    <x v="2"/>
    <x v="1"/>
    <s v="Nov"/>
    <s v="Q4"/>
    <s v="Adult"/>
    <s v="Low"/>
    <s v="East - Self-employed"/>
  </r>
  <r>
    <x v="1613"/>
    <s v="Ekapad Yadav"/>
    <n v="65"/>
    <x v="0"/>
    <x v="0"/>
    <x v="3"/>
    <x v="2"/>
    <x v="1"/>
    <x v="1"/>
    <n v="0.52"/>
    <d v="2019-10-29T00:00:00"/>
    <x v="3"/>
    <x v="0"/>
    <x v="4"/>
    <s v="Oct"/>
    <s v="Q4"/>
    <s v="Senior"/>
    <s v="High"/>
    <s v="North - Retired"/>
  </r>
  <r>
    <x v="1614"/>
    <s v="Wriddhish Samra"/>
    <n v="53"/>
    <x v="1"/>
    <x v="2"/>
    <x v="3"/>
    <x v="3"/>
    <x v="1"/>
    <x v="1"/>
    <n v="0.71"/>
    <d v="2022-04-22T00:00:00"/>
    <x v="2"/>
    <x v="2"/>
    <x v="3"/>
    <s v="Apr"/>
    <s v="Q2"/>
    <s v="Senior"/>
    <s v="High"/>
    <s v="South - Retired"/>
  </r>
  <r>
    <x v="1615"/>
    <s v="Chaitanya Borra"/>
    <n v="57"/>
    <x v="0"/>
    <x v="2"/>
    <x v="2"/>
    <x v="5"/>
    <x v="1"/>
    <x v="0"/>
    <n v="0.55000000000000004"/>
    <d v="2019-01-04T00:00:00"/>
    <x v="2"/>
    <x v="0"/>
    <x v="4"/>
    <s v="Jan"/>
    <s v="Q1"/>
    <s v="Senior"/>
    <s v="Very High"/>
    <s v="Central - Self-employed"/>
  </r>
  <r>
    <x v="1616"/>
    <s v="Ekbal Bava"/>
    <n v="19"/>
    <x v="0"/>
    <x v="0"/>
    <x v="1"/>
    <x v="2"/>
    <x v="0"/>
    <x v="1"/>
    <n v="0.37"/>
    <d v="2021-04-30T00:00:00"/>
    <x v="0"/>
    <x v="0"/>
    <x v="2"/>
    <s v="Apr"/>
    <s v="Q2"/>
    <s v="Young"/>
    <s v="Low"/>
    <s v="North - Salaried"/>
  </r>
  <r>
    <x v="1617"/>
    <s v="Harish Kohli"/>
    <n v="28"/>
    <x v="0"/>
    <x v="0"/>
    <x v="0"/>
    <x v="0"/>
    <x v="0"/>
    <x v="0"/>
    <n v="0.09"/>
    <d v="2019-04-25T00:00:00"/>
    <x v="0"/>
    <x v="1"/>
    <x v="4"/>
    <s v="Apr"/>
    <s v="Q2"/>
    <s v="Young"/>
    <s v="High"/>
    <s v="West - Student"/>
  </r>
  <r>
    <x v="1618"/>
    <s v="Avni Prashad"/>
    <n v="33"/>
    <x v="0"/>
    <x v="0"/>
    <x v="1"/>
    <x v="0"/>
    <x v="1"/>
    <x v="1"/>
    <n v="0.42"/>
    <d v="2023-04-15T00:00:00"/>
    <x v="1"/>
    <x v="0"/>
    <x v="5"/>
    <s v="Apr"/>
    <s v="Q2"/>
    <s v="Adult"/>
    <s v="High"/>
    <s v="West - Salaried"/>
  </r>
  <r>
    <x v="1619"/>
    <s v="Manthan Agate"/>
    <n v="33"/>
    <x v="1"/>
    <x v="1"/>
    <x v="3"/>
    <x v="0"/>
    <x v="0"/>
    <x v="0"/>
    <n v="0.55000000000000004"/>
    <d v="2023-04-29T00:00:00"/>
    <x v="1"/>
    <x v="0"/>
    <x v="5"/>
    <s v="Apr"/>
    <s v="Q2"/>
    <s v="Adult"/>
    <s v="High"/>
    <s v="West - Retired"/>
  </r>
  <r>
    <x v="1620"/>
    <s v="Wahab Wason"/>
    <n v="58"/>
    <x v="0"/>
    <x v="1"/>
    <x v="3"/>
    <x v="0"/>
    <x v="1"/>
    <x v="1"/>
    <n v="0.4"/>
    <d v="2022-02-08T00:00:00"/>
    <x v="2"/>
    <x v="0"/>
    <x v="3"/>
    <s v="Feb"/>
    <s v="Q1"/>
    <s v="Senior"/>
    <s v="High"/>
    <s v="West - Retired"/>
  </r>
  <r>
    <x v="1621"/>
    <s v="Janaki Keer"/>
    <n v="42"/>
    <x v="0"/>
    <x v="2"/>
    <x v="2"/>
    <x v="2"/>
    <x v="1"/>
    <x v="0"/>
    <n v="0.77"/>
    <d v="2019-12-14T00:00:00"/>
    <x v="1"/>
    <x v="2"/>
    <x v="4"/>
    <s v="Dec"/>
    <s v="Q4"/>
    <s v="Adult"/>
    <s v="Very High"/>
    <s v="North - Self-employed"/>
  </r>
  <r>
    <x v="1622"/>
    <s v="Nirja Kapadia"/>
    <n v="67"/>
    <x v="0"/>
    <x v="0"/>
    <x v="2"/>
    <x v="0"/>
    <x v="1"/>
    <x v="0"/>
    <n v="0.43"/>
    <d v="2022-12-10T00:00:00"/>
    <x v="3"/>
    <x v="0"/>
    <x v="3"/>
    <s v="Dec"/>
    <s v="Q4"/>
    <s v="Senior"/>
    <s v="Very High"/>
    <s v="West - Self-employed"/>
  </r>
  <r>
    <x v="1623"/>
    <s v="Aditya Khanna"/>
    <n v="36"/>
    <x v="0"/>
    <x v="2"/>
    <x v="1"/>
    <x v="0"/>
    <x v="0"/>
    <x v="1"/>
    <n v="0.82"/>
    <d v="2019-12-16T00:00:00"/>
    <x v="1"/>
    <x v="2"/>
    <x v="4"/>
    <s v="Dec"/>
    <s v="Q4"/>
    <s v="Adult"/>
    <s v="Low"/>
    <s v="West - Salaried"/>
  </r>
  <r>
    <x v="1624"/>
    <s v="Advik Shukla"/>
    <n v="44"/>
    <x v="1"/>
    <x v="2"/>
    <x v="3"/>
    <x v="0"/>
    <x v="0"/>
    <x v="0"/>
    <n v="0.56999999999999995"/>
    <d v="2018-11-11T00:00:00"/>
    <x v="1"/>
    <x v="0"/>
    <x v="1"/>
    <s v="Nov"/>
    <s v="Q4"/>
    <s v="Adult"/>
    <s v="High"/>
    <s v="West - Retired"/>
  </r>
  <r>
    <x v="1625"/>
    <s v="Vedika Sangha"/>
    <n v="51"/>
    <x v="1"/>
    <x v="1"/>
    <x v="1"/>
    <x v="1"/>
    <x v="0"/>
    <x v="1"/>
    <n v="0.32"/>
    <d v="2018-08-08T00:00:00"/>
    <x v="2"/>
    <x v="0"/>
    <x v="1"/>
    <s v="Aug"/>
    <s v="Q3"/>
    <s v="Senior"/>
    <s v="Low"/>
    <s v="East - Salaried"/>
  </r>
  <r>
    <x v="1626"/>
    <s v="Qarin Batra"/>
    <n v="43"/>
    <x v="0"/>
    <x v="2"/>
    <x v="3"/>
    <x v="3"/>
    <x v="0"/>
    <x v="1"/>
    <n v="0.66"/>
    <d v="2019-10-12T00:00:00"/>
    <x v="1"/>
    <x v="0"/>
    <x v="4"/>
    <s v="Oct"/>
    <s v="Q4"/>
    <s v="Adult"/>
    <s v="Low"/>
    <s v="South - Retired"/>
  </r>
  <r>
    <x v="1627"/>
    <s v="Chandresh Som"/>
    <n v="60"/>
    <x v="0"/>
    <x v="2"/>
    <x v="3"/>
    <x v="4"/>
    <x v="0"/>
    <x v="0"/>
    <n v="0.57999999999999996"/>
    <d v="2021-02-10T00:00:00"/>
    <x v="2"/>
    <x v="0"/>
    <x v="2"/>
    <s v="Feb"/>
    <s v="Q1"/>
    <s v="Senior"/>
    <s v="High"/>
    <s v="North-East - Retired"/>
  </r>
  <r>
    <x v="1628"/>
    <s v="Tanmayi Comar"/>
    <n v="56"/>
    <x v="1"/>
    <x v="2"/>
    <x v="2"/>
    <x v="3"/>
    <x v="0"/>
    <x v="0"/>
    <n v="0.8"/>
    <d v="2018-06-27T00:00:00"/>
    <x v="2"/>
    <x v="2"/>
    <x v="1"/>
    <s v="Jun"/>
    <s v="Q2"/>
    <s v="Senior"/>
    <s v="High"/>
    <s v="South - Self-employed"/>
  </r>
  <r>
    <x v="1629"/>
    <s v="Tara Ahuja"/>
    <n v="58"/>
    <x v="1"/>
    <x v="0"/>
    <x v="1"/>
    <x v="2"/>
    <x v="0"/>
    <x v="0"/>
    <n v="0.67"/>
    <d v="2019-05-19T00:00:00"/>
    <x v="2"/>
    <x v="0"/>
    <x v="4"/>
    <s v="May"/>
    <s v="Q2"/>
    <s v="Senior"/>
    <s v="High"/>
    <s v="North - Salaried"/>
  </r>
  <r>
    <x v="1630"/>
    <s v="Faris Choudhary"/>
    <n v="66"/>
    <x v="1"/>
    <x v="2"/>
    <x v="3"/>
    <x v="3"/>
    <x v="0"/>
    <x v="0"/>
    <n v="0.47"/>
    <d v="2019-01-12T00:00:00"/>
    <x v="3"/>
    <x v="0"/>
    <x v="4"/>
    <s v="Jan"/>
    <s v="Q1"/>
    <s v="Senior"/>
    <s v="High"/>
    <s v="South - Retired"/>
  </r>
  <r>
    <x v="1631"/>
    <s v="Alka Modi"/>
    <n v="42"/>
    <x v="0"/>
    <x v="1"/>
    <x v="3"/>
    <x v="1"/>
    <x v="1"/>
    <x v="1"/>
    <n v="0.41"/>
    <d v="2018-01-20T00:00:00"/>
    <x v="1"/>
    <x v="0"/>
    <x v="1"/>
    <s v="Jan"/>
    <s v="Q1"/>
    <s v="Adult"/>
    <s v="High"/>
    <s v="East - Retired"/>
  </r>
  <r>
    <x v="1632"/>
    <s v="Urmi Dhar"/>
    <n v="38"/>
    <x v="0"/>
    <x v="1"/>
    <x v="0"/>
    <x v="5"/>
    <x v="1"/>
    <x v="0"/>
    <n v="0.46"/>
    <d v="2021-10-18T00:00:00"/>
    <x v="1"/>
    <x v="0"/>
    <x v="2"/>
    <s v="Oct"/>
    <s v="Q4"/>
    <s v="Adult"/>
    <s v="Very High"/>
    <s v="Central - Student"/>
  </r>
  <r>
    <x v="1633"/>
    <s v="Hemangini Nigam"/>
    <n v="67"/>
    <x v="1"/>
    <x v="2"/>
    <x v="2"/>
    <x v="0"/>
    <x v="0"/>
    <x v="1"/>
    <n v="0.62"/>
    <d v="2020-12-12T00:00:00"/>
    <x v="3"/>
    <x v="0"/>
    <x v="0"/>
    <s v="Dec"/>
    <s v="Q4"/>
    <s v="Senior"/>
    <s v="Low"/>
    <s v="West - Self-employed"/>
  </r>
  <r>
    <x v="1634"/>
    <s v="Ishwar Grewal"/>
    <n v="37"/>
    <x v="1"/>
    <x v="2"/>
    <x v="0"/>
    <x v="5"/>
    <x v="0"/>
    <x v="1"/>
    <n v="0.86"/>
    <d v="2019-06-29T00:00:00"/>
    <x v="1"/>
    <x v="2"/>
    <x v="4"/>
    <s v="Jun"/>
    <s v="Q2"/>
    <s v="Adult"/>
    <s v="Low"/>
    <s v="Central - Student"/>
  </r>
  <r>
    <x v="1635"/>
    <s v="Priya Tara"/>
    <n v="34"/>
    <x v="1"/>
    <x v="1"/>
    <x v="3"/>
    <x v="3"/>
    <x v="1"/>
    <x v="1"/>
    <n v="0.65"/>
    <d v="2020-05-22T00:00:00"/>
    <x v="1"/>
    <x v="0"/>
    <x v="0"/>
    <s v="May"/>
    <s v="Q2"/>
    <s v="Adult"/>
    <s v="High"/>
    <s v="South - Retired"/>
  </r>
  <r>
    <x v="1636"/>
    <s v="Warinder Sarna"/>
    <n v="30"/>
    <x v="1"/>
    <x v="1"/>
    <x v="2"/>
    <x v="0"/>
    <x v="0"/>
    <x v="1"/>
    <n v="0.63"/>
    <d v="2023-10-11T00:00:00"/>
    <x v="0"/>
    <x v="0"/>
    <x v="5"/>
    <s v="Oct"/>
    <s v="Q4"/>
    <s v="Adult"/>
    <s v="Low"/>
    <s v="West - Self-employed"/>
  </r>
  <r>
    <x v="1637"/>
    <s v="Krish Ratti"/>
    <n v="25"/>
    <x v="1"/>
    <x v="2"/>
    <x v="1"/>
    <x v="2"/>
    <x v="1"/>
    <x v="0"/>
    <n v="0.6"/>
    <d v="2021-03-06T00:00:00"/>
    <x v="0"/>
    <x v="0"/>
    <x v="2"/>
    <s v="Mar"/>
    <s v="Q1"/>
    <s v="Young"/>
    <s v="Very High"/>
    <s v="North - Salaried"/>
  </r>
  <r>
    <x v="1638"/>
    <s v="Kashish Patla"/>
    <n v="58"/>
    <x v="0"/>
    <x v="0"/>
    <x v="0"/>
    <x v="2"/>
    <x v="1"/>
    <x v="0"/>
    <n v="0.55000000000000004"/>
    <d v="2019-08-25T00:00:00"/>
    <x v="2"/>
    <x v="0"/>
    <x v="4"/>
    <s v="Aug"/>
    <s v="Q3"/>
    <s v="Senior"/>
    <s v="Very High"/>
    <s v="North - Student"/>
  </r>
  <r>
    <x v="1639"/>
    <s v="Sarthak Shanker"/>
    <n v="67"/>
    <x v="1"/>
    <x v="1"/>
    <x v="0"/>
    <x v="3"/>
    <x v="0"/>
    <x v="0"/>
    <n v="0.35"/>
    <d v="2023-06-14T00:00:00"/>
    <x v="3"/>
    <x v="0"/>
    <x v="5"/>
    <s v="Jun"/>
    <s v="Q2"/>
    <s v="Senior"/>
    <s v="High"/>
    <s v="South - Student"/>
  </r>
  <r>
    <x v="1640"/>
    <s v="Bhavini Batra"/>
    <n v="56"/>
    <x v="0"/>
    <x v="2"/>
    <x v="1"/>
    <x v="3"/>
    <x v="1"/>
    <x v="0"/>
    <n v="0.33"/>
    <d v="2021-03-27T00:00:00"/>
    <x v="2"/>
    <x v="0"/>
    <x v="2"/>
    <s v="Mar"/>
    <s v="Q1"/>
    <s v="Senior"/>
    <s v="Very High"/>
    <s v="South - Salaried"/>
  </r>
  <r>
    <x v="1641"/>
    <s v="Logan Kalla"/>
    <n v="65"/>
    <x v="1"/>
    <x v="2"/>
    <x v="3"/>
    <x v="2"/>
    <x v="0"/>
    <x v="0"/>
    <n v="0.49"/>
    <d v="2021-03-29T00:00:00"/>
    <x v="3"/>
    <x v="0"/>
    <x v="2"/>
    <s v="Mar"/>
    <s v="Q1"/>
    <s v="Senior"/>
    <s v="High"/>
    <s v="North - Retired"/>
  </r>
  <r>
    <x v="1642"/>
    <s v="Lajita Biswas"/>
    <n v="41"/>
    <x v="0"/>
    <x v="1"/>
    <x v="1"/>
    <x v="3"/>
    <x v="0"/>
    <x v="1"/>
    <n v="0.08"/>
    <d v="2021-09-05T00:00:00"/>
    <x v="1"/>
    <x v="1"/>
    <x v="2"/>
    <s v="Sep"/>
    <s v="Q3"/>
    <s v="Adult"/>
    <s v="Low"/>
    <s v="South - Salaried"/>
  </r>
  <r>
    <x v="1643"/>
    <s v="Chameli Raman"/>
    <n v="31"/>
    <x v="0"/>
    <x v="2"/>
    <x v="2"/>
    <x v="3"/>
    <x v="0"/>
    <x v="0"/>
    <n v="0.55000000000000004"/>
    <d v="2018-10-18T00:00:00"/>
    <x v="1"/>
    <x v="0"/>
    <x v="1"/>
    <s v="Oct"/>
    <s v="Q4"/>
    <s v="Adult"/>
    <s v="High"/>
    <s v="South - Self-employed"/>
  </r>
  <r>
    <x v="1644"/>
    <s v="Patrick Talwar"/>
    <n v="64"/>
    <x v="0"/>
    <x v="2"/>
    <x v="1"/>
    <x v="3"/>
    <x v="1"/>
    <x v="0"/>
    <n v="0.15"/>
    <d v="2023-06-08T00:00:00"/>
    <x v="3"/>
    <x v="1"/>
    <x v="5"/>
    <s v="Jun"/>
    <s v="Q2"/>
    <s v="Senior"/>
    <s v="Very High"/>
    <s v="South - Salaried"/>
  </r>
  <r>
    <x v="1645"/>
    <s v="Kavya Grewal"/>
    <n v="22"/>
    <x v="1"/>
    <x v="2"/>
    <x v="3"/>
    <x v="2"/>
    <x v="1"/>
    <x v="1"/>
    <n v="0.66"/>
    <d v="2018-08-14T00:00:00"/>
    <x v="0"/>
    <x v="0"/>
    <x v="1"/>
    <s v="Aug"/>
    <s v="Q3"/>
    <s v="Young"/>
    <s v="High"/>
    <s v="North - Retired"/>
  </r>
  <r>
    <x v="1646"/>
    <s v="Yasti Karan"/>
    <n v="21"/>
    <x v="0"/>
    <x v="1"/>
    <x v="2"/>
    <x v="3"/>
    <x v="0"/>
    <x v="1"/>
    <n v="1"/>
    <d v="2022-04-11T00:00:00"/>
    <x v="0"/>
    <x v="2"/>
    <x v="3"/>
    <s v="Apr"/>
    <s v="Q2"/>
    <s v="Young"/>
    <s v="Low"/>
    <s v="South - Self-employed"/>
  </r>
  <r>
    <x v="1647"/>
    <s v="Sarthak Sagar"/>
    <n v="34"/>
    <x v="1"/>
    <x v="0"/>
    <x v="0"/>
    <x v="2"/>
    <x v="1"/>
    <x v="1"/>
    <n v="0.47"/>
    <d v="2018-09-13T00:00:00"/>
    <x v="1"/>
    <x v="0"/>
    <x v="1"/>
    <s v="Sep"/>
    <s v="Q3"/>
    <s v="Adult"/>
    <s v="High"/>
    <s v="North - Stud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4F201B-30B1-45DA-88F5-E754AEE18AB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9:H52" firstHeaderRow="1" firstDataRow="1" firstDataCol="1"/>
  <pivotFields count="19">
    <pivotField dataField="1"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pivotField showAll="0">
      <items count="5">
        <item x="3"/>
        <item x="1"/>
        <item x="2"/>
        <item x="0"/>
        <item t="default"/>
      </items>
    </pivotField>
    <pivotField showAll="0">
      <items count="7">
        <item x="5"/>
        <item x="1"/>
        <item x="2"/>
        <item x="4"/>
        <item x="3"/>
        <item x="0"/>
        <item t="default"/>
      </items>
    </pivotField>
    <pivotField showAll="0">
      <items count="3">
        <item x="0"/>
        <item x="1"/>
        <item t="default"/>
      </items>
    </pivotField>
    <pivotField axis="axisRow" showAll="0">
      <items count="3">
        <item x="1"/>
        <item x="0"/>
        <item t="default"/>
      </items>
    </pivotField>
    <pivotField showAll="0"/>
    <pivotField numFmtId="14" showAll="0"/>
    <pivotField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8"/>
  </rowFields>
  <rowItems count="3">
    <i>
      <x/>
    </i>
    <i>
      <x v="1"/>
    </i>
    <i t="grand">
      <x/>
    </i>
  </rowItems>
  <colItems count="1">
    <i/>
  </colItems>
  <dataFields count="1">
    <dataField name="Count of customer_id" fld="0" subtotal="count" baseField="0" baseItem="0"/>
  </dataFields>
  <formats count="12">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8" type="button" dataOnly="0" labelOnly="1" outline="0" axis="axisRow" fieldPosition="0"/>
    </format>
    <format dxfId="14">
      <pivotArea dataOnly="0" labelOnly="1" fieldPosition="0">
        <references count="1">
          <reference field="8"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F1B0D1-B1D7-4503-B85B-22EA8BCCBF1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9:C16" firstHeaderRow="1" firstDataRow="1" firstDataCol="1"/>
  <pivotFields count="19">
    <pivotField dataField="1"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pivotField showAll="0">
      <items count="5">
        <item x="3"/>
        <item x="1"/>
        <item x="2"/>
        <item x="0"/>
        <item t="default"/>
      </items>
    </pivotField>
    <pivotField axis="axisRow" showAll="0">
      <items count="7">
        <item x="5"/>
        <item x="1"/>
        <item x="2"/>
        <item x="4"/>
        <item x="3"/>
        <item x="0"/>
        <item t="default"/>
      </items>
    </pivotField>
    <pivotField showAll="0">
      <items count="3">
        <item x="0"/>
        <item x="1"/>
        <item t="default"/>
      </items>
    </pivotField>
    <pivotField showAll="0"/>
    <pivotField showAll="0"/>
    <pivotField numFmtId="14" showAll="0"/>
    <pivotField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customer_id" fld="0" subtotal="count" baseField="0" baseItem="0"/>
  </dataFields>
  <formats count="12">
    <format dxfId="35">
      <pivotArea type="all" dataOnly="0" outline="0" fieldPosition="0"/>
    </format>
    <format dxfId="34">
      <pivotArea outline="0" collapsedLevelsAreSubtotals="1" fieldPosition="0"/>
    </format>
    <format dxfId="33">
      <pivotArea field="6" type="button" dataOnly="0" labelOnly="1" outline="0" axis="axisRow" fieldPosition="0"/>
    </format>
    <format dxfId="32">
      <pivotArea dataOnly="0" labelOnly="1" fieldPosition="0">
        <references count="1">
          <reference field="6"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6" type="button" dataOnly="0" labelOnly="1" outline="0" axis="axisRow" fieldPosition="0"/>
    </format>
    <format dxfId="26">
      <pivotArea dataOnly="0" labelOnly="1" fieldPosition="0">
        <references count="1">
          <reference field="6" count="0"/>
        </references>
      </pivotArea>
    </format>
    <format dxfId="25">
      <pivotArea dataOnly="0" labelOnly="1" grandRow="1" outline="0" fieldPosition="0"/>
    </format>
    <format dxfId="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FF2AE3-CEA1-42C2-B7A6-EE779449714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9:H12" firstHeaderRow="1" firstDataRow="1" firstDataCol="1"/>
  <pivotFields count="19">
    <pivotField dataField="1"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axis="axisRow" showAll="0">
      <items count="3">
        <item x="1"/>
        <item x="0"/>
        <item t="default"/>
      </items>
    </pivotField>
    <pivotField showAll="0"/>
    <pivotField showAll="0">
      <items count="5">
        <item x="3"/>
        <item x="1"/>
        <item x="2"/>
        <item x="0"/>
        <item t="default"/>
      </items>
    </pivotField>
    <pivotField showAll="0">
      <items count="7">
        <item x="5"/>
        <item x="1"/>
        <item x="2"/>
        <item x="4"/>
        <item x="3"/>
        <item x="0"/>
        <item t="default"/>
      </items>
    </pivotField>
    <pivotField showAll="0">
      <items count="3">
        <item x="0"/>
        <item x="1"/>
        <item t="default"/>
      </items>
    </pivotField>
    <pivotField showAll="0"/>
    <pivotField showAll="0"/>
    <pivotField numFmtId="14" showAll="0"/>
    <pivotField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Count of customer_id" fld="0" subtotal="count" baseField="0" baseItem="0"/>
  </dataFields>
  <formats count="12">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fieldPosition="0">
        <references count="1">
          <reference field="3"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3" type="button" dataOnly="0" labelOnly="1" outline="0" axis="axisRow" fieldPosition="0"/>
    </format>
    <format dxfId="38">
      <pivotArea dataOnly="0" labelOnly="1" fieldPosition="0">
        <references count="1">
          <reference field="3" count="0"/>
        </references>
      </pivotArea>
    </format>
    <format dxfId="37">
      <pivotArea dataOnly="0" labelOnly="1" grandRow="1" outline="0" fieldPosition="0"/>
    </format>
    <format dxfId="3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6D394B-70B7-41CC-BF0C-2A10AB32C11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7:H42" firstHeaderRow="1" firstDataRow="1" firstDataCol="1"/>
  <pivotFields count="19">
    <pivotField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pivotField showAll="0">
      <items count="5">
        <item x="3"/>
        <item x="1"/>
        <item x="2"/>
        <item x="0"/>
        <item t="default"/>
      </items>
    </pivotField>
    <pivotField showAll="0">
      <items count="7">
        <item x="5"/>
        <item x="1"/>
        <item x="2"/>
        <item x="4"/>
        <item x="3"/>
        <item x="0"/>
        <item t="default"/>
      </items>
    </pivotField>
    <pivotField showAll="0">
      <items count="3">
        <item x="0"/>
        <item x="1"/>
        <item t="default"/>
      </items>
    </pivotField>
    <pivotField showAll="0"/>
    <pivotField dataField="1" showAll="0"/>
    <pivotField numFmtId="14" showAll="0"/>
    <pivotField axis="axisRow"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Average of risk_score" fld="9" subtotal="average" baseField="11" baseItem="0" numFmtId="2"/>
  </dataFields>
  <formats count="12">
    <format dxfId="59">
      <pivotArea type="all" dataOnly="0" outline="0" fieldPosition="0"/>
    </format>
    <format dxfId="58">
      <pivotArea outline="0" collapsedLevelsAreSubtotals="1" fieldPosition="0"/>
    </format>
    <format dxfId="57">
      <pivotArea field="11" type="button" dataOnly="0" labelOnly="1" outline="0" axis="axisRow" fieldPosition="0"/>
    </format>
    <format dxfId="56">
      <pivotArea dataOnly="0" labelOnly="1" fieldPosition="0">
        <references count="1">
          <reference field="11"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11" type="button" dataOnly="0" labelOnly="1" outline="0" axis="axisRow" fieldPosition="0"/>
    </format>
    <format dxfId="50">
      <pivotArea dataOnly="0" labelOnly="1" fieldPosition="0">
        <references count="1">
          <reference field="11" count="0"/>
        </references>
      </pivotArea>
    </format>
    <format dxfId="49">
      <pivotArea dataOnly="0" labelOnly="1" grandRow="1" outline="0" fieldPosition="0"/>
    </format>
    <format dxfId="4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C679EB-C2C9-4573-A3B9-B019DB3800D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7:C42" firstHeaderRow="1" firstDataRow="1" firstDataCol="1"/>
  <pivotFields count="19">
    <pivotField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pivotField axis="axisRow" showAll="0">
      <items count="5">
        <item x="3"/>
        <item x="1"/>
        <item x="2"/>
        <item x="0"/>
        <item t="default"/>
      </items>
    </pivotField>
    <pivotField showAll="0">
      <items count="7">
        <item x="5"/>
        <item x="1"/>
        <item x="2"/>
        <item x="4"/>
        <item x="3"/>
        <item x="0"/>
        <item t="default"/>
      </items>
    </pivotField>
    <pivotField showAll="0">
      <items count="3">
        <item x="0"/>
        <item x="1"/>
        <item t="default"/>
      </items>
    </pivotField>
    <pivotField showAll="0"/>
    <pivotField dataField="1" showAll="0"/>
    <pivotField numFmtId="14" showAll="0"/>
    <pivotField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5"/>
  </rowFields>
  <rowItems count="5">
    <i>
      <x/>
    </i>
    <i>
      <x v="1"/>
    </i>
    <i>
      <x v="2"/>
    </i>
    <i>
      <x v="3"/>
    </i>
    <i t="grand">
      <x/>
    </i>
  </rowItems>
  <colItems count="1">
    <i/>
  </colItems>
  <dataFields count="1">
    <dataField name="Average of risk_score" fld="9" subtotal="average" baseField="5" baseItem="2" numFmtId="2"/>
  </dataFields>
  <formats count="12">
    <format dxfId="71">
      <pivotArea type="all" dataOnly="0" outline="0" fieldPosition="0"/>
    </format>
    <format dxfId="70">
      <pivotArea outline="0" collapsedLevelsAreSubtotals="1" fieldPosition="0"/>
    </format>
    <format dxfId="69">
      <pivotArea field="5" type="button" dataOnly="0" labelOnly="1" outline="0" axis="axisRow" fieldPosition="0"/>
    </format>
    <format dxfId="68">
      <pivotArea dataOnly="0" labelOnly="1" fieldPosition="0">
        <references count="1">
          <reference field="5"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5" type="button" dataOnly="0" labelOnly="1" outline="0" axis="axisRow" fieldPosition="0"/>
    </format>
    <format dxfId="62">
      <pivotArea dataOnly="0" labelOnly="1" fieldPosition="0">
        <references count="1">
          <reference field="5" count="0"/>
        </references>
      </pivotArea>
    </format>
    <format dxfId="61">
      <pivotArea dataOnly="0" labelOnly="1" grandRow="1" outline="0" fieldPosition="0"/>
    </format>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7276F7-EAA6-4157-A16F-E3AC4DADE7C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9:L14" firstHeaderRow="1" firstDataRow="1" firstDataCol="1"/>
  <pivotFields count="19">
    <pivotField dataField="1"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pivotField showAll="0">
      <items count="5">
        <item x="3"/>
        <item x="1"/>
        <item x="2"/>
        <item x="0"/>
        <item t="default"/>
      </items>
    </pivotField>
    <pivotField showAll="0">
      <items count="7">
        <item x="5"/>
        <item x="1"/>
        <item x="2"/>
        <item x="4"/>
        <item x="3"/>
        <item x="0"/>
        <item t="default"/>
      </items>
    </pivotField>
    <pivotField showAll="0">
      <items count="3">
        <item x="0"/>
        <item x="1"/>
        <item t="default"/>
      </items>
    </pivotField>
    <pivotField showAll="0"/>
    <pivotField showAll="0"/>
    <pivotField numFmtId="14" showAll="0"/>
    <pivotField axis="axisRow"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Count of customer_id" fld="0" subtotal="count" baseField="0" baseItem="0"/>
  </dataFields>
  <formats count="12">
    <format dxfId="83">
      <pivotArea type="all" dataOnly="0" outline="0" fieldPosition="0"/>
    </format>
    <format dxfId="82">
      <pivotArea outline="0" collapsedLevelsAreSubtotals="1" fieldPosition="0"/>
    </format>
    <format dxfId="81">
      <pivotArea field="11" type="button" dataOnly="0" labelOnly="1" outline="0" axis="axisRow" fieldPosition="0"/>
    </format>
    <format dxfId="80">
      <pivotArea dataOnly="0" labelOnly="1" fieldPosition="0">
        <references count="1">
          <reference field="11"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11" type="button" dataOnly="0" labelOnly="1" outline="0" axis="axisRow" fieldPosition="0"/>
    </format>
    <format dxfId="74">
      <pivotArea dataOnly="0" labelOnly="1" fieldPosition="0">
        <references count="1">
          <reference field="11" count="0"/>
        </references>
      </pivotArea>
    </format>
    <format dxfId="73">
      <pivotArea dataOnly="0" labelOnly="1" grandRow="1" outline="0" fieldPosition="0"/>
    </format>
    <format dxfId="7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A0F44C-B8AA-4A7A-B725-82D4221981A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3:H27" firstHeaderRow="1" firstDataRow="1" firstDataCol="1"/>
  <pivotFields count="19">
    <pivotField dataField="1"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axis="axisRow" showAll="0">
      <items count="4">
        <item x="1"/>
        <item x="2"/>
        <item x="0"/>
        <item t="default"/>
      </items>
    </pivotField>
    <pivotField showAll="0">
      <items count="5">
        <item x="3"/>
        <item x="1"/>
        <item x="2"/>
        <item x="0"/>
        <item t="default"/>
      </items>
    </pivotField>
    <pivotField showAll="0">
      <items count="7">
        <item x="5"/>
        <item x="1"/>
        <item x="2"/>
        <item x="4"/>
        <item x="3"/>
        <item x="0"/>
        <item t="default"/>
      </items>
    </pivotField>
    <pivotField showAll="0">
      <items count="3">
        <item x="0"/>
        <item x="1"/>
        <item t="default"/>
      </items>
    </pivotField>
    <pivotField showAll="0"/>
    <pivotField showAll="0"/>
    <pivotField numFmtId="14" showAll="0"/>
    <pivotField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4"/>
  </rowFields>
  <rowItems count="4">
    <i>
      <x/>
    </i>
    <i>
      <x v="1"/>
    </i>
    <i>
      <x v="2"/>
    </i>
    <i t="grand">
      <x/>
    </i>
  </rowItems>
  <colItems count="1">
    <i/>
  </colItems>
  <dataFields count="1">
    <dataField name="Count of customer_id" fld="0" subtotal="count" baseField="0" baseItem="0"/>
  </dataFields>
  <formats count="12">
    <format dxfId="95">
      <pivotArea type="all" dataOnly="0" outline="0" fieldPosition="0"/>
    </format>
    <format dxfId="94">
      <pivotArea outline="0" collapsedLevelsAreSubtotals="1" fieldPosition="0"/>
    </format>
    <format dxfId="93">
      <pivotArea field="4" type="button" dataOnly="0" labelOnly="1" outline="0" axis="axisRow" fieldPosition="0"/>
    </format>
    <format dxfId="92">
      <pivotArea dataOnly="0" labelOnly="1" fieldPosition="0">
        <references count="1">
          <reference field="4"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4" type="button" dataOnly="0" labelOnly="1" outline="0" axis="axisRow" fieldPosition="0"/>
    </format>
    <format dxfId="86">
      <pivotArea dataOnly="0" labelOnly="1" fieldPosition="0">
        <references count="1">
          <reference field="4" count="0"/>
        </references>
      </pivotArea>
    </format>
    <format dxfId="85">
      <pivotArea dataOnly="0" labelOnly="1" grandRow="1" outline="0" fieldPosition="0"/>
    </format>
    <format dxfId="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1FF5F0-AB79-41C1-AA24-B2A3A2937D9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7:L40" firstHeaderRow="1" firstDataRow="1" firstDataCol="1"/>
  <pivotFields count="19">
    <pivotField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axis="axisRow" showAll="0">
      <items count="3">
        <item x="1"/>
        <item x="0"/>
        <item t="default"/>
      </items>
    </pivotField>
    <pivotField showAll="0"/>
    <pivotField showAll="0">
      <items count="5">
        <item x="3"/>
        <item x="1"/>
        <item x="2"/>
        <item x="0"/>
        <item t="default"/>
      </items>
    </pivotField>
    <pivotField showAll="0">
      <items count="7">
        <item x="5"/>
        <item x="1"/>
        <item x="2"/>
        <item x="4"/>
        <item x="3"/>
        <item x="0"/>
        <item t="default"/>
      </items>
    </pivotField>
    <pivotField showAll="0">
      <items count="3">
        <item x="0"/>
        <item x="1"/>
        <item t="default"/>
      </items>
    </pivotField>
    <pivotField showAll="0"/>
    <pivotField dataField="1" showAll="0"/>
    <pivotField numFmtId="14" showAll="0"/>
    <pivotField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Average of risk_score" fld="9" subtotal="average" baseField="3" baseItem="0" numFmtId="2"/>
  </dataFields>
  <formats count="12">
    <format dxfId="107">
      <pivotArea type="all" dataOnly="0" outline="0" fieldPosition="0"/>
    </format>
    <format dxfId="106">
      <pivotArea outline="0" collapsedLevelsAreSubtotals="1" fieldPosition="0"/>
    </format>
    <format dxfId="105">
      <pivotArea field="3" type="button" dataOnly="0" labelOnly="1" outline="0" axis="axisRow" fieldPosition="0"/>
    </format>
    <format dxfId="104">
      <pivotArea dataOnly="0" labelOnly="1" fieldPosition="0">
        <references count="1">
          <reference field="3" count="0"/>
        </references>
      </pivotArea>
    </format>
    <format dxfId="103">
      <pivotArea dataOnly="0" labelOnly="1" grandRow="1" outline="0"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3" type="button" dataOnly="0" labelOnly="1" outline="0" axis="axisRow" fieldPosition="0"/>
    </format>
    <format dxfId="98">
      <pivotArea dataOnly="0" labelOnly="1" fieldPosition="0">
        <references count="1">
          <reference field="3" count="0"/>
        </references>
      </pivotArea>
    </format>
    <format dxfId="97">
      <pivotArea dataOnly="0" labelOnly="1" grandRow="1" outline="0"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4391FA-178E-4CA9-9B79-E3FD30E6D79A}"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49:N57" firstHeaderRow="1" firstDataRow="2" firstDataCol="1"/>
  <pivotFields count="19">
    <pivotField dataField="1"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pivotField showAll="0">
      <items count="5">
        <item x="3"/>
        <item x="1"/>
        <item x="2"/>
        <item x="0"/>
        <item t="default"/>
      </items>
    </pivotField>
    <pivotField axis="axisRow" showAll="0">
      <items count="7">
        <item sd="0" x="5"/>
        <item sd="0" x="1"/>
        <item sd="0" x="2"/>
        <item sd="0" x="4"/>
        <item sd="0" x="3"/>
        <item sd="0" x="0"/>
        <item t="default"/>
      </items>
    </pivotField>
    <pivotField axis="axisCol" showAll="0">
      <items count="3">
        <item x="0"/>
        <item x="1"/>
        <item t="default"/>
      </items>
    </pivotField>
    <pivotField showAll="0">
      <items count="3">
        <item x="1"/>
        <item x="0"/>
        <item t="default"/>
      </items>
    </pivotField>
    <pivotField showAll="0"/>
    <pivotField numFmtId="14" showAll="0"/>
    <pivotField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6"/>
  </rowFields>
  <rowItems count="7">
    <i>
      <x/>
    </i>
    <i>
      <x v="1"/>
    </i>
    <i>
      <x v="2"/>
    </i>
    <i>
      <x v="3"/>
    </i>
    <i>
      <x v="4"/>
    </i>
    <i>
      <x v="5"/>
    </i>
    <i t="grand">
      <x/>
    </i>
  </rowItems>
  <colFields count="1">
    <field x="7"/>
  </colFields>
  <colItems count="3">
    <i>
      <x/>
    </i>
    <i>
      <x v="1"/>
    </i>
    <i t="grand">
      <x/>
    </i>
  </colItems>
  <dataFields count="1">
    <dataField name="Count of customer_id" fld="0" subtotal="count" baseField="0" baseItem="0"/>
  </dataFields>
  <formats count="20">
    <format dxfId="127">
      <pivotArea type="all" dataOnly="0" outline="0" fieldPosition="0"/>
    </format>
    <format dxfId="126">
      <pivotArea outline="0" collapsedLevelsAreSubtotals="1" fieldPosition="0"/>
    </format>
    <format dxfId="125">
      <pivotArea type="origin" dataOnly="0" labelOnly="1" outline="0" fieldPosition="0"/>
    </format>
    <format dxfId="124">
      <pivotArea field="7" type="button" dataOnly="0" labelOnly="1" outline="0" axis="axisCol" fieldPosition="0"/>
    </format>
    <format dxfId="123">
      <pivotArea type="topRight" dataOnly="0" labelOnly="1" outline="0" fieldPosition="0"/>
    </format>
    <format dxfId="122">
      <pivotArea field="6" type="button" dataOnly="0" labelOnly="1" outline="0" axis="axisRow" fieldPosition="0"/>
    </format>
    <format dxfId="121">
      <pivotArea dataOnly="0" labelOnly="1" fieldPosition="0">
        <references count="1">
          <reference field="6" count="0"/>
        </references>
      </pivotArea>
    </format>
    <format dxfId="120">
      <pivotArea dataOnly="0" labelOnly="1" grandRow="1" outline="0" fieldPosition="0"/>
    </format>
    <format dxfId="119">
      <pivotArea dataOnly="0" labelOnly="1" fieldPosition="0">
        <references count="1">
          <reference field="7" count="0"/>
        </references>
      </pivotArea>
    </format>
    <format dxfId="118">
      <pivotArea dataOnly="0" labelOnly="1" grandCol="1" outline="0" fieldPosition="0"/>
    </format>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7" type="button" dataOnly="0" labelOnly="1" outline="0" axis="axisCol" fieldPosition="0"/>
    </format>
    <format dxfId="113">
      <pivotArea type="topRight" dataOnly="0" labelOnly="1" outline="0" fieldPosition="0"/>
    </format>
    <format dxfId="112">
      <pivotArea field="6" type="button" dataOnly="0" labelOnly="1" outline="0" axis="axisRow" fieldPosition="0"/>
    </format>
    <format dxfId="111">
      <pivotArea dataOnly="0" labelOnly="1" fieldPosition="0">
        <references count="1">
          <reference field="6" count="0"/>
        </references>
      </pivotArea>
    </format>
    <format dxfId="110">
      <pivotArea dataOnly="0" labelOnly="1" grandRow="1" outline="0" fieldPosition="0"/>
    </format>
    <format dxfId="109">
      <pivotArea dataOnly="0" labelOnly="1" fieldPosition="0">
        <references count="1">
          <reference field="7" count="0"/>
        </references>
      </pivotArea>
    </format>
    <format dxfId="108">
      <pivotArea dataOnly="0" labelOnly="1" grandCol="1" outline="0" fieldPosition="0"/>
    </format>
  </formats>
  <chartFormats count="2">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8453D0-8C9E-4613-92C3-E39F0E2C21F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28" firstHeaderRow="1" firstDataRow="1" firstDataCol="1"/>
  <pivotFields count="19">
    <pivotField dataField="1"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pivotField axis="axisRow" showAll="0">
      <items count="5">
        <item x="3"/>
        <item x="1"/>
        <item x="2"/>
        <item x="0"/>
        <item t="default"/>
      </items>
    </pivotField>
    <pivotField showAll="0">
      <items count="7">
        <item x="5"/>
        <item x="1"/>
        <item x="2"/>
        <item x="4"/>
        <item x="3"/>
        <item x="0"/>
        <item t="default"/>
      </items>
    </pivotField>
    <pivotField showAll="0">
      <items count="3">
        <item x="0"/>
        <item x="1"/>
        <item t="default"/>
      </items>
    </pivotField>
    <pivotField showAll="0"/>
    <pivotField showAll="0"/>
    <pivotField numFmtId="14" showAll="0"/>
    <pivotField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customer_id" fld="0" subtotal="count" baseField="0" baseItem="0"/>
  </dataFields>
  <formats count="12">
    <format dxfId="139">
      <pivotArea type="all" dataOnly="0" outline="0" fieldPosition="0"/>
    </format>
    <format dxfId="138">
      <pivotArea outline="0" collapsedLevelsAreSubtotals="1" fieldPosition="0"/>
    </format>
    <format dxfId="137">
      <pivotArea field="5" type="button" dataOnly="0" labelOnly="1" outline="0" axis="axisRow" fieldPosition="0"/>
    </format>
    <format dxfId="136">
      <pivotArea dataOnly="0" labelOnly="1" fieldPosition="0">
        <references count="1">
          <reference field="5" count="0"/>
        </references>
      </pivotArea>
    </format>
    <format dxfId="135">
      <pivotArea dataOnly="0" labelOnly="1" grandRow="1" outline="0"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5" type="button" dataOnly="0" labelOnly="1" outline="0" axis="axisRow" fieldPosition="0"/>
    </format>
    <format dxfId="130">
      <pivotArea dataOnly="0" labelOnly="1" fieldPosition="0">
        <references count="1">
          <reference field="5" count="0"/>
        </references>
      </pivotArea>
    </format>
    <format dxfId="129">
      <pivotArea dataOnly="0" labelOnly="1" grandRow="1" outline="0" fieldPosition="0"/>
    </format>
    <format dxfId="1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42467F-E245-46F1-B479-248BD42FC03C}"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64:H71" firstHeaderRow="1" firstDataRow="1" firstDataCol="1"/>
  <pivotFields count="19">
    <pivotField dataField="1"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pivotField showAll="0">
      <items count="5">
        <item x="3"/>
        <item x="1"/>
        <item x="2"/>
        <item x="0"/>
        <item t="default"/>
      </items>
    </pivotField>
    <pivotField showAll="0">
      <items count="7">
        <item x="5"/>
        <item x="1"/>
        <item x="2"/>
        <item x="4"/>
        <item x="3"/>
        <item x="0"/>
        <item t="default"/>
      </items>
    </pivotField>
    <pivotField showAll="0">
      <items count="3">
        <item x="0"/>
        <item x="1"/>
        <item t="default"/>
      </items>
    </pivotField>
    <pivotField showAll="0">
      <items count="3">
        <item x="1"/>
        <item x="0"/>
        <item t="default"/>
      </items>
    </pivotField>
    <pivotField showAll="0"/>
    <pivotField numFmtId="14" showAll="0"/>
    <pivotField showAll="0">
      <items count="5">
        <item x="0"/>
        <item x="1"/>
        <item x="2"/>
        <item x="3"/>
        <item t="default"/>
      </items>
    </pivotField>
    <pivotField showAll="0"/>
    <pivotField axis="axisRow" showAll="0">
      <items count="7">
        <item x="1"/>
        <item x="4"/>
        <item x="0"/>
        <item x="2"/>
        <item x="3"/>
        <item x="5"/>
        <item t="default"/>
      </items>
    </pivotField>
    <pivotField showAll="0"/>
    <pivotField showAll="0"/>
    <pivotField showAll="0"/>
    <pivotField showAll="0"/>
    <pivotField showAll="0"/>
  </pivotFields>
  <rowFields count="1">
    <field x="13"/>
  </rowFields>
  <rowItems count="7">
    <i>
      <x/>
    </i>
    <i>
      <x v="1"/>
    </i>
    <i>
      <x v="2"/>
    </i>
    <i>
      <x v="3"/>
    </i>
    <i>
      <x v="4"/>
    </i>
    <i>
      <x v="5"/>
    </i>
    <i t="grand">
      <x/>
    </i>
  </rowItems>
  <colItems count="1">
    <i/>
  </colItems>
  <dataFields count="1">
    <dataField name="Count of customer_id" fld="0" subtotal="count" baseField="0" baseItem="0"/>
  </dataFields>
  <formats count="12">
    <format dxfId="151">
      <pivotArea type="all" dataOnly="0" outline="0" fieldPosition="0"/>
    </format>
    <format dxfId="150">
      <pivotArea outline="0" collapsedLevelsAreSubtotals="1" fieldPosition="0"/>
    </format>
    <format dxfId="149">
      <pivotArea field="13" type="button" dataOnly="0" labelOnly="1" outline="0" axis="axisRow" fieldPosition="0"/>
    </format>
    <format dxfId="148">
      <pivotArea dataOnly="0" labelOnly="1" fieldPosition="0">
        <references count="1">
          <reference field="13" count="0"/>
        </references>
      </pivotArea>
    </format>
    <format dxfId="147">
      <pivotArea dataOnly="0" labelOnly="1" grandRow="1" outline="0"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13" type="button" dataOnly="0" labelOnly="1" outline="0" axis="axisRow" fieldPosition="0"/>
    </format>
    <format dxfId="142">
      <pivotArea dataOnly="0" labelOnly="1" fieldPosition="0">
        <references count="1">
          <reference field="13" count="0"/>
        </references>
      </pivotArea>
    </format>
    <format dxfId="141">
      <pivotArea dataOnly="0" labelOnly="1" grandRow="1" outline="0" fieldPosition="0"/>
    </format>
    <format dxfId="14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75EB85-C9D9-42F3-90ED-840DF52B93A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9:C52" firstHeaderRow="1" firstDataRow="1" firstDataCol="1"/>
  <pivotFields count="19">
    <pivotField dataField="1"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pivotField showAll="0">
      <items count="5">
        <item x="3"/>
        <item x="1"/>
        <item x="2"/>
        <item x="0"/>
        <item t="default"/>
      </items>
    </pivotField>
    <pivotField showAll="0">
      <items count="7">
        <item x="5"/>
        <item x="1"/>
        <item x="2"/>
        <item x="4"/>
        <item x="3"/>
        <item x="0"/>
        <item t="default"/>
      </items>
    </pivotField>
    <pivotField axis="axisRow" showAll="0">
      <items count="3">
        <item x="0"/>
        <item x="1"/>
        <item t="default"/>
      </items>
    </pivotField>
    <pivotField showAll="0"/>
    <pivotField showAll="0"/>
    <pivotField numFmtId="14" showAll="0"/>
    <pivotField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7"/>
  </rowFields>
  <rowItems count="3">
    <i>
      <x/>
    </i>
    <i>
      <x v="1"/>
    </i>
    <i t="grand">
      <x/>
    </i>
  </rowItems>
  <colItems count="1">
    <i/>
  </colItems>
  <dataFields count="1">
    <dataField name="Count of customer_id" fld="0" subtotal="count" baseField="0" baseItem="0"/>
  </dataFields>
  <formats count="12">
    <format dxfId="163">
      <pivotArea type="all" dataOnly="0" outline="0" fieldPosition="0"/>
    </format>
    <format dxfId="162">
      <pivotArea outline="0" collapsedLevelsAreSubtotals="1" fieldPosition="0"/>
    </format>
    <format dxfId="161">
      <pivotArea field="7" type="button" dataOnly="0" labelOnly="1" outline="0" axis="axisRow" fieldPosition="0"/>
    </format>
    <format dxfId="160">
      <pivotArea dataOnly="0" labelOnly="1" fieldPosition="0">
        <references count="1">
          <reference field="7" count="0"/>
        </references>
      </pivotArea>
    </format>
    <format dxfId="159">
      <pivotArea dataOnly="0" labelOnly="1" grandRow="1" outline="0"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field="7" type="button" dataOnly="0" labelOnly="1" outline="0" axis="axisRow" fieldPosition="0"/>
    </format>
    <format dxfId="154">
      <pivotArea dataOnly="0" labelOnly="1" fieldPosition="0">
        <references count="1">
          <reference field="7" count="0"/>
        </references>
      </pivotArea>
    </format>
    <format dxfId="153">
      <pivotArea dataOnly="0" labelOnly="1" grandRow="1" outline="0" fieldPosition="0"/>
    </format>
    <format dxfId="152">
      <pivotArea dataOnly="0" labelOnly="1" outline="0" axis="axisValues"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7D9A68-C8CD-452E-A75B-74C5E0FCAD46}"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64:L68" firstHeaderRow="1" firstDataRow="1" firstDataCol="1"/>
  <pivotFields count="19">
    <pivotField dataField="1"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pivotField showAll="0">
      <items count="5">
        <item x="3"/>
        <item x="1"/>
        <item x="2"/>
        <item x="0"/>
        <item t="default"/>
      </items>
    </pivotField>
    <pivotField showAll="0">
      <items count="7">
        <item x="5"/>
        <item x="1"/>
        <item x="2"/>
        <item x="4"/>
        <item x="3"/>
        <item x="0"/>
        <item t="default"/>
      </items>
    </pivotField>
    <pivotField showAll="0">
      <items count="3">
        <item x="0"/>
        <item x="1"/>
        <item t="default"/>
      </items>
    </pivotField>
    <pivotField showAll="0">
      <items count="3">
        <item x="1"/>
        <item x="0"/>
        <item t="default"/>
      </items>
    </pivotField>
    <pivotField showAll="0"/>
    <pivotField numFmtId="14" showAll="0"/>
    <pivotField showAll="0">
      <items count="5">
        <item x="0"/>
        <item x="1"/>
        <item x="2"/>
        <item x="3"/>
        <item t="default"/>
      </items>
    </pivotField>
    <pivotField axis="axisRow" showAll="0">
      <items count="4">
        <item x="2"/>
        <item x="1"/>
        <item x="0"/>
        <item t="default"/>
      </items>
    </pivotField>
    <pivotField showAll="0">
      <items count="7">
        <item x="1"/>
        <item x="4"/>
        <item x="0"/>
        <item x="2"/>
        <item x="3"/>
        <item x="5"/>
        <item t="default"/>
      </items>
    </pivotField>
    <pivotField showAll="0"/>
    <pivotField showAll="0"/>
    <pivotField showAll="0"/>
    <pivotField showAll="0"/>
    <pivotField showAll="0"/>
  </pivotFields>
  <rowFields count="1">
    <field x="12"/>
  </rowFields>
  <rowItems count="4">
    <i>
      <x/>
    </i>
    <i>
      <x v="1"/>
    </i>
    <i>
      <x v="2"/>
    </i>
    <i t="grand">
      <x/>
    </i>
  </rowItems>
  <colItems count="1">
    <i/>
  </colItems>
  <dataFields count="1">
    <dataField name="Count of customer_id" fld="0" subtotal="count" baseField="0" baseItem="0"/>
  </dataFields>
  <formats count="12">
    <format dxfId="175">
      <pivotArea type="all" dataOnly="0" outline="0" fieldPosition="0"/>
    </format>
    <format dxfId="174">
      <pivotArea outline="0" collapsedLevelsAreSubtotals="1" fieldPosition="0"/>
    </format>
    <format dxfId="173">
      <pivotArea field="12" type="button" dataOnly="0" labelOnly="1" outline="0" axis="axisRow" fieldPosition="0"/>
    </format>
    <format dxfId="172">
      <pivotArea dataOnly="0" labelOnly="1" fieldPosition="0">
        <references count="1">
          <reference field="12" count="0"/>
        </references>
      </pivotArea>
    </format>
    <format dxfId="171">
      <pivotArea dataOnly="0" labelOnly="1" grandRow="1" outline="0" fieldPosition="0"/>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field="12" type="button" dataOnly="0" labelOnly="1" outline="0" axis="axisRow" fieldPosition="0"/>
    </format>
    <format dxfId="166">
      <pivotArea dataOnly="0" labelOnly="1" fieldPosition="0">
        <references count="1">
          <reference field="12" count="0"/>
        </references>
      </pivotArea>
    </format>
    <format dxfId="165">
      <pivotArea dataOnly="0" labelOnly="1" grandRow="1" outline="0" fieldPosition="0"/>
    </format>
    <format dxfId="16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EDB0D1F-266D-4A4F-9C8B-5D97FE874C7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3:L30" firstHeaderRow="1" firstDataRow="1" firstDataCol="1"/>
  <pivotFields count="19">
    <pivotField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items count="4">
        <item x="1"/>
        <item x="2"/>
        <item x="0"/>
        <item t="default"/>
      </items>
    </pivotField>
    <pivotField showAll="0">
      <items count="5">
        <item x="3"/>
        <item x="1"/>
        <item x="2"/>
        <item x="0"/>
        <item t="default"/>
      </items>
    </pivotField>
    <pivotField axis="axisRow" showAll="0">
      <items count="7">
        <item x="5"/>
        <item x="1"/>
        <item x="2"/>
        <item x="4"/>
        <item x="3"/>
        <item x="0"/>
        <item t="default"/>
      </items>
    </pivotField>
    <pivotField showAll="0">
      <items count="3">
        <item x="0"/>
        <item x="1"/>
        <item t="default"/>
      </items>
    </pivotField>
    <pivotField showAll="0"/>
    <pivotField dataField="1" showAll="0"/>
    <pivotField numFmtId="14" showAll="0"/>
    <pivotField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Average of risk_score" fld="9" subtotal="average" baseField="6" baseItem="1" numFmtId="2"/>
  </dataFields>
  <formats count="12">
    <format dxfId="187">
      <pivotArea type="all" dataOnly="0" outline="0" fieldPosition="0"/>
    </format>
    <format dxfId="186">
      <pivotArea outline="0" collapsedLevelsAreSubtotals="1" fieldPosition="0"/>
    </format>
    <format dxfId="185">
      <pivotArea field="6" type="button" dataOnly="0" labelOnly="1" outline="0" axis="axisRow" fieldPosition="0"/>
    </format>
    <format dxfId="184">
      <pivotArea dataOnly="0" labelOnly="1" fieldPosition="0">
        <references count="1">
          <reference field="6" count="0"/>
        </references>
      </pivotArea>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field="6" type="button" dataOnly="0" labelOnly="1" outline="0" axis="axisRow" fieldPosition="0"/>
    </format>
    <format dxfId="178">
      <pivotArea dataOnly="0" labelOnly="1" fieldPosition="0">
        <references count="1">
          <reference field="6" count="0"/>
        </references>
      </pivotArea>
    </format>
    <format dxfId="177">
      <pivotArea dataOnly="0" labelOnly="1" grandRow="1" outline="0" fieldPosition="0"/>
    </format>
    <format dxfId="17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25F8CAF-8DDB-4824-B157-DF704BE382E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4:E70" firstHeaderRow="1" firstDataRow="2" firstDataCol="1"/>
  <pivotFields count="19">
    <pivotField dataField="1" showAll="0">
      <items count="16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t="default"/>
      </items>
    </pivotField>
    <pivotField showAll="0"/>
    <pivotField showAll="0"/>
    <pivotField showAll="0">
      <items count="3">
        <item x="1"/>
        <item x="0"/>
        <item t="default"/>
      </items>
    </pivotField>
    <pivotField showAll="0"/>
    <pivotField showAll="0">
      <items count="5">
        <item x="3"/>
        <item x="1"/>
        <item x="2"/>
        <item x="0"/>
        <item t="default"/>
      </items>
    </pivotField>
    <pivotField showAll="0">
      <items count="7">
        <item x="5"/>
        <item x="1"/>
        <item x="2"/>
        <item x="4"/>
        <item x="3"/>
        <item x="0"/>
        <item t="default"/>
      </items>
    </pivotField>
    <pivotField showAll="0">
      <items count="3">
        <item x="0"/>
        <item x="1"/>
        <item t="default"/>
      </items>
    </pivotField>
    <pivotField axis="axisCol" showAll="0">
      <items count="3">
        <item x="1"/>
        <item x="0"/>
        <item t="default"/>
      </items>
    </pivotField>
    <pivotField showAll="0"/>
    <pivotField numFmtId="14" showAll="0"/>
    <pivotField axis="axisRow" showAll="0">
      <items count="5">
        <item x="0"/>
        <item x="1"/>
        <item x="2"/>
        <item x="3"/>
        <item t="default"/>
      </items>
    </pivotField>
    <pivotField showAll="0"/>
    <pivotField showAll="0">
      <items count="7">
        <item x="1"/>
        <item x="4"/>
        <item x="0"/>
        <item x="2"/>
        <item x="3"/>
        <item x="5"/>
        <item t="default"/>
      </items>
    </pivotField>
    <pivotField showAll="0"/>
    <pivotField showAll="0"/>
    <pivotField showAll="0"/>
    <pivotField showAll="0"/>
    <pivotField showAll="0"/>
  </pivotFields>
  <rowFields count="1">
    <field x="11"/>
  </rowFields>
  <rowItems count="5">
    <i>
      <x/>
    </i>
    <i>
      <x v="1"/>
    </i>
    <i>
      <x v="2"/>
    </i>
    <i>
      <x v="3"/>
    </i>
    <i t="grand">
      <x/>
    </i>
  </rowItems>
  <colFields count="1">
    <field x="8"/>
  </colFields>
  <colItems count="3">
    <i>
      <x/>
    </i>
    <i>
      <x v="1"/>
    </i>
    <i t="grand">
      <x/>
    </i>
  </colItems>
  <dataFields count="1">
    <dataField name="Count of customer_id" fld="0" subtotal="count" baseField="0" baseItem="0"/>
  </dataFields>
  <formats count="11">
    <format dxfId="198">
      <pivotArea type="all" dataOnly="0" outline="0" fieldPosition="0"/>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8" type="button" dataOnly="0" labelOnly="1" outline="0" axis="axisCol" fieldPosition="0"/>
    </format>
    <format dxfId="193">
      <pivotArea type="topRight" dataOnly="0" labelOnly="1" outline="0" fieldPosition="0"/>
    </format>
    <format dxfId="192">
      <pivotArea field="11" type="button" dataOnly="0" labelOnly="1" outline="0" axis="axisRow" fieldPosition="0"/>
    </format>
    <format dxfId="191">
      <pivotArea dataOnly="0" labelOnly="1" fieldPosition="0">
        <references count="1">
          <reference field="11" count="0"/>
        </references>
      </pivotArea>
    </format>
    <format dxfId="190">
      <pivotArea dataOnly="0" labelOnly="1" grandRow="1" outline="0" fieldPosition="0"/>
    </format>
    <format dxfId="189">
      <pivotArea dataOnly="0" labelOnly="1" fieldPosition="0">
        <references count="1">
          <reference field="8" count="0"/>
        </references>
      </pivotArea>
    </format>
    <format dxfId="18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6B6CC9-4303-4A47-AE95-FF9F7817EE11}" autoFormatId="16" applyNumberFormats="0" applyBorderFormats="0" applyFontFormats="0" applyPatternFormats="0" applyAlignmentFormats="0" applyWidthHeightFormats="0">
  <queryTableRefresh nextId="20" unboundColumnsRight="8">
    <queryTableFields count="19">
      <queryTableField id="1" name="customer_id" tableColumnId="1"/>
      <queryTableField id="2" name="full_name" tableColumnId="2"/>
      <queryTableField id="3" name="age" tableColumnId="3"/>
      <queryTableField id="4" name="gender" tableColumnId="4"/>
      <queryTableField id="5" name="marital_status" tableColumnId="5"/>
      <queryTableField id="6" name="occupation" tableColumnId="6"/>
      <queryTableField id="7" name="region" tableColumnId="7"/>
      <queryTableField id="8" name="smoking_status" tableColumnId="8"/>
      <queryTableField id="9" name="pre_existing_illness" tableColumnId="9"/>
      <queryTableField id="10" name="risk_score" tableColumnId="10"/>
      <queryTableField id="11" name="date_joined"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494A13-C7D6-43B1-9B08-C43C94CA6C72}" sourceName="region">
  <pivotTables>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5"/>
    <pivotTable tabId="3" name="PivotTable6"/>
    <pivotTable tabId="3" name="PivotTable7"/>
    <pivotTable tabId="3" name="PivotTable8"/>
  </pivotTables>
  <data>
    <tabular pivotCacheId="413435672">
      <items count="6">
        <i x="5" s="1"/>
        <i x="1" s="1"/>
        <i x="2"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3822D4-2E2F-4DF2-BED7-FEB27D5B4E60}" sourceName="gender">
  <pivotTables>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5"/>
    <pivotTable tabId="3" name="PivotTable6"/>
    <pivotTable tabId="3" name="PivotTable7"/>
    <pivotTable tabId="3" name="PivotTable8"/>
  </pivotTables>
  <data>
    <tabular pivotCacheId="41343567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9E1C2FE-75E2-4D05-BB26-2737EB535AE1}" sourceName="occupation">
  <pivotTables>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5"/>
    <pivotTable tabId="3" name="PivotTable6"/>
    <pivotTable tabId="3" name="PivotTable7"/>
    <pivotTable tabId="3" name="PivotTable8"/>
  </pivotTables>
  <data>
    <tabular pivotCacheId="413435672">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1B0089E-FADD-4862-BA7D-9B81A0395A45}" sourceName="Age Group">
  <pivotTables>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5"/>
    <pivotTable tabId="3" name="PivotTable6"/>
    <pivotTable tabId="3" name="PivotTable7"/>
    <pivotTable tabId="3" name="PivotTable8"/>
  </pivotTables>
  <data>
    <tabular pivotCacheId="413435672">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C3A039AC-EB3E-4FD1-A552-C232C1C3AF3C}" sourceName="smoking_status">
  <pivotTables>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5"/>
    <pivotTable tabId="3" name="PivotTable6"/>
    <pivotTable tabId="3" name="PivotTable7"/>
    <pivotTable tabId="3" name="PivotTable8"/>
  </pivotTables>
  <data>
    <tabular pivotCacheId="413435672">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876F1D6-7130-4834-8DF3-AA3E0EA4FC2A}" sourceName=" Year">
  <pivotTables>
    <pivotTable tabId="3" name="PivotTable4"/>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5"/>
    <pivotTable tabId="3" name="PivotTable6"/>
    <pivotTable tabId="3" name="PivotTable7"/>
    <pivotTable tabId="3" name="PivotTable8"/>
  </pivotTables>
  <data>
    <tabular pivotCacheId="413435672">
      <items count="6">
        <i x="1" s="1"/>
        <i x="4" s="1"/>
        <i x="0"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F3EC41-0DDD-46B4-8A42-FCFBF7E9D139}" cache="Slicer_region" caption="region" startItem="4" columnCount="2" style="SlicerStyleLight2" rowHeight="180000"/>
  <slicer name="gender" xr10:uid="{C85A39DA-45BF-4F0F-9A0F-CB1701AFB053}" cache="Slicer_gender" caption="gender" columnCount="2" style="SlicerStyleLight2" rowHeight="144000"/>
  <slicer name="occupation" xr10:uid="{96C6E690-7225-4AAC-BB82-42A7E9A8408D}" cache="Slicer_occupation" caption="occupation" columnCount="2" style="SlicerStyleLight2" rowHeight="144000"/>
  <slicer name="Age Group" xr10:uid="{C9EE43F3-96C8-495B-AAF6-16A776B4B763}" cache="Slicer_Age_Group" caption="Age Group" columnCount="2" style="SlicerStyleLight2" rowHeight="180000"/>
  <slicer name="smoking_status" xr10:uid="{8BC55C5D-8E66-4504-AC73-058000D12C6C}" cache="Slicer_smoking_status" caption="smoking_status" columnCount="2" style="SlicerStyleLight2" rowHeight="180000"/>
  <slicer name=" Year" xr10:uid="{920C4A21-5A70-42E4-8DC7-9C1D376AA56F}" cache="Slicer_Year" caption=" Year" columnCount="2" style="SlicerStyleLight2"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855C7C-DB7E-44BC-B45F-6E412129F878}" name="Sheet1" displayName="Sheet1" ref="A1:S1649" tableType="queryTable" totalsRowShown="0">
  <autoFilter ref="A1:S1649" xr:uid="{24855C7C-DB7E-44BC-B45F-6E412129F878}"/>
  <tableColumns count="19">
    <tableColumn id="1" xr3:uid="{30C8B63D-C180-440B-A5FC-E18E585092CE}" uniqueName="1" name="customer_id" queryTableFieldId="1" dataDxfId="215"/>
    <tableColumn id="2" xr3:uid="{F2C90B88-5742-4D78-893A-CA261228891B}" uniqueName="2" name="full_name" queryTableFieldId="2" dataDxfId="214"/>
    <tableColumn id="3" xr3:uid="{A5683FC4-2722-47D8-8C57-B439EE65D880}" uniqueName="3" name="age" queryTableFieldId="3"/>
    <tableColumn id="4" xr3:uid="{73E172E4-3C20-4BB5-8714-35C01940B0F2}" uniqueName="4" name="gender" queryTableFieldId="4" dataDxfId="213"/>
    <tableColumn id="5" xr3:uid="{7CF74E16-552A-48E3-BD19-0F5102A40A03}" uniqueName="5" name="marital_status" queryTableFieldId="5" dataDxfId="212"/>
    <tableColumn id="6" xr3:uid="{FB8CD190-7D2E-4DC3-B092-C3D74816FFC8}" uniqueName="6" name="occupation" queryTableFieldId="6" dataDxfId="211"/>
    <tableColumn id="7" xr3:uid="{61ADE292-6D22-4922-BA3A-C1EE1D6DDB6F}" uniqueName="7" name="region" queryTableFieldId="7" dataDxfId="210"/>
    <tableColumn id="8" xr3:uid="{6FE17635-401D-4D9E-BA92-661EF07B7247}" uniqueName="8" name="smoking_status" queryTableFieldId="8" dataDxfId="209"/>
    <tableColumn id="9" xr3:uid="{04775BA2-4224-4056-86BB-480B424DD0C4}" uniqueName="9" name="pre_existing_illness" queryTableFieldId="9" dataDxfId="208"/>
    <tableColumn id="10" xr3:uid="{9A13058E-63DD-4B81-B90F-1EE53EE12891}" uniqueName="10" name="risk_score" queryTableFieldId="10"/>
    <tableColumn id="11" xr3:uid="{68CEE827-0D2C-4160-808A-CE9A4A7B6209}" uniqueName="11" name="date_joined" queryTableFieldId="11" dataDxfId="207"/>
    <tableColumn id="12" xr3:uid="{F0BD5E0D-F4E5-4FB8-AD95-346ADD0F1CA9}" uniqueName="12" name="Age Group" queryTableFieldId="12" dataDxfId="206">
      <calculatedColumnFormula>IF(Sheet1[[#This Row],[age]]&lt;18, "Under 18",IF(Sheet1[[#This Row],[age]]&lt;=30,"18-30",IF(Sheet1[[#This Row],[age]]&lt;=45,"31-45",IF(Sheet1[[#This Row],[age]]&lt;=60,"46-60","60+"))))</calculatedColumnFormula>
    </tableColumn>
    <tableColumn id="13" xr3:uid="{2282AC72-C98F-4195-9A4D-701CDD4FB695}" uniqueName="13" name="Risk Level" queryTableFieldId="13" dataDxfId="205">
      <calculatedColumnFormula>IF(Sheet1[[#This Row],[risk_score]]&lt;0.3,"Low",IF(Sheet1[[#This Row],[risk_score]]&lt;0.7,"Medium","High"))</calculatedColumnFormula>
    </tableColumn>
    <tableColumn id="14" xr3:uid="{3903B42F-AEC0-40A4-AEF8-982B935A04B9}" uniqueName="14" name=" Year" queryTableFieldId="14" dataDxfId="204">
      <calculatedColumnFormula>YEAR(Sheet1[[#This Row],[date_joined]])</calculatedColumnFormula>
    </tableColumn>
    <tableColumn id="15" xr3:uid="{0A9464AE-F62E-4A1B-8C8A-D4230F678D6C}" uniqueName="15" name=" Month" queryTableFieldId="15" dataDxfId="203">
      <calculatedColumnFormula>TEXT(Sheet1[[#This Row],[date_joined]],"mmm")</calculatedColumnFormula>
    </tableColumn>
    <tableColumn id="16" xr3:uid="{6F91F87F-2FAE-44B2-9DAD-50BEAE5C5749}" uniqueName="16" name="Quarter" queryTableFieldId="16" dataDxfId="202">
      <calculatedColumnFormula>"Q"&amp;ROUNDUP(MONTH(Sheet1[[#This Row],[date_joined]])/3,0)</calculatedColumnFormula>
    </tableColumn>
    <tableColumn id="17" xr3:uid="{61FCCE7B-3C6B-4174-90ED-74ADF140BD35}" uniqueName="17" name="Customer Category" queryTableFieldId="17" dataDxfId="201">
      <calculatedColumnFormula>IF(Sheet1[[#This Row],[age]]&lt;30,"Young",IF(Sheet1[[#This Row],[age]]&lt;=50,"Adult","Senior"))</calculatedColumnFormula>
    </tableColumn>
    <tableColumn id="18" xr3:uid="{AB88C483-9915-4412-B83F-8F61E8EF5F74}" uniqueName="18" name="Health Risk Category" queryTableFieldId="18" dataDxfId="200">
      <calculatedColumnFormula>IF(AND(H2="Yes",I2="Yes"),"Very High",
IF(OR(H2="Yes",I2="Yes"),"High","Low"))</calculatedColumnFormula>
    </tableColumn>
    <tableColumn id="19" xr3:uid="{B0C1E4C3-F480-41BC-BC94-6B8C57A4E742}" uniqueName="19" name="Region + Occupation" queryTableFieldId="19" dataDxfId="199">
      <calculatedColumnFormula>G2&amp;" - "&amp;F2</calculatedColumnFormula>
    </tableColumn>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CD59-B44E-4D93-A366-301C8965BC71}">
  <dimension ref="A1:K1649"/>
  <sheetViews>
    <sheetView workbookViewId="0">
      <selection activeCell="D17" sqref="D17"/>
    </sheetView>
  </sheetViews>
  <sheetFormatPr defaultRowHeight="14.4" x14ac:dyDescent="0.3"/>
  <cols>
    <col min="1" max="1" width="11.44140625" bestFit="1" customWidth="1"/>
    <col min="2" max="2" width="21.44140625" bestFit="1" customWidth="1"/>
    <col min="3" max="3" width="7.33203125" customWidth="1"/>
    <col min="4" max="4" width="10" customWidth="1"/>
    <col min="5" max="5" width="15" customWidth="1"/>
    <col min="6" max="6" width="13.77734375" customWidth="1"/>
    <col min="7" max="7" width="9.88671875" bestFit="1" customWidth="1"/>
    <col min="8" max="8" width="14.21875" bestFit="1" customWidth="1"/>
    <col min="9" max="9" width="17.33203125" bestFit="1" customWidth="1"/>
    <col min="10" max="10" width="10.109375" customWidth="1"/>
    <col min="11" max="11" width="21.5546875"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x14ac:dyDescent="0.3">
      <c r="A2" t="s">
        <v>11</v>
      </c>
      <c r="B2" s="2" t="s">
        <v>12</v>
      </c>
      <c r="C2">
        <v>18</v>
      </c>
      <c r="D2" s="2" t="s">
        <v>13</v>
      </c>
      <c r="E2" s="2" t="s">
        <v>14</v>
      </c>
      <c r="F2" s="2" t="s">
        <v>15</v>
      </c>
      <c r="G2" s="2" t="s">
        <v>16</v>
      </c>
      <c r="H2" s="2" t="s">
        <v>17</v>
      </c>
      <c r="I2" s="2" t="s">
        <v>18</v>
      </c>
      <c r="J2">
        <v>0.61</v>
      </c>
      <c r="K2" s="4">
        <v>43863</v>
      </c>
    </row>
    <row r="3" spans="1:11" x14ac:dyDescent="0.3">
      <c r="A3" t="s">
        <v>19</v>
      </c>
      <c r="B3" s="2" t="s">
        <v>20</v>
      </c>
      <c r="C3">
        <v>39</v>
      </c>
      <c r="D3" s="2" t="s">
        <v>21</v>
      </c>
      <c r="E3" s="2" t="s">
        <v>22</v>
      </c>
      <c r="F3" s="2" t="s">
        <v>23</v>
      </c>
      <c r="G3" s="2" t="s">
        <v>24</v>
      </c>
      <c r="H3" s="2" t="s">
        <v>18</v>
      </c>
      <c r="I3" s="2" t="s">
        <v>18</v>
      </c>
      <c r="J3">
        <v>0.56000000000000005</v>
      </c>
      <c r="K3" s="4">
        <v>43938</v>
      </c>
    </row>
    <row r="4" spans="1:11" x14ac:dyDescent="0.3">
      <c r="A4" t="s">
        <v>25</v>
      </c>
      <c r="B4" s="2" t="s">
        <v>26</v>
      </c>
      <c r="C4">
        <v>34</v>
      </c>
      <c r="D4" s="2" t="s">
        <v>13</v>
      </c>
      <c r="E4" s="2" t="s">
        <v>14</v>
      </c>
      <c r="F4" s="2" t="s">
        <v>15</v>
      </c>
      <c r="G4" s="2" t="s">
        <v>27</v>
      </c>
      <c r="H4" s="2" t="s">
        <v>18</v>
      </c>
      <c r="I4" s="2" t="s">
        <v>17</v>
      </c>
      <c r="J4">
        <v>0.48</v>
      </c>
      <c r="K4" s="4">
        <v>43278</v>
      </c>
    </row>
    <row r="5" spans="1:11" x14ac:dyDescent="0.3">
      <c r="A5" t="s">
        <v>28</v>
      </c>
      <c r="B5" s="2" t="s">
        <v>29</v>
      </c>
      <c r="C5">
        <v>50</v>
      </c>
      <c r="D5" s="2" t="s">
        <v>13</v>
      </c>
      <c r="E5" s="2" t="s">
        <v>30</v>
      </c>
      <c r="F5" s="2" t="s">
        <v>31</v>
      </c>
      <c r="G5" s="2" t="s">
        <v>32</v>
      </c>
      <c r="H5" s="2" t="s">
        <v>18</v>
      </c>
      <c r="I5" s="2" t="s">
        <v>17</v>
      </c>
      <c r="J5">
        <v>0.47</v>
      </c>
      <c r="K5" s="4">
        <v>44532</v>
      </c>
    </row>
    <row r="6" spans="1:11" x14ac:dyDescent="0.3">
      <c r="A6" t="s">
        <v>33</v>
      </c>
      <c r="B6" s="2" t="s">
        <v>34</v>
      </c>
      <c r="C6">
        <v>20</v>
      </c>
      <c r="D6" s="2" t="s">
        <v>21</v>
      </c>
      <c r="E6" s="2" t="s">
        <v>14</v>
      </c>
      <c r="F6" s="2" t="s">
        <v>15</v>
      </c>
      <c r="G6" s="2" t="s">
        <v>27</v>
      </c>
      <c r="H6" s="2" t="s">
        <v>18</v>
      </c>
      <c r="I6" s="2" t="s">
        <v>17</v>
      </c>
      <c r="J6">
        <v>0.55000000000000004</v>
      </c>
      <c r="K6" s="4">
        <v>44859</v>
      </c>
    </row>
    <row r="7" spans="1:11" x14ac:dyDescent="0.3">
      <c r="A7" t="s">
        <v>35</v>
      </c>
      <c r="B7" s="2" t="s">
        <v>36</v>
      </c>
      <c r="C7">
        <v>20</v>
      </c>
      <c r="D7" s="2" t="s">
        <v>13</v>
      </c>
      <c r="E7" s="2" t="s">
        <v>14</v>
      </c>
      <c r="F7" s="2" t="s">
        <v>37</v>
      </c>
      <c r="G7" s="2" t="s">
        <v>32</v>
      </c>
      <c r="H7" s="2" t="s">
        <v>17</v>
      </c>
      <c r="I7" s="2" t="s">
        <v>18</v>
      </c>
      <c r="J7">
        <v>0.28000000000000003</v>
      </c>
      <c r="K7" s="4">
        <v>43284</v>
      </c>
    </row>
    <row r="8" spans="1:11" x14ac:dyDescent="0.3">
      <c r="A8" t="s">
        <v>38</v>
      </c>
      <c r="B8" s="2" t="s">
        <v>39</v>
      </c>
      <c r="C8">
        <v>30</v>
      </c>
      <c r="D8" s="2" t="s">
        <v>21</v>
      </c>
      <c r="E8" s="2" t="s">
        <v>14</v>
      </c>
      <c r="F8" s="2" t="s">
        <v>15</v>
      </c>
      <c r="G8" s="2" t="s">
        <v>16</v>
      </c>
      <c r="H8" s="2" t="s">
        <v>17</v>
      </c>
      <c r="I8" s="2" t="s">
        <v>18</v>
      </c>
      <c r="J8">
        <v>0.11</v>
      </c>
      <c r="K8" s="4">
        <v>44005</v>
      </c>
    </row>
    <row r="9" spans="1:11" x14ac:dyDescent="0.3">
      <c r="A9" t="s">
        <v>40</v>
      </c>
      <c r="B9" s="2" t="s">
        <v>41</v>
      </c>
      <c r="C9">
        <v>27</v>
      </c>
      <c r="D9" s="2" t="s">
        <v>13</v>
      </c>
      <c r="E9" s="2" t="s">
        <v>30</v>
      </c>
      <c r="F9" s="2" t="s">
        <v>23</v>
      </c>
      <c r="G9" s="2" t="s">
        <v>27</v>
      </c>
      <c r="H9" s="2" t="s">
        <v>18</v>
      </c>
      <c r="I9" s="2" t="s">
        <v>18</v>
      </c>
      <c r="J9">
        <v>0.16</v>
      </c>
      <c r="K9" s="4">
        <v>43546</v>
      </c>
    </row>
    <row r="10" spans="1:11" x14ac:dyDescent="0.3">
      <c r="A10" t="s">
        <v>42</v>
      </c>
      <c r="B10" s="2" t="s">
        <v>43</v>
      </c>
      <c r="C10">
        <v>42</v>
      </c>
      <c r="D10" s="2" t="s">
        <v>21</v>
      </c>
      <c r="E10" s="2" t="s">
        <v>22</v>
      </c>
      <c r="F10" s="2" t="s">
        <v>15</v>
      </c>
      <c r="G10" s="2" t="s">
        <v>24</v>
      </c>
      <c r="H10" s="2" t="s">
        <v>17</v>
      </c>
      <c r="I10" s="2" t="s">
        <v>18</v>
      </c>
      <c r="J10">
        <v>0.73</v>
      </c>
      <c r="K10" s="4">
        <v>44984</v>
      </c>
    </row>
    <row r="11" spans="1:11" x14ac:dyDescent="0.3">
      <c r="A11" t="s">
        <v>44</v>
      </c>
      <c r="B11" s="2" t="s">
        <v>45</v>
      </c>
      <c r="C11">
        <v>28</v>
      </c>
      <c r="D11" s="2" t="s">
        <v>13</v>
      </c>
      <c r="E11" s="2" t="s">
        <v>14</v>
      </c>
      <c r="F11" s="2" t="s">
        <v>31</v>
      </c>
      <c r="G11" s="2" t="s">
        <v>16</v>
      </c>
      <c r="H11" s="2" t="s">
        <v>17</v>
      </c>
      <c r="I11" s="2" t="s">
        <v>18</v>
      </c>
      <c r="J11">
        <v>0.26</v>
      </c>
      <c r="K11" s="4">
        <v>43457</v>
      </c>
    </row>
    <row r="12" spans="1:11" x14ac:dyDescent="0.3">
      <c r="A12" t="s">
        <v>46</v>
      </c>
      <c r="B12" s="2" t="s">
        <v>47</v>
      </c>
      <c r="C12">
        <v>66</v>
      </c>
      <c r="D12" s="2" t="s">
        <v>3322</v>
      </c>
      <c r="E12" s="2" t="s">
        <v>30</v>
      </c>
      <c r="F12" s="2" t="s">
        <v>15</v>
      </c>
      <c r="G12" s="2" t="s">
        <v>16</v>
      </c>
      <c r="H12" s="2" t="s">
        <v>17</v>
      </c>
      <c r="I12" s="2" t="s">
        <v>17</v>
      </c>
      <c r="J12">
        <v>0.44</v>
      </c>
      <c r="K12" s="4">
        <v>43278</v>
      </c>
    </row>
    <row r="13" spans="1:11" x14ac:dyDescent="0.3">
      <c r="A13" t="s">
        <v>48</v>
      </c>
      <c r="B13" s="2" t="s">
        <v>49</v>
      </c>
      <c r="C13">
        <v>54</v>
      </c>
      <c r="D13" s="2" t="s">
        <v>3322</v>
      </c>
      <c r="E13" s="2" t="s">
        <v>14</v>
      </c>
      <c r="F13" s="2" t="s">
        <v>31</v>
      </c>
      <c r="G13" s="2" t="s">
        <v>16</v>
      </c>
      <c r="H13" s="2" t="s">
        <v>18</v>
      </c>
      <c r="I13" s="2" t="s">
        <v>17</v>
      </c>
      <c r="J13">
        <v>0.71</v>
      </c>
      <c r="K13" s="4">
        <v>44558</v>
      </c>
    </row>
    <row r="14" spans="1:11" x14ac:dyDescent="0.3">
      <c r="A14" t="s">
        <v>50</v>
      </c>
      <c r="B14" s="2" t="s">
        <v>51</v>
      </c>
      <c r="C14">
        <v>35</v>
      </c>
      <c r="D14" s="2" t="s">
        <v>21</v>
      </c>
      <c r="E14" s="2" t="s">
        <v>22</v>
      </c>
      <c r="F14" s="2" t="s">
        <v>23</v>
      </c>
      <c r="G14" s="2" t="s">
        <v>16</v>
      </c>
      <c r="H14" s="2" t="s">
        <v>18</v>
      </c>
      <c r="I14" s="2" t="s">
        <v>17</v>
      </c>
      <c r="J14">
        <v>0.14000000000000001</v>
      </c>
      <c r="K14" s="4">
        <v>44959</v>
      </c>
    </row>
    <row r="15" spans="1:11" x14ac:dyDescent="0.3">
      <c r="A15" t="s">
        <v>52</v>
      </c>
      <c r="B15" s="2" t="s">
        <v>53</v>
      </c>
      <c r="C15">
        <v>19</v>
      </c>
      <c r="D15" s="2" t="s">
        <v>21</v>
      </c>
      <c r="E15" s="2" t="s">
        <v>30</v>
      </c>
      <c r="F15" s="2" t="s">
        <v>37</v>
      </c>
      <c r="G15" s="2" t="s">
        <v>32</v>
      </c>
      <c r="H15" s="2" t="s">
        <v>17</v>
      </c>
      <c r="I15" s="2" t="s">
        <v>17</v>
      </c>
      <c r="J15">
        <v>0.66</v>
      </c>
      <c r="K15" s="4">
        <v>43669</v>
      </c>
    </row>
    <row r="16" spans="1:11" x14ac:dyDescent="0.3">
      <c r="A16" t="s">
        <v>54</v>
      </c>
      <c r="B16" s="2" t="s">
        <v>55</v>
      </c>
      <c r="C16">
        <v>36</v>
      </c>
      <c r="D16" s="2" t="s">
        <v>13</v>
      </c>
      <c r="E16" s="2" t="s">
        <v>22</v>
      </c>
      <c r="F16" s="2" t="s">
        <v>31</v>
      </c>
      <c r="G16" s="2" t="s">
        <v>16</v>
      </c>
      <c r="H16" s="2" t="s">
        <v>17</v>
      </c>
      <c r="I16" s="2" t="s">
        <v>18</v>
      </c>
      <c r="J16">
        <v>0.83</v>
      </c>
      <c r="K16" s="4">
        <v>43690</v>
      </c>
    </row>
    <row r="17" spans="1:11" x14ac:dyDescent="0.3">
      <c r="A17" t="s">
        <v>56</v>
      </c>
      <c r="B17" s="2" t="s">
        <v>57</v>
      </c>
      <c r="C17">
        <v>37</v>
      </c>
      <c r="D17" s="2" t="s">
        <v>21</v>
      </c>
      <c r="E17" s="2" t="s">
        <v>22</v>
      </c>
      <c r="F17" s="2" t="s">
        <v>15</v>
      </c>
      <c r="G17" s="2" t="s">
        <v>27</v>
      </c>
      <c r="H17" s="2" t="s">
        <v>17</v>
      </c>
      <c r="I17" s="2" t="s">
        <v>18</v>
      </c>
      <c r="J17">
        <v>0.79</v>
      </c>
      <c r="K17" s="4">
        <v>44408</v>
      </c>
    </row>
    <row r="18" spans="1:11" x14ac:dyDescent="0.3">
      <c r="A18" t="s">
        <v>58</v>
      </c>
      <c r="B18" s="2" t="s">
        <v>59</v>
      </c>
      <c r="C18">
        <v>25</v>
      </c>
      <c r="D18" s="2" t="s">
        <v>21</v>
      </c>
      <c r="E18" s="2" t="s">
        <v>22</v>
      </c>
      <c r="F18" s="2" t="s">
        <v>31</v>
      </c>
      <c r="G18" s="2" t="s">
        <v>3323</v>
      </c>
      <c r="H18" s="2" t="s">
        <v>18</v>
      </c>
      <c r="I18" s="2" t="s">
        <v>17</v>
      </c>
      <c r="J18">
        <v>0.35</v>
      </c>
      <c r="K18" s="4">
        <v>43869</v>
      </c>
    </row>
    <row r="19" spans="1:11" x14ac:dyDescent="0.3">
      <c r="A19" t="s">
        <v>60</v>
      </c>
      <c r="B19" s="2" t="s">
        <v>61</v>
      </c>
      <c r="C19">
        <v>23</v>
      </c>
      <c r="D19" s="2" t="s">
        <v>13</v>
      </c>
      <c r="E19" s="2" t="s">
        <v>22</v>
      </c>
      <c r="F19" s="2" t="s">
        <v>31</v>
      </c>
      <c r="G19" s="2" t="s">
        <v>27</v>
      </c>
      <c r="H19" s="2" t="s">
        <v>17</v>
      </c>
      <c r="I19" s="2" t="s">
        <v>17</v>
      </c>
      <c r="J19">
        <v>0.74</v>
      </c>
      <c r="K19" s="4">
        <v>45270</v>
      </c>
    </row>
    <row r="20" spans="1:11" x14ac:dyDescent="0.3">
      <c r="A20" t="s">
        <v>62</v>
      </c>
      <c r="B20" s="2" t="s">
        <v>63</v>
      </c>
      <c r="C20">
        <v>51</v>
      </c>
      <c r="D20" s="2" t="s">
        <v>21</v>
      </c>
      <c r="E20" s="2" t="s">
        <v>22</v>
      </c>
      <c r="F20" s="2" t="s">
        <v>37</v>
      </c>
      <c r="G20" s="2" t="s">
        <v>27</v>
      </c>
      <c r="H20" s="2" t="s">
        <v>17</v>
      </c>
      <c r="I20" s="2" t="s">
        <v>17</v>
      </c>
      <c r="J20">
        <v>0.69</v>
      </c>
      <c r="K20" s="4">
        <v>45038</v>
      </c>
    </row>
    <row r="21" spans="1:11" x14ac:dyDescent="0.3">
      <c r="A21" t="s">
        <v>64</v>
      </c>
      <c r="B21" s="2" t="s">
        <v>65</v>
      </c>
      <c r="C21">
        <v>51</v>
      </c>
      <c r="D21" s="2" t="s">
        <v>21</v>
      </c>
      <c r="E21" s="2" t="s">
        <v>22</v>
      </c>
      <c r="F21" s="2" t="s">
        <v>37</v>
      </c>
      <c r="G21" s="2" t="s">
        <v>66</v>
      </c>
      <c r="H21" s="2" t="s">
        <v>17</v>
      </c>
      <c r="I21" s="2" t="s">
        <v>18</v>
      </c>
      <c r="J21">
        <v>0.56999999999999995</v>
      </c>
      <c r="K21" s="4">
        <v>43201</v>
      </c>
    </row>
    <row r="22" spans="1:11" x14ac:dyDescent="0.3">
      <c r="A22" t="s">
        <v>67</v>
      </c>
      <c r="B22" s="2" t="s">
        <v>68</v>
      </c>
      <c r="C22">
        <v>37</v>
      </c>
      <c r="D22" s="2" t="s">
        <v>3324</v>
      </c>
      <c r="E22" s="2" t="s">
        <v>22</v>
      </c>
      <c r="F22" s="2" t="s">
        <v>23</v>
      </c>
      <c r="G22" s="2" t="s">
        <v>24</v>
      </c>
      <c r="H22" s="2" t="s">
        <v>18</v>
      </c>
      <c r="I22" s="2" t="s">
        <v>18</v>
      </c>
      <c r="J22">
        <v>0.27</v>
      </c>
      <c r="K22" s="4">
        <v>44423</v>
      </c>
    </row>
    <row r="23" spans="1:11" x14ac:dyDescent="0.3">
      <c r="A23" t="s">
        <v>69</v>
      </c>
      <c r="B23" s="2" t="s">
        <v>70</v>
      </c>
      <c r="C23">
        <v>55</v>
      </c>
      <c r="D23" s="2" t="s">
        <v>21</v>
      </c>
      <c r="E23" s="2" t="s">
        <v>22</v>
      </c>
      <c r="F23" s="2" t="s">
        <v>23</v>
      </c>
      <c r="G23" s="2" t="s">
        <v>24</v>
      </c>
      <c r="H23" s="2" t="s">
        <v>18</v>
      </c>
      <c r="I23" s="2" t="s">
        <v>18</v>
      </c>
      <c r="J23">
        <v>0.37</v>
      </c>
      <c r="K23" s="4">
        <v>44007</v>
      </c>
    </row>
    <row r="24" spans="1:11" x14ac:dyDescent="0.3">
      <c r="A24" t="s">
        <v>71</v>
      </c>
      <c r="B24" s="2" t="s">
        <v>72</v>
      </c>
      <c r="C24">
        <v>32</v>
      </c>
      <c r="D24" s="2" t="s">
        <v>13</v>
      </c>
      <c r="E24" s="2" t="s">
        <v>14</v>
      </c>
      <c r="F24" s="2" t="s">
        <v>23</v>
      </c>
      <c r="G24" s="2" t="s">
        <v>24</v>
      </c>
      <c r="H24" s="2" t="s">
        <v>17</v>
      </c>
      <c r="I24" s="2" t="s">
        <v>17</v>
      </c>
      <c r="J24">
        <v>0.74</v>
      </c>
      <c r="K24" s="4">
        <v>44340</v>
      </c>
    </row>
    <row r="25" spans="1:11" x14ac:dyDescent="0.3">
      <c r="A25" t="s">
        <v>73</v>
      </c>
      <c r="B25" s="2" t="s">
        <v>74</v>
      </c>
      <c r="C25">
        <v>34</v>
      </c>
      <c r="D25" s="2" t="s">
        <v>13</v>
      </c>
      <c r="E25" s="2" t="s">
        <v>30</v>
      </c>
      <c r="F25" s="2" t="s">
        <v>23</v>
      </c>
      <c r="G25" s="2" t="s">
        <v>27</v>
      </c>
      <c r="H25" s="2" t="s">
        <v>17</v>
      </c>
      <c r="I25" s="2" t="s">
        <v>18</v>
      </c>
      <c r="J25">
        <v>0.03</v>
      </c>
      <c r="K25" s="4">
        <v>44762</v>
      </c>
    </row>
    <row r="26" spans="1:11" x14ac:dyDescent="0.3">
      <c r="A26" t="s">
        <v>75</v>
      </c>
      <c r="B26" s="2" t="s">
        <v>76</v>
      </c>
      <c r="C26">
        <v>55</v>
      </c>
      <c r="D26" s="2" t="s">
        <v>21</v>
      </c>
      <c r="E26" s="2" t="s">
        <v>14</v>
      </c>
      <c r="F26" s="2" t="s">
        <v>15</v>
      </c>
      <c r="G26" s="2" t="s">
        <v>16</v>
      </c>
      <c r="H26" s="2" t="s">
        <v>18</v>
      </c>
      <c r="I26" s="2" t="s">
        <v>18</v>
      </c>
      <c r="J26">
        <v>0.36</v>
      </c>
      <c r="K26" s="4">
        <v>43493</v>
      </c>
    </row>
    <row r="27" spans="1:11" x14ac:dyDescent="0.3">
      <c r="A27" t="s">
        <v>77</v>
      </c>
      <c r="B27" s="2" t="s">
        <v>78</v>
      </c>
      <c r="C27">
        <v>69</v>
      </c>
      <c r="D27" s="2" t="s">
        <v>21</v>
      </c>
      <c r="E27" s="2" t="s">
        <v>14</v>
      </c>
      <c r="F27" s="2" t="s">
        <v>37</v>
      </c>
      <c r="G27" s="2" t="s">
        <v>16</v>
      </c>
      <c r="H27" s="2" t="s">
        <v>18</v>
      </c>
      <c r="I27" s="2" t="s">
        <v>18</v>
      </c>
      <c r="J27">
        <v>0.31</v>
      </c>
      <c r="K27" s="4">
        <v>43854</v>
      </c>
    </row>
    <row r="28" spans="1:11" x14ac:dyDescent="0.3">
      <c r="A28" t="s">
        <v>79</v>
      </c>
      <c r="B28" s="2" t="s">
        <v>80</v>
      </c>
      <c r="C28">
        <v>46</v>
      </c>
      <c r="D28" s="2" t="s">
        <v>21</v>
      </c>
      <c r="E28" s="2" t="s">
        <v>22</v>
      </c>
      <c r="F28" s="2" t="s">
        <v>31</v>
      </c>
      <c r="G28" s="2" t="s">
        <v>81</v>
      </c>
      <c r="H28" s="2" t="s">
        <v>18</v>
      </c>
      <c r="I28" s="2" t="s">
        <v>18</v>
      </c>
      <c r="J28">
        <v>0.42</v>
      </c>
      <c r="K28" s="4">
        <v>45028</v>
      </c>
    </row>
    <row r="29" spans="1:11" x14ac:dyDescent="0.3">
      <c r="A29" t="s">
        <v>82</v>
      </c>
      <c r="B29" s="2" t="s">
        <v>83</v>
      </c>
      <c r="C29">
        <v>55</v>
      </c>
      <c r="D29" s="2" t="s">
        <v>21</v>
      </c>
      <c r="E29" s="2" t="s">
        <v>30</v>
      </c>
      <c r="F29" s="2" t="s">
        <v>23</v>
      </c>
      <c r="G29" s="2" t="s">
        <v>24</v>
      </c>
      <c r="H29" s="2" t="s">
        <v>18</v>
      </c>
      <c r="I29" s="2" t="s">
        <v>17</v>
      </c>
      <c r="J29">
        <v>0.39</v>
      </c>
      <c r="K29" s="4">
        <v>44070</v>
      </c>
    </row>
    <row r="30" spans="1:11" x14ac:dyDescent="0.3">
      <c r="A30" t="s">
        <v>84</v>
      </c>
      <c r="B30" s="2" t="s">
        <v>85</v>
      </c>
      <c r="C30">
        <v>66</v>
      </c>
      <c r="D30" s="2" t="s">
        <v>13</v>
      </c>
      <c r="E30" s="2" t="s">
        <v>14</v>
      </c>
      <c r="F30" s="2" t="s">
        <v>23</v>
      </c>
      <c r="G30" s="2" t="s">
        <v>27</v>
      </c>
      <c r="H30" s="2" t="s">
        <v>17</v>
      </c>
      <c r="I30" s="2" t="s">
        <v>17</v>
      </c>
      <c r="J30">
        <v>0.31</v>
      </c>
      <c r="K30" s="4">
        <v>43444</v>
      </c>
    </row>
    <row r="31" spans="1:11" x14ac:dyDescent="0.3">
      <c r="A31" t="s">
        <v>86</v>
      </c>
      <c r="B31" s="2" t="s">
        <v>87</v>
      </c>
      <c r="C31">
        <v>52</v>
      </c>
      <c r="D31" s="2" t="s">
        <v>21</v>
      </c>
      <c r="E31" s="2" t="s">
        <v>22</v>
      </c>
      <c r="F31" s="2" t="s">
        <v>31</v>
      </c>
      <c r="G31" s="2" t="s">
        <v>3323</v>
      </c>
      <c r="H31" s="2" t="s">
        <v>18</v>
      </c>
      <c r="I31" s="2" t="s">
        <v>17</v>
      </c>
      <c r="J31">
        <v>0.28000000000000003</v>
      </c>
      <c r="K31" s="4">
        <v>43968</v>
      </c>
    </row>
    <row r="32" spans="1:11" x14ac:dyDescent="0.3">
      <c r="A32" t="s">
        <v>88</v>
      </c>
      <c r="B32" s="2" t="s">
        <v>89</v>
      </c>
      <c r="C32">
        <v>54</v>
      </c>
      <c r="D32" s="2" t="s">
        <v>21</v>
      </c>
      <c r="E32" s="2" t="s">
        <v>30</v>
      </c>
      <c r="F32" s="2" t="s">
        <v>15</v>
      </c>
      <c r="G32" s="2" t="s">
        <v>27</v>
      </c>
      <c r="H32" s="2" t="s">
        <v>17</v>
      </c>
      <c r="I32" s="2" t="s">
        <v>17</v>
      </c>
      <c r="J32">
        <v>0.7</v>
      </c>
      <c r="K32" s="4">
        <v>43277</v>
      </c>
    </row>
    <row r="33" spans="1:11" x14ac:dyDescent="0.3">
      <c r="A33" t="s">
        <v>90</v>
      </c>
      <c r="B33" s="2" t="s">
        <v>91</v>
      </c>
      <c r="C33">
        <v>36</v>
      </c>
      <c r="D33" s="2" t="s">
        <v>21</v>
      </c>
      <c r="E33" s="2" t="s">
        <v>30</v>
      </c>
      <c r="F33" s="2" t="s">
        <v>37</v>
      </c>
      <c r="G33" s="2" t="s">
        <v>24</v>
      </c>
      <c r="H33" s="2" t="s">
        <v>18</v>
      </c>
      <c r="I33" s="2" t="s">
        <v>17</v>
      </c>
      <c r="J33">
        <v>0.47</v>
      </c>
      <c r="K33" s="4">
        <v>43930</v>
      </c>
    </row>
    <row r="34" spans="1:11" x14ac:dyDescent="0.3">
      <c r="A34" t="s">
        <v>92</v>
      </c>
      <c r="B34" s="2" t="s">
        <v>93</v>
      </c>
      <c r="C34">
        <v>43</v>
      </c>
      <c r="D34" s="2" t="s">
        <v>21</v>
      </c>
      <c r="E34" s="2" t="s">
        <v>30</v>
      </c>
      <c r="F34" s="2" t="s">
        <v>23</v>
      </c>
      <c r="G34" s="2" t="s">
        <v>66</v>
      </c>
      <c r="H34" s="2" t="s">
        <v>17</v>
      </c>
      <c r="I34" s="2" t="s">
        <v>17</v>
      </c>
      <c r="J34">
        <v>0.28000000000000003</v>
      </c>
      <c r="K34" s="4">
        <v>44611</v>
      </c>
    </row>
    <row r="35" spans="1:11" x14ac:dyDescent="0.3">
      <c r="A35" t="s">
        <v>94</v>
      </c>
      <c r="B35" s="2" t="s">
        <v>95</v>
      </c>
      <c r="C35">
        <v>37</v>
      </c>
      <c r="D35" s="2" t="s">
        <v>3322</v>
      </c>
      <c r="E35" s="2" t="s">
        <v>22</v>
      </c>
      <c r="F35" s="2" t="s">
        <v>37</v>
      </c>
      <c r="G35" s="2" t="s">
        <v>16</v>
      </c>
      <c r="H35" s="2" t="s">
        <v>18</v>
      </c>
      <c r="I35" s="2" t="s">
        <v>18</v>
      </c>
      <c r="J35">
        <v>0.38</v>
      </c>
      <c r="K35" s="4">
        <v>45021</v>
      </c>
    </row>
    <row r="36" spans="1:11" x14ac:dyDescent="0.3">
      <c r="A36" t="s">
        <v>96</v>
      </c>
      <c r="B36" s="2" t="s">
        <v>97</v>
      </c>
      <c r="C36">
        <v>26</v>
      </c>
      <c r="D36" s="2" t="s">
        <v>21</v>
      </c>
      <c r="E36" s="2" t="s">
        <v>30</v>
      </c>
      <c r="F36" s="2" t="s">
        <v>31</v>
      </c>
      <c r="G36" s="2" t="s">
        <v>66</v>
      </c>
      <c r="H36" s="2" t="s">
        <v>18</v>
      </c>
      <c r="I36" s="2" t="s">
        <v>17</v>
      </c>
      <c r="J36">
        <v>0.45</v>
      </c>
      <c r="K36" s="4">
        <v>43554</v>
      </c>
    </row>
    <row r="37" spans="1:11" x14ac:dyDescent="0.3">
      <c r="A37" t="s">
        <v>98</v>
      </c>
      <c r="B37" s="2" t="s">
        <v>99</v>
      </c>
      <c r="C37">
        <v>27</v>
      </c>
      <c r="D37" s="2" t="s">
        <v>13</v>
      </c>
      <c r="E37" s="2" t="s">
        <v>30</v>
      </c>
      <c r="F37" s="2" t="s">
        <v>23</v>
      </c>
      <c r="G37" s="2" t="s">
        <v>32</v>
      </c>
      <c r="H37" s="2" t="s">
        <v>17</v>
      </c>
      <c r="I37" s="2" t="s">
        <v>18</v>
      </c>
      <c r="J37">
        <v>0.47</v>
      </c>
      <c r="K37" s="4">
        <v>43597</v>
      </c>
    </row>
    <row r="38" spans="1:11" x14ac:dyDescent="0.3">
      <c r="A38" t="s">
        <v>100</v>
      </c>
      <c r="B38" s="2" t="s">
        <v>101</v>
      </c>
      <c r="C38">
        <v>64</v>
      </c>
      <c r="D38" s="2" t="s">
        <v>21</v>
      </c>
      <c r="E38" s="2" t="s">
        <v>22</v>
      </c>
      <c r="F38" s="2" t="s">
        <v>23</v>
      </c>
      <c r="G38" s="2" t="s">
        <v>66</v>
      </c>
      <c r="H38" s="2" t="s">
        <v>18</v>
      </c>
      <c r="I38" s="2" t="s">
        <v>18</v>
      </c>
      <c r="J38">
        <v>0.28000000000000003</v>
      </c>
      <c r="K38" s="4">
        <v>44003</v>
      </c>
    </row>
    <row r="39" spans="1:11" x14ac:dyDescent="0.3">
      <c r="A39" t="s">
        <v>102</v>
      </c>
      <c r="B39" s="2" t="s">
        <v>103</v>
      </c>
      <c r="C39">
        <v>58</v>
      </c>
      <c r="D39" s="2" t="s">
        <v>21</v>
      </c>
      <c r="E39" s="2" t="s">
        <v>14</v>
      </c>
      <c r="F39" s="2" t="s">
        <v>23</v>
      </c>
      <c r="G39" s="2" t="s">
        <v>81</v>
      </c>
      <c r="H39" s="2" t="s">
        <v>17</v>
      </c>
      <c r="I39" s="2" t="s">
        <v>18</v>
      </c>
      <c r="J39">
        <v>0.3</v>
      </c>
      <c r="K39" s="4">
        <v>43376</v>
      </c>
    </row>
    <row r="40" spans="1:11" x14ac:dyDescent="0.3">
      <c r="A40" t="s">
        <v>104</v>
      </c>
      <c r="B40" s="2" t="s">
        <v>105</v>
      </c>
      <c r="C40">
        <v>32</v>
      </c>
      <c r="D40" s="2" t="s">
        <v>21</v>
      </c>
      <c r="E40" s="2" t="s">
        <v>14</v>
      </c>
      <c r="F40" s="2" t="s">
        <v>23</v>
      </c>
      <c r="G40" s="2" t="s">
        <v>24</v>
      </c>
      <c r="H40" s="2" t="s">
        <v>17</v>
      </c>
      <c r="I40" s="2" t="s">
        <v>18</v>
      </c>
      <c r="J40">
        <v>0.86</v>
      </c>
      <c r="K40" s="4">
        <v>44680</v>
      </c>
    </row>
    <row r="41" spans="1:11" x14ac:dyDescent="0.3">
      <c r="A41" t="s">
        <v>106</v>
      </c>
      <c r="B41" s="2" t="s">
        <v>107</v>
      </c>
      <c r="C41">
        <v>54</v>
      </c>
      <c r="D41" s="2" t="s">
        <v>13</v>
      </c>
      <c r="E41" s="2" t="s">
        <v>14</v>
      </c>
      <c r="F41" s="2" t="s">
        <v>23</v>
      </c>
      <c r="G41" s="2" t="s">
        <v>81</v>
      </c>
      <c r="H41" s="2" t="s">
        <v>17</v>
      </c>
      <c r="I41" s="2" t="s">
        <v>17</v>
      </c>
      <c r="J41">
        <v>0.83</v>
      </c>
      <c r="K41" s="4">
        <v>44744</v>
      </c>
    </row>
    <row r="42" spans="1:11" x14ac:dyDescent="0.3">
      <c r="A42" t="s">
        <v>108</v>
      </c>
      <c r="B42" s="2" t="s">
        <v>109</v>
      </c>
      <c r="C42">
        <v>38</v>
      </c>
      <c r="D42" s="2" t="s">
        <v>21</v>
      </c>
      <c r="E42" s="2" t="s">
        <v>30</v>
      </c>
      <c r="F42" s="2" t="s">
        <v>23</v>
      </c>
      <c r="G42" s="2" t="s">
        <v>16</v>
      </c>
      <c r="H42" s="2" t="s">
        <v>17</v>
      </c>
      <c r="I42" s="2" t="s">
        <v>18</v>
      </c>
      <c r="J42">
        <v>0.2</v>
      </c>
      <c r="K42" s="4">
        <v>44403</v>
      </c>
    </row>
    <row r="43" spans="1:11" x14ac:dyDescent="0.3">
      <c r="A43" t="s">
        <v>110</v>
      </c>
      <c r="B43" s="2" t="s">
        <v>111</v>
      </c>
      <c r="C43">
        <v>57</v>
      </c>
      <c r="D43" s="2" t="s">
        <v>21</v>
      </c>
      <c r="E43" s="2" t="s">
        <v>22</v>
      </c>
      <c r="F43" s="2" t="s">
        <v>37</v>
      </c>
      <c r="G43" s="2" t="s">
        <v>66</v>
      </c>
      <c r="H43" s="2" t="s">
        <v>17</v>
      </c>
      <c r="I43" s="2" t="s">
        <v>18</v>
      </c>
      <c r="J43">
        <v>0.56000000000000005</v>
      </c>
      <c r="K43" s="4">
        <v>44064</v>
      </c>
    </row>
    <row r="44" spans="1:11" x14ac:dyDescent="0.3">
      <c r="A44" t="s">
        <v>112</v>
      </c>
      <c r="B44" s="2" t="s">
        <v>113</v>
      </c>
      <c r="C44">
        <v>25</v>
      </c>
      <c r="D44" s="2" t="s">
        <v>13</v>
      </c>
      <c r="E44" s="2" t="s">
        <v>14</v>
      </c>
      <c r="F44" s="2" t="s">
        <v>31</v>
      </c>
      <c r="G44" s="2" t="s">
        <v>27</v>
      </c>
      <c r="H44" s="2" t="s">
        <v>17</v>
      </c>
      <c r="I44" s="2" t="s">
        <v>17</v>
      </c>
      <c r="J44">
        <v>0.49</v>
      </c>
      <c r="K44" s="4">
        <v>44845</v>
      </c>
    </row>
    <row r="45" spans="1:11" x14ac:dyDescent="0.3">
      <c r="A45" t="s">
        <v>114</v>
      </c>
      <c r="B45" s="2" t="s">
        <v>115</v>
      </c>
      <c r="C45">
        <v>55</v>
      </c>
      <c r="D45" s="2" t="s">
        <v>13</v>
      </c>
      <c r="E45" s="2" t="s">
        <v>14</v>
      </c>
      <c r="F45" s="2" t="s">
        <v>37</v>
      </c>
      <c r="G45" s="2" t="s">
        <v>32</v>
      </c>
      <c r="H45" s="2" t="s">
        <v>18</v>
      </c>
      <c r="I45" s="2" t="s">
        <v>18</v>
      </c>
      <c r="J45">
        <v>0.5</v>
      </c>
      <c r="K45" s="4">
        <v>43413</v>
      </c>
    </row>
    <row r="46" spans="1:11" x14ac:dyDescent="0.3">
      <c r="A46" t="s">
        <v>116</v>
      </c>
      <c r="B46" s="2" t="s">
        <v>117</v>
      </c>
      <c r="C46">
        <v>34</v>
      </c>
      <c r="D46" s="2" t="s">
        <v>21</v>
      </c>
      <c r="E46" s="2" t="s">
        <v>22</v>
      </c>
      <c r="F46" s="2" t="s">
        <v>31</v>
      </c>
      <c r="G46" s="2" t="s">
        <v>81</v>
      </c>
      <c r="H46" s="2" t="s">
        <v>17</v>
      </c>
      <c r="I46" s="2" t="s">
        <v>17</v>
      </c>
      <c r="J46">
        <v>0.43</v>
      </c>
      <c r="K46" s="4">
        <v>44051</v>
      </c>
    </row>
    <row r="47" spans="1:11" x14ac:dyDescent="0.3">
      <c r="A47" t="s">
        <v>118</v>
      </c>
      <c r="B47" s="2" t="s">
        <v>119</v>
      </c>
      <c r="C47">
        <v>45</v>
      </c>
      <c r="D47" s="2" t="s">
        <v>13</v>
      </c>
      <c r="E47" s="2" t="s">
        <v>30</v>
      </c>
      <c r="F47" s="2" t="s">
        <v>37</v>
      </c>
      <c r="G47" s="2" t="s">
        <v>32</v>
      </c>
      <c r="H47" s="2" t="s">
        <v>17</v>
      </c>
      <c r="I47" s="2" t="s">
        <v>18</v>
      </c>
      <c r="J47">
        <v>0.78</v>
      </c>
      <c r="K47" s="4">
        <v>43319</v>
      </c>
    </row>
    <row r="48" spans="1:11" x14ac:dyDescent="0.3">
      <c r="A48" t="s">
        <v>120</v>
      </c>
      <c r="B48" s="2" t="s">
        <v>121</v>
      </c>
      <c r="C48">
        <v>56</v>
      </c>
      <c r="D48" s="2" t="s">
        <v>13</v>
      </c>
      <c r="E48" s="2" t="s">
        <v>22</v>
      </c>
      <c r="F48" s="2" t="s">
        <v>37</v>
      </c>
      <c r="G48" s="2" t="s">
        <v>81</v>
      </c>
      <c r="H48" s="2" t="s">
        <v>17</v>
      </c>
      <c r="I48" s="2" t="s">
        <v>17</v>
      </c>
      <c r="J48">
        <v>0.62</v>
      </c>
      <c r="K48" s="4">
        <v>45067</v>
      </c>
    </row>
    <row r="49" spans="1:11" x14ac:dyDescent="0.3">
      <c r="A49" t="s">
        <v>122</v>
      </c>
      <c r="B49" s="2" t="s">
        <v>123</v>
      </c>
      <c r="C49">
        <v>60</v>
      </c>
      <c r="D49" s="2" t="s">
        <v>13</v>
      </c>
      <c r="E49" s="2" t="s">
        <v>14</v>
      </c>
      <c r="F49" s="2" t="s">
        <v>31</v>
      </c>
      <c r="G49" s="2" t="s">
        <v>81</v>
      </c>
      <c r="H49" s="2" t="s">
        <v>18</v>
      </c>
      <c r="I49" s="2" t="s">
        <v>17</v>
      </c>
      <c r="J49">
        <v>0.61</v>
      </c>
      <c r="K49" s="4">
        <v>43907</v>
      </c>
    </row>
    <row r="50" spans="1:11" x14ac:dyDescent="0.3">
      <c r="A50" t="s">
        <v>124</v>
      </c>
      <c r="B50" s="2" t="s">
        <v>125</v>
      </c>
      <c r="C50">
        <v>65</v>
      </c>
      <c r="D50" s="2" t="s">
        <v>21</v>
      </c>
      <c r="E50" s="2" t="s">
        <v>30</v>
      </c>
      <c r="F50" s="2" t="s">
        <v>23</v>
      </c>
      <c r="G50" s="2" t="s">
        <v>32</v>
      </c>
      <c r="H50" s="2" t="s">
        <v>17</v>
      </c>
      <c r="I50" s="2" t="s">
        <v>17</v>
      </c>
      <c r="J50">
        <v>0.45</v>
      </c>
      <c r="K50" s="4">
        <v>44630</v>
      </c>
    </row>
    <row r="51" spans="1:11" x14ac:dyDescent="0.3">
      <c r="A51" t="s">
        <v>126</v>
      </c>
      <c r="B51" s="2" t="s">
        <v>127</v>
      </c>
      <c r="C51">
        <v>50</v>
      </c>
      <c r="D51" s="2" t="s">
        <v>3322</v>
      </c>
      <c r="E51" s="2" t="s">
        <v>30</v>
      </c>
      <c r="F51" s="2" t="s">
        <v>37</v>
      </c>
      <c r="G51" s="2" t="s">
        <v>16</v>
      </c>
      <c r="H51" s="2" t="s">
        <v>17</v>
      </c>
      <c r="I51" s="2" t="s">
        <v>17</v>
      </c>
      <c r="J51">
        <v>0.54</v>
      </c>
      <c r="K51" s="4">
        <v>43424</v>
      </c>
    </row>
    <row r="52" spans="1:11" x14ac:dyDescent="0.3">
      <c r="A52" t="s">
        <v>128</v>
      </c>
      <c r="B52" s="2" t="s">
        <v>129</v>
      </c>
      <c r="C52">
        <v>30</v>
      </c>
      <c r="D52" s="2" t="s">
        <v>3322</v>
      </c>
      <c r="E52" s="2" t="s">
        <v>14</v>
      </c>
      <c r="F52" s="2" t="s">
        <v>37</v>
      </c>
      <c r="G52" s="2" t="s">
        <v>3325</v>
      </c>
      <c r="H52" s="2" t="s">
        <v>17</v>
      </c>
      <c r="I52" s="2" t="s">
        <v>18</v>
      </c>
      <c r="J52">
        <v>0.15</v>
      </c>
      <c r="K52" s="4">
        <v>43677</v>
      </c>
    </row>
    <row r="53" spans="1:11" x14ac:dyDescent="0.3">
      <c r="A53" t="s">
        <v>130</v>
      </c>
      <c r="B53" s="2" t="s">
        <v>131</v>
      </c>
      <c r="C53">
        <v>69</v>
      </c>
      <c r="D53" s="2" t="s">
        <v>3326</v>
      </c>
      <c r="E53" s="2" t="s">
        <v>14</v>
      </c>
      <c r="F53" s="2" t="s">
        <v>23</v>
      </c>
      <c r="G53" s="2" t="s">
        <v>81</v>
      </c>
      <c r="H53" s="2" t="s">
        <v>17</v>
      </c>
      <c r="I53" s="2" t="s">
        <v>18</v>
      </c>
      <c r="J53">
        <v>0.51</v>
      </c>
      <c r="K53" s="4">
        <v>43871</v>
      </c>
    </row>
    <row r="54" spans="1:11" x14ac:dyDescent="0.3">
      <c r="A54" t="s">
        <v>132</v>
      </c>
      <c r="B54" s="2" t="s">
        <v>133</v>
      </c>
      <c r="C54">
        <v>31</v>
      </c>
      <c r="D54" s="2" t="s">
        <v>3326</v>
      </c>
      <c r="E54" s="2" t="s">
        <v>22</v>
      </c>
      <c r="F54" s="2" t="s">
        <v>37</v>
      </c>
      <c r="G54" s="2" t="s">
        <v>16</v>
      </c>
      <c r="H54" s="2" t="s">
        <v>17</v>
      </c>
      <c r="I54" s="2" t="s">
        <v>17</v>
      </c>
      <c r="J54">
        <v>0.71</v>
      </c>
      <c r="K54" s="4">
        <v>43864</v>
      </c>
    </row>
    <row r="55" spans="1:11" x14ac:dyDescent="0.3">
      <c r="A55" t="s">
        <v>134</v>
      </c>
      <c r="B55" s="2" t="s">
        <v>135</v>
      </c>
      <c r="C55">
        <v>57</v>
      </c>
      <c r="D55" s="2" t="s">
        <v>3326</v>
      </c>
      <c r="E55" s="2" t="s">
        <v>14</v>
      </c>
      <c r="F55" s="2" t="s">
        <v>31</v>
      </c>
      <c r="G55" s="2" t="s">
        <v>81</v>
      </c>
      <c r="H55" s="2" t="s">
        <v>18</v>
      </c>
      <c r="I55" s="2" t="s">
        <v>17</v>
      </c>
      <c r="J55">
        <v>0.25</v>
      </c>
      <c r="K55" s="4">
        <v>44647</v>
      </c>
    </row>
    <row r="56" spans="1:11" x14ac:dyDescent="0.3">
      <c r="A56" t="s">
        <v>136</v>
      </c>
      <c r="B56" s="2" t="s">
        <v>137</v>
      </c>
      <c r="C56">
        <v>50</v>
      </c>
      <c r="D56" s="2" t="s">
        <v>3326</v>
      </c>
      <c r="E56" s="2" t="s">
        <v>14</v>
      </c>
      <c r="F56" s="2" t="s">
        <v>37</v>
      </c>
      <c r="G56" s="2" t="s">
        <v>24</v>
      </c>
      <c r="H56" s="2" t="s">
        <v>18</v>
      </c>
      <c r="I56" s="2" t="s">
        <v>17</v>
      </c>
      <c r="J56">
        <v>0.32</v>
      </c>
      <c r="K56" s="4">
        <v>44216</v>
      </c>
    </row>
    <row r="57" spans="1:11" x14ac:dyDescent="0.3">
      <c r="A57" t="s">
        <v>138</v>
      </c>
      <c r="B57" s="2" t="s">
        <v>139</v>
      </c>
      <c r="C57">
        <v>62</v>
      </c>
      <c r="D57" s="2" t="s">
        <v>3322</v>
      </c>
      <c r="E57" s="2" t="s">
        <v>30</v>
      </c>
      <c r="F57" s="2" t="s">
        <v>31</v>
      </c>
      <c r="G57" s="2" t="s">
        <v>16</v>
      </c>
      <c r="H57" s="2" t="s">
        <v>17</v>
      </c>
      <c r="I57" s="2" t="s">
        <v>17</v>
      </c>
      <c r="J57">
        <v>0.47</v>
      </c>
      <c r="K57" s="4">
        <v>43891</v>
      </c>
    </row>
    <row r="58" spans="1:11" x14ac:dyDescent="0.3">
      <c r="A58" t="s">
        <v>140</v>
      </c>
      <c r="B58" s="2" t="s">
        <v>141</v>
      </c>
      <c r="C58">
        <v>68</v>
      </c>
      <c r="D58" s="2" t="s">
        <v>21</v>
      </c>
      <c r="E58" s="2" t="s">
        <v>30</v>
      </c>
      <c r="F58" s="2" t="s">
        <v>31</v>
      </c>
      <c r="G58" s="2" t="s">
        <v>27</v>
      </c>
      <c r="H58" s="2" t="s">
        <v>18</v>
      </c>
      <c r="I58" s="2" t="s">
        <v>18</v>
      </c>
      <c r="J58">
        <v>0.01</v>
      </c>
      <c r="K58" s="4">
        <v>45249</v>
      </c>
    </row>
    <row r="59" spans="1:11" x14ac:dyDescent="0.3">
      <c r="A59" t="s">
        <v>142</v>
      </c>
      <c r="B59" s="2" t="s">
        <v>143</v>
      </c>
      <c r="C59">
        <v>30</v>
      </c>
      <c r="D59" s="2" t="s">
        <v>13</v>
      </c>
      <c r="E59" s="2" t="s">
        <v>30</v>
      </c>
      <c r="F59" s="2" t="s">
        <v>15</v>
      </c>
      <c r="G59" s="2" t="s">
        <v>24</v>
      </c>
      <c r="H59" s="2" t="s">
        <v>18</v>
      </c>
      <c r="I59" s="2" t="s">
        <v>17</v>
      </c>
      <c r="J59">
        <v>0.55000000000000004</v>
      </c>
      <c r="K59" s="4">
        <v>45160</v>
      </c>
    </row>
    <row r="60" spans="1:11" x14ac:dyDescent="0.3">
      <c r="A60" t="s">
        <v>144</v>
      </c>
      <c r="B60" s="2" t="s">
        <v>145</v>
      </c>
      <c r="C60">
        <v>26</v>
      </c>
      <c r="D60" s="2" t="s">
        <v>21</v>
      </c>
      <c r="E60" s="2" t="s">
        <v>22</v>
      </c>
      <c r="F60" s="2" t="s">
        <v>31</v>
      </c>
      <c r="G60" s="2" t="s">
        <v>16</v>
      </c>
      <c r="H60" s="2" t="s">
        <v>18</v>
      </c>
      <c r="I60" s="2" t="s">
        <v>17</v>
      </c>
      <c r="J60">
        <v>0.37</v>
      </c>
      <c r="K60" s="4">
        <v>44470</v>
      </c>
    </row>
    <row r="61" spans="1:11" x14ac:dyDescent="0.3">
      <c r="A61" t="s">
        <v>146</v>
      </c>
      <c r="B61" s="2" t="s">
        <v>147</v>
      </c>
      <c r="C61">
        <v>38</v>
      </c>
      <c r="D61" s="2" t="s">
        <v>21</v>
      </c>
      <c r="E61" s="2" t="s">
        <v>30</v>
      </c>
      <c r="F61" s="2" t="s">
        <v>15</v>
      </c>
      <c r="G61" s="2" t="s">
        <v>32</v>
      </c>
      <c r="H61" s="2" t="s">
        <v>18</v>
      </c>
      <c r="I61" s="2" t="s">
        <v>18</v>
      </c>
      <c r="J61">
        <v>0.46</v>
      </c>
      <c r="K61" s="4">
        <v>43606</v>
      </c>
    </row>
    <row r="62" spans="1:11" x14ac:dyDescent="0.3">
      <c r="A62" t="s">
        <v>148</v>
      </c>
      <c r="B62" s="2" t="s">
        <v>149</v>
      </c>
      <c r="C62">
        <v>68</v>
      </c>
      <c r="D62" s="2" t="s">
        <v>21</v>
      </c>
      <c r="E62" s="2" t="s">
        <v>14</v>
      </c>
      <c r="F62" s="2" t="s">
        <v>15</v>
      </c>
      <c r="G62" s="2" t="s">
        <v>27</v>
      </c>
      <c r="H62" s="2" t="s">
        <v>17</v>
      </c>
      <c r="I62" s="2" t="s">
        <v>18</v>
      </c>
      <c r="J62">
        <v>0.34</v>
      </c>
      <c r="K62" s="4">
        <v>44309</v>
      </c>
    </row>
    <row r="63" spans="1:11" x14ac:dyDescent="0.3">
      <c r="A63" t="s">
        <v>150</v>
      </c>
      <c r="B63" s="2" t="s">
        <v>151</v>
      </c>
      <c r="C63">
        <v>20</v>
      </c>
      <c r="D63" s="2" t="s">
        <v>13</v>
      </c>
      <c r="E63" s="2" t="s">
        <v>30</v>
      </c>
      <c r="F63" s="2" t="s">
        <v>15</v>
      </c>
      <c r="G63" s="2" t="s">
        <v>16</v>
      </c>
      <c r="H63" s="2" t="s">
        <v>18</v>
      </c>
      <c r="I63" s="2" t="s">
        <v>17</v>
      </c>
      <c r="J63">
        <v>0.35</v>
      </c>
      <c r="K63" s="4">
        <v>44162</v>
      </c>
    </row>
    <row r="64" spans="1:11" x14ac:dyDescent="0.3">
      <c r="A64" t="s">
        <v>152</v>
      </c>
      <c r="B64" s="2" t="s">
        <v>153</v>
      </c>
      <c r="C64">
        <v>40</v>
      </c>
      <c r="D64" s="2" t="s">
        <v>21</v>
      </c>
      <c r="E64" s="2" t="s">
        <v>22</v>
      </c>
      <c r="F64" s="2" t="s">
        <v>23</v>
      </c>
      <c r="G64" s="2" t="s">
        <v>66</v>
      </c>
      <c r="H64" s="2" t="s">
        <v>18</v>
      </c>
      <c r="I64" s="2" t="s">
        <v>17</v>
      </c>
      <c r="J64">
        <v>0.63</v>
      </c>
      <c r="K64" s="4">
        <v>43308</v>
      </c>
    </row>
    <row r="65" spans="1:11" x14ac:dyDescent="0.3">
      <c r="A65" t="s">
        <v>154</v>
      </c>
      <c r="B65" s="2" t="s">
        <v>155</v>
      </c>
      <c r="C65">
        <v>21</v>
      </c>
      <c r="D65" s="2" t="s">
        <v>21</v>
      </c>
      <c r="E65" s="2" t="s">
        <v>14</v>
      </c>
      <c r="F65" s="2" t="s">
        <v>37</v>
      </c>
      <c r="G65" s="2" t="s">
        <v>32</v>
      </c>
      <c r="H65" s="2" t="s">
        <v>18</v>
      </c>
      <c r="I65" s="2" t="s">
        <v>17</v>
      </c>
      <c r="J65">
        <v>0.5</v>
      </c>
      <c r="K65" s="4">
        <v>43450</v>
      </c>
    </row>
    <row r="66" spans="1:11" x14ac:dyDescent="0.3">
      <c r="A66" t="s">
        <v>156</v>
      </c>
      <c r="B66" s="2" t="s">
        <v>157</v>
      </c>
      <c r="C66">
        <v>22</v>
      </c>
      <c r="D66" s="2" t="s">
        <v>13</v>
      </c>
      <c r="E66" s="2" t="s">
        <v>22</v>
      </c>
      <c r="F66" s="2" t="s">
        <v>37</v>
      </c>
      <c r="G66" s="2" t="s">
        <v>81</v>
      </c>
      <c r="H66" s="2" t="s">
        <v>18</v>
      </c>
      <c r="I66" s="2" t="s">
        <v>17</v>
      </c>
      <c r="J66">
        <v>0.87</v>
      </c>
      <c r="K66" s="4">
        <v>44866</v>
      </c>
    </row>
    <row r="67" spans="1:11" x14ac:dyDescent="0.3">
      <c r="A67" t="s">
        <v>158</v>
      </c>
      <c r="B67" s="2" t="s">
        <v>159</v>
      </c>
      <c r="C67">
        <v>33</v>
      </c>
      <c r="D67" s="2" t="s">
        <v>21</v>
      </c>
      <c r="E67" s="2" t="s">
        <v>22</v>
      </c>
      <c r="F67" s="2" t="s">
        <v>23</v>
      </c>
      <c r="G67" s="2" t="s">
        <v>16</v>
      </c>
      <c r="H67" s="2" t="s">
        <v>18</v>
      </c>
      <c r="I67" s="2" t="s">
        <v>17</v>
      </c>
      <c r="J67">
        <v>0.56999999999999995</v>
      </c>
      <c r="K67" s="4">
        <v>45040</v>
      </c>
    </row>
    <row r="68" spans="1:11" x14ac:dyDescent="0.3">
      <c r="A68" t="s">
        <v>160</v>
      </c>
      <c r="B68" s="2" t="s">
        <v>161</v>
      </c>
      <c r="C68">
        <v>56</v>
      </c>
      <c r="D68" s="2" t="s">
        <v>13</v>
      </c>
      <c r="E68" s="2" t="s">
        <v>22</v>
      </c>
      <c r="F68" s="2" t="s">
        <v>23</v>
      </c>
      <c r="G68" s="2" t="s">
        <v>66</v>
      </c>
      <c r="H68" s="2" t="s">
        <v>17</v>
      </c>
      <c r="I68" s="2" t="s">
        <v>18</v>
      </c>
      <c r="J68">
        <v>0.67</v>
      </c>
      <c r="K68" s="4">
        <v>44346</v>
      </c>
    </row>
    <row r="69" spans="1:11" x14ac:dyDescent="0.3">
      <c r="A69" t="s">
        <v>162</v>
      </c>
      <c r="B69" s="2" t="s">
        <v>163</v>
      </c>
      <c r="C69">
        <v>37</v>
      </c>
      <c r="D69" s="2" t="s">
        <v>13</v>
      </c>
      <c r="E69" s="2" t="s">
        <v>14</v>
      </c>
      <c r="F69" s="2" t="s">
        <v>23</v>
      </c>
      <c r="G69" s="2" t="s">
        <v>81</v>
      </c>
      <c r="H69" s="2" t="s">
        <v>18</v>
      </c>
      <c r="I69" s="2" t="s">
        <v>18</v>
      </c>
      <c r="J69">
        <v>0.51</v>
      </c>
      <c r="K69" s="4">
        <v>44260</v>
      </c>
    </row>
    <row r="70" spans="1:11" x14ac:dyDescent="0.3">
      <c r="A70" t="s">
        <v>164</v>
      </c>
      <c r="B70" s="2" t="s">
        <v>165</v>
      </c>
      <c r="C70">
        <v>63</v>
      </c>
      <c r="D70" s="2" t="s">
        <v>13</v>
      </c>
      <c r="E70" s="2" t="s">
        <v>22</v>
      </c>
      <c r="F70" s="2" t="s">
        <v>37</v>
      </c>
      <c r="G70" s="2" t="s">
        <v>81</v>
      </c>
      <c r="H70" s="2" t="s">
        <v>18</v>
      </c>
      <c r="I70" s="2" t="s">
        <v>17</v>
      </c>
      <c r="J70">
        <v>0.59</v>
      </c>
      <c r="K70" s="4">
        <v>43552</v>
      </c>
    </row>
    <row r="71" spans="1:11" x14ac:dyDescent="0.3">
      <c r="A71" t="s">
        <v>166</v>
      </c>
      <c r="B71" s="2" t="s">
        <v>167</v>
      </c>
      <c r="C71">
        <v>66</v>
      </c>
      <c r="D71" s="2" t="s">
        <v>21</v>
      </c>
      <c r="E71" s="2" t="s">
        <v>14</v>
      </c>
      <c r="F71" s="2" t="s">
        <v>23</v>
      </c>
      <c r="G71" s="2" t="s">
        <v>32</v>
      </c>
      <c r="H71" s="2" t="s">
        <v>17</v>
      </c>
      <c r="I71" s="2" t="s">
        <v>17</v>
      </c>
      <c r="J71">
        <v>0.63</v>
      </c>
      <c r="K71" s="4">
        <v>43877</v>
      </c>
    </row>
    <row r="72" spans="1:11" x14ac:dyDescent="0.3">
      <c r="A72" t="s">
        <v>168</v>
      </c>
      <c r="B72" s="2" t="s">
        <v>169</v>
      </c>
      <c r="C72">
        <v>68</v>
      </c>
      <c r="D72" s="2" t="s">
        <v>13</v>
      </c>
      <c r="E72" s="2" t="s">
        <v>14</v>
      </c>
      <c r="F72" s="2" t="s">
        <v>23</v>
      </c>
      <c r="G72" s="2" t="s">
        <v>27</v>
      </c>
      <c r="H72" s="2" t="s">
        <v>17</v>
      </c>
      <c r="I72" s="2" t="s">
        <v>17</v>
      </c>
      <c r="J72">
        <v>0.74</v>
      </c>
      <c r="K72" s="4">
        <v>43276</v>
      </c>
    </row>
    <row r="73" spans="1:11" x14ac:dyDescent="0.3">
      <c r="A73" t="s">
        <v>170</v>
      </c>
      <c r="B73" s="2" t="s">
        <v>171</v>
      </c>
      <c r="C73">
        <v>32</v>
      </c>
      <c r="D73" s="2" t="s">
        <v>13</v>
      </c>
      <c r="E73" s="2" t="s">
        <v>14</v>
      </c>
      <c r="F73" s="2" t="s">
        <v>37</v>
      </c>
      <c r="G73" s="2" t="s">
        <v>66</v>
      </c>
      <c r="H73" s="2" t="s">
        <v>17</v>
      </c>
      <c r="I73" s="2" t="s">
        <v>17</v>
      </c>
      <c r="J73">
        <v>0.47</v>
      </c>
      <c r="K73" s="4">
        <v>45162</v>
      </c>
    </row>
    <row r="74" spans="1:11" x14ac:dyDescent="0.3">
      <c r="A74" t="s">
        <v>172</v>
      </c>
      <c r="B74" s="2" t="s">
        <v>173</v>
      </c>
      <c r="C74">
        <v>68</v>
      </c>
      <c r="D74" s="2" t="s">
        <v>13</v>
      </c>
      <c r="E74" s="2" t="s">
        <v>30</v>
      </c>
      <c r="F74" s="2" t="s">
        <v>37</v>
      </c>
      <c r="G74" s="2" t="s">
        <v>24</v>
      </c>
      <c r="H74" s="2" t="s">
        <v>18</v>
      </c>
      <c r="I74" s="2" t="s">
        <v>17</v>
      </c>
      <c r="J74">
        <v>0.49</v>
      </c>
      <c r="K74" s="4">
        <v>43884</v>
      </c>
    </row>
    <row r="75" spans="1:11" x14ac:dyDescent="0.3">
      <c r="A75" t="s">
        <v>174</v>
      </c>
      <c r="B75" s="2" t="s">
        <v>175</v>
      </c>
      <c r="C75">
        <v>62</v>
      </c>
      <c r="D75" s="2" t="s">
        <v>13</v>
      </c>
      <c r="E75" s="2" t="s">
        <v>14</v>
      </c>
      <c r="F75" s="2" t="s">
        <v>37</v>
      </c>
      <c r="G75" s="2" t="s">
        <v>32</v>
      </c>
      <c r="H75" s="2" t="s">
        <v>18</v>
      </c>
      <c r="I75" s="2" t="s">
        <v>18</v>
      </c>
      <c r="J75">
        <v>0.33</v>
      </c>
      <c r="K75" s="4">
        <v>44572</v>
      </c>
    </row>
    <row r="76" spans="1:11" x14ac:dyDescent="0.3">
      <c r="A76" t="s">
        <v>176</v>
      </c>
      <c r="B76" s="2" t="s">
        <v>177</v>
      </c>
      <c r="C76">
        <v>59</v>
      </c>
      <c r="D76" s="2" t="s">
        <v>13</v>
      </c>
      <c r="E76" s="2" t="s">
        <v>22</v>
      </c>
      <c r="F76" s="2" t="s">
        <v>31</v>
      </c>
      <c r="G76" s="2" t="s">
        <v>32</v>
      </c>
      <c r="H76" s="2" t="s">
        <v>17</v>
      </c>
      <c r="I76" s="2" t="s">
        <v>17</v>
      </c>
      <c r="J76">
        <v>0.22</v>
      </c>
      <c r="K76" s="4">
        <v>43814</v>
      </c>
    </row>
    <row r="77" spans="1:11" x14ac:dyDescent="0.3">
      <c r="A77" t="s">
        <v>178</v>
      </c>
      <c r="B77" s="2" t="s">
        <v>179</v>
      </c>
      <c r="C77">
        <v>28</v>
      </c>
      <c r="D77" s="2" t="s">
        <v>21</v>
      </c>
      <c r="E77" s="2" t="s">
        <v>30</v>
      </c>
      <c r="F77" s="2" t="s">
        <v>23</v>
      </c>
      <c r="G77" s="2" t="s">
        <v>66</v>
      </c>
      <c r="H77" s="2" t="s">
        <v>18</v>
      </c>
      <c r="I77" s="2" t="s">
        <v>18</v>
      </c>
      <c r="J77">
        <v>0.62</v>
      </c>
      <c r="K77" s="4">
        <v>43142</v>
      </c>
    </row>
    <row r="78" spans="1:11" x14ac:dyDescent="0.3">
      <c r="A78" t="s">
        <v>180</v>
      </c>
      <c r="B78" s="2" t="s">
        <v>181</v>
      </c>
      <c r="C78">
        <v>63</v>
      </c>
      <c r="D78" s="2" t="s">
        <v>3326</v>
      </c>
      <c r="E78" s="2" t="s">
        <v>14</v>
      </c>
      <c r="F78" s="2" t="s">
        <v>15</v>
      </c>
      <c r="G78" s="2" t="s">
        <v>16</v>
      </c>
      <c r="H78" s="2" t="s">
        <v>17</v>
      </c>
      <c r="I78" s="2" t="s">
        <v>18</v>
      </c>
      <c r="J78">
        <v>0.63</v>
      </c>
      <c r="K78" s="4">
        <v>44374</v>
      </c>
    </row>
    <row r="79" spans="1:11" x14ac:dyDescent="0.3">
      <c r="A79" t="s">
        <v>182</v>
      </c>
      <c r="B79" s="2" t="s">
        <v>183</v>
      </c>
      <c r="C79">
        <v>23</v>
      </c>
      <c r="D79" s="2" t="s">
        <v>21</v>
      </c>
      <c r="E79" s="2" t="s">
        <v>30</v>
      </c>
      <c r="F79" s="2" t="s">
        <v>23</v>
      </c>
      <c r="G79" s="2" t="s">
        <v>81</v>
      </c>
      <c r="H79" s="2" t="s">
        <v>17</v>
      </c>
      <c r="I79" s="2" t="s">
        <v>17</v>
      </c>
      <c r="J79">
        <v>0.6</v>
      </c>
      <c r="K79" s="4">
        <v>43650</v>
      </c>
    </row>
    <row r="80" spans="1:11" x14ac:dyDescent="0.3">
      <c r="A80" t="s">
        <v>184</v>
      </c>
      <c r="B80" s="2" t="s">
        <v>185</v>
      </c>
      <c r="C80">
        <v>52</v>
      </c>
      <c r="D80" s="2" t="s">
        <v>13</v>
      </c>
      <c r="E80" s="2" t="s">
        <v>14</v>
      </c>
      <c r="F80" s="2" t="s">
        <v>31</v>
      </c>
      <c r="G80" s="2" t="s">
        <v>32</v>
      </c>
      <c r="H80" s="2" t="s">
        <v>18</v>
      </c>
      <c r="I80" s="2" t="s">
        <v>17</v>
      </c>
      <c r="J80">
        <v>0.35</v>
      </c>
      <c r="K80" s="4">
        <v>43400</v>
      </c>
    </row>
    <row r="81" spans="1:11" x14ac:dyDescent="0.3">
      <c r="A81" t="s">
        <v>186</v>
      </c>
      <c r="B81" s="2" t="s">
        <v>187</v>
      </c>
      <c r="C81">
        <v>21</v>
      </c>
      <c r="D81" s="2" t="s">
        <v>13</v>
      </c>
      <c r="E81" s="2" t="s">
        <v>22</v>
      </c>
      <c r="F81" s="2" t="s">
        <v>15</v>
      </c>
      <c r="G81" s="2" t="s">
        <v>32</v>
      </c>
      <c r="H81" s="2" t="s">
        <v>17</v>
      </c>
      <c r="I81" s="2" t="s">
        <v>17</v>
      </c>
      <c r="J81">
        <v>0.7</v>
      </c>
      <c r="K81" s="4">
        <v>43664</v>
      </c>
    </row>
    <row r="82" spans="1:11" x14ac:dyDescent="0.3">
      <c r="A82" t="s">
        <v>188</v>
      </c>
      <c r="B82" s="2" t="s">
        <v>189</v>
      </c>
      <c r="C82">
        <v>56</v>
      </c>
      <c r="D82" s="2" t="s">
        <v>21</v>
      </c>
      <c r="E82" s="2" t="s">
        <v>30</v>
      </c>
      <c r="F82" s="2" t="s">
        <v>31</v>
      </c>
      <c r="G82" s="2" t="s">
        <v>16</v>
      </c>
      <c r="H82" s="2" t="s">
        <v>17</v>
      </c>
      <c r="I82" s="2" t="s">
        <v>17</v>
      </c>
      <c r="J82">
        <v>0.54</v>
      </c>
      <c r="K82" s="4">
        <v>43366</v>
      </c>
    </row>
    <row r="83" spans="1:11" x14ac:dyDescent="0.3">
      <c r="A83" t="s">
        <v>190</v>
      </c>
      <c r="B83" s="2" t="s">
        <v>191</v>
      </c>
      <c r="C83">
        <v>61</v>
      </c>
      <c r="D83" s="2" t="s">
        <v>13</v>
      </c>
      <c r="E83" s="2" t="s">
        <v>22</v>
      </c>
      <c r="F83" s="2" t="s">
        <v>37</v>
      </c>
      <c r="G83" s="2" t="s">
        <v>66</v>
      </c>
      <c r="H83" s="2" t="s">
        <v>18</v>
      </c>
      <c r="I83" s="2" t="s">
        <v>18</v>
      </c>
      <c r="J83">
        <v>0.42</v>
      </c>
      <c r="K83" s="4">
        <v>43524</v>
      </c>
    </row>
    <row r="84" spans="1:11" x14ac:dyDescent="0.3">
      <c r="A84" t="s">
        <v>192</v>
      </c>
      <c r="B84" s="2" t="s">
        <v>193</v>
      </c>
      <c r="C84">
        <v>29</v>
      </c>
      <c r="D84" s="2" t="s">
        <v>21</v>
      </c>
      <c r="E84" s="2" t="s">
        <v>14</v>
      </c>
      <c r="F84" s="2" t="s">
        <v>37</v>
      </c>
      <c r="G84" s="2" t="s">
        <v>81</v>
      </c>
      <c r="H84" s="2" t="s">
        <v>17</v>
      </c>
      <c r="I84" s="2" t="s">
        <v>17</v>
      </c>
      <c r="J84">
        <v>0.44</v>
      </c>
      <c r="K84" s="4">
        <v>43911</v>
      </c>
    </row>
    <row r="85" spans="1:11" x14ac:dyDescent="0.3">
      <c r="A85" t="s">
        <v>194</v>
      </c>
      <c r="B85" s="2" t="s">
        <v>195</v>
      </c>
      <c r="C85">
        <v>40</v>
      </c>
      <c r="D85" s="2" t="s">
        <v>21</v>
      </c>
      <c r="E85" s="2" t="s">
        <v>30</v>
      </c>
      <c r="F85" s="2" t="s">
        <v>15</v>
      </c>
      <c r="G85" s="2" t="s">
        <v>81</v>
      </c>
      <c r="H85" s="2" t="s">
        <v>17</v>
      </c>
      <c r="I85" s="2" t="s">
        <v>17</v>
      </c>
      <c r="J85">
        <v>0.62</v>
      </c>
      <c r="K85" s="4">
        <v>43614</v>
      </c>
    </row>
    <row r="86" spans="1:11" x14ac:dyDescent="0.3">
      <c r="A86" t="s">
        <v>196</v>
      </c>
      <c r="B86" s="2" t="s">
        <v>197</v>
      </c>
      <c r="C86">
        <v>39</v>
      </c>
      <c r="D86" s="2" t="s">
        <v>13</v>
      </c>
      <c r="E86" s="2" t="s">
        <v>14</v>
      </c>
      <c r="F86" s="2" t="s">
        <v>23</v>
      </c>
      <c r="G86" s="2" t="s">
        <v>24</v>
      </c>
      <c r="H86" s="2" t="s">
        <v>17</v>
      </c>
      <c r="I86" s="2" t="s">
        <v>18</v>
      </c>
      <c r="J86">
        <v>0.76</v>
      </c>
      <c r="K86" s="4">
        <v>44154</v>
      </c>
    </row>
    <row r="87" spans="1:11" x14ac:dyDescent="0.3">
      <c r="A87" t="s">
        <v>198</v>
      </c>
      <c r="B87" s="2" t="s">
        <v>199</v>
      </c>
      <c r="C87">
        <v>44</v>
      </c>
      <c r="D87" s="2" t="s">
        <v>21</v>
      </c>
      <c r="E87" s="2" t="s">
        <v>22</v>
      </c>
      <c r="F87" s="2" t="s">
        <v>37</v>
      </c>
      <c r="G87" s="2" t="s">
        <v>24</v>
      </c>
      <c r="H87" s="2" t="s">
        <v>18</v>
      </c>
      <c r="I87" s="2" t="s">
        <v>18</v>
      </c>
      <c r="J87">
        <v>0.52</v>
      </c>
      <c r="K87" s="4">
        <v>44619</v>
      </c>
    </row>
    <row r="88" spans="1:11" x14ac:dyDescent="0.3">
      <c r="A88" t="s">
        <v>200</v>
      </c>
      <c r="B88" s="2" t="s">
        <v>201</v>
      </c>
      <c r="C88">
        <v>44</v>
      </c>
      <c r="D88" s="2" t="s">
        <v>13</v>
      </c>
      <c r="E88" s="2" t="s">
        <v>30</v>
      </c>
      <c r="F88" s="2" t="s">
        <v>37</v>
      </c>
      <c r="G88" s="2" t="s">
        <v>27</v>
      </c>
      <c r="H88" s="2" t="s">
        <v>17</v>
      </c>
      <c r="I88" s="2" t="s">
        <v>18</v>
      </c>
      <c r="J88">
        <v>0.82</v>
      </c>
      <c r="K88" s="4">
        <v>44552</v>
      </c>
    </row>
    <row r="89" spans="1:11" x14ac:dyDescent="0.3">
      <c r="A89" t="s">
        <v>202</v>
      </c>
      <c r="B89" s="2" t="s">
        <v>203</v>
      </c>
      <c r="C89">
        <v>34</v>
      </c>
      <c r="D89" s="2" t="s">
        <v>13</v>
      </c>
      <c r="E89" s="2" t="s">
        <v>22</v>
      </c>
      <c r="F89" s="2" t="s">
        <v>23</v>
      </c>
      <c r="G89" s="2" t="s">
        <v>27</v>
      </c>
      <c r="H89" s="2" t="s">
        <v>17</v>
      </c>
      <c r="I89" s="2" t="s">
        <v>17</v>
      </c>
      <c r="J89">
        <v>0.49</v>
      </c>
      <c r="K89" s="4">
        <v>44365</v>
      </c>
    </row>
    <row r="90" spans="1:11" x14ac:dyDescent="0.3">
      <c r="A90" t="s">
        <v>204</v>
      </c>
      <c r="B90" s="2" t="s">
        <v>205</v>
      </c>
      <c r="C90">
        <v>51</v>
      </c>
      <c r="D90" s="2" t="s">
        <v>21</v>
      </c>
      <c r="E90" s="2" t="s">
        <v>14</v>
      </c>
      <c r="F90" s="2" t="s">
        <v>31</v>
      </c>
      <c r="G90" s="2" t="s">
        <v>3325</v>
      </c>
      <c r="H90" s="2" t="s">
        <v>18</v>
      </c>
      <c r="I90" s="2" t="s">
        <v>17</v>
      </c>
      <c r="J90">
        <v>0.33</v>
      </c>
      <c r="K90" s="4">
        <v>44557</v>
      </c>
    </row>
    <row r="91" spans="1:11" x14ac:dyDescent="0.3">
      <c r="A91" t="s">
        <v>206</v>
      </c>
      <c r="B91" s="2" t="s">
        <v>207</v>
      </c>
      <c r="C91">
        <v>52</v>
      </c>
      <c r="D91" s="2" t="s">
        <v>13</v>
      </c>
      <c r="E91" s="2" t="s">
        <v>30</v>
      </c>
      <c r="F91" s="2" t="s">
        <v>23</v>
      </c>
      <c r="G91" s="2" t="s">
        <v>24</v>
      </c>
      <c r="H91" s="2" t="s">
        <v>18</v>
      </c>
      <c r="I91" s="2" t="s">
        <v>17</v>
      </c>
      <c r="J91">
        <v>0.53</v>
      </c>
      <c r="K91" s="4">
        <v>44073</v>
      </c>
    </row>
    <row r="92" spans="1:11" x14ac:dyDescent="0.3">
      <c r="A92" t="s">
        <v>208</v>
      </c>
      <c r="B92" s="2" t="s">
        <v>209</v>
      </c>
      <c r="C92">
        <v>48</v>
      </c>
      <c r="D92" s="2" t="s">
        <v>21</v>
      </c>
      <c r="E92" s="2" t="s">
        <v>22</v>
      </c>
      <c r="F92" s="2" t="s">
        <v>15</v>
      </c>
      <c r="G92" s="2" t="s">
        <v>27</v>
      </c>
      <c r="H92" s="2" t="s">
        <v>18</v>
      </c>
      <c r="I92" s="2" t="s">
        <v>18</v>
      </c>
      <c r="J92">
        <v>0.3</v>
      </c>
      <c r="K92" s="4">
        <v>43987</v>
      </c>
    </row>
    <row r="93" spans="1:11" x14ac:dyDescent="0.3">
      <c r="A93" t="s">
        <v>210</v>
      </c>
      <c r="B93" s="2" t="s">
        <v>211</v>
      </c>
      <c r="C93">
        <v>29</v>
      </c>
      <c r="D93" s="2" t="s">
        <v>13</v>
      </c>
      <c r="E93" s="2" t="s">
        <v>14</v>
      </c>
      <c r="F93" s="2" t="s">
        <v>23</v>
      </c>
      <c r="G93" s="2" t="s">
        <v>3325</v>
      </c>
      <c r="H93" s="2" t="s">
        <v>18</v>
      </c>
      <c r="I93" s="2" t="s">
        <v>18</v>
      </c>
      <c r="J93">
        <v>0.34</v>
      </c>
      <c r="K93" s="4">
        <v>44548</v>
      </c>
    </row>
    <row r="94" spans="1:11" x14ac:dyDescent="0.3">
      <c r="A94" t="s">
        <v>212</v>
      </c>
      <c r="B94" s="2" t="s">
        <v>213</v>
      </c>
      <c r="C94">
        <v>68</v>
      </c>
      <c r="D94" s="2" t="s">
        <v>3326</v>
      </c>
      <c r="E94" s="2" t="s">
        <v>22</v>
      </c>
      <c r="F94" s="2" t="s">
        <v>15</v>
      </c>
      <c r="G94" s="2" t="s">
        <v>66</v>
      </c>
      <c r="H94" s="2" t="s">
        <v>17</v>
      </c>
      <c r="I94" s="2" t="s">
        <v>18</v>
      </c>
      <c r="J94">
        <v>0.55000000000000004</v>
      </c>
      <c r="K94" s="4">
        <v>43592</v>
      </c>
    </row>
    <row r="95" spans="1:11" x14ac:dyDescent="0.3">
      <c r="A95" t="s">
        <v>214</v>
      </c>
      <c r="B95" s="2" t="s">
        <v>215</v>
      </c>
      <c r="C95">
        <v>32</v>
      </c>
      <c r="D95" s="2" t="s">
        <v>13</v>
      </c>
      <c r="E95" s="2" t="s">
        <v>14</v>
      </c>
      <c r="F95" s="2" t="s">
        <v>15</v>
      </c>
      <c r="G95" s="2" t="s">
        <v>66</v>
      </c>
      <c r="H95" s="2" t="s">
        <v>17</v>
      </c>
      <c r="I95" s="2" t="s">
        <v>17</v>
      </c>
      <c r="J95">
        <v>0.39</v>
      </c>
      <c r="K95" s="4">
        <v>44101</v>
      </c>
    </row>
    <row r="96" spans="1:11" x14ac:dyDescent="0.3">
      <c r="A96" t="s">
        <v>216</v>
      </c>
      <c r="B96" s="2" t="s">
        <v>217</v>
      </c>
      <c r="C96">
        <v>66</v>
      </c>
      <c r="D96" s="2" t="s">
        <v>3326</v>
      </c>
      <c r="E96" s="2" t="s">
        <v>14</v>
      </c>
      <c r="F96" s="2" t="s">
        <v>23</v>
      </c>
      <c r="G96" s="2" t="s">
        <v>27</v>
      </c>
      <c r="H96" s="2" t="s">
        <v>17</v>
      </c>
      <c r="I96" s="2" t="s">
        <v>18</v>
      </c>
      <c r="J96">
        <v>0.99</v>
      </c>
      <c r="K96" s="4">
        <v>44078</v>
      </c>
    </row>
    <row r="97" spans="1:11" x14ac:dyDescent="0.3">
      <c r="A97" t="s">
        <v>218</v>
      </c>
      <c r="B97" s="2" t="s">
        <v>219</v>
      </c>
      <c r="C97">
        <v>48</v>
      </c>
      <c r="D97" s="2" t="s">
        <v>13</v>
      </c>
      <c r="E97" s="2" t="s">
        <v>14</v>
      </c>
      <c r="F97" s="2" t="s">
        <v>15</v>
      </c>
      <c r="G97" s="2" t="s">
        <v>32</v>
      </c>
      <c r="H97" s="2" t="s">
        <v>18</v>
      </c>
      <c r="I97" s="2" t="s">
        <v>18</v>
      </c>
      <c r="J97">
        <v>0.44</v>
      </c>
      <c r="K97" s="4">
        <v>44870</v>
      </c>
    </row>
    <row r="98" spans="1:11" x14ac:dyDescent="0.3">
      <c r="A98" t="s">
        <v>220</v>
      </c>
      <c r="B98" s="2" t="s">
        <v>221</v>
      </c>
      <c r="C98">
        <v>36</v>
      </c>
      <c r="D98" s="2" t="s">
        <v>3324</v>
      </c>
      <c r="E98" s="2" t="s">
        <v>22</v>
      </c>
      <c r="F98" s="2" t="s">
        <v>23</v>
      </c>
      <c r="G98" s="2" t="s">
        <v>32</v>
      </c>
      <c r="H98" s="2" t="s">
        <v>17</v>
      </c>
      <c r="I98" s="2" t="s">
        <v>17</v>
      </c>
      <c r="J98">
        <v>0.33</v>
      </c>
      <c r="K98" s="4">
        <v>44625</v>
      </c>
    </row>
    <row r="99" spans="1:11" x14ac:dyDescent="0.3">
      <c r="A99" t="s">
        <v>222</v>
      </c>
      <c r="B99" s="2" t="s">
        <v>223</v>
      </c>
      <c r="C99">
        <v>56</v>
      </c>
      <c r="D99" s="2" t="s">
        <v>3324</v>
      </c>
      <c r="E99" s="2" t="s">
        <v>30</v>
      </c>
      <c r="F99" s="2" t="s">
        <v>23</v>
      </c>
      <c r="G99" s="2" t="s">
        <v>66</v>
      </c>
      <c r="H99" s="2" t="s">
        <v>17</v>
      </c>
      <c r="I99" s="2" t="s">
        <v>18</v>
      </c>
      <c r="J99">
        <v>0.47</v>
      </c>
      <c r="K99" s="4">
        <v>43458</v>
      </c>
    </row>
    <row r="100" spans="1:11" x14ac:dyDescent="0.3">
      <c r="A100" t="s">
        <v>224</v>
      </c>
      <c r="B100" s="2" t="s">
        <v>225</v>
      </c>
      <c r="C100">
        <v>61</v>
      </c>
      <c r="D100" s="2" t="s">
        <v>21</v>
      </c>
      <c r="E100" s="2" t="s">
        <v>14</v>
      </c>
      <c r="F100" s="2" t="s">
        <v>31</v>
      </c>
      <c r="G100" s="2" t="s">
        <v>81</v>
      </c>
      <c r="H100" s="2" t="s">
        <v>17</v>
      </c>
      <c r="I100" s="2" t="s">
        <v>17</v>
      </c>
      <c r="J100">
        <v>0.45</v>
      </c>
      <c r="K100" s="4">
        <v>43357</v>
      </c>
    </row>
    <row r="101" spans="1:11" x14ac:dyDescent="0.3">
      <c r="A101" t="s">
        <v>226</v>
      </c>
      <c r="B101" s="2" t="s">
        <v>227</v>
      </c>
      <c r="C101">
        <v>37</v>
      </c>
      <c r="D101" s="2" t="s">
        <v>21</v>
      </c>
      <c r="E101" s="2" t="s">
        <v>22</v>
      </c>
      <c r="F101" s="2" t="s">
        <v>15</v>
      </c>
      <c r="G101" s="2" t="s">
        <v>81</v>
      </c>
      <c r="H101" s="2" t="s">
        <v>17</v>
      </c>
      <c r="I101" s="2" t="s">
        <v>18</v>
      </c>
      <c r="J101">
        <v>0.35</v>
      </c>
      <c r="K101" s="4">
        <v>43853</v>
      </c>
    </row>
    <row r="102" spans="1:11" x14ac:dyDescent="0.3">
      <c r="A102" t="s">
        <v>228</v>
      </c>
      <c r="B102" s="2" t="s">
        <v>229</v>
      </c>
      <c r="C102">
        <v>20</v>
      </c>
      <c r="D102" s="2" t="s">
        <v>13</v>
      </c>
      <c r="E102" s="2" t="s">
        <v>30</v>
      </c>
      <c r="F102" s="2" t="s">
        <v>15</v>
      </c>
      <c r="G102" s="2" t="s">
        <v>27</v>
      </c>
      <c r="H102" s="2" t="s">
        <v>18</v>
      </c>
      <c r="I102" s="2" t="s">
        <v>18</v>
      </c>
      <c r="J102">
        <v>0.47</v>
      </c>
      <c r="K102" s="4">
        <v>43185</v>
      </c>
    </row>
    <row r="103" spans="1:11" x14ac:dyDescent="0.3">
      <c r="A103" t="s">
        <v>230</v>
      </c>
      <c r="B103" s="2" t="s">
        <v>231</v>
      </c>
      <c r="C103">
        <v>68</v>
      </c>
      <c r="D103" s="2" t="s">
        <v>21</v>
      </c>
      <c r="E103" s="2" t="s">
        <v>14</v>
      </c>
      <c r="F103" s="2" t="s">
        <v>37</v>
      </c>
      <c r="G103" s="2" t="s">
        <v>66</v>
      </c>
      <c r="H103" s="2" t="s">
        <v>17</v>
      </c>
      <c r="I103" s="2" t="s">
        <v>17</v>
      </c>
      <c r="J103">
        <v>0.54</v>
      </c>
      <c r="K103" s="4">
        <v>43973</v>
      </c>
    </row>
    <row r="104" spans="1:11" x14ac:dyDescent="0.3">
      <c r="A104" t="s">
        <v>232</v>
      </c>
      <c r="B104" s="2" t="s">
        <v>233</v>
      </c>
      <c r="C104">
        <v>38</v>
      </c>
      <c r="D104" s="2" t="s">
        <v>13</v>
      </c>
      <c r="E104" s="2" t="s">
        <v>30</v>
      </c>
      <c r="F104" s="2" t="s">
        <v>37</v>
      </c>
      <c r="G104" s="2" t="s">
        <v>32</v>
      </c>
      <c r="H104" s="2" t="s">
        <v>18</v>
      </c>
      <c r="I104" s="2" t="s">
        <v>18</v>
      </c>
      <c r="J104">
        <v>0.43</v>
      </c>
      <c r="K104" s="4">
        <v>44785</v>
      </c>
    </row>
    <row r="105" spans="1:11" x14ac:dyDescent="0.3">
      <c r="A105" t="s">
        <v>234</v>
      </c>
      <c r="B105" s="2" t="s">
        <v>235</v>
      </c>
      <c r="C105">
        <v>60</v>
      </c>
      <c r="D105" s="2" t="s">
        <v>21</v>
      </c>
      <c r="E105" s="2" t="s">
        <v>14</v>
      </c>
      <c r="F105" s="2" t="s">
        <v>23</v>
      </c>
      <c r="G105" s="2" t="s">
        <v>27</v>
      </c>
      <c r="H105" s="2" t="s">
        <v>17</v>
      </c>
      <c r="I105" s="2" t="s">
        <v>17</v>
      </c>
      <c r="J105">
        <v>0.6</v>
      </c>
      <c r="K105" s="4">
        <v>43108</v>
      </c>
    </row>
    <row r="106" spans="1:11" x14ac:dyDescent="0.3">
      <c r="A106" t="s">
        <v>236</v>
      </c>
      <c r="B106" s="2" t="s">
        <v>237</v>
      </c>
      <c r="C106">
        <v>44</v>
      </c>
      <c r="D106" s="2" t="s">
        <v>13</v>
      </c>
      <c r="E106" s="2" t="s">
        <v>14</v>
      </c>
      <c r="F106" s="2" t="s">
        <v>37</v>
      </c>
      <c r="G106" s="2" t="s">
        <v>27</v>
      </c>
      <c r="H106" s="2" t="s">
        <v>18</v>
      </c>
      <c r="I106" s="2" t="s">
        <v>18</v>
      </c>
      <c r="J106">
        <v>0.5</v>
      </c>
      <c r="K106" s="4">
        <v>44061</v>
      </c>
    </row>
    <row r="107" spans="1:11" x14ac:dyDescent="0.3">
      <c r="A107" t="s">
        <v>238</v>
      </c>
      <c r="B107" s="2" t="s">
        <v>239</v>
      </c>
      <c r="C107">
        <v>23</v>
      </c>
      <c r="D107" s="2" t="s">
        <v>13</v>
      </c>
      <c r="E107" s="2" t="s">
        <v>22</v>
      </c>
      <c r="F107" s="2" t="s">
        <v>15</v>
      </c>
      <c r="G107" s="2" t="s">
        <v>66</v>
      </c>
      <c r="H107" s="2" t="s">
        <v>17</v>
      </c>
      <c r="I107" s="2" t="s">
        <v>17</v>
      </c>
      <c r="J107">
        <v>0.68</v>
      </c>
      <c r="K107" s="4">
        <v>44835</v>
      </c>
    </row>
    <row r="108" spans="1:11" x14ac:dyDescent="0.3">
      <c r="A108" t="s">
        <v>240</v>
      </c>
      <c r="B108" s="2" t="s">
        <v>241</v>
      </c>
      <c r="C108">
        <v>26</v>
      </c>
      <c r="D108" s="2" t="s">
        <v>21</v>
      </c>
      <c r="E108" s="2" t="s">
        <v>22</v>
      </c>
      <c r="F108" s="2" t="s">
        <v>15</v>
      </c>
      <c r="G108" s="2" t="s">
        <v>24</v>
      </c>
      <c r="H108" s="2" t="s">
        <v>18</v>
      </c>
      <c r="I108" s="2" t="s">
        <v>18</v>
      </c>
      <c r="J108">
        <v>0.17</v>
      </c>
      <c r="K108" s="4">
        <v>45149</v>
      </c>
    </row>
    <row r="109" spans="1:11" x14ac:dyDescent="0.3">
      <c r="A109" t="s">
        <v>242</v>
      </c>
      <c r="B109" s="2" t="s">
        <v>243</v>
      </c>
      <c r="C109">
        <v>57</v>
      </c>
      <c r="D109" s="2" t="s">
        <v>21</v>
      </c>
      <c r="E109" s="2" t="s">
        <v>30</v>
      </c>
      <c r="F109" s="2" t="s">
        <v>15</v>
      </c>
      <c r="G109" s="2" t="s">
        <v>81</v>
      </c>
      <c r="H109" s="2" t="s">
        <v>18</v>
      </c>
      <c r="I109" s="2" t="s">
        <v>17</v>
      </c>
      <c r="J109">
        <v>0.47</v>
      </c>
      <c r="K109" s="4">
        <v>44015</v>
      </c>
    </row>
    <row r="110" spans="1:11" x14ac:dyDescent="0.3">
      <c r="A110" t="s">
        <v>244</v>
      </c>
      <c r="B110" s="2" t="s">
        <v>245</v>
      </c>
      <c r="C110">
        <v>50</v>
      </c>
      <c r="D110" s="2" t="s">
        <v>21</v>
      </c>
      <c r="E110" s="2" t="s">
        <v>22</v>
      </c>
      <c r="F110" s="2" t="s">
        <v>31</v>
      </c>
      <c r="G110" s="2" t="s">
        <v>27</v>
      </c>
      <c r="H110" s="2" t="s">
        <v>17</v>
      </c>
      <c r="I110" s="2" t="s">
        <v>17</v>
      </c>
      <c r="J110">
        <v>0.51</v>
      </c>
      <c r="K110" s="4">
        <v>44353</v>
      </c>
    </row>
    <row r="111" spans="1:11" x14ac:dyDescent="0.3">
      <c r="A111" t="s">
        <v>246</v>
      </c>
      <c r="B111" s="2" t="s">
        <v>247</v>
      </c>
      <c r="C111">
        <v>36</v>
      </c>
      <c r="D111" s="2" t="s">
        <v>13</v>
      </c>
      <c r="E111" s="2" t="s">
        <v>14</v>
      </c>
      <c r="F111" s="2" t="s">
        <v>31</v>
      </c>
      <c r="G111" s="2" t="s">
        <v>16</v>
      </c>
      <c r="H111" s="2" t="s">
        <v>18</v>
      </c>
      <c r="I111" s="2" t="s">
        <v>17</v>
      </c>
      <c r="J111">
        <v>0.22</v>
      </c>
      <c r="K111" s="4">
        <v>44131</v>
      </c>
    </row>
    <row r="112" spans="1:11" x14ac:dyDescent="0.3">
      <c r="A112" t="s">
        <v>248</v>
      </c>
      <c r="B112" s="2" t="s">
        <v>249</v>
      </c>
      <c r="C112">
        <v>60</v>
      </c>
      <c r="D112" s="2" t="s">
        <v>13</v>
      </c>
      <c r="E112" s="2" t="s">
        <v>30</v>
      </c>
      <c r="F112" s="2" t="s">
        <v>37</v>
      </c>
      <c r="G112" s="2" t="s">
        <v>32</v>
      </c>
      <c r="H112" s="2" t="s">
        <v>18</v>
      </c>
      <c r="I112" s="2" t="s">
        <v>17</v>
      </c>
      <c r="J112">
        <v>0.38</v>
      </c>
      <c r="K112" s="4">
        <v>44571</v>
      </c>
    </row>
    <row r="113" spans="1:11" x14ac:dyDescent="0.3">
      <c r="A113" t="s">
        <v>250</v>
      </c>
      <c r="B113" s="2" t="s">
        <v>251</v>
      </c>
      <c r="C113">
        <v>34</v>
      </c>
      <c r="D113" s="2" t="s">
        <v>21</v>
      </c>
      <c r="E113" s="2" t="s">
        <v>22</v>
      </c>
      <c r="F113" s="2" t="s">
        <v>37</v>
      </c>
      <c r="G113" s="2" t="s">
        <v>32</v>
      </c>
      <c r="H113" s="2" t="s">
        <v>17</v>
      </c>
      <c r="I113" s="2" t="s">
        <v>17</v>
      </c>
      <c r="J113">
        <v>0.47</v>
      </c>
      <c r="K113" s="4">
        <v>44257</v>
      </c>
    </row>
    <row r="114" spans="1:11" x14ac:dyDescent="0.3">
      <c r="A114" t="s">
        <v>252</v>
      </c>
      <c r="B114" s="2" t="s">
        <v>253</v>
      </c>
      <c r="C114">
        <v>22</v>
      </c>
      <c r="D114" s="2" t="s">
        <v>13</v>
      </c>
      <c r="E114" s="2" t="s">
        <v>22</v>
      </c>
      <c r="F114" s="2" t="s">
        <v>37</v>
      </c>
      <c r="G114" s="2" t="s">
        <v>16</v>
      </c>
      <c r="H114" s="2" t="s">
        <v>18</v>
      </c>
      <c r="I114" s="2" t="s">
        <v>18</v>
      </c>
      <c r="J114">
        <v>0.6</v>
      </c>
      <c r="K114" s="4">
        <v>43812</v>
      </c>
    </row>
    <row r="115" spans="1:11" x14ac:dyDescent="0.3">
      <c r="A115" t="s">
        <v>254</v>
      </c>
      <c r="B115" s="2" t="s">
        <v>255</v>
      </c>
      <c r="C115">
        <v>36</v>
      </c>
      <c r="D115" s="2" t="s">
        <v>21</v>
      </c>
      <c r="E115" s="2" t="s">
        <v>30</v>
      </c>
      <c r="F115" s="2" t="s">
        <v>23</v>
      </c>
      <c r="G115" s="2" t="s">
        <v>66</v>
      </c>
      <c r="H115" s="2" t="s">
        <v>17</v>
      </c>
      <c r="I115" s="2" t="s">
        <v>17</v>
      </c>
      <c r="J115">
        <v>0.4</v>
      </c>
      <c r="K115" s="4">
        <v>45115</v>
      </c>
    </row>
    <row r="116" spans="1:11" x14ac:dyDescent="0.3">
      <c r="A116" t="s">
        <v>256</v>
      </c>
      <c r="B116" s="2" t="s">
        <v>257</v>
      </c>
      <c r="C116">
        <v>50</v>
      </c>
      <c r="D116" s="2" t="s">
        <v>21</v>
      </c>
      <c r="E116" s="2" t="s">
        <v>14</v>
      </c>
      <c r="F116" s="2" t="s">
        <v>15</v>
      </c>
      <c r="G116" s="2" t="s">
        <v>24</v>
      </c>
      <c r="H116" s="2" t="s">
        <v>17</v>
      </c>
      <c r="I116" s="2" t="s">
        <v>18</v>
      </c>
      <c r="J116">
        <v>0.33</v>
      </c>
      <c r="K116" s="4">
        <v>44876</v>
      </c>
    </row>
    <row r="117" spans="1:11" x14ac:dyDescent="0.3">
      <c r="A117" t="s">
        <v>258</v>
      </c>
      <c r="B117" s="2" t="s">
        <v>259</v>
      </c>
      <c r="C117">
        <v>48</v>
      </c>
      <c r="D117" s="2" t="s">
        <v>13</v>
      </c>
      <c r="E117" s="2" t="s">
        <v>30</v>
      </c>
      <c r="F117" s="2" t="s">
        <v>37</v>
      </c>
      <c r="G117" s="2" t="s">
        <v>16</v>
      </c>
      <c r="H117" s="2" t="s">
        <v>18</v>
      </c>
      <c r="I117" s="2" t="s">
        <v>17</v>
      </c>
      <c r="J117">
        <v>0.57999999999999996</v>
      </c>
      <c r="K117" s="4">
        <v>44798</v>
      </c>
    </row>
    <row r="118" spans="1:11" x14ac:dyDescent="0.3">
      <c r="A118" t="s">
        <v>260</v>
      </c>
      <c r="B118" s="2" t="s">
        <v>261</v>
      </c>
      <c r="C118">
        <v>50</v>
      </c>
      <c r="D118" s="2" t="s">
        <v>21</v>
      </c>
      <c r="E118" s="2" t="s">
        <v>22</v>
      </c>
      <c r="F118" s="2" t="s">
        <v>37</v>
      </c>
      <c r="G118" s="2" t="s">
        <v>32</v>
      </c>
      <c r="H118" s="2" t="s">
        <v>18</v>
      </c>
      <c r="I118" s="2" t="s">
        <v>17</v>
      </c>
      <c r="J118">
        <v>0.43</v>
      </c>
      <c r="K118" s="4">
        <v>44101</v>
      </c>
    </row>
    <row r="119" spans="1:11" x14ac:dyDescent="0.3">
      <c r="A119" t="s">
        <v>262</v>
      </c>
      <c r="B119" s="2" t="s">
        <v>263</v>
      </c>
      <c r="C119">
        <v>39</v>
      </c>
      <c r="D119" s="2" t="s">
        <v>13</v>
      </c>
      <c r="E119" s="2" t="s">
        <v>14</v>
      </c>
      <c r="F119" s="2" t="s">
        <v>23</v>
      </c>
      <c r="G119" s="2" t="s">
        <v>24</v>
      </c>
      <c r="H119" s="2" t="s">
        <v>18</v>
      </c>
      <c r="I119" s="2" t="s">
        <v>18</v>
      </c>
      <c r="J119">
        <v>0.45</v>
      </c>
      <c r="K119" s="4">
        <v>45001</v>
      </c>
    </row>
    <row r="120" spans="1:11" x14ac:dyDescent="0.3">
      <c r="A120" t="s">
        <v>264</v>
      </c>
      <c r="B120" s="2" t="s">
        <v>265</v>
      </c>
      <c r="C120">
        <v>20</v>
      </c>
      <c r="D120" s="2" t="s">
        <v>13</v>
      </c>
      <c r="E120" s="2" t="s">
        <v>14</v>
      </c>
      <c r="F120" s="2" t="s">
        <v>15</v>
      </c>
      <c r="G120" s="2" t="s">
        <v>24</v>
      </c>
      <c r="H120" s="2" t="s">
        <v>18</v>
      </c>
      <c r="I120" s="2" t="s">
        <v>18</v>
      </c>
      <c r="J120">
        <v>0.14000000000000001</v>
      </c>
      <c r="K120" s="4">
        <v>44114</v>
      </c>
    </row>
    <row r="121" spans="1:11" x14ac:dyDescent="0.3">
      <c r="A121" t="s">
        <v>266</v>
      </c>
      <c r="B121" s="2" t="s">
        <v>267</v>
      </c>
      <c r="C121">
        <v>46</v>
      </c>
      <c r="D121" s="2" t="s">
        <v>13</v>
      </c>
      <c r="E121" s="2" t="s">
        <v>30</v>
      </c>
      <c r="F121" s="2" t="s">
        <v>37</v>
      </c>
      <c r="G121" s="2" t="s">
        <v>66</v>
      </c>
      <c r="H121" s="2" t="s">
        <v>17</v>
      </c>
      <c r="I121" s="2" t="s">
        <v>17</v>
      </c>
      <c r="J121">
        <v>0.61</v>
      </c>
      <c r="K121" s="4">
        <v>43497</v>
      </c>
    </row>
    <row r="122" spans="1:11" x14ac:dyDescent="0.3">
      <c r="A122" t="s">
        <v>268</v>
      </c>
      <c r="B122" s="2" t="s">
        <v>269</v>
      </c>
      <c r="C122">
        <v>34</v>
      </c>
      <c r="D122" s="2" t="s">
        <v>13</v>
      </c>
      <c r="E122" s="2" t="s">
        <v>14</v>
      </c>
      <c r="F122" s="2" t="s">
        <v>15</v>
      </c>
      <c r="G122" s="2" t="s">
        <v>24</v>
      </c>
      <c r="H122" s="2" t="s">
        <v>18</v>
      </c>
      <c r="I122" s="2" t="s">
        <v>17</v>
      </c>
      <c r="J122">
        <v>0.4</v>
      </c>
      <c r="K122" s="4">
        <v>43333</v>
      </c>
    </row>
    <row r="123" spans="1:11" x14ac:dyDescent="0.3">
      <c r="A123" t="s">
        <v>270</v>
      </c>
      <c r="B123" s="2" t="s">
        <v>271</v>
      </c>
      <c r="C123">
        <v>60</v>
      </c>
      <c r="D123" s="2" t="s">
        <v>13</v>
      </c>
      <c r="E123" s="2" t="s">
        <v>14</v>
      </c>
      <c r="F123" s="2" t="s">
        <v>37</v>
      </c>
      <c r="G123" s="2" t="s">
        <v>32</v>
      </c>
      <c r="H123" s="2" t="s">
        <v>17</v>
      </c>
      <c r="I123" s="2" t="s">
        <v>17</v>
      </c>
      <c r="J123">
        <v>0.98</v>
      </c>
      <c r="K123" s="4">
        <v>43911</v>
      </c>
    </row>
    <row r="124" spans="1:11" x14ac:dyDescent="0.3">
      <c r="A124" t="s">
        <v>272</v>
      </c>
      <c r="B124" s="2" t="s">
        <v>273</v>
      </c>
      <c r="C124">
        <v>33</v>
      </c>
      <c r="D124" s="2" t="s">
        <v>21</v>
      </c>
      <c r="E124" s="2" t="s">
        <v>14</v>
      </c>
      <c r="F124" s="2" t="s">
        <v>15</v>
      </c>
      <c r="G124" s="2" t="s">
        <v>32</v>
      </c>
      <c r="H124" s="2" t="s">
        <v>17</v>
      </c>
      <c r="I124" s="2" t="s">
        <v>18</v>
      </c>
      <c r="J124">
        <v>0.33</v>
      </c>
      <c r="K124" s="4">
        <v>43735</v>
      </c>
    </row>
    <row r="125" spans="1:11" x14ac:dyDescent="0.3">
      <c r="A125" t="s">
        <v>274</v>
      </c>
      <c r="B125" s="2" t="s">
        <v>275</v>
      </c>
      <c r="C125">
        <v>21</v>
      </c>
      <c r="D125" s="2" t="s">
        <v>13</v>
      </c>
      <c r="E125" s="2" t="s">
        <v>14</v>
      </c>
      <c r="F125" s="2" t="s">
        <v>23</v>
      </c>
      <c r="G125" s="2" t="s">
        <v>24</v>
      </c>
      <c r="H125" s="2" t="s">
        <v>17</v>
      </c>
      <c r="I125" s="2" t="s">
        <v>18</v>
      </c>
      <c r="J125">
        <v>0.54</v>
      </c>
      <c r="K125" s="4">
        <v>43373</v>
      </c>
    </row>
    <row r="126" spans="1:11" x14ac:dyDescent="0.3">
      <c r="A126" t="s">
        <v>276</v>
      </c>
      <c r="B126" s="2" t="s">
        <v>277</v>
      </c>
      <c r="C126">
        <v>47</v>
      </c>
      <c r="D126" s="2" t="s">
        <v>13</v>
      </c>
      <c r="E126" s="2" t="s">
        <v>30</v>
      </c>
      <c r="F126" s="2" t="s">
        <v>31</v>
      </c>
      <c r="G126" s="2" t="s">
        <v>32</v>
      </c>
      <c r="H126" s="2" t="s">
        <v>18</v>
      </c>
      <c r="I126" s="2" t="s">
        <v>17</v>
      </c>
      <c r="J126">
        <v>0.39</v>
      </c>
      <c r="K126" s="4">
        <v>44185</v>
      </c>
    </row>
    <row r="127" spans="1:11" x14ac:dyDescent="0.3">
      <c r="A127" t="s">
        <v>278</v>
      </c>
      <c r="B127" s="2" t="s">
        <v>279</v>
      </c>
      <c r="C127">
        <v>40</v>
      </c>
      <c r="D127" s="2" t="s">
        <v>21</v>
      </c>
      <c r="E127" s="2" t="s">
        <v>22</v>
      </c>
      <c r="F127" s="2" t="s">
        <v>31</v>
      </c>
      <c r="G127" s="2" t="s">
        <v>24</v>
      </c>
      <c r="H127" s="2" t="s">
        <v>17</v>
      </c>
      <c r="I127" s="2" t="s">
        <v>18</v>
      </c>
      <c r="J127">
        <v>0.53</v>
      </c>
      <c r="K127" s="4">
        <v>43607</v>
      </c>
    </row>
    <row r="128" spans="1:11" x14ac:dyDescent="0.3">
      <c r="A128" t="s">
        <v>280</v>
      </c>
      <c r="B128" s="2" t="s">
        <v>281</v>
      </c>
      <c r="C128">
        <v>32</v>
      </c>
      <c r="D128" s="2" t="s">
        <v>3326</v>
      </c>
      <c r="E128" s="2" t="s">
        <v>22</v>
      </c>
      <c r="F128" s="2" t="s">
        <v>23</v>
      </c>
      <c r="G128" s="2" t="s">
        <v>81</v>
      </c>
      <c r="H128" s="2" t="s">
        <v>17</v>
      </c>
      <c r="I128" s="2" t="s">
        <v>17</v>
      </c>
      <c r="J128">
        <v>0.6</v>
      </c>
      <c r="K128" s="4">
        <v>44389</v>
      </c>
    </row>
    <row r="129" spans="1:11" x14ac:dyDescent="0.3">
      <c r="A129" t="s">
        <v>282</v>
      </c>
      <c r="B129" s="2" t="s">
        <v>283</v>
      </c>
      <c r="C129">
        <v>54</v>
      </c>
      <c r="D129" s="2" t="s">
        <v>13</v>
      </c>
      <c r="E129" s="2" t="s">
        <v>22</v>
      </c>
      <c r="F129" s="2" t="s">
        <v>37</v>
      </c>
      <c r="G129" s="2" t="s">
        <v>27</v>
      </c>
      <c r="H129" s="2" t="s">
        <v>18</v>
      </c>
      <c r="I129" s="2" t="s">
        <v>17</v>
      </c>
      <c r="J129">
        <v>0.24</v>
      </c>
      <c r="K129" s="4">
        <v>44374</v>
      </c>
    </row>
    <row r="130" spans="1:11" x14ac:dyDescent="0.3">
      <c r="A130" t="s">
        <v>284</v>
      </c>
      <c r="B130" s="2" t="s">
        <v>285</v>
      </c>
      <c r="C130">
        <v>41</v>
      </c>
      <c r="D130" s="2" t="s">
        <v>13</v>
      </c>
      <c r="E130" s="2" t="s">
        <v>14</v>
      </c>
      <c r="F130" s="2" t="s">
        <v>31</v>
      </c>
      <c r="G130" s="2" t="s">
        <v>32</v>
      </c>
      <c r="H130" s="2" t="s">
        <v>18</v>
      </c>
      <c r="I130" s="2" t="s">
        <v>17</v>
      </c>
      <c r="J130">
        <v>0.72</v>
      </c>
      <c r="K130" s="4">
        <v>44618</v>
      </c>
    </row>
    <row r="131" spans="1:11" x14ac:dyDescent="0.3">
      <c r="A131" t="s">
        <v>286</v>
      </c>
      <c r="B131" s="2" t="s">
        <v>287</v>
      </c>
      <c r="C131">
        <v>45</v>
      </c>
      <c r="D131" s="2" t="s">
        <v>13</v>
      </c>
      <c r="E131" s="2" t="s">
        <v>30</v>
      </c>
      <c r="F131" s="2" t="s">
        <v>23</v>
      </c>
      <c r="G131" s="2" t="s">
        <v>66</v>
      </c>
      <c r="H131" s="2" t="s">
        <v>18</v>
      </c>
      <c r="I131" s="2" t="s">
        <v>17</v>
      </c>
      <c r="J131">
        <v>0.78</v>
      </c>
      <c r="K131" s="4">
        <v>43803</v>
      </c>
    </row>
    <row r="132" spans="1:11" x14ac:dyDescent="0.3">
      <c r="A132" t="s">
        <v>288</v>
      </c>
      <c r="B132" s="2" t="s">
        <v>289</v>
      </c>
      <c r="C132">
        <v>38</v>
      </c>
      <c r="D132" s="2" t="s">
        <v>13</v>
      </c>
      <c r="E132" s="2" t="s">
        <v>30</v>
      </c>
      <c r="F132" s="2" t="s">
        <v>23</v>
      </c>
      <c r="G132" s="2" t="s">
        <v>16</v>
      </c>
      <c r="H132" s="2" t="s">
        <v>17</v>
      </c>
      <c r="I132" s="2" t="s">
        <v>18</v>
      </c>
      <c r="J132">
        <v>0.42</v>
      </c>
      <c r="K132" s="4">
        <v>45137</v>
      </c>
    </row>
    <row r="133" spans="1:11" x14ac:dyDescent="0.3">
      <c r="A133" t="s">
        <v>290</v>
      </c>
      <c r="B133" s="2" t="s">
        <v>291</v>
      </c>
      <c r="C133">
        <v>63</v>
      </c>
      <c r="D133" s="2" t="s">
        <v>13</v>
      </c>
      <c r="E133" s="2" t="s">
        <v>22</v>
      </c>
      <c r="F133" s="2" t="s">
        <v>15</v>
      </c>
      <c r="G133" s="2" t="s">
        <v>32</v>
      </c>
      <c r="H133" s="2" t="s">
        <v>17</v>
      </c>
      <c r="I133" s="2" t="s">
        <v>17</v>
      </c>
      <c r="J133">
        <v>0.31</v>
      </c>
      <c r="K133" s="4">
        <v>44308</v>
      </c>
    </row>
    <row r="134" spans="1:11" x14ac:dyDescent="0.3">
      <c r="A134" t="s">
        <v>292</v>
      </c>
      <c r="B134" s="2" t="s">
        <v>293</v>
      </c>
      <c r="C134">
        <v>40</v>
      </c>
      <c r="D134" s="2" t="s">
        <v>13</v>
      </c>
      <c r="E134" s="2" t="s">
        <v>30</v>
      </c>
      <c r="F134" s="2" t="s">
        <v>31</v>
      </c>
      <c r="G134" s="2" t="s">
        <v>24</v>
      </c>
      <c r="H134" s="2" t="s">
        <v>17</v>
      </c>
      <c r="I134" s="2" t="s">
        <v>17</v>
      </c>
      <c r="J134">
        <v>0.27</v>
      </c>
      <c r="K134" s="4">
        <v>45102</v>
      </c>
    </row>
    <row r="135" spans="1:11" x14ac:dyDescent="0.3">
      <c r="A135" t="s">
        <v>294</v>
      </c>
      <c r="B135" s="2" t="s">
        <v>295</v>
      </c>
      <c r="C135">
        <v>41</v>
      </c>
      <c r="D135" s="2" t="s">
        <v>21</v>
      </c>
      <c r="E135" s="2" t="s">
        <v>30</v>
      </c>
      <c r="F135" s="2" t="s">
        <v>37</v>
      </c>
      <c r="G135" s="2" t="s">
        <v>24</v>
      </c>
      <c r="H135" s="2" t="s">
        <v>17</v>
      </c>
      <c r="I135" s="2" t="s">
        <v>17</v>
      </c>
      <c r="J135">
        <v>0.43</v>
      </c>
      <c r="K135" s="4">
        <v>44105</v>
      </c>
    </row>
    <row r="136" spans="1:11" x14ac:dyDescent="0.3">
      <c r="A136" t="s">
        <v>296</v>
      </c>
      <c r="B136" s="2" t="s">
        <v>297</v>
      </c>
      <c r="C136">
        <v>29</v>
      </c>
      <c r="D136" s="2" t="s">
        <v>13</v>
      </c>
      <c r="E136" s="2" t="s">
        <v>30</v>
      </c>
      <c r="F136" s="2" t="s">
        <v>31</v>
      </c>
      <c r="G136" s="2" t="s">
        <v>16</v>
      </c>
      <c r="H136" s="2" t="s">
        <v>17</v>
      </c>
      <c r="I136" s="2" t="s">
        <v>17</v>
      </c>
      <c r="J136">
        <v>0.21</v>
      </c>
      <c r="K136" s="4">
        <v>43616</v>
      </c>
    </row>
    <row r="137" spans="1:11" x14ac:dyDescent="0.3">
      <c r="A137" t="s">
        <v>298</v>
      </c>
      <c r="B137" s="2" t="s">
        <v>299</v>
      </c>
      <c r="C137">
        <v>36</v>
      </c>
      <c r="D137" s="2" t="s">
        <v>21</v>
      </c>
      <c r="E137" s="2" t="s">
        <v>22</v>
      </c>
      <c r="F137" s="2" t="s">
        <v>37</v>
      </c>
      <c r="G137" s="2" t="s">
        <v>66</v>
      </c>
      <c r="H137" s="2" t="s">
        <v>17</v>
      </c>
      <c r="I137" s="2" t="s">
        <v>18</v>
      </c>
      <c r="J137">
        <v>0.83</v>
      </c>
      <c r="K137" s="4">
        <v>43513</v>
      </c>
    </row>
    <row r="138" spans="1:11" x14ac:dyDescent="0.3">
      <c r="A138" t="s">
        <v>300</v>
      </c>
      <c r="B138" s="2" t="s">
        <v>301</v>
      </c>
      <c r="C138">
        <v>19</v>
      </c>
      <c r="D138" s="2" t="s">
        <v>21</v>
      </c>
      <c r="E138" s="2" t="s">
        <v>30</v>
      </c>
      <c r="F138" s="2" t="s">
        <v>37</v>
      </c>
      <c r="G138" s="2" t="s">
        <v>66</v>
      </c>
      <c r="H138" s="2" t="s">
        <v>18</v>
      </c>
      <c r="I138" s="2" t="s">
        <v>17</v>
      </c>
      <c r="J138">
        <v>0.69</v>
      </c>
      <c r="K138" s="4">
        <v>43279</v>
      </c>
    </row>
    <row r="139" spans="1:11" x14ac:dyDescent="0.3">
      <c r="A139" t="s">
        <v>302</v>
      </c>
      <c r="B139" s="2" t="s">
        <v>303</v>
      </c>
      <c r="C139">
        <v>38</v>
      </c>
      <c r="D139" s="2" t="s">
        <v>13</v>
      </c>
      <c r="E139" s="2" t="s">
        <v>30</v>
      </c>
      <c r="F139" s="2" t="s">
        <v>23</v>
      </c>
      <c r="G139" s="2" t="s">
        <v>81</v>
      </c>
      <c r="H139" s="2" t="s">
        <v>18</v>
      </c>
      <c r="I139" s="2" t="s">
        <v>18</v>
      </c>
      <c r="J139">
        <v>0.62</v>
      </c>
      <c r="K139" s="4">
        <v>44136</v>
      </c>
    </row>
    <row r="140" spans="1:11" x14ac:dyDescent="0.3">
      <c r="A140" t="s">
        <v>304</v>
      </c>
      <c r="B140" s="2" t="s">
        <v>305</v>
      </c>
      <c r="C140">
        <v>67</v>
      </c>
      <c r="D140" s="2" t="s">
        <v>21</v>
      </c>
      <c r="E140" s="2" t="s">
        <v>14</v>
      </c>
      <c r="F140" s="2" t="s">
        <v>15</v>
      </c>
      <c r="G140" s="2" t="s">
        <v>81</v>
      </c>
      <c r="H140" s="2" t="s">
        <v>18</v>
      </c>
      <c r="I140" s="2" t="s">
        <v>17</v>
      </c>
      <c r="J140">
        <v>0.39</v>
      </c>
      <c r="K140" s="4">
        <v>43658</v>
      </c>
    </row>
    <row r="141" spans="1:11" x14ac:dyDescent="0.3">
      <c r="A141" t="s">
        <v>306</v>
      </c>
      <c r="B141" s="2" t="s">
        <v>307</v>
      </c>
      <c r="C141">
        <v>36</v>
      </c>
      <c r="D141" s="2" t="s">
        <v>21</v>
      </c>
      <c r="E141" s="2" t="s">
        <v>22</v>
      </c>
      <c r="F141" s="2" t="s">
        <v>23</v>
      </c>
      <c r="G141" s="2" t="s">
        <v>66</v>
      </c>
      <c r="H141" s="2" t="s">
        <v>17</v>
      </c>
      <c r="I141" s="2" t="s">
        <v>17</v>
      </c>
      <c r="J141">
        <v>0.56000000000000005</v>
      </c>
      <c r="K141" s="4">
        <v>43925</v>
      </c>
    </row>
    <row r="142" spans="1:11" x14ac:dyDescent="0.3">
      <c r="A142" t="s">
        <v>308</v>
      </c>
      <c r="B142" s="2" t="s">
        <v>309</v>
      </c>
      <c r="C142">
        <v>49</v>
      </c>
      <c r="D142" s="2" t="s">
        <v>13</v>
      </c>
      <c r="E142" s="2" t="s">
        <v>22</v>
      </c>
      <c r="F142" s="2" t="s">
        <v>15</v>
      </c>
      <c r="G142" s="2" t="s">
        <v>27</v>
      </c>
      <c r="H142" s="2" t="s">
        <v>18</v>
      </c>
      <c r="I142" s="2" t="s">
        <v>18</v>
      </c>
      <c r="J142">
        <v>0.57999999999999996</v>
      </c>
      <c r="K142" s="4">
        <v>44623</v>
      </c>
    </row>
    <row r="143" spans="1:11" x14ac:dyDescent="0.3">
      <c r="A143" t="s">
        <v>310</v>
      </c>
      <c r="B143" s="2" t="s">
        <v>311</v>
      </c>
      <c r="C143">
        <v>45</v>
      </c>
      <c r="D143" s="2" t="s">
        <v>21</v>
      </c>
      <c r="E143" s="2" t="s">
        <v>30</v>
      </c>
      <c r="F143" s="2" t="s">
        <v>31</v>
      </c>
      <c r="G143" s="2" t="s">
        <v>16</v>
      </c>
      <c r="H143" s="2" t="s">
        <v>17</v>
      </c>
      <c r="I143" s="2" t="s">
        <v>18</v>
      </c>
      <c r="J143">
        <v>0.49</v>
      </c>
      <c r="K143" s="4">
        <v>44095</v>
      </c>
    </row>
    <row r="144" spans="1:11" x14ac:dyDescent="0.3">
      <c r="A144" t="s">
        <v>312</v>
      </c>
      <c r="B144" s="2" t="s">
        <v>313</v>
      </c>
      <c r="C144">
        <v>41</v>
      </c>
      <c r="D144" s="2" t="s">
        <v>21</v>
      </c>
      <c r="E144" s="2" t="s">
        <v>14</v>
      </c>
      <c r="F144" s="2" t="s">
        <v>15</v>
      </c>
      <c r="G144" s="2" t="s">
        <v>81</v>
      </c>
      <c r="H144" s="2" t="s">
        <v>17</v>
      </c>
      <c r="I144" s="2" t="s">
        <v>17</v>
      </c>
      <c r="J144">
        <v>0.28999999999999998</v>
      </c>
      <c r="K144" s="4">
        <v>44176</v>
      </c>
    </row>
    <row r="145" spans="1:11" x14ac:dyDescent="0.3">
      <c r="A145" t="s">
        <v>314</v>
      </c>
      <c r="B145" s="2" t="s">
        <v>315</v>
      </c>
      <c r="C145">
        <v>21</v>
      </c>
      <c r="D145" s="2" t="s">
        <v>21</v>
      </c>
      <c r="E145" s="2" t="s">
        <v>22</v>
      </c>
      <c r="F145" s="2" t="s">
        <v>31</v>
      </c>
      <c r="G145" s="2" t="s">
        <v>16</v>
      </c>
      <c r="H145" s="2" t="s">
        <v>18</v>
      </c>
      <c r="I145" s="2" t="s">
        <v>18</v>
      </c>
      <c r="J145">
        <v>0.41</v>
      </c>
      <c r="K145" s="4">
        <v>43644</v>
      </c>
    </row>
    <row r="146" spans="1:11" x14ac:dyDescent="0.3">
      <c r="A146" t="s">
        <v>316</v>
      </c>
      <c r="B146" s="2" t="s">
        <v>317</v>
      </c>
      <c r="C146">
        <v>19</v>
      </c>
      <c r="D146" s="2" t="s">
        <v>13</v>
      </c>
      <c r="E146" s="2" t="s">
        <v>22</v>
      </c>
      <c r="F146" s="2" t="s">
        <v>37</v>
      </c>
      <c r="G146" s="2" t="s">
        <v>27</v>
      </c>
      <c r="H146" s="2" t="s">
        <v>18</v>
      </c>
      <c r="I146" s="2" t="s">
        <v>18</v>
      </c>
      <c r="J146">
        <v>0.61</v>
      </c>
      <c r="K146" s="4">
        <v>43955</v>
      </c>
    </row>
    <row r="147" spans="1:11" x14ac:dyDescent="0.3">
      <c r="A147" t="s">
        <v>318</v>
      </c>
      <c r="B147" s="2" t="s">
        <v>319</v>
      </c>
      <c r="C147">
        <v>42</v>
      </c>
      <c r="D147" s="2" t="s">
        <v>21</v>
      </c>
      <c r="E147" s="2" t="s">
        <v>22</v>
      </c>
      <c r="F147" s="2" t="s">
        <v>31</v>
      </c>
      <c r="G147" s="2" t="s">
        <v>16</v>
      </c>
      <c r="H147" s="2" t="s">
        <v>17</v>
      </c>
      <c r="I147" s="2" t="s">
        <v>18</v>
      </c>
      <c r="J147">
        <v>0.56999999999999995</v>
      </c>
      <c r="K147" s="4">
        <v>44991</v>
      </c>
    </row>
    <row r="148" spans="1:11" x14ac:dyDescent="0.3">
      <c r="A148" t="s">
        <v>320</v>
      </c>
      <c r="B148" s="2" t="s">
        <v>321</v>
      </c>
      <c r="C148">
        <v>33</v>
      </c>
      <c r="D148" s="2" t="s">
        <v>21</v>
      </c>
      <c r="E148" s="2" t="s">
        <v>30</v>
      </c>
      <c r="F148" s="2" t="s">
        <v>23</v>
      </c>
      <c r="G148" s="2" t="s">
        <v>66</v>
      </c>
      <c r="H148" s="2" t="s">
        <v>17</v>
      </c>
      <c r="I148" s="2" t="s">
        <v>18</v>
      </c>
      <c r="J148">
        <v>0.63</v>
      </c>
      <c r="K148" s="4">
        <v>44240</v>
      </c>
    </row>
    <row r="149" spans="1:11" x14ac:dyDescent="0.3">
      <c r="A149" t="s">
        <v>322</v>
      </c>
      <c r="B149" s="2" t="s">
        <v>323</v>
      </c>
      <c r="C149">
        <v>58</v>
      </c>
      <c r="D149" s="2" t="s">
        <v>21</v>
      </c>
      <c r="E149" s="2" t="s">
        <v>30</v>
      </c>
      <c r="F149" s="2" t="s">
        <v>37</v>
      </c>
      <c r="G149" s="2" t="s">
        <v>27</v>
      </c>
      <c r="H149" s="2" t="s">
        <v>18</v>
      </c>
      <c r="I149" s="2" t="s">
        <v>18</v>
      </c>
      <c r="J149">
        <v>0.35</v>
      </c>
      <c r="K149" s="4">
        <v>44648</v>
      </c>
    </row>
    <row r="150" spans="1:11" x14ac:dyDescent="0.3">
      <c r="A150" t="s">
        <v>324</v>
      </c>
      <c r="B150" s="2" t="s">
        <v>325</v>
      </c>
      <c r="C150">
        <v>66</v>
      </c>
      <c r="D150" s="2" t="s">
        <v>13</v>
      </c>
      <c r="E150" s="2" t="s">
        <v>22</v>
      </c>
      <c r="F150" s="2" t="s">
        <v>23</v>
      </c>
      <c r="G150" s="2" t="s">
        <v>27</v>
      </c>
      <c r="H150" s="2" t="s">
        <v>18</v>
      </c>
      <c r="I150" s="2" t="s">
        <v>17</v>
      </c>
      <c r="J150">
        <v>0.63</v>
      </c>
      <c r="K150" s="4">
        <v>43127</v>
      </c>
    </row>
    <row r="151" spans="1:11" x14ac:dyDescent="0.3">
      <c r="A151" t="s">
        <v>326</v>
      </c>
      <c r="B151" s="2" t="s">
        <v>327</v>
      </c>
      <c r="C151">
        <v>46</v>
      </c>
      <c r="D151" s="2" t="s">
        <v>13</v>
      </c>
      <c r="E151" s="2" t="s">
        <v>22</v>
      </c>
      <c r="F151" s="2" t="s">
        <v>31</v>
      </c>
      <c r="G151" s="2" t="s">
        <v>81</v>
      </c>
      <c r="H151" s="2" t="s">
        <v>18</v>
      </c>
      <c r="I151" s="2" t="s">
        <v>18</v>
      </c>
      <c r="J151">
        <v>0.25</v>
      </c>
      <c r="K151" s="4">
        <v>45054</v>
      </c>
    </row>
    <row r="152" spans="1:11" x14ac:dyDescent="0.3">
      <c r="A152" t="s">
        <v>328</v>
      </c>
      <c r="B152" s="2" t="s">
        <v>329</v>
      </c>
      <c r="C152">
        <v>69</v>
      </c>
      <c r="D152" s="2" t="s">
        <v>21</v>
      </c>
      <c r="E152" s="2" t="s">
        <v>22</v>
      </c>
      <c r="F152" s="2" t="s">
        <v>37</v>
      </c>
      <c r="G152" s="2" t="s">
        <v>81</v>
      </c>
      <c r="H152" s="2" t="s">
        <v>17</v>
      </c>
      <c r="I152" s="2" t="s">
        <v>18</v>
      </c>
      <c r="J152">
        <v>0.92</v>
      </c>
      <c r="K152" s="4">
        <v>45255</v>
      </c>
    </row>
    <row r="153" spans="1:11" x14ac:dyDescent="0.3">
      <c r="A153" t="s">
        <v>330</v>
      </c>
      <c r="B153" s="2" t="s">
        <v>331</v>
      </c>
      <c r="C153">
        <v>28</v>
      </c>
      <c r="D153" s="2" t="s">
        <v>13</v>
      </c>
      <c r="E153" s="2" t="s">
        <v>30</v>
      </c>
      <c r="F153" s="2" t="s">
        <v>15</v>
      </c>
      <c r="G153" s="2" t="s">
        <v>16</v>
      </c>
      <c r="H153" s="2" t="s">
        <v>17</v>
      </c>
      <c r="I153" s="2" t="s">
        <v>17</v>
      </c>
      <c r="J153">
        <v>0.45</v>
      </c>
      <c r="K153" s="4">
        <v>43848</v>
      </c>
    </row>
    <row r="154" spans="1:11" x14ac:dyDescent="0.3">
      <c r="A154" t="s">
        <v>332</v>
      </c>
      <c r="B154" s="2" t="s">
        <v>333</v>
      </c>
      <c r="C154">
        <v>66</v>
      </c>
      <c r="D154" s="2" t="s">
        <v>13</v>
      </c>
      <c r="E154" s="2" t="s">
        <v>22</v>
      </c>
      <c r="F154" s="2" t="s">
        <v>31</v>
      </c>
      <c r="G154" s="2" t="s">
        <v>24</v>
      </c>
      <c r="H154" s="2" t="s">
        <v>17</v>
      </c>
      <c r="I154" s="2" t="s">
        <v>18</v>
      </c>
      <c r="J154">
        <v>0.53</v>
      </c>
      <c r="K154" s="4">
        <v>44039</v>
      </c>
    </row>
    <row r="155" spans="1:11" x14ac:dyDescent="0.3">
      <c r="A155" t="s">
        <v>334</v>
      </c>
      <c r="B155" s="2" t="s">
        <v>335</v>
      </c>
      <c r="C155">
        <v>55</v>
      </c>
      <c r="D155" s="2" t="s">
        <v>21</v>
      </c>
      <c r="E155" s="2" t="s">
        <v>14</v>
      </c>
      <c r="F155" s="2" t="s">
        <v>31</v>
      </c>
      <c r="G155" s="2" t="s">
        <v>66</v>
      </c>
      <c r="H155" s="2" t="s">
        <v>17</v>
      </c>
      <c r="I155" s="2" t="s">
        <v>18</v>
      </c>
      <c r="J155">
        <v>0.72</v>
      </c>
      <c r="K155" s="4">
        <v>44814</v>
      </c>
    </row>
    <row r="156" spans="1:11" x14ac:dyDescent="0.3">
      <c r="A156" t="s">
        <v>336</v>
      </c>
      <c r="B156" s="2" t="s">
        <v>337</v>
      </c>
      <c r="C156">
        <v>29</v>
      </c>
      <c r="D156" s="2" t="s">
        <v>21</v>
      </c>
      <c r="E156" s="2" t="s">
        <v>14</v>
      </c>
      <c r="F156" s="2" t="s">
        <v>15</v>
      </c>
      <c r="G156" s="2" t="s">
        <v>16</v>
      </c>
      <c r="H156" s="2" t="s">
        <v>18</v>
      </c>
      <c r="I156" s="2" t="s">
        <v>18</v>
      </c>
      <c r="J156">
        <v>0.56000000000000005</v>
      </c>
      <c r="K156" s="4">
        <v>44155</v>
      </c>
    </row>
    <row r="157" spans="1:11" x14ac:dyDescent="0.3">
      <c r="A157" t="s">
        <v>338</v>
      </c>
      <c r="B157" s="2" t="s">
        <v>339</v>
      </c>
      <c r="C157">
        <v>28</v>
      </c>
      <c r="D157" s="2" t="s">
        <v>13</v>
      </c>
      <c r="E157" s="2" t="s">
        <v>22</v>
      </c>
      <c r="F157" s="2" t="s">
        <v>37</v>
      </c>
      <c r="G157" s="2" t="s">
        <v>66</v>
      </c>
      <c r="H157" s="2" t="s">
        <v>17</v>
      </c>
      <c r="I157" s="2" t="s">
        <v>17</v>
      </c>
      <c r="J157">
        <v>0.3</v>
      </c>
      <c r="K157" s="4">
        <v>44507</v>
      </c>
    </row>
    <row r="158" spans="1:11" x14ac:dyDescent="0.3">
      <c r="A158" t="s">
        <v>340</v>
      </c>
      <c r="B158" s="2" t="s">
        <v>341</v>
      </c>
      <c r="C158">
        <v>41</v>
      </c>
      <c r="D158" s="2" t="s">
        <v>13</v>
      </c>
      <c r="E158" s="2" t="s">
        <v>14</v>
      </c>
      <c r="F158" s="2" t="s">
        <v>37</v>
      </c>
      <c r="G158" s="2" t="s">
        <v>32</v>
      </c>
      <c r="H158" s="2" t="s">
        <v>18</v>
      </c>
      <c r="I158" s="2" t="s">
        <v>18</v>
      </c>
      <c r="J158">
        <v>0.8</v>
      </c>
      <c r="K158" s="4">
        <v>43369</v>
      </c>
    </row>
    <row r="159" spans="1:11" x14ac:dyDescent="0.3">
      <c r="A159" t="s">
        <v>342</v>
      </c>
      <c r="B159" s="2" t="s">
        <v>343</v>
      </c>
      <c r="C159">
        <v>21</v>
      </c>
      <c r="D159" s="2" t="s">
        <v>21</v>
      </c>
      <c r="E159" s="2" t="s">
        <v>14</v>
      </c>
      <c r="F159" s="2" t="s">
        <v>23</v>
      </c>
      <c r="G159" s="2" t="s">
        <v>66</v>
      </c>
      <c r="H159" s="2" t="s">
        <v>17</v>
      </c>
      <c r="I159" s="2" t="s">
        <v>18</v>
      </c>
      <c r="J159">
        <v>0.6</v>
      </c>
      <c r="K159" s="4">
        <v>45051</v>
      </c>
    </row>
    <row r="160" spans="1:11" x14ac:dyDescent="0.3">
      <c r="A160" t="s">
        <v>344</v>
      </c>
      <c r="B160" s="2" t="s">
        <v>345</v>
      </c>
      <c r="C160">
        <v>19</v>
      </c>
      <c r="D160" s="2" t="s">
        <v>13</v>
      </c>
      <c r="E160" s="2" t="s">
        <v>14</v>
      </c>
      <c r="F160" s="2" t="s">
        <v>15</v>
      </c>
      <c r="G160" s="2" t="s">
        <v>16</v>
      </c>
      <c r="H160" s="2" t="s">
        <v>18</v>
      </c>
      <c r="I160" s="2" t="s">
        <v>18</v>
      </c>
      <c r="J160">
        <v>0.55000000000000004</v>
      </c>
      <c r="K160" s="4">
        <v>43634</v>
      </c>
    </row>
    <row r="161" spans="1:11" x14ac:dyDescent="0.3">
      <c r="A161" t="s">
        <v>346</v>
      </c>
      <c r="B161" s="2" t="s">
        <v>347</v>
      </c>
      <c r="C161">
        <v>41</v>
      </c>
      <c r="D161" s="2" t="s">
        <v>21</v>
      </c>
      <c r="E161" s="2" t="s">
        <v>14</v>
      </c>
      <c r="F161" s="2" t="s">
        <v>37</v>
      </c>
      <c r="G161" s="2" t="s">
        <v>27</v>
      </c>
      <c r="H161" s="2" t="s">
        <v>17</v>
      </c>
      <c r="I161" s="2" t="s">
        <v>17</v>
      </c>
      <c r="J161">
        <v>0.28999999999999998</v>
      </c>
      <c r="K161" s="4">
        <v>43312</v>
      </c>
    </row>
    <row r="162" spans="1:11" x14ac:dyDescent="0.3">
      <c r="A162" t="s">
        <v>348</v>
      </c>
      <c r="B162" s="2" t="s">
        <v>349</v>
      </c>
      <c r="C162">
        <v>56</v>
      </c>
      <c r="D162" s="2" t="s">
        <v>13</v>
      </c>
      <c r="E162" s="2" t="s">
        <v>30</v>
      </c>
      <c r="F162" s="2" t="s">
        <v>23</v>
      </c>
      <c r="G162" s="2" t="s">
        <v>27</v>
      </c>
      <c r="H162" s="2" t="s">
        <v>18</v>
      </c>
      <c r="I162" s="2" t="s">
        <v>17</v>
      </c>
      <c r="J162">
        <v>0.28999999999999998</v>
      </c>
      <c r="K162" s="4">
        <v>43718</v>
      </c>
    </row>
    <row r="163" spans="1:11" x14ac:dyDescent="0.3">
      <c r="A163" t="s">
        <v>350</v>
      </c>
      <c r="B163" s="2" t="s">
        <v>351</v>
      </c>
      <c r="C163">
        <v>51</v>
      </c>
      <c r="D163" s="2" t="s">
        <v>21</v>
      </c>
      <c r="E163" s="2" t="s">
        <v>30</v>
      </c>
      <c r="F163" s="2" t="s">
        <v>31</v>
      </c>
      <c r="G163" s="2" t="s">
        <v>32</v>
      </c>
      <c r="H163" s="2" t="s">
        <v>17</v>
      </c>
      <c r="I163" s="2" t="s">
        <v>17</v>
      </c>
      <c r="J163">
        <v>0.34</v>
      </c>
      <c r="K163" s="4">
        <v>43255</v>
      </c>
    </row>
    <row r="164" spans="1:11" x14ac:dyDescent="0.3">
      <c r="A164" t="s">
        <v>352</v>
      </c>
      <c r="B164" s="2" t="s">
        <v>353</v>
      </c>
      <c r="C164">
        <v>67</v>
      </c>
      <c r="D164" s="2" t="s">
        <v>13</v>
      </c>
      <c r="E164" s="2" t="s">
        <v>30</v>
      </c>
      <c r="F164" s="2" t="s">
        <v>37</v>
      </c>
      <c r="G164" s="2" t="s">
        <v>16</v>
      </c>
      <c r="H164" s="2" t="s">
        <v>18</v>
      </c>
      <c r="I164" s="2" t="s">
        <v>18</v>
      </c>
      <c r="J164">
        <v>0.68</v>
      </c>
      <c r="K164" s="4">
        <v>43786</v>
      </c>
    </row>
    <row r="165" spans="1:11" x14ac:dyDescent="0.3">
      <c r="A165" t="s">
        <v>354</v>
      </c>
      <c r="B165" s="2" t="s">
        <v>355</v>
      </c>
      <c r="C165">
        <v>37</v>
      </c>
      <c r="D165" s="2" t="s">
        <v>13</v>
      </c>
      <c r="E165" s="2" t="s">
        <v>14</v>
      </c>
      <c r="F165" s="2" t="s">
        <v>23</v>
      </c>
      <c r="G165" s="2" t="s">
        <v>16</v>
      </c>
      <c r="H165" s="2" t="s">
        <v>18</v>
      </c>
      <c r="I165" s="2" t="s">
        <v>17</v>
      </c>
      <c r="J165">
        <v>0.88</v>
      </c>
      <c r="K165" s="4">
        <v>43375</v>
      </c>
    </row>
    <row r="166" spans="1:11" x14ac:dyDescent="0.3">
      <c r="A166" t="s">
        <v>356</v>
      </c>
      <c r="B166" s="2" t="s">
        <v>357</v>
      </c>
      <c r="C166">
        <v>58</v>
      </c>
      <c r="D166" s="2" t="s">
        <v>21</v>
      </c>
      <c r="E166" s="2" t="s">
        <v>30</v>
      </c>
      <c r="F166" s="2" t="s">
        <v>23</v>
      </c>
      <c r="G166" s="2" t="s">
        <v>32</v>
      </c>
      <c r="H166" s="2" t="s">
        <v>17</v>
      </c>
      <c r="I166" s="2" t="s">
        <v>18</v>
      </c>
      <c r="J166">
        <v>0.28999999999999998</v>
      </c>
      <c r="K166" s="4">
        <v>44006</v>
      </c>
    </row>
    <row r="167" spans="1:11" x14ac:dyDescent="0.3">
      <c r="A167" t="s">
        <v>358</v>
      </c>
      <c r="B167" s="2" t="s">
        <v>359</v>
      </c>
      <c r="C167">
        <v>56</v>
      </c>
      <c r="D167" s="2" t="s">
        <v>13</v>
      </c>
      <c r="E167" s="2" t="s">
        <v>30</v>
      </c>
      <c r="F167" s="2" t="s">
        <v>37</v>
      </c>
      <c r="G167" s="2" t="s">
        <v>27</v>
      </c>
      <c r="H167" s="2" t="s">
        <v>17</v>
      </c>
      <c r="I167" s="2" t="s">
        <v>17</v>
      </c>
      <c r="J167">
        <v>0.1</v>
      </c>
      <c r="K167" s="4">
        <v>43821</v>
      </c>
    </row>
    <row r="168" spans="1:11" x14ac:dyDescent="0.3">
      <c r="A168" t="s">
        <v>360</v>
      </c>
      <c r="B168" s="2" t="s">
        <v>361</v>
      </c>
      <c r="C168">
        <v>45</v>
      </c>
      <c r="D168" s="2" t="s">
        <v>13</v>
      </c>
      <c r="E168" s="2" t="s">
        <v>30</v>
      </c>
      <c r="F168" s="2" t="s">
        <v>15</v>
      </c>
      <c r="G168" s="2" t="s">
        <v>81</v>
      </c>
      <c r="H168" s="2" t="s">
        <v>17</v>
      </c>
      <c r="I168" s="2" t="s">
        <v>17</v>
      </c>
      <c r="J168">
        <v>0.65</v>
      </c>
      <c r="K168" s="4">
        <v>43625</v>
      </c>
    </row>
    <row r="169" spans="1:11" x14ac:dyDescent="0.3">
      <c r="A169" t="s">
        <v>362</v>
      </c>
      <c r="B169" s="2" t="s">
        <v>363</v>
      </c>
      <c r="C169">
        <v>45</v>
      </c>
      <c r="D169" s="2" t="s">
        <v>21</v>
      </c>
      <c r="E169" s="2" t="s">
        <v>14</v>
      </c>
      <c r="F169" s="2" t="s">
        <v>15</v>
      </c>
      <c r="G169" s="2" t="s">
        <v>24</v>
      </c>
      <c r="H169" s="2" t="s">
        <v>18</v>
      </c>
      <c r="I169" s="2" t="s">
        <v>18</v>
      </c>
      <c r="J169">
        <v>0.55000000000000004</v>
      </c>
      <c r="K169" s="4">
        <v>44280</v>
      </c>
    </row>
    <row r="170" spans="1:11" x14ac:dyDescent="0.3">
      <c r="A170" t="s">
        <v>364</v>
      </c>
      <c r="B170" s="2" t="s">
        <v>365</v>
      </c>
      <c r="C170">
        <v>48</v>
      </c>
      <c r="D170" s="2" t="s">
        <v>13</v>
      </c>
      <c r="E170" s="2" t="s">
        <v>14</v>
      </c>
      <c r="F170" s="2" t="s">
        <v>37</v>
      </c>
      <c r="G170" s="2" t="s">
        <v>32</v>
      </c>
      <c r="H170" s="2" t="s">
        <v>17</v>
      </c>
      <c r="I170" s="2" t="s">
        <v>17</v>
      </c>
      <c r="J170">
        <v>0.04</v>
      </c>
      <c r="K170" s="4">
        <v>43289</v>
      </c>
    </row>
    <row r="171" spans="1:11" x14ac:dyDescent="0.3">
      <c r="A171" t="s">
        <v>366</v>
      </c>
      <c r="B171" s="2" t="s">
        <v>367</v>
      </c>
      <c r="C171">
        <v>64</v>
      </c>
      <c r="D171" s="2" t="s">
        <v>21</v>
      </c>
      <c r="E171" s="2" t="s">
        <v>30</v>
      </c>
      <c r="F171" s="2" t="s">
        <v>31</v>
      </c>
      <c r="G171" s="2" t="s">
        <v>27</v>
      </c>
      <c r="H171" s="2" t="s">
        <v>17</v>
      </c>
      <c r="I171" s="2" t="s">
        <v>17</v>
      </c>
      <c r="J171">
        <v>0.61</v>
      </c>
      <c r="K171" s="4">
        <v>44169</v>
      </c>
    </row>
    <row r="172" spans="1:11" x14ac:dyDescent="0.3">
      <c r="A172" t="s">
        <v>368</v>
      </c>
      <c r="B172" s="2" t="s">
        <v>369</v>
      </c>
      <c r="C172">
        <v>20</v>
      </c>
      <c r="D172" s="2" t="s">
        <v>13</v>
      </c>
      <c r="E172" s="2" t="s">
        <v>30</v>
      </c>
      <c r="F172" s="2" t="s">
        <v>31</v>
      </c>
      <c r="G172" s="2" t="s">
        <v>81</v>
      </c>
      <c r="H172" s="2" t="s">
        <v>17</v>
      </c>
      <c r="I172" s="2" t="s">
        <v>18</v>
      </c>
      <c r="J172">
        <v>0.4</v>
      </c>
      <c r="K172" s="4">
        <v>44844</v>
      </c>
    </row>
    <row r="173" spans="1:11" x14ac:dyDescent="0.3">
      <c r="A173" t="s">
        <v>370</v>
      </c>
      <c r="B173" s="2" t="s">
        <v>371</v>
      </c>
      <c r="C173">
        <v>22</v>
      </c>
      <c r="D173" s="2" t="s">
        <v>13</v>
      </c>
      <c r="E173" s="2" t="s">
        <v>22</v>
      </c>
      <c r="F173" s="2" t="s">
        <v>15</v>
      </c>
      <c r="G173" s="2" t="s">
        <v>81</v>
      </c>
      <c r="H173" s="2" t="s">
        <v>18</v>
      </c>
      <c r="I173" s="2" t="s">
        <v>17</v>
      </c>
      <c r="J173">
        <v>0.37</v>
      </c>
      <c r="K173" s="4">
        <v>44399</v>
      </c>
    </row>
    <row r="174" spans="1:11" x14ac:dyDescent="0.3">
      <c r="A174" t="s">
        <v>372</v>
      </c>
      <c r="B174" s="2" t="s">
        <v>373</v>
      </c>
      <c r="C174">
        <v>34</v>
      </c>
      <c r="D174" s="2" t="s">
        <v>13</v>
      </c>
      <c r="E174" s="2" t="s">
        <v>30</v>
      </c>
      <c r="F174" s="2" t="s">
        <v>15</v>
      </c>
      <c r="G174" s="2" t="s">
        <v>27</v>
      </c>
      <c r="H174" s="2" t="s">
        <v>18</v>
      </c>
      <c r="I174" s="2" t="s">
        <v>18</v>
      </c>
      <c r="J174">
        <v>0.61</v>
      </c>
      <c r="K174" s="4">
        <v>44242</v>
      </c>
    </row>
    <row r="175" spans="1:11" x14ac:dyDescent="0.3">
      <c r="A175" t="s">
        <v>374</v>
      </c>
      <c r="B175" s="2" t="s">
        <v>375</v>
      </c>
      <c r="C175">
        <v>30</v>
      </c>
      <c r="D175" s="2" t="s">
        <v>13</v>
      </c>
      <c r="E175" s="2" t="s">
        <v>30</v>
      </c>
      <c r="F175" s="2" t="s">
        <v>23</v>
      </c>
      <c r="G175" s="2" t="s">
        <v>16</v>
      </c>
      <c r="H175" s="2" t="s">
        <v>18</v>
      </c>
      <c r="I175" s="2" t="s">
        <v>17</v>
      </c>
      <c r="J175">
        <v>0.57999999999999996</v>
      </c>
      <c r="K175" s="4">
        <v>44512</v>
      </c>
    </row>
    <row r="176" spans="1:11" x14ac:dyDescent="0.3">
      <c r="A176" t="s">
        <v>376</v>
      </c>
      <c r="B176" s="2" t="s">
        <v>377</v>
      </c>
      <c r="C176">
        <v>33</v>
      </c>
      <c r="D176" s="2" t="s">
        <v>13</v>
      </c>
      <c r="E176" s="2" t="s">
        <v>22</v>
      </c>
      <c r="F176" s="2" t="s">
        <v>15</v>
      </c>
      <c r="G176" s="2" t="s">
        <v>24</v>
      </c>
      <c r="H176" s="2" t="s">
        <v>17</v>
      </c>
      <c r="I176" s="2" t="s">
        <v>18</v>
      </c>
      <c r="J176">
        <v>0.33</v>
      </c>
      <c r="K176" s="4">
        <v>44870</v>
      </c>
    </row>
    <row r="177" spans="1:11" x14ac:dyDescent="0.3">
      <c r="A177" t="s">
        <v>378</v>
      </c>
      <c r="B177" s="2" t="s">
        <v>379</v>
      </c>
      <c r="C177">
        <v>54</v>
      </c>
      <c r="D177" s="2" t="s">
        <v>13</v>
      </c>
      <c r="E177" s="2" t="s">
        <v>14</v>
      </c>
      <c r="F177" s="2" t="s">
        <v>31</v>
      </c>
      <c r="G177" s="2" t="s">
        <v>66</v>
      </c>
      <c r="H177" s="2" t="s">
        <v>18</v>
      </c>
      <c r="I177" s="2" t="s">
        <v>17</v>
      </c>
      <c r="J177">
        <v>0.11</v>
      </c>
      <c r="K177" s="4">
        <v>43954</v>
      </c>
    </row>
    <row r="178" spans="1:11" x14ac:dyDescent="0.3">
      <c r="A178" t="s">
        <v>380</v>
      </c>
      <c r="B178" s="2" t="s">
        <v>381</v>
      </c>
      <c r="C178">
        <v>34</v>
      </c>
      <c r="D178" s="2" t="s">
        <v>13</v>
      </c>
      <c r="E178" s="2" t="s">
        <v>14</v>
      </c>
      <c r="F178" s="2" t="s">
        <v>31</v>
      </c>
      <c r="G178" s="2" t="s">
        <v>32</v>
      </c>
      <c r="H178" s="2" t="s">
        <v>18</v>
      </c>
      <c r="I178" s="2" t="s">
        <v>18</v>
      </c>
      <c r="J178">
        <v>0.59</v>
      </c>
      <c r="K178" s="4">
        <v>44499</v>
      </c>
    </row>
    <row r="179" spans="1:11" x14ac:dyDescent="0.3">
      <c r="A179" t="s">
        <v>382</v>
      </c>
      <c r="B179" s="2" t="s">
        <v>383</v>
      </c>
      <c r="C179">
        <v>21</v>
      </c>
      <c r="D179" s="2" t="s">
        <v>21</v>
      </c>
      <c r="E179" s="2" t="s">
        <v>22</v>
      </c>
      <c r="F179" s="2" t="s">
        <v>37</v>
      </c>
      <c r="G179" s="2" t="s">
        <v>81</v>
      </c>
      <c r="H179" s="2" t="s">
        <v>18</v>
      </c>
      <c r="I179" s="2" t="s">
        <v>17</v>
      </c>
      <c r="J179">
        <v>0.18</v>
      </c>
      <c r="K179" s="4">
        <v>44059</v>
      </c>
    </row>
    <row r="180" spans="1:11" x14ac:dyDescent="0.3">
      <c r="A180" t="s">
        <v>384</v>
      </c>
      <c r="B180" s="2" t="s">
        <v>385</v>
      </c>
      <c r="C180">
        <v>38</v>
      </c>
      <c r="D180" s="2" t="s">
        <v>13</v>
      </c>
      <c r="E180" s="2" t="s">
        <v>22</v>
      </c>
      <c r="F180" s="2" t="s">
        <v>37</v>
      </c>
      <c r="G180" s="2" t="s">
        <v>32</v>
      </c>
      <c r="H180" s="2" t="s">
        <v>17</v>
      </c>
      <c r="I180" s="2" t="s">
        <v>17</v>
      </c>
      <c r="J180">
        <v>0.68</v>
      </c>
      <c r="K180" s="4">
        <v>44660</v>
      </c>
    </row>
    <row r="181" spans="1:11" x14ac:dyDescent="0.3">
      <c r="A181" t="s">
        <v>386</v>
      </c>
      <c r="B181" s="2" t="s">
        <v>387</v>
      </c>
      <c r="C181">
        <v>37</v>
      </c>
      <c r="D181" s="2" t="s">
        <v>13</v>
      </c>
      <c r="E181" s="2" t="s">
        <v>14</v>
      </c>
      <c r="F181" s="2" t="s">
        <v>23</v>
      </c>
      <c r="G181" s="2" t="s">
        <v>24</v>
      </c>
      <c r="H181" s="2" t="s">
        <v>17</v>
      </c>
      <c r="I181" s="2" t="s">
        <v>18</v>
      </c>
      <c r="J181">
        <v>0.56999999999999995</v>
      </c>
      <c r="K181" s="4">
        <v>44769</v>
      </c>
    </row>
    <row r="182" spans="1:11" x14ac:dyDescent="0.3">
      <c r="A182" t="s">
        <v>388</v>
      </c>
      <c r="B182" s="2" t="s">
        <v>389</v>
      </c>
      <c r="C182">
        <v>40</v>
      </c>
      <c r="D182" s="2" t="s">
        <v>13</v>
      </c>
      <c r="E182" s="2" t="s">
        <v>22</v>
      </c>
      <c r="F182" s="2" t="s">
        <v>31</v>
      </c>
      <c r="G182" s="2" t="s">
        <v>27</v>
      </c>
      <c r="H182" s="2" t="s">
        <v>18</v>
      </c>
      <c r="I182" s="2" t="s">
        <v>17</v>
      </c>
      <c r="J182">
        <v>0.9</v>
      </c>
      <c r="K182" s="4">
        <v>43400</v>
      </c>
    </row>
    <row r="183" spans="1:11" x14ac:dyDescent="0.3">
      <c r="A183" t="s">
        <v>390</v>
      </c>
      <c r="B183" s="2" t="s">
        <v>391</v>
      </c>
      <c r="C183">
        <v>18</v>
      </c>
      <c r="D183" s="2" t="s">
        <v>21</v>
      </c>
      <c r="E183" s="2" t="s">
        <v>30</v>
      </c>
      <c r="F183" s="2" t="s">
        <v>37</v>
      </c>
      <c r="G183" s="2" t="s">
        <v>81</v>
      </c>
      <c r="H183" s="2" t="s">
        <v>17</v>
      </c>
      <c r="I183" s="2" t="s">
        <v>17</v>
      </c>
      <c r="J183">
        <v>0.44</v>
      </c>
      <c r="K183" s="4">
        <v>43214</v>
      </c>
    </row>
    <row r="184" spans="1:11" x14ac:dyDescent="0.3">
      <c r="A184" t="s">
        <v>392</v>
      </c>
      <c r="B184" s="2" t="s">
        <v>393</v>
      </c>
      <c r="C184">
        <v>63</v>
      </c>
      <c r="D184" s="2" t="s">
        <v>21</v>
      </c>
      <c r="E184" s="2" t="s">
        <v>30</v>
      </c>
      <c r="F184" s="2" t="s">
        <v>31</v>
      </c>
      <c r="G184" s="2" t="s">
        <v>27</v>
      </c>
      <c r="H184" s="2" t="s">
        <v>17</v>
      </c>
      <c r="I184" s="2" t="s">
        <v>17</v>
      </c>
      <c r="J184">
        <v>0.25</v>
      </c>
      <c r="K184" s="4">
        <v>45107</v>
      </c>
    </row>
    <row r="185" spans="1:11" x14ac:dyDescent="0.3">
      <c r="A185" t="s">
        <v>394</v>
      </c>
      <c r="B185" s="2" t="s">
        <v>395</v>
      </c>
      <c r="C185">
        <v>50</v>
      </c>
      <c r="D185" s="2" t="s">
        <v>13</v>
      </c>
      <c r="E185" s="2" t="s">
        <v>22</v>
      </c>
      <c r="F185" s="2" t="s">
        <v>31</v>
      </c>
      <c r="G185" s="2" t="s">
        <v>24</v>
      </c>
      <c r="H185" s="2" t="s">
        <v>17</v>
      </c>
      <c r="I185" s="2" t="s">
        <v>17</v>
      </c>
      <c r="J185">
        <v>0.67</v>
      </c>
      <c r="K185" s="4">
        <v>43375</v>
      </c>
    </row>
    <row r="186" spans="1:11" x14ac:dyDescent="0.3">
      <c r="A186" t="s">
        <v>396</v>
      </c>
      <c r="B186" s="2" t="s">
        <v>397</v>
      </c>
      <c r="C186">
        <v>37</v>
      </c>
      <c r="D186" s="2" t="s">
        <v>21</v>
      </c>
      <c r="E186" s="2" t="s">
        <v>14</v>
      </c>
      <c r="F186" s="2" t="s">
        <v>15</v>
      </c>
      <c r="G186" s="2" t="s">
        <v>81</v>
      </c>
      <c r="H186" s="2" t="s">
        <v>17</v>
      </c>
      <c r="I186" s="2" t="s">
        <v>18</v>
      </c>
      <c r="J186">
        <v>0.68</v>
      </c>
      <c r="K186" s="4">
        <v>43361</v>
      </c>
    </row>
    <row r="187" spans="1:11" x14ac:dyDescent="0.3">
      <c r="A187" t="s">
        <v>398</v>
      </c>
      <c r="B187" s="2" t="s">
        <v>399</v>
      </c>
      <c r="C187">
        <v>53</v>
      </c>
      <c r="D187" s="2" t="s">
        <v>21</v>
      </c>
      <c r="E187" s="2" t="s">
        <v>30</v>
      </c>
      <c r="F187" s="2" t="s">
        <v>15</v>
      </c>
      <c r="G187" s="2" t="s">
        <v>16</v>
      </c>
      <c r="H187" s="2" t="s">
        <v>17</v>
      </c>
      <c r="I187" s="2" t="s">
        <v>18</v>
      </c>
      <c r="J187">
        <v>0.47</v>
      </c>
      <c r="K187" s="4">
        <v>44589</v>
      </c>
    </row>
    <row r="188" spans="1:11" x14ac:dyDescent="0.3">
      <c r="A188" t="s">
        <v>400</v>
      </c>
      <c r="B188" s="2" t="s">
        <v>401</v>
      </c>
      <c r="C188">
        <v>46</v>
      </c>
      <c r="D188" s="2" t="s">
        <v>21</v>
      </c>
      <c r="E188" s="2" t="s">
        <v>30</v>
      </c>
      <c r="F188" s="2" t="s">
        <v>15</v>
      </c>
      <c r="G188" s="2" t="s">
        <v>81</v>
      </c>
      <c r="H188" s="2" t="s">
        <v>18</v>
      </c>
      <c r="I188" s="2" t="s">
        <v>18</v>
      </c>
      <c r="J188">
        <v>0.63</v>
      </c>
      <c r="K188" s="4">
        <v>43505</v>
      </c>
    </row>
    <row r="189" spans="1:11" x14ac:dyDescent="0.3">
      <c r="A189" t="s">
        <v>402</v>
      </c>
      <c r="B189" s="2" t="s">
        <v>403</v>
      </c>
      <c r="C189">
        <v>36</v>
      </c>
      <c r="D189" s="2" t="s">
        <v>21</v>
      </c>
      <c r="E189" s="2" t="s">
        <v>22</v>
      </c>
      <c r="F189" s="2" t="s">
        <v>37</v>
      </c>
      <c r="G189" s="2" t="s">
        <v>24</v>
      </c>
      <c r="H189" s="2" t="s">
        <v>17</v>
      </c>
      <c r="I189" s="2" t="s">
        <v>17</v>
      </c>
      <c r="J189">
        <v>0.7</v>
      </c>
      <c r="K189" s="4">
        <v>45114</v>
      </c>
    </row>
    <row r="190" spans="1:11" x14ac:dyDescent="0.3">
      <c r="A190" t="s">
        <v>404</v>
      </c>
      <c r="B190" s="2" t="s">
        <v>405</v>
      </c>
      <c r="C190">
        <v>31</v>
      </c>
      <c r="D190" s="2" t="s">
        <v>21</v>
      </c>
      <c r="E190" s="2" t="s">
        <v>30</v>
      </c>
      <c r="F190" s="2" t="s">
        <v>15</v>
      </c>
      <c r="G190" s="2" t="s">
        <v>27</v>
      </c>
      <c r="H190" s="2" t="s">
        <v>17</v>
      </c>
      <c r="I190" s="2" t="s">
        <v>18</v>
      </c>
      <c r="J190">
        <v>0.52</v>
      </c>
      <c r="K190" s="4">
        <v>43135</v>
      </c>
    </row>
    <row r="191" spans="1:11" x14ac:dyDescent="0.3">
      <c r="A191" t="s">
        <v>406</v>
      </c>
      <c r="B191" s="2" t="s">
        <v>407</v>
      </c>
      <c r="C191">
        <v>41</v>
      </c>
      <c r="D191" s="2" t="s">
        <v>21</v>
      </c>
      <c r="E191" s="2" t="s">
        <v>22</v>
      </c>
      <c r="F191" s="2" t="s">
        <v>31</v>
      </c>
      <c r="G191" s="2" t="s">
        <v>81</v>
      </c>
      <c r="H191" s="2" t="s">
        <v>17</v>
      </c>
      <c r="I191" s="2" t="s">
        <v>17</v>
      </c>
      <c r="J191">
        <v>0.46</v>
      </c>
      <c r="K191" s="4">
        <v>44450</v>
      </c>
    </row>
    <row r="192" spans="1:11" x14ac:dyDescent="0.3">
      <c r="A192" t="s">
        <v>408</v>
      </c>
      <c r="B192" s="2" t="s">
        <v>409</v>
      </c>
      <c r="C192">
        <v>55</v>
      </c>
      <c r="D192" s="2" t="s">
        <v>21</v>
      </c>
      <c r="E192" s="2" t="s">
        <v>22</v>
      </c>
      <c r="F192" s="2" t="s">
        <v>31</v>
      </c>
      <c r="G192" s="2" t="s">
        <v>81</v>
      </c>
      <c r="H192" s="2" t="s">
        <v>17</v>
      </c>
      <c r="I192" s="2" t="s">
        <v>18</v>
      </c>
      <c r="J192">
        <v>0.39</v>
      </c>
      <c r="K192" s="4">
        <v>45018</v>
      </c>
    </row>
    <row r="193" spans="1:11" x14ac:dyDescent="0.3">
      <c r="A193" t="s">
        <v>410</v>
      </c>
      <c r="B193" s="2" t="s">
        <v>411</v>
      </c>
      <c r="C193">
        <v>55</v>
      </c>
      <c r="D193" s="2" t="s">
        <v>21</v>
      </c>
      <c r="E193" s="2" t="s">
        <v>30</v>
      </c>
      <c r="F193" s="2" t="s">
        <v>37</v>
      </c>
      <c r="G193" s="2" t="s">
        <v>32</v>
      </c>
      <c r="H193" s="2" t="s">
        <v>18</v>
      </c>
      <c r="I193" s="2" t="s">
        <v>18</v>
      </c>
      <c r="J193">
        <v>0.4</v>
      </c>
      <c r="K193" s="4">
        <v>44866</v>
      </c>
    </row>
    <row r="194" spans="1:11" x14ac:dyDescent="0.3">
      <c r="A194" t="s">
        <v>412</v>
      </c>
      <c r="B194" s="2" t="s">
        <v>413</v>
      </c>
      <c r="C194">
        <v>40</v>
      </c>
      <c r="D194" s="2" t="s">
        <v>21</v>
      </c>
      <c r="E194" s="2" t="s">
        <v>22</v>
      </c>
      <c r="F194" s="2" t="s">
        <v>31</v>
      </c>
      <c r="G194" s="2" t="s">
        <v>66</v>
      </c>
      <c r="H194" s="2" t="s">
        <v>17</v>
      </c>
      <c r="I194" s="2" t="s">
        <v>17</v>
      </c>
      <c r="J194">
        <v>0.49</v>
      </c>
      <c r="K194" s="4">
        <v>43243</v>
      </c>
    </row>
    <row r="195" spans="1:11" x14ac:dyDescent="0.3">
      <c r="A195" t="s">
        <v>414</v>
      </c>
      <c r="B195" s="2" t="s">
        <v>415</v>
      </c>
      <c r="C195">
        <v>40</v>
      </c>
      <c r="D195" s="2" t="s">
        <v>13</v>
      </c>
      <c r="E195" s="2" t="s">
        <v>30</v>
      </c>
      <c r="F195" s="2" t="s">
        <v>15</v>
      </c>
      <c r="G195" s="2" t="s">
        <v>32</v>
      </c>
      <c r="H195" s="2" t="s">
        <v>17</v>
      </c>
      <c r="I195" s="2" t="s">
        <v>17</v>
      </c>
      <c r="J195">
        <v>0.57999999999999996</v>
      </c>
      <c r="K195" s="4">
        <v>44869</v>
      </c>
    </row>
    <row r="196" spans="1:11" x14ac:dyDescent="0.3">
      <c r="A196" t="s">
        <v>416</v>
      </c>
      <c r="B196" s="2" t="s">
        <v>417</v>
      </c>
      <c r="C196">
        <v>48</v>
      </c>
      <c r="D196" s="2" t="s">
        <v>13</v>
      </c>
      <c r="E196" s="2" t="s">
        <v>22</v>
      </c>
      <c r="F196" s="2" t="s">
        <v>23</v>
      </c>
      <c r="G196" s="2" t="s">
        <v>32</v>
      </c>
      <c r="H196" s="2" t="s">
        <v>18</v>
      </c>
      <c r="I196" s="2" t="s">
        <v>18</v>
      </c>
      <c r="J196">
        <v>0.44</v>
      </c>
      <c r="K196" s="4">
        <v>44153</v>
      </c>
    </row>
    <row r="197" spans="1:11" x14ac:dyDescent="0.3">
      <c r="A197" t="s">
        <v>418</v>
      </c>
      <c r="B197" s="2" t="s">
        <v>419</v>
      </c>
      <c r="C197">
        <v>29</v>
      </c>
      <c r="D197" s="2" t="s">
        <v>13</v>
      </c>
      <c r="E197" s="2" t="s">
        <v>14</v>
      </c>
      <c r="F197" s="2" t="s">
        <v>31</v>
      </c>
      <c r="G197" s="2" t="s">
        <v>27</v>
      </c>
      <c r="H197" s="2" t="s">
        <v>18</v>
      </c>
      <c r="I197" s="2" t="s">
        <v>18</v>
      </c>
      <c r="J197">
        <v>0.5</v>
      </c>
      <c r="K197" s="4">
        <v>44091</v>
      </c>
    </row>
    <row r="198" spans="1:11" x14ac:dyDescent="0.3">
      <c r="A198" t="s">
        <v>420</v>
      </c>
      <c r="B198" s="2" t="s">
        <v>421</v>
      </c>
      <c r="C198">
        <v>23</v>
      </c>
      <c r="D198" s="2" t="s">
        <v>21</v>
      </c>
      <c r="E198" s="2" t="s">
        <v>30</v>
      </c>
      <c r="F198" s="2" t="s">
        <v>37</v>
      </c>
      <c r="G198" s="2" t="s">
        <v>24</v>
      </c>
      <c r="H198" s="2" t="s">
        <v>17</v>
      </c>
      <c r="I198" s="2" t="s">
        <v>17</v>
      </c>
      <c r="J198">
        <v>0.56999999999999995</v>
      </c>
      <c r="K198" s="4">
        <v>44622</v>
      </c>
    </row>
    <row r="199" spans="1:11" x14ac:dyDescent="0.3">
      <c r="A199" t="s">
        <v>422</v>
      </c>
      <c r="B199" s="2" t="s">
        <v>423</v>
      </c>
      <c r="C199">
        <v>19</v>
      </c>
      <c r="D199" s="2" t="s">
        <v>21</v>
      </c>
      <c r="E199" s="2" t="s">
        <v>14</v>
      </c>
      <c r="F199" s="2" t="s">
        <v>37</v>
      </c>
      <c r="G199" s="2" t="s">
        <v>32</v>
      </c>
      <c r="H199" s="2" t="s">
        <v>17</v>
      </c>
      <c r="I199" s="2" t="s">
        <v>17</v>
      </c>
      <c r="J199">
        <v>0.53</v>
      </c>
      <c r="K199" s="4">
        <v>44137</v>
      </c>
    </row>
    <row r="200" spans="1:11" x14ac:dyDescent="0.3">
      <c r="A200" t="s">
        <v>424</v>
      </c>
      <c r="B200" s="2" t="s">
        <v>425</v>
      </c>
      <c r="C200">
        <v>52</v>
      </c>
      <c r="D200" s="2" t="s">
        <v>21</v>
      </c>
      <c r="E200" s="2" t="s">
        <v>30</v>
      </c>
      <c r="F200" s="2" t="s">
        <v>31</v>
      </c>
      <c r="G200" s="2" t="s">
        <v>24</v>
      </c>
      <c r="H200" s="2" t="s">
        <v>18</v>
      </c>
      <c r="I200" s="2" t="s">
        <v>17</v>
      </c>
      <c r="J200">
        <v>0.14000000000000001</v>
      </c>
      <c r="K200" s="4">
        <v>43919</v>
      </c>
    </row>
    <row r="201" spans="1:11" x14ac:dyDescent="0.3">
      <c r="A201" t="s">
        <v>426</v>
      </c>
      <c r="B201" s="2" t="s">
        <v>427</v>
      </c>
      <c r="C201">
        <v>51</v>
      </c>
      <c r="D201" s="2" t="s">
        <v>21</v>
      </c>
      <c r="E201" s="2" t="s">
        <v>22</v>
      </c>
      <c r="F201" s="2" t="s">
        <v>23</v>
      </c>
      <c r="G201" s="2" t="s">
        <v>66</v>
      </c>
      <c r="H201" s="2" t="s">
        <v>18</v>
      </c>
      <c r="I201" s="2" t="s">
        <v>17</v>
      </c>
      <c r="J201">
        <v>0.4</v>
      </c>
      <c r="K201" s="4">
        <v>44530</v>
      </c>
    </row>
    <row r="202" spans="1:11" x14ac:dyDescent="0.3">
      <c r="A202" t="s">
        <v>428</v>
      </c>
      <c r="B202" s="2" t="s">
        <v>429</v>
      </c>
      <c r="C202">
        <v>22</v>
      </c>
      <c r="D202" s="2" t="s">
        <v>21</v>
      </c>
      <c r="E202" s="2" t="s">
        <v>30</v>
      </c>
      <c r="F202" s="2" t="s">
        <v>15</v>
      </c>
      <c r="G202" s="2" t="s">
        <v>32</v>
      </c>
      <c r="H202" s="2" t="s">
        <v>18</v>
      </c>
      <c r="I202" s="2" t="s">
        <v>17</v>
      </c>
      <c r="J202">
        <v>0.69</v>
      </c>
      <c r="K202" s="4">
        <v>44892</v>
      </c>
    </row>
    <row r="203" spans="1:11" x14ac:dyDescent="0.3">
      <c r="A203" t="s">
        <v>430</v>
      </c>
      <c r="B203" s="2" t="s">
        <v>431</v>
      </c>
      <c r="C203">
        <v>32</v>
      </c>
      <c r="D203" s="2" t="s">
        <v>13</v>
      </c>
      <c r="E203" s="2" t="s">
        <v>22</v>
      </c>
      <c r="F203" s="2" t="s">
        <v>23</v>
      </c>
      <c r="G203" s="2" t="s">
        <v>81</v>
      </c>
      <c r="H203" s="2" t="s">
        <v>18</v>
      </c>
      <c r="I203" s="2" t="s">
        <v>17</v>
      </c>
      <c r="J203">
        <v>0.65</v>
      </c>
      <c r="K203" s="4">
        <v>43629</v>
      </c>
    </row>
    <row r="204" spans="1:11" x14ac:dyDescent="0.3">
      <c r="A204" t="s">
        <v>432</v>
      </c>
      <c r="B204" s="2" t="s">
        <v>433</v>
      </c>
      <c r="C204">
        <v>60</v>
      </c>
      <c r="D204" s="2" t="s">
        <v>21</v>
      </c>
      <c r="E204" s="2" t="s">
        <v>30</v>
      </c>
      <c r="F204" s="2" t="s">
        <v>37</v>
      </c>
      <c r="G204" s="2" t="s">
        <v>66</v>
      </c>
      <c r="H204" s="2" t="s">
        <v>17</v>
      </c>
      <c r="I204" s="2" t="s">
        <v>17</v>
      </c>
      <c r="J204">
        <v>0.46</v>
      </c>
      <c r="K204" s="4">
        <v>43789</v>
      </c>
    </row>
    <row r="205" spans="1:11" x14ac:dyDescent="0.3">
      <c r="A205" t="s">
        <v>434</v>
      </c>
      <c r="B205" s="2" t="s">
        <v>435</v>
      </c>
      <c r="C205">
        <v>56</v>
      </c>
      <c r="D205" s="2" t="s">
        <v>13</v>
      </c>
      <c r="E205" s="2" t="s">
        <v>30</v>
      </c>
      <c r="F205" s="2" t="s">
        <v>37</v>
      </c>
      <c r="G205" s="2" t="s">
        <v>32</v>
      </c>
      <c r="H205" s="2" t="s">
        <v>17</v>
      </c>
      <c r="I205" s="2" t="s">
        <v>17</v>
      </c>
      <c r="J205">
        <v>0.13</v>
      </c>
      <c r="K205" s="4">
        <v>43579</v>
      </c>
    </row>
    <row r="206" spans="1:11" x14ac:dyDescent="0.3">
      <c r="A206" t="s">
        <v>436</v>
      </c>
      <c r="B206" s="2" t="s">
        <v>437</v>
      </c>
      <c r="C206">
        <v>67</v>
      </c>
      <c r="D206" s="2" t="s">
        <v>21</v>
      </c>
      <c r="E206" s="2" t="s">
        <v>22</v>
      </c>
      <c r="F206" s="2" t="s">
        <v>15</v>
      </c>
      <c r="G206" s="2" t="s">
        <v>32</v>
      </c>
      <c r="H206" s="2" t="s">
        <v>17</v>
      </c>
      <c r="I206" s="2" t="s">
        <v>17</v>
      </c>
      <c r="J206">
        <v>0.77</v>
      </c>
      <c r="K206" s="4">
        <v>43300</v>
      </c>
    </row>
    <row r="207" spans="1:11" x14ac:dyDescent="0.3">
      <c r="A207" t="s">
        <v>438</v>
      </c>
      <c r="B207" s="2" t="s">
        <v>439</v>
      </c>
      <c r="C207">
        <v>65</v>
      </c>
      <c r="D207" s="2" t="s">
        <v>13</v>
      </c>
      <c r="E207" s="2" t="s">
        <v>14</v>
      </c>
      <c r="F207" s="2" t="s">
        <v>31</v>
      </c>
      <c r="G207" s="2" t="s">
        <v>66</v>
      </c>
      <c r="H207" s="2" t="s">
        <v>17</v>
      </c>
      <c r="I207" s="2" t="s">
        <v>18</v>
      </c>
      <c r="J207">
        <v>0.7</v>
      </c>
      <c r="K207" s="4">
        <v>43339</v>
      </c>
    </row>
    <row r="208" spans="1:11" x14ac:dyDescent="0.3">
      <c r="A208" t="s">
        <v>440</v>
      </c>
      <c r="B208" s="2" t="s">
        <v>441</v>
      </c>
      <c r="C208">
        <v>46</v>
      </c>
      <c r="D208" s="2" t="s">
        <v>21</v>
      </c>
      <c r="E208" s="2" t="s">
        <v>22</v>
      </c>
      <c r="F208" s="2" t="s">
        <v>31</v>
      </c>
      <c r="G208" s="2" t="s">
        <v>27</v>
      </c>
      <c r="H208" s="2" t="s">
        <v>18</v>
      </c>
      <c r="I208" s="2" t="s">
        <v>17</v>
      </c>
      <c r="J208">
        <v>0.98</v>
      </c>
      <c r="K208" s="4">
        <v>43751</v>
      </c>
    </row>
    <row r="209" spans="1:11" x14ac:dyDescent="0.3">
      <c r="A209" t="s">
        <v>442</v>
      </c>
      <c r="B209" s="2" t="s">
        <v>443</v>
      </c>
      <c r="C209">
        <v>66</v>
      </c>
      <c r="D209" s="2" t="s">
        <v>21</v>
      </c>
      <c r="E209" s="2" t="s">
        <v>30</v>
      </c>
      <c r="F209" s="2" t="s">
        <v>37</v>
      </c>
      <c r="G209" s="2" t="s">
        <v>81</v>
      </c>
      <c r="H209" s="2" t="s">
        <v>17</v>
      </c>
      <c r="I209" s="2" t="s">
        <v>18</v>
      </c>
      <c r="J209">
        <v>0.57999999999999996</v>
      </c>
      <c r="K209" s="4">
        <v>44221</v>
      </c>
    </row>
    <row r="210" spans="1:11" x14ac:dyDescent="0.3">
      <c r="A210" t="s">
        <v>444</v>
      </c>
      <c r="B210" s="2" t="s">
        <v>445</v>
      </c>
      <c r="C210">
        <v>46</v>
      </c>
      <c r="D210" s="2" t="s">
        <v>13</v>
      </c>
      <c r="E210" s="2" t="s">
        <v>14</v>
      </c>
      <c r="F210" s="2" t="s">
        <v>31</v>
      </c>
      <c r="G210" s="2" t="s">
        <v>24</v>
      </c>
      <c r="H210" s="2" t="s">
        <v>17</v>
      </c>
      <c r="I210" s="2" t="s">
        <v>18</v>
      </c>
      <c r="J210">
        <v>0.62</v>
      </c>
      <c r="K210" s="4">
        <v>44520</v>
      </c>
    </row>
    <row r="211" spans="1:11" x14ac:dyDescent="0.3">
      <c r="A211" t="s">
        <v>446</v>
      </c>
      <c r="B211" s="2" t="s">
        <v>447</v>
      </c>
      <c r="C211">
        <v>49</v>
      </c>
      <c r="D211" s="2" t="s">
        <v>13</v>
      </c>
      <c r="E211" s="2" t="s">
        <v>30</v>
      </c>
      <c r="F211" s="2" t="s">
        <v>37</v>
      </c>
      <c r="G211" s="2" t="s">
        <v>24</v>
      </c>
      <c r="H211" s="2" t="s">
        <v>18</v>
      </c>
      <c r="I211" s="2" t="s">
        <v>18</v>
      </c>
      <c r="J211">
        <v>0.34</v>
      </c>
      <c r="K211" s="4">
        <v>44111</v>
      </c>
    </row>
    <row r="212" spans="1:11" x14ac:dyDescent="0.3">
      <c r="A212" t="s">
        <v>448</v>
      </c>
      <c r="B212" s="2" t="s">
        <v>449</v>
      </c>
      <c r="C212">
        <v>23</v>
      </c>
      <c r="D212" s="2" t="s">
        <v>13</v>
      </c>
      <c r="E212" s="2" t="s">
        <v>22</v>
      </c>
      <c r="F212" s="2" t="s">
        <v>23</v>
      </c>
      <c r="G212" s="2" t="s">
        <v>81</v>
      </c>
      <c r="H212" s="2" t="s">
        <v>17</v>
      </c>
      <c r="I212" s="2" t="s">
        <v>18</v>
      </c>
      <c r="J212">
        <v>0.62</v>
      </c>
      <c r="K212" s="4">
        <v>43673</v>
      </c>
    </row>
    <row r="213" spans="1:11" x14ac:dyDescent="0.3">
      <c r="A213" t="s">
        <v>450</v>
      </c>
      <c r="B213" s="2" t="s">
        <v>451</v>
      </c>
      <c r="C213">
        <v>20</v>
      </c>
      <c r="D213" s="2" t="s">
        <v>21</v>
      </c>
      <c r="E213" s="2" t="s">
        <v>30</v>
      </c>
      <c r="F213" s="2" t="s">
        <v>23</v>
      </c>
      <c r="G213" s="2" t="s">
        <v>24</v>
      </c>
      <c r="H213" s="2" t="s">
        <v>18</v>
      </c>
      <c r="I213" s="2" t="s">
        <v>18</v>
      </c>
      <c r="J213">
        <v>0.55000000000000004</v>
      </c>
      <c r="K213" s="4">
        <v>43199</v>
      </c>
    </row>
    <row r="214" spans="1:11" x14ac:dyDescent="0.3">
      <c r="A214" t="s">
        <v>452</v>
      </c>
      <c r="B214" s="2" t="s">
        <v>453</v>
      </c>
      <c r="C214">
        <v>51</v>
      </c>
      <c r="D214" s="2" t="s">
        <v>21</v>
      </c>
      <c r="E214" s="2" t="s">
        <v>30</v>
      </c>
      <c r="F214" s="2" t="s">
        <v>37</v>
      </c>
      <c r="G214" s="2" t="s">
        <v>16</v>
      </c>
      <c r="H214" s="2" t="s">
        <v>17</v>
      </c>
      <c r="I214" s="2" t="s">
        <v>18</v>
      </c>
      <c r="J214">
        <v>0.76</v>
      </c>
      <c r="K214" s="4">
        <v>44893</v>
      </c>
    </row>
    <row r="215" spans="1:11" x14ac:dyDescent="0.3">
      <c r="A215" t="s">
        <v>454</v>
      </c>
      <c r="B215" s="2" t="s">
        <v>455</v>
      </c>
      <c r="C215">
        <v>59</v>
      </c>
      <c r="D215" s="2" t="s">
        <v>21</v>
      </c>
      <c r="E215" s="2" t="s">
        <v>22</v>
      </c>
      <c r="F215" s="2" t="s">
        <v>23</v>
      </c>
      <c r="G215" s="2" t="s">
        <v>24</v>
      </c>
      <c r="H215" s="2" t="s">
        <v>17</v>
      </c>
      <c r="I215" s="2" t="s">
        <v>18</v>
      </c>
      <c r="J215">
        <v>0.37</v>
      </c>
      <c r="K215" s="4">
        <v>43837</v>
      </c>
    </row>
    <row r="216" spans="1:11" x14ac:dyDescent="0.3">
      <c r="A216" t="s">
        <v>456</v>
      </c>
      <c r="B216" s="2" t="s">
        <v>457</v>
      </c>
      <c r="C216">
        <v>33</v>
      </c>
      <c r="D216" s="2" t="s">
        <v>21</v>
      </c>
      <c r="E216" s="2" t="s">
        <v>30</v>
      </c>
      <c r="F216" s="2" t="s">
        <v>15</v>
      </c>
      <c r="G216" s="2" t="s">
        <v>27</v>
      </c>
      <c r="H216" s="2" t="s">
        <v>17</v>
      </c>
      <c r="I216" s="2" t="s">
        <v>18</v>
      </c>
      <c r="J216">
        <v>0.2</v>
      </c>
      <c r="K216" s="4">
        <v>43990</v>
      </c>
    </row>
    <row r="217" spans="1:11" x14ac:dyDescent="0.3">
      <c r="A217" t="s">
        <v>458</v>
      </c>
      <c r="B217" s="2" t="s">
        <v>459</v>
      </c>
      <c r="C217">
        <v>45</v>
      </c>
      <c r="D217" s="2" t="s">
        <v>13</v>
      </c>
      <c r="E217" s="2" t="s">
        <v>22</v>
      </c>
      <c r="F217" s="2" t="s">
        <v>31</v>
      </c>
      <c r="G217" s="2" t="s">
        <v>81</v>
      </c>
      <c r="H217" s="2" t="s">
        <v>18</v>
      </c>
      <c r="I217" s="2" t="s">
        <v>17</v>
      </c>
      <c r="J217">
        <v>0.52</v>
      </c>
      <c r="K217" s="4">
        <v>43746</v>
      </c>
    </row>
    <row r="218" spans="1:11" x14ac:dyDescent="0.3">
      <c r="A218" t="s">
        <v>460</v>
      </c>
      <c r="B218" s="2" t="s">
        <v>461</v>
      </c>
      <c r="C218">
        <v>34</v>
      </c>
      <c r="D218" s="2" t="s">
        <v>21</v>
      </c>
      <c r="E218" s="2" t="s">
        <v>14</v>
      </c>
      <c r="F218" s="2" t="s">
        <v>31</v>
      </c>
      <c r="G218" s="2" t="s">
        <v>66</v>
      </c>
      <c r="H218" s="2" t="s">
        <v>18</v>
      </c>
      <c r="I218" s="2" t="s">
        <v>18</v>
      </c>
      <c r="J218">
        <v>0.59</v>
      </c>
      <c r="K218" s="4">
        <v>43278</v>
      </c>
    </row>
    <row r="219" spans="1:11" x14ac:dyDescent="0.3">
      <c r="A219" t="s">
        <v>462</v>
      </c>
      <c r="B219" s="2" t="s">
        <v>463</v>
      </c>
      <c r="C219">
        <v>57</v>
      </c>
      <c r="D219" s="2" t="s">
        <v>13</v>
      </c>
      <c r="E219" s="2" t="s">
        <v>14</v>
      </c>
      <c r="F219" s="2" t="s">
        <v>15</v>
      </c>
      <c r="G219" s="2" t="s">
        <v>66</v>
      </c>
      <c r="H219" s="2" t="s">
        <v>17</v>
      </c>
      <c r="I219" s="2" t="s">
        <v>18</v>
      </c>
      <c r="J219">
        <v>0.76</v>
      </c>
      <c r="K219" s="4">
        <v>43288</v>
      </c>
    </row>
    <row r="220" spans="1:11" x14ac:dyDescent="0.3">
      <c r="A220" t="s">
        <v>464</v>
      </c>
      <c r="B220" s="2" t="s">
        <v>465</v>
      </c>
      <c r="C220">
        <v>57</v>
      </c>
      <c r="D220" s="2" t="s">
        <v>13</v>
      </c>
      <c r="E220" s="2" t="s">
        <v>22</v>
      </c>
      <c r="F220" s="2" t="s">
        <v>37</v>
      </c>
      <c r="G220" s="2" t="s">
        <v>24</v>
      </c>
      <c r="H220" s="2" t="s">
        <v>18</v>
      </c>
      <c r="I220" s="2" t="s">
        <v>17</v>
      </c>
      <c r="J220">
        <v>0.63</v>
      </c>
      <c r="K220" s="4">
        <v>44129</v>
      </c>
    </row>
    <row r="221" spans="1:11" x14ac:dyDescent="0.3">
      <c r="A221" t="s">
        <v>466</v>
      </c>
      <c r="B221" s="2" t="s">
        <v>467</v>
      </c>
      <c r="C221">
        <v>46</v>
      </c>
      <c r="D221" s="2" t="s">
        <v>13</v>
      </c>
      <c r="E221" s="2" t="s">
        <v>30</v>
      </c>
      <c r="F221" s="2" t="s">
        <v>37</v>
      </c>
      <c r="G221" s="2" t="s">
        <v>24</v>
      </c>
      <c r="H221" s="2" t="s">
        <v>17</v>
      </c>
      <c r="I221" s="2" t="s">
        <v>18</v>
      </c>
      <c r="J221">
        <v>0.67</v>
      </c>
      <c r="K221" s="4">
        <v>43757</v>
      </c>
    </row>
    <row r="222" spans="1:11" x14ac:dyDescent="0.3">
      <c r="A222" t="s">
        <v>468</v>
      </c>
      <c r="B222" s="2" t="s">
        <v>469</v>
      </c>
      <c r="C222">
        <v>59</v>
      </c>
      <c r="D222" s="2" t="s">
        <v>21</v>
      </c>
      <c r="E222" s="2" t="s">
        <v>22</v>
      </c>
      <c r="F222" s="2" t="s">
        <v>23</v>
      </c>
      <c r="G222" s="2" t="s">
        <v>24</v>
      </c>
      <c r="H222" s="2" t="s">
        <v>18</v>
      </c>
      <c r="I222" s="2" t="s">
        <v>18</v>
      </c>
      <c r="J222">
        <v>0.44</v>
      </c>
      <c r="K222" s="4">
        <v>43131</v>
      </c>
    </row>
    <row r="223" spans="1:11" x14ac:dyDescent="0.3">
      <c r="A223" t="s">
        <v>470</v>
      </c>
      <c r="B223" s="2" t="s">
        <v>471</v>
      </c>
      <c r="C223">
        <v>39</v>
      </c>
      <c r="D223" s="2" t="s">
        <v>13</v>
      </c>
      <c r="E223" s="2" t="s">
        <v>30</v>
      </c>
      <c r="F223" s="2" t="s">
        <v>31</v>
      </c>
      <c r="G223" s="2" t="s">
        <v>32</v>
      </c>
      <c r="H223" s="2" t="s">
        <v>17</v>
      </c>
      <c r="I223" s="2" t="s">
        <v>17</v>
      </c>
      <c r="J223">
        <v>0.6</v>
      </c>
      <c r="K223" s="4">
        <v>45149</v>
      </c>
    </row>
    <row r="224" spans="1:11" x14ac:dyDescent="0.3">
      <c r="A224" t="s">
        <v>472</v>
      </c>
      <c r="B224" s="2" t="s">
        <v>473</v>
      </c>
      <c r="C224">
        <v>29</v>
      </c>
      <c r="D224" s="2" t="s">
        <v>13</v>
      </c>
      <c r="E224" s="2" t="s">
        <v>30</v>
      </c>
      <c r="F224" s="2" t="s">
        <v>31</v>
      </c>
      <c r="G224" s="2" t="s">
        <v>16</v>
      </c>
      <c r="H224" s="2" t="s">
        <v>18</v>
      </c>
      <c r="I224" s="2" t="s">
        <v>17</v>
      </c>
      <c r="J224">
        <v>0.45</v>
      </c>
      <c r="K224" s="4">
        <v>44410</v>
      </c>
    </row>
    <row r="225" spans="1:11" x14ac:dyDescent="0.3">
      <c r="A225" t="s">
        <v>474</v>
      </c>
      <c r="B225" s="2" t="s">
        <v>475</v>
      </c>
      <c r="C225">
        <v>46</v>
      </c>
      <c r="D225" s="2" t="s">
        <v>13</v>
      </c>
      <c r="E225" s="2" t="s">
        <v>14</v>
      </c>
      <c r="F225" s="2" t="s">
        <v>23</v>
      </c>
      <c r="G225" s="2" t="s">
        <v>27</v>
      </c>
      <c r="H225" s="2" t="s">
        <v>18</v>
      </c>
      <c r="I225" s="2" t="s">
        <v>18</v>
      </c>
      <c r="J225">
        <v>0.6</v>
      </c>
      <c r="K225" s="4">
        <v>44833</v>
      </c>
    </row>
    <row r="226" spans="1:11" x14ac:dyDescent="0.3">
      <c r="A226" t="s">
        <v>476</v>
      </c>
      <c r="B226" s="2" t="s">
        <v>477</v>
      </c>
      <c r="C226">
        <v>26</v>
      </c>
      <c r="D226" s="2" t="s">
        <v>13</v>
      </c>
      <c r="E226" s="2" t="s">
        <v>22</v>
      </c>
      <c r="F226" s="2" t="s">
        <v>31</v>
      </c>
      <c r="G226" s="2" t="s">
        <v>24</v>
      </c>
      <c r="H226" s="2" t="s">
        <v>17</v>
      </c>
      <c r="I226" s="2" t="s">
        <v>17</v>
      </c>
      <c r="J226">
        <v>0.26</v>
      </c>
      <c r="K226" s="4">
        <v>44927</v>
      </c>
    </row>
    <row r="227" spans="1:11" x14ac:dyDescent="0.3">
      <c r="A227" t="s">
        <v>478</v>
      </c>
      <c r="B227" s="2" t="s">
        <v>479</v>
      </c>
      <c r="C227">
        <v>63</v>
      </c>
      <c r="D227" s="2" t="s">
        <v>21</v>
      </c>
      <c r="E227" s="2" t="s">
        <v>22</v>
      </c>
      <c r="F227" s="2" t="s">
        <v>15</v>
      </c>
      <c r="G227" s="2" t="s">
        <v>81</v>
      </c>
      <c r="H227" s="2" t="s">
        <v>17</v>
      </c>
      <c r="I227" s="2" t="s">
        <v>18</v>
      </c>
      <c r="J227">
        <v>0.75</v>
      </c>
      <c r="K227" s="4">
        <v>44469</v>
      </c>
    </row>
    <row r="228" spans="1:11" x14ac:dyDescent="0.3">
      <c r="A228" t="s">
        <v>480</v>
      </c>
      <c r="B228" s="2" t="s">
        <v>481</v>
      </c>
      <c r="C228">
        <v>34</v>
      </c>
      <c r="D228" s="2" t="s">
        <v>21</v>
      </c>
      <c r="E228" s="2" t="s">
        <v>22</v>
      </c>
      <c r="F228" s="2" t="s">
        <v>15</v>
      </c>
      <c r="G228" s="2" t="s">
        <v>66</v>
      </c>
      <c r="H228" s="2" t="s">
        <v>18</v>
      </c>
      <c r="I228" s="2" t="s">
        <v>17</v>
      </c>
      <c r="J228">
        <v>0.71</v>
      </c>
      <c r="K228" s="4">
        <v>43596</v>
      </c>
    </row>
    <row r="229" spans="1:11" x14ac:dyDescent="0.3">
      <c r="A229" t="s">
        <v>482</v>
      </c>
      <c r="B229" s="2" t="s">
        <v>483</v>
      </c>
      <c r="C229">
        <v>69</v>
      </c>
      <c r="D229" s="2" t="s">
        <v>21</v>
      </c>
      <c r="E229" s="2" t="s">
        <v>30</v>
      </c>
      <c r="F229" s="2" t="s">
        <v>15</v>
      </c>
      <c r="G229" s="2" t="s">
        <v>32</v>
      </c>
      <c r="H229" s="2" t="s">
        <v>17</v>
      </c>
      <c r="I229" s="2" t="s">
        <v>18</v>
      </c>
      <c r="J229">
        <v>0.74</v>
      </c>
      <c r="K229" s="4">
        <v>45209</v>
      </c>
    </row>
    <row r="230" spans="1:11" x14ac:dyDescent="0.3">
      <c r="A230" t="s">
        <v>484</v>
      </c>
      <c r="B230" s="2" t="s">
        <v>485</v>
      </c>
      <c r="C230">
        <v>52</v>
      </c>
      <c r="D230" s="2" t="s">
        <v>21</v>
      </c>
      <c r="E230" s="2" t="s">
        <v>14</v>
      </c>
      <c r="F230" s="2" t="s">
        <v>15</v>
      </c>
      <c r="G230" s="2" t="s">
        <v>16</v>
      </c>
      <c r="H230" s="2" t="s">
        <v>17</v>
      </c>
      <c r="I230" s="2" t="s">
        <v>17</v>
      </c>
      <c r="J230">
        <v>0.57999999999999996</v>
      </c>
      <c r="K230" s="4">
        <v>44579</v>
      </c>
    </row>
    <row r="231" spans="1:11" x14ac:dyDescent="0.3">
      <c r="A231" t="s">
        <v>486</v>
      </c>
      <c r="B231" s="2" t="s">
        <v>487</v>
      </c>
      <c r="C231">
        <v>27</v>
      </c>
      <c r="D231" s="2" t="s">
        <v>21</v>
      </c>
      <c r="E231" s="2" t="s">
        <v>22</v>
      </c>
      <c r="F231" s="2" t="s">
        <v>37</v>
      </c>
      <c r="G231" s="2" t="s">
        <v>32</v>
      </c>
      <c r="H231" s="2" t="s">
        <v>18</v>
      </c>
      <c r="I231" s="2" t="s">
        <v>17</v>
      </c>
      <c r="J231">
        <v>0.34</v>
      </c>
      <c r="K231" s="4">
        <v>44215</v>
      </c>
    </row>
    <row r="232" spans="1:11" x14ac:dyDescent="0.3">
      <c r="A232" t="s">
        <v>488</v>
      </c>
      <c r="B232" s="2" t="s">
        <v>489</v>
      </c>
      <c r="C232">
        <v>67</v>
      </c>
      <c r="D232" s="2" t="s">
        <v>21</v>
      </c>
      <c r="E232" s="2" t="s">
        <v>22</v>
      </c>
      <c r="F232" s="2" t="s">
        <v>31</v>
      </c>
      <c r="G232" s="2" t="s">
        <v>27</v>
      </c>
      <c r="H232" s="2" t="s">
        <v>18</v>
      </c>
      <c r="I232" s="2" t="s">
        <v>18</v>
      </c>
      <c r="J232">
        <v>0.8</v>
      </c>
      <c r="K232" s="4">
        <v>43854</v>
      </c>
    </row>
    <row r="233" spans="1:11" x14ac:dyDescent="0.3">
      <c r="A233" t="s">
        <v>490</v>
      </c>
      <c r="B233" s="2" t="s">
        <v>491</v>
      </c>
      <c r="C233">
        <v>25</v>
      </c>
      <c r="D233" s="2" t="s">
        <v>21</v>
      </c>
      <c r="E233" s="2" t="s">
        <v>22</v>
      </c>
      <c r="F233" s="2" t="s">
        <v>37</v>
      </c>
      <c r="G233" s="2" t="s">
        <v>66</v>
      </c>
      <c r="H233" s="2" t="s">
        <v>18</v>
      </c>
      <c r="I233" s="2" t="s">
        <v>17</v>
      </c>
      <c r="J233">
        <v>0.75</v>
      </c>
      <c r="K233" s="4">
        <v>43635</v>
      </c>
    </row>
    <row r="234" spans="1:11" x14ac:dyDescent="0.3">
      <c r="A234" t="s">
        <v>492</v>
      </c>
      <c r="B234" s="2" t="s">
        <v>493</v>
      </c>
      <c r="C234">
        <v>43</v>
      </c>
      <c r="D234" s="2" t="s">
        <v>13</v>
      </c>
      <c r="E234" s="2" t="s">
        <v>30</v>
      </c>
      <c r="F234" s="2" t="s">
        <v>15</v>
      </c>
      <c r="G234" s="2" t="s">
        <v>16</v>
      </c>
      <c r="H234" s="2" t="s">
        <v>18</v>
      </c>
      <c r="I234" s="2" t="s">
        <v>17</v>
      </c>
      <c r="J234">
        <v>0.36</v>
      </c>
      <c r="K234" s="4">
        <v>43388</v>
      </c>
    </row>
    <row r="235" spans="1:11" x14ac:dyDescent="0.3">
      <c r="A235" t="s">
        <v>494</v>
      </c>
      <c r="B235" s="2" t="s">
        <v>495</v>
      </c>
      <c r="C235">
        <v>48</v>
      </c>
      <c r="D235" s="2" t="s">
        <v>21</v>
      </c>
      <c r="E235" s="2" t="s">
        <v>14</v>
      </c>
      <c r="F235" s="2" t="s">
        <v>15</v>
      </c>
      <c r="G235" s="2" t="s">
        <v>24</v>
      </c>
      <c r="H235" s="2" t="s">
        <v>18</v>
      </c>
      <c r="I235" s="2" t="s">
        <v>18</v>
      </c>
      <c r="J235">
        <v>0.01</v>
      </c>
      <c r="K235" s="4">
        <v>43858</v>
      </c>
    </row>
    <row r="236" spans="1:11" x14ac:dyDescent="0.3">
      <c r="A236" t="s">
        <v>496</v>
      </c>
      <c r="B236" s="2" t="s">
        <v>497</v>
      </c>
      <c r="C236">
        <v>25</v>
      </c>
      <c r="D236" s="2" t="s">
        <v>13</v>
      </c>
      <c r="E236" s="2" t="s">
        <v>14</v>
      </c>
      <c r="F236" s="2" t="s">
        <v>23</v>
      </c>
      <c r="G236" s="2" t="s">
        <v>81</v>
      </c>
      <c r="H236" s="2" t="s">
        <v>18</v>
      </c>
      <c r="I236" s="2" t="s">
        <v>17</v>
      </c>
      <c r="J236">
        <v>0.55000000000000004</v>
      </c>
      <c r="K236" s="4">
        <v>43709</v>
      </c>
    </row>
    <row r="237" spans="1:11" x14ac:dyDescent="0.3">
      <c r="A237" t="s">
        <v>498</v>
      </c>
      <c r="B237" s="2" t="s">
        <v>467</v>
      </c>
      <c r="C237">
        <v>39</v>
      </c>
      <c r="D237" s="2" t="s">
        <v>21</v>
      </c>
      <c r="E237" s="2" t="s">
        <v>22</v>
      </c>
      <c r="F237" s="2" t="s">
        <v>31</v>
      </c>
      <c r="G237" s="2" t="s">
        <v>81</v>
      </c>
      <c r="H237" s="2" t="s">
        <v>18</v>
      </c>
      <c r="I237" s="2" t="s">
        <v>18</v>
      </c>
      <c r="J237">
        <v>0.35</v>
      </c>
      <c r="K237" s="4">
        <v>44613</v>
      </c>
    </row>
    <row r="238" spans="1:11" x14ac:dyDescent="0.3">
      <c r="A238" t="s">
        <v>499</v>
      </c>
      <c r="B238" s="2" t="s">
        <v>500</v>
      </c>
      <c r="C238">
        <v>26</v>
      </c>
      <c r="D238" s="2" t="s">
        <v>13</v>
      </c>
      <c r="E238" s="2" t="s">
        <v>14</v>
      </c>
      <c r="F238" s="2" t="s">
        <v>37</v>
      </c>
      <c r="G238" s="2" t="s">
        <v>81</v>
      </c>
      <c r="H238" s="2" t="s">
        <v>17</v>
      </c>
      <c r="I238" s="2" t="s">
        <v>18</v>
      </c>
      <c r="J238">
        <v>0.81</v>
      </c>
      <c r="K238" s="4">
        <v>44167</v>
      </c>
    </row>
    <row r="239" spans="1:11" x14ac:dyDescent="0.3">
      <c r="A239" t="s">
        <v>501</v>
      </c>
      <c r="B239" s="2" t="s">
        <v>502</v>
      </c>
      <c r="C239">
        <v>56</v>
      </c>
      <c r="D239" s="2" t="s">
        <v>13</v>
      </c>
      <c r="E239" s="2" t="s">
        <v>30</v>
      </c>
      <c r="F239" s="2" t="s">
        <v>15</v>
      </c>
      <c r="G239" s="2" t="s">
        <v>66</v>
      </c>
      <c r="H239" s="2" t="s">
        <v>17</v>
      </c>
      <c r="I239" s="2" t="s">
        <v>18</v>
      </c>
      <c r="J239">
        <v>0.56999999999999995</v>
      </c>
      <c r="K239" s="4">
        <v>43323</v>
      </c>
    </row>
    <row r="240" spans="1:11" x14ac:dyDescent="0.3">
      <c r="A240" t="s">
        <v>503</v>
      </c>
      <c r="B240" s="2" t="s">
        <v>504</v>
      </c>
      <c r="C240">
        <v>34</v>
      </c>
      <c r="D240" s="2" t="s">
        <v>21</v>
      </c>
      <c r="E240" s="2" t="s">
        <v>22</v>
      </c>
      <c r="F240" s="2" t="s">
        <v>23</v>
      </c>
      <c r="G240" s="2" t="s">
        <v>27</v>
      </c>
      <c r="H240" s="2" t="s">
        <v>17</v>
      </c>
      <c r="I240" s="2" t="s">
        <v>18</v>
      </c>
      <c r="J240">
        <v>0.68</v>
      </c>
      <c r="K240" s="4">
        <v>44373</v>
      </c>
    </row>
    <row r="241" spans="1:11" x14ac:dyDescent="0.3">
      <c r="A241" t="s">
        <v>505</v>
      </c>
      <c r="B241" s="2" t="s">
        <v>506</v>
      </c>
      <c r="C241">
        <v>69</v>
      </c>
      <c r="D241" s="2" t="s">
        <v>21</v>
      </c>
      <c r="E241" s="2" t="s">
        <v>30</v>
      </c>
      <c r="F241" s="2" t="s">
        <v>15</v>
      </c>
      <c r="G241" s="2" t="s">
        <v>16</v>
      </c>
      <c r="H241" s="2" t="s">
        <v>17</v>
      </c>
      <c r="I241" s="2" t="s">
        <v>17</v>
      </c>
      <c r="J241">
        <v>0.53</v>
      </c>
      <c r="K241" s="4">
        <v>44010</v>
      </c>
    </row>
    <row r="242" spans="1:11" x14ac:dyDescent="0.3">
      <c r="A242" t="s">
        <v>507</v>
      </c>
      <c r="B242" s="2" t="s">
        <v>508</v>
      </c>
      <c r="C242">
        <v>23</v>
      </c>
      <c r="D242" s="2" t="s">
        <v>21</v>
      </c>
      <c r="E242" s="2" t="s">
        <v>30</v>
      </c>
      <c r="F242" s="2" t="s">
        <v>31</v>
      </c>
      <c r="G242" s="2" t="s">
        <v>24</v>
      </c>
      <c r="H242" s="2" t="s">
        <v>17</v>
      </c>
      <c r="I242" s="2" t="s">
        <v>18</v>
      </c>
      <c r="J242">
        <v>0.41</v>
      </c>
      <c r="K242" s="4">
        <v>45053</v>
      </c>
    </row>
    <row r="243" spans="1:11" x14ac:dyDescent="0.3">
      <c r="A243" t="s">
        <v>509</v>
      </c>
      <c r="B243" s="2" t="s">
        <v>510</v>
      </c>
      <c r="C243">
        <v>48</v>
      </c>
      <c r="D243" s="2" t="s">
        <v>13</v>
      </c>
      <c r="E243" s="2" t="s">
        <v>30</v>
      </c>
      <c r="F243" s="2" t="s">
        <v>15</v>
      </c>
      <c r="G243" s="2" t="s">
        <v>81</v>
      </c>
      <c r="H243" s="2" t="s">
        <v>18</v>
      </c>
      <c r="I243" s="2" t="s">
        <v>18</v>
      </c>
      <c r="J243">
        <v>0.54</v>
      </c>
      <c r="K243" s="4">
        <v>43685</v>
      </c>
    </row>
    <row r="244" spans="1:11" x14ac:dyDescent="0.3">
      <c r="A244" t="s">
        <v>511</v>
      </c>
      <c r="B244" s="2" t="s">
        <v>512</v>
      </c>
      <c r="C244">
        <v>64</v>
      </c>
      <c r="D244" s="2" t="s">
        <v>21</v>
      </c>
      <c r="E244" s="2" t="s">
        <v>30</v>
      </c>
      <c r="F244" s="2" t="s">
        <v>31</v>
      </c>
      <c r="G244" s="2" t="s">
        <v>16</v>
      </c>
      <c r="H244" s="2" t="s">
        <v>18</v>
      </c>
      <c r="I244" s="2" t="s">
        <v>17</v>
      </c>
      <c r="J244">
        <v>0.51</v>
      </c>
      <c r="K244" s="4">
        <v>44792</v>
      </c>
    </row>
    <row r="245" spans="1:11" x14ac:dyDescent="0.3">
      <c r="A245" t="s">
        <v>513</v>
      </c>
      <c r="B245" s="2" t="s">
        <v>514</v>
      </c>
      <c r="C245">
        <v>59</v>
      </c>
      <c r="D245" s="2" t="s">
        <v>13</v>
      </c>
      <c r="E245" s="2" t="s">
        <v>30</v>
      </c>
      <c r="F245" s="2" t="s">
        <v>23</v>
      </c>
      <c r="G245" s="2" t="s">
        <v>66</v>
      </c>
      <c r="H245" s="2" t="s">
        <v>17</v>
      </c>
      <c r="I245" s="2" t="s">
        <v>17</v>
      </c>
      <c r="J245">
        <v>0.34</v>
      </c>
      <c r="K245" s="4">
        <v>43825</v>
      </c>
    </row>
    <row r="246" spans="1:11" x14ac:dyDescent="0.3">
      <c r="A246" t="s">
        <v>515</v>
      </c>
      <c r="B246" s="2" t="s">
        <v>516</v>
      </c>
      <c r="C246">
        <v>68</v>
      </c>
      <c r="D246" s="2" t="s">
        <v>21</v>
      </c>
      <c r="E246" s="2" t="s">
        <v>14</v>
      </c>
      <c r="F246" s="2" t="s">
        <v>23</v>
      </c>
      <c r="G246" s="2" t="s">
        <v>24</v>
      </c>
      <c r="H246" s="2" t="s">
        <v>18</v>
      </c>
      <c r="I246" s="2" t="s">
        <v>17</v>
      </c>
      <c r="J246">
        <v>0.81</v>
      </c>
      <c r="K246" s="4">
        <v>44683</v>
      </c>
    </row>
    <row r="247" spans="1:11" x14ac:dyDescent="0.3">
      <c r="A247" t="s">
        <v>517</v>
      </c>
      <c r="B247" s="2" t="s">
        <v>518</v>
      </c>
      <c r="C247">
        <v>42</v>
      </c>
      <c r="D247" s="2" t="s">
        <v>21</v>
      </c>
      <c r="E247" s="2" t="s">
        <v>14</v>
      </c>
      <c r="F247" s="2" t="s">
        <v>31</v>
      </c>
      <c r="G247" s="2" t="s">
        <v>66</v>
      </c>
      <c r="H247" s="2" t="s">
        <v>17</v>
      </c>
      <c r="I247" s="2" t="s">
        <v>18</v>
      </c>
      <c r="J247">
        <v>0.23</v>
      </c>
      <c r="K247" s="4">
        <v>45231</v>
      </c>
    </row>
    <row r="248" spans="1:11" x14ac:dyDescent="0.3">
      <c r="A248" t="s">
        <v>519</v>
      </c>
      <c r="B248" s="2" t="s">
        <v>520</v>
      </c>
      <c r="C248">
        <v>49</v>
      </c>
      <c r="D248" s="2" t="s">
        <v>21</v>
      </c>
      <c r="E248" s="2" t="s">
        <v>14</v>
      </c>
      <c r="F248" s="2" t="s">
        <v>31</v>
      </c>
      <c r="G248" s="2" t="s">
        <v>66</v>
      </c>
      <c r="H248" s="2" t="s">
        <v>18</v>
      </c>
      <c r="I248" s="2" t="s">
        <v>18</v>
      </c>
      <c r="J248">
        <v>0.73</v>
      </c>
      <c r="K248" s="4">
        <v>44115</v>
      </c>
    </row>
    <row r="249" spans="1:11" x14ac:dyDescent="0.3">
      <c r="A249" t="s">
        <v>521</v>
      </c>
      <c r="B249" s="2" t="s">
        <v>522</v>
      </c>
      <c r="C249">
        <v>62</v>
      </c>
      <c r="D249" s="2" t="s">
        <v>21</v>
      </c>
      <c r="E249" s="2" t="s">
        <v>22</v>
      </c>
      <c r="F249" s="2" t="s">
        <v>23</v>
      </c>
      <c r="G249" s="2" t="s">
        <v>32</v>
      </c>
      <c r="H249" s="2" t="s">
        <v>18</v>
      </c>
      <c r="I249" s="2" t="s">
        <v>17</v>
      </c>
      <c r="J249">
        <v>0.57999999999999996</v>
      </c>
      <c r="K249" s="4">
        <v>45123</v>
      </c>
    </row>
    <row r="250" spans="1:11" x14ac:dyDescent="0.3">
      <c r="A250" t="s">
        <v>523</v>
      </c>
      <c r="B250" s="2" t="s">
        <v>524</v>
      </c>
      <c r="C250">
        <v>45</v>
      </c>
      <c r="D250" s="2" t="s">
        <v>13</v>
      </c>
      <c r="E250" s="2" t="s">
        <v>22</v>
      </c>
      <c r="F250" s="2" t="s">
        <v>31</v>
      </c>
      <c r="G250" s="2" t="s">
        <v>32</v>
      </c>
      <c r="H250" s="2" t="s">
        <v>18</v>
      </c>
      <c r="I250" s="2" t="s">
        <v>17</v>
      </c>
      <c r="J250">
        <v>0.76</v>
      </c>
      <c r="K250" s="4">
        <v>43723</v>
      </c>
    </row>
    <row r="251" spans="1:11" x14ac:dyDescent="0.3">
      <c r="A251" t="s">
        <v>525</v>
      </c>
      <c r="B251" s="2" t="s">
        <v>526</v>
      </c>
      <c r="C251">
        <v>49</v>
      </c>
      <c r="D251" s="2" t="s">
        <v>13</v>
      </c>
      <c r="E251" s="2" t="s">
        <v>14</v>
      </c>
      <c r="F251" s="2" t="s">
        <v>31</v>
      </c>
      <c r="G251" s="2" t="s">
        <v>32</v>
      </c>
      <c r="H251" s="2" t="s">
        <v>17</v>
      </c>
      <c r="I251" s="2" t="s">
        <v>18</v>
      </c>
      <c r="J251">
        <v>0.43</v>
      </c>
      <c r="K251" s="4">
        <v>43373</v>
      </c>
    </row>
    <row r="252" spans="1:11" x14ac:dyDescent="0.3">
      <c r="A252" t="s">
        <v>527</v>
      </c>
      <c r="B252" s="2" t="s">
        <v>528</v>
      </c>
      <c r="C252">
        <v>29</v>
      </c>
      <c r="D252" s="2" t="s">
        <v>21</v>
      </c>
      <c r="E252" s="2" t="s">
        <v>14</v>
      </c>
      <c r="F252" s="2" t="s">
        <v>31</v>
      </c>
      <c r="G252" s="2" t="s">
        <v>27</v>
      </c>
      <c r="H252" s="2" t="s">
        <v>18</v>
      </c>
      <c r="I252" s="2" t="s">
        <v>17</v>
      </c>
      <c r="J252">
        <v>0.51</v>
      </c>
      <c r="K252" s="4">
        <v>43287</v>
      </c>
    </row>
    <row r="253" spans="1:11" x14ac:dyDescent="0.3">
      <c r="A253" t="s">
        <v>529</v>
      </c>
      <c r="B253" s="2" t="s">
        <v>530</v>
      </c>
      <c r="C253">
        <v>46</v>
      </c>
      <c r="D253" s="2" t="s">
        <v>13</v>
      </c>
      <c r="E253" s="2" t="s">
        <v>14</v>
      </c>
      <c r="F253" s="2" t="s">
        <v>23</v>
      </c>
      <c r="G253" s="2" t="s">
        <v>81</v>
      </c>
      <c r="H253" s="2" t="s">
        <v>17</v>
      </c>
      <c r="I253" s="2" t="s">
        <v>17</v>
      </c>
      <c r="J253">
        <v>0.48</v>
      </c>
      <c r="K253" s="4">
        <v>43868</v>
      </c>
    </row>
    <row r="254" spans="1:11" x14ac:dyDescent="0.3">
      <c r="A254" t="s">
        <v>531</v>
      </c>
      <c r="B254" s="2" t="s">
        <v>532</v>
      </c>
      <c r="C254">
        <v>39</v>
      </c>
      <c r="D254" s="2" t="s">
        <v>13</v>
      </c>
      <c r="E254" s="2" t="s">
        <v>14</v>
      </c>
      <c r="F254" s="2" t="s">
        <v>31</v>
      </c>
      <c r="G254" s="2" t="s">
        <v>81</v>
      </c>
      <c r="H254" s="2" t="s">
        <v>17</v>
      </c>
      <c r="I254" s="2" t="s">
        <v>18</v>
      </c>
      <c r="J254">
        <v>0.61</v>
      </c>
      <c r="K254" s="4">
        <v>44104</v>
      </c>
    </row>
    <row r="255" spans="1:11" x14ac:dyDescent="0.3">
      <c r="A255" t="s">
        <v>533</v>
      </c>
      <c r="B255" s="2" t="s">
        <v>534</v>
      </c>
      <c r="C255">
        <v>66</v>
      </c>
      <c r="D255" s="2" t="s">
        <v>13</v>
      </c>
      <c r="E255" s="2" t="s">
        <v>22</v>
      </c>
      <c r="F255" s="2" t="s">
        <v>15</v>
      </c>
      <c r="G255" s="2" t="s">
        <v>16</v>
      </c>
      <c r="H255" s="2" t="s">
        <v>17</v>
      </c>
      <c r="I255" s="2" t="s">
        <v>17</v>
      </c>
      <c r="J255">
        <v>0.67</v>
      </c>
      <c r="K255" s="4">
        <v>43157</v>
      </c>
    </row>
    <row r="256" spans="1:11" x14ac:dyDescent="0.3">
      <c r="A256" t="s">
        <v>535</v>
      </c>
      <c r="B256" s="2" t="s">
        <v>536</v>
      </c>
      <c r="C256">
        <v>43</v>
      </c>
      <c r="D256" s="2" t="s">
        <v>13</v>
      </c>
      <c r="E256" s="2" t="s">
        <v>30</v>
      </c>
      <c r="F256" s="2" t="s">
        <v>31</v>
      </c>
      <c r="G256" s="2" t="s">
        <v>81</v>
      </c>
      <c r="H256" s="2" t="s">
        <v>17</v>
      </c>
      <c r="I256" s="2" t="s">
        <v>18</v>
      </c>
      <c r="J256">
        <v>0.34</v>
      </c>
      <c r="K256" s="4">
        <v>44627</v>
      </c>
    </row>
    <row r="257" spans="1:11" x14ac:dyDescent="0.3">
      <c r="A257" t="s">
        <v>537</v>
      </c>
      <c r="B257" s="2" t="s">
        <v>538</v>
      </c>
      <c r="C257">
        <v>44</v>
      </c>
      <c r="D257" s="2" t="s">
        <v>13</v>
      </c>
      <c r="E257" s="2" t="s">
        <v>30</v>
      </c>
      <c r="F257" s="2" t="s">
        <v>37</v>
      </c>
      <c r="G257" s="2" t="s">
        <v>66</v>
      </c>
      <c r="H257" s="2" t="s">
        <v>17</v>
      </c>
      <c r="I257" s="2" t="s">
        <v>17</v>
      </c>
      <c r="J257">
        <v>0.33</v>
      </c>
      <c r="K257" s="4">
        <v>44884</v>
      </c>
    </row>
    <row r="258" spans="1:11" x14ac:dyDescent="0.3">
      <c r="A258" t="s">
        <v>539</v>
      </c>
      <c r="B258" s="2" t="s">
        <v>540</v>
      </c>
      <c r="C258">
        <v>28</v>
      </c>
      <c r="D258" s="2" t="s">
        <v>13</v>
      </c>
      <c r="E258" s="2" t="s">
        <v>14</v>
      </c>
      <c r="F258" s="2" t="s">
        <v>15</v>
      </c>
      <c r="G258" s="2" t="s">
        <v>66</v>
      </c>
      <c r="H258" s="2" t="s">
        <v>18</v>
      </c>
      <c r="I258" s="2" t="s">
        <v>17</v>
      </c>
      <c r="J258">
        <v>0.55000000000000004</v>
      </c>
      <c r="K258" s="4">
        <v>43145</v>
      </c>
    </row>
    <row r="259" spans="1:11" x14ac:dyDescent="0.3">
      <c r="A259" t="s">
        <v>541</v>
      </c>
      <c r="B259" s="2" t="s">
        <v>542</v>
      </c>
      <c r="C259">
        <v>49</v>
      </c>
      <c r="D259" s="2" t="s">
        <v>13</v>
      </c>
      <c r="E259" s="2" t="s">
        <v>14</v>
      </c>
      <c r="F259" s="2" t="s">
        <v>31</v>
      </c>
      <c r="G259" s="2" t="s">
        <v>66</v>
      </c>
      <c r="H259" s="2" t="s">
        <v>18</v>
      </c>
      <c r="I259" s="2" t="s">
        <v>18</v>
      </c>
      <c r="J259">
        <v>0.39</v>
      </c>
      <c r="K259" s="4">
        <v>44260</v>
      </c>
    </row>
    <row r="260" spans="1:11" x14ac:dyDescent="0.3">
      <c r="A260" t="s">
        <v>543</v>
      </c>
      <c r="B260" s="2" t="s">
        <v>544</v>
      </c>
      <c r="C260">
        <v>41</v>
      </c>
      <c r="D260" s="2" t="s">
        <v>13</v>
      </c>
      <c r="E260" s="2" t="s">
        <v>14</v>
      </c>
      <c r="F260" s="2" t="s">
        <v>31</v>
      </c>
      <c r="G260" s="2" t="s">
        <v>32</v>
      </c>
      <c r="H260" s="2" t="s">
        <v>18</v>
      </c>
      <c r="I260" s="2" t="s">
        <v>17</v>
      </c>
      <c r="J260">
        <v>0.52</v>
      </c>
      <c r="K260" s="4">
        <v>43152</v>
      </c>
    </row>
    <row r="261" spans="1:11" x14ac:dyDescent="0.3">
      <c r="A261" t="s">
        <v>545</v>
      </c>
      <c r="B261" s="2" t="s">
        <v>546</v>
      </c>
      <c r="C261">
        <v>64</v>
      </c>
      <c r="D261" s="2" t="s">
        <v>13</v>
      </c>
      <c r="E261" s="2" t="s">
        <v>30</v>
      </c>
      <c r="F261" s="2" t="s">
        <v>31</v>
      </c>
      <c r="G261" s="2" t="s">
        <v>32</v>
      </c>
      <c r="H261" s="2" t="s">
        <v>17</v>
      </c>
      <c r="I261" s="2" t="s">
        <v>18</v>
      </c>
      <c r="J261">
        <v>0.41</v>
      </c>
      <c r="K261" s="4">
        <v>44057</v>
      </c>
    </row>
    <row r="262" spans="1:11" x14ac:dyDescent="0.3">
      <c r="A262" t="s">
        <v>547</v>
      </c>
      <c r="B262" s="2" t="s">
        <v>548</v>
      </c>
      <c r="C262">
        <v>34</v>
      </c>
      <c r="D262" s="2" t="s">
        <v>13</v>
      </c>
      <c r="E262" s="2" t="s">
        <v>30</v>
      </c>
      <c r="F262" s="2" t="s">
        <v>15</v>
      </c>
      <c r="G262" s="2" t="s">
        <v>81</v>
      </c>
      <c r="H262" s="2" t="s">
        <v>17</v>
      </c>
      <c r="I262" s="2" t="s">
        <v>17</v>
      </c>
      <c r="J262">
        <v>0.56000000000000005</v>
      </c>
      <c r="K262" s="4">
        <v>43779</v>
      </c>
    </row>
    <row r="263" spans="1:11" x14ac:dyDescent="0.3">
      <c r="A263" t="s">
        <v>549</v>
      </c>
      <c r="B263" s="2" t="s">
        <v>550</v>
      </c>
      <c r="C263">
        <v>42</v>
      </c>
      <c r="D263" s="2" t="s">
        <v>13</v>
      </c>
      <c r="E263" s="2" t="s">
        <v>14</v>
      </c>
      <c r="F263" s="2" t="s">
        <v>15</v>
      </c>
      <c r="G263" s="2" t="s">
        <v>16</v>
      </c>
      <c r="H263" s="2" t="s">
        <v>18</v>
      </c>
      <c r="I263" s="2" t="s">
        <v>18</v>
      </c>
      <c r="J263">
        <v>0.17</v>
      </c>
      <c r="K263" s="4">
        <v>43442</v>
      </c>
    </row>
    <row r="264" spans="1:11" x14ac:dyDescent="0.3">
      <c r="A264" t="s">
        <v>551</v>
      </c>
      <c r="B264" s="2" t="s">
        <v>552</v>
      </c>
      <c r="C264">
        <v>34</v>
      </c>
      <c r="D264" s="2" t="s">
        <v>21</v>
      </c>
      <c r="E264" s="2" t="s">
        <v>30</v>
      </c>
      <c r="F264" s="2" t="s">
        <v>23</v>
      </c>
      <c r="G264" s="2" t="s">
        <v>27</v>
      </c>
      <c r="H264" s="2" t="s">
        <v>17</v>
      </c>
      <c r="I264" s="2" t="s">
        <v>17</v>
      </c>
      <c r="J264">
        <v>0.83</v>
      </c>
      <c r="K264" s="4">
        <v>44786</v>
      </c>
    </row>
    <row r="265" spans="1:11" x14ac:dyDescent="0.3">
      <c r="A265" t="s">
        <v>553</v>
      </c>
      <c r="B265" s="2" t="s">
        <v>554</v>
      </c>
      <c r="C265">
        <v>53</v>
      </c>
      <c r="D265" s="2" t="s">
        <v>13</v>
      </c>
      <c r="E265" s="2" t="s">
        <v>22</v>
      </c>
      <c r="F265" s="2" t="s">
        <v>23</v>
      </c>
      <c r="G265" s="2" t="s">
        <v>32</v>
      </c>
      <c r="H265" s="2" t="s">
        <v>17</v>
      </c>
      <c r="I265" s="2" t="s">
        <v>18</v>
      </c>
      <c r="J265">
        <v>0.56000000000000005</v>
      </c>
      <c r="K265" s="4">
        <v>44465</v>
      </c>
    </row>
    <row r="266" spans="1:11" x14ac:dyDescent="0.3">
      <c r="A266" t="s">
        <v>555</v>
      </c>
      <c r="B266" s="2" t="s">
        <v>556</v>
      </c>
      <c r="C266">
        <v>35</v>
      </c>
      <c r="D266" s="2" t="s">
        <v>21</v>
      </c>
      <c r="E266" s="2" t="s">
        <v>22</v>
      </c>
      <c r="F266" s="2" t="s">
        <v>37</v>
      </c>
      <c r="G266" s="2" t="s">
        <v>32</v>
      </c>
      <c r="H266" s="2" t="s">
        <v>18</v>
      </c>
      <c r="I266" s="2" t="s">
        <v>17</v>
      </c>
      <c r="J266">
        <v>0.31</v>
      </c>
      <c r="K266" s="4">
        <v>43149</v>
      </c>
    </row>
    <row r="267" spans="1:11" x14ac:dyDescent="0.3">
      <c r="A267" t="s">
        <v>557</v>
      </c>
      <c r="B267" s="2" t="s">
        <v>558</v>
      </c>
      <c r="C267">
        <v>31</v>
      </c>
      <c r="D267" s="2" t="s">
        <v>21</v>
      </c>
      <c r="E267" s="2" t="s">
        <v>14</v>
      </c>
      <c r="F267" s="2" t="s">
        <v>23</v>
      </c>
      <c r="G267" s="2" t="s">
        <v>81</v>
      </c>
      <c r="H267" s="2" t="s">
        <v>17</v>
      </c>
      <c r="I267" s="2" t="s">
        <v>18</v>
      </c>
      <c r="J267">
        <v>0.64</v>
      </c>
      <c r="K267" s="4">
        <v>43349</v>
      </c>
    </row>
    <row r="268" spans="1:11" x14ac:dyDescent="0.3">
      <c r="A268" t="s">
        <v>559</v>
      </c>
      <c r="B268" s="2" t="s">
        <v>560</v>
      </c>
      <c r="C268">
        <v>18</v>
      </c>
      <c r="D268" s="2" t="s">
        <v>21</v>
      </c>
      <c r="E268" s="2" t="s">
        <v>14</v>
      </c>
      <c r="F268" s="2" t="s">
        <v>23</v>
      </c>
      <c r="G268" s="2" t="s">
        <v>81</v>
      </c>
      <c r="H268" s="2" t="s">
        <v>18</v>
      </c>
      <c r="I268" s="2" t="s">
        <v>18</v>
      </c>
      <c r="J268">
        <v>0.27</v>
      </c>
      <c r="K268" s="4">
        <v>44942</v>
      </c>
    </row>
    <row r="269" spans="1:11" x14ac:dyDescent="0.3">
      <c r="A269" t="s">
        <v>561</v>
      </c>
      <c r="B269" s="2" t="s">
        <v>562</v>
      </c>
      <c r="C269">
        <v>25</v>
      </c>
      <c r="D269" s="2" t="s">
        <v>21</v>
      </c>
      <c r="E269" s="2" t="s">
        <v>30</v>
      </c>
      <c r="F269" s="2" t="s">
        <v>37</v>
      </c>
      <c r="G269" s="2" t="s">
        <v>27</v>
      </c>
      <c r="H269" s="2" t="s">
        <v>17</v>
      </c>
      <c r="I269" s="2" t="s">
        <v>18</v>
      </c>
      <c r="J269">
        <v>0.77</v>
      </c>
      <c r="K269" s="4">
        <v>44419</v>
      </c>
    </row>
    <row r="270" spans="1:11" x14ac:dyDescent="0.3">
      <c r="A270" t="s">
        <v>563</v>
      </c>
      <c r="B270" s="2" t="s">
        <v>564</v>
      </c>
      <c r="C270">
        <v>61</v>
      </c>
      <c r="D270" s="2" t="s">
        <v>13</v>
      </c>
      <c r="E270" s="2" t="s">
        <v>22</v>
      </c>
      <c r="F270" s="2" t="s">
        <v>31</v>
      </c>
      <c r="G270" s="2" t="s">
        <v>32</v>
      </c>
      <c r="H270" s="2" t="s">
        <v>18</v>
      </c>
      <c r="I270" s="2" t="s">
        <v>17</v>
      </c>
      <c r="J270">
        <v>0.45</v>
      </c>
      <c r="K270" s="4">
        <v>43543</v>
      </c>
    </row>
    <row r="271" spans="1:11" x14ac:dyDescent="0.3">
      <c r="A271" t="s">
        <v>565</v>
      </c>
      <c r="B271" s="2" t="s">
        <v>566</v>
      </c>
      <c r="C271">
        <v>52</v>
      </c>
      <c r="D271" s="2" t="s">
        <v>13</v>
      </c>
      <c r="E271" s="2" t="s">
        <v>30</v>
      </c>
      <c r="F271" s="2" t="s">
        <v>23</v>
      </c>
      <c r="G271" s="2" t="s">
        <v>27</v>
      </c>
      <c r="H271" s="2" t="s">
        <v>18</v>
      </c>
      <c r="I271" s="2" t="s">
        <v>17</v>
      </c>
      <c r="J271">
        <v>0.51</v>
      </c>
      <c r="K271" s="4">
        <v>43221</v>
      </c>
    </row>
    <row r="272" spans="1:11" x14ac:dyDescent="0.3">
      <c r="A272" t="s">
        <v>567</v>
      </c>
      <c r="B272" s="2" t="s">
        <v>568</v>
      </c>
      <c r="C272">
        <v>40</v>
      </c>
      <c r="D272" s="2" t="s">
        <v>13</v>
      </c>
      <c r="E272" s="2" t="s">
        <v>30</v>
      </c>
      <c r="F272" s="2" t="s">
        <v>23</v>
      </c>
      <c r="G272" s="2" t="s">
        <v>16</v>
      </c>
      <c r="H272" s="2" t="s">
        <v>17</v>
      </c>
      <c r="I272" s="2" t="s">
        <v>18</v>
      </c>
      <c r="J272">
        <v>0.63</v>
      </c>
      <c r="K272" s="4">
        <v>43371</v>
      </c>
    </row>
    <row r="273" spans="1:11" x14ac:dyDescent="0.3">
      <c r="A273" t="s">
        <v>569</v>
      </c>
      <c r="B273" s="2" t="s">
        <v>570</v>
      </c>
      <c r="C273">
        <v>40</v>
      </c>
      <c r="D273" s="2" t="s">
        <v>13</v>
      </c>
      <c r="E273" s="2" t="s">
        <v>22</v>
      </c>
      <c r="F273" s="2" t="s">
        <v>15</v>
      </c>
      <c r="G273" s="2" t="s">
        <v>24</v>
      </c>
      <c r="H273" s="2" t="s">
        <v>17</v>
      </c>
      <c r="I273" s="2" t="s">
        <v>17</v>
      </c>
      <c r="J273">
        <v>0.34</v>
      </c>
      <c r="K273" s="4">
        <v>44885</v>
      </c>
    </row>
    <row r="274" spans="1:11" x14ac:dyDescent="0.3">
      <c r="A274" t="s">
        <v>571</v>
      </c>
      <c r="B274" s="2" t="s">
        <v>572</v>
      </c>
      <c r="C274">
        <v>54</v>
      </c>
      <c r="D274" s="2" t="s">
        <v>21</v>
      </c>
      <c r="E274" s="2" t="s">
        <v>14</v>
      </c>
      <c r="F274" s="2" t="s">
        <v>23</v>
      </c>
      <c r="G274" s="2" t="s">
        <v>32</v>
      </c>
      <c r="H274" s="2" t="s">
        <v>17</v>
      </c>
      <c r="I274" s="2" t="s">
        <v>18</v>
      </c>
      <c r="J274">
        <v>0.3</v>
      </c>
      <c r="K274" s="4">
        <v>44935</v>
      </c>
    </row>
    <row r="275" spans="1:11" x14ac:dyDescent="0.3">
      <c r="A275" t="s">
        <v>573</v>
      </c>
      <c r="B275" s="2" t="s">
        <v>574</v>
      </c>
      <c r="C275">
        <v>43</v>
      </c>
      <c r="D275" s="2" t="s">
        <v>13</v>
      </c>
      <c r="E275" s="2" t="s">
        <v>22</v>
      </c>
      <c r="F275" s="2" t="s">
        <v>23</v>
      </c>
      <c r="G275" s="2" t="s">
        <v>27</v>
      </c>
      <c r="H275" s="2" t="s">
        <v>18</v>
      </c>
      <c r="I275" s="2" t="s">
        <v>17</v>
      </c>
      <c r="J275">
        <v>0.48</v>
      </c>
      <c r="K275" s="4">
        <v>44474</v>
      </c>
    </row>
    <row r="276" spans="1:11" x14ac:dyDescent="0.3">
      <c r="A276" t="s">
        <v>575</v>
      </c>
      <c r="B276" s="2" t="s">
        <v>576</v>
      </c>
      <c r="C276">
        <v>42</v>
      </c>
      <c r="D276" s="2" t="s">
        <v>21</v>
      </c>
      <c r="E276" s="2" t="s">
        <v>14</v>
      </c>
      <c r="F276" s="2" t="s">
        <v>37</v>
      </c>
      <c r="G276" s="2" t="s">
        <v>81</v>
      </c>
      <c r="H276" s="2" t="s">
        <v>17</v>
      </c>
      <c r="I276" s="2" t="s">
        <v>18</v>
      </c>
      <c r="J276">
        <v>0.56000000000000005</v>
      </c>
      <c r="K276" s="4">
        <v>43495</v>
      </c>
    </row>
    <row r="277" spans="1:11" x14ac:dyDescent="0.3">
      <c r="A277" t="s">
        <v>577</v>
      </c>
      <c r="B277" s="2" t="s">
        <v>578</v>
      </c>
      <c r="C277">
        <v>43</v>
      </c>
      <c r="D277" s="2" t="s">
        <v>21</v>
      </c>
      <c r="E277" s="2" t="s">
        <v>14</v>
      </c>
      <c r="F277" s="2" t="s">
        <v>31</v>
      </c>
      <c r="G277" s="2" t="s">
        <v>27</v>
      </c>
      <c r="H277" s="2" t="s">
        <v>17</v>
      </c>
      <c r="I277" s="2" t="s">
        <v>17</v>
      </c>
      <c r="J277">
        <v>0.39</v>
      </c>
      <c r="K277" s="4">
        <v>44356</v>
      </c>
    </row>
    <row r="278" spans="1:11" x14ac:dyDescent="0.3">
      <c r="A278" t="s">
        <v>579</v>
      </c>
      <c r="B278" s="2" t="s">
        <v>580</v>
      </c>
      <c r="C278">
        <v>45</v>
      </c>
      <c r="D278" s="2" t="s">
        <v>21</v>
      </c>
      <c r="E278" s="2" t="s">
        <v>14</v>
      </c>
      <c r="F278" s="2" t="s">
        <v>15</v>
      </c>
      <c r="G278" s="2" t="s">
        <v>16</v>
      </c>
      <c r="H278" s="2" t="s">
        <v>18</v>
      </c>
      <c r="I278" s="2" t="s">
        <v>18</v>
      </c>
      <c r="J278">
        <v>0.54</v>
      </c>
      <c r="K278" s="4">
        <v>43725</v>
      </c>
    </row>
    <row r="279" spans="1:11" x14ac:dyDescent="0.3">
      <c r="A279" t="s">
        <v>581</v>
      </c>
      <c r="B279" s="2" t="s">
        <v>582</v>
      </c>
      <c r="C279">
        <v>51</v>
      </c>
      <c r="D279" s="2" t="s">
        <v>21</v>
      </c>
      <c r="E279" s="2" t="s">
        <v>22</v>
      </c>
      <c r="F279" s="2" t="s">
        <v>31</v>
      </c>
      <c r="G279" s="2" t="s">
        <v>16</v>
      </c>
      <c r="H279" s="2" t="s">
        <v>17</v>
      </c>
      <c r="I279" s="2" t="s">
        <v>18</v>
      </c>
      <c r="J279">
        <v>0.79</v>
      </c>
      <c r="K279" s="4">
        <v>44422</v>
      </c>
    </row>
    <row r="280" spans="1:11" x14ac:dyDescent="0.3">
      <c r="A280" t="s">
        <v>583</v>
      </c>
      <c r="B280" s="2" t="s">
        <v>584</v>
      </c>
      <c r="C280">
        <v>67</v>
      </c>
      <c r="D280" s="2" t="s">
        <v>21</v>
      </c>
      <c r="E280" s="2" t="s">
        <v>22</v>
      </c>
      <c r="F280" s="2" t="s">
        <v>15</v>
      </c>
      <c r="G280" s="2" t="s">
        <v>32</v>
      </c>
      <c r="H280" s="2" t="s">
        <v>17</v>
      </c>
      <c r="I280" s="2" t="s">
        <v>17</v>
      </c>
      <c r="J280">
        <v>0.36</v>
      </c>
      <c r="K280" s="4">
        <v>43816</v>
      </c>
    </row>
    <row r="281" spans="1:11" x14ac:dyDescent="0.3">
      <c r="A281" t="s">
        <v>585</v>
      </c>
      <c r="B281" s="2" t="s">
        <v>586</v>
      </c>
      <c r="C281">
        <v>21</v>
      </c>
      <c r="D281" s="2" t="s">
        <v>21</v>
      </c>
      <c r="E281" s="2" t="s">
        <v>14</v>
      </c>
      <c r="F281" s="2" t="s">
        <v>31</v>
      </c>
      <c r="G281" s="2" t="s">
        <v>32</v>
      </c>
      <c r="H281" s="2" t="s">
        <v>17</v>
      </c>
      <c r="I281" s="2" t="s">
        <v>17</v>
      </c>
      <c r="J281">
        <v>0.6</v>
      </c>
      <c r="K281" s="4">
        <v>43166</v>
      </c>
    </row>
    <row r="282" spans="1:11" x14ac:dyDescent="0.3">
      <c r="A282" t="s">
        <v>587</v>
      </c>
      <c r="B282" s="2" t="s">
        <v>588</v>
      </c>
      <c r="C282">
        <v>29</v>
      </c>
      <c r="D282" s="2" t="s">
        <v>13</v>
      </c>
      <c r="E282" s="2" t="s">
        <v>22</v>
      </c>
      <c r="F282" s="2" t="s">
        <v>37</v>
      </c>
      <c r="G282" s="2" t="s">
        <v>27</v>
      </c>
      <c r="H282" s="2" t="s">
        <v>18</v>
      </c>
      <c r="I282" s="2" t="s">
        <v>17</v>
      </c>
      <c r="J282">
        <v>0.15</v>
      </c>
      <c r="K282" s="4">
        <v>44836</v>
      </c>
    </row>
    <row r="283" spans="1:11" x14ac:dyDescent="0.3">
      <c r="A283" t="s">
        <v>589</v>
      </c>
      <c r="B283" s="2" t="s">
        <v>590</v>
      </c>
      <c r="C283">
        <v>49</v>
      </c>
      <c r="D283" s="2" t="s">
        <v>13</v>
      </c>
      <c r="E283" s="2" t="s">
        <v>22</v>
      </c>
      <c r="F283" s="2" t="s">
        <v>37</v>
      </c>
      <c r="G283" s="2" t="s">
        <v>16</v>
      </c>
      <c r="H283" s="2" t="s">
        <v>17</v>
      </c>
      <c r="I283" s="2" t="s">
        <v>17</v>
      </c>
      <c r="J283">
        <v>0.5</v>
      </c>
      <c r="K283" s="4">
        <v>44192</v>
      </c>
    </row>
    <row r="284" spans="1:11" x14ac:dyDescent="0.3">
      <c r="A284" t="s">
        <v>591</v>
      </c>
      <c r="B284" s="2" t="s">
        <v>592</v>
      </c>
      <c r="C284">
        <v>65</v>
      </c>
      <c r="D284" s="2" t="s">
        <v>21</v>
      </c>
      <c r="E284" s="2" t="s">
        <v>14</v>
      </c>
      <c r="F284" s="2" t="s">
        <v>31</v>
      </c>
      <c r="G284" s="2" t="s">
        <v>16</v>
      </c>
      <c r="H284" s="2" t="s">
        <v>18</v>
      </c>
      <c r="I284" s="2" t="s">
        <v>17</v>
      </c>
      <c r="J284">
        <v>0.43</v>
      </c>
      <c r="K284" s="4">
        <v>44025</v>
      </c>
    </row>
    <row r="285" spans="1:11" x14ac:dyDescent="0.3">
      <c r="A285" t="s">
        <v>593</v>
      </c>
      <c r="B285" s="2" t="s">
        <v>594</v>
      </c>
      <c r="C285">
        <v>57</v>
      </c>
      <c r="D285" s="2" t="s">
        <v>13</v>
      </c>
      <c r="E285" s="2" t="s">
        <v>30</v>
      </c>
      <c r="F285" s="2" t="s">
        <v>23</v>
      </c>
      <c r="G285" s="2" t="s">
        <v>16</v>
      </c>
      <c r="H285" s="2" t="s">
        <v>18</v>
      </c>
      <c r="I285" s="2" t="s">
        <v>18</v>
      </c>
      <c r="J285">
        <v>0.35</v>
      </c>
      <c r="K285" s="4">
        <v>43528</v>
      </c>
    </row>
    <row r="286" spans="1:11" x14ac:dyDescent="0.3">
      <c r="A286" t="s">
        <v>595</v>
      </c>
      <c r="B286" s="2" t="s">
        <v>596</v>
      </c>
      <c r="C286">
        <v>25</v>
      </c>
      <c r="D286" s="2" t="s">
        <v>21</v>
      </c>
      <c r="E286" s="2" t="s">
        <v>30</v>
      </c>
      <c r="F286" s="2" t="s">
        <v>31</v>
      </c>
      <c r="G286" s="2" t="s">
        <v>32</v>
      </c>
      <c r="H286" s="2" t="s">
        <v>17</v>
      </c>
      <c r="I286" s="2" t="s">
        <v>18</v>
      </c>
      <c r="J286">
        <v>0.56999999999999995</v>
      </c>
      <c r="K286" s="4">
        <v>43578</v>
      </c>
    </row>
    <row r="287" spans="1:11" x14ac:dyDescent="0.3">
      <c r="A287" t="s">
        <v>597</v>
      </c>
      <c r="B287" s="2" t="s">
        <v>598</v>
      </c>
      <c r="C287">
        <v>41</v>
      </c>
      <c r="D287" s="2" t="s">
        <v>21</v>
      </c>
      <c r="E287" s="2" t="s">
        <v>22</v>
      </c>
      <c r="F287" s="2" t="s">
        <v>37</v>
      </c>
      <c r="G287" s="2" t="s">
        <v>32</v>
      </c>
      <c r="H287" s="2" t="s">
        <v>17</v>
      </c>
      <c r="I287" s="2" t="s">
        <v>18</v>
      </c>
      <c r="J287">
        <v>0.57999999999999996</v>
      </c>
      <c r="K287" s="4">
        <v>44744</v>
      </c>
    </row>
    <row r="288" spans="1:11" x14ac:dyDescent="0.3">
      <c r="A288" t="s">
        <v>599</v>
      </c>
      <c r="B288" s="2" t="s">
        <v>600</v>
      </c>
      <c r="C288">
        <v>27</v>
      </c>
      <c r="D288" s="2" t="s">
        <v>13</v>
      </c>
      <c r="E288" s="2" t="s">
        <v>22</v>
      </c>
      <c r="F288" s="2" t="s">
        <v>15</v>
      </c>
      <c r="G288" s="2" t="s">
        <v>32</v>
      </c>
      <c r="H288" s="2" t="s">
        <v>18</v>
      </c>
      <c r="I288" s="2" t="s">
        <v>18</v>
      </c>
      <c r="J288">
        <v>0.1</v>
      </c>
      <c r="K288" s="4">
        <v>44593</v>
      </c>
    </row>
    <row r="289" spans="1:11" x14ac:dyDescent="0.3">
      <c r="A289" t="s">
        <v>601</v>
      </c>
      <c r="B289" s="2" t="s">
        <v>602</v>
      </c>
      <c r="C289">
        <v>23</v>
      </c>
      <c r="D289" s="2" t="s">
        <v>21</v>
      </c>
      <c r="E289" s="2" t="s">
        <v>14</v>
      </c>
      <c r="F289" s="2" t="s">
        <v>37</v>
      </c>
      <c r="G289" s="2" t="s">
        <v>24</v>
      </c>
      <c r="H289" s="2" t="s">
        <v>17</v>
      </c>
      <c r="I289" s="2" t="s">
        <v>17</v>
      </c>
      <c r="J289">
        <v>0.51</v>
      </c>
      <c r="K289" s="4">
        <v>44588</v>
      </c>
    </row>
    <row r="290" spans="1:11" x14ac:dyDescent="0.3">
      <c r="A290" t="s">
        <v>603</v>
      </c>
      <c r="B290" s="2" t="s">
        <v>604</v>
      </c>
      <c r="C290">
        <v>60</v>
      </c>
      <c r="D290" s="2" t="s">
        <v>13</v>
      </c>
      <c r="E290" s="2" t="s">
        <v>22</v>
      </c>
      <c r="F290" s="2" t="s">
        <v>37</v>
      </c>
      <c r="G290" s="2" t="s">
        <v>32</v>
      </c>
      <c r="H290" s="2" t="s">
        <v>17</v>
      </c>
      <c r="I290" s="2" t="s">
        <v>17</v>
      </c>
      <c r="J290">
        <v>0.76</v>
      </c>
      <c r="K290" s="4">
        <v>43704</v>
      </c>
    </row>
    <row r="291" spans="1:11" x14ac:dyDescent="0.3">
      <c r="A291" t="s">
        <v>605</v>
      </c>
      <c r="B291" s="2" t="s">
        <v>606</v>
      </c>
      <c r="C291">
        <v>47</v>
      </c>
      <c r="D291" s="2" t="s">
        <v>21</v>
      </c>
      <c r="E291" s="2" t="s">
        <v>22</v>
      </c>
      <c r="F291" s="2" t="s">
        <v>37</v>
      </c>
      <c r="G291" s="2" t="s">
        <v>3325</v>
      </c>
      <c r="H291" s="2" t="s">
        <v>17</v>
      </c>
      <c r="I291" s="2" t="s">
        <v>18</v>
      </c>
      <c r="J291">
        <v>0.61</v>
      </c>
      <c r="K291" s="4">
        <v>43432</v>
      </c>
    </row>
    <row r="292" spans="1:11" x14ac:dyDescent="0.3">
      <c r="A292" t="s">
        <v>607</v>
      </c>
      <c r="B292" s="2" t="s">
        <v>608</v>
      </c>
      <c r="C292">
        <v>66</v>
      </c>
      <c r="D292" s="2" t="s">
        <v>21</v>
      </c>
      <c r="E292" s="2" t="s">
        <v>14</v>
      </c>
      <c r="F292" s="2" t="s">
        <v>37</v>
      </c>
      <c r="G292" s="2" t="s">
        <v>16</v>
      </c>
      <c r="H292" s="2" t="s">
        <v>18</v>
      </c>
      <c r="I292" s="2" t="s">
        <v>18</v>
      </c>
      <c r="J292">
        <v>0.75</v>
      </c>
      <c r="K292" s="4">
        <v>44604</v>
      </c>
    </row>
    <row r="293" spans="1:11" x14ac:dyDescent="0.3">
      <c r="A293" t="s">
        <v>609</v>
      </c>
      <c r="B293" s="2" t="s">
        <v>610</v>
      </c>
      <c r="C293">
        <v>34</v>
      </c>
      <c r="D293" s="2" t="s">
        <v>13</v>
      </c>
      <c r="E293" s="2" t="s">
        <v>30</v>
      </c>
      <c r="F293" s="2" t="s">
        <v>15</v>
      </c>
      <c r="G293" s="2" t="s">
        <v>24</v>
      </c>
      <c r="H293" s="2" t="s">
        <v>18</v>
      </c>
      <c r="I293" s="2" t="s">
        <v>17</v>
      </c>
      <c r="J293">
        <v>0.53</v>
      </c>
      <c r="K293" s="4">
        <v>43811</v>
      </c>
    </row>
    <row r="294" spans="1:11" x14ac:dyDescent="0.3">
      <c r="A294" t="s">
        <v>611</v>
      </c>
      <c r="B294" s="2" t="s">
        <v>612</v>
      </c>
      <c r="C294">
        <v>42</v>
      </c>
      <c r="D294" s="2" t="s">
        <v>21</v>
      </c>
      <c r="E294" s="2" t="s">
        <v>30</v>
      </c>
      <c r="F294" s="2" t="s">
        <v>31</v>
      </c>
      <c r="G294" s="2" t="s">
        <v>24</v>
      </c>
      <c r="H294" s="2" t="s">
        <v>18</v>
      </c>
      <c r="I294" s="2" t="s">
        <v>17</v>
      </c>
      <c r="J294">
        <v>0.66</v>
      </c>
      <c r="K294" s="4">
        <v>44635</v>
      </c>
    </row>
    <row r="295" spans="1:11" x14ac:dyDescent="0.3">
      <c r="A295" t="s">
        <v>613</v>
      </c>
      <c r="B295" s="2" t="s">
        <v>614</v>
      </c>
      <c r="C295">
        <v>65</v>
      </c>
      <c r="D295" s="2" t="s">
        <v>13</v>
      </c>
      <c r="E295" s="2" t="s">
        <v>30</v>
      </c>
      <c r="F295" s="2" t="s">
        <v>31</v>
      </c>
      <c r="G295" s="2" t="s">
        <v>27</v>
      </c>
      <c r="H295" s="2" t="s">
        <v>18</v>
      </c>
      <c r="I295" s="2" t="s">
        <v>17</v>
      </c>
      <c r="J295">
        <v>0.51</v>
      </c>
      <c r="K295" s="4">
        <v>44395</v>
      </c>
    </row>
    <row r="296" spans="1:11" x14ac:dyDescent="0.3">
      <c r="A296" t="s">
        <v>615</v>
      </c>
      <c r="B296" s="2" t="s">
        <v>616</v>
      </c>
      <c r="C296">
        <v>59</v>
      </c>
      <c r="D296" s="2" t="s">
        <v>13</v>
      </c>
      <c r="E296" s="2" t="s">
        <v>30</v>
      </c>
      <c r="F296" s="2" t="s">
        <v>37</v>
      </c>
      <c r="G296" s="2" t="s">
        <v>66</v>
      </c>
      <c r="H296" s="2" t="s">
        <v>18</v>
      </c>
      <c r="I296" s="2" t="s">
        <v>18</v>
      </c>
      <c r="J296">
        <v>0.28000000000000003</v>
      </c>
      <c r="K296" s="4">
        <v>44239</v>
      </c>
    </row>
    <row r="297" spans="1:11" x14ac:dyDescent="0.3">
      <c r="A297" t="s">
        <v>617</v>
      </c>
      <c r="B297" s="2" t="s">
        <v>618</v>
      </c>
      <c r="C297">
        <v>58</v>
      </c>
      <c r="D297" s="2" t="s">
        <v>21</v>
      </c>
      <c r="E297" s="2" t="s">
        <v>22</v>
      </c>
      <c r="F297" s="2" t="s">
        <v>31</v>
      </c>
      <c r="G297" s="2" t="s">
        <v>24</v>
      </c>
      <c r="H297" s="2" t="s">
        <v>17</v>
      </c>
      <c r="I297" s="2" t="s">
        <v>18</v>
      </c>
      <c r="J297">
        <v>0.51</v>
      </c>
      <c r="K297" s="4">
        <v>43413</v>
      </c>
    </row>
    <row r="298" spans="1:11" x14ac:dyDescent="0.3">
      <c r="A298" t="s">
        <v>619</v>
      </c>
      <c r="B298" s="2" t="s">
        <v>620</v>
      </c>
      <c r="C298">
        <v>56</v>
      </c>
      <c r="D298" s="2" t="s">
        <v>13</v>
      </c>
      <c r="E298" s="2" t="s">
        <v>22</v>
      </c>
      <c r="F298" s="2" t="s">
        <v>23</v>
      </c>
      <c r="G298" s="2" t="s">
        <v>32</v>
      </c>
      <c r="H298" s="2" t="s">
        <v>17</v>
      </c>
      <c r="I298" s="2" t="s">
        <v>17</v>
      </c>
      <c r="J298">
        <v>0.7</v>
      </c>
      <c r="K298" s="4">
        <v>44329</v>
      </c>
    </row>
    <row r="299" spans="1:11" x14ac:dyDescent="0.3">
      <c r="A299" t="s">
        <v>621</v>
      </c>
      <c r="B299" s="2" t="s">
        <v>622</v>
      </c>
      <c r="C299">
        <v>42</v>
      </c>
      <c r="D299" s="2" t="s">
        <v>13</v>
      </c>
      <c r="E299" s="2" t="s">
        <v>22</v>
      </c>
      <c r="F299" s="2" t="s">
        <v>15</v>
      </c>
      <c r="G299" s="2" t="s">
        <v>81</v>
      </c>
      <c r="H299" s="2" t="s">
        <v>17</v>
      </c>
      <c r="I299" s="2" t="s">
        <v>18</v>
      </c>
      <c r="J299">
        <v>0.39</v>
      </c>
      <c r="K299" s="4">
        <v>44364</v>
      </c>
    </row>
    <row r="300" spans="1:11" x14ac:dyDescent="0.3">
      <c r="A300" t="s">
        <v>623</v>
      </c>
      <c r="B300" s="2" t="s">
        <v>624</v>
      </c>
      <c r="C300">
        <v>40</v>
      </c>
      <c r="D300" s="2" t="s">
        <v>13</v>
      </c>
      <c r="E300" s="2" t="s">
        <v>30</v>
      </c>
      <c r="F300" s="2" t="s">
        <v>15</v>
      </c>
      <c r="G300" s="2" t="s">
        <v>66</v>
      </c>
      <c r="H300" s="2" t="s">
        <v>17</v>
      </c>
      <c r="I300" s="2" t="s">
        <v>18</v>
      </c>
      <c r="J300">
        <v>0.36</v>
      </c>
      <c r="K300" s="4">
        <v>43209</v>
      </c>
    </row>
    <row r="301" spans="1:11" x14ac:dyDescent="0.3">
      <c r="A301" t="s">
        <v>625</v>
      </c>
      <c r="B301" s="2" t="s">
        <v>626</v>
      </c>
      <c r="C301">
        <v>43</v>
      </c>
      <c r="D301" s="2" t="s">
        <v>21</v>
      </c>
      <c r="E301" s="2" t="s">
        <v>22</v>
      </c>
      <c r="F301" s="2" t="s">
        <v>15</v>
      </c>
      <c r="G301" s="2" t="s">
        <v>32</v>
      </c>
      <c r="H301" s="2" t="s">
        <v>17</v>
      </c>
      <c r="I301" s="2" t="s">
        <v>17</v>
      </c>
      <c r="J301">
        <v>0.35</v>
      </c>
      <c r="K301" s="4">
        <v>43520</v>
      </c>
    </row>
    <row r="302" spans="1:11" x14ac:dyDescent="0.3">
      <c r="A302" t="s">
        <v>627</v>
      </c>
      <c r="B302" s="2" t="s">
        <v>628</v>
      </c>
      <c r="C302">
        <v>43</v>
      </c>
      <c r="D302" s="2" t="s">
        <v>13</v>
      </c>
      <c r="E302" s="2" t="s">
        <v>14</v>
      </c>
      <c r="F302" s="2" t="s">
        <v>15</v>
      </c>
      <c r="G302" s="2" t="s">
        <v>81</v>
      </c>
      <c r="H302" s="2" t="s">
        <v>18</v>
      </c>
      <c r="I302" s="2" t="s">
        <v>17</v>
      </c>
      <c r="J302">
        <v>0.33</v>
      </c>
      <c r="K302" s="4">
        <v>44486</v>
      </c>
    </row>
    <row r="303" spans="1:11" x14ac:dyDescent="0.3">
      <c r="A303" t="s">
        <v>629</v>
      </c>
      <c r="B303" s="2" t="s">
        <v>630</v>
      </c>
      <c r="C303">
        <v>49</v>
      </c>
      <c r="D303" s="2" t="s">
        <v>13</v>
      </c>
      <c r="E303" s="2" t="s">
        <v>30</v>
      </c>
      <c r="F303" s="2" t="s">
        <v>23</v>
      </c>
      <c r="G303" s="2" t="s">
        <v>24</v>
      </c>
      <c r="H303" s="2" t="s">
        <v>17</v>
      </c>
      <c r="I303" s="2" t="s">
        <v>18</v>
      </c>
      <c r="J303">
        <v>0.68</v>
      </c>
      <c r="K303" s="4">
        <v>44534</v>
      </c>
    </row>
    <row r="304" spans="1:11" x14ac:dyDescent="0.3">
      <c r="A304" t="s">
        <v>631</v>
      </c>
      <c r="B304" s="2" t="s">
        <v>632</v>
      </c>
      <c r="C304">
        <v>25</v>
      </c>
      <c r="D304" s="2" t="s">
        <v>13</v>
      </c>
      <c r="E304" s="2" t="s">
        <v>14</v>
      </c>
      <c r="F304" s="2" t="s">
        <v>23</v>
      </c>
      <c r="G304" s="2" t="s">
        <v>32</v>
      </c>
      <c r="H304" s="2" t="s">
        <v>17</v>
      </c>
      <c r="I304" s="2" t="s">
        <v>18</v>
      </c>
      <c r="J304">
        <v>0.87</v>
      </c>
      <c r="K304" s="4">
        <v>43669</v>
      </c>
    </row>
    <row r="305" spans="1:11" x14ac:dyDescent="0.3">
      <c r="A305" t="s">
        <v>633</v>
      </c>
      <c r="B305" s="2" t="s">
        <v>634</v>
      </c>
      <c r="C305">
        <v>49</v>
      </c>
      <c r="D305" s="2" t="s">
        <v>13</v>
      </c>
      <c r="E305" s="2" t="s">
        <v>14</v>
      </c>
      <c r="F305" s="2" t="s">
        <v>15</v>
      </c>
      <c r="G305" s="2" t="s">
        <v>27</v>
      </c>
      <c r="H305" s="2" t="s">
        <v>18</v>
      </c>
      <c r="I305" s="2" t="s">
        <v>17</v>
      </c>
      <c r="J305">
        <v>0.5</v>
      </c>
      <c r="K305" s="4">
        <v>43316</v>
      </c>
    </row>
    <row r="306" spans="1:11" x14ac:dyDescent="0.3">
      <c r="A306" t="s">
        <v>635</v>
      </c>
      <c r="B306" s="2" t="s">
        <v>636</v>
      </c>
      <c r="C306">
        <v>43</v>
      </c>
      <c r="D306" s="2" t="s">
        <v>13</v>
      </c>
      <c r="E306" s="2" t="s">
        <v>30</v>
      </c>
      <c r="F306" s="2" t="s">
        <v>31</v>
      </c>
      <c r="G306" s="2" t="s">
        <v>81</v>
      </c>
      <c r="H306" s="2" t="s">
        <v>17</v>
      </c>
      <c r="I306" s="2" t="s">
        <v>18</v>
      </c>
      <c r="J306">
        <v>0.63</v>
      </c>
      <c r="K306" s="4">
        <v>43648</v>
      </c>
    </row>
    <row r="307" spans="1:11" x14ac:dyDescent="0.3">
      <c r="A307" t="s">
        <v>637</v>
      </c>
      <c r="B307" s="2" t="s">
        <v>638</v>
      </c>
      <c r="C307">
        <v>31</v>
      </c>
      <c r="D307" s="2" t="s">
        <v>13</v>
      </c>
      <c r="E307" s="2" t="s">
        <v>14</v>
      </c>
      <c r="F307" s="2" t="s">
        <v>23</v>
      </c>
      <c r="G307" s="2" t="s">
        <v>81</v>
      </c>
      <c r="H307" s="2" t="s">
        <v>17</v>
      </c>
      <c r="I307" s="2" t="s">
        <v>18</v>
      </c>
      <c r="J307">
        <v>0.42</v>
      </c>
      <c r="K307" s="4">
        <v>44183</v>
      </c>
    </row>
    <row r="308" spans="1:11" x14ac:dyDescent="0.3">
      <c r="A308" t="s">
        <v>639</v>
      </c>
      <c r="B308" s="2" t="s">
        <v>640</v>
      </c>
      <c r="C308">
        <v>65</v>
      </c>
      <c r="D308" s="2" t="s">
        <v>21</v>
      </c>
      <c r="E308" s="2" t="s">
        <v>14</v>
      </c>
      <c r="F308" s="2" t="s">
        <v>37</v>
      </c>
      <c r="G308" s="2" t="s">
        <v>27</v>
      </c>
      <c r="H308" s="2" t="s">
        <v>17</v>
      </c>
      <c r="I308" s="2" t="s">
        <v>17</v>
      </c>
      <c r="J308">
        <v>0.42</v>
      </c>
      <c r="K308" s="4">
        <v>44660</v>
      </c>
    </row>
    <row r="309" spans="1:11" x14ac:dyDescent="0.3">
      <c r="A309" t="s">
        <v>641</v>
      </c>
      <c r="B309" s="2" t="s">
        <v>642</v>
      </c>
      <c r="C309">
        <v>63</v>
      </c>
      <c r="D309" s="2" t="s">
        <v>21</v>
      </c>
      <c r="E309" s="2" t="s">
        <v>14</v>
      </c>
      <c r="F309" s="2" t="s">
        <v>37</v>
      </c>
      <c r="G309" s="2" t="s">
        <v>24</v>
      </c>
      <c r="H309" s="2" t="s">
        <v>18</v>
      </c>
      <c r="I309" s="2" t="s">
        <v>17</v>
      </c>
      <c r="J309">
        <v>0.46</v>
      </c>
      <c r="K309" s="4">
        <v>44707</v>
      </c>
    </row>
    <row r="310" spans="1:11" x14ac:dyDescent="0.3">
      <c r="A310" t="s">
        <v>643</v>
      </c>
      <c r="B310" s="2" t="s">
        <v>644</v>
      </c>
      <c r="C310">
        <v>31</v>
      </c>
      <c r="D310" s="2" t="s">
        <v>13</v>
      </c>
      <c r="E310" s="2" t="s">
        <v>22</v>
      </c>
      <c r="F310" s="2" t="s">
        <v>15</v>
      </c>
      <c r="G310" s="2" t="s">
        <v>32</v>
      </c>
      <c r="H310" s="2" t="s">
        <v>17</v>
      </c>
      <c r="I310" s="2" t="s">
        <v>18</v>
      </c>
      <c r="J310">
        <v>0.76</v>
      </c>
      <c r="K310" s="4">
        <v>44111</v>
      </c>
    </row>
    <row r="311" spans="1:11" x14ac:dyDescent="0.3">
      <c r="A311" t="s">
        <v>645</v>
      </c>
      <c r="B311" s="2" t="s">
        <v>646</v>
      </c>
      <c r="C311">
        <v>54</v>
      </c>
      <c r="D311" s="2" t="s">
        <v>21</v>
      </c>
      <c r="E311" s="2" t="s">
        <v>14</v>
      </c>
      <c r="F311" s="2" t="s">
        <v>37</v>
      </c>
      <c r="G311" s="2" t="s">
        <v>81</v>
      </c>
      <c r="H311" s="2" t="s">
        <v>17</v>
      </c>
      <c r="I311" s="2" t="s">
        <v>18</v>
      </c>
      <c r="J311">
        <v>0.41</v>
      </c>
      <c r="K311" s="4">
        <v>45226</v>
      </c>
    </row>
    <row r="312" spans="1:11" x14ac:dyDescent="0.3">
      <c r="A312" t="s">
        <v>647</v>
      </c>
      <c r="B312" s="2" t="s">
        <v>648</v>
      </c>
      <c r="C312">
        <v>64</v>
      </c>
      <c r="D312" s="2" t="s">
        <v>13</v>
      </c>
      <c r="E312" s="2" t="s">
        <v>30</v>
      </c>
      <c r="F312" s="2" t="s">
        <v>31</v>
      </c>
      <c r="G312" s="2" t="s">
        <v>81</v>
      </c>
      <c r="H312" s="2" t="s">
        <v>18</v>
      </c>
      <c r="I312" s="2" t="s">
        <v>18</v>
      </c>
      <c r="J312">
        <v>0.42</v>
      </c>
      <c r="K312" s="4">
        <v>44493</v>
      </c>
    </row>
    <row r="313" spans="1:11" x14ac:dyDescent="0.3">
      <c r="A313" t="s">
        <v>649</v>
      </c>
      <c r="B313" s="2" t="s">
        <v>650</v>
      </c>
      <c r="C313">
        <v>31</v>
      </c>
      <c r="D313" s="2" t="s">
        <v>21</v>
      </c>
      <c r="E313" s="2" t="s">
        <v>30</v>
      </c>
      <c r="F313" s="2" t="s">
        <v>23</v>
      </c>
      <c r="G313" s="2" t="s">
        <v>16</v>
      </c>
      <c r="H313" s="2" t="s">
        <v>17</v>
      </c>
      <c r="I313" s="2" t="s">
        <v>18</v>
      </c>
      <c r="J313">
        <v>0.53</v>
      </c>
      <c r="K313" s="4">
        <v>43266</v>
      </c>
    </row>
    <row r="314" spans="1:11" x14ac:dyDescent="0.3">
      <c r="A314" t="s">
        <v>651</v>
      </c>
      <c r="B314" s="2" t="s">
        <v>652</v>
      </c>
      <c r="C314">
        <v>31</v>
      </c>
      <c r="D314" s="2" t="s">
        <v>21</v>
      </c>
      <c r="E314" s="2" t="s">
        <v>22</v>
      </c>
      <c r="F314" s="2" t="s">
        <v>31</v>
      </c>
      <c r="G314" s="2" t="s">
        <v>81</v>
      </c>
      <c r="H314" s="2" t="s">
        <v>17</v>
      </c>
      <c r="I314" s="2" t="s">
        <v>18</v>
      </c>
      <c r="J314">
        <v>0.44</v>
      </c>
      <c r="K314" s="4">
        <v>44397</v>
      </c>
    </row>
    <row r="315" spans="1:11" x14ac:dyDescent="0.3">
      <c r="A315" t="s">
        <v>653</v>
      </c>
      <c r="B315" s="2" t="s">
        <v>654</v>
      </c>
      <c r="C315">
        <v>34</v>
      </c>
      <c r="D315" s="2" t="s">
        <v>13</v>
      </c>
      <c r="E315" s="2" t="s">
        <v>30</v>
      </c>
      <c r="F315" s="2" t="s">
        <v>31</v>
      </c>
      <c r="G315" s="2" t="s">
        <v>81</v>
      </c>
      <c r="H315" s="2" t="s">
        <v>18</v>
      </c>
      <c r="I315" s="2" t="s">
        <v>18</v>
      </c>
      <c r="J315">
        <v>0.19</v>
      </c>
      <c r="K315" s="4">
        <v>44497</v>
      </c>
    </row>
    <row r="316" spans="1:11" x14ac:dyDescent="0.3">
      <c r="A316" t="s">
        <v>655</v>
      </c>
      <c r="B316" s="2" t="s">
        <v>656</v>
      </c>
      <c r="C316">
        <v>25</v>
      </c>
      <c r="D316" s="2" t="s">
        <v>21</v>
      </c>
      <c r="E316" s="2" t="s">
        <v>22</v>
      </c>
      <c r="F316" s="2" t="s">
        <v>23</v>
      </c>
      <c r="G316" s="2" t="s">
        <v>32</v>
      </c>
      <c r="H316" s="2" t="s">
        <v>17</v>
      </c>
      <c r="I316" s="2" t="s">
        <v>17</v>
      </c>
      <c r="J316">
        <v>0.72</v>
      </c>
      <c r="K316" s="4">
        <v>44670</v>
      </c>
    </row>
    <row r="317" spans="1:11" x14ac:dyDescent="0.3">
      <c r="A317" t="s">
        <v>657</v>
      </c>
      <c r="B317" s="2" t="s">
        <v>658</v>
      </c>
      <c r="C317">
        <v>28</v>
      </c>
      <c r="D317" s="2" t="s">
        <v>21</v>
      </c>
      <c r="E317" s="2" t="s">
        <v>22</v>
      </c>
      <c r="F317" s="2" t="s">
        <v>15</v>
      </c>
      <c r="G317" s="2" t="s">
        <v>16</v>
      </c>
      <c r="H317" s="2" t="s">
        <v>18</v>
      </c>
      <c r="I317" s="2" t="s">
        <v>17</v>
      </c>
      <c r="J317">
        <v>0.43</v>
      </c>
      <c r="K317" s="4">
        <v>44438</v>
      </c>
    </row>
    <row r="318" spans="1:11" x14ac:dyDescent="0.3">
      <c r="A318" t="s">
        <v>659</v>
      </c>
      <c r="B318" s="2" t="s">
        <v>660</v>
      </c>
      <c r="C318">
        <v>38</v>
      </c>
      <c r="D318" s="2" t="s">
        <v>21</v>
      </c>
      <c r="E318" s="2" t="s">
        <v>14</v>
      </c>
      <c r="F318" s="2" t="s">
        <v>37</v>
      </c>
      <c r="G318" s="2" t="s">
        <v>66</v>
      </c>
      <c r="H318" s="2" t="s">
        <v>18</v>
      </c>
      <c r="I318" s="2" t="s">
        <v>17</v>
      </c>
      <c r="J318">
        <v>0.14000000000000001</v>
      </c>
      <c r="K318" s="4">
        <v>44957</v>
      </c>
    </row>
    <row r="319" spans="1:11" x14ac:dyDescent="0.3">
      <c r="A319" t="s">
        <v>661</v>
      </c>
      <c r="B319" s="2" t="s">
        <v>662</v>
      </c>
      <c r="C319">
        <v>34</v>
      </c>
      <c r="D319" s="2" t="s">
        <v>21</v>
      </c>
      <c r="E319" s="2" t="s">
        <v>14</v>
      </c>
      <c r="F319" s="2" t="s">
        <v>15</v>
      </c>
      <c r="G319" s="2" t="s">
        <v>66</v>
      </c>
      <c r="H319" s="2" t="s">
        <v>17</v>
      </c>
      <c r="I319" s="2" t="s">
        <v>17</v>
      </c>
      <c r="J319">
        <v>0.46</v>
      </c>
      <c r="K319" s="4">
        <v>44422</v>
      </c>
    </row>
    <row r="320" spans="1:11" x14ac:dyDescent="0.3">
      <c r="A320" t="s">
        <v>663</v>
      </c>
      <c r="B320" s="2" t="s">
        <v>664</v>
      </c>
      <c r="C320">
        <v>24</v>
      </c>
      <c r="D320" s="2" t="s">
        <v>13</v>
      </c>
      <c r="E320" s="2" t="s">
        <v>14</v>
      </c>
      <c r="F320" s="2" t="s">
        <v>31</v>
      </c>
      <c r="G320" s="2" t="s">
        <v>24</v>
      </c>
      <c r="H320" s="2" t="s">
        <v>17</v>
      </c>
      <c r="I320" s="2" t="s">
        <v>17</v>
      </c>
      <c r="J320">
        <v>0.36</v>
      </c>
      <c r="K320" s="4">
        <v>44976</v>
      </c>
    </row>
    <row r="321" spans="1:11" x14ac:dyDescent="0.3">
      <c r="A321" t="s">
        <v>665</v>
      </c>
      <c r="B321" s="2" t="s">
        <v>666</v>
      </c>
      <c r="C321">
        <v>19</v>
      </c>
      <c r="D321" s="2" t="s">
        <v>13</v>
      </c>
      <c r="E321" s="2" t="s">
        <v>22</v>
      </c>
      <c r="F321" s="2" t="s">
        <v>37</v>
      </c>
      <c r="G321" s="2" t="s">
        <v>81</v>
      </c>
      <c r="H321" s="2" t="s">
        <v>17</v>
      </c>
      <c r="I321" s="2" t="s">
        <v>17</v>
      </c>
      <c r="J321">
        <v>0.31</v>
      </c>
      <c r="K321" s="4">
        <v>43764</v>
      </c>
    </row>
    <row r="322" spans="1:11" x14ac:dyDescent="0.3">
      <c r="A322" t="s">
        <v>667</v>
      </c>
      <c r="B322" s="2" t="s">
        <v>668</v>
      </c>
      <c r="C322">
        <v>30</v>
      </c>
      <c r="D322" s="2" t="s">
        <v>13</v>
      </c>
      <c r="E322" s="2" t="s">
        <v>14</v>
      </c>
      <c r="F322" s="2" t="s">
        <v>37</v>
      </c>
      <c r="G322" s="2" t="s">
        <v>24</v>
      </c>
      <c r="H322" s="2" t="s">
        <v>18</v>
      </c>
      <c r="I322" s="2" t="s">
        <v>17</v>
      </c>
      <c r="J322">
        <v>0.69</v>
      </c>
      <c r="K322" s="4">
        <v>43104</v>
      </c>
    </row>
    <row r="323" spans="1:11" x14ac:dyDescent="0.3">
      <c r="A323" t="s">
        <v>669</v>
      </c>
      <c r="B323" s="2" t="s">
        <v>670</v>
      </c>
      <c r="C323">
        <v>52</v>
      </c>
      <c r="D323" s="2" t="s">
        <v>13</v>
      </c>
      <c r="E323" s="2" t="s">
        <v>22</v>
      </c>
      <c r="F323" s="2" t="s">
        <v>37</v>
      </c>
      <c r="G323" s="2" t="s">
        <v>27</v>
      </c>
      <c r="H323" s="2" t="s">
        <v>17</v>
      </c>
      <c r="I323" s="2" t="s">
        <v>18</v>
      </c>
      <c r="J323">
        <v>0.35</v>
      </c>
      <c r="K323" s="4">
        <v>43628</v>
      </c>
    </row>
    <row r="324" spans="1:11" x14ac:dyDescent="0.3">
      <c r="A324" t="s">
        <v>671</v>
      </c>
      <c r="B324" s="2" t="s">
        <v>672</v>
      </c>
      <c r="C324">
        <v>31</v>
      </c>
      <c r="D324" s="2" t="s">
        <v>21</v>
      </c>
      <c r="E324" s="2" t="s">
        <v>14</v>
      </c>
      <c r="F324" s="2" t="s">
        <v>15</v>
      </c>
      <c r="G324" s="2" t="s">
        <v>81</v>
      </c>
      <c r="H324" s="2" t="s">
        <v>17</v>
      </c>
      <c r="I324" s="2" t="s">
        <v>17</v>
      </c>
      <c r="J324">
        <v>0.38</v>
      </c>
      <c r="K324" s="4">
        <v>44412</v>
      </c>
    </row>
    <row r="325" spans="1:11" x14ac:dyDescent="0.3">
      <c r="A325" t="s">
        <v>673</v>
      </c>
      <c r="B325" s="2" t="s">
        <v>674</v>
      </c>
      <c r="C325">
        <v>64</v>
      </c>
      <c r="D325" s="2" t="s">
        <v>13</v>
      </c>
      <c r="E325" s="2" t="s">
        <v>30</v>
      </c>
      <c r="F325" s="2" t="s">
        <v>31</v>
      </c>
      <c r="G325" s="2" t="s">
        <v>81</v>
      </c>
      <c r="H325" s="2" t="s">
        <v>17</v>
      </c>
      <c r="I325" s="2" t="s">
        <v>17</v>
      </c>
      <c r="J325">
        <v>0.46</v>
      </c>
      <c r="K325" s="4">
        <v>43389</v>
      </c>
    </row>
    <row r="326" spans="1:11" x14ac:dyDescent="0.3">
      <c r="A326" t="s">
        <v>675</v>
      </c>
      <c r="B326" s="2" t="s">
        <v>676</v>
      </c>
      <c r="C326">
        <v>58</v>
      </c>
      <c r="D326" s="2" t="s">
        <v>21</v>
      </c>
      <c r="E326" s="2" t="s">
        <v>14</v>
      </c>
      <c r="F326" s="2" t="s">
        <v>15</v>
      </c>
      <c r="G326" s="2" t="s">
        <v>66</v>
      </c>
      <c r="H326" s="2" t="s">
        <v>18</v>
      </c>
      <c r="I326" s="2" t="s">
        <v>18</v>
      </c>
      <c r="J326">
        <v>0.47</v>
      </c>
      <c r="K326" s="4">
        <v>44211</v>
      </c>
    </row>
    <row r="327" spans="1:11" x14ac:dyDescent="0.3">
      <c r="A327" t="s">
        <v>677</v>
      </c>
      <c r="B327" s="2" t="s">
        <v>678</v>
      </c>
      <c r="C327">
        <v>43</v>
      </c>
      <c r="D327" s="2" t="s">
        <v>13</v>
      </c>
      <c r="E327" s="2" t="s">
        <v>22</v>
      </c>
      <c r="F327" s="2" t="s">
        <v>37</v>
      </c>
      <c r="G327" s="2" t="s">
        <v>32</v>
      </c>
      <c r="H327" s="2" t="s">
        <v>18</v>
      </c>
      <c r="I327" s="2" t="s">
        <v>17</v>
      </c>
      <c r="J327">
        <v>0.56000000000000005</v>
      </c>
      <c r="K327" s="4">
        <v>44108</v>
      </c>
    </row>
    <row r="328" spans="1:11" x14ac:dyDescent="0.3">
      <c r="A328" t="s">
        <v>679</v>
      </c>
      <c r="B328" s="2" t="s">
        <v>680</v>
      </c>
      <c r="C328">
        <v>48</v>
      </c>
      <c r="D328" s="2" t="s">
        <v>13</v>
      </c>
      <c r="E328" s="2" t="s">
        <v>22</v>
      </c>
      <c r="F328" s="2" t="s">
        <v>31</v>
      </c>
      <c r="G328" s="2" t="s">
        <v>66</v>
      </c>
      <c r="H328" s="2" t="s">
        <v>18</v>
      </c>
      <c r="I328" s="2" t="s">
        <v>17</v>
      </c>
      <c r="J328">
        <v>0.56000000000000005</v>
      </c>
      <c r="K328" s="4">
        <v>43520</v>
      </c>
    </row>
    <row r="329" spans="1:11" x14ac:dyDescent="0.3">
      <c r="A329" t="s">
        <v>681</v>
      </c>
      <c r="B329" s="2" t="s">
        <v>682</v>
      </c>
      <c r="C329">
        <v>19</v>
      </c>
      <c r="D329" s="2" t="s">
        <v>13</v>
      </c>
      <c r="E329" s="2" t="s">
        <v>30</v>
      </c>
      <c r="F329" s="2" t="s">
        <v>23</v>
      </c>
      <c r="G329" s="2" t="s">
        <v>16</v>
      </c>
      <c r="H329" s="2" t="s">
        <v>18</v>
      </c>
      <c r="I329" s="2" t="s">
        <v>18</v>
      </c>
      <c r="J329">
        <v>0.43</v>
      </c>
      <c r="K329" s="4">
        <v>43929</v>
      </c>
    </row>
    <row r="330" spans="1:11" x14ac:dyDescent="0.3">
      <c r="A330" t="s">
        <v>683</v>
      </c>
      <c r="B330" s="2" t="s">
        <v>684</v>
      </c>
      <c r="C330">
        <v>21</v>
      </c>
      <c r="D330" s="2" t="s">
        <v>21</v>
      </c>
      <c r="E330" s="2" t="s">
        <v>14</v>
      </c>
      <c r="F330" s="2" t="s">
        <v>15</v>
      </c>
      <c r="G330" s="2" t="s">
        <v>66</v>
      </c>
      <c r="H330" s="2" t="s">
        <v>17</v>
      </c>
      <c r="I330" s="2" t="s">
        <v>18</v>
      </c>
      <c r="J330">
        <v>0.47</v>
      </c>
      <c r="K330" s="4">
        <v>43841</v>
      </c>
    </row>
    <row r="331" spans="1:11" x14ac:dyDescent="0.3">
      <c r="A331" t="s">
        <v>685</v>
      </c>
      <c r="B331" s="2" t="s">
        <v>686</v>
      </c>
      <c r="C331">
        <v>66</v>
      </c>
      <c r="D331" s="2" t="s">
        <v>13</v>
      </c>
      <c r="E331" s="2" t="s">
        <v>22</v>
      </c>
      <c r="F331" s="2" t="s">
        <v>23</v>
      </c>
      <c r="G331" s="2" t="s">
        <v>27</v>
      </c>
      <c r="H331" s="2" t="s">
        <v>18</v>
      </c>
      <c r="I331" s="2" t="s">
        <v>17</v>
      </c>
      <c r="J331">
        <v>0.7</v>
      </c>
      <c r="K331" s="4">
        <v>45089</v>
      </c>
    </row>
    <row r="332" spans="1:11" x14ac:dyDescent="0.3">
      <c r="A332" t="s">
        <v>687</v>
      </c>
      <c r="B332" s="2" t="s">
        <v>688</v>
      </c>
      <c r="C332">
        <v>18</v>
      </c>
      <c r="D332" s="2" t="s">
        <v>21</v>
      </c>
      <c r="E332" s="2" t="s">
        <v>30</v>
      </c>
      <c r="F332" s="2" t="s">
        <v>15</v>
      </c>
      <c r="G332" s="2" t="s">
        <v>24</v>
      </c>
      <c r="H332" s="2" t="s">
        <v>17</v>
      </c>
      <c r="I332" s="2" t="s">
        <v>17</v>
      </c>
      <c r="J332">
        <v>0.24</v>
      </c>
      <c r="K332" s="4">
        <v>44324</v>
      </c>
    </row>
    <row r="333" spans="1:11" x14ac:dyDescent="0.3">
      <c r="A333" t="s">
        <v>689</v>
      </c>
      <c r="B333" s="2" t="s">
        <v>690</v>
      </c>
      <c r="C333">
        <v>31</v>
      </c>
      <c r="D333" s="2" t="s">
        <v>21</v>
      </c>
      <c r="E333" s="2" t="s">
        <v>22</v>
      </c>
      <c r="F333" s="2" t="s">
        <v>23</v>
      </c>
      <c r="G333" s="2" t="s">
        <v>32</v>
      </c>
      <c r="H333" s="2" t="s">
        <v>17</v>
      </c>
      <c r="I333" s="2" t="s">
        <v>18</v>
      </c>
      <c r="J333">
        <v>0.28999999999999998</v>
      </c>
      <c r="K333" s="4">
        <v>44456</v>
      </c>
    </row>
    <row r="334" spans="1:11" x14ac:dyDescent="0.3">
      <c r="A334" t="s">
        <v>691</v>
      </c>
      <c r="B334" s="2" t="s">
        <v>692</v>
      </c>
      <c r="C334">
        <v>23</v>
      </c>
      <c r="D334" s="2" t="s">
        <v>21</v>
      </c>
      <c r="E334" s="2" t="s">
        <v>14</v>
      </c>
      <c r="F334" s="2" t="s">
        <v>37</v>
      </c>
      <c r="G334" s="2" t="s">
        <v>66</v>
      </c>
      <c r="H334" s="2" t="s">
        <v>18</v>
      </c>
      <c r="I334" s="2" t="s">
        <v>18</v>
      </c>
      <c r="J334">
        <v>0.74</v>
      </c>
      <c r="K334" s="4">
        <v>43307</v>
      </c>
    </row>
    <row r="335" spans="1:11" x14ac:dyDescent="0.3">
      <c r="A335" t="s">
        <v>693</v>
      </c>
      <c r="B335" s="2" t="s">
        <v>694</v>
      </c>
      <c r="C335">
        <v>46</v>
      </c>
      <c r="D335" s="2" t="s">
        <v>13</v>
      </c>
      <c r="E335" s="2" t="s">
        <v>30</v>
      </c>
      <c r="F335" s="2" t="s">
        <v>31</v>
      </c>
      <c r="G335" s="2" t="s">
        <v>81</v>
      </c>
      <c r="H335" s="2" t="s">
        <v>17</v>
      </c>
      <c r="I335" s="2" t="s">
        <v>17</v>
      </c>
      <c r="J335">
        <v>0.33</v>
      </c>
      <c r="K335" s="4">
        <v>43942</v>
      </c>
    </row>
    <row r="336" spans="1:11" x14ac:dyDescent="0.3">
      <c r="A336" t="s">
        <v>695</v>
      </c>
      <c r="B336" s="2" t="s">
        <v>696</v>
      </c>
      <c r="C336">
        <v>44</v>
      </c>
      <c r="D336" s="2" t="s">
        <v>21</v>
      </c>
      <c r="E336" s="2" t="s">
        <v>14</v>
      </c>
      <c r="F336" s="2" t="s">
        <v>31</v>
      </c>
      <c r="G336" s="2" t="s">
        <v>16</v>
      </c>
      <c r="H336" s="2" t="s">
        <v>17</v>
      </c>
      <c r="I336" s="2" t="s">
        <v>18</v>
      </c>
      <c r="J336">
        <v>0.38</v>
      </c>
      <c r="K336" s="4">
        <v>44871</v>
      </c>
    </row>
    <row r="337" spans="1:11" x14ac:dyDescent="0.3">
      <c r="A337" t="s">
        <v>697</v>
      </c>
      <c r="B337" s="2" t="s">
        <v>698</v>
      </c>
      <c r="C337">
        <v>56</v>
      </c>
      <c r="D337" s="2" t="s">
        <v>13</v>
      </c>
      <c r="E337" s="2" t="s">
        <v>30</v>
      </c>
      <c r="F337" s="2" t="s">
        <v>23</v>
      </c>
      <c r="G337" s="2" t="s">
        <v>16</v>
      </c>
      <c r="H337" s="2" t="s">
        <v>17</v>
      </c>
      <c r="I337" s="2" t="s">
        <v>17</v>
      </c>
      <c r="J337">
        <v>0.83</v>
      </c>
      <c r="K337" s="4">
        <v>43535</v>
      </c>
    </row>
    <row r="338" spans="1:11" x14ac:dyDescent="0.3">
      <c r="A338" t="s">
        <v>699</v>
      </c>
      <c r="B338" s="2" t="s">
        <v>700</v>
      </c>
      <c r="C338">
        <v>36</v>
      </c>
      <c r="D338" s="2" t="s">
        <v>21</v>
      </c>
      <c r="E338" s="2" t="s">
        <v>22</v>
      </c>
      <c r="F338" s="2" t="s">
        <v>31</v>
      </c>
      <c r="G338" s="2" t="s">
        <v>16</v>
      </c>
      <c r="H338" s="2" t="s">
        <v>17</v>
      </c>
      <c r="I338" s="2" t="s">
        <v>18</v>
      </c>
      <c r="J338">
        <v>1</v>
      </c>
      <c r="K338" s="4">
        <v>43324</v>
      </c>
    </row>
    <row r="339" spans="1:11" x14ac:dyDescent="0.3">
      <c r="A339" t="s">
        <v>701</v>
      </c>
      <c r="B339" s="2" t="s">
        <v>702</v>
      </c>
      <c r="C339">
        <v>29</v>
      </c>
      <c r="D339" s="2" t="s">
        <v>13</v>
      </c>
      <c r="E339" s="2" t="s">
        <v>30</v>
      </c>
      <c r="F339" s="2" t="s">
        <v>31</v>
      </c>
      <c r="G339" s="2" t="s">
        <v>66</v>
      </c>
      <c r="H339" s="2" t="s">
        <v>18</v>
      </c>
      <c r="I339" s="2" t="s">
        <v>18</v>
      </c>
      <c r="J339">
        <v>0.65</v>
      </c>
      <c r="K339" s="4">
        <v>44038</v>
      </c>
    </row>
    <row r="340" spans="1:11" x14ac:dyDescent="0.3">
      <c r="A340" t="s">
        <v>703</v>
      </c>
      <c r="B340" s="2" t="s">
        <v>704</v>
      </c>
      <c r="C340">
        <v>29</v>
      </c>
      <c r="D340" s="2" t="s">
        <v>21</v>
      </c>
      <c r="E340" s="2" t="s">
        <v>22</v>
      </c>
      <c r="F340" s="2" t="s">
        <v>31</v>
      </c>
      <c r="G340" s="2" t="s">
        <v>16</v>
      </c>
      <c r="H340" s="2" t="s">
        <v>17</v>
      </c>
      <c r="I340" s="2" t="s">
        <v>18</v>
      </c>
      <c r="J340">
        <v>0.28000000000000003</v>
      </c>
      <c r="K340" s="4">
        <v>43759</v>
      </c>
    </row>
    <row r="341" spans="1:11" x14ac:dyDescent="0.3">
      <c r="A341" t="s">
        <v>705</v>
      </c>
      <c r="B341" s="2" t="s">
        <v>706</v>
      </c>
      <c r="C341">
        <v>24</v>
      </c>
      <c r="D341" s="2" t="s">
        <v>21</v>
      </c>
      <c r="E341" s="2" t="s">
        <v>22</v>
      </c>
      <c r="F341" s="2" t="s">
        <v>31</v>
      </c>
      <c r="G341" s="2" t="s">
        <v>81</v>
      </c>
      <c r="H341" s="2" t="s">
        <v>17</v>
      </c>
      <c r="I341" s="2" t="s">
        <v>18</v>
      </c>
      <c r="J341">
        <v>0.79</v>
      </c>
      <c r="K341" s="4">
        <v>44330</v>
      </c>
    </row>
    <row r="342" spans="1:11" x14ac:dyDescent="0.3">
      <c r="A342" t="s">
        <v>707</v>
      </c>
      <c r="B342" s="2" t="s">
        <v>708</v>
      </c>
      <c r="C342">
        <v>52</v>
      </c>
      <c r="D342" s="2" t="s">
        <v>21</v>
      </c>
      <c r="E342" s="2" t="s">
        <v>14</v>
      </c>
      <c r="F342" s="2" t="s">
        <v>15</v>
      </c>
      <c r="G342" s="2" t="s">
        <v>66</v>
      </c>
      <c r="H342" s="2" t="s">
        <v>17</v>
      </c>
      <c r="I342" s="2" t="s">
        <v>18</v>
      </c>
      <c r="J342">
        <v>0.43</v>
      </c>
      <c r="K342" s="4">
        <v>44232</v>
      </c>
    </row>
    <row r="343" spans="1:11" x14ac:dyDescent="0.3">
      <c r="A343" t="s">
        <v>709</v>
      </c>
      <c r="B343" s="2" t="s">
        <v>710</v>
      </c>
      <c r="C343">
        <v>39</v>
      </c>
      <c r="D343" s="2" t="s">
        <v>21</v>
      </c>
      <c r="E343" s="2" t="s">
        <v>14</v>
      </c>
      <c r="F343" s="2" t="s">
        <v>23</v>
      </c>
      <c r="G343" s="2" t="s">
        <v>66</v>
      </c>
      <c r="H343" s="2" t="s">
        <v>17</v>
      </c>
      <c r="I343" s="2" t="s">
        <v>17</v>
      </c>
      <c r="J343">
        <v>0.71</v>
      </c>
      <c r="K343" s="4">
        <v>44950</v>
      </c>
    </row>
    <row r="344" spans="1:11" x14ac:dyDescent="0.3">
      <c r="A344" t="s">
        <v>711</v>
      </c>
      <c r="B344" s="2" t="s">
        <v>712</v>
      </c>
      <c r="C344">
        <v>63</v>
      </c>
      <c r="D344" s="2" t="s">
        <v>13</v>
      </c>
      <c r="E344" s="2" t="s">
        <v>22</v>
      </c>
      <c r="F344" s="2" t="s">
        <v>31</v>
      </c>
      <c r="G344" s="2" t="s">
        <v>16</v>
      </c>
      <c r="H344" s="2" t="s">
        <v>17</v>
      </c>
      <c r="I344" s="2" t="s">
        <v>18</v>
      </c>
      <c r="J344">
        <v>0.2</v>
      </c>
      <c r="K344" s="4">
        <v>44508</v>
      </c>
    </row>
    <row r="345" spans="1:11" x14ac:dyDescent="0.3">
      <c r="A345" t="s">
        <v>713</v>
      </c>
      <c r="B345" s="2" t="s">
        <v>714</v>
      </c>
      <c r="C345">
        <v>21</v>
      </c>
      <c r="D345" s="2" t="s">
        <v>13</v>
      </c>
      <c r="E345" s="2" t="s">
        <v>30</v>
      </c>
      <c r="F345" s="2" t="s">
        <v>15</v>
      </c>
      <c r="G345" s="2" t="s">
        <v>66</v>
      </c>
      <c r="H345" s="2" t="s">
        <v>18</v>
      </c>
      <c r="I345" s="2" t="s">
        <v>17</v>
      </c>
      <c r="J345">
        <v>0.09</v>
      </c>
      <c r="K345" s="4">
        <v>44089</v>
      </c>
    </row>
    <row r="346" spans="1:11" x14ac:dyDescent="0.3">
      <c r="A346" t="s">
        <v>715</v>
      </c>
      <c r="B346" s="2" t="s">
        <v>716</v>
      </c>
      <c r="C346">
        <v>51</v>
      </c>
      <c r="D346" s="2" t="s">
        <v>21</v>
      </c>
      <c r="E346" s="2" t="s">
        <v>22</v>
      </c>
      <c r="F346" s="2" t="s">
        <v>15</v>
      </c>
      <c r="G346" s="2" t="s">
        <v>27</v>
      </c>
      <c r="H346" s="2" t="s">
        <v>18</v>
      </c>
      <c r="I346" s="2" t="s">
        <v>18</v>
      </c>
      <c r="J346">
        <v>0.28000000000000003</v>
      </c>
      <c r="K346" s="4">
        <v>44795</v>
      </c>
    </row>
    <row r="347" spans="1:11" x14ac:dyDescent="0.3">
      <c r="A347" t="s">
        <v>717</v>
      </c>
      <c r="B347" s="2" t="s">
        <v>718</v>
      </c>
      <c r="C347">
        <v>42</v>
      </c>
      <c r="D347" s="2" t="s">
        <v>13</v>
      </c>
      <c r="E347" s="2" t="s">
        <v>14</v>
      </c>
      <c r="F347" s="2" t="s">
        <v>37</v>
      </c>
      <c r="G347" s="2" t="s">
        <v>27</v>
      </c>
      <c r="H347" s="2" t="s">
        <v>17</v>
      </c>
      <c r="I347" s="2" t="s">
        <v>18</v>
      </c>
      <c r="J347">
        <v>0.57999999999999996</v>
      </c>
      <c r="K347" s="4">
        <v>43460</v>
      </c>
    </row>
    <row r="348" spans="1:11" x14ac:dyDescent="0.3">
      <c r="A348" t="s">
        <v>719</v>
      </c>
      <c r="B348" s="2" t="s">
        <v>720</v>
      </c>
      <c r="C348">
        <v>41</v>
      </c>
      <c r="D348" s="2" t="s">
        <v>21</v>
      </c>
      <c r="E348" s="2" t="s">
        <v>30</v>
      </c>
      <c r="F348" s="2" t="s">
        <v>31</v>
      </c>
      <c r="G348" s="2" t="s">
        <v>66</v>
      </c>
      <c r="H348" s="2" t="s">
        <v>18</v>
      </c>
      <c r="I348" s="2" t="s">
        <v>18</v>
      </c>
      <c r="J348">
        <v>0.37</v>
      </c>
      <c r="K348" s="4">
        <v>44737</v>
      </c>
    </row>
    <row r="349" spans="1:11" x14ac:dyDescent="0.3">
      <c r="A349" t="s">
        <v>721</v>
      </c>
      <c r="B349" s="2" t="s">
        <v>722</v>
      </c>
      <c r="C349">
        <v>26</v>
      </c>
      <c r="D349" s="2" t="s">
        <v>21</v>
      </c>
      <c r="E349" s="2" t="s">
        <v>22</v>
      </c>
      <c r="F349" s="2" t="s">
        <v>37</v>
      </c>
      <c r="G349" s="2" t="s">
        <v>27</v>
      </c>
      <c r="H349" s="2" t="s">
        <v>17</v>
      </c>
      <c r="I349" s="2" t="s">
        <v>18</v>
      </c>
      <c r="J349">
        <v>0.37</v>
      </c>
      <c r="K349" s="4">
        <v>44833</v>
      </c>
    </row>
    <row r="350" spans="1:11" x14ac:dyDescent="0.3">
      <c r="A350" t="s">
        <v>723</v>
      </c>
      <c r="B350" s="2" t="s">
        <v>724</v>
      </c>
      <c r="C350">
        <v>57</v>
      </c>
      <c r="D350" s="2" t="s">
        <v>21</v>
      </c>
      <c r="E350" s="2" t="s">
        <v>22</v>
      </c>
      <c r="F350" s="2" t="s">
        <v>23</v>
      </c>
      <c r="G350" s="2" t="s">
        <v>24</v>
      </c>
      <c r="H350" s="2" t="s">
        <v>17</v>
      </c>
      <c r="I350" s="2" t="s">
        <v>17</v>
      </c>
      <c r="J350">
        <v>0.43</v>
      </c>
      <c r="K350" s="4">
        <v>43550</v>
      </c>
    </row>
    <row r="351" spans="1:11" x14ac:dyDescent="0.3">
      <c r="A351" t="s">
        <v>725</v>
      </c>
      <c r="B351" s="2" t="s">
        <v>726</v>
      </c>
      <c r="C351">
        <v>19</v>
      </c>
      <c r="D351" s="2" t="s">
        <v>21</v>
      </c>
      <c r="E351" s="2" t="s">
        <v>22</v>
      </c>
      <c r="F351" s="2" t="s">
        <v>37</v>
      </c>
      <c r="G351" s="2" t="s">
        <v>27</v>
      </c>
      <c r="H351" s="2" t="s">
        <v>18</v>
      </c>
      <c r="I351" s="2" t="s">
        <v>17</v>
      </c>
      <c r="J351">
        <v>0.75</v>
      </c>
      <c r="K351" s="4">
        <v>44079</v>
      </c>
    </row>
    <row r="352" spans="1:11" x14ac:dyDescent="0.3">
      <c r="A352" t="s">
        <v>727</v>
      </c>
      <c r="B352" s="2" t="s">
        <v>728</v>
      </c>
      <c r="C352">
        <v>52</v>
      </c>
      <c r="D352" s="2" t="s">
        <v>21</v>
      </c>
      <c r="E352" s="2" t="s">
        <v>14</v>
      </c>
      <c r="F352" s="2" t="s">
        <v>15</v>
      </c>
      <c r="G352" s="2" t="s">
        <v>27</v>
      </c>
      <c r="H352" s="2" t="s">
        <v>18</v>
      </c>
      <c r="I352" s="2" t="s">
        <v>18</v>
      </c>
      <c r="J352">
        <v>0.18</v>
      </c>
      <c r="K352" s="4">
        <v>43949</v>
      </c>
    </row>
    <row r="353" spans="1:11" x14ac:dyDescent="0.3">
      <c r="A353" t="s">
        <v>729</v>
      </c>
      <c r="B353" s="2" t="s">
        <v>730</v>
      </c>
      <c r="C353">
        <v>44</v>
      </c>
      <c r="D353" s="2" t="s">
        <v>21</v>
      </c>
      <c r="E353" s="2" t="s">
        <v>30</v>
      </c>
      <c r="F353" s="2" t="s">
        <v>31</v>
      </c>
      <c r="G353" s="2" t="s">
        <v>32</v>
      </c>
      <c r="H353" s="2" t="s">
        <v>18</v>
      </c>
      <c r="I353" s="2" t="s">
        <v>17</v>
      </c>
      <c r="J353">
        <v>0.51</v>
      </c>
      <c r="K353" s="4">
        <v>44622</v>
      </c>
    </row>
    <row r="354" spans="1:11" x14ac:dyDescent="0.3">
      <c r="A354" t="s">
        <v>731</v>
      </c>
      <c r="B354" s="2" t="s">
        <v>732</v>
      </c>
      <c r="C354">
        <v>29</v>
      </c>
      <c r="D354" s="2" t="s">
        <v>13</v>
      </c>
      <c r="E354" s="2" t="s">
        <v>14</v>
      </c>
      <c r="F354" s="2" t="s">
        <v>31</v>
      </c>
      <c r="G354" s="2" t="s">
        <v>66</v>
      </c>
      <c r="H354" s="2" t="s">
        <v>17</v>
      </c>
      <c r="I354" s="2" t="s">
        <v>17</v>
      </c>
      <c r="J354">
        <v>0.45</v>
      </c>
      <c r="K354" s="4">
        <v>44378</v>
      </c>
    </row>
    <row r="355" spans="1:11" x14ac:dyDescent="0.3">
      <c r="A355" t="s">
        <v>733</v>
      </c>
      <c r="B355" s="2" t="s">
        <v>734</v>
      </c>
      <c r="C355">
        <v>59</v>
      </c>
      <c r="D355" s="2" t="s">
        <v>21</v>
      </c>
      <c r="E355" s="2" t="s">
        <v>22</v>
      </c>
      <c r="F355" s="2" t="s">
        <v>15</v>
      </c>
      <c r="G355" s="2" t="s">
        <v>81</v>
      </c>
      <c r="H355" s="2" t="s">
        <v>17</v>
      </c>
      <c r="I355" s="2" t="s">
        <v>17</v>
      </c>
      <c r="J355">
        <v>0.57999999999999996</v>
      </c>
      <c r="K355" s="4">
        <v>45179</v>
      </c>
    </row>
    <row r="356" spans="1:11" x14ac:dyDescent="0.3">
      <c r="A356" t="s">
        <v>735</v>
      </c>
      <c r="B356" s="2" t="s">
        <v>736</v>
      </c>
      <c r="C356">
        <v>47</v>
      </c>
      <c r="D356" s="2" t="s">
        <v>21</v>
      </c>
      <c r="E356" s="2" t="s">
        <v>22</v>
      </c>
      <c r="F356" s="2" t="s">
        <v>31</v>
      </c>
      <c r="G356" s="2" t="s">
        <v>27</v>
      </c>
      <c r="H356" s="2" t="s">
        <v>17</v>
      </c>
      <c r="I356" s="2" t="s">
        <v>18</v>
      </c>
      <c r="J356">
        <v>0.34</v>
      </c>
      <c r="K356" s="4">
        <v>43340</v>
      </c>
    </row>
    <row r="357" spans="1:11" x14ac:dyDescent="0.3">
      <c r="A357" t="s">
        <v>737</v>
      </c>
      <c r="B357" s="2" t="s">
        <v>738</v>
      </c>
      <c r="C357">
        <v>65</v>
      </c>
      <c r="D357" s="2" t="s">
        <v>21</v>
      </c>
      <c r="E357" s="2" t="s">
        <v>14</v>
      </c>
      <c r="F357" s="2" t="s">
        <v>15</v>
      </c>
      <c r="G357" s="2" t="s">
        <v>66</v>
      </c>
      <c r="H357" s="2" t="s">
        <v>18</v>
      </c>
      <c r="I357" s="2" t="s">
        <v>17</v>
      </c>
      <c r="J357">
        <v>0.28000000000000003</v>
      </c>
      <c r="K357" s="4">
        <v>43940</v>
      </c>
    </row>
    <row r="358" spans="1:11" x14ac:dyDescent="0.3">
      <c r="A358" t="s">
        <v>739</v>
      </c>
      <c r="B358" s="2" t="s">
        <v>740</v>
      </c>
      <c r="C358">
        <v>49</v>
      </c>
      <c r="D358" s="2" t="s">
        <v>21</v>
      </c>
      <c r="E358" s="2" t="s">
        <v>22</v>
      </c>
      <c r="F358" s="2" t="s">
        <v>31</v>
      </c>
      <c r="G358" s="2" t="s">
        <v>32</v>
      </c>
      <c r="H358" s="2" t="s">
        <v>17</v>
      </c>
      <c r="I358" s="2" t="s">
        <v>18</v>
      </c>
      <c r="J358">
        <v>0.84</v>
      </c>
      <c r="K358" s="4">
        <v>44829</v>
      </c>
    </row>
    <row r="359" spans="1:11" x14ac:dyDescent="0.3">
      <c r="A359" t="s">
        <v>741</v>
      </c>
      <c r="B359" s="2" t="s">
        <v>742</v>
      </c>
      <c r="C359">
        <v>50</v>
      </c>
      <c r="D359" s="2" t="s">
        <v>21</v>
      </c>
      <c r="E359" s="2" t="s">
        <v>30</v>
      </c>
      <c r="F359" s="2" t="s">
        <v>23</v>
      </c>
      <c r="G359" s="2" t="s">
        <v>27</v>
      </c>
      <c r="H359" s="2" t="s">
        <v>17</v>
      </c>
      <c r="I359" s="2" t="s">
        <v>17</v>
      </c>
      <c r="J359">
        <v>0.08</v>
      </c>
      <c r="K359" s="4">
        <v>43935</v>
      </c>
    </row>
    <row r="360" spans="1:11" x14ac:dyDescent="0.3">
      <c r="A360" t="s">
        <v>743</v>
      </c>
      <c r="B360" s="2" t="s">
        <v>744</v>
      </c>
      <c r="C360">
        <v>54</v>
      </c>
      <c r="D360" s="2" t="s">
        <v>13</v>
      </c>
      <c r="E360" s="2" t="s">
        <v>22</v>
      </c>
      <c r="F360" s="2" t="s">
        <v>23</v>
      </c>
      <c r="G360" s="2" t="s">
        <v>81</v>
      </c>
      <c r="H360" s="2" t="s">
        <v>17</v>
      </c>
      <c r="I360" s="2" t="s">
        <v>18</v>
      </c>
      <c r="J360">
        <v>0.72</v>
      </c>
      <c r="K360" s="4">
        <v>45012</v>
      </c>
    </row>
    <row r="361" spans="1:11" x14ac:dyDescent="0.3">
      <c r="A361" t="s">
        <v>745</v>
      </c>
      <c r="B361" s="2" t="s">
        <v>746</v>
      </c>
      <c r="C361">
        <v>36</v>
      </c>
      <c r="D361" s="2" t="s">
        <v>13</v>
      </c>
      <c r="E361" s="2" t="s">
        <v>22</v>
      </c>
      <c r="F361" s="2" t="s">
        <v>37</v>
      </c>
      <c r="G361" s="2" t="s">
        <v>66</v>
      </c>
      <c r="H361" s="2" t="s">
        <v>17</v>
      </c>
      <c r="I361" s="2" t="s">
        <v>18</v>
      </c>
      <c r="J361">
        <v>0.45</v>
      </c>
      <c r="K361" s="4">
        <v>44691</v>
      </c>
    </row>
    <row r="362" spans="1:11" x14ac:dyDescent="0.3">
      <c r="A362" t="s">
        <v>747</v>
      </c>
      <c r="B362" s="2" t="s">
        <v>748</v>
      </c>
      <c r="C362">
        <v>39</v>
      </c>
      <c r="D362" s="2" t="s">
        <v>13</v>
      </c>
      <c r="E362" s="2" t="s">
        <v>30</v>
      </c>
      <c r="F362" s="2" t="s">
        <v>15</v>
      </c>
      <c r="G362" s="2" t="s">
        <v>16</v>
      </c>
      <c r="H362" s="2" t="s">
        <v>18</v>
      </c>
      <c r="I362" s="2" t="s">
        <v>17</v>
      </c>
      <c r="J362">
        <v>0.52</v>
      </c>
      <c r="K362" s="4">
        <v>45109</v>
      </c>
    </row>
    <row r="363" spans="1:11" x14ac:dyDescent="0.3">
      <c r="A363" t="s">
        <v>749</v>
      </c>
      <c r="B363" s="2" t="s">
        <v>750</v>
      </c>
      <c r="C363">
        <v>35</v>
      </c>
      <c r="D363" s="2" t="s">
        <v>21</v>
      </c>
      <c r="E363" s="2" t="s">
        <v>14</v>
      </c>
      <c r="F363" s="2" t="s">
        <v>23</v>
      </c>
      <c r="G363" s="2" t="s">
        <v>24</v>
      </c>
      <c r="H363" s="2" t="s">
        <v>18</v>
      </c>
      <c r="I363" s="2" t="s">
        <v>18</v>
      </c>
      <c r="J363">
        <v>0.73</v>
      </c>
      <c r="K363" s="4">
        <v>43990</v>
      </c>
    </row>
    <row r="364" spans="1:11" x14ac:dyDescent="0.3">
      <c r="A364" t="s">
        <v>751</v>
      </c>
      <c r="B364" s="2" t="s">
        <v>752</v>
      </c>
      <c r="C364">
        <v>41</v>
      </c>
      <c r="D364" s="2" t="s">
        <v>13</v>
      </c>
      <c r="E364" s="2" t="s">
        <v>30</v>
      </c>
      <c r="F364" s="2" t="s">
        <v>31</v>
      </c>
      <c r="G364" s="2" t="s">
        <v>27</v>
      </c>
      <c r="H364" s="2" t="s">
        <v>18</v>
      </c>
      <c r="I364" s="2" t="s">
        <v>18</v>
      </c>
      <c r="J364">
        <v>0.19</v>
      </c>
      <c r="K364" s="4">
        <v>44364</v>
      </c>
    </row>
    <row r="365" spans="1:11" x14ac:dyDescent="0.3">
      <c r="A365" t="s">
        <v>753</v>
      </c>
      <c r="B365" s="2" t="s">
        <v>754</v>
      </c>
      <c r="C365">
        <v>61</v>
      </c>
      <c r="D365" s="2" t="s">
        <v>13</v>
      </c>
      <c r="E365" s="2" t="s">
        <v>22</v>
      </c>
      <c r="F365" s="2" t="s">
        <v>15</v>
      </c>
      <c r="G365" s="2" t="s">
        <v>24</v>
      </c>
      <c r="H365" s="2" t="s">
        <v>17</v>
      </c>
      <c r="I365" s="2" t="s">
        <v>18</v>
      </c>
      <c r="J365">
        <v>0.62</v>
      </c>
      <c r="K365" s="4">
        <v>44431</v>
      </c>
    </row>
    <row r="366" spans="1:11" x14ac:dyDescent="0.3">
      <c r="A366" t="s">
        <v>755</v>
      </c>
      <c r="B366" s="2" t="s">
        <v>756</v>
      </c>
      <c r="C366">
        <v>57</v>
      </c>
      <c r="D366" s="2" t="s">
        <v>13</v>
      </c>
      <c r="E366" s="2" t="s">
        <v>22</v>
      </c>
      <c r="F366" s="2" t="s">
        <v>31</v>
      </c>
      <c r="G366" s="2" t="s">
        <v>24</v>
      </c>
      <c r="H366" s="2" t="s">
        <v>17</v>
      </c>
      <c r="I366" s="2" t="s">
        <v>18</v>
      </c>
      <c r="J366">
        <v>0.73</v>
      </c>
      <c r="K366" s="4">
        <v>43575</v>
      </c>
    </row>
    <row r="367" spans="1:11" x14ac:dyDescent="0.3">
      <c r="A367" t="s">
        <v>757</v>
      </c>
      <c r="B367" s="2" t="s">
        <v>758</v>
      </c>
      <c r="C367">
        <v>31</v>
      </c>
      <c r="D367" s="2" t="s">
        <v>13</v>
      </c>
      <c r="E367" s="2" t="s">
        <v>14</v>
      </c>
      <c r="F367" s="2" t="s">
        <v>31</v>
      </c>
      <c r="G367" s="2" t="s">
        <v>81</v>
      </c>
      <c r="H367" s="2" t="s">
        <v>18</v>
      </c>
      <c r="I367" s="2" t="s">
        <v>17</v>
      </c>
      <c r="J367">
        <v>0.66</v>
      </c>
      <c r="K367" s="4">
        <v>44450</v>
      </c>
    </row>
    <row r="368" spans="1:11" x14ac:dyDescent="0.3">
      <c r="A368" t="s">
        <v>759</v>
      </c>
      <c r="B368" s="2" t="s">
        <v>760</v>
      </c>
      <c r="C368">
        <v>27</v>
      </c>
      <c r="D368" s="2" t="s">
        <v>21</v>
      </c>
      <c r="E368" s="2" t="s">
        <v>14</v>
      </c>
      <c r="F368" s="2" t="s">
        <v>23</v>
      </c>
      <c r="G368" s="2" t="s">
        <v>81</v>
      </c>
      <c r="H368" s="2" t="s">
        <v>17</v>
      </c>
      <c r="I368" s="2" t="s">
        <v>18</v>
      </c>
      <c r="J368">
        <v>0.56000000000000005</v>
      </c>
      <c r="K368" s="4">
        <v>43363</v>
      </c>
    </row>
    <row r="369" spans="1:11" x14ac:dyDescent="0.3">
      <c r="A369" t="s">
        <v>761</v>
      </c>
      <c r="B369" s="2" t="s">
        <v>762</v>
      </c>
      <c r="C369">
        <v>21</v>
      </c>
      <c r="D369" s="2" t="s">
        <v>13</v>
      </c>
      <c r="E369" s="2" t="s">
        <v>14</v>
      </c>
      <c r="F369" s="2" t="s">
        <v>15</v>
      </c>
      <c r="G369" s="2" t="s">
        <v>16</v>
      </c>
      <c r="H369" s="2" t="s">
        <v>17</v>
      </c>
      <c r="I369" s="2" t="s">
        <v>17</v>
      </c>
      <c r="J369">
        <v>0.3</v>
      </c>
      <c r="K369" s="4">
        <v>44037</v>
      </c>
    </row>
    <row r="370" spans="1:11" x14ac:dyDescent="0.3">
      <c r="A370" t="s">
        <v>763</v>
      </c>
      <c r="B370" s="2" t="s">
        <v>764</v>
      </c>
      <c r="C370">
        <v>47</v>
      </c>
      <c r="D370" s="2" t="s">
        <v>21</v>
      </c>
      <c r="E370" s="2" t="s">
        <v>22</v>
      </c>
      <c r="F370" s="2" t="s">
        <v>37</v>
      </c>
      <c r="G370" s="2" t="s">
        <v>16</v>
      </c>
      <c r="H370" s="2" t="s">
        <v>18</v>
      </c>
      <c r="I370" s="2" t="s">
        <v>18</v>
      </c>
      <c r="J370">
        <v>0.61</v>
      </c>
      <c r="K370" s="4">
        <v>44109</v>
      </c>
    </row>
    <row r="371" spans="1:11" x14ac:dyDescent="0.3">
      <c r="A371" t="s">
        <v>765</v>
      </c>
      <c r="B371" s="2" t="s">
        <v>766</v>
      </c>
      <c r="C371">
        <v>64</v>
      </c>
      <c r="D371" s="2" t="s">
        <v>13</v>
      </c>
      <c r="E371" s="2" t="s">
        <v>30</v>
      </c>
      <c r="F371" s="2" t="s">
        <v>37</v>
      </c>
      <c r="G371" s="2" t="s">
        <v>81</v>
      </c>
      <c r="H371" s="2" t="s">
        <v>17</v>
      </c>
      <c r="I371" s="2" t="s">
        <v>17</v>
      </c>
      <c r="J371">
        <v>0.55000000000000004</v>
      </c>
      <c r="K371" s="4">
        <v>43142</v>
      </c>
    </row>
    <row r="372" spans="1:11" x14ac:dyDescent="0.3">
      <c r="A372" t="s">
        <v>767</v>
      </c>
      <c r="B372" s="2" t="s">
        <v>768</v>
      </c>
      <c r="C372">
        <v>64</v>
      </c>
      <c r="D372" s="2" t="s">
        <v>13</v>
      </c>
      <c r="E372" s="2" t="s">
        <v>14</v>
      </c>
      <c r="F372" s="2" t="s">
        <v>15</v>
      </c>
      <c r="G372" s="2" t="s">
        <v>81</v>
      </c>
      <c r="H372" s="2" t="s">
        <v>18</v>
      </c>
      <c r="I372" s="2" t="s">
        <v>18</v>
      </c>
      <c r="J372">
        <v>0.23</v>
      </c>
      <c r="K372" s="4">
        <v>44240</v>
      </c>
    </row>
    <row r="373" spans="1:11" x14ac:dyDescent="0.3">
      <c r="A373" t="s">
        <v>769</v>
      </c>
      <c r="B373" s="2" t="s">
        <v>770</v>
      </c>
      <c r="C373">
        <v>21</v>
      </c>
      <c r="D373" s="2" t="s">
        <v>13</v>
      </c>
      <c r="E373" s="2" t="s">
        <v>14</v>
      </c>
      <c r="F373" s="2" t="s">
        <v>15</v>
      </c>
      <c r="G373" s="2" t="s">
        <v>24</v>
      </c>
      <c r="H373" s="2" t="s">
        <v>18</v>
      </c>
      <c r="I373" s="2" t="s">
        <v>17</v>
      </c>
      <c r="J373">
        <v>0.48</v>
      </c>
      <c r="K373" s="4">
        <v>43911</v>
      </c>
    </row>
    <row r="374" spans="1:11" x14ac:dyDescent="0.3">
      <c r="A374" t="s">
        <v>771</v>
      </c>
      <c r="B374" s="2" t="s">
        <v>772</v>
      </c>
      <c r="C374">
        <v>63</v>
      </c>
      <c r="D374" s="2" t="s">
        <v>13</v>
      </c>
      <c r="E374" s="2" t="s">
        <v>22</v>
      </c>
      <c r="F374" s="2" t="s">
        <v>31</v>
      </c>
      <c r="G374" s="2" t="s">
        <v>32</v>
      </c>
      <c r="H374" s="2" t="s">
        <v>17</v>
      </c>
      <c r="I374" s="2" t="s">
        <v>17</v>
      </c>
      <c r="J374">
        <v>0.44</v>
      </c>
      <c r="K374" s="4">
        <v>43617</v>
      </c>
    </row>
    <row r="375" spans="1:11" x14ac:dyDescent="0.3">
      <c r="A375" t="s">
        <v>773</v>
      </c>
      <c r="B375" s="2" t="s">
        <v>774</v>
      </c>
      <c r="C375">
        <v>22</v>
      </c>
      <c r="D375" s="2" t="s">
        <v>21</v>
      </c>
      <c r="E375" s="2" t="s">
        <v>22</v>
      </c>
      <c r="F375" s="2" t="s">
        <v>37</v>
      </c>
      <c r="G375" s="2" t="s">
        <v>16</v>
      </c>
      <c r="H375" s="2" t="s">
        <v>17</v>
      </c>
      <c r="I375" s="2" t="s">
        <v>18</v>
      </c>
      <c r="J375">
        <v>0.67</v>
      </c>
      <c r="K375" s="4">
        <v>44503</v>
      </c>
    </row>
    <row r="376" spans="1:11" x14ac:dyDescent="0.3">
      <c r="A376" t="s">
        <v>775</v>
      </c>
      <c r="B376" s="2" t="s">
        <v>776</v>
      </c>
      <c r="C376">
        <v>56</v>
      </c>
      <c r="D376" s="2" t="s">
        <v>21</v>
      </c>
      <c r="E376" s="2" t="s">
        <v>22</v>
      </c>
      <c r="F376" s="2" t="s">
        <v>23</v>
      </c>
      <c r="G376" s="2" t="s">
        <v>16</v>
      </c>
      <c r="H376" s="2" t="s">
        <v>18</v>
      </c>
      <c r="I376" s="2" t="s">
        <v>18</v>
      </c>
      <c r="J376">
        <v>0.32</v>
      </c>
      <c r="K376" s="4">
        <v>44731</v>
      </c>
    </row>
    <row r="377" spans="1:11" x14ac:dyDescent="0.3">
      <c r="A377" t="s">
        <v>777</v>
      </c>
      <c r="B377" s="2" t="s">
        <v>778</v>
      </c>
      <c r="C377">
        <v>61</v>
      </c>
      <c r="D377" s="2" t="s">
        <v>21</v>
      </c>
      <c r="E377" s="2" t="s">
        <v>14</v>
      </c>
      <c r="F377" s="2" t="s">
        <v>37</v>
      </c>
      <c r="G377" s="2" t="s">
        <v>81</v>
      </c>
      <c r="H377" s="2" t="s">
        <v>17</v>
      </c>
      <c r="I377" s="2" t="s">
        <v>17</v>
      </c>
      <c r="J377">
        <v>0.68</v>
      </c>
      <c r="K377" s="4">
        <v>45135</v>
      </c>
    </row>
    <row r="378" spans="1:11" x14ac:dyDescent="0.3">
      <c r="A378" t="s">
        <v>779</v>
      </c>
      <c r="B378" s="2" t="s">
        <v>780</v>
      </c>
      <c r="C378">
        <v>46</v>
      </c>
      <c r="D378" s="2" t="s">
        <v>21</v>
      </c>
      <c r="E378" s="2" t="s">
        <v>14</v>
      </c>
      <c r="F378" s="2" t="s">
        <v>37</v>
      </c>
      <c r="G378" s="2" t="s">
        <v>66</v>
      </c>
      <c r="H378" s="2" t="s">
        <v>17</v>
      </c>
      <c r="I378" s="2" t="s">
        <v>18</v>
      </c>
      <c r="J378">
        <v>0.54</v>
      </c>
      <c r="K378" s="4">
        <v>43637</v>
      </c>
    </row>
    <row r="379" spans="1:11" x14ac:dyDescent="0.3">
      <c r="A379" t="s">
        <v>781</v>
      </c>
      <c r="B379" s="2" t="s">
        <v>782</v>
      </c>
      <c r="C379">
        <v>37</v>
      </c>
      <c r="D379" s="2" t="s">
        <v>21</v>
      </c>
      <c r="E379" s="2" t="s">
        <v>22</v>
      </c>
      <c r="F379" s="2" t="s">
        <v>37</v>
      </c>
      <c r="G379" s="2" t="s">
        <v>81</v>
      </c>
      <c r="H379" s="2" t="s">
        <v>17</v>
      </c>
      <c r="I379" s="2" t="s">
        <v>18</v>
      </c>
      <c r="J379">
        <v>0.5</v>
      </c>
      <c r="K379" s="4">
        <v>44149</v>
      </c>
    </row>
    <row r="380" spans="1:11" x14ac:dyDescent="0.3">
      <c r="A380" t="s">
        <v>783</v>
      </c>
      <c r="B380" s="2" t="s">
        <v>784</v>
      </c>
      <c r="C380">
        <v>63</v>
      </c>
      <c r="D380" s="2" t="s">
        <v>21</v>
      </c>
      <c r="E380" s="2" t="s">
        <v>30</v>
      </c>
      <c r="F380" s="2" t="s">
        <v>15</v>
      </c>
      <c r="G380" s="2" t="s">
        <v>16</v>
      </c>
      <c r="H380" s="2" t="s">
        <v>17</v>
      </c>
      <c r="I380" s="2" t="s">
        <v>18</v>
      </c>
      <c r="J380">
        <v>0.16</v>
      </c>
      <c r="K380" s="4">
        <v>44074</v>
      </c>
    </row>
    <row r="381" spans="1:11" x14ac:dyDescent="0.3">
      <c r="A381" t="s">
        <v>785</v>
      </c>
      <c r="B381" s="2" t="s">
        <v>786</v>
      </c>
      <c r="C381">
        <v>32</v>
      </c>
      <c r="D381" s="2" t="s">
        <v>13</v>
      </c>
      <c r="E381" s="2" t="s">
        <v>22</v>
      </c>
      <c r="F381" s="2" t="s">
        <v>37</v>
      </c>
      <c r="G381" s="2" t="s">
        <v>81</v>
      </c>
      <c r="H381" s="2" t="s">
        <v>18</v>
      </c>
      <c r="I381" s="2" t="s">
        <v>17</v>
      </c>
      <c r="J381">
        <v>0.85</v>
      </c>
      <c r="K381" s="4">
        <v>43163</v>
      </c>
    </row>
    <row r="382" spans="1:11" x14ac:dyDescent="0.3">
      <c r="A382" t="s">
        <v>787</v>
      </c>
      <c r="B382" s="2" t="s">
        <v>788</v>
      </c>
      <c r="C382">
        <v>60</v>
      </c>
      <c r="D382" s="2" t="s">
        <v>13</v>
      </c>
      <c r="E382" s="2" t="s">
        <v>22</v>
      </c>
      <c r="F382" s="2" t="s">
        <v>37</v>
      </c>
      <c r="G382" s="2" t="s">
        <v>27</v>
      </c>
      <c r="H382" s="2" t="s">
        <v>18</v>
      </c>
      <c r="I382" s="2" t="s">
        <v>17</v>
      </c>
      <c r="J382">
        <v>0.71</v>
      </c>
      <c r="K382" s="4">
        <v>43226</v>
      </c>
    </row>
    <row r="383" spans="1:11" x14ac:dyDescent="0.3">
      <c r="A383" t="s">
        <v>789</v>
      </c>
      <c r="B383" s="2" t="s">
        <v>790</v>
      </c>
      <c r="C383">
        <v>45</v>
      </c>
      <c r="D383" s="2" t="s">
        <v>13</v>
      </c>
      <c r="E383" s="2" t="s">
        <v>22</v>
      </c>
      <c r="F383" s="2" t="s">
        <v>31</v>
      </c>
      <c r="G383" s="2" t="s">
        <v>27</v>
      </c>
      <c r="H383" s="2" t="s">
        <v>18</v>
      </c>
      <c r="I383" s="2" t="s">
        <v>18</v>
      </c>
      <c r="J383">
        <v>0.63</v>
      </c>
      <c r="K383" s="4">
        <v>43511</v>
      </c>
    </row>
    <row r="384" spans="1:11" x14ac:dyDescent="0.3">
      <c r="A384" t="s">
        <v>791</v>
      </c>
      <c r="B384" s="2" t="s">
        <v>792</v>
      </c>
      <c r="C384">
        <v>34</v>
      </c>
      <c r="D384" s="2" t="s">
        <v>21</v>
      </c>
      <c r="E384" s="2" t="s">
        <v>14</v>
      </c>
      <c r="F384" s="2" t="s">
        <v>15</v>
      </c>
      <c r="G384" s="2" t="s">
        <v>32</v>
      </c>
      <c r="H384" s="2" t="s">
        <v>18</v>
      </c>
      <c r="I384" s="2" t="s">
        <v>18</v>
      </c>
      <c r="J384">
        <v>0.14000000000000001</v>
      </c>
      <c r="K384" s="4">
        <v>44918</v>
      </c>
    </row>
    <row r="385" spans="1:11" x14ac:dyDescent="0.3">
      <c r="A385" t="s">
        <v>793</v>
      </c>
      <c r="B385" s="2" t="s">
        <v>794</v>
      </c>
      <c r="C385">
        <v>45</v>
      </c>
      <c r="D385" s="2" t="s">
        <v>13</v>
      </c>
      <c r="E385" s="2" t="s">
        <v>30</v>
      </c>
      <c r="F385" s="2" t="s">
        <v>37</v>
      </c>
      <c r="G385" s="2" t="s">
        <v>81</v>
      </c>
      <c r="H385" s="2" t="s">
        <v>18</v>
      </c>
      <c r="I385" s="2" t="s">
        <v>17</v>
      </c>
      <c r="J385">
        <v>0.56999999999999995</v>
      </c>
      <c r="K385" s="4">
        <v>44582</v>
      </c>
    </row>
    <row r="386" spans="1:11" x14ac:dyDescent="0.3">
      <c r="A386" t="s">
        <v>795</v>
      </c>
      <c r="B386" s="2" t="s">
        <v>796</v>
      </c>
      <c r="C386">
        <v>36</v>
      </c>
      <c r="D386" s="2" t="s">
        <v>21</v>
      </c>
      <c r="E386" s="2" t="s">
        <v>30</v>
      </c>
      <c r="F386" s="2" t="s">
        <v>23</v>
      </c>
      <c r="G386" s="2" t="s">
        <v>16</v>
      </c>
      <c r="H386" s="2" t="s">
        <v>18</v>
      </c>
      <c r="I386" s="2" t="s">
        <v>18</v>
      </c>
      <c r="J386">
        <v>0.53</v>
      </c>
      <c r="K386" s="4">
        <v>44524</v>
      </c>
    </row>
    <row r="387" spans="1:11" x14ac:dyDescent="0.3">
      <c r="A387" t="s">
        <v>797</v>
      </c>
      <c r="B387" s="2" t="s">
        <v>798</v>
      </c>
      <c r="C387">
        <v>61</v>
      </c>
      <c r="D387" s="2" t="s">
        <v>21</v>
      </c>
      <c r="E387" s="2" t="s">
        <v>22</v>
      </c>
      <c r="F387" s="2" t="s">
        <v>37</v>
      </c>
      <c r="G387" s="2" t="s">
        <v>16</v>
      </c>
      <c r="H387" s="2" t="s">
        <v>17</v>
      </c>
      <c r="I387" s="2" t="s">
        <v>18</v>
      </c>
      <c r="J387">
        <v>0.42</v>
      </c>
      <c r="K387" s="4">
        <v>44772</v>
      </c>
    </row>
    <row r="388" spans="1:11" x14ac:dyDescent="0.3">
      <c r="A388" t="s">
        <v>799</v>
      </c>
      <c r="B388" s="2" t="s">
        <v>800</v>
      </c>
      <c r="C388">
        <v>35</v>
      </c>
      <c r="D388" s="2" t="s">
        <v>21</v>
      </c>
      <c r="E388" s="2" t="s">
        <v>30</v>
      </c>
      <c r="F388" s="2" t="s">
        <v>23</v>
      </c>
      <c r="G388" s="2" t="s">
        <v>24</v>
      </c>
      <c r="H388" s="2" t="s">
        <v>17</v>
      </c>
      <c r="I388" s="2" t="s">
        <v>17</v>
      </c>
      <c r="J388">
        <v>0.5</v>
      </c>
      <c r="K388" s="4">
        <v>44946</v>
      </c>
    </row>
    <row r="389" spans="1:11" x14ac:dyDescent="0.3">
      <c r="A389" t="s">
        <v>801</v>
      </c>
      <c r="B389" s="2" t="s">
        <v>802</v>
      </c>
      <c r="C389">
        <v>32</v>
      </c>
      <c r="D389" s="2" t="s">
        <v>13</v>
      </c>
      <c r="E389" s="2" t="s">
        <v>22</v>
      </c>
      <c r="F389" s="2" t="s">
        <v>31</v>
      </c>
      <c r="G389" s="2" t="s">
        <v>27</v>
      </c>
      <c r="H389" s="2" t="s">
        <v>17</v>
      </c>
      <c r="I389" s="2" t="s">
        <v>17</v>
      </c>
      <c r="J389">
        <v>0.67</v>
      </c>
      <c r="K389" s="4">
        <v>43124</v>
      </c>
    </row>
    <row r="390" spans="1:11" x14ac:dyDescent="0.3">
      <c r="A390" t="s">
        <v>803</v>
      </c>
      <c r="B390" s="2" t="s">
        <v>804</v>
      </c>
      <c r="C390">
        <v>32</v>
      </c>
      <c r="D390" s="2" t="s">
        <v>21</v>
      </c>
      <c r="E390" s="2" t="s">
        <v>30</v>
      </c>
      <c r="F390" s="2" t="s">
        <v>15</v>
      </c>
      <c r="G390" s="2" t="s">
        <v>81</v>
      </c>
      <c r="H390" s="2" t="s">
        <v>17</v>
      </c>
      <c r="I390" s="2" t="s">
        <v>18</v>
      </c>
      <c r="J390">
        <v>0.69</v>
      </c>
      <c r="K390" s="4">
        <v>43306</v>
      </c>
    </row>
    <row r="391" spans="1:11" x14ac:dyDescent="0.3">
      <c r="A391" t="s">
        <v>805</v>
      </c>
      <c r="B391" s="2" t="s">
        <v>806</v>
      </c>
      <c r="C391">
        <v>19</v>
      </c>
      <c r="D391" s="2" t="s">
        <v>21</v>
      </c>
      <c r="E391" s="2" t="s">
        <v>14</v>
      </c>
      <c r="F391" s="2" t="s">
        <v>23</v>
      </c>
      <c r="G391" s="2" t="s">
        <v>32</v>
      </c>
      <c r="H391" s="2" t="s">
        <v>18</v>
      </c>
      <c r="I391" s="2" t="s">
        <v>17</v>
      </c>
      <c r="J391">
        <v>0.52</v>
      </c>
      <c r="K391" s="4">
        <v>44819</v>
      </c>
    </row>
    <row r="392" spans="1:11" x14ac:dyDescent="0.3">
      <c r="A392" t="s">
        <v>807</v>
      </c>
      <c r="B392" s="2" t="s">
        <v>808</v>
      </c>
      <c r="C392">
        <v>20</v>
      </c>
      <c r="D392" s="2" t="s">
        <v>13</v>
      </c>
      <c r="E392" s="2" t="s">
        <v>30</v>
      </c>
      <c r="F392" s="2" t="s">
        <v>37</v>
      </c>
      <c r="G392" s="2" t="s">
        <v>16</v>
      </c>
      <c r="H392" s="2" t="s">
        <v>18</v>
      </c>
      <c r="I392" s="2" t="s">
        <v>18</v>
      </c>
      <c r="J392">
        <v>0.74</v>
      </c>
      <c r="K392" s="4">
        <v>44443</v>
      </c>
    </row>
    <row r="393" spans="1:11" x14ac:dyDescent="0.3">
      <c r="A393" t="s">
        <v>809</v>
      </c>
      <c r="B393" s="2" t="s">
        <v>810</v>
      </c>
      <c r="C393">
        <v>38</v>
      </c>
      <c r="D393" s="2" t="s">
        <v>21</v>
      </c>
      <c r="E393" s="2" t="s">
        <v>22</v>
      </c>
      <c r="F393" s="2" t="s">
        <v>15</v>
      </c>
      <c r="G393" s="2" t="s">
        <v>66</v>
      </c>
      <c r="H393" s="2" t="s">
        <v>18</v>
      </c>
      <c r="I393" s="2" t="s">
        <v>18</v>
      </c>
      <c r="J393">
        <v>0.55000000000000004</v>
      </c>
      <c r="K393" s="4">
        <v>43205</v>
      </c>
    </row>
    <row r="394" spans="1:11" x14ac:dyDescent="0.3">
      <c r="A394" t="s">
        <v>811</v>
      </c>
      <c r="B394" s="2" t="s">
        <v>812</v>
      </c>
      <c r="C394">
        <v>63</v>
      </c>
      <c r="D394" s="2" t="s">
        <v>13</v>
      </c>
      <c r="E394" s="2" t="s">
        <v>22</v>
      </c>
      <c r="F394" s="2" t="s">
        <v>31</v>
      </c>
      <c r="G394" s="2" t="s">
        <v>32</v>
      </c>
      <c r="H394" s="2" t="s">
        <v>18</v>
      </c>
      <c r="I394" s="2" t="s">
        <v>18</v>
      </c>
      <c r="J394">
        <v>0.75</v>
      </c>
      <c r="K394" s="4">
        <v>43155</v>
      </c>
    </row>
    <row r="395" spans="1:11" x14ac:dyDescent="0.3">
      <c r="A395" t="s">
        <v>813</v>
      </c>
      <c r="B395" s="2" t="s">
        <v>814</v>
      </c>
      <c r="C395">
        <v>42</v>
      </c>
      <c r="D395" s="2" t="s">
        <v>21</v>
      </c>
      <c r="E395" s="2" t="s">
        <v>30</v>
      </c>
      <c r="F395" s="2" t="s">
        <v>31</v>
      </c>
      <c r="G395" s="2" t="s">
        <v>66</v>
      </c>
      <c r="H395" s="2" t="s">
        <v>17</v>
      </c>
      <c r="I395" s="2" t="s">
        <v>18</v>
      </c>
      <c r="J395">
        <v>0.22</v>
      </c>
      <c r="K395" s="4">
        <v>44569</v>
      </c>
    </row>
    <row r="396" spans="1:11" x14ac:dyDescent="0.3">
      <c r="A396" t="s">
        <v>815</v>
      </c>
      <c r="B396" s="2" t="s">
        <v>816</v>
      </c>
      <c r="C396">
        <v>50</v>
      </c>
      <c r="D396" s="2" t="s">
        <v>13</v>
      </c>
      <c r="E396" s="2" t="s">
        <v>14</v>
      </c>
      <c r="F396" s="2" t="s">
        <v>23</v>
      </c>
      <c r="G396" s="2" t="s">
        <v>81</v>
      </c>
      <c r="H396" s="2" t="s">
        <v>18</v>
      </c>
      <c r="I396" s="2" t="s">
        <v>18</v>
      </c>
      <c r="J396">
        <v>0.65</v>
      </c>
      <c r="K396" s="4">
        <v>44548</v>
      </c>
    </row>
    <row r="397" spans="1:11" x14ac:dyDescent="0.3">
      <c r="A397" t="s">
        <v>817</v>
      </c>
      <c r="B397" s="2" t="s">
        <v>818</v>
      </c>
      <c r="C397">
        <v>60</v>
      </c>
      <c r="D397" s="2" t="s">
        <v>21</v>
      </c>
      <c r="E397" s="2" t="s">
        <v>22</v>
      </c>
      <c r="F397" s="2" t="s">
        <v>23</v>
      </c>
      <c r="G397" s="2" t="s">
        <v>81</v>
      </c>
      <c r="H397" s="2" t="s">
        <v>17</v>
      </c>
      <c r="I397" s="2" t="s">
        <v>18</v>
      </c>
      <c r="J397">
        <v>0.39</v>
      </c>
      <c r="K397" s="4">
        <v>44258</v>
      </c>
    </row>
    <row r="398" spans="1:11" x14ac:dyDescent="0.3">
      <c r="A398" t="s">
        <v>819</v>
      </c>
      <c r="B398" s="2" t="s">
        <v>820</v>
      </c>
      <c r="C398">
        <v>51</v>
      </c>
      <c r="D398" s="2" t="s">
        <v>13</v>
      </c>
      <c r="E398" s="2" t="s">
        <v>14</v>
      </c>
      <c r="F398" s="2" t="s">
        <v>37</v>
      </c>
      <c r="G398" s="2" t="s">
        <v>81</v>
      </c>
      <c r="H398" s="2" t="s">
        <v>17</v>
      </c>
      <c r="I398" s="2" t="s">
        <v>18</v>
      </c>
      <c r="J398">
        <v>0.32</v>
      </c>
      <c r="K398" s="4">
        <v>44035</v>
      </c>
    </row>
    <row r="399" spans="1:11" x14ac:dyDescent="0.3">
      <c r="A399" t="s">
        <v>821</v>
      </c>
      <c r="B399" s="2" t="s">
        <v>822</v>
      </c>
      <c r="C399">
        <v>59</v>
      </c>
      <c r="D399" s="2" t="s">
        <v>13</v>
      </c>
      <c r="E399" s="2" t="s">
        <v>14</v>
      </c>
      <c r="F399" s="2" t="s">
        <v>15</v>
      </c>
      <c r="G399" s="2" t="s">
        <v>66</v>
      </c>
      <c r="H399" s="2" t="s">
        <v>17</v>
      </c>
      <c r="I399" s="2" t="s">
        <v>17</v>
      </c>
      <c r="J399">
        <v>0.36</v>
      </c>
      <c r="K399" s="4">
        <v>44695</v>
      </c>
    </row>
    <row r="400" spans="1:11" x14ac:dyDescent="0.3">
      <c r="A400" t="s">
        <v>823</v>
      </c>
      <c r="B400" s="2" t="s">
        <v>824</v>
      </c>
      <c r="C400">
        <v>64</v>
      </c>
      <c r="D400" s="2" t="s">
        <v>21</v>
      </c>
      <c r="E400" s="2" t="s">
        <v>14</v>
      </c>
      <c r="F400" s="2" t="s">
        <v>15</v>
      </c>
      <c r="G400" s="2" t="s">
        <v>32</v>
      </c>
      <c r="H400" s="2" t="s">
        <v>17</v>
      </c>
      <c r="I400" s="2" t="s">
        <v>18</v>
      </c>
      <c r="J400">
        <v>0.56999999999999995</v>
      </c>
      <c r="K400" s="4">
        <v>43928</v>
      </c>
    </row>
    <row r="401" spans="1:11" x14ac:dyDescent="0.3">
      <c r="A401" t="s">
        <v>825</v>
      </c>
      <c r="B401" s="2" t="s">
        <v>826</v>
      </c>
      <c r="C401">
        <v>69</v>
      </c>
      <c r="D401" s="2" t="s">
        <v>13</v>
      </c>
      <c r="E401" s="2" t="s">
        <v>14</v>
      </c>
      <c r="F401" s="2" t="s">
        <v>15</v>
      </c>
      <c r="G401" s="2" t="s">
        <v>27</v>
      </c>
      <c r="H401" s="2" t="s">
        <v>17</v>
      </c>
      <c r="I401" s="2" t="s">
        <v>17</v>
      </c>
      <c r="J401">
        <v>0.47</v>
      </c>
      <c r="K401" s="4">
        <v>43428</v>
      </c>
    </row>
    <row r="402" spans="1:11" x14ac:dyDescent="0.3">
      <c r="A402" t="s">
        <v>827</v>
      </c>
      <c r="B402" s="2" t="s">
        <v>828</v>
      </c>
      <c r="C402">
        <v>50</v>
      </c>
      <c r="D402" s="2" t="s">
        <v>21</v>
      </c>
      <c r="E402" s="2" t="s">
        <v>14</v>
      </c>
      <c r="F402" s="2" t="s">
        <v>31</v>
      </c>
      <c r="G402" s="2" t="s">
        <v>32</v>
      </c>
      <c r="H402" s="2" t="s">
        <v>18</v>
      </c>
      <c r="I402" s="2" t="s">
        <v>18</v>
      </c>
      <c r="J402">
        <v>0.38</v>
      </c>
      <c r="K402" s="4">
        <v>45025</v>
      </c>
    </row>
    <row r="403" spans="1:11" x14ac:dyDescent="0.3">
      <c r="A403" t="s">
        <v>829</v>
      </c>
      <c r="B403" s="2" t="s">
        <v>830</v>
      </c>
      <c r="C403">
        <v>24</v>
      </c>
      <c r="D403" s="2" t="s">
        <v>21</v>
      </c>
      <c r="E403" s="2" t="s">
        <v>14</v>
      </c>
      <c r="F403" s="2" t="s">
        <v>37</v>
      </c>
      <c r="G403" s="2" t="s">
        <v>16</v>
      </c>
      <c r="H403" s="2" t="s">
        <v>17</v>
      </c>
      <c r="I403" s="2" t="s">
        <v>17</v>
      </c>
      <c r="J403">
        <v>0.85</v>
      </c>
      <c r="K403" s="4">
        <v>44953</v>
      </c>
    </row>
    <row r="404" spans="1:11" x14ac:dyDescent="0.3">
      <c r="A404" t="s">
        <v>831</v>
      </c>
      <c r="B404" s="2" t="s">
        <v>832</v>
      </c>
      <c r="C404">
        <v>56</v>
      </c>
      <c r="D404" s="2" t="s">
        <v>21</v>
      </c>
      <c r="E404" s="2" t="s">
        <v>14</v>
      </c>
      <c r="F404" s="2" t="s">
        <v>31</v>
      </c>
      <c r="G404" s="2" t="s">
        <v>66</v>
      </c>
      <c r="H404" s="2" t="s">
        <v>18</v>
      </c>
      <c r="I404" s="2" t="s">
        <v>18</v>
      </c>
      <c r="J404">
        <v>0.86</v>
      </c>
      <c r="K404" s="4">
        <v>44033</v>
      </c>
    </row>
    <row r="405" spans="1:11" x14ac:dyDescent="0.3">
      <c r="A405" t="s">
        <v>833</v>
      </c>
      <c r="B405" s="2" t="s">
        <v>834</v>
      </c>
      <c r="C405">
        <v>63</v>
      </c>
      <c r="D405" s="2" t="s">
        <v>13</v>
      </c>
      <c r="E405" s="2" t="s">
        <v>14</v>
      </c>
      <c r="F405" s="2" t="s">
        <v>15</v>
      </c>
      <c r="G405" s="2" t="s">
        <v>24</v>
      </c>
      <c r="H405" s="2" t="s">
        <v>17</v>
      </c>
      <c r="I405" s="2" t="s">
        <v>17</v>
      </c>
      <c r="J405">
        <v>0.93</v>
      </c>
      <c r="K405" s="4">
        <v>43238</v>
      </c>
    </row>
    <row r="406" spans="1:11" x14ac:dyDescent="0.3">
      <c r="A406" t="s">
        <v>835</v>
      </c>
      <c r="B406" s="2" t="s">
        <v>836</v>
      </c>
      <c r="C406">
        <v>34</v>
      </c>
      <c r="D406" s="2" t="s">
        <v>21</v>
      </c>
      <c r="E406" s="2" t="s">
        <v>22</v>
      </c>
      <c r="F406" s="2" t="s">
        <v>31</v>
      </c>
      <c r="G406" s="2" t="s">
        <v>32</v>
      </c>
      <c r="H406" s="2" t="s">
        <v>18</v>
      </c>
      <c r="I406" s="2" t="s">
        <v>18</v>
      </c>
      <c r="J406">
        <v>0.54</v>
      </c>
      <c r="K406" s="4">
        <v>44811</v>
      </c>
    </row>
    <row r="407" spans="1:11" x14ac:dyDescent="0.3">
      <c r="A407" t="s">
        <v>837</v>
      </c>
      <c r="B407" s="2" t="s">
        <v>838</v>
      </c>
      <c r="C407">
        <v>35</v>
      </c>
      <c r="D407" s="2" t="s">
        <v>13</v>
      </c>
      <c r="E407" s="2" t="s">
        <v>30</v>
      </c>
      <c r="F407" s="2" t="s">
        <v>15</v>
      </c>
      <c r="G407" s="2" t="s">
        <v>16</v>
      </c>
      <c r="H407" s="2" t="s">
        <v>17</v>
      </c>
      <c r="I407" s="2" t="s">
        <v>18</v>
      </c>
      <c r="J407">
        <v>0.46</v>
      </c>
      <c r="K407" s="4">
        <v>43796</v>
      </c>
    </row>
    <row r="408" spans="1:11" x14ac:dyDescent="0.3">
      <c r="A408" t="s">
        <v>839</v>
      </c>
      <c r="B408" s="2" t="s">
        <v>840</v>
      </c>
      <c r="C408">
        <v>25</v>
      </c>
      <c r="D408" s="2" t="s">
        <v>21</v>
      </c>
      <c r="E408" s="2" t="s">
        <v>30</v>
      </c>
      <c r="F408" s="2" t="s">
        <v>23</v>
      </c>
      <c r="G408" s="2" t="s">
        <v>32</v>
      </c>
      <c r="H408" s="2" t="s">
        <v>17</v>
      </c>
      <c r="I408" s="2" t="s">
        <v>17</v>
      </c>
      <c r="J408">
        <v>0.5</v>
      </c>
      <c r="K408" s="4">
        <v>44797</v>
      </c>
    </row>
    <row r="409" spans="1:11" x14ac:dyDescent="0.3">
      <c r="A409" t="s">
        <v>841</v>
      </c>
      <c r="B409" s="2" t="s">
        <v>842</v>
      </c>
      <c r="C409">
        <v>24</v>
      </c>
      <c r="D409" s="2" t="s">
        <v>21</v>
      </c>
      <c r="E409" s="2" t="s">
        <v>30</v>
      </c>
      <c r="F409" s="2" t="s">
        <v>31</v>
      </c>
      <c r="G409" s="2" t="s">
        <v>24</v>
      </c>
      <c r="H409" s="2" t="s">
        <v>17</v>
      </c>
      <c r="I409" s="2" t="s">
        <v>17</v>
      </c>
      <c r="J409">
        <v>0.46</v>
      </c>
      <c r="K409" s="4">
        <v>44318</v>
      </c>
    </row>
    <row r="410" spans="1:11" x14ac:dyDescent="0.3">
      <c r="A410" t="s">
        <v>843</v>
      </c>
      <c r="B410" s="2" t="s">
        <v>844</v>
      </c>
      <c r="C410">
        <v>56</v>
      </c>
      <c r="D410" s="2" t="s">
        <v>13</v>
      </c>
      <c r="E410" s="2" t="s">
        <v>30</v>
      </c>
      <c r="F410" s="2" t="s">
        <v>31</v>
      </c>
      <c r="G410" s="2" t="s">
        <v>66</v>
      </c>
      <c r="H410" s="2" t="s">
        <v>17</v>
      </c>
      <c r="I410" s="2" t="s">
        <v>18</v>
      </c>
      <c r="J410">
        <v>0.63</v>
      </c>
      <c r="K410" s="4">
        <v>43561</v>
      </c>
    </row>
    <row r="411" spans="1:11" x14ac:dyDescent="0.3">
      <c r="A411" t="s">
        <v>845</v>
      </c>
      <c r="B411" s="2" t="s">
        <v>846</v>
      </c>
      <c r="C411">
        <v>22</v>
      </c>
      <c r="D411" s="2" t="s">
        <v>13</v>
      </c>
      <c r="E411" s="2" t="s">
        <v>14</v>
      </c>
      <c r="F411" s="2" t="s">
        <v>37</v>
      </c>
      <c r="G411" s="2" t="s">
        <v>27</v>
      </c>
      <c r="H411" s="2" t="s">
        <v>17</v>
      </c>
      <c r="I411" s="2" t="s">
        <v>17</v>
      </c>
      <c r="J411">
        <v>0.64</v>
      </c>
      <c r="K411" s="4">
        <v>44853</v>
      </c>
    </row>
    <row r="412" spans="1:11" x14ac:dyDescent="0.3">
      <c r="A412" t="s">
        <v>847</v>
      </c>
      <c r="B412" s="2" t="s">
        <v>848</v>
      </c>
      <c r="C412">
        <v>59</v>
      </c>
      <c r="D412" s="2" t="s">
        <v>21</v>
      </c>
      <c r="E412" s="2" t="s">
        <v>22</v>
      </c>
      <c r="F412" s="2" t="s">
        <v>15</v>
      </c>
      <c r="G412" s="2" t="s">
        <v>16</v>
      </c>
      <c r="H412" s="2" t="s">
        <v>18</v>
      </c>
      <c r="I412" s="2" t="s">
        <v>17</v>
      </c>
      <c r="J412">
        <v>0.35</v>
      </c>
      <c r="K412" s="4">
        <v>43347</v>
      </c>
    </row>
    <row r="413" spans="1:11" x14ac:dyDescent="0.3">
      <c r="A413" t="s">
        <v>849</v>
      </c>
      <c r="B413" s="2" t="s">
        <v>850</v>
      </c>
      <c r="C413">
        <v>23</v>
      </c>
      <c r="D413" s="2" t="s">
        <v>21</v>
      </c>
      <c r="E413" s="2" t="s">
        <v>22</v>
      </c>
      <c r="F413" s="2" t="s">
        <v>23</v>
      </c>
      <c r="G413" s="2" t="s">
        <v>81</v>
      </c>
      <c r="H413" s="2" t="s">
        <v>18</v>
      </c>
      <c r="I413" s="2" t="s">
        <v>18</v>
      </c>
      <c r="J413">
        <v>0.47</v>
      </c>
      <c r="K413" s="4">
        <v>43378</v>
      </c>
    </row>
    <row r="414" spans="1:11" x14ac:dyDescent="0.3">
      <c r="A414" t="s">
        <v>851</v>
      </c>
      <c r="B414" s="2" t="s">
        <v>852</v>
      </c>
      <c r="C414">
        <v>45</v>
      </c>
      <c r="D414" s="2" t="s">
        <v>21</v>
      </c>
      <c r="E414" s="2" t="s">
        <v>14</v>
      </c>
      <c r="F414" s="2" t="s">
        <v>31</v>
      </c>
      <c r="G414" s="2" t="s">
        <v>32</v>
      </c>
      <c r="H414" s="2" t="s">
        <v>18</v>
      </c>
      <c r="I414" s="2" t="s">
        <v>18</v>
      </c>
      <c r="J414">
        <v>0.72</v>
      </c>
      <c r="K414" s="4">
        <v>44332</v>
      </c>
    </row>
    <row r="415" spans="1:11" x14ac:dyDescent="0.3">
      <c r="A415" t="s">
        <v>853</v>
      </c>
      <c r="B415" s="2" t="s">
        <v>854</v>
      </c>
      <c r="C415">
        <v>23</v>
      </c>
      <c r="D415" s="2" t="s">
        <v>21</v>
      </c>
      <c r="E415" s="2" t="s">
        <v>14</v>
      </c>
      <c r="F415" s="2" t="s">
        <v>37</v>
      </c>
      <c r="G415" s="2" t="s">
        <v>24</v>
      </c>
      <c r="H415" s="2" t="s">
        <v>17</v>
      </c>
      <c r="I415" s="2" t="s">
        <v>18</v>
      </c>
      <c r="J415">
        <v>0.64</v>
      </c>
      <c r="K415" s="4">
        <v>44489</v>
      </c>
    </row>
    <row r="416" spans="1:11" x14ac:dyDescent="0.3">
      <c r="A416" t="s">
        <v>855</v>
      </c>
      <c r="B416" s="2" t="s">
        <v>856</v>
      </c>
      <c r="C416">
        <v>33</v>
      </c>
      <c r="D416" s="2" t="s">
        <v>13</v>
      </c>
      <c r="E416" s="2" t="s">
        <v>22</v>
      </c>
      <c r="F416" s="2" t="s">
        <v>23</v>
      </c>
      <c r="G416" s="2" t="s">
        <v>66</v>
      </c>
      <c r="H416" s="2" t="s">
        <v>18</v>
      </c>
      <c r="I416" s="2" t="s">
        <v>18</v>
      </c>
      <c r="J416">
        <v>1</v>
      </c>
      <c r="K416" s="4">
        <v>44204</v>
      </c>
    </row>
    <row r="417" spans="1:11" x14ac:dyDescent="0.3">
      <c r="A417" t="s">
        <v>857</v>
      </c>
      <c r="B417" s="2" t="s">
        <v>858</v>
      </c>
      <c r="C417">
        <v>50</v>
      </c>
      <c r="D417" s="2" t="s">
        <v>13</v>
      </c>
      <c r="E417" s="2" t="s">
        <v>30</v>
      </c>
      <c r="F417" s="2" t="s">
        <v>23</v>
      </c>
      <c r="G417" s="2" t="s">
        <v>16</v>
      </c>
      <c r="H417" s="2" t="s">
        <v>18</v>
      </c>
      <c r="I417" s="2" t="s">
        <v>17</v>
      </c>
      <c r="J417">
        <v>0.69</v>
      </c>
      <c r="K417" s="4">
        <v>43759</v>
      </c>
    </row>
    <row r="418" spans="1:11" x14ac:dyDescent="0.3">
      <c r="A418" t="s">
        <v>859</v>
      </c>
      <c r="B418" s="2" t="s">
        <v>860</v>
      </c>
      <c r="C418">
        <v>23</v>
      </c>
      <c r="D418" s="2" t="s">
        <v>21</v>
      </c>
      <c r="E418" s="2" t="s">
        <v>22</v>
      </c>
      <c r="F418" s="2" t="s">
        <v>15</v>
      </c>
      <c r="G418" s="2" t="s">
        <v>66</v>
      </c>
      <c r="H418" s="2" t="s">
        <v>17</v>
      </c>
      <c r="I418" s="2" t="s">
        <v>17</v>
      </c>
      <c r="J418">
        <v>0.76</v>
      </c>
      <c r="K418" s="4">
        <v>44812</v>
      </c>
    </row>
    <row r="419" spans="1:11" x14ac:dyDescent="0.3">
      <c r="A419" t="s">
        <v>861</v>
      </c>
      <c r="B419" s="2" t="s">
        <v>862</v>
      </c>
      <c r="C419">
        <v>32</v>
      </c>
      <c r="D419" s="2" t="s">
        <v>13</v>
      </c>
      <c r="E419" s="2" t="s">
        <v>30</v>
      </c>
      <c r="F419" s="2" t="s">
        <v>31</v>
      </c>
      <c r="G419" s="2" t="s">
        <v>24</v>
      </c>
      <c r="H419" s="2" t="s">
        <v>18</v>
      </c>
      <c r="I419" s="2" t="s">
        <v>17</v>
      </c>
      <c r="J419">
        <v>0.72</v>
      </c>
      <c r="K419" s="4">
        <v>43489</v>
      </c>
    </row>
    <row r="420" spans="1:11" x14ac:dyDescent="0.3">
      <c r="A420" t="s">
        <v>863</v>
      </c>
      <c r="B420" s="2" t="s">
        <v>864</v>
      </c>
      <c r="C420">
        <v>69</v>
      </c>
      <c r="D420" s="2" t="s">
        <v>21</v>
      </c>
      <c r="E420" s="2" t="s">
        <v>30</v>
      </c>
      <c r="F420" s="2" t="s">
        <v>37</v>
      </c>
      <c r="G420" s="2" t="s">
        <v>24</v>
      </c>
      <c r="H420" s="2" t="s">
        <v>17</v>
      </c>
      <c r="I420" s="2" t="s">
        <v>18</v>
      </c>
      <c r="J420">
        <v>0.56999999999999995</v>
      </c>
      <c r="K420" s="4">
        <v>43773</v>
      </c>
    </row>
    <row r="421" spans="1:11" x14ac:dyDescent="0.3">
      <c r="A421" t="s">
        <v>865</v>
      </c>
      <c r="B421" s="2" t="s">
        <v>866</v>
      </c>
      <c r="C421">
        <v>47</v>
      </c>
      <c r="D421" s="2" t="s">
        <v>21</v>
      </c>
      <c r="E421" s="2" t="s">
        <v>22</v>
      </c>
      <c r="F421" s="2" t="s">
        <v>31</v>
      </c>
      <c r="G421" s="2" t="s">
        <v>27</v>
      </c>
      <c r="H421" s="2" t="s">
        <v>17</v>
      </c>
      <c r="I421" s="2" t="s">
        <v>18</v>
      </c>
      <c r="J421">
        <v>0.54</v>
      </c>
      <c r="K421" s="4">
        <v>43310</v>
      </c>
    </row>
    <row r="422" spans="1:11" x14ac:dyDescent="0.3">
      <c r="A422" t="s">
        <v>867</v>
      </c>
      <c r="B422" s="2" t="s">
        <v>868</v>
      </c>
      <c r="C422">
        <v>34</v>
      </c>
      <c r="D422" s="2" t="s">
        <v>13</v>
      </c>
      <c r="E422" s="2" t="s">
        <v>30</v>
      </c>
      <c r="F422" s="2" t="s">
        <v>15</v>
      </c>
      <c r="G422" s="2" t="s">
        <v>32</v>
      </c>
      <c r="H422" s="2" t="s">
        <v>18</v>
      </c>
      <c r="I422" s="2" t="s">
        <v>18</v>
      </c>
      <c r="J422">
        <v>0.45</v>
      </c>
      <c r="K422" s="4">
        <v>43750</v>
      </c>
    </row>
    <row r="423" spans="1:11" x14ac:dyDescent="0.3">
      <c r="A423" t="s">
        <v>869</v>
      </c>
      <c r="B423" s="2" t="s">
        <v>870</v>
      </c>
      <c r="C423">
        <v>55</v>
      </c>
      <c r="D423" s="2" t="s">
        <v>13</v>
      </c>
      <c r="E423" s="2" t="s">
        <v>30</v>
      </c>
      <c r="F423" s="2" t="s">
        <v>15</v>
      </c>
      <c r="G423" s="2" t="s">
        <v>32</v>
      </c>
      <c r="H423" s="2" t="s">
        <v>17</v>
      </c>
      <c r="I423" s="2" t="s">
        <v>17</v>
      </c>
      <c r="J423">
        <v>0.37</v>
      </c>
      <c r="K423" s="4">
        <v>43138</v>
      </c>
    </row>
    <row r="424" spans="1:11" x14ac:dyDescent="0.3">
      <c r="A424" t="s">
        <v>871</v>
      </c>
      <c r="B424" s="2" t="s">
        <v>872</v>
      </c>
      <c r="C424">
        <v>35</v>
      </c>
      <c r="D424" s="2" t="s">
        <v>13</v>
      </c>
      <c r="E424" s="2" t="s">
        <v>22</v>
      </c>
      <c r="F424" s="2" t="s">
        <v>15</v>
      </c>
      <c r="G424" s="2" t="s">
        <v>32</v>
      </c>
      <c r="H424" s="2" t="s">
        <v>17</v>
      </c>
      <c r="I424" s="2" t="s">
        <v>17</v>
      </c>
      <c r="J424">
        <v>0.32</v>
      </c>
      <c r="K424" s="4">
        <v>44681</v>
      </c>
    </row>
    <row r="425" spans="1:11" x14ac:dyDescent="0.3">
      <c r="A425" t="s">
        <v>873</v>
      </c>
      <c r="B425" s="2" t="s">
        <v>874</v>
      </c>
      <c r="C425">
        <v>45</v>
      </c>
      <c r="D425" s="2" t="s">
        <v>21</v>
      </c>
      <c r="E425" s="2" t="s">
        <v>22</v>
      </c>
      <c r="F425" s="2" t="s">
        <v>31</v>
      </c>
      <c r="G425" s="2" t="s">
        <v>24</v>
      </c>
      <c r="H425" s="2" t="s">
        <v>17</v>
      </c>
      <c r="I425" s="2" t="s">
        <v>17</v>
      </c>
      <c r="J425">
        <v>0.35</v>
      </c>
      <c r="K425" s="4">
        <v>43308</v>
      </c>
    </row>
    <row r="426" spans="1:11" x14ac:dyDescent="0.3">
      <c r="A426" t="s">
        <v>875</v>
      </c>
      <c r="B426" s="2" t="s">
        <v>876</v>
      </c>
      <c r="C426">
        <v>36</v>
      </c>
      <c r="D426" s="2" t="s">
        <v>13</v>
      </c>
      <c r="E426" s="2" t="s">
        <v>14</v>
      </c>
      <c r="F426" s="2" t="s">
        <v>15</v>
      </c>
      <c r="G426" s="2" t="s">
        <v>32</v>
      </c>
      <c r="H426" s="2" t="s">
        <v>18</v>
      </c>
      <c r="I426" s="2" t="s">
        <v>18</v>
      </c>
      <c r="J426">
        <v>0.86</v>
      </c>
      <c r="K426" s="4">
        <v>44303</v>
      </c>
    </row>
    <row r="427" spans="1:11" x14ac:dyDescent="0.3">
      <c r="A427" t="s">
        <v>877</v>
      </c>
      <c r="B427" s="2" t="s">
        <v>878</v>
      </c>
      <c r="C427">
        <v>50</v>
      </c>
      <c r="D427" s="2" t="s">
        <v>13</v>
      </c>
      <c r="E427" s="2" t="s">
        <v>30</v>
      </c>
      <c r="F427" s="2" t="s">
        <v>31</v>
      </c>
      <c r="G427" s="2" t="s">
        <v>66</v>
      </c>
      <c r="H427" s="2" t="s">
        <v>18</v>
      </c>
      <c r="I427" s="2" t="s">
        <v>18</v>
      </c>
      <c r="J427">
        <v>0.49</v>
      </c>
      <c r="K427" s="4">
        <v>43490</v>
      </c>
    </row>
    <row r="428" spans="1:11" x14ac:dyDescent="0.3">
      <c r="A428" t="s">
        <v>879</v>
      </c>
      <c r="B428" s="2" t="s">
        <v>880</v>
      </c>
      <c r="C428">
        <v>60</v>
      </c>
      <c r="D428" s="2" t="s">
        <v>21</v>
      </c>
      <c r="E428" s="2" t="s">
        <v>22</v>
      </c>
      <c r="F428" s="2" t="s">
        <v>15</v>
      </c>
      <c r="G428" s="2" t="s">
        <v>27</v>
      </c>
      <c r="H428" s="2" t="s">
        <v>18</v>
      </c>
      <c r="I428" s="2" t="s">
        <v>17</v>
      </c>
      <c r="J428">
        <v>0.55000000000000004</v>
      </c>
      <c r="K428" s="4">
        <v>44799</v>
      </c>
    </row>
    <row r="429" spans="1:11" x14ac:dyDescent="0.3">
      <c r="A429" t="s">
        <v>881</v>
      </c>
      <c r="B429" s="2" t="s">
        <v>882</v>
      </c>
      <c r="C429">
        <v>29</v>
      </c>
      <c r="D429" s="2" t="s">
        <v>13</v>
      </c>
      <c r="E429" s="2" t="s">
        <v>22</v>
      </c>
      <c r="F429" s="2" t="s">
        <v>23</v>
      </c>
      <c r="G429" s="2" t="s">
        <v>32</v>
      </c>
      <c r="H429" s="2" t="s">
        <v>17</v>
      </c>
      <c r="I429" s="2" t="s">
        <v>18</v>
      </c>
      <c r="J429">
        <v>0.56000000000000005</v>
      </c>
      <c r="K429" s="4">
        <v>44314</v>
      </c>
    </row>
    <row r="430" spans="1:11" x14ac:dyDescent="0.3">
      <c r="A430" t="s">
        <v>883</v>
      </c>
      <c r="B430" s="2" t="s">
        <v>884</v>
      </c>
      <c r="C430">
        <v>43</v>
      </c>
      <c r="D430" s="2" t="s">
        <v>21</v>
      </c>
      <c r="E430" s="2" t="s">
        <v>22</v>
      </c>
      <c r="F430" s="2" t="s">
        <v>23</v>
      </c>
      <c r="G430" s="2" t="s">
        <v>66</v>
      </c>
      <c r="H430" s="2" t="s">
        <v>18</v>
      </c>
      <c r="I430" s="2" t="s">
        <v>17</v>
      </c>
      <c r="J430">
        <v>0.53</v>
      </c>
      <c r="K430" s="4">
        <v>44173</v>
      </c>
    </row>
    <row r="431" spans="1:11" x14ac:dyDescent="0.3">
      <c r="A431" t="s">
        <v>885</v>
      </c>
      <c r="B431" s="2" t="s">
        <v>886</v>
      </c>
      <c r="C431">
        <v>54</v>
      </c>
      <c r="D431" s="2" t="s">
        <v>21</v>
      </c>
      <c r="E431" s="2" t="s">
        <v>14</v>
      </c>
      <c r="F431" s="2" t="s">
        <v>23</v>
      </c>
      <c r="G431" s="2" t="s">
        <v>66</v>
      </c>
      <c r="H431" s="2" t="s">
        <v>17</v>
      </c>
      <c r="I431" s="2" t="s">
        <v>18</v>
      </c>
      <c r="J431">
        <v>0.85</v>
      </c>
      <c r="K431" s="4">
        <v>44380</v>
      </c>
    </row>
    <row r="432" spans="1:11" x14ac:dyDescent="0.3">
      <c r="A432" t="s">
        <v>887</v>
      </c>
      <c r="B432" s="2" t="s">
        <v>888</v>
      </c>
      <c r="C432">
        <v>21</v>
      </c>
      <c r="D432" s="2" t="s">
        <v>21</v>
      </c>
      <c r="E432" s="2" t="s">
        <v>14</v>
      </c>
      <c r="F432" s="2" t="s">
        <v>23</v>
      </c>
      <c r="G432" s="2" t="s">
        <v>16</v>
      </c>
      <c r="H432" s="2" t="s">
        <v>17</v>
      </c>
      <c r="I432" s="2" t="s">
        <v>17</v>
      </c>
      <c r="J432">
        <v>0.35</v>
      </c>
      <c r="K432" s="4">
        <v>44280</v>
      </c>
    </row>
    <row r="433" spans="1:11" x14ac:dyDescent="0.3">
      <c r="A433" t="s">
        <v>889</v>
      </c>
      <c r="B433" s="2" t="s">
        <v>890</v>
      </c>
      <c r="C433">
        <v>33</v>
      </c>
      <c r="D433" s="2" t="s">
        <v>13</v>
      </c>
      <c r="E433" s="2" t="s">
        <v>14</v>
      </c>
      <c r="F433" s="2" t="s">
        <v>37</v>
      </c>
      <c r="G433" s="2" t="s">
        <v>32</v>
      </c>
      <c r="H433" s="2" t="s">
        <v>18</v>
      </c>
      <c r="I433" s="2" t="s">
        <v>18</v>
      </c>
      <c r="J433">
        <v>0.25</v>
      </c>
      <c r="K433" s="4">
        <v>44520</v>
      </c>
    </row>
    <row r="434" spans="1:11" x14ac:dyDescent="0.3">
      <c r="A434" t="s">
        <v>891</v>
      </c>
      <c r="B434" s="2" t="s">
        <v>892</v>
      </c>
      <c r="C434">
        <v>44</v>
      </c>
      <c r="D434" s="2" t="s">
        <v>13</v>
      </c>
      <c r="E434" s="2" t="s">
        <v>22</v>
      </c>
      <c r="F434" s="2" t="s">
        <v>15</v>
      </c>
      <c r="G434" s="2" t="s">
        <v>32</v>
      </c>
      <c r="H434" s="2" t="s">
        <v>17</v>
      </c>
      <c r="I434" s="2" t="s">
        <v>18</v>
      </c>
      <c r="J434">
        <v>0.54</v>
      </c>
      <c r="K434" s="4">
        <v>43792</v>
      </c>
    </row>
    <row r="435" spans="1:11" x14ac:dyDescent="0.3">
      <c r="A435" t="s">
        <v>893</v>
      </c>
      <c r="B435" s="2" t="s">
        <v>894</v>
      </c>
      <c r="C435">
        <v>65</v>
      </c>
      <c r="D435" s="2" t="s">
        <v>13</v>
      </c>
      <c r="E435" s="2" t="s">
        <v>22</v>
      </c>
      <c r="F435" s="2" t="s">
        <v>23</v>
      </c>
      <c r="G435" s="2" t="s">
        <v>24</v>
      </c>
      <c r="H435" s="2" t="s">
        <v>18</v>
      </c>
      <c r="I435" s="2" t="s">
        <v>17</v>
      </c>
      <c r="J435">
        <v>0.72</v>
      </c>
      <c r="K435" s="4">
        <v>44877</v>
      </c>
    </row>
    <row r="436" spans="1:11" x14ac:dyDescent="0.3">
      <c r="A436" t="s">
        <v>895</v>
      </c>
      <c r="B436" s="2" t="s">
        <v>896</v>
      </c>
      <c r="C436">
        <v>39</v>
      </c>
      <c r="D436" s="2" t="s">
        <v>21</v>
      </c>
      <c r="E436" s="2" t="s">
        <v>14</v>
      </c>
      <c r="F436" s="2" t="s">
        <v>37</v>
      </c>
      <c r="G436" s="2" t="s">
        <v>81</v>
      </c>
      <c r="H436" s="2" t="s">
        <v>17</v>
      </c>
      <c r="I436" s="2" t="s">
        <v>18</v>
      </c>
      <c r="J436">
        <v>0.28000000000000003</v>
      </c>
      <c r="K436" s="4">
        <v>44011</v>
      </c>
    </row>
    <row r="437" spans="1:11" x14ac:dyDescent="0.3">
      <c r="A437" t="s">
        <v>897</v>
      </c>
      <c r="B437" s="2" t="s">
        <v>898</v>
      </c>
      <c r="C437">
        <v>46</v>
      </c>
      <c r="D437" s="2" t="s">
        <v>13</v>
      </c>
      <c r="E437" s="2" t="s">
        <v>14</v>
      </c>
      <c r="F437" s="2" t="s">
        <v>15</v>
      </c>
      <c r="G437" s="2" t="s">
        <v>27</v>
      </c>
      <c r="H437" s="2" t="s">
        <v>17</v>
      </c>
      <c r="I437" s="2" t="s">
        <v>17</v>
      </c>
      <c r="J437">
        <v>1</v>
      </c>
      <c r="K437" s="4">
        <v>44398</v>
      </c>
    </row>
    <row r="438" spans="1:11" x14ac:dyDescent="0.3">
      <c r="A438" t="s">
        <v>899</v>
      </c>
      <c r="B438" s="2" t="s">
        <v>900</v>
      </c>
      <c r="C438">
        <v>38</v>
      </c>
      <c r="D438" s="2" t="s">
        <v>21</v>
      </c>
      <c r="E438" s="2" t="s">
        <v>30</v>
      </c>
      <c r="F438" s="2" t="s">
        <v>23</v>
      </c>
      <c r="G438" s="2" t="s">
        <v>32</v>
      </c>
      <c r="H438" s="2" t="s">
        <v>18</v>
      </c>
      <c r="I438" s="2" t="s">
        <v>17</v>
      </c>
      <c r="J438">
        <v>0.35</v>
      </c>
      <c r="K438" s="4">
        <v>43829</v>
      </c>
    </row>
    <row r="439" spans="1:11" x14ac:dyDescent="0.3">
      <c r="A439" t="s">
        <v>901</v>
      </c>
      <c r="B439" s="2" t="s">
        <v>902</v>
      </c>
      <c r="C439">
        <v>47</v>
      </c>
      <c r="D439" s="2" t="s">
        <v>13</v>
      </c>
      <c r="E439" s="2" t="s">
        <v>14</v>
      </c>
      <c r="F439" s="2" t="s">
        <v>31</v>
      </c>
      <c r="G439" s="2" t="s">
        <v>16</v>
      </c>
      <c r="H439" s="2" t="s">
        <v>17</v>
      </c>
      <c r="I439" s="2" t="s">
        <v>18</v>
      </c>
      <c r="J439">
        <v>0.33</v>
      </c>
      <c r="K439" s="4">
        <v>44469</v>
      </c>
    </row>
    <row r="440" spans="1:11" x14ac:dyDescent="0.3">
      <c r="A440" t="s">
        <v>903</v>
      </c>
      <c r="B440" s="2" t="s">
        <v>904</v>
      </c>
      <c r="C440">
        <v>27</v>
      </c>
      <c r="D440" s="2" t="s">
        <v>13</v>
      </c>
      <c r="E440" s="2" t="s">
        <v>30</v>
      </c>
      <c r="F440" s="2" t="s">
        <v>23</v>
      </c>
      <c r="G440" s="2" t="s">
        <v>16</v>
      </c>
      <c r="H440" s="2" t="s">
        <v>18</v>
      </c>
      <c r="I440" s="2" t="s">
        <v>18</v>
      </c>
      <c r="J440">
        <v>0.56000000000000005</v>
      </c>
      <c r="K440" s="4">
        <v>44241</v>
      </c>
    </row>
    <row r="441" spans="1:11" x14ac:dyDescent="0.3">
      <c r="A441" t="s">
        <v>905</v>
      </c>
      <c r="B441" s="2" t="s">
        <v>906</v>
      </c>
      <c r="C441">
        <v>49</v>
      </c>
      <c r="D441" s="2" t="s">
        <v>13</v>
      </c>
      <c r="E441" s="2" t="s">
        <v>14</v>
      </c>
      <c r="F441" s="2" t="s">
        <v>37</v>
      </c>
      <c r="G441" s="2" t="s">
        <v>32</v>
      </c>
      <c r="H441" s="2" t="s">
        <v>18</v>
      </c>
      <c r="I441" s="2" t="s">
        <v>18</v>
      </c>
      <c r="J441">
        <v>0.67</v>
      </c>
      <c r="K441" s="4">
        <v>43792</v>
      </c>
    </row>
    <row r="442" spans="1:11" x14ac:dyDescent="0.3">
      <c r="A442" t="s">
        <v>907</v>
      </c>
      <c r="B442" s="2" t="s">
        <v>908</v>
      </c>
      <c r="C442">
        <v>54</v>
      </c>
      <c r="D442" s="2" t="s">
        <v>21</v>
      </c>
      <c r="E442" s="2" t="s">
        <v>14</v>
      </c>
      <c r="F442" s="2" t="s">
        <v>31</v>
      </c>
      <c r="G442" s="2" t="s">
        <v>16</v>
      </c>
      <c r="H442" s="2" t="s">
        <v>17</v>
      </c>
      <c r="I442" s="2" t="s">
        <v>17</v>
      </c>
      <c r="J442">
        <v>0.4</v>
      </c>
      <c r="K442" s="4">
        <v>43723</v>
      </c>
    </row>
    <row r="443" spans="1:11" x14ac:dyDescent="0.3">
      <c r="A443" t="s">
        <v>909</v>
      </c>
      <c r="B443" s="2" t="s">
        <v>910</v>
      </c>
      <c r="C443">
        <v>67</v>
      </c>
      <c r="D443" s="2" t="s">
        <v>13</v>
      </c>
      <c r="E443" s="2" t="s">
        <v>22</v>
      </c>
      <c r="F443" s="2" t="s">
        <v>31</v>
      </c>
      <c r="G443" s="2" t="s">
        <v>81</v>
      </c>
      <c r="H443" s="2" t="s">
        <v>17</v>
      </c>
      <c r="I443" s="2" t="s">
        <v>17</v>
      </c>
      <c r="J443">
        <v>0.7</v>
      </c>
      <c r="K443" s="4">
        <v>43294</v>
      </c>
    </row>
    <row r="444" spans="1:11" x14ac:dyDescent="0.3">
      <c r="A444" t="s">
        <v>911</v>
      </c>
      <c r="B444" s="2" t="s">
        <v>912</v>
      </c>
      <c r="C444">
        <v>43</v>
      </c>
      <c r="D444" s="2" t="s">
        <v>13</v>
      </c>
      <c r="E444" s="2" t="s">
        <v>30</v>
      </c>
      <c r="F444" s="2" t="s">
        <v>15</v>
      </c>
      <c r="G444" s="2" t="s">
        <v>24</v>
      </c>
      <c r="H444" s="2" t="s">
        <v>17</v>
      </c>
      <c r="I444" s="2" t="s">
        <v>18</v>
      </c>
      <c r="J444">
        <v>0.64</v>
      </c>
      <c r="K444" s="4">
        <v>44190</v>
      </c>
    </row>
    <row r="445" spans="1:11" x14ac:dyDescent="0.3">
      <c r="A445" t="s">
        <v>913</v>
      </c>
      <c r="B445" s="2" t="s">
        <v>914</v>
      </c>
      <c r="C445">
        <v>61</v>
      </c>
      <c r="D445" s="2" t="s">
        <v>13</v>
      </c>
      <c r="E445" s="2" t="s">
        <v>22</v>
      </c>
      <c r="F445" s="2" t="s">
        <v>37</v>
      </c>
      <c r="G445" s="2" t="s">
        <v>66</v>
      </c>
      <c r="H445" s="2" t="s">
        <v>18</v>
      </c>
      <c r="I445" s="2" t="s">
        <v>18</v>
      </c>
      <c r="J445">
        <v>0.63</v>
      </c>
      <c r="K445" s="4">
        <v>44021</v>
      </c>
    </row>
    <row r="446" spans="1:11" x14ac:dyDescent="0.3">
      <c r="A446" t="s">
        <v>915</v>
      </c>
      <c r="B446" s="2" t="s">
        <v>916</v>
      </c>
      <c r="C446">
        <v>36</v>
      </c>
      <c r="D446" s="2" t="s">
        <v>21</v>
      </c>
      <c r="E446" s="2" t="s">
        <v>22</v>
      </c>
      <c r="F446" s="2" t="s">
        <v>31</v>
      </c>
      <c r="G446" s="2" t="s">
        <v>32</v>
      </c>
      <c r="H446" s="2" t="s">
        <v>18</v>
      </c>
      <c r="I446" s="2" t="s">
        <v>17</v>
      </c>
      <c r="J446">
        <v>0.5</v>
      </c>
      <c r="K446" s="4">
        <v>43184</v>
      </c>
    </row>
    <row r="447" spans="1:11" x14ac:dyDescent="0.3">
      <c r="A447" t="s">
        <v>917</v>
      </c>
      <c r="B447" s="2" t="s">
        <v>918</v>
      </c>
      <c r="C447">
        <v>53</v>
      </c>
      <c r="D447" s="2" t="s">
        <v>21</v>
      </c>
      <c r="E447" s="2" t="s">
        <v>14</v>
      </c>
      <c r="F447" s="2" t="s">
        <v>37</v>
      </c>
      <c r="G447" s="2" t="s">
        <v>66</v>
      </c>
      <c r="H447" s="2" t="s">
        <v>17</v>
      </c>
      <c r="I447" s="2" t="s">
        <v>18</v>
      </c>
      <c r="J447">
        <v>0.45</v>
      </c>
      <c r="K447" s="4">
        <v>44471</v>
      </c>
    </row>
    <row r="448" spans="1:11" x14ac:dyDescent="0.3">
      <c r="A448" t="s">
        <v>919</v>
      </c>
      <c r="B448" s="2" t="s">
        <v>920</v>
      </c>
      <c r="C448">
        <v>29</v>
      </c>
      <c r="D448" s="2" t="s">
        <v>21</v>
      </c>
      <c r="E448" s="2" t="s">
        <v>14</v>
      </c>
      <c r="F448" s="2" t="s">
        <v>23</v>
      </c>
      <c r="G448" s="2" t="s">
        <v>27</v>
      </c>
      <c r="H448" s="2" t="s">
        <v>18</v>
      </c>
      <c r="I448" s="2" t="s">
        <v>17</v>
      </c>
      <c r="J448">
        <v>0.82</v>
      </c>
      <c r="K448" s="4">
        <v>44137</v>
      </c>
    </row>
    <row r="449" spans="1:11" x14ac:dyDescent="0.3">
      <c r="A449" t="s">
        <v>921</v>
      </c>
      <c r="B449" s="2" t="s">
        <v>922</v>
      </c>
      <c r="C449">
        <v>46</v>
      </c>
      <c r="D449" s="2" t="s">
        <v>21</v>
      </c>
      <c r="E449" s="2" t="s">
        <v>30</v>
      </c>
      <c r="F449" s="2" t="s">
        <v>15</v>
      </c>
      <c r="G449" s="2" t="s">
        <v>81</v>
      </c>
      <c r="H449" s="2" t="s">
        <v>17</v>
      </c>
      <c r="I449" s="2" t="s">
        <v>17</v>
      </c>
      <c r="J449">
        <v>0.68</v>
      </c>
      <c r="K449" s="4">
        <v>44450</v>
      </c>
    </row>
    <row r="450" spans="1:11" x14ac:dyDescent="0.3">
      <c r="A450" t="s">
        <v>923</v>
      </c>
      <c r="B450" s="2" t="s">
        <v>924</v>
      </c>
      <c r="C450">
        <v>22</v>
      </c>
      <c r="D450" s="2" t="s">
        <v>21</v>
      </c>
      <c r="E450" s="2" t="s">
        <v>14</v>
      </c>
      <c r="F450" s="2" t="s">
        <v>15</v>
      </c>
      <c r="G450" s="2" t="s">
        <v>24</v>
      </c>
      <c r="H450" s="2" t="s">
        <v>17</v>
      </c>
      <c r="I450" s="2" t="s">
        <v>17</v>
      </c>
      <c r="J450">
        <v>0.62</v>
      </c>
      <c r="K450" s="4">
        <v>44759</v>
      </c>
    </row>
    <row r="451" spans="1:11" x14ac:dyDescent="0.3">
      <c r="A451" t="s">
        <v>925</v>
      </c>
      <c r="B451" s="2" t="s">
        <v>926</v>
      </c>
      <c r="C451">
        <v>59</v>
      </c>
      <c r="D451" s="2" t="s">
        <v>21</v>
      </c>
      <c r="E451" s="2" t="s">
        <v>14</v>
      </c>
      <c r="F451" s="2" t="s">
        <v>15</v>
      </c>
      <c r="G451" s="2" t="s">
        <v>32</v>
      </c>
      <c r="H451" s="2" t="s">
        <v>18</v>
      </c>
      <c r="I451" s="2" t="s">
        <v>17</v>
      </c>
      <c r="J451">
        <v>0.56000000000000005</v>
      </c>
      <c r="K451" s="4">
        <v>44651</v>
      </c>
    </row>
    <row r="452" spans="1:11" x14ac:dyDescent="0.3">
      <c r="A452" t="s">
        <v>927</v>
      </c>
      <c r="B452" s="2" t="s">
        <v>928</v>
      </c>
      <c r="C452">
        <v>32</v>
      </c>
      <c r="D452" s="2" t="s">
        <v>13</v>
      </c>
      <c r="E452" s="2" t="s">
        <v>30</v>
      </c>
      <c r="F452" s="2" t="s">
        <v>15</v>
      </c>
      <c r="G452" s="2" t="s">
        <v>24</v>
      </c>
      <c r="H452" s="2" t="s">
        <v>18</v>
      </c>
      <c r="I452" s="2" t="s">
        <v>18</v>
      </c>
      <c r="J452">
        <v>0.44</v>
      </c>
      <c r="K452" s="4">
        <v>43128</v>
      </c>
    </row>
    <row r="453" spans="1:11" x14ac:dyDescent="0.3">
      <c r="A453" t="s">
        <v>929</v>
      </c>
      <c r="B453" s="2" t="s">
        <v>930</v>
      </c>
      <c r="C453">
        <v>27</v>
      </c>
      <c r="D453" s="2" t="s">
        <v>13</v>
      </c>
      <c r="E453" s="2" t="s">
        <v>30</v>
      </c>
      <c r="F453" s="2" t="s">
        <v>31</v>
      </c>
      <c r="G453" s="2" t="s">
        <v>81</v>
      </c>
      <c r="H453" s="2" t="s">
        <v>17</v>
      </c>
      <c r="I453" s="2" t="s">
        <v>18</v>
      </c>
      <c r="J453">
        <v>0.55000000000000004</v>
      </c>
      <c r="K453" s="4">
        <v>44354</v>
      </c>
    </row>
    <row r="454" spans="1:11" x14ac:dyDescent="0.3">
      <c r="A454" t="s">
        <v>931</v>
      </c>
      <c r="B454" s="2" t="s">
        <v>932</v>
      </c>
      <c r="C454">
        <v>43</v>
      </c>
      <c r="D454" s="2" t="s">
        <v>13</v>
      </c>
      <c r="E454" s="2" t="s">
        <v>22</v>
      </c>
      <c r="F454" s="2" t="s">
        <v>31</v>
      </c>
      <c r="G454" s="2" t="s">
        <v>24</v>
      </c>
      <c r="H454" s="2" t="s">
        <v>18</v>
      </c>
      <c r="I454" s="2" t="s">
        <v>17</v>
      </c>
      <c r="J454">
        <v>0.41</v>
      </c>
      <c r="K454" s="4">
        <v>43175</v>
      </c>
    </row>
    <row r="455" spans="1:11" x14ac:dyDescent="0.3">
      <c r="A455" t="s">
        <v>933</v>
      </c>
      <c r="B455" s="2" t="s">
        <v>934</v>
      </c>
      <c r="C455">
        <v>58</v>
      </c>
      <c r="D455" s="2" t="s">
        <v>13</v>
      </c>
      <c r="E455" s="2" t="s">
        <v>30</v>
      </c>
      <c r="F455" s="2" t="s">
        <v>37</v>
      </c>
      <c r="G455" s="2" t="s">
        <v>16</v>
      </c>
      <c r="H455" s="2" t="s">
        <v>17</v>
      </c>
      <c r="I455" s="2" t="s">
        <v>17</v>
      </c>
      <c r="J455">
        <v>0.41</v>
      </c>
      <c r="K455" s="4">
        <v>43643</v>
      </c>
    </row>
    <row r="456" spans="1:11" x14ac:dyDescent="0.3">
      <c r="A456" t="s">
        <v>935</v>
      </c>
      <c r="B456" s="2" t="s">
        <v>936</v>
      </c>
      <c r="C456">
        <v>30</v>
      </c>
      <c r="D456" s="2" t="s">
        <v>21</v>
      </c>
      <c r="E456" s="2" t="s">
        <v>14</v>
      </c>
      <c r="F456" s="2" t="s">
        <v>15</v>
      </c>
      <c r="G456" s="2" t="s">
        <v>16</v>
      </c>
      <c r="H456" s="2" t="s">
        <v>18</v>
      </c>
      <c r="I456" s="2" t="s">
        <v>17</v>
      </c>
      <c r="J456">
        <v>0</v>
      </c>
      <c r="K456" s="4">
        <v>44391</v>
      </c>
    </row>
    <row r="457" spans="1:11" x14ac:dyDescent="0.3">
      <c r="A457" t="s">
        <v>937</v>
      </c>
      <c r="B457" s="2" t="s">
        <v>938</v>
      </c>
      <c r="C457">
        <v>25</v>
      </c>
      <c r="D457" s="2" t="s">
        <v>21</v>
      </c>
      <c r="E457" s="2" t="s">
        <v>30</v>
      </c>
      <c r="F457" s="2" t="s">
        <v>31</v>
      </c>
      <c r="G457" s="2" t="s">
        <v>81</v>
      </c>
      <c r="H457" s="2" t="s">
        <v>18</v>
      </c>
      <c r="I457" s="2" t="s">
        <v>18</v>
      </c>
      <c r="J457">
        <v>0.54</v>
      </c>
      <c r="K457" s="4">
        <v>43147</v>
      </c>
    </row>
    <row r="458" spans="1:11" x14ac:dyDescent="0.3">
      <c r="A458" t="s">
        <v>939</v>
      </c>
      <c r="B458" s="2" t="s">
        <v>940</v>
      </c>
      <c r="C458">
        <v>23</v>
      </c>
      <c r="D458" s="2" t="s">
        <v>13</v>
      </c>
      <c r="E458" s="2" t="s">
        <v>22</v>
      </c>
      <c r="F458" s="2" t="s">
        <v>37</v>
      </c>
      <c r="G458" s="2" t="s">
        <v>32</v>
      </c>
      <c r="H458" s="2" t="s">
        <v>17</v>
      </c>
      <c r="I458" s="2" t="s">
        <v>18</v>
      </c>
      <c r="J458">
        <v>0.2</v>
      </c>
      <c r="K458" s="4">
        <v>44727</v>
      </c>
    </row>
    <row r="459" spans="1:11" x14ac:dyDescent="0.3">
      <c r="A459" t="s">
        <v>941</v>
      </c>
      <c r="B459" s="2" t="s">
        <v>942</v>
      </c>
      <c r="C459">
        <v>57</v>
      </c>
      <c r="D459" s="2" t="s">
        <v>13</v>
      </c>
      <c r="E459" s="2" t="s">
        <v>22</v>
      </c>
      <c r="F459" s="2" t="s">
        <v>37</v>
      </c>
      <c r="G459" s="2" t="s">
        <v>32</v>
      </c>
      <c r="H459" s="2" t="s">
        <v>18</v>
      </c>
      <c r="I459" s="2" t="s">
        <v>17</v>
      </c>
      <c r="J459">
        <v>0.33</v>
      </c>
      <c r="K459" s="4">
        <v>44070</v>
      </c>
    </row>
    <row r="460" spans="1:11" x14ac:dyDescent="0.3">
      <c r="A460" t="s">
        <v>943</v>
      </c>
      <c r="B460" s="2" t="s">
        <v>944</v>
      </c>
      <c r="C460">
        <v>37</v>
      </c>
      <c r="D460" s="2" t="s">
        <v>13</v>
      </c>
      <c r="E460" s="2" t="s">
        <v>22</v>
      </c>
      <c r="F460" s="2" t="s">
        <v>37</v>
      </c>
      <c r="G460" s="2" t="s">
        <v>24</v>
      </c>
      <c r="H460" s="2" t="s">
        <v>17</v>
      </c>
      <c r="I460" s="2" t="s">
        <v>17</v>
      </c>
      <c r="J460">
        <v>0.48</v>
      </c>
      <c r="K460" s="4">
        <v>45064</v>
      </c>
    </row>
    <row r="461" spans="1:11" x14ac:dyDescent="0.3">
      <c r="A461" t="s">
        <v>945</v>
      </c>
      <c r="B461" s="2" t="s">
        <v>946</v>
      </c>
      <c r="C461">
        <v>28</v>
      </c>
      <c r="D461" s="2" t="s">
        <v>21</v>
      </c>
      <c r="E461" s="2" t="s">
        <v>22</v>
      </c>
      <c r="F461" s="2" t="s">
        <v>15</v>
      </c>
      <c r="G461" s="2" t="s">
        <v>27</v>
      </c>
      <c r="H461" s="2" t="s">
        <v>17</v>
      </c>
      <c r="I461" s="2" t="s">
        <v>18</v>
      </c>
      <c r="J461">
        <v>0.52</v>
      </c>
      <c r="K461" s="4">
        <v>44686</v>
      </c>
    </row>
    <row r="462" spans="1:11" x14ac:dyDescent="0.3">
      <c r="A462" t="s">
        <v>947</v>
      </c>
      <c r="B462" s="2" t="s">
        <v>948</v>
      </c>
      <c r="C462">
        <v>31</v>
      </c>
      <c r="D462" s="2" t="s">
        <v>21</v>
      </c>
      <c r="E462" s="2" t="s">
        <v>22</v>
      </c>
      <c r="F462" s="2" t="s">
        <v>15</v>
      </c>
      <c r="G462" s="2" t="s">
        <v>32</v>
      </c>
      <c r="H462" s="2" t="s">
        <v>18</v>
      </c>
      <c r="I462" s="2" t="s">
        <v>17</v>
      </c>
      <c r="J462">
        <v>0.28000000000000003</v>
      </c>
      <c r="K462" s="4">
        <v>44113</v>
      </c>
    </row>
    <row r="463" spans="1:11" x14ac:dyDescent="0.3">
      <c r="A463" t="s">
        <v>949</v>
      </c>
      <c r="B463" s="2" t="s">
        <v>950</v>
      </c>
      <c r="C463">
        <v>50</v>
      </c>
      <c r="D463" s="2" t="s">
        <v>21</v>
      </c>
      <c r="E463" s="2" t="s">
        <v>14</v>
      </c>
      <c r="F463" s="2" t="s">
        <v>23</v>
      </c>
      <c r="G463" s="2" t="s">
        <v>27</v>
      </c>
      <c r="H463" s="2" t="s">
        <v>17</v>
      </c>
      <c r="I463" s="2" t="s">
        <v>17</v>
      </c>
      <c r="J463">
        <v>0.4</v>
      </c>
      <c r="K463" s="4">
        <v>44901</v>
      </c>
    </row>
    <row r="464" spans="1:11" x14ac:dyDescent="0.3">
      <c r="A464" t="s">
        <v>951</v>
      </c>
      <c r="B464" s="2" t="s">
        <v>952</v>
      </c>
      <c r="C464">
        <v>35</v>
      </c>
      <c r="D464" s="2" t="s">
        <v>21</v>
      </c>
      <c r="E464" s="2" t="s">
        <v>30</v>
      </c>
      <c r="F464" s="2" t="s">
        <v>23</v>
      </c>
      <c r="G464" s="2" t="s">
        <v>32</v>
      </c>
      <c r="H464" s="2" t="s">
        <v>17</v>
      </c>
      <c r="I464" s="2" t="s">
        <v>17</v>
      </c>
      <c r="J464">
        <v>0.38</v>
      </c>
      <c r="K464" s="4">
        <v>45055</v>
      </c>
    </row>
    <row r="465" spans="1:11" x14ac:dyDescent="0.3">
      <c r="A465" t="s">
        <v>953</v>
      </c>
      <c r="B465" s="2" t="s">
        <v>954</v>
      </c>
      <c r="C465">
        <v>58</v>
      </c>
      <c r="D465" s="2" t="s">
        <v>13</v>
      </c>
      <c r="E465" s="2" t="s">
        <v>22</v>
      </c>
      <c r="F465" s="2" t="s">
        <v>23</v>
      </c>
      <c r="G465" s="2" t="s">
        <v>81</v>
      </c>
      <c r="H465" s="2" t="s">
        <v>18</v>
      </c>
      <c r="I465" s="2" t="s">
        <v>18</v>
      </c>
      <c r="J465">
        <v>0.36</v>
      </c>
      <c r="K465" s="4">
        <v>43781</v>
      </c>
    </row>
    <row r="466" spans="1:11" x14ac:dyDescent="0.3">
      <c r="A466" t="s">
        <v>955</v>
      </c>
      <c r="B466" s="2" t="s">
        <v>956</v>
      </c>
      <c r="C466">
        <v>35</v>
      </c>
      <c r="D466" s="2" t="s">
        <v>21</v>
      </c>
      <c r="E466" s="2" t="s">
        <v>22</v>
      </c>
      <c r="F466" s="2" t="s">
        <v>37</v>
      </c>
      <c r="G466" s="2" t="s">
        <v>66</v>
      </c>
      <c r="H466" s="2" t="s">
        <v>18</v>
      </c>
      <c r="I466" s="2" t="s">
        <v>17</v>
      </c>
      <c r="J466">
        <v>0.68</v>
      </c>
      <c r="K466" s="4">
        <v>43363</v>
      </c>
    </row>
    <row r="467" spans="1:11" x14ac:dyDescent="0.3">
      <c r="A467" t="s">
        <v>957</v>
      </c>
      <c r="B467" s="2" t="s">
        <v>958</v>
      </c>
      <c r="C467">
        <v>42</v>
      </c>
      <c r="D467" s="2" t="s">
        <v>21</v>
      </c>
      <c r="E467" s="2" t="s">
        <v>14</v>
      </c>
      <c r="F467" s="2" t="s">
        <v>37</v>
      </c>
      <c r="G467" s="2" t="s">
        <v>27</v>
      </c>
      <c r="H467" s="2" t="s">
        <v>17</v>
      </c>
      <c r="I467" s="2" t="s">
        <v>17</v>
      </c>
      <c r="J467">
        <v>0.76</v>
      </c>
      <c r="K467" s="4">
        <v>44607</v>
      </c>
    </row>
    <row r="468" spans="1:11" x14ac:dyDescent="0.3">
      <c r="A468" t="s">
        <v>959</v>
      </c>
      <c r="B468" s="2" t="s">
        <v>960</v>
      </c>
      <c r="C468">
        <v>30</v>
      </c>
      <c r="D468" s="2" t="s">
        <v>21</v>
      </c>
      <c r="E468" s="2" t="s">
        <v>14</v>
      </c>
      <c r="F468" s="2" t="s">
        <v>23</v>
      </c>
      <c r="G468" s="2" t="s">
        <v>81</v>
      </c>
      <c r="H468" s="2" t="s">
        <v>17</v>
      </c>
      <c r="I468" s="2" t="s">
        <v>17</v>
      </c>
      <c r="J468">
        <v>0.38</v>
      </c>
      <c r="K468" s="4">
        <v>44753</v>
      </c>
    </row>
    <row r="469" spans="1:11" x14ac:dyDescent="0.3">
      <c r="A469" t="s">
        <v>961</v>
      </c>
      <c r="B469" s="2" t="s">
        <v>962</v>
      </c>
      <c r="C469">
        <v>51</v>
      </c>
      <c r="D469" s="2" t="s">
        <v>21</v>
      </c>
      <c r="E469" s="2" t="s">
        <v>14</v>
      </c>
      <c r="F469" s="2" t="s">
        <v>15</v>
      </c>
      <c r="G469" s="2" t="s">
        <v>27</v>
      </c>
      <c r="H469" s="2" t="s">
        <v>17</v>
      </c>
      <c r="I469" s="2" t="s">
        <v>17</v>
      </c>
      <c r="J469">
        <v>0.83</v>
      </c>
      <c r="K469" s="4">
        <v>44146</v>
      </c>
    </row>
    <row r="470" spans="1:11" x14ac:dyDescent="0.3">
      <c r="A470" t="s">
        <v>963</v>
      </c>
      <c r="B470" s="2" t="s">
        <v>964</v>
      </c>
      <c r="C470">
        <v>19</v>
      </c>
      <c r="D470" s="2" t="s">
        <v>13</v>
      </c>
      <c r="E470" s="2" t="s">
        <v>30</v>
      </c>
      <c r="F470" s="2" t="s">
        <v>37</v>
      </c>
      <c r="G470" s="2" t="s">
        <v>27</v>
      </c>
      <c r="H470" s="2" t="s">
        <v>18</v>
      </c>
      <c r="I470" s="2" t="s">
        <v>18</v>
      </c>
      <c r="J470">
        <v>0.55000000000000004</v>
      </c>
      <c r="K470" s="4">
        <v>44214</v>
      </c>
    </row>
    <row r="471" spans="1:11" x14ac:dyDescent="0.3">
      <c r="A471" t="s">
        <v>965</v>
      </c>
      <c r="B471" s="2" t="s">
        <v>966</v>
      </c>
      <c r="C471">
        <v>58</v>
      </c>
      <c r="D471" s="2" t="s">
        <v>13</v>
      </c>
      <c r="E471" s="2" t="s">
        <v>30</v>
      </c>
      <c r="F471" s="2" t="s">
        <v>37</v>
      </c>
      <c r="G471" s="2" t="s">
        <v>16</v>
      </c>
      <c r="H471" s="2" t="s">
        <v>18</v>
      </c>
      <c r="I471" s="2" t="s">
        <v>18</v>
      </c>
      <c r="J471">
        <v>0.28999999999999998</v>
      </c>
      <c r="K471" s="4">
        <v>44077</v>
      </c>
    </row>
    <row r="472" spans="1:11" x14ac:dyDescent="0.3">
      <c r="A472" t="s">
        <v>967</v>
      </c>
      <c r="B472" s="2" t="s">
        <v>968</v>
      </c>
      <c r="C472">
        <v>69</v>
      </c>
      <c r="D472" s="2" t="s">
        <v>21</v>
      </c>
      <c r="E472" s="2" t="s">
        <v>22</v>
      </c>
      <c r="F472" s="2" t="s">
        <v>37</v>
      </c>
      <c r="G472" s="2" t="s">
        <v>32</v>
      </c>
      <c r="H472" s="2" t="s">
        <v>17</v>
      </c>
      <c r="I472" s="2" t="s">
        <v>18</v>
      </c>
      <c r="J472">
        <v>0.95</v>
      </c>
      <c r="K472" s="4">
        <v>44196</v>
      </c>
    </row>
    <row r="473" spans="1:11" x14ac:dyDescent="0.3">
      <c r="A473" t="s">
        <v>969</v>
      </c>
      <c r="B473" s="2" t="s">
        <v>970</v>
      </c>
      <c r="C473">
        <v>41</v>
      </c>
      <c r="D473" s="2" t="s">
        <v>21</v>
      </c>
      <c r="E473" s="2" t="s">
        <v>22</v>
      </c>
      <c r="F473" s="2" t="s">
        <v>15</v>
      </c>
      <c r="G473" s="2" t="s">
        <v>81</v>
      </c>
      <c r="H473" s="2" t="s">
        <v>18</v>
      </c>
      <c r="I473" s="2" t="s">
        <v>17</v>
      </c>
      <c r="J473">
        <v>0.34</v>
      </c>
      <c r="K473" s="4">
        <v>43571</v>
      </c>
    </row>
    <row r="474" spans="1:11" x14ac:dyDescent="0.3">
      <c r="A474" t="s">
        <v>971</v>
      </c>
      <c r="B474" s="2" t="s">
        <v>972</v>
      </c>
      <c r="C474">
        <v>29</v>
      </c>
      <c r="D474" s="2" t="s">
        <v>21</v>
      </c>
      <c r="E474" s="2" t="s">
        <v>22</v>
      </c>
      <c r="F474" s="2" t="s">
        <v>15</v>
      </c>
      <c r="G474" s="2" t="s">
        <v>16</v>
      </c>
      <c r="H474" s="2" t="s">
        <v>18</v>
      </c>
      <c r="I474" s="2" t="s">
        <v>17</v>
      </c>
      <c r="J474">
        <v>1</v>
      </c>
      <c r="K474" s="4">
        <v>43899</v>
      </c>
    </row>
    <row r="475" spans="1:11" x14ac:dyDescent="0.3">
      <c r="A475" t="s">
        <v>973</v>
      </c>
      <c r="B475" s="2" t="s">
        <v>974</v>
      </c>
      <c r="C475">
        <v>38</v>
      </c>
      <c r="D475" s="2" t="s">
        <v>21</v>
      </c>
      <c r="E475" s="2" t="s">
        <v>14</v>
      </c>
      <c r="F475" s="2" t="s">
        <v>23</v>
      </c>
      <c r="G475" s="2" t="s">
        <v>16</v>
      </c>
      <c r="H475" s="2" t="s">
        <v>17</v>
      </c>
      <c r="I475" s="2" t="s">
        <v>18</v>
      </c>
      <c r="J475">
        <v>0.78</v>
      </c>
      <c r="K475" s="4">
        <v>43183</v>
      </c>
    </row>
    <row r="476" spans="1:11" x14ac:dyDescent="0.3">
      <c r="A476" t="s">
        <v>975</v>
      </c>
      <c r="B476" s="2" t="s">
        <v>976</v>
      </c>
      <c r="C476">
        <v>40</v>
      </c>
      <c r="D476" s="2" t="s">
        <v>21</v>
      </c>
      <c r="E476" s="2" t="s">
        <v>14</v>
      </c>
      <c r="F476" s="2" t="s">
        <v>31</v>
      </c>
      <c r="G476" s="2" t="s">
        <v>27</v>
      </c>
      <c r="H476" s="2" t="s">
        <v>17</v>
      </c>
      <c r="I476" s="2" t="s">
        <v>17</v>
      </c>
      <c r="J476">
        <v>0.73</v>
      </c>
      <c r="K476" s="4">
        <v>45125</v>
      </c>
    </row>
    <row r="477" spans="1:11" x14ac:dyDescent="0.3">
      <c r="A477" t="s">
        <v>977</v>
      </c>
      <c r="B477" s="2" t="s">
        <v>978</v>
      </c>
      <c r="C477">
        <v>45</v>
      </c>
      <c r="D477" s="2" t="s">
        <v>21</v>
      </c>
      <c r="E477" s="2" t="s">
        <v>30</v>
      </c>
      <c r="F477" s="2" t="s">
        <v>31</v>
      </c>
      <c r="G477" s="2" t="s">
        <v>16</v>
      </c>
      <c r="H477" s="2" t="s">
        <v>18</v>
      </c>
      <c r="I477" s="2" t="s">
        <v>17</v>
      </c>
      <c r="J477">
        <v>0.23</v>
      </c>
      <c r="K477" s="4">
        <v>43553</v>
      </c>
    </row>
    <row r="478" spans="1:11" x14ac:dyDescent="0.3">
      <c r="A478" t="s">
        <v>979</v>
      </c>
      <c r="B478" s="2" t="s">
        <v>980</v>
      </c>
      <c r="C478">
        <v>25</v>
      </c>
      <c r="D478" s="2" t="s">
        <v>13</v>
      </c>
      <c r="E478" s="2" t="s">
        <v>30</v>
      </c>
      <c r="F478" s="2" t="s">
        <v>15</v>
      </c>
      <c r="G478" s="2" t="s">
        <v>27</v>
      </c>
      <c r="H478" s="2" t="s">
        <v>17</v>
      </c>
      <c r="I478" s="2" t="s">
        <v>17</v>
      </c>
      <c r="J478">
        <v>0.36</v>
      </c>
      <c r="K478" s="4">
        <v>43973</v>
      </c>
    </row>
    <row r="479" spans="1:11" x14ac:dyDescent="0.3">
      <c r="A479" t="s">
        <v>981</v>
      </c>
      <c r="B479" s="2" t="s">
        <v>982</v>
      </c>
      <c r="C479">
        <v>66</v>
      </c>
      <c r="D479" s="2" t="s">
        <v>13</v>
      </c>
      <c r="E479" s="2" t="s">
        <v>22</v>
      </c>
      <c r="F479" s="2" t="s">
        <v>37</v>
      </c>
      <c r="G479" s="2" t="s">
        <v>32</v>
      </c>
      <c r="H479" s="2" t="s">
        <v>18</v>
      </c>
      <c r="I479" s="2" t="s">
        <v>17</v>
      </c>
      <c r="J479">
        <v>0.48</v>
      </c>
      <c r="K479" s="4">
        <v>44768</v>
      </c>
    </row>
    <row r="480" spans="1:11" x14ac:dyDescent="0.3">
      <c r="A480" t="s">
        <v>983</v>
      </c>
      <c r="B480" s="2" t="s">
        <v>984</v>
      </c>
      <c r="C480">
        <v>38</v>
      </c>
      <c r="D480" s="2" t="s">
        <v>21</v>
      </c>
      <c r="E480" s="2" t="s">
        <v>30</v>
      </c>
      <c r="F480" s="2" t="s">
        <v>31</v>
      </c>
      <c r="G480" s="2" t="s">
        <v>32</v>
      </c>
      <c r="H480" s="2" t="s">
        <v>17</v>
      </c>
      <c r="I480" s="2" t="s">
        <v>18</v>
      </c>
      <c r="J480">
        <v>0.43</v>
      </c>
      <c r="K480" s="4">
        <v>43690</v>
      </c>
    </row>
    <row r="481" spans="1:11" x14ac:dyDescent="0.3">
      <c r="A481" t="s">
        <v>985</v>
      </c>
      <c r="B481" s="2" t="s">
        <v>986</v>
      </c>
      <c r="C481">
        <v>27</v>
      </c>
      <c r="D481" s="2" t="s">
        <v>21</v>
      </c>
      <c r="E481" s="2" t="s">
        <v>22</v>
      </c>
      <c r="F481" s="2" t="s">
        <v>37</v>
      </c>
      <c r="G481" s="2" t="s">
        <v>16</v>
      </c>
      <c r="H481" s="2" t="s">
        <v>17</v>
      </c>
      <c r="I481" s="2" t="s">
        <v>17</v>
      </c>
      <c r="J481">
        <v>0.55000000000000004</v>
      </c>
      <c r="K481" s="4">
        <v>43617</v>
      </c>
    </row>
    <row r="482" spans="1:11" x14ac:dyDescent="0.3">
      <c r="A482" t="s">
        <v>987</v>
      </c>
      <c r="B482" s="2" t="s">
        <v>988</v>
      </c>
      <c r="C482">
        <v>35</v>
      </c>
      <c r="D482" s="2" t="s">
        <v>21</v>
      </c>
      <c r="E482" s="2" t="s">
        <v>30</v>
      </c>
      <c r="F482" s="2" t="s">
        <v>23</v>
      </c>
      <c r="G482" s="2" t="s">
        <v>24</v>
      </c>
      <c r="H482" s="2" t="s">
        <v>17</v>
      </c>
      <c r="I482" s="2" t="s">
        <v>17</v>
      </c>
      <c r="J482">
        <v>0.6</v>
      </c>
      <c r="K482" s="4">
        <v>45199</v>
      </c>
    </row>
    <row r="483" spans="1:11" x14ac:dyDescent="0.3">
      <c r="A483" t="s">
        <v>989</v>
      </c>
      <c r="B483" s="2" t="s">
        <v>990</v>
      </c>
      <c r="C483">
        <v>63</v>
      </c>
      <c r="D483" s="2" t="s">
        <v>21</v>
      </c>
      <c r="E483" s="2" t="s">
        <v>14</v>
      </c>
      <c r="F483" s="2" t="s">
        <v>31</v>
      </c>
      <c r="G483" s="2" t="s">
        <v>24</v>
      </c>
      <c r="H483" s="2" t="s">
        <v>18</v>
      </c>
      <c r="I483" s="2" t="s">
        <v>17</v>
      </c>
      <c r="J483">
        <v>0.36</v>
      </c>
      <c r="K483" s="4">
        <v>44028</v>
      </c>
    </row>
    <row r="484" spans="1:11" x14ac:dyDescent="0.3">
      <c r="A484" t="s">
        <v>991</v>
      </c>
      <c r="B484" s="2" t="s">
        <v>992</v>
      </c>
      <c r="C484">
        <v>67</v>
      </c>
      <c r="D484" s="2" t="s">
        <v>13</v>
      </c>
      <c r="E484" s="2" t="s">
        <v>14</v>
      </c>
      <c r="F484" s="2" t="s">
        <v>31</v>
      </c>
      <c r="G484" s="2" t="s">
        <v>66</v>
      </c>
      <c r="H484" s="2" t="s">
        <v>18</v>
      </c>
      <c r="I484" s="2" t="s">
        <v>17</v>
      </c>
      <c r="J484">
        <v>0.6</v>
      </c>
      <c r="K484" s="4">
        <v>44673</v>
      </c>
    </row>
    <row r="485" spans="1:11" x14ac:dyDescent="0.3">
      <c r="A485" t="s">
        <v>993</v>
      </c>
      <c r="B485" s="2" t="s">
        <v>994</v>
      </c>
      <c r="C485">
        <v>23</v>
      </c>
      <c r="D485" s="2" t="s">
        <v>21</v>
      </c>
      <c r="E485" s="2" t="s">
        <v>30</v>
      </c>
      <c r="F485" s="2" t="s">
        <v>15</v>
      </c>
      <c r="G485" s="2" t="s">
        <v>24</v>
      </c>
      <c r="H485" s="2" t="s">
        <v>17</v>
      </c>
      <c r="I485" s="2" t="s">
        <v>18</v>
      </c>
      <c r="J485">
        <v>0.42</v>
      </c>
      <c r="K485" s="4">
        <v>44429</v>
      </c>
    </row>
    <row r="486" spans="1:11" x14ac:dyDescent="0.3">
      <c r="A486" t="s">
        <v>995</v>
      </c>
      <c r="B486" s="2" t="s">
        <v>996</v>
      </c>
      <c r="C486">
        <v>36</v>
      </c>
      <c r="D486" s="2" t="s">
        <v>13</v>
      </c>
      <c r="E486" s="2" t="s">
        <v>22</v>
      </c>
      <c r="F486" s="2" t="s">
        <v>31</v>
      </c>
      <c r="G486" s="2" t="s">
        <v>24</v>
      </c>
      <c r="H486" s="2" t="s">
        <v>18</v>
      </c>
      <c r="I486" s="2" t="s">
        <v>18</v>
      </c>
      <c r="J486">
        <v>0.5</v>
      </c>
      <c r="K486" s="4">
        <v>44788</v>
      </c>
    </row>
    <row r="487" spans="1:11" x14ac:dyDescent="0.3">
      <c r="A487" t="s">
        <v>997</v>
      </c>
      <c r="B487" s="2" t="s">
        <v>998</v>
      </c>
      <c r="C487">
        <v>26</v>
      </c>
      <c r="D487" s="2" t="s">
        <v>21</v>
      </c>
      <c r="E487" s="2" t="s">
        <v>14</v>
      </c>
      <c r="F487" s="2" t="s">
        <v>37</v>
      </c>
      <c r="G487" s="2" t="s">
        <v>32</v>
      </c>
      <c r="H487" s="2" t="s">
        <v>18</v>
      </c>
      <c r="I487" s="2" t="s">
        <v>17</v>
      </c>
      <c r="J487">
        <v>0.75</v>
      </c>
      <c r="K487" s="4">
        <v>43401</v>
      </c>
    </row>
    <row r="488" spans="1:11" x14ac:dyDescent="0.3">
      <c r="A488" t="s">
        <v>999</v>
      </c>
      <c r="B488" s="2" t="s">
        <v>1000</v>
      </c>
      <c r="C488">
        <v>65</v>
      </c>
      <c r="D488" s="2" t="s">
        <v>21</v>
      </c>
      <c r="E488" s="2" t="s">
        <v>22</v>
      </c>
      <c r="F488" s="2" t="s">
        <v>23</v>
      </c>
      <c r="G488" s="2" t="s">
        <v>24</v>
      </c>
      <c r="H488" s="2" t="s">
        <v>18</v>
      </c>
      <c r="I488" s="2" t="s">
        <v>18</v>
      </c>
      <c r="J488">
        <v>0.39</v>
      </c>
      <c r="K488" s="4">
        <v>45228</v>
      </c>
    </row>
    <row r="489" spans="1:11" x14ac:dyDescent="0.3">
      <c r="A489" t="s">
        <v>1001</v>
      </c>
      <c r="B489" s="2" t="s">
        <v>1002</v>
      </c>
      <c r="C489">
        <v>42</v>
      </c>
      <c r="D489" s="2" t="s">
        <v>13</v>
      </c>
      <c r="E489" s="2" t="s">
        <v>30</v>
      </c>
      <c r="F489" s="2" t="s">
        <v>15</v>
      </c>
      <c r="G489" s="2" t="s">
        <v>32</v>
      </c>
      <c r="H489" s="2" t="s">
        <v>18</v>
      </c>
      <c r="I489" s="2" t="s">
        <v>18</v>
      </c>
      <c r="J489">
        <v>0.57999999999999996</v>
      </c>
      <c r="K489" s="4">
        <v>44016</v>
      </c>
    </row>
    <row r="490" spans="1:11" x14ac:dyDescent="0.3">
      <c r="A490" t="s">
        <v>1003</v>
      </c>
      <c r="B490" s="2" t="s">
        <v>1004</v>
      </c>
      <c r="C490">
        <v>21</v>
      </c>
      <c r="D490" s="2" t="s">
        <v>21</v>
      </c>
      <c r="E490" s="2" t="s">
        <v>30</v>
      </c>
      <c r="F490" s="2" t="s">
        <v>15</v>
      </c>
      <c r="G490" s="2" t="s">
        <v>24</v>
      </c>
      <c r="H490" s="2" t="s">
        <v>17</v>
      </c>
      <c r="I490" s="2" t="s">
        <v>17</v>
      </c>
      <c r="J490">
        <v>0.32</v>
      </c>
      <c r="K490" s="4">
        <v>44625</v>
      </c>
    </row>
    <row r="491" spans="1:11" x14ac:dyDescent="0.3">
      <c r="A491" t="s">
        <v>1005</v>
      </c>
      <c r="B491" s="2" t="s">
        <v>1006</v>
      </c>
      <c r="C491">
        <v>37</v>
      </c>
      <c r="D491" s="2" t="s">
        <v>13</v>
      </c>
      <c r="E491" s="2" t="s">
        <v>22</v>
      </c>
      <c r="F491" s="2" t="s">
        <v>37</v>
      </c>
      <c r="G491" s="2" t="s">
        <v>66</v>
      </c>
      <c r="H491" s="2" t="s">
        <v>17</v>
      </c>
      <c r="I491" s="2" t="s">
        <v>17</v>
      </c>
      <c r="J491">
        <v>0.51</v>
      </c>
      <c r="K491" s="4">
        <v>43135</v>
      </c>
    </row>
    <row r="492" spans="1:11" x14ac:dyDescent="0.3">
      <c r="A492" t="s">
        <v>1007</v>
      </c>
      <c r="B492" s="2" t="s">
        <v>1008</v>
      </c>
      <c r="C492">
        <v>22</v>
      </c>
      <c r="D492" s="2" t="s">
        <v>21</v>
      </c>
      <c r="E492" s="2" t="s">
        <v>14</v>
      </c>
      <c r="F492" s="2" t="s">
        <v>37</v>
      </c>
      <c r="G492" s="2" t="s">
        <v>27</v>
      </c>
      <c r="H492" s="2" t="s">
        <v>17</v>
      </c>
      <c r="I492" s="2" t="s">
        <v>17</v>
      </c>
      <c r="J492">
        <v>0.69</v>
      </c>
      <c r="K492" s="4">
        <v>44194</v>
      </c>
    </row>
    <row r="493" spans="1:11" x14ac:dyDescent="0.3">
      <c r="A493" t="s">
        <v>1009</v>
      </c>
      <c r="B493" s="2" t="s">
        <v>1010</v>
      </c>
      <c r="C493">
        <v>58</v>
      </c>
      <c r="D493" s="2" t="s">
        <v>21</v>
      </c>
      <c r="E493" s="2" t="s">
        <v>14</v>
      </c>
      <c r="F493" s="2" t="s">
        <v>31</v>
      </c>
      <c r="G493" s="2" t="s">
        <v>32</v>
      </c>
      <c r="H493" s="2" t="s">
        <v>17</v>
      </c>
      <c r="I493" s="2" t="s">
        <v>17</v>
      </c>
      <c r="J493">
        <v>0.72</v>
      </c>
      <c r="K493" s="4">
        <v>43810</v>
      </c>
    </row>
    <row r="494" spans="1:11" x14ac:dyDescent="0.3">
      <c r="A494" t="s">
        <v>1011</v>
      </c>
      <c r="B494" s="2" t="s">
        <v>1012</v>
      </c>
      <c r="C494">
        <v>32</v>
      </c>
      <c r="D494" s="2" t="s">
        <v>21</v>
      </c>
      <c r="E494" s="2" t="s">
        <v>22</v>
      </c>
      <c r="F494" s="2" t="s">
        <v>15</v>
      </c>
      <c r="G494" s="2" t="s">
        <v>81</v>
      </c>
      <c r="H494" s="2" t="s">
        <v>18</v>
      </c>
      <c r="I494" s="2" t="s">
        <v>17</v>
      </c>
      <c r="J494">
        <v>0.35</v>
      </c>
      <c r="K494" s="4">
        <v>44110</v>
      </c>
    </row>
    <row r="495" spans="1:11" x14ac:dyDescent="0.3">
      <c r="A495" t="s">
        <v>1013</v>
      </c>
      <c r="B495" s="2" t="s">
        <v>1014</v>
      </c>
      <c r="C495">
        <v>58</v>
      </c>
      <c r="D495" s="2" t="s">
        <v>21</v>
      </c>
      <c r="E495" s="2" t="s">
        <v>30</v>
      </c>
      <c r="F495" s="2" t="s">
        <v>23</v>
      </c>
      <c r="G495" s="2" t="s">
        <v>27</v>
      </c>
      <c r="H495" s="2" t="s">
        <v>17</v>
      </c>
      <c r="I495" s="2" t="s">
        <v>18</v>
      </c>
      <c r="J495">
        <v>0.81</v>
      </c>
      <c r="K495" s="4">
        <v>44472</v>
      </c>
    </row>
    <row r="496" spans="1:11" x14ac:dyDescent="0.3">
      <c r="A496" t="s">
        <v>1015</v>
      </c>
      <c r="B496" s="2" t="s">
        <v>1016</v>
      </c>
      <c r="C496">
        <v>25</v>
      </c>
      <c r="D496" s="2" t="s">
        <v>21</v>
      </c>
      <c r="E496" s="2" t="s">
        <v>14</v>
      </c>
      <c r="F496" s="2" t="s">
        <v>37</v>
      </c>
      <c r="G496" s="2" t="s">
        <v>27</v>
      </c>
      <c r="H496" s="2" t="s">
        <v>17</v>
      </c>
      <c r="I496" s="2" t="s">
        <v>17</v>
      </c>
      <c r="J496">
        <v>0.37</v>
      </c>
      <c r="K496" s="4">
        <v>44588</v>
      </c>
    </row>
    <row r="497" spans="1:11" x14ac:dyDescent="0.3">
      <c r="A497" t="s">
        <v>1017</v>
      </c>
      <c r="B497" s="2" t="s">
        <v>1018</v>
      </c>
      <c r="C497">
        <v>48</v>
      </c>
      <c r="D497" s="2" t="s">
        <v>13</v>
      </c>
      <c r="E497" s="2" t="s">
        <v>22</v>
      </c>
      <c r="F497" s="2" t="s">
        <v>23</v>
      </c>
      <c r="G497" s="2" t="s">
        <v>81</v>
      </c>
      <c r="H497" s="2" t="s">
        <v>17</v>
      </c>
      <c r="I497" s="2" t="s">
        <v>17</v>
      </c>
      <c r="J497">
        <v>0.65</v>
      </c>
      <c r="K497" s="4">
        <v>43754</v>
      </c>
    </row>
    <row r="498" spans="1:11" x14ac:dyDescent="0.3">
      <c r="A498" t="s">
        <v>1019</v>
      </c>
      <c r="B498" s="2" t="s">
        <v>1020</v>
      </c>
      <c r="C498">
        <v>46</v>
      </c>
      <c r="D498" s="2" t="s">
        <v>13</v>
      </c>
      <c r="E498" s="2" t="s">
        <v>14</v>
      </c>
      <c r="F498" s="2" t="s">
        <v>37</v>
      </c>
      <c r="G498" s="2" t="s">
        <v>16</v>
      </c>
      <c r="H498" s="2" t="s">
        <v>18</v>
      </c>
      <c r="I498" s="2" t="s">
        <v>17</v>
      </c>
      <c r="J498">
        <v>0.14000000000000001</v>
      </c>
      <c r="K498" s="4">
        <v>44236</v>
      </c>
    </row>
    <row r="499" spans="1:11" x14ac:dyDescent="0.3">
      <c r="A499" t="s">
        <v>1021</v>
      </c>
      <c r="B499" s="2" t="s">
        <v>1022</v>
      </c>
      <c r="C499">
        <v>58</v>
      </c>
      <c r="D499" s="2" t="s">
        <v>21</v>
      </c>
      <c r="E499" s="2" t="s">
        <v>22</v>
      </c>
      <c r="F499" s="2" t="s">
        <v>23</v>
      </c>
      <c r="G499" s="2" t="s">
        <v>32</v>
      </c>
      <c r="H499" s="2" t="s">
        <v>17</v>
      </c>
      <c r="I499" s="2" t="s">
        <v>18</v>
      </c>
      <c r="J499">
        <v>0.68</v>
      </c>
      <c r="K499" s="4">
        <v>45097</v>
      </c>
    </row>
    <row r="500" spans="1:11" x14ac:dyDescent="0.3">
      <c r="A500" t="s">
        <v>1023</v>
      </c>
      <c r="B500" s="2" t="s">
        <v>1024</v>
      </c>
      <c r="C500">
        <v>58</v>
      </c>
      <c r="D500" s="2" t="s">
        <v>13</v>
      </c>
      <c r="E500" s="2" t="s">
        <v>30</v>
      </c>
      <c r="F500" s="2" t="s">
        <v>23</v>
      </c>
      <c r="G500" s="2" t="s">
        <v>81</v>
      </c>
      <c r="H500" s="2" t="s">
        <v>18</v>
      </c>
      <c r="I500" s="2" t="s">
        <v>17</v>
      </c>
      <c r="J500">
        <v>0.53</v>
      </c>
      <c r="K500" s="4">
        <v>43166</v>
      </c>
    </row>
    <row r="501" spans="1:11" x14ac:dyDescent="0.3">
      <c r="A501" t="s">
        <v>1025</v>
      </c>
      <c r="B501" s="2" t="s">
        <v>1026</v>
      </c>
      <c r="C501">
        <v>60</v>
      </c>
      <c r="D501" s="2" t="s">
        <v>13</v>
      </c>
      <c r="E501" s="2" t="s">
        <v>22</v>
      </c>
      <c r="F501" s="2" t="s">
        <v>23</v>
      </c>
      <c r="G501" s="2" t="s">
        <v>24</v>
      </c>
      <c r="H501" s="2" t="s">
        <v>17</v>
      </c>
      <c r="I501" s="2" t="s">
        <v>18</v>
      </c>
      <c r="J501">
        <v>0.27</v>
      </c>
      <c r="K501" s="4">
        <v>44498</v>
      </c>
    </row>
    <row r="502" spans="1:11" x14ac:dyDescent="0.3">
      <c r="A502" t="s">
        <v>1027</v>
      </c>
      <c r="B502" s="2" t="s">
        <v>1028</v>
      </c>
      <c r="C502">
        <v>44</v>
      </c>
      <c r="D502" s="2" t="s">
        <v>21</v>
      </c>
      <c r="E502" s="2" t="s">
        <v>22</v>
      </c>
      <c r="F502" s="2" t="s">
        <v>23</v>
      </c>
      <c r="G502" s="2" t="s">
        <v>66</v>
      </c>
      <c r="H502" s="2" t="s">
        <v>18</v>
      </c>
      <c r="I502" s="2" t="s">
        <v>18</v>
      </c>
      <c r="J502">
        <v>0.18</v>
      </c>
      <c r="K502" s="4">
        <v>44067</v>
      </c>
    </row>
    <row r="503" spans="1:11" x14ac:dyDescent="0.3">
      <c r="A503" t="s">
        <v>1029</v>
      </c>
      <c r="B503" s="2" t="s">
        <v>1030</v>
      </c>
      <c r="C503">
        <v>23</v>
      </c>
      <c r="D503" s="2" t="s">
        <v>13</v>
      </c>
      <c r="E503" s="2" t="s">
        <v>14</v>
      </c>
      <c r="F503" s="2" t="s">
        <v>15</v>
      </c>
      <c r="G503" s="2" t="s">
        <v>66</v>
      </c>
      <c r="H503" s="2" t="s">
        <v>17</v>
      </c>
      <c r="I503" s="2" t="s">
        <v>17</v>
      </c>
      <c r="J503">
        <v>0.13</v>
      </c>
      <c r="K503" s="4">
        <v>44813</v>
      </c>
    </row>
    <row r="504" spans="1:11" x14ac:dyDescent="0.3">
      <c r="A504" t="s">
        <v>1031</v>
      </c>
      <c r="B504" s="2" t="s">
        <v>1032</v>
      </c>
      <c r="C504">
        <v>42</v>
      </c>
      <c r="D504" s="2" t="s">
        <v>21</v>
      </c>
      <c r="E504" s="2" t="s">
        <v>30</v>
      </c>
      <c r="F504" s="2" t="s">
        <v>31</v>
      </c>
      <c r="G504" s="2" t="s">
        <v>81</v>
      </c>
      <c r="H504" s="2" t="s">
        <v>18</v>
      </c>
      <c r="I504" s="2" t="s">
        <v>18</v>
      </c>
      <c r="J504">
        <v>0.2</v>
      </c>
      <c r="K504" s="4">
        <v>44521</v>
      </c>
    </row>
    <row r="505" spans="1:11" x14ac:dyDescent="0.3">
      <c r="A505" t="s">
        <v>1033</v>
      </c>
      <c r="B505" s="2" t="s">
        <v>1034</v>
      </c>
      <c r="C505">
        <v>22</v>
      </c>
      <c r="D505" s="2" t="s">
        <v>21</v>
      </c>
      <c r="E505" s="2" t="s">
        <v>22</v>
      </c>
      <c r="F505" s="2" t="s">
        <v>37</v>
      </c>
      <c r="G505" s="2" t="s">
        <v>81</v>
      </c>
      <c r="H505" s="2" t="s">
        <v>18</v>
      </c>
      <c r="I505" s="2" t="s">
        <v>18</v>
      </c>
      <c r="J505">
        <v>0.47</v>
      </c>
      <c r="K505" s="4">
        <v>44693</v>
      </c>
    </row>
    <row r="506" spans="1:11" x14ac:dyDescent="0.3">
      <c r="A506" t="s">
        <v>1035</v>
      </c>
      <c r="B506" s="2" t="s">
        <v>1036</v>
      </c>
      <c r="C506">
        <v>39</v>
      </c>
      <c r="D506" s="2" t="s">
        <v>13</v>
      </c>
      <c r="E506" s="2" t="s">
        <v>22</v>
      </c>
      <c r="F506" s="2" t="s">
        <v>31</v>
      </c>
      <c r="G506" s="2" t="s">
        <v>27</v>
      </c>
      <c r="H506" s="2" t="s">
        <v>18</v>
      </c>
      <c r="I506" s="2" t="s">
        <v>18</v>
      </c>
      <c r="J506">
        <v>0.6</v>
      </c>
      <c r="K506" s="4">
        <v>43424</v>
      </c>
    </row>
    <row r="507" spans="1:11" x14ac:dyDescent="0.3">
      <c r="A507" t="s">
        <v>1037</v>
      </c>
      <c r="B507" s="2" t="s">
        <v>1038</v>
      </c>
      <c r="C507">
        <v>21</v>
      </c>
      <c r="D507" s="2" t="s">
        <v>13</v>
      </c>
      <c r="E507" s="2" t="s">
        <v>30</v>
      </c>
      <c r="F507" s="2" t="s">
        <v>15</v>
      </c>
      <c r="G507" s="2" t="s">
        <v>24</v>
      </c>
      <c r="H507" s="2" t="s">
        <v>17</v>
      </c>
      <c r="I507" s="2" t="s">
        <v>18</v>
      </c>
      <c r="J507">
        <v>0.7</v>
      </c>
      <c r="K507" s="4">
        <v>43965</v>
      </c>
    </row>
    <row r="508" spans="1:11" x14ac:dyDescent="0.3">
      <c r="A508" t="s">
        <v>1039</v>
      </c>
      <c r="B508" s="2" t="s">
        <v>1040</v>
      </c>
      <c r="C508">
        <v>25</v>
      </c>
      <c r="D508" s="2" t="s">
        <v>13</v>
      </c>
      <c r="E508" s="2" t="s">
        <v>30</v>
      </c>
      <c r="F508" s="2" t="s">
        <v>37</v>
      </c>
      <c r="G508" s="2" t="s">
        <v>27</v>
      </c>
      <c r="H508" s="2" t="s">
        <v>17</v>
      </c>
      <c r="I508" s="2" t="s">
        <v>18</v>
      </c>
      <c r="J508">
        <v>0.42</v>
      </c>
      <c r="K508" s="4">
        <v>45154</v>
      </c>
    </row>
    <row r="509" spans="1:11" x14ac:dyDescent="0.3">
      <c r="A509" t="s">
        <v>1041</v>
      </c>
      <c r="B509" s="2" t="s">
        <v>1042</v>
      </c>
      <c r="C509">
        <v>21</v>
      </c>
      <c r="D509" s="2" t="s">
        <v>21</v>
      </c>
      <c r="E509" s="2" t="s">
        <v>30</v>
      </c>
      <c r="F509" s="2" t="s">
        <v>23</v>
      </c>
      <c r="G509" s="2" t="s">
        <v>16</v>
      </c>
      <c r="H509" s="2" t="s">
        <v>17</v>
      </c>
      <c r="I509" s="2" t="s">
        <v>17</v>
      </c>
      <c r="J509">
        <v>0.53</v>
      </c>
      <c r="K509" s="4">
        <v>43262</v>
      </c>
    </row>
    <row r="510" spans="1:11" x14ac:dyDescent="0.3">
      <c r="A510" t="s">
        <v>1043</v>
      </c>
      <c r="B510" s="2" t="s">
        <v>1044</v>
      </c>
      <c r="C510">
        <v>31</v>
      </c>
      <c r="D510" s="2" t="s">
        <v>21</v>
      </c>
      <c r="E510" s="2" t="s">
        <v>14</v>
      </c>
      <c r="F510" s="2" t="s">
        <v>37</v>
      </c>
      <c r="G510" s="2" t="s">
        <v>32</v>
      </c>
      <c r="H510" s="2" t="s">
        <v>18</v>
      </c>
      <c r="I510" s="2" t="s">
        <v>18</v>
      </c>
      <c r="J510">
        <v>0.7</v>
      </c>
      <c r="K510" s="4">
        <v>44027</v>
      </c>
    </row>
    <row r="511" spans="1:11" x14ac:dyDescent="0.3">
      <c r="A511" t="s">
        <v>1045</v>
      </c>
      <c r="B511" s="2" t="s">
        <v>1046</v>
      </c>
      <c r="C511">
        <v>30</v>
      </c>
      <c r="D511" s="2" t="s">
        <v>13</v>
      </c>
      <c r="E511" s="2" t="s">
        <v>30</v>
      </c>
      <c r="F511" s="2" t="s">
        <v>31</v>
      </c>
      <c r="G511" s="2" t="s">
        <v>24</v>
      </c>
      <c r="H511" s="2" t="s">
        <v>17</v>
      </c>
      <c r="I511" s="2" t="s">
        <v>17</v>
      </c>
      <c r="J511">
        <v>0.31</v>
      </c>
      <c r="K511" s="4">
        <v>44144</v>
      </c>
    </row>
    <row r="512" spans="1:11" x14ac:dyDescent="0.3">
      <c r="A512" t="s">
        <v>1047</v>
      </c>
      <c r="B512" s="2" t="s">
        <v>1048</v>
      </c>
      <c r="C512">
        <v>43</v>
      </c>
      <c r="D512" s="2" t="s">
        <v>13</v>
      </c>
      <c r="E512" s="2" t="s">
        <v>14</v>
      </c>
      <c r="F512" s="2" t="s">
        <v>15</v>
      </c>
      <c r="G512" s="2" t="s">
        <v>27</v>
      </c>
      <c r="H512" s="2" t="s">
        <v>18</v>
      </c>
      <c r="I512" s="2" t="s">
        <v>17</v>
      </c>
      <c r="J512">
        <v>0.41</v>
      </c>
      <c r="K512" s="4">
        <v>44588</v>
      </c>
    </row>
    <row r="513" spans="1:11" x14ac:dyDescent="0.3">
      <c r="A513" t="s">
        <v>1049</v>
      </c>
      <c r="B513" s="2" t="s">
        <v>1050</v>
      </c>
      <c r="C513">
        <v>66</v>
      </c>
      <c r="D513" s="2" t="s">
        <v>13</v>
      </c>
      <c r="E513" s="2" t="s">
        <v>22</v>
      </c>
      <c r="F513" s="2" t="s">
        <v>37</v>
      </c>
      <c r="G513" s="2" t="s">
        <v>81</v>
      </c>
      <c r="H513" s="2" t="s">
        <v>18</v>
      </c>
      <c r="I513" s="2" t="s">
        <v>18</v>
      </c>
      <c r="J513">
        <v>0.56000000000000005</v>
      </c>
      <c r="K513" s="4">
        <v>44380</v>
      </c>
    </row>
    <row r="514" spans="1:11" x14ac:dyDescent="0.3">
      <c r="A514" t="s">
        <v>1051</v>
      </c>
      <c r="B514" s="2" t="s">
        <v>1052</v>
      </c>
      <c r="C514">
        <v>39</v>
      </c>
      <c r="D514" s="2" t="s">
        <v>13</v>
      </c>
      <c r="E514" s="2" t="s">
        <v>22</v>
      </c>
      <c r="F514" s="2" t="s">
        <v>31</v>
      </c>
      <c r="G514" s="2" t="s">
        <v>24</v>
      </c>
      <c r="H514" s="2" t="s">
        <v>17</v>
      </c>
      <c r="I514" s="2" t="s">
        <v>17</v>
      </c>
      <c r="J514">
        <v>0.43</v>
      </c>
      <c r="K514" s="4">
        <v>43677</v>
      </c>
    </row>
    <row r="515" spans="1:11" x14ac:dyDescent="0.3">
      <c r="A515" t="s">
        <v>1053</v>
      </c>
      <c r="B515" s="2" t="s">
        <v>1054</v>
      </c>
      <c r="C515">
        <v>52</v>
      </c>
      <c r="D515" s="2" t="s">
        <v>21</v>
      </c>
      <c r="E515" s="2" t="s">
        <v>22</v>
      </c>
      <c r="F515" s="2" t="s">
        <v>37</v>
      </c>
      <c r="G515" s="2" t="s">
        <v>81</v>
      </c>
      <c r="H515" s="2" t="s">
        <v>18</v>
      </c>
      <c r="I515" s="2" t="s">
        <v>18</v>
      </c>
      <c r="J515">
        <v>0.61</v>
      </c>
      <c r="K515" s="4">
        <v>43163</v>
      </c>
    </row>
    <row r="516" spans="1:11" x14ac:dyDescent="0.3">
      <c r="A516" t="s">
        <v>1055</v>
      </c>
      <c r="B516" s="2" t="s">
        <v>1056</v>
      </c>
      <c r="C516">
        <v>43</v>
      </c>
      <c r="D516" s="2" t="s">
        <v>21</v>
      </c>
      <c r="E516" s="2" t="s">
        <v>22</v>
      </c>
      <c r="F516" s="2" t="s">
        <v>15</v>
      </c>
      <c r="G516" s="2" t="s">
        <v>24</v>
      </c>
      <c r="H516" s="2" t="s">
        <v>17</v>
      </c>
      <c r="I516" s="2" t="s">
        <v>18</v>
      </c>
      <c r="J516">
        <v>0.6</v>
      </c>
      <c r="K516" s="4">
        <v>43829</v>
      </c>
    </row>
    <row r="517" spans="1:11" x14ac:dyDescent="0.3">
      <c r="A517" t="s">
        <v>1057</v>
      </c>
      <c r="B517" s="2" t="s">
        <v>1058</v>
      </c>
      <c r="C517">
        <v>61</v>
      </c>
      <c r="D517" s="2" t="s">
        <v>21</v>
      </c>
      <c r="E517" s="2" t="s">
        <v>22</v>
      </c>
      <c r="F517" s="2" t="s">
        <v>15</v>
      </c>
      <c r="G517" s="2" t="s">
        <v>32</v>
      </c>
      <c r="H517" s="2" t="s">
        <v>17</v>
      </c>
      <c r="I517" s="2" t="s">
        <v>17</v>
      </c>
      <c r="J517">
        <v>0.54</v>
      </c>
      <c r="K517" s="4">
        <v>43769</v>
      </c>
    </row>
    <row r="518" spans="1:11" x14ac:dyDescent="0.3">
      <c r="A518" t="s">
        <v>1059</v>
      </c>
      <c r="B518" s="2" t="s">
        <v>1060</v>
      </c>
      <c r="C518">
        <v>20</v>
      </c>
      <c r="D518" s="2" t="s">
        <v>13</v>
      </c>
      <c r="E518" s="2" t="s">
        <v>14</v>
      </c>
      <c r="F518" s="2" t="s">
        <v>15</v>
      </c>
      <c r="G518" s="2" t="s">
        <v>81</v>
      </c>
      <c r="H518" s="2" t="s">
        <v>18</v>
      </c>
      <c r="I518" s="2" t="s">
        <v>18</v>
      </c>
      <c r="J518">
        <v>0.69</v>
      </c>
      <c r="K518" s="4">
        <v>43813</v>
      </c>
    </row>
    <row r="519" spans="1:11" x14ac:dyDescent="0.3">
      <c r="A519" t="s">
        <v>1061</v>
      </c>
      <c r="B519" s="2" t="s">
        <v>1062</v>
      </c>
      <c r="C519">
        <v>46</v>
      </c>
      <c r="D519" s="2" t="s">
        <v>21</v>
      </c>
      <c r="E519" s="2" t="s">
        <v>30</v>
      </c>
      <c r="F519" s="2" t="s">
        <v>31</v>
      </c>
      <c r="G519" s="2" t="s">
        <v>24</v>
      </c>
      <c r="H519" s="2" t="s">
        <v>18</v>
      </c>
      <c r="I519" s="2" t="s">
        <v>18</v>
      </c>
      <c r="J519">
        <v>0.57999999999999996</v>
      </c>
      <c r="K519" s="4">
        <v>44511</v>
      </c>
    </row>
    <row r="520" spans="1:11" x14ac:dyDescent="0.3">
      <c r="A520" t="s">
        <v>1063</v>
      </c>
      <c r="B520" s="2" t="s">
        <v>1064</v>
      </c>
      <c r="C520">
        <v>33</v>
      </c>
      <c r="D520" s="2" t="s">
        <v>21</v>
      </c>
      <c r="E520" s="2" t="s">
        <v>22</v>
      </c>
      <c r="F520" s="2" t="s">
        <v>15</v>
      </c>
      <c r="G520" s="2" t="s">
        <v>81</v>
      </c>
      <c r="H520" s="2" t="s">
        <v>18</v>
      </c>
      <c r="I520" s="2" t="s">
        <v>18</v>
      </c>
      <c r="J520">
        <v>0.6</v>
      </c>
      <c r="K520" s="4">
        <v>43650</v>
      </c>
    </row>
    <row r="521" spans="1:11" x14ac:dyDescent="0.3">
      <c r="A521" t="s">
        <v>1065</v>
      </c>
      <c r="B521" s="2" t="s">
        <v>1066</v>
      </c>
      <c r="C521">
        <v>65</v>
      </c>
      <c r="D521" s="2" t="s">
        <v>13</v>
      </c>
      <c r="E521" s="2" t="s">
        <v>22</v>
      </c>
      <c r="F521" s="2" t="s">
        <v>37</v>
      </c>
      <c r="G521" s="2" t="s">
        <v>24</v>
      </c>
      <c r="H521" s="2" t="s">
        <v>18</v>
      </c>
      <c r="I521" s="2" t="s">
        <v>18</v>
      </c>
      <c r="J521">
        <v>0.73</v>
      </c>
      <c r="K521" s="4">
        <v>44684</v>
      </c>
    </row>
    <row r="522" spans="1:11" x14ac:dyDescent="0.3">
      <c r="A522" t="s">
        <v>1067</v>
      </c>
      <c r="B522" s="2" t="s">
        <v>1068</v>
      </c>
      <c r="C522">
        <v>66</v>
      </c>
      <c r="D522" s="2" t="s">
        <v>21</v>
      </c>
      <c r="E522" s="2" t="s">
        <v>30</v>
      </c>
      <c r="F522" s="2" t="s">
        <v>15</v>
      </c>
      <c r="G522" s="2" t="s">
        <v>32</v>
      </c>
      <c r="H522" s="2" t="s">
        <v>17</v>
      </c>
      <c r="I522" s="2" t="s">
        <v>18</v>
      </c>
      <c r="J522">
        <v>0.41</v>
      </c>
      <c r="K522" s="4">
        <v>44237</v>
      </c>
    </row>
    <row r="523" spans="1:11" x14ac:dyDescent="0.3">
      <c r="A523" t="s">
        <v>1069</v>
      </c>
      <c r="B523" s="2" t="s">
        <v>1070</v>
      </c>
      <c r="C523">
        <v>25</v>
      </c>
      <c r="D523" s="2" t="s">
        <v>13</v>
      </c>
      <c r="E523" s="2" t="s">
        <v>22</v>
      </c>
      <c r="F523" s="2" t="s">
        <v>37</v>
      </c>
      <c r="G523" s="2" t="s">
        <v>66</v>
      </c>
      <c r="H523" s="2" t="s">
        <v>18</v>
      </c>
      <c r="I523" s="2" t="s">
        <v>18</v>
      </c>
      <c r="J523">
        <v>0.55000000000000004</v>
      </c>
      <c r="K523" s="4">
        <v>43226</v>
      </c>
    </row>
    <row r="524" spans="1:11" x14ac:dyDescent="0.3">
      <c r="A524" t="s">
        <v>1071</v>
      </c>
      <c r="B524" s="2" t="s">
        <v>1072</v>
      </c>
      <c r="C524">
        <v>38</v>
      </c>
      <c r="D524" s="2" t="s">
        <v>21</v>
      </c>
      <c r="E524" s="2" t="s">
        <v>22</v>
      </c>
      <c r="F524" s="2" t="s">
        <v>23</v>
      </c>
      <c r="G524" s="2" t="s">
        <v>16</v>
      </c>
      <c r="H524" s="2" t="s">
        <v>17</v>
      </c>
      <c r="I524" s="2" t="s">
        <v>17</v>
      </c>
      <c r="J524">
        <v>0.4</v>
      </c>
      <c r="K524" s="4">
        <v>44153</v>
      </c>
    </row>
    <row r="525" spans="1:11" x14ac:dyDescent="0.3">
      <c r="A525" t="s">
        <v>1073</v>
      </c>
      <c r="B525" s="2" t="s">
        <v>1074</v>
      </c>
      <c r="C525">
        <v>28</v>
      </c>
      <c r="D525" s="2" t="s">
        <v>21</v>
      </c>
      <c r="E525" s="2" t="s">
        <v>30</v>
      </c>
      <c r="F525" s="2" t="s">
        <v>31</v>
      </c>
      <c r="G525" s="2" t="s">
        <v>27</v>
      </c>
      <c r="H525" s="2" t="s">
        <v>18</v>
      </c>
      <c r="I525" s="2" t="s">
        <v>18</v>
      </c>
      <c r="J525">
        <v>0.69</v>
      </c>
      <c r="K525" s="4">
        <v>43352</v>
      </c>
    </row>
    <row r="526" spans="1:11" x14ac:dyDescent="0.3">
      <c r="A526" t="s">
        <v>1075</v>
      </c>
      <c r="B526" s="2" t="s">
        <v>1076</v>
      </c>
      <c r="C526">
        <v>61</v>
      </c>
      <c r="D526" s="2" t="s">
        <v>21</v>
      </c>
      <c r="E526" s="2" t="s">
        <v>22</v>
      </c>
      <c r="F526" s="2" t="s">
        <v>31</v>
      </c>
      <c r="G526" s="2" t="s">
        <v>32</v>
      </c>
      <c r="H526" s="2" t="s">
        <v>17</v>
      </c>
      <c r="I526" s="2" t="s">
        <v>18</v>
      </c>
      <c r="J526">
        <v>0.82</v>
      </c>
      <c r="K526" s="4">
        <v>43646</v>
      </c>
    </row>
    <row r="527" spans="1:11" x14ac:dyDescent="0.3">
      <c r="A527" t="s">
        <v>1077</v>
      </c>
      <c r="B527" s="2" t="s">
        <v>1078</v>
      </c>
      <c r="C527">
        <v>40</v>
      </c>
      <c r="D527" s="2" t="s">
        <v>21</v>
      </c>
      <c r="E527" s="2" t="s">
        <v>14</v>
      </c>
      <c r="F527" s="2" t="s">
        <v>31</v>
      </c>
      <c r="G527" s="2" t="s">
        <v>81</v>
      </c>
      <c r="H527" s="2" t="s">
        <v>18</v>
      </c>
      <c r="I527" s="2" t="s">
        <v>18</v>
      </c>
      <c r="J527">
        <v>0.18</v>
      </c>
      <c r="K527" s="4">
        <v>44181</v>
      </c>
    </row>
    <row r="528" spans="1:11" x14ac:dyDescent="0.3">
      <c r="A528" t="s">
        <v>1079</v>
      </c>
      <c r="B528" s="2" t="s">
        <v>1080</v>
      </c>
      <c r="C528">
        <v>54</v>
      </c>
      <c r="D528" s="2" t="s">
        <v>13</v>
      </c>
      <c r="E528" s="2" t="s">
        <v>30</v>
      </c>
      <c r="F528" s="2" t="s">
        <v>15</v>
      </c>
      <c r="G528" s="2" t="s">
        <v>16</v>
      </c>
      <c r="H528" s="2" t="s">
        <v>17</v>
      </c>
      <c r="I528" s="2" t="s">
        <v>18</v>
      </c>
      <c r="J528">
        <v>0.53</v>
      </c>
      <c r="K528" s="4">
        <v>44968</v>
      </c>
    </row>
    <row r="529" spans="1:11" x14ac:dyDescent="0.3">
      <c r="A529" t="s">
        <v>1081</v>
      </c>
      <c r="B529" s="2" t="s">
        <v>1082</v>
      </c>
      <c r="C529">
        <v>27</v>
      </c>
      <c r="D529" s="2" t="s">
        <v>13</v>
      </c>
      <c r="E529" s="2" t="s">
        <v>22</v>
      </c>
      <c r="F529" s="2" t="s">
        <v>37</v>
      </c>
      <c r="G529" s="2" t="s">
        <v>32</v>
      </c>
      <c r="H529" s="2" t="s">
        <v>18</v>
      </c>
      <c r="I529" s="2" t="s">
        <v>18</v>
      </c>
      <c r="J529">
        <v>0.5</v>
      </c>
      <c r="K529" s="4">
        <v>44255</v>
      </c>
    </row>
    <row r="530" spans="1:11" x14ac:dyDescent="0.3">
      <c r="A530" t="s">
        <v>1083</v>
      </c>
      <c r="B530" s="2" t="s">
        <v>1084</v>
      </c>
      <c r="C530">
        <v>40</v>
      </c>
      <c r="D530" s="2" t="s">
        <v>13</v>
      </c>
      <c r="E530" s="2" t="s">
        <v>22</v>
      </c>
      <c r="F530" s="2" t="s">
        <v>15</v>
      </c>
      <c r="G530" s="2" t="s">
        <v>66</v>
      </c>
      <c r="H530" s="2" t="s">
        <v>17</v>
      </c>
      <c r="I530" s="2" t="s">
        <v>17</v>
      </c>
      <c r="J530">
        <v>0.51</v>
      </c>
      <c r="K530" s="4">
        <v>43823</v>
      </c>
    </row>
    <row r="531" spans="1:11" x14ac:dyDescent="0.3">
      <c r="A531" t="s">
        <v>1085</v>
      </c>
      <c r="B531" s="2" t="s">
        <v>1086</v>
      </c>
      <c r="C531">
        <v>32</v>
      </c>
      <c r="D531" s="2" t="s">
        <v>13</v>
      </c>
      <c r="E531" s="2" t="s">
        <v>22</v>
      </c>
      <c r="F531" s="2" t="s">
        <v>37</v>
      </c>
      <c r="G531" s="2" t="s">
        <v>16</v>
      </c>
      <c r="H531" s="2" t="s">
        <v>17</v>
      </c>
      <c r="I531" s="2" t="s">
        <v>18</v>
      </c>
      <c r="J531">
        <v>0.57999999999999996</v>
      </c>
      <c r="K531" s="4">
        <v>44610</v>
      </c>
    </row>
    <row r="532" spans="1:11" x14ac:dyDescent="0.3">
      <c r="A532" t="s">
        <v>1087</v>
      </c>
      <c r="B532" s="2" t="s">
        <v>1088</v>
      </c>
      <c r="C532">
        <v>28</v>
      </c>
      <c r="D532" s="2" t="s">
        <v>21</v>
      </c>
      <c r="E532" s="2" t="s">
        <v>14</v>
      </c>
      <c r="F532" s="2" t="s">
        <v>31</v>
      </c>
      <c r="G532" s="2" t="s">
        <v>66</v>
      </c>
      <c r="H532" s="2" t="s">
        <v>18</v>
      </c>
      <c r="I532" s="2" t="s">
        <v>18</v>
      </c>
      <c r="J532">
        <v>0.55000000000000004</v>
      </c>
      <c r="K532" s="4">
        <v>44400</v>
      </c>
    </row>
    <row r="533" spans="1:11" x14ac:dyDescent="0.3">
      <c r="A533" t="s">
        <v>1089</v>
      </c>
      <c r="B533" s="2" t="s">
        <v>1090</v>
      </c>
      <c r="C533">
        <v>34</v>
      </c>
      <c r="D533" s="2" t="s">
        <v>21</v>
      </c>
      <c r="E533" s="2" t="s">
        <v>22</v>
      </c>
      <c r="F533" s="2" t="s">
        <v>15</v>
      </c>
      <c r="G533" s="2" t="s">
        <v>81</v>
      </c>
      <c r="H533" s="2" t="s">
        <v>18</v>
      </c>
      <c r="I533" s="2" t="s">
        <v>17</v>
      </c>
      <c r="J533">
        <v>0.28999999999999998</v>
      </c>
      <c r="K533" s="4">
        <v>43982</v>
      </c>
    </row>
    <row r="534" spans="1:11" x14ac:dyDescent="0.3">
      <c r="A534" t="s">
        <v>1091</v>
      </c>
      <c r="B534" s="2" t="s">
        <v>1092</v>
      </c>
      <c r="C534">
        <v>66</v>
      </c>
      <c r="D534" s="2" t="s">
        <v>13</v>
      </c>
      <c r="E534" s="2" t="s">
        <v>22</v>
      </c>
      <c r="F534" s="2" t="s">
        <v>37</v>
      </c>
      <c r="G534" s="2" t="s">
        <v>66</v>
      </c>
      <c r="H534" s="2" t="s">
        <v>18</v>
      </c>
      <c r="I534" s="2" t="s">
        <v>18</v>
      </c>
      <c r="J534">
        <v>0.46</v>
      </c>
      <c r="K534" s="4">
        <v>44251</v>
      </c>
    </row>
    <row r="535" spans="1:11" x14ac:dyDescent="0.3">
      <c r="A535" t="s">
        <v>1093</v>
      </c>
      <c r="B535" s="2" t="s">
        <v>1094</v>
      </c>
      <c r="C535">
        <v>57</v>
      </c>
      <c r="D535" s="2" t="s">
        <v>21</v>
      </c>
      <c r="E535" s="2" t="s">
        <v>14</v>
      </c>
      <c r="F535" s="2" t="s">
        <v>15</v>
      </c>
      <c r="G535" s="2" t="s">
        <v>16</v>
      </c>
      <c r="H535" s="2" t="s">
        <v>17</v>
      </c>
      <c r="I535" s="2" t="s">
        <v>18</v>
      </c>
      <c r="J535">
        <v>0.56999999999999995</v>
      </c>
      <c r="K535" s="4">
        <v>44743</v>
      </c>
    </row>
    <row r="536" spans="1:11" x14ac:dyDescent="0.3">
      <c r="A536" t="s">
        <v>1095</v>
      </c>
      <c r="B536" s="2" t="s">
        <v>1096</v>
      </c>
      <c r="C536">
        <v>25</v>
      </c>
      <c r="D536" s="2" t="s">
        <v>13</v>
      </c>
      <c r="E536" s="2" t="s">
        <v>22</v>
      </c>
      <c r="F536" s="2" t="s">
        <v>15</v>
      </c>
      <c r="G536" s="2" t="s">
        <v>24</v>
      </c>
      <c r="H536" s="2" t="s">
        <v>17</v>
      </c>
      <c r="I536" s="2" t="s">
        <v>17</v>
      </c>
      <c r="J536">
        <v>0.19</v>
      </c>
      <c r="K536" s="4">
        <v>45004</v>
      </c>
    </row>
    <row r="537" spans="1:11" x14ac:dyDescent="0.3">
      <c r="A537" t="s">
        <v>1097</v>
      </c>
      <c r="B537" s="2" t="s">
        <v>1098</v>
      </c>
      <c r="C537">
        <v>42</v>
      </c>
      <c r="D537" s="2" t="s">
        <v>13</v>
      </c>
      <c r="E537" s="2" t="s">
        <v>22</v>
      </c>
      <c r="F537" s="2" t="s">
        <v>15</v>
      </c>
      <c r="G537" s="2" t="s">
        <v>81</v>
      </c>
      <c r="H537" s="2" t="s">
        <v>18</v>
      </c>
      <c r="I537" s="2" t="s">
        <v>18</v>
      </c>
      <c r="J537">
        <v>0.56000000000000005</v>
      </c>
      <c r="K537" s="4">
        <v>43184</v>
      </c>
    </row>
    <row r="538" spans="1:11" x14ac:dyDescent="0.3">
      <c r="A538" t="s">
        <v>1099</v>
      </c>
      <c r="B538" s="2" t="s">
        <v>1100</v>
      </c>
      <c r="C538">
        <v>51</v>
      </c>
      <c r="D538" s="2" t="s">
        <v>13</v>
      </c>
      <c r="E538" s="2" t="s">
        <v>30</v>
      </c>
      <c r="F538" s="2" t="s">
        <v>23</v>
      </c>
      <c r="G538" s="2" t="s">
        <v>81</v>
      </c>
      <c r="H538" s="2" t="s">
        <v>17</v>
      </c>
      <c r="I538" s="2" t="s">
        <v>17</v>
      </c>
      <c r="J538">
        <v>0.93</v>
      </c>
      <c r="K538" s="4">
        <v>43503</v>
      </c>
    </row>
    <row r="539" spans="1:11" x14ac:dyDescent="0.3">
      <c r="A539" t="s">
        <v>1101</v>
      </c>
      <c r="B539" s="2" t="s">
        <v>1102</v>
      </c>
      <c r="C539">
        <v>56</v>
      </c>
      <c r="D539" s="2" t="s">
        <v>21</v>
      </c>
      <c r="E539" s="2" t="s">
        <v>14</v>
      </c>
      <c r="F539" s="2" t="s">
        <v>37</v>
      </c>
      <c r="G539" s="2" t="s">
        <v>32</v>
      </c>
      <c r="H539" s="2" t="s">
        <v>18</v>
      </c>
      <c r="I539" s="2" t="s">
        <v>17</v>
      </c>
      <c r="J539">
        <v>0.39</v>
      </c>
      <c r="K539" s="4">
        <v>44301</v>
      </c>
    </row>
    <row r="540" spans="1:11" x14ac:dyDescent="0.3">
      <c r="A540" t="s">
        <v>1103</v>
      </c>
      <c r="B540" s="2" t="s">
        <v>1104</v>
      </c>
      <c r="C540">
        <v>25</v>
      </c>
      <c r="D540" s="2" t="s">
        <v>13</v>
      </c>
      <c r="E540" s="2" t="s">
        <v>14</v>
      </c>
      <c r="F540" s="2" t="s">
        <v>37</v>
      </c>
      <c r="G540" s="2" t="s">
        <v>27</v>
      </c>
      <c r="H540" s="2" t="s">
        <v>17</v>
      </c>
      <c r="I540" s="2" t="s">
        <v>18</v>
      </c>
      <c r="J540">
        <v>0.64</v>
      </c>
      <c r="K540" s="4">
        <v>45004</v>
      </c>
    </row>
    <row r="541" spans="1:11" x14ac:dyDescent="0.3">
      <c r="A541" t="s">
        <v>1105</v>
      </c>
      <c r="B541" s="2" t="s">
        <v>1106</v>
      </c>
      <c r="C541">
        <v>38</v>
      </c>
      <c r="D541" s="2" t="s">
        <v>13</v>
      </c>
      <c r="E541" s="2" t="s">
        <v>14</v>
      </c>
      <c r="F541" s="2" t="s">
        <v>37</v>
      </c>
      <c r="G541" s="2" t="s">
        <v>32</v>
      </c>
      <c r="H541" s="2" t="s">
        <v>17</v>
      </c>
      <c r="I541" s="2" t="s">
        <v>17</v>
      </c>
      <c r="J541">
        <v>0.37</v>
      </c>
      <c r="K541" s="4">
        <v>44629</v>
      </c>
    </row>
    <row r="542" spans="1:11" x14ac:dyDescent="0.3">
      <c r="A542" t="s">
        <v>1107</v>
      </c>
      <c r="B542" s="2" t="s">
        <v>1108</v>
      </c>
      <c r="C542">
        <v>19</v>
      </c>
      <c r="D542" s="2" t="s">
        <v>21</v>
      </c>
      <c r="E542" s="2" t="s">
        <v>22</v>
      </c>
      <c r="F542" s="2" t="s">
        <v>15</v>
      </c>
      <c r="G542" s="2" t="s">
        <v>16</v>
      </c>
      <c r="H542" s="2" t="s">
        <v>17</v>
      </c>
      <c r="I542" s="2" t="s">
        <v>18</v>
      </c>
      <c r="J542">
        <v>0.45</v>
      </c>
      <c r="K542" s="4">
        <v>44127</v>
      </c>
    </row>
    <row r="543" spans="1:11" x14ac:dyDescent="0.3">
      <c r="A543" t="s">
        <v>1109</v>
      </c>
      <c r="B543" s="2" t="s">
        <v>1110</v>
      </c>
      <c r="C543">
        <v>50</v>
      </c>
      <c r="D543" s="2" t="s">
        <v>13</v>
      </c>
      <c r="E543" s="2" t="s">
        <v>30</v>
      </c>
      <c r="F543" s="2" t="s">
        <v>37</v>
      </c>
      <c r="G543" s="2" t="s">
        <v>81</v>
      </c>
      <c r="H543" s="2" t="s">
        <v>17</v>
      </c>
      <c r="I543" s="2" t="s">
        <v>17</v>
      </c>
      <c r="J543">
        <v>0.36</v>
      </c>
      <c r="K543" s="4">
        <v>43297</v>
      </c>
    </row>
    <row r="544" spans="1:11" x14ac:dyDescent="0.3">
      <c r="A544" t="s">
        <v>1111</v>
      </c>
      <c r="B544" s="2" t="s">
        <v>1112</v>
      </c>
      <c r="C544">
        <v>63</v>
      </c>
      <c r="D544" s="2" t="s">
        <v>21</v>
      </c>
      <c r="E544" s="2" t="s">
        <v>14</v>
      </c>
      <c r="F544" s="2" t="s">
        <v>15</v>
      </c>
      <c r="G544" s="2" t="s">
        <v>16</v>
      </c>
      <c r="H544" s="2" t="s">
        <v>18</v>
      </c>
      <c r="I544" s="2" t="s">
        <v>18</v>
      </c>
      <c r="J544">
        <v>0.6</v>
      </c>
      <c r="K544" s="4">
        <v>45189</v>
      </c>
    </row>
    <row r="545" spans="1:11" x14ac:dyDescent="0.3">
      <c r="A545" t="s">
        <v>1113</v>
      </c>
      <c r="B545" s="2" t="s">
        <v>1114</v>
      </c>
      <c r="C545">
        <v>58</v>
      </c>
      <c r="D545" s="2" t="s">
        <v>13</v>
      </c>
      <c r="E545" s="2" t="s">
        <v>22</v>
      </c>
      <c r="F545" s="2" t="s">
        <v>23</v>
      </c>
      <c r="G545" s="2" t="s">
        <v>16</v>
      </c>
      <c r="H545" s="2" t="s">
        <v>18</v>
      </c>
      <c r="I545" s="2" t="s">
        <v>18</v>
      </c>
      <c r="J545">
        <v>0.64</v>
      </c>
      <c r="K545" s="4">
        <v>44288</v>
      </c>
    </row>
    <row r="546" spans="1:11" x14ac:dyDescent="0.3">
      <c r="A546" t="s">
        <v>1115</v>
      </c>
      <c r="B546" s="2" t="s">
        <v>1116</v>
      </c>
      <c r="C546">
        <v>40</v>
      </c>
      <c r="D546" s="2" t="s">
        <v>13</v>
      </c>
      <c r="E546" s="2" t="s">
        <v>30</v>
      </c>
      <c r="F546" s="2" t="s">
        <v>15</v>
      </c>
      <c r="G546" s="2" t="s">
        <v>16</v>
      </c>
      <c r="H546" s="2" t="s">
        <v>18</v>
      </c>
      <c r="I546" s="2" t="s">
        <v>18</v>
      </c>
      <c r="J546">
        <v>0.57999999999999996</v>
      </c>
      <c r="K546" s="4">
        <v>43994</v>
      </c>
    </row>
    <row r="547" spans="1:11" x14ac:dyDescent="0.3">
      <c r="A547" t="s">
        <v>1117</v>
      </c>
      <c r="B547" s="2" t="s">
        <v>1118</v>
      </c>
      <c r="C547">
        <v>33</v>
      </c>
      <c r="D547" s="2" t="s">
        <v>13</v>
      </c>
      <c r="E547" s="2" t="s">
        <v>30</v>
      </c>
      <c r="F547" s="2" t="s">
        <v>31</v>
      </c>
      <c r="G547" s="2" t="s">
        <v>16</v>
      </c>
      <c r="H547" s="2" t="s">
        <v>17</v>
      </c>
      <c r="I547" s="2" t="s">
        <v>18</v>
      </c>
      <c r="J547">
        <v>0.43</v>
      </c>
      <c r="K547" s="4">
        <v>44585</v>
      </c>
    </row>
    <row r="548" spans="1:11" x14ac:dyDescent="0.3">
      <c r="A548" t="s">
        <v>1119</v>
      </c>
      <c r="B548" s="2" t="s">
        <v>1120</v>
      </c>
      <c r="C548">
        <v>52</v>
      </c>
      <c r="D548" s="2" t="s">
        <v>21</v>
      </c>
      <c r="E548" s="2" t="s">
        <v>22</v>
      </c>
      <c r="F548" s="2" t="s">
        <v>15</v>
      </c>
      <c r="G548" s="2" t="s">
        <v>66</v>
      </c>
      <c r="H548" s="2" t="s">
        <v>17</v>
      </c>
      <c r="I548" s="2" t="s">
        <v>17</v>
      </c>
      <c r="J548">
        <v>0.37</v>
      </c>
      <c r="K548" s="4">
        <v>43948</v>
      </c>
    </row>
    <row r="549" spans="1:11" x14ac:dyDescent="0.3">
      <c r="A549" t="s">
        <v>1121</v>
      </c>
      <c r="B549" s="2" t="s">
        <v>1122</v>
      </c>
      <c r="C549">
        <v>19</v>
      </c>
      <c r="D549" s="2" t="s">
        <v>21</v>
      </c>
      <c r="E549" s="2" t="s">
        <v>22</v>
      </c>
      <c r="F549" s="2" t="s">
        <v>15</v>
      </c>
      <c r="G549" s="2" t="s">
        <v>66</v>
      </c>
      <c r="H549" s="2" t="s">
        <v>18</v>
      </c>
      <c r="I549" s="2" t="s">
        <v>18</v>
      </c>
      <c r="J549">
        <v>0.27</v>
      </c>
      <c r="K549" s="4">
        <v>44652</v>
      </c>
    </row>
    <row r="550" spans="1:11" x14ac:dyDescent="0.3">
      <c r="A550" t="s">
        <v>1123</v>
      </c>
      <c r="B550" s="2" t="s">
        <v>1124</v>
      </c>
      <c r="C550">
        <v>45</v>
      </c>
      <c r="D550" s="2" t="s">
        <v>13</v>
      </c>
      <c r="E550" s="2" t="s">
        <v>22</v>
      </c>
      <c r="F550" s="2" t="s">
        <v>23</v>
      </c>
      <c r="G550" s="2" t="s">
        <v>81</v>
      </c>
      <c r="H550" s="2" t="s">
        <v>17</v>
      </c>
      <c r="I550" s="2" t="s">
        <v>18</v>
      </c>
      <c r="J550">
        <v>0.67</v>
      </c>
      <c r="K550" s="4">
        <v>44480</v>
      </c>
    </row>
    <row r="551" spans="1:11" x14ac:dyDescent="0.3">
      <c r="A551" t="s">
        <v>1125</v>
      </c>
      <c r="B551" s="2" t="s">
        <v>1126</v>
      </c>
      <c r="C551">
        <v>43</v>
      </c>
      <c r="D551" s="2" t="s">
        <v>21</v>
      </c>
      <c r="E551" s="2" t="s">
        <v>30</v>
      </c>
      <c r="F551" s="2" t="s">
        <v>31</v>
      </c>
      <c r="G551" s="2" t="s">
        <v>27</v>
      </c>
      <c r="H551" s="2" t="s">
        <v>18</v>
      </c>
      <c r="I551" s="2" t="s">
        <v>17</v>
      </c>
      <c r="J551">
        <v>0.62</v>
      </c>
      <c r="K551" s="4">
        <v>43923</v>
      </c>
    </row>
    <row r="552" spans="1:11" x14ac:dyDescent="0.3">
      <c r="A552" t="s">
        <v>1127</v>
      </c>
      <c r="B552" s="2" t="s">
        <v>1128</v>
      </c>
      <c r="C552">
        <v>25</v>
      </c>
      <c r="D552" s="2" t="s">
        <v>21</v>
      </c>
      <c r="E552" s="2" t="s">
        <v>14</v>
      </c>
      <c r="F552" s="2" t="s">
        <v>23</v>
      </c>
      <c r="G552" s="2" t="s">
        <v>27</v>
      </c>
      <c r="H552" s="2" t="s">
        <v>17</v>
      </c>
      <c r="I552" s="2" t="s">
        <v>18</v>
      </c>
      <c r="J552">
        <v>0.56000000000000005</v>
      </c>
      <c r="K552" s="4">
        <v>44693</v>
      </c>
    </row>
    <row r="553" spans="1:11" x14ac:dyDescent="0.3">
      <c r="A553" t="s">
        <v>1129</v>
      </c>
      <c r="B553" s="2" t="s">
        <v>1130</v>
      </c>
      <c r="C553">
        <v>29</v>
      </c>
      <c r="D553" s="2" t="s">
        <v>21</v>
      </c>
      <c r="E553" s="2" t="s">
        <v>14</v>
      </c>
      <c r="F553" s="2" t="s">
        <v>15</v>
      </c>
      <c r="G553" s="2" t="s">
        <v>81</v>
      </c>
      <c r="H553" s="2" t="s">
        <v>17</v>
      </c>
      <c r="I553" s="2" t="s">
        <v>18</v>
      </c>
      <c r="J553">
        <v>0.49</v>
      </c>
      <c r="K553" s="4">
        <v>44331</v>
      </c>
    </row>
    <row r="554" spans="1:11" x14ac:dyDescent="0.3">
      <c r="A554" t="s">
        <v>1131</v>
      </c>
      <c r="B554" s="2" t="s">
        <v>1132</v>
      </c>
      <c r="C554">
        <v>45</v>
      </c>
      <c r="D554" s="2" t="s">
        <v>13</v>
      </c>
      <c r="E554" s="2" t="s">
        <v>14</v>
      </c>
      <c r="F554" s="2" t="s">
        <v>31</v>
      </c>
      <c r="G554" s="2" t="s">
        <v>66</v>
      </c>
      <c r="H554" s="2" t="s">
        <v>17</v>
      </c>
      <c r="I554" s="2" t="s">
        <v>18</v>
      </c>
      <c r="J554">
        <v>0.44</v>
      </c>
      <c r="K554" s="4">
        <v>45052</v>
      </c>
    </row>
    <row r="555" spans="1:11" x14ac:dyDescent="0.3">
      <c r="A555" t="s">
        <v>1133</v>
      </c>
      <c r="B555" s="2" t="s">
        <v>1134</v>
      </c>
      <c r="C555">
        <v>67</v>
      </c>
      <c r="D555" s="2" t="s">
        <v>13</v>
      </c>
      <c r="E555" s="2" t="s">
        <v>22</v>
      </c>
      <c r="F555" s="2" t="s">
        <v>15</v>
      </c>
      <c r="G555" s="2" t="s">
        <v>24</v>
      </c>
      <c r="H555" s="2" t="s">
        <v>18</v>
      </c>
      <c r="I555" s="2" t="s">
        <v>17</v>
      </c>
      <c r="J555">
        <v>0.37</v>
      </c>
      <c r="K555" s="4">
        <v>43769</v>
      </c>
    </row>
    <row r="556" spans="1:11" x14ac:dyDescent="0.3">
      <c r="A556" t="s">
        <v>1135</v>
      </c>
      <c r="B556" s="2" t="s">
        <v>1136</v>
      </c>
      <c r="C556">
        <v>55</v>
      </c>
      <c r="D556" s="2" t="s">
        <v>21</v>
      </c>
      <c r="E556" s="2" t="s">
        <v>14</v>
      </c>
      <c r="F556" s="2" t="s">
        <v>31</v>
      </c>
      <c r="G556" s="2" t="s">
        <v>27</v>
      </c>
      <c r="H556" s="2" t="s">
        <v>18</v>
      </c>
      <c r="I556" s="2" t="s">
        <v>17</v>
      </c>
      <c r="J556">
        <v>0.6</v>
      </c>
      <c r="K556" s="4">
        <v>44277</v>
      </c>
    </row>
    <row r="557" spans="1:11" x14ac:dyDescent="0.3">
      <c r="A557" t="s">
        <v>1137</v>
      </c>
      <c r="B557" s="2" t="s">
        <v>1138</v>
      </c>
      <c r="C557">
        <v>49</v>
      </c>
      <c r="D557" s="2" t="s">
        <v>13</v>
      </c>
      <c r="E557" s="2" t="s">
        <v>30</v>
      </c>
      <c r="F557" s="2" t="s">
        <v>15</v>
      </c>
      <c r="G557" s="2" t="s">
        <v>16</v>
      </c>
      <c r="H557" s="2" t="s">
        <v>18</v>
      </c>
      <c r="I557" s="2" t="s">
        <v>18</v>
      </c>
      <c r="J557">
        <v>0.53</v>
      </c>
      <c r="K557" s="4">
        <v>43377</v>
      </c>
    </row>
    <row r="558" spans="1:11" x14ac:dyDescent="0.3">
      <c r="A558" t="s">
        <v>1139</v>
      </c>
      <c r="B558" s="2" t="s">
        <v>1140</v>
      </c>
      <c r="C558">
        <v>25</v>
      </c>
      <c r="D558" s="2" t="s">
        <v>21</v>
      </c>
      <c r="E558" s="2" t="s">
        <v>14</v>
      </c>
      <c r="F558" s="2" t="s">
        <v>37</v>
      </c>
      <c r="G558" s="2" t="s">
        <v>27</v>
      </c>
      <c r="H558" s="2" t="s">
        <v>17</v>
      </c>
      <c r="I558" s="2" t="s">
        <v>17</v>
      </c>
      <c r="J558">
        <v>0.42</v>
      </c>
      <c r="K558" s="4">
        <v>43449</v>
      </c>
    </row>
    <row r="559" spans="1:11" x14ac:dyDescent="0.3">
      <c r="A559" t="s">
        <v>1141</v>
      </c>
      <c r="B559" s="2" t="s">
        <v>1142</v>
      </c>
      <c r="C559">
        <v>35</v>
      </c>
      <c r="D559" s="2" t="s">
        <v>21</v>
      </c>
      <c r="E559" s="2" t="s">
        <v>30</v>
      </c>
      <c r="F559" s="2" t="s">
        <v>37</v>
      </c>
      <c r="G559" s="2" t="s">
        <v>24</v>
      </c>
      <c r="H559" s="2" t="s">
        <v>18</v>
      </c>
      <c r="I559" s="2" t="s">
        <v>18</v>
      </c>
      <c r="J559">
        <v>0.84</v>
      </c>
      <c r="K559" s="4">
        <v>44002</v>
      </c>
    </row>
    <row r="560" spans="1:11" x14ac:dyDescent="0.3">
      <c r="A560" t="s">
        <v>1143</v>
      </c>
      <c r="B560" s="2" t="s">
        <v>1144</v>
      </c>
      <c r="C560">
        <v>45</v>
      </c>
      <c r="D560" s="2" t="s">
        <v>21</v>
      </c>
      <c r="E560" s="2" t="s">
        <v>14</v>
      </c>
      <c r="F560" s="2" t="s">
        <v>23</v>
      </c>
      <c r="G560" s="2" t="s">
        <v>66</v>
      </c>
      <c r="H560" s="2" t="s">
        <v>18</v>
      </c>
      <c r="I560" s="2" t="s">
        <v>18</v>
      </c>
      <c r="J560">
        <v>0.38</v>
      </c>
      <c r="K560" s="4">
        <v>43827</v>
      </c>
    </row>
    <row r="561" spans="1:11" x14ac:dyDescent="0.3">
      <c r="A561" t="s">
        <v>1145</v>
      </c>
      <c r="B561" s="2" t="s">
        <v>1146</v>
      </c>
      <c r="C561">
        <v>34</v>
      </c>
      <c r="D561" s="2" t="s">
        <v>13</v>
      </c>
      <c r="E561" s="2" t="s">
        <v>14</v>
      </c>
      <c r="F561" s="2" t="s">
        <v>37</v>
      </c>
      <c r="G561" s="2" t="s">
        <v>32</v>
      </c>
      <c r="H561" s="2" t="s">
        <v>17</v>
      </c>
      <c r="I561" s="2" t="s">
        <v>17</v>
      </c>
      <c r="J561">
        <v>0.46</v>
      </c>
      <c r="K561" s="4">
        <v>43526</v>
      </c>
    </row>
    <row r="562" spans="1:11" x14ac:dyDescent="0.3">
      <c r="A562" t="s">
        <v>1147</v>
      </c>
      <c r="B562" s="2" t="s">
        <v>1148</v>
      </c>
      <c r="C562">
        <v>32</v>
      </c>
      <c r="D562" s="2" t="s">
        <v>13</v>
      </c>
      <c r="E562" s="2" t="s">
        <v>22</v>
      </c>
      <c r="F562" s="2" t="s">
        <v>15</v>
      </c>
      <c r="G562" s="2" t="s">
        <v>24</v>
      </c>
      <c r="H562" s="2" t="s">
        <v>17</v>
      </c>
      <c r="I562" s="2" t="s">
        <v>17</v>
      </c>
      <c r="J562">
        <v>0.67</v>
      </c>
      <c r="K562" s="4">
        <v>44537</v>
      </c>
    </row>
    <row r="563" spans="1:11" x14ac:dyDescent="0.3">
      <c r="A563" t="s">
        <v>1149</v>
      </c>
      <c r="B563" s="2" t="s">
        <v>1150</v>
      </c>
      <c r="C563">
        <v>39</v>
      </c>
      <c r="D563" s="2" t="s">
        <v>21</v>
      </c>
      <c r="E563" s="2" t="s">
        <v>30</v>
      </c>
      <c r="F563" s="2" t="s">
        <v>15</v>
      </c>
      <c r="G563" s="2" t="s">
        <v>16</v>
      </c>
      <c r="H563" s="2" t="s">
        <v>18</v>
      </c>
      <c r="I563" s="2" t="s">
        <v>18</v>
      </c>
      <c r="J563">
        <v>0</v>
      </c>
      <c r="K563" s="4">
        <v>44930</v>
      </c>
    </row>
    <row r="564" spans="1:11" x14ac:dyDescent="0.3">
      <c r="A564" t="s">
        <v>1151</v>
      </c>
      <c r="B564" s="2" t="s">
        <v>1152</v>
      </c>
      <c r="C564">
        <v>45</v>
      </c>
      <c r="D564" s="2" t="s">
        <v>21</v>
      </c>
      <c r="E564" s="2" t="s">
        <v>30</v>
      </c>
      <c r="F564" s="2" t="s">
        <v>31</v>
      </c>
      <c r="G564" s="2" t="s">
        <v>16</v>
      </c>
      <c r="H564" s="2" t="s">
        <v>17</v>
      </c>
      <c r="I564" s="2" t="s">
        <v>17</v>
      </c>
      <c r="J564">
        <v>0.28999999999999998</v>
      </c>
      <c r="K564" s="4">
        <v>44454</v>
      </c>
    </row>
    <row r="565" spans="1:11" x14ac:dyDescent="0.3">
      <c r="A565" t="s">
        <v>1153</v>
      </c>
      <c r="B565" s="2" t="s">
        <v>1154</v>
      </c>
      <c r="C565">
        <v>21</v>
      </c>
      <c r="D565" s="2" t="s">
        <v>21</v>
      </c>
      <c r="E565" s="2" t="s">
        <v>14</v>
      </c>
      <c r="F565" s="2" t="s">
        <v>31</v>
      </c>
      <c r="G565" s="2" t="s">
        <v>16</v>
      </c>
      <c r="H565" s="2" t="s">
        <v>18</v>
      </c>
      <c r="I565" s="2" t="s">
        <v>18</v>
      </c>
      <c r="J565">
        <v>0.71</v>
      </c>
      <c r="K565" s="4">
        <v>44863</v>
      </c>
    </row>
    <row r="566" spans="1:11" x14ac:dyDescent="0.3">
      <c r="A566" t="s">
        <v>1155</v>
      </c>
      <c r="B566" s="2" t="s">
        <v>1156</v>
      </c>
      <c r="C566">
        <v>24</v>
      </c>
      <c r="D566" s="2" t="s">
        <v>13</v>
      </c>
      <c r="E566" s="2" t="s">
        <v>22</v>
      </c>
      <c r="F566" s="2" t="s">
        <v>23</v>
      </c>
      <c r="G566" s="2" t="s">
        <v>81</v>
      </c>
      <c r="H566" s="2" t="s">
        <v>18</v>
      </c>
      <c r="I566" s="2" t="s">
        <v>17</v>
      </c>
      <c r="J566">
        <v>0.48</v>
      </c>
      <c r="K566" s="4">
        <v>43103</v>
      </c>
    </row>
    <row r="567" spans="1:11" x14ac:dyDescent="0.3">
      <c r="A567" t="s">
        <v>1157</v>
      </c>
      <c r="B567" s="2" t="s">
        <v>1158</v>
      </c>
      <c r="C567">
        <v>29</v>
      </c>
      <c r="D567" s="2" t="s">
        <v>13</v>
      </c>
      <c r="E567" s="2" t="s">
        <v>14</v>
      </c>
      <c r="F567" s="2" t="s">
        <v>15</v>
      </c>
      <c r="G567" s="2" t="s">
        <v>24</v>
      </c>
      <c r="H567" s="2" t="s">
        <v>18</v>
      </c>
      <c r="I567" s="2" t="s">
        <v>17</v>
      </c>
      <c r="J567">
        <v>0.52</v>
      </c>
      <c r="K567" s="4">
        <v>44104</v>
      </c>
    </row>
    <row r="568" spans="1:11" x14ac:dyDescent="0.3">
      <c r="A568" t="s">
        <v>1159</v>
      </c>
      <c r="B568" s="2" t="s">
        <v>1160</v>
      </c>
      <c r="C568">
        <v>55</v>
      </c>
      <c r="D568" s="2" t="s">
        <v>21</v>
      </c>
      <c r="E568" s="2" t="s">
        <v>30</v>
      </c>
      <c r="F568" s="2" t="s">
        <v>23</v>
      </c>
      <c r="G568" s="2" t="s">
        <v>24</v>
      </c>
      <c r="H568" s="2" t="s">
        <v>18</v>
      </c>
      <c r="I568" s="2" t="s">
        <v>18</v>
      </c>
      <c r="J568">
        <v>0.5</v>
      </c>
      <c r="K568" s="4">
        <v>44287</v>
      </c>
    </row>
    <row r="569" spans="1:11" x14ac:dyDescent="0.3">
      <c r="A569" t="s">
        <v>1161</v>
      </c>
      <c r="B569" s="2" t="s">
        <v>1162</v>
      </c>
      <c r="C569">
        <v>48</v>
      </c>
      <c r="D569" s="2" t="s">
        <v>13</v>
      </c>
      <c r="E569" s="2" t="s">
        <v>30</v>
      </c>
      <c r="F569" s="2" t="s">
        <v>23</v>
      </c>
      <c r="G569" s="2" t="s">
        <v>24</v>
      </c>
      <c r="H569" s="2" t="s">
        <v>17</v>
      </c>
      <c r="I569" s="2" t="s">
        <v>18</v>
      </c>
      <c r="J569">
        <v>0.75</v>
      </c>
      <c r="K569" s="4">
        <v>44807</v>
      </c>
    </row>
    <row r="570" spans="1:11" x14ac:dyDescent="0.3">
      <c r="A570" t="s">
        <v>1163</v>
      </c>
      <c r="B570" s="2" t="s">
        <v>1164</v>
      </c>
      <c r="C570">
        <v>51</v>
      </c>
      <c r="D570" s="2" t="s">
        <v>13</v>
      </c>
      <c r="E570" s="2" t="s">
        <v>22</v>
      </c>
      <c r="F570" s="2" t="s">
        <v>15</v>
      </c>
      <c r="G570" s="2" t="s">
        <v>66</v>
      </c>
      <c r="H570" s="2" t="s">
        <v>17</v>
      </c>
      <c r="I570" s="2" t="s">
        <v>18</v>
      </c>
      <c r="J570">
        <v>0.33</v>
      </c>
      <c r="K570" s="4">
        <v>43412</v>
      </c>
    </row>
    <row r="571" spans="1:11" x14ac:dyDescent="0.3">
      <c r="A571" t="s">
        <v>1165</v>
      </c>
      <c r="B571" s="2" t="s">
        <v>1166</v>
      </c>
      <c r="C571">
        <v>25</v>
      </c>
      <c r="D571" s="2" t="s">
        <v>21</v>
      </c>
      <c r="E571" s="2" t="s">
        <v>30</v>
      </c>
      <c r="F571" s="2" t="s">
        <v>31</v>
      </c>
      <c r="G571" s="2" t="s">
        <v>16</v>
      </c>
      <c r="H571" s="2" t="s">
        <v>17</v>
      </c>
      <c r="I571" s="2" t="s">
        <v>17</v>
      </c>
      <c r="J571">
        <v>0.23</v>
      </c>
      <c r="K571" s="4">
        <v>43940</v>
      </c>
    </row>
    <row r="572" spans="1:11" x14ac:dyDescent="0.3">
      <c r="A572" t="s">
        <v>1167</v>
      </c>
      <c r="B572" s="2" t="s">
        <v>1168</v>
      </c>
      <c r="C572">
        <v>61</v>
      </c>
      <c r="D572" s="2" t="s">
        <v>21</v>
      </c>
      <c r="E572" s="2" t="s">
        <v>22</v>
      </c>
      <c r="F572" s="2" t="s">
        <v>37</v>
      </c>
      <c r="G572" s="2" t="s">
        <v>81</v>
      </c>
      <c r="H572" s="2" t="s">
        <v>17</v>
      </c>
      <c r="I572" s="2" t="s">
        <v>17</v>
      </c>
      <c r="J572">
        <v>0.4</v>
      </c>
      <c r="K572" s="4">
        <v>45173</v>
      </c>
    </row>
    <row r="573" spans="1:11" x14ac:dyDescent="0.3">
      <c r="A573" t="s">
        <v>1169</v>
      </c>
      <c r="B573" s="2" t="s">
        <v>1170</v>
      </c>
      <c r="C573">
        <v>31</v>
      </c>
      <c r="D573" s="2" t="s">
        <v>21</v>
      </c>
      <c r="E573" s="2" t="s">
        <v>30</v>
      </c>
      <c r="F573" s="2" t="s">
        <v>37</v>
      </c>
      <c r="G573" s="2" t="s">
        <v>66</v>
      </c>
      <c r="H573" s="2" t="s">
        <v>17</v>
      </c>
      <c r="I573" s="2" t="s">
        <v>18</v>
      </c>
      <c r="J573">
        <v>0.68</v>
      </c>
      <c r="K573" s="4">
        <v>44883</v>
      </c>
    </row>
    <row r="574" spans="1:11" x14ac:dyDescent="0.3">
      <c r="A574" t="s">
        <v>1171</v>
      </c>
      <c r="B574" s="2" t="s">
        <v>1172</v>
      </c>
      <c r="C574">
        <v>35</v>
      </c>
      <c r="D574" s="2" t="s">
        <v>13</v>
      </c>
      <c r="E574" s="2" t="s">
        <v>22</v>
      </c>
      <c r="F574" s="2" t="s">
        <v>37</v>
      </c>
      <c r="G574" s="2" t="s">
        <v>32</v>
      </c>
      <c r="H574" s="2" t="s">
        <v>17</v>
      </c>
      <c r="I574" s="2" t="s">
        <v>17</v>
      </c>
      <c r="J574">
        <v>0.59</v>
      </c>
      <c r="K574" s="4">
        <v>44128</v>
      </c>
    </row>
    <row r="575" spans="1:11" x14ac:dyDescent="0.3">
      <c r="A575" t="s">
        <v>1173</v>
      </c>
      <c r="B575" s="2" t="s">
        <v>1174</v>
      </c>
      <c r="C575">
        <v>25</v>
      </c>
      <c r="D575" s="2" t="s">
        <v>21</v>
      </c>
      <c r="E575" s="2" t="s">
        <v>30</v>
      </c>
      <c r="F575" s="2" t="s">
        <v>15</v>
      </c>
      <c r="G575" s="2" t="s">
        <v>24</v>
      </c>
      <c r="H575" s="2" t="s">
        <v>18</v>
      </c>
      <c r="I575" s="2" t="s">
        <v>17</v>
      </c>
      <c r="J575">
        <v>0.57999999999999996</v>
      </c>
      <c r="K575" s="4">
        <v>43747</v>
      </c>
    </row>
    <row r="576" spans="1:11" x14ac:dyDescent="0.3">
      <c r="A576" t="s">
        <v>1175</v>
      </c>
      <c r="B576" s="2" t="s">
        <v>1176</v>
      </c>
      <c r="C576">
        <v>52</v>
      </c>
      <c r="D576" s="2" t="s">
        <v>21</v>
      </c>
      <c r="E576" s="2" t="s">
        <v>30</v>
      </c>
      <c r="F576" s="2" t="s">
        <v>23</v>
      </c>
      <c r="G576" s="2" t="s">
        <v>81</v>
      </c>
      <c r="H576" s="2" t="s">
        <v>18</v>
      </c>
      <c r="I576" s="2" t="s">
        <v>17</v>
      </c>
      <c r="J576">
        <v>0.46</v>
      </c>
      <c r="K576" s="4">
        <v>44461</v>
      </c>
    </row>
    <row r="577" spans="1:11" x14ac:dyDescent="0.3">
      <c r="A577" t="s">
        <v>1177</v>
      </c>
      <c r="B577" s="2" t="s">
        <v>1178</v>
      </c>
      <c r="C577">
        <v>25</v>
      </c>
      <c r="D577" s="2" t="s">
        <v>13</v>
      </c>
      <c r="E577" s="2" t="s">
        <v>30</v>
      </c>
      <c r="F577" s="2" t="s">
        <v>23</v>
      </c>
      <c r="G577" s="2" t="s">
        <v>24</v>
      </c>
      <c r="H577" s="2" t="s">
        <v>17</v>
      </c>
      <c r="I577" s="2" t="s">
        <v>17</v>
      </c>
      <c r="J577">
        <v>0.48</v>
      </c>
      <c r="K577" s="4">
        <v>43565</v>
      </c>
    </row>
    <row r="578" spans="1:11" x14ac:dyDescent="0.3">
      <c r="A578" t="s">
        <v>1179</v>
      </c>
      <c r="B578" s="2" t="s">
        <v>1180</v>
      </c>
      <c r="C578">
        <v>52</v>
      </c>
      <c r="D578" s="2" t="s">
        <v>21</v>
      </c>
      <c r="E578" s="2" t="s">
        <v>22</v>
      </c>
      <c r="F578" s="2" t="s">
        <v>23</v>
      </c>
      <c r="G578" s="2" t="s">
        <v>81</v>
      </c>
      <c r="H578" s="2" t="s">
        <v>18</v>
      </c>
      <c r="I578" s="2" t="s">
        <v>17</v>
      </c>
      <c r="J578">
        <v>0.65</v>
      </c>
      <c r="K578" s="4">
        <v>44341</v>
      </c>
    </row>
    <row r="579" spans="1:11" x14ac:dyDescent="0.3">
      <c r="A579" t="s">
        <v>1181</v>
      </c>
      <c r="B579" s="2" t="s">
        <v>1182</v>
      </c>
      <c r="C579">
        <v>31</v>
      </c>
      <c r="D579" s="2" t="s">
        <v>13</v>
      </c>
      <c r="E579" s="2" t="s">
        <v>30</v>
      </c>
      <c r="F579" s="2" t="s">
        <v>15</v>
      </c>
      <c r="G579" s="2" t="s">
        <v>32</v>
      </c>
      <c r="H579" s="2" t="s">
        <v>17</v>
      </c>
      <c r="I579" s="2" t="s">
        <v>18</v>
      </c>
      <c r="J579">
        <v>0.53</v>
      </c>
      <c r="K579" s="4">
        <v>43652</v>
      </c>
    </row>
    <row r="580" spans="1:11" x14ac:dyDescent="0.3">
      <c r="A580" t="s">
        <v>1183</v>
      </c>
      <c r="B580" s="2" t="s">
        <v>1184</v>
      </c>
      <c r="C580">
        <v>30</v>
      </c>
      <c r="D580" s="2" t="s">
        <v>13</v>
      </c>
      <c r="E580" s="2" t="s">
        <v>14</v>
      </c>
      <c r="F580" s="2" t="s">
        <v>37</v>
      </c>
      <c r="G580" s="2" t="s">
        <v>32</v>
      </c>
      <c r="H580" s="2" t="s">
        <v>17</v>
      </c>
      <c r="I580" s="2" t="s">
        <v>17</v>
      </c>
      <c r="J580">
        <v>0.37</v>
      </c>
      <c r="K580" s="4">
        <v>44386</v>
      </c>
    </row>
    <row r="581" spans="1:11" x14ac:dyDescent="0.3">
      <c r="A581" t="s">
        <v>1185</v>
      </c>
      <c r="B581" s="2" t="s">
        <v>1186</v>
      </c>
      <c r="C581">
        <v>62</v>
      </c>
      <c r="D581" s="2" t="s">
        <v>13</v>
      </c>
      <c r="E581" s="2" t="s">
        <v>22</v>
      </c>
      <c r="F581" s="2" t="s">
        <v>15</v>
      </c>
      <c r="G581" s="2" t="s">
        <v>32</v>
      </c>
      <c r="H581" s="2" t="s">
        <v>18</v>
      </c>
      <c r="I581" s="2" t="s">
        <v>18</v>
      </c>
      <c r="J581">
        <v>0.5</v>
      </c>
      <c r="K581" s="4">
        <v>44753</v>
      </c>
    </row>
    <row r="582" spans="1:11" x14ac:dyDescent="0.3">
      <c r="A582" t="s">
        <v>1187</v>
      </c>
      <c r="B582" s="2" t="s">
        <v>1188</v>
      </c>
      <c r="C582">
        <v>45</v>
      </c>
      <c r="D582" s="2" t="s">
        <v>13</v>
      </c>
      <c r="E582" s="2" t="s">
        <v>22</v>
      </c>
      <c r="F582" s="2" t="s">
        <v>15</v>
      </c>
      <c r="G582" s="2" t="s">
        <v>81</v>
      </c>
      <c r="H582" s="2" t="s">
        <v>17</v>
      </c>
      <c r="I582" s="2" t="s">
        <v>17</v>
      </c>
      <c r="J582">
        <v>0.46</v>
      </c>
      <c r="K582" s="4">
        <v>45028</v>
      </c>
    </row>
    <row r="583" spans="1:11" x14ac:dyDescent="0.3">
      <c r="A583" t="s">
        <v>1189</v>
      </c>
      <c r="B583" s="2" t="s">
        <v>1190</v>
      </c>
      <c r="C583">
        <v>42</v>
      </c>
      <c r="D583" s="2" t="s">
        <v>13</v>
      </c>
      <c r="E583" s="2" t="s">
        <v>22</v>
      </c>
      <c r="F583" s="2" t="s">
        <v>15</v>
      </c>
      <c r="G583" s="2" t="s">
        <v>32</v>
      </c>
      <c r="H583" s="2" t="s">
        <v>17</v>
      </c>
      <c r="I583" s="2" t="s">
        <v>17</v>
      </c>
      <c r="J583">
        <v>0.43</v>
      </c>
      <c r="K583" s="4">
        <v>44114</v>
      </c>
    </row>
    <row r="584" spans="1:11" x14ac:dyDescent="0.3">
      <c r="A584" t="s">
        <v>1191</v>
      </c>
      <c r="B584" s="2" t="s">
        <v>1192</v>
      </c>
      <c r="C584">
        <v>54</v>
      </c>
      <c r="D584" s="2" t="s">
        <v>13</v>
      </c>
      <c r="E584" s="2" t="s">
        <v>22</v>
      </c>
      <c r="F584" s="2" t="s">
        <v>15</v>
      </c>
      <c r="G584" s="2" t="s">
        <v>16</v>
      </c>
      <c r="H584" s="2" t="s">
        <v>18</v>
      </c>
      <c r="I584" s="2" t="s">
        <v>18</v>
      </c>
      <c r="J584">
        <v>0.65</v>
      </c>
      <c r="K584" s="4">
        <v>44892</v>
      </c>
    </row>
    <row r="585" spans="1:11" x14ac:dyDescent="0.3">
      <c r="A585" t="s">
        <v>1193</v>
      </c>
      <c r="B585" s="2" t="s">
        <v>1194</v>
      </c>
      <c r="C585">
        <v>51</v>
      </c>
      <c r="D585" s="2" t="s">
        <v>21</v>
      </c>
      <c r="E585" s="2" t="s">
        <v>30</v>
      </c>
      <c r="F585" s="2" t="s">
        <v>23</v>
      </c>
      <c r="G585" s="2" t="s">
        <v>27</v>
      </c>
      <c r="H585" s="2" t="s">
        <v>17</v>
      </c>
      <c r="I585" s="2" t="s">
        <v>17</v>
      </c>
      <c r="J585">
        <v>0.95</v>
      </c>
      <c r="K585" s="4">
        <v>44591</v>
      </c>
    </row>
    <row r="586" spans="1:11" x14ac:dyDescent="0.3">
      <c r="A586" t="s">
        <v>1195</v>
      </c>
      <c r="B586" s="2" t="s">
        <v>1196</v>
      </c>
      <c r="C586">
        <v>59</v>
      </c>
      <c r="D586" s="2" t="s">
        <v>13</v>
      </c>
      <c r="E586" s="2" t="s">
        <v>30</v>
      </c>
      <c r="F586" s="2" t="s">
        <v>31</v>
      </c>
      <c r="G586" s="2" t="s">
        <v>81</v>
      </c>
      <c r="H586" s="2" t="s">
        <v>17</v>
      </c>
      <c r="I586" s="2" t="s">
        <v>18</v>
      </c>
      <c r="J586">
        <v>0.3</v>
      </c>
      <c r="K586" s="4">
        <v>43212</v>
      </c>
    </row>
    <row r="587" spans="1:11" x14ac:dyDescent="0.3">
      <c r="A587" t="s">
        <v>1197</v>
      </c>
      <c r="B587" s="2" t="s">
        <v>1198</v>
      </c>
      <c r="C587">
        <v>30</v>
      </c>
      <c r="D587" s="2" t="s">
        <v>13</v>
      </c>
      <c r="E587" s="2" t="s">
        <v>14</v>
      </c>
      <c r="F587" s="2" t="s">
        <v>15</v>
      </c>
      <c r="G587" s="2" t="s">
        <v>81</v>
      </c>
      <c r="H587" s="2" t="s">
        <v>18</v>
      </c>
      <c r="I587" s="2" t="s">
        <v>18</v>
      </c>
      <c r="J587">
        <v>0.63</v>
      </c>
      <c r="K587" s="4">
        <v>43705</v>
      </c>
    </row>
    <row r="588" spans="1:11" x14ac:dyDescent="0.3">
      <c r="A588" t="s">
        <v>1199</v>
      </c>
      <c r="B588" s="2" t="s">
        <v>1200</v>
      </c>
      <c r="C588">
        <v>64</v>
      </c>
      <c r="D588" s="2" t="s">
        <v>21</v>
      </c>
      <c r="E588" s="2" t="s">
        <v>30</v>
      </c>
      <c r="F588" s="2" t="s">
        <v>31</v>
      </c>
      <c r="G588" s="2" t="s">
        <v>16</v>
      </c>
      <c r="H588" s="2" t="s">
        <v>18</v>
      </c>
      <c r="I588" s="2" t="s">
        <v>17</v>
      </c>
      <c r="J588">
        <v>0.35</v>
      </c>
      <c r="K588" s="4">
        <v>44287</v>
      </c>
    </row>
    <row r="589" spans="1:11" x14ac:dyDescent="0.3">
      <c r="A589" t="s">
        <v>1201</v>
      </c>
      <c r="B589" s="2" t="s">
        <v>1202</v>
      </c>
      <c r="C589">
        <v>24</v>
      </c>
      <c r="D589" s="2" t="s">
        <v>13</v>
      </c>
      <c r="E589" s="2" t="s">
        <v>22</v>
      </c>
      <c r="F589" s="2" t="s">
        <v>15</v>
      </c>
      <c r="G589" s="2" t="s">
        <v>32</v>
      </c>
      <c r="H589" s="2" t="s">
        <v>17</v>
      </c>
      <c r="I589" s="2" t="s">
        <v>17</v>
      </c>
      <c r="J589">
        <v>0.37</v>
      </c>
      <c r="K589" s="4">
        <v>43471</v>
      </c>
    </row>
    <row r="590" spans="1:11" x14ac:dyDescent="0.3">
      <c r="A590" t="s">
        <v>1203</v>
      </c>
      <c r="B590" s="2" t="s">
        <v>1204</v>
      </c>
      <c r="C590">
        <v>55</v>
      </c>
      <c r="D590" s="2" t="s">
        <v>21</v>
      </c>
      <c r="E590" s="2" t="s">
        <v>22</v>
      </c>
      <c r="F590" s="2" t="s">
        <v>37</v>
      </c>
      <c r="G590" s="2" t="s">
        <v>32</v>
      </c>
      <c r="H590" s="2" t="s">
        <v>18</v>
      </c>
      <c r="I590" s="2" t="s">
        <v>17</v>
      </c>
      <c r="J590">
        <v>0.09</v>
      </c>
      <c r="K590" s="4">
        <v>43902</v>
      </c>
    </row>
    <row r="591" spans="1:11" x14ac:dyDescent="0.3">
      <c r="A591" t="s">
        <v>1205</v>
      </c>
      <c r="B591" s="2" t="s">
        <v>1206</v>
      </c>
      <c r="C591">
        <v>51</v>
      </c>
      <c r="D591" s="2" t="s">
        <v>21</v>
      </c>
      <c r="E591" s="2" t="s">
        <v>30</v>
      </c>
      <c r="F591" s="2" t="s">
        <v>15</v>
      </c>
      <c r="G591" s="2" t="s">
        <v>32</v>
      </c>
      <c r="H591" s="2" t="s">
        <v>17</v>
      </c>
      <c r="I591" s="2" t="s">
        <v>18</v>
      </c>
      <c r="J591">
        <v>0.64</v>
      </c>
      <c r="K591" s="4">
        <v>44620</v>
      </c>
    </row>
    <row r="592" spans="1:11" x14ac:dyDescent="0.3">
      <c r="A592" t="s">
        <v>1207</v>
      </c>
      <c r="B592" s="2" t="s">
        <v>1208</v>
      </c>
      <c r="C592">
        <v>39</v>
      </c>
      <c r="D592" s="2" t="s">
        <v>13</v>
      </c>
      <c r="E592" s="2" t="s">
        <v>30</v>
      </c>
      <c r="F592" s="2" t="s">
        <v>23</v>
      </c>
      <c r="G592" s="2" t="s">
        <v>24</v>
      </c>
      <c r="H592" s="2" t="s">
        <v>18</v>
      </c>
      <c r="I592" s="2" t="s">
        <v>18</v>
      </c>
      <c r="J592">
        <v>0</v>
      </c>
      <c r="K592" s="4">
        <v>43287</v>
      </c>
    </row>
    <row r="593" spans="1:11" x14ac:dyDescent="0.3">
      <c r="A593" t="s">
        <v>1209</v>
      </c>
      <c r="B593" s="2" t="s">
        <v>1210</v>
      </c>
      <c r="C593">
        <v>50</v>
      </c>
      <c r="D593" s="2" t="s">
        <v>21</v>
      </c>
      <c r="E593" s="2" t="s">
        <v>22</v>
      </c>
      <c r="F593" s="2" t="s">
        <v>15</v>
      </c>
      <c r="G593" s="2" t="s">
        <v>16</v>
      </c>
      <c r="H593" s="2" t="s">
        <v>18</v>
      </c>
      <c r="I593" s="2" t="s">
        <v>18</v>
      </c>
      <c r="J593">
        <v>0.17</v>
      </c>
      <c r="K593" s="4">
        <v>43627</v>
      </c>
    </row>
    <row r="594" spans="1:11" x14ac:dyDescent="0.3">
      <c r="A594" t="s">
        <v>1211</v>
      </c>
      <c r="B594" s="2" t="s">
        <v>1212</v>
      </c>
      <c r="C594">
        <v>59</v>
      </c>
      <c r="D594" s="2" t="s">
        <v>13</v>
      </c>
      <c r="E594" s="2" t="s">
        <v>30</v>
      </c>
      <c r="F594" s="2" t="s">
        <v>15</v>
      </c>
      <c r="G594" s="2" t="s">
        <v>81</v>
      </c>
      <c r="H594" s="2" t="s">
        <v>18</v>
      </c>
      <c r="I594" s="2" t="s">
        <v>17</v>
      </c>
      <c r="J594">
        <v>0.54</v>
      </c>
      <c r="K594" s="4">
        <v>43216</v>
      </c>
    </row>
    <row r="595" spans="1:11" x14ac:dyDescent="0.3">
      <c r="A595" t="s">
        <v>1213</v>
      </c>
      <c r="B595" s="2" t="s">
        <v>1214</v>
      </c>
      <c r="C595">
        <v>66</v>
      </c>
      <c r="D595" s="2" t="s">
        <v>13</v>
      </c>
      <c r="E595" s="2" t="s">
        <v>30</v>
      </c>
      <c r="F595" s="2" t="s">
        <v>37</v>
      </c>
      <c r="G595" s="2" t="s">
        <v>32</v>
      </c>
      <c r="H595" s="2" t="s">
        <v>17</v>
      </c>
      <c r="I595" s="2" t="s">
        <v>18</v>
      </c>
      <c r="J595">
        <v>0.33</v>
      </c>
      <c r="K595" s="4">
        <v>43558</v>
      </c>
    </row>
    <row r="596" spans="1:11" x14ac:dyDescent="0.3">
      <c r="A596" t="s">
        <v>1215</v>
      </c>
      <c r="B596" s="2" t="s">
        <v>1216</v>
      </c>
      <c r="C596">
        <v>35</v>
      </c>
      <c r="D596" s="2" t="s">
        <v>13</v>
      </c>
      <c r="E596" s="2" t="s">
        <v>30</v>
      </c>
      <c r="F596" s="2" t="s">
        <v>31</v>
      </c>
      <c r="G596" s="2" t="s">
        <v>27</v>
      </c>
      <c r="H596" s="2" t="s">
        <v>17</v>
      </c>
      <c r="I596" s="2" t="s">
        <v>18</v>
      </c>
      <c r="J596">
        <v>0.2</v>
      </c>
      <c r="K596" s="4">
        <v>43245</v>
      </c>
    </row>
    <row r="597" spans="1:11" x14ac:dyDescent="0.3">
      <c r="A597" t="s">
        <v>1217</v>
      </c>
      <c r="B597" s="2" t="s">
        <v>1218</v>
      </c>
      <c r="C597">
        <v>66</v>
      </c>
      <c r="D597" s="2" t="s">
        <v>21</v>
      </c>
      <c r="E597" s="2" t="s">
        <v>22</v>
      </c>
      <c r="F597" s="2" t="s">
        <v>31</v>
      </c>
      <c r="G597" s="2" t="s">
        <v>27</v>
      </c>
      <c r="H597" s="2" t="s">
        <v>17</v>
      </c>
      <c r="I597" s="2" t="s">
        <v>17</v>
      </c>
      <c r="J597">
        <v>0.47</v>
      </c>
      <c r="K597" s="4">
        <v>45156</v>
      </c>
    </row>
    <row r="598" spans="1:11" x14ac:dyDescent="0.3">
      <c r="A598" t="s">
        <v>1219</v>
      </c>
      <c r="B598" s="2" t="s">
        <v>1220</v>
      </c>
      <c r="C598">
        <v>52</v>
      </c>
      <c r="D598" s="2" t="s">
        <v>13</v>
      </c>
      <c r="E598" s="2" t="s">
        <v>30</v>
      </c>
      <c r="F598" s="2" t="s">
        <v>23</v>
      </c>
      <c r="G598" s="2" t="s">
        <v>16</v>
      </c>
      <c r="H598" s="2" t="s">
        <v>17</v>
      </c>
      <c r="I598" s="2" t="s">
        <v>18</v>
      </c>
      <c r="J598">
        <v>0.4</v>
      </c>
      <c r="K598" s="4">
        <v>43915</v>
      </c>
    </row>
    <row r="599" spans="1:11" x14ac:dyDescent="0.3">
      <c r="A599" t="s">
        <v>1221</v>
      </c>
      <c r="B599" s="2" t="s">
        <v>1222</v>
      </c>
      <c r="C599">
        <v>54</v>
      </c>
      <c r="D599" s="2" t="s">
        <v>21</v>
      </c>
      <c r="E599" s="2" t="s">
        <v>30</v>
      </c>
      <c r="F599" s="2" t="s">
        <v>37</v>
      </c>
      <c r="G599" s="2" t="s">
        <v>66</v>
      </c>
      <c r="H599" s="2" t="s">
        <v>17</v>
      </c>
      <c r="I599" s="2" t="s">
        <v>18</v>
      </c>
      <c r="J599">
        <v>0.46</v>
      </c>
      <c r="K599" s="4">
        <v>44735</v>
      </c>
    </row>
    <row r="600" spans="1:11" x14ac:dyDescent="0.3">
      <c r="A600" t="s">
        <v>1223</v>
      </c>
      <c r="B600" s="2" t="s">
        <v>1224</v>
      </c>
      <c r="C600">
        <v>69</v>
      </c>
      <c r="D600" s="2" t="s">
        <v>21</v>
      </c>
      <c r="E600" s="2" t="s">
        <v>30</v>
      </c>
      <c r="F600" s="2" t="s">
        <v>37</v>
      </c>
      <c r="G600" s="2" t="s">
        <v>24</v>
      </c>
      <c r="H600" s="2" t="s">
        <v>17</v>
      </c>
      <c r="I600" s="2" t="s">
        <v>17</v>
      </c>
      <c r="J600">
        <v>0.4</v>
      </c>
      <c r="K600" s="4">
        <v>44098</v>
      </c>
    </row>
    <row r="601" spans="1:11" x14ac:dyDescent="0.3">
      <c r="A601" t="s">
        <v>1225</v>
      </c>
      <c r="B601" s="2" t="s">
        <v>1226</v>
      </c>
      <c r="C601">
        <v>48</v>
      </c>
      <c r="D601" s="2" t="s">
        <v>21</v>
      </c>
      <c r="E601" s="2" t="s">
        <v>30</v>
      </c>
      <c r="F601" s="2" t="s">
        <v>23</v>
      </c>
      <c r="G601" s="2" t="s">
        <v>27</v>
      </c>
      <c r="H601" s="2" t="s">
        <v>17</v>
      </c>
      <c r="I601" s="2" t="s">
        <v>17</v>
      </c>
      <c r="J601">
        <v>0.62</v>
      </c>
      <c r="K601" s="4">
        <v>45072</v>
      </c>
    </row>
    <row r="602" spans="1:11" x14ac:dyDescent="0.3">
      <c r="A602" t="s">
        <v>1227</v>
      </c>
      <c r="B602" s="2" t="s">
        <v>1228</v>
      </c>
      <c r="C602">
        <v>23</v>
      </c>
      <c r="D602" s="2" t="s">
        <v>13</v>
      </c>
      <c r="E602" s="2" t="s">
        <v>30</v>
      </c>
      <c r="F602" s="2" t="s">
        <v>23</v>
      </c>
      <c r="G602" s="2" t="s">
        <v>24</v>
      </c>
      <c r="H602" s="2" t="s">
        <v>18</v>
      </c>
      <c r="I602" s="2" t="s">
        <v>18</v>
      </c>
      <c r="J602">
        <v>0.5</v>
      </c>
      <c r="K602" s="4">
        <v>44445</v>
      </c>
    </row>
    <row r="603" spans="1:11" x14ac:dyDescent="0.3">
      <c r="A603" t="s">
        <v>1229</v>
      </c>
      <c r="B603" s="2" t="s">
        <v>1230</v>
      </c>
      <c r="C603">
        <v>69</v>
      </c>
      <c r="D603" s="2" t="s">
        <v>13</v>
      </c>
      <c r="E603" s="2" t="s">
        <v>14</v>
      </c>
      <c r="F603" s="2" t="s">
        <v>37</v>
      </c>
      <c r="G603" s="2" t="s">
        <v>24</v>
      </c>
      <c r="H603" s="2" t="s">
        <v>17</v>
      </c>
      <c r="I603" s="2" t="s">
        <v>18</v>
      </c>
      <c r="J603">
        <v>0.33</v>
      </c>
      <c r="K603" s="4">
        <v>43966</v>
      </c>
    </row>
    <row r="604" spans="1:11" x14ac:dyDescent="0.3">
      <c r="A604" t="s">
        <v>1231</v>
      </c>
      <c r="B604" s="2" t="s">
        <v>1232</v>
      </c>
      <c r="C604">
        <v>46</v>
      </c>
      <c r="D604" s="2" t="s">
        <v>21</v>
      </c>
      <c r="E604" s="2" t="s">
        <v>30</v>
      </c>
      <c r="F604" s="2" t="s">
        <v>37</v>
      </c>
      <c r="G604" s="2" t="s">
        <v>24</v>
      </c>
      <c r="H604" s="2" t="s">
        <v>17</v>
      </c>
      <c r="I604" s="2" t="s">
        <v>18</v>
      </c>
      <c r="J604">
        <v>0.69</v>
      </c>
      <c r="K604" s="4">
        <v>43291</v>
      </c>
    </row>
    <row r="605" spans="1:11" x14ac:dyDescent="0.3">
      <c r="A605" t="s">
        <v>1233</v>
      </c>
      <c r="B605" s="2" t="s">
        <v>1234</v>
      </c>
      <c r="C605">
        <v>30</v>
      </c>
      <c r="D605" s="2" t="s">
        <v>13</v>
      </c>
      <c r="E605" s="2" t="s">
        <v>14</v>
      </c>
      <c r="F605" s="2" t="s">
        <v>37</v>
      </c>
      <c r="G605" s="2" t="s">
        <v>27</v>
      </c>
      <c r="H605" s="2" t="s">
        <v>18</v>
      </c>
      <c r="I605" s="2" t="s">
        <v>17</v>
      </c>
      <c r="J605">
        <v>0.31</v>
      </c>
      <c r="K605" s="4">
        <v>43451</v>
      </c>
    </row>
    <row r="606" spans="1:11" x14ac:dyDescent="0.3">
      <c r="A606" t="s">
        <v>1235</v>
      </c>
      <c r="B606" s="2" t="s">
        <v>1236</v>
      </c>
      <c r="C606">
        <v>36</v>
      </c>
      <c r="D606" s="2" t="s">
        <v>21</v>
      </c>
      <c r="E606" s="2" t="s">
        <v>14</v>
      </c>
      <c r="F606" s="2" t="s">
        <v>15</v>
      </c>
      <c r="G606" s="2" t="s">
        <v>66</v>
      </c>
      <c r="H606" s="2" t="s">
        <v>17</v>
      </c>
      <c r="I606" s="2" t="s">
        <v>18</v>
      </c>
      <c r="J606">
        <v>0.59</v>
      </c>
      <c r="K606" s="4">
        <v>43579</v>
      </c>
    </row>
    <row r="607" spans="1:11" x14ac:dyDescent="0.3">
      <c r="A607" t="s">
        <v>1237</v>
      </c>
      <c r="B607" s="2" t="s">
        <v>1238</v>
      </c>
      <c r="C607">
        <v>63</v>
      </c>
      <c r="D607" s="2" t="s">
        <v>21</v>
      </c>
      <c r="E607" s="2" t="s">
        <v>30</v>
      </c>
      <c r="F607" s="2" t="s">
        <v>23</v>
      </c>
      <c r="G607" s="2" t="s">
        <v>81</v>
      </c>
      <c r="H607" s="2" t="s">
        <v>18</v>
      </c>
      <c r="I607" s="2" t="s">
        <v>17</v>
      </c>
      <c r="J607">
        <v>0.5</v>
      </c>
      <c r="K607" s="4">
        <v>43570</v>
      </c>
    </row>
    <row r="608" spans="1:11" x14ac:dyDescent="0.3">
      <c r="A608" t="s">
        <v>1239</v>
      </c>
      <c r="B608" s="2" t="s">
        <v>1240</v>
      </c>
      <c r="C608">
        <v>49</v>
      </c>
      <c r="D608" s="2" t="s">
        <v>13</v>
      </c>
      <c r="E608" s="2" t="s">
        <v>30</v>
      </c>
      <c r="F608" s="2" t="s">
        <v>37</v>
      </c>
      <c r="G608" s="2" t="s">
        <v>66</v>
      </c>
      <c r="H608" s="2" t="s">
        <v>17</v>
      </c>
      <c r="I608" s="2" t="s">
        <v>17</v>
      </c>
      <c r="J608">
        <v>0.5</v>
      </c>
      <c r="K608" s="4">
        <v>43466</v>
      </c>
    </row>
    <row r="609" spans="1:11" x14ac:dyDescent="0.3">
      <c r="A609" t="s">
        <v>1241</v>
      </c>
      <c r="B609" s="2" t="s">
        <v>1242</v>
      </c>
      <c r="C609">
        <v>68</v>
      </c>
      <c r="D609" s="2" t="s">
        <v>13</v>
      </c>
      <c r="E609" s="2" t="s">
        <v>14</v>
      </c>
      <c r="F609" s="2" t="s">
        <v>23</v>
      </c>
      <c r="G609" s="2" t="s">
        <v>24</v>
      </c>
      <c r="H609" s="2" t="s">
        <v>17</v>
      </c>
      <c r="I609" s="2" t="s">
        <v>17</v>
      </c>
      <c r="J609">
        <v>0.15</v>
      </c>
      <c r="K609" s="4">
        <v>43239</v>
      </c>
    </row>
    <row r="610" spans="1:11" x14ac:dyDescent="0.3">
      <c r="A610" t="s">
        <v>1243</v>
      </c>
      <c r="B610" s="2" t="s">
        <v>1244</v>
      </c>
      <c r="C610">
        <v>22</v>
      </c>
      <c r="D610" s="2" t="s">
        <v>13</v>
      </c>
      <c r="E610" s="2" t="s">
        <v>14</v>
      </c>
      <c r="F610" s="2" t="s">
        <v>15</v>
      </c>
      <c r="G610" s="2" t="s">
        <v>27</v>
      </c>
      <c r="H610" s="2" t="s">
        <v>17</v>
      </c>
      <c r="I610" s="2" t="s">
        <v>18</v>
      </c>
      <c r="J610">
        <v>0.74</v>
      </c>
      <c r="K610" s="4">
        <v>44675</v>
      </c>
    </row>
    <row r="611" spans="1:11" x14ac:dyDescent="0.3">
      <c r="A611" t="s">
        <v>1245</v>
      </c>
      <c r="B611" s="2" t="s">
        <v>1246</v>
      </c>
      <c r="C611">
        <v>45</v>
      </c>
      <c r="D611" s="2" t="s">
        <v>21</v>
      </c>
      <c r="E611" s="2" t="s">
        <v>22</v>
      </c>
      <c r="F611" s="2" t="s">
        <v>37</v>
      </c>
      <c r="G611" s="2" t="s">
        <v>81</v>
      </c>
      <c r="H611" s="2" t="s">
        <v>18</v>
      </c>
      <c r="I611" s="2" t="s">
        <v>17</v>
      </c>
      <c r="J611">
        <v>0.6</v>
      </c>
      <c r="K611" s="4">
        <v>44891</v>
      </c>
    </row>
    <row r="612" spans="1:11" x14ac:dyDescent="0.3">
      <c r="A612" t="s">
        <v>1247</v>
      </c>
      <c r="B612" s="2" t="s">
        <v>1248</v>
      </c>
      <c r="C612">
        <v>18</v>
      </c>
      <c r="D612" s="2" t="s">
        <v>21</v>
      </c>
      <c r="E612" s="2" t="s">
        <v>22</v>
      </c>
      <c r="F612" s="2" t="s">
        <v>23</v>
      </c>
      <c r="G612" s="2" t="s">
        <v>66</v>
      </c>
      <c r="H612" s="2" t="s">
        <v>18</v>
      </c>
      <c r="I612" s="2" t="s">
        <v>17</v>
      </c>
      <c r="J612">
        <v>0.68</v>
      </c>
      <c r="K612" s="4">
        <v>43965</v>
      </c>
    </row>
    <row r="613" spans="1:11" x14ac:dyDescent="0.3">
      <c r="A613" t="s">
        <v>1249</v>
      </c>
      <c r="B613" s="2" t="s">
        <v>1250</v>
      </c>
      <c r="C613">
        <v>19</v>
      </c>
      <c r="D613" s="2" t="s">
        <v>13</v>
      </c>
      <c r="E613" s="2" t="s">
        <v>30</v>
      </c>
      <c r="F613" s="2" t="s">
        <v>37</v>
      </c>
      <c r="G613" s="2" t="s">
        <v>16</v>
      </c>
      <c r="H613" s="2" t="s">
        <v>18</v>
      </c>
      <c r="I613" s="2" t="s">
        <v>18</v>
      </c>
      <c r="J613">
        <v>0.31</v>
      </c>
      <c r="K613" s="4">
        <v>44347</v>
      </c>
    </row>
    <row r="614" spans="1:11" x14ac:dyDescent="0.3">
      <c r="A614" t="s">
        <v>1251</v>
      </c>
      <c r="B614" s="2" t="s">
        <v>1252</v>
      </c>
      <c r="C614">
        <v>51</v>
      </c>
      <c r="D614" s="2" t="s">
        <v>21</v>
      </c>
      <c r="E614" s="2" t="s">
        <v>30</v>
      </c>
      <c r="F614" s="2" t="s">
        <v>23</v>
      </c>
      <c r="G614" s="2" t="s">
        <v>16</v>
      </c>
      <c r="H614" s="2" t="s">
        <v>18</v>
      </c>
      <c r="I614" s="2" t="s">
        <v>18</v>
      </c>
      <c r="J614">
        <v>0.67</v>
      </c>
      <c r="K614" s="4">
        <v>44066</v>
      </c>
    </row>
    <row r="615" spans="1:11" x14ac:dyDescent="0.3">
      <c r="A615" t="s">
        <v>1253</v>
      </c>
      <c r="B615" s="2" t="s">
        <v>1254</v>
      </c>
      <c r="C615">
        <v>25</v>
      </c>
      <c r="D615" s="2" t="s">
        <v>21</v>
      </c>
      <c r="E615" s="2" t="s">
        <v>14</v>
      </c>
      <c r="F615" s="2" t="s">
        <v>37</v>
      </c>
      <c r="G615" s="2" t="s">
        <v>66</v>
      </c>
      <c r="H615" s="2" t="s">
        <v>18</v>
      </c>
      <c r="I615" s="2" t="s">
        <v>17</v>
      </c>
      <c r="J615">
        <v>0.48</v>
      </c>
      <c r="K615" s="4">
        <v>44215</v>
      </c>
    </row>
    <row r="616" spans="1:11" x14ac:dyDescent="0.3">
      <c r="A616" t="s">
        <v>1255</v>
      </c>
      <c r="B616" s="2" t="s">
        <v>1256</v>
      </c>
      <c r="C616">
        <v>35</v>
      </c>
      <c r="D616" s="2" t="s">
        <v>21</v>
      </c>
      <c r="E616" s="2" t="s">
        <v>22</v>
      </c>
      <c r="F616" s="2" t="s">
        <v>31</v>
      </c>
      <c r="G616" s="2" t="s">
        <v>24</v>
      </c>
      <c r="H616" s="2" t="s">
        <v>18</v>
      </c>
      <c r="I616" s="2" t="s">
        <v>17</v>
      </c>
      <c r="J616">
        <v>0.61</v>
      </c>
      <c r="K616" s="4">
        <v>43142</v>
      </c>
    </row>
    <row r="617" spans="1:11" x14ac:dyDescent="0.3">
      <c r="A617" t="s">
        <v>1257</v>
      </c>
      <c r="B617" s="2" t="s">
        <v>1258</v>
      </c>
      <c r="C617">
        <v>58</v>
      </c>
      <c r="D617" s="2" t="s">
        <v>21</v>
      </c>
      <c r="E617" s="2" t="s">
        <v>14</v>
      </c>
      <c r="F617" s="2" t="s">
        <v>23</v>
      </c>
      <c r="G617" s="2" t="s">
        <v>16</v>
      </c>
      <c r="H617" s="2" t="s">
        <v>17</v>
      </c>
      <c r="I617" s="2" t="s">
        <v>18</v>
      </c>
      <c r="J617">
        <v>0.18</v>
      </c>
      <c r="K617" s="4">
        <v>44013</v>
      </c>
    </row>
    <row r="618" spans="1:11" x14ac:dyDescent="0.3">
      <c r="A618" t="s">
        <v>1259</v>
      </c>
      <c r="B618" s="2" t="s">
        <v>1260</v>
      </c>
      <c r="C618">
        <v>62</v>
      </c>
      <c r="D618" s="2" t="s">
        <v>13</v>
      </c>
      <c r="E618" s="2" t="s">
        <v>14</v>
      </c>
      <c r="F618" s="2" t="s">
        <v>37</v>
      </c>
      <c r="G618" s="2" t="s">
        <v>16</v>
      </c>
      <c r="H618" s="2" t="s">
        <v>18</v>
      </c>
      <c r="I618" s="2" t="s">
        <v>18</v>
      </c>
      <c r="J618">
        <v>0.43</v>
      </c>
      <c r="K618" s="4">
        <v>43493</v>
      </c>
    </row>
    <row r="619" spans="1:11" x14ac:dyDescent="0.3">
      <c r="A619" t="s">
        <v>1261</v>
      </c>
      <c r="B619" s="2" t="s">
        <v>1262</v>
      </c>
      <c r="C619">
        <v>53</v>
      </c>
      <c r="D619" s="2" t="s">
        <v>21</v>
      </c>
      <c r="E619" s="2" t="s">
        <v>14</v>
      </c>
      <c r="F619" s="2" t="s">
        <v>23</v>
      </c>
      <c r="G619" s="2" t="s">
        <v>16</v>
      </c>
      <c r="H619" s="2" t="s">
        <v>17</v>
      </c>
      <c r="I619" s="2" t="s">
        <v>17</v>
      </c>
      <c r="J619">
        <v>0.5</v>
      </c>
      <c r="K619" s="4">
        <v>44170</v>
      </c>
    </row>
    <row r="620" spans="1:11" x14ac:dyDescent="0.3">
      <c r="A620" t="s">
        <v>1263</v>
      </c>
      <c r="B620" s="2" t="s">
        <v>1264</v>
      </c>
      <c r="C620">
        <v>24</v>
      </c>
      <c r="D620" s="2" t="s">
        <v>21</v>
      </c>
      <c r="E620" s="2" t="s">
        <v>30</v>
      </c>
      <c r="F620" s="2" t="s">
        <v>31</v>
      </c>
      <c r="G620" s="2" t="s">
        <v>24</v>
      </c>
      <c r="H620" s="2" t="s">
        <v>17</v>
      </c>
      <c r="I620" s="2" t="s">
        <v>18</v>
      </c>
      <c r="J620">
        <v>0.27</v>
      </c>
      <c r="K620" s="4">
        <v>43558</v>
      </c>
    </row>
    <row r="621" spans="1:11" x14ac:dyDescent="0.3">
      <c r="A621" t="s">
        <v>1265</v>
      </c>
      <c r="B621" s="2" t="s">
        <v>1266</v>
      </c>
      <c r="C621">
        <v>24</v>
      </c>
      <c r="D621" s="2" t="s">
        <v>13</v>
      </c>
      <c r="E621" s="2" t="s">
        <v>30</v>
      </c>
      <c r="F621" s="2" t="s">
        <v>31</v>
      </c>
      <c r="G621" s="2" t="s">
        <v>16</v>
      </c>
      <c r="H621" s="2" t="s">
        <v>18</v>
      </c>
      <c r="I621" s="2" t="s">
        <v>18</v>
      </c>
      <c r="J621">
        <v>0.76</v>
      </c>
      <c r="K621" s="4">
        <v>44908</v>
      </c>
    </row>
    <row r="622" spans="1:11" x14ac:dyDescent="0.3">
      <c r="A622" t="s">
        <v>1267</v>
      </c>
      <c r="B622" s="2" t="s">
        <v>1268</v>
      </c>
      <c r="C622">
        <v>45</v>
      </c>
      <c r="D622" s="2" t="s">
        <v>21</v>
      </c>
      <c r="E622" s="2" t="s">
        <v>22</v>
      </c>
      <c r="F622" s="2" t="s">
        <v>37</v>
      </c>
      <c r="G622" s="2" t="s">
        <v>16</v>
      </c>
      <c r="H622" s="2" t="s">
        <v>17</v>
      </c>
      <c r="I622" s="2" t="s">
        <v>17</v>
      </c>
      <c r="J622">
        <v>0.56999999999999995</v>
      </c>
      <c r="K622" s="4">
        <v>43253</v>
      </c>
    </row>
    <row r="623" spans="1:11" x14ac:dyDescent="0.3">
      <c r="A623" t="s">
        <v>1269</v>
      </c>
      <c r="B623" s="2" t="s">
        <v>1270</v>
      </c>
      <c r="C623">
        <v>42</v>
      </c>
      <c r="D623" s="2" t="s">
        <v>13</v>
      </c>
      <c r="E623" s="2" t="s">
        <v>22</v>
      </c>
      <c r="F623" s="2" t="s">
        <v>15</v>
      </c>
      <c r="G623" s="2" t="s">
        <v>27</v>
      </c>
      <c r="H623" s="2" t="s">
        <v>17</v>
      </c>
      <c r="I623" s="2" t="s">
        <v>18</v>
      </c>
      <c r="J623">
        <v>0.64</v>
      </c>
      <c r="K623" s="4">
        <v>44004</v>
      </c>
    </row>
    <row r="624" spans="1:11" x14ac:dyDescent="0.3">
      <c r="A624" t="s">
        <v>1271</v>
      </c>
      <c r="B624" s="2" t="s">
        <v>1272</v>
      </c>
      <c r="C624">
        <v>46</v>
      </c>
      <c r="D624" s="2" t="s">
        <v>21</v>
      </c>
      <c r="E624" s="2" t="s">
        <v>30</v>
      </c>
      <c r="F624" s="2" t="s">
        <v>23</v>
      </c>
      <c r="G624" s="2" t="s">
        <v>24</v>
      </c>
      <c r="H624" s="2" t="s">
        <v>17</v>
      </c>
      <c r="I624" s="2" t="s">
        <v>18</v>
      </c>
      <c r="J624">
        <v>0.39</v>
      </c>
      <c r="K624" s="4">
        <v>44616</v>
      </c>
    </row>
    <row r="625" spans="1:11" x14ac:dyDescent="0.3">
      <c r="A625" t="s">
        <v>1273</v>
      </c>
      <c r="B625" s="2" t="s">
        <v>1274</v>
      </c>
      <c r="C625">
        <v>35</v>
      </c>
      <c r="D625" s="2" t="s">
        <v>13</v>
      </c>
      <c r="E625" s="2" t="s">
        <v>30</v>
      </c>
      <c r="F625" s="2" t="s">
        <v>37</v>
      </c>
      <c r="G625" s="2" t="s">
        <v>24</v>
      </c>
      <c r="H625" s="2" t="s">
        <v>17</v>
      </c>
      <c r="I625" s="2" t="s">
        <v>18</v>
      </c>
      <c r="J625">
        <v>0.57999999999999996</v>
      </c>
      <c r="K625" s="4">
        <v>44797</v>
      </c>
    </row>
    <row r="626" spans="1:11" x14ac:dyDescent="0.3">
      <c r="A626" t="s">
        <v>1275</v>
      </c>
      <c r="B626" s="2" t="s">
        <v>1276</v>
      </c>
      <c r="C626">
        <v>42</v>
      </c>
      <c r="D626" s="2" t="s">
        <v>21</v>
      </c>
      <c r="E626" s="2" t="s">
        <v>22</v>
      </c>
      <c r="F626" s="2" t="s">
        <v>37</v>
      </c>
      <c r="G626" s="2" t="s">
        <v>24</v>
      </c>
      <c r="H626" s="2" t="s">
        <v>18</v>
      </c>
      <c r="I626" s="2" t="s">
        <v>18</v>
      </c>
      <c r="J626">
        <v>0.68</v>
      </c>
      <c r="K626" s="4">
        <v>43998</v>
      </c>
    </row>
    <row r="627" spans="1:11" x14ac:dyDescent="0.3">
      <c r="A627" t="s">
        <v>1277</v>
      </c>
      <c r="B627" s="2" t="s">
        <v>1278</v>
      </c>
      <c r="C627">
        <v>20</v>
      </c>
      <c r="D627" s="2" t="s">
        <v>21</v>
      </c>
      <c r="E627" s="2" t="s">
        <v>22</v>
      </c>
      <c r="F627" s="2" t="s">
        <v>23</v>
      </c>
      <c r="G627" s="2" t="s">
        <v>24</v>
      </c>
      <c r="H627" s="2" t="s">
        <v>17</v>
      </c>
      <c r="I627" s="2" t="s">
        <v>17</v>
      </c>
      <c r="J627">
        <v>0.45</v>
      </c>
      <c r="K627" s="4">
        <v>43654</v>
      </c>
    </row>
    <row r="628" spans="1:11" x14ac:dyDescent="0.3">
      <c r="A628" t="s">
        <v>1279</v>
      </c>
      <c r="B628" s="2" t="s">
        <v>1280</v>
      </c>
      <c r="C628">
        <v>41</v>
      </c>
      <c r="D628" s="2" t="s">
        <v>13</v>
      </c>
      <c r="E628" s="2" t="s">
        <v>22</v>
      </c>
      <c r="F628" s="2" t="s">
        <v>31</v>
      </c>
      <c r="G628" s="2" t="s">
        <v>81</v>
      </c>
      <c r="H628" s="2" t="s">
        <v>18</v>
      </c>
      <c r="I628" s="2" t="s">
        <v>17</v>
      </c>
      <c r="J628">
        <v>0.46</v>
      </c>
      <c r="K628" s="4">
        <v>44110</v>
      </c>
    </row>
    <row r="629" spans="1:11" x14ac:dyDescent="0.3">
      <c r="A629" t="s">
        <v>1281</v>
      </c>
      <c r="B629" s="2" t="s">
        <v>1282</v>
      </c>
      <c r="C629">
        <v>19</v>
      </c>
      <c r="D629" s="2" t="s">
        <v>21</v>
      </c>
      <c r="E629" s="2" t="s">
        <v>30</v>
      </c>
      <c r="F629" s="2" t="s">
        <v>31</v>
      </c>
      <c r="G629" s="2" t="s">
        <v>24</v>
      </c>
      <c r="H629" s="2" t="s">
        <v>18</v>
      </c>
      <c r="I629" s="2" t="s">
        <v>17</v>
      </c>
      <c r="J629">
        <v>0.31</v>
      </c>
      <c r="K629" s="4">
        <v>44808</v>
      </c>
    </row>
    <row r="630" spans="1:11" x14ac:dyDescent="0.3">
      <c r="A630" t="s">
        <v>1283</v>
      </c>
      <c r="B630" s="2" t="s">
        <v>1284</v>
      </c>
      <c r="C630">
        <v>47</v>
      </c>
      <c r="D630" s="2" t="s">
        <v>21</v>
      </c>
      <c r="E630" s="2" t="s">
        <v>14</v>
      </c>
      <c r="F630" s="2" t="s">
        <v>37</v>
      </c>
      <c r="G630" s="2" t="s">
        <v>32</v>
      </c>
      <c r="H630" s="2" t="s">
        <v>17</v>
      </c>
      <c r="I630" s="2" t="s">
        <v>17</v>
      </c>
      <c r="J630">
        <v>0.53</v>
      </c>
      <c r="K630" s="4">
        <v>44499</v>
      </c>
    </row>
    <row r="631" spans="1:11" x14ac:dyDescent="0.3">
      <c r="A631" t="s">
        <v>1285</v>
      </c>
      <c r="B631" s="2" t="s">
        <v>1286</v>
      </c>
      <c r="C631">
        <v>20</v>
      </c>
      <c r="D631" s="2" t="s">
        <v>21</v>
      </c>
      <c r="E631" s="2" t="s">
        <v>14</v>
      </c>
      <c r="F631" s="2" t="s">
        <v>31</v>
      </c>
      <c r="G631" s="2" t="s">
        <v>32</v>
      </c>
      <c r="H631" s="2" t="s">
        <v>17</v>
      </c>
      <c r="I631" s="2" t="s">
        <v>18</v>
      </c>
      <c r="J631">
        <v>1</v>
      </c>
      <c r="K631" s="4">
        <v>43462</v>
      </c>
    </row>
    <row r="632" spans="1:11" x14ac:dyDescent="0.3">
      <c r="A632" t="s">
        <v>1287</v>
      </c>
      <c r="B632" s="2" t="s">
        <v>1288</v>
      </c>
      <c r="C632">
        <v>47</v>
      </c>
      <c r="D632" s="2" t="s">
        <v>21</v>
      </c>
      <c r="E632" s="2" t="s">
        <v>22</v>
      </c>
      <c r="F632" s="2" t="s">
        <v>31</v>
      </c>
      <c r="G632" s="2" t="s">
        <v>66</v>
      </c>
      <c r="H632" s="2" t="s">
        <v>18</v>
      </c>
      <c r="I632" s="2" t="s">
        <v>17</v>
      </c>
      <c r="J632">
        <v>0.31</v>
      </c>
      <c r="K632" s="4">
        <v>43741</v>
      </c>
    </row>
    <row r="633" spans="1:11" x14ac:dyDescent="0.3">
      <c r="A633" t="s">
        <v>1289</v>
      </c>
      <c r="B633" s="2" t="s">
        <v>1290</v>
      </c>
      <c r="C633">
        <v>28</v>
      </c>
      <c r="D633" s="2" t="s">
        <v>13</v>
      </c>
      <c r="E633" s="2" t="s">
        <v>22</v>
      </c>
      <c r="F633" s="2" t="s">
        <v>31</v>
      </c>
      <c r="G633" s="2" t="s">
        <v>66</v>
      </c>
      <c r="H633" s="2" t="s">
        <v>18</v>
      </c>
      <c r="I633" s="2" t="s">
        <v>17</v>
      </c>
      <c r="J633">
        <v>0.28000000000000003</v>
      </c>
      <c r="K633" s="4">
        <v>45269</v>
      </c>
    </row>
    <row r="634" spans="1:11" x14ac:dyDescent="0.3">
      <c r="A634" t="s">
        <v>1291</v>
      </c>
      <c r="B634" s="2" t="s">
        <v>1292</v>
      </c>
      <c r="C634">
        <v>62</v>
      </c>
      <c r="D634" s="2" t="s">
        <v>13</v>
      </c>
      <c r="E634" s="2" t="s">
        <v>22</v>
      </c>
      <c r="F634" s="2" t="s">
        <v>31</v>
      </c>
      <c r="G634" s="2" t="s">
        <v>32</v>
      </c>
      <c r="H634" s="2" t="s">
        <v>17</v>
      </c>
      <c r="I634" s="2" t="s">
        <v>17</v>
      </c>
      <c r="J634">
        <v>0.47</v>
      </c>
      <c r="K634" s="4">
        <v>43749</v>
      </c>
    </row>
    <row r="635" spans="1:11" x14ac:dyDescent="0.3">
      <c r="A635" t="s">
        <v>1293</v>
      </c>
      <c r="B635" s="2" t="s">
        <v>1294</v>
      </c>
      <c r="C635">
        <v>50</v>
      </c>
      <c r="D635" s="2" t="s">
        <v>21</v>
      </c>
      <c r="E635" s="2" t="s">
        <v>22</v>
      </c>
      <c r="F635" s="2" t="s">
        <v>15</v>
      </c>
      <c r="G635" s="2" t="s">
        <v>16</v>
      </c>
      <c r="H635" s="2" t="s">
        <v>17</v>
      </c>
      <c r="I635" s="2" t="s">
        <v>17</v>
      </c>
      <c r="J635">
        <v>0.79</v>
      </c>
      <c r="K635" s="4">
        <v>44476</v>
      </c>
    </row>
    <row r="636" spans="1:11" x14ac:dyDescent="0.3">
      <c r="A636" t="s">
        <v>1295</v>
      </c>
      <c r="B636" s="2" t="s">
        <v>1296</v>
      </c>
      <c r="C636">
        <v>38</v>
      </c>
      <c r="D636" s="2" t="s">
        <v>13</v>
      </c>
      <c r="E636" s="2" t="s">
        <v>22</v>
      </c>
      <c r="F636" s="2" t="s">
        <v>37</v>
      </c>
      <c r="G636" s="2" t="s">
        <v>24</v>
      </c>
      <c r="H636" s="2" t="s">
        <v>18</v>
      </c>
      <c r="I636" s="2" t="s">
        <v>18</v>
      </c>
      <c r="J636">
        <v>0.43</v>
      </c>
      <c r="K636" s="4">
        <v>43925</v>
      </c>
    </row>
    <row r="637" spans="1:11" x14ac:dyDescent="0.3">
      <c r="A637" t="s">
        <v>1297</v>
      </c>
      <c r="B637" s="2" t="s">
        <v>1298</v>
      </c>
      <c r="C637">
        <v>56</v>
      </c>
      <c r="D637" s="2" t="s">
        <v>21</v>
      </c>
      <c r="E637" s="2" t="s">
        <v>30</v>
      </c>
      <c r="F637" s="2" t="s">
        <v>37</v>
      </c>
      <c r="G637" s="2" t="s">
        <v>66</v>
      </c>
      <c r="H637" s="2" t="s">
        <v>17</v>
      </c>
      <c r="I637" s="2" t="s">
        <v>18</v>
      </c>
      <c r="J637">
        <v>0.39</v>
      </c>
      <c r="K637" s="4">
        <v>44752</v>
      </c>
    </row>
    <row r="638" spans="1:11" x14ac:dyDescent="0.3">
      <c r="A638" t="s">
        <v>1299</v>
      </c>
      <c r="B638" s="2" t="s">
        <v>1300</v>
      </c>
      <c r="C638">
        <v>19</v>
      </c>
      <c r="D638" s="2" t="s">
        <v>21</v>
      </c>
      <c r="E638" s="2" t="s">
        <v>22</v>
      </c>
      <c r="F638" s="2" t="s">
        <v>37</v>
      </c>
      <c r="G638" s="2" t="s">
        <v>66</v>
      </c>
      <c r="H638" s="2" t="s">
        <v>18</v>
      </c>
      <c r="I638" s="2" t="s">
        <v>17</v>
      </c>
      <c r="J638">
        <v>0.48</v>
      </c>
      <c r="K638" s="4">
        <v>44042</v>
      </c>
    </row>
    <row r="639" spans="1:11" x14ac:dyDescent="0.3">
      <c r="A639" t="s">
        <v>1301</v>
      </c>
      <c r="B639" s="2" t="s">
        <v>1302</v>
      </c>
      <c r="C639">
        <v>57</v>
      </c>
      <c r="D639" s="2" t="s">
        <v>21</v>
      </c>
      <c r="E639" s="2" t="s">
        <v>22</v>
      </c>
      <c r="F639" s="2" t="s">
        <v>23</v>
      </c>
      <c r="G639" s="2" t="s">
        <v>24</v>
      </c>
      <c r="H639" s="2" t="s">
        <v>18</v>
      </c>
      <c r="I639" s="2" t="s">
        <v>17</v>
      </c>
      <c r="J639">
        <v>0.6</v>
      </c>
      <c r="K639" s="4">
        <v>43269</v>
      </c>
    </row>
    <row r="640" spans="1:11" x14ac:dyDescent="0.3">
      <c r="A640" t="s">
        <v>1303</v>
      </c>
      <c r="B640" s="2" t="s">
        <v>1304</v>
      </c>
      <c r="C640">
        <v>41</v>
      </c>
      <c r="D640" s="2" t="s">
        <v>13</v>
      </c>
      <c r="E640" s="2" t="s">
        <v>22</v>
      </c>
      <c r="F640" s="2" t="s">
        <v>31</v>
      </c>
      <c r="G640" s="2" t="s">
        <v>32</v>
      </c>
      <c r="H640" s="2" t="s">
        <v>18</v>
      </c>
      <c r="I640" s="2" t="s">
        <v>18</v>
      </c>
      <c r="J640">
        <v>0.28000000000000003</v>
      </c>
      <c r="K640" s="4">
        <v>44407</v>
      </c>
    </row>
    <row r="641" spans="1:11" x14ac:dyDescent="0.3">
      <c r="A641" t="s">
        <v>1305</v>
      </c>
      <c r="B641" s="2" t="s">
        <v>1306</v>
      </c>
      <c r="C641">
        <v>40</v>
      </c>
      <c r="D641" s="2" t="s">
        <v>13</v>
      </c>
      <c r="E641" s="2" t="s">
        <v>22</v>
      </c>
      <c r="F641" s="2" t="s">
        <v>23</v>
      </c>
      <c r="G641" s="2" t="s">
        <v>27</v>
      </c>
      <c r="H641" s="2" t="s">
        <v>17</v>
      </c>
      <c r="I641" s="2" t="s">
        <v>17</v>
      </c>
      <c r="J641">
        <v>0.32</v>
      </c>
      <c r="K641" s="4">
        <v>44246</v>
      </c>
    </row>
    <row r="642" spans="1:11" x14ac:dyDescent="0.3">
      <c r="A642" t="s">
        <v>1307</v>
      </c>
      <c r="B642" s="2" t="s">
        <v>1308</v>
      </c>
      <c r="C642">
        <v>58</v>
      </c>
      <c r="D642" s="2" t="s">
        <v>13</v>
      </c>
      <c r="E642" s="2" t="s">
        <v>22</v>
      </c>
      <c r="F642" s="2" t="s">
        <v>37</v>
      </c>
      <c r="G642" s="2" t="s">
        <v>32</v>
      </c>
      <c r="H642" s="2" t="s">
        <v>18</v>
      </c>
      <c r="I642" s="2" t="s">
        <v>18</v>
      </c>
      <c r="J642">
        <v>0.23</v>
      </c>
      <c r="K642" s="4">
        <v>44549</v>
      </c>
    </row>
    <row r="643" spans="1:11" x14ac:dyDescent="0.3">
      <c r="A643" t="s">
        <v>1309</v>
      </c>
      <c r="B643" s="2" t="s">
        <v>1310</v>
      </c>
      <c r="C643">
        <v>36</v>
      </c>
      <c r="D643" s="2" t="s">
        <v>21</v>
      </c>
      <c r="E643" s="2" t="s">
        <v>22</v>
      </c>
      <c r="F643" s="2" t="s">
        <v>31</v>
      </c>
      <c r="G643" s="2" t="s">
        <v>81</v>
      </c>
      <c r="H643" s="2" t="s">
        <v>17</v>
      </c>
      <c r="I643" s="2" t="s">
        <v>18</v>
      </c>
      <c r="J643">
        <v>0.23</v>
      </c>
      <c r="K643" s="4">
        <v>44573</v>
      </c>
    </row>
    <row r="644" spans="1:11" x14ac:dyDescent="0.3">
      <c r="A644" t="s">
        <v>1311</v>
      </c>
      <c r="B644" s="2" t="s">
        <v>1312</v>
      </c>
      <c r="C644">
        <v>62</v>
      </c>
      <c r="D644" s="2" t="s">
        <v>21</v>
      </c>
      <c r="E644" s="2" t="s">
        <v>14</v>
      </c>
      <c r="F644" s="2" t="s">
        <v>37</v>
      </c>
      <c r="G644" s="2" t="s">
        <v>27</v>
      </c>
      <c r="H644" s="2" t="s">
        <v>17</v>
      </c>
      <c r="I644" s="2" t="s">
        <v>18</v>
      </c>
      <c r="J644">
        <v>0.27</v>
      </c>
      <c r="K644" s="4">
        <v>43189</v>
      </c>
    </row>
    <row r="645" spans="1:11" x14ac:dyDescent="0.3">
      <c r="A645" t="s">
        <v>1313</v>
      </c>
      <c r="B645" s="2" t="s">
        <v>1314</v>
      </c>
      <c r="C645">
        <v>43</v>
      </c>
      <c r="D645" s="2" t="s">
        <v>21</v>
      </c>
      <c r="E645" s="2" t="s">
        <v>30</v>
      </c>
      <c r="F645" s="2" t="s">
        <v>23</v>
      </c>
      <c r="G645" s="2" t="s">
        <v>81</v>
      </c>
      <c r="H645" s="2" t="s">
        <v>17</v>
      </c>
      <c r="I645" s="2" t="s">
        <v>18</v>
      </c>
      <c r="J645">
        <v>0.48</v>
      </c>
      <c r="K645" s="4">
        <v>44066</v>
      </c>
    </row>
    <row r="646" spans="1:11" x14ac:dyDescent="0.3">
      <c r="A646" t="s">
        <v>1315</v>
      </c>
      <c r="B646" s="2" t="s">
        <v>1316</v>
      </c>
      <c r="C646">
        <v>26</v>
      </c>
      <c r="D646" s="2" t="s">
        <v>21</v>
      </c>
      <c r="E646" s="2" t="s">
        <v>30</v>
      </c>
      <c r="F646" s="2" t="s">
        <v>23</v>
      </c>
      <c r="G646" s="2" t="s">
        <v>24</v>
      </c>
      <c r="H646" s="2" t="s">
        <v>17</v>
      </c>
      <c r="I646" s="2" t="s">
        <v>18</v>
      </c>
      <c r="J646">
        <v>0.47</v>
      </c>
      <c r="K646" s="4">
        <v>43679</v>
      </c>
    </row>
    <row r="647" spans="1:11" x14ac:dyDescent="0.3">
      <c r="A647" t="s">
        <v>1317</v>
      </c>
      <c r="B647" s="2" t="s">
        <v>1318</v>
      </c>
      <c r="C647">
        <v>61</v>
      </c>
      <c r="D647" s="2" t="s">
        <v>21</v>
      </c>
      <c r="E647" s="2" t="s">
        <v>22</v>
      </c>
      <c r="F647" s="2" t="s">
        <v>31</v>
      </c>
      <c r="G647" s="2" t="s">
        <v>32</v>
      </c>
      <c r="H647" s="2" t="s">
        <v>17</v>
      </c>
      <c r="I647" s="2" t="s">
        <v>17</v>
      </c>
      <c r="J647">
        <v>0.27</v>
      </c>
      <c r="K647" s="4">
        <v>43640</v>
      </c>
    </row>
    <row r="648" spans="1:11" x14ac:dyDescent="0.3">
      <c r="A648" t="s">
        <v>1319</v>
      </c>
      <c r="B648" s="2" t="s">
        <v>1320</v>
      </c>
      <c r="C648">
        <v>68</v>
      </c>
      <c r="D648" s="2" t="s">
        <v>13</v>
      </c>
      <c r="E648" s="2" t="s">
        <v>30</v>
      </c>
      <c r="F648" s="2" t="s">
        <v>23</v>
      </c>
      <c r="G648" s="2" t="s">
        <v>66</v>
      </c>
      <c r="H648" s="2" t="s">
        <v>18</v>
      </c>
      <c r="I648" s="2" t="s">
        <v>17</v>
      </c>
      <c r="J648">
        <v>0.56999999999999995</v>
      </c>
      <c r="K648" s="4">
        <v>43507</v>
      </c>
    </row>
    <row r="649" spans="1:11" x14ac:dyDescent="0.3">
      <c r="A649" t="s">
        <v>1321</v>
      </c>
      <c r="B649" s="2" t="s">
        <v>1322</v>
      </c>
      <c r="C649">
        <v>55</v>
      </c>
      <c r="D649" s="2" t="s">
        <v>21</v>
      </c>
      <c r="E649" s="2" t="s">
        <v>14</v>
      </c>
      <c r="F649" s="2" t="s">
        <v>23</v>
      </c>
      <c r="G649" s="2" t="s">
        <v>27</v>
      </c>
      <c r="H649" s="2" t="s">
        <v>17</v>
      </c>
      <c r="I649" s="2" t="s">
        <v>17</v>
      </c>
      <c r="J649">
        <v>0.51</v>
      </c>
      <c r="K649" s="4">
        <v>43854</v>
      </c>
    </row>
    <row r="650" spans="1:11" x14ac:dyDescent="0.3">
      <c r="A650" t="s">
        <v>1323</v>
      </c>
      <c r="B650" s="2" t="s">
        <v>1324</v>
      </c>
      <c r="C650">
        <v>50</v>
      </c>
      <c r="D650" s="2" t="s">
        <v>13</v>
      </c>
      <c r="E650" s="2" t="s">
        <v>30</v>
      </c>
      <c r="F650" s="2" t="s">
        <v>23</v>
      </c>
      <c r="G650" s="2" t="s">
        <v>16</v>
      </c>
      <c r="H650" s="2" t="s">
        <v>18</v>
      </c>
      <c r="I650" s="2" t="s">
        <v>18</v>
      </c>
      <c r="J650">
        <v>0.48</v>
      </c>
      <c r="K650" s="4">
        <v>44292</v>
      </c>
    </row>
    <row r="651" spans="1:11" x14ac:dyDescent="0.3">
      <c r="A651" t="s">
        <v>1325</v>
      </c>
      <c r="B651" s="2" t="s">
        <v>1326</v>
      </c>
      <c r="C651">
        <v>22</v>
      </c>
      <c r="D651" s="2" t="s">
        <v>21</v>
      </c>
      <c r="E651" s="2" t="s">
        <v>14</v>
      </c>
      <c r="F651" s="2" t="s">
        <v>37</v>
      </c>
      <c r="G651" s="2" t="s">
        <v>32</v>
      </c>
      <c r="H651" s="2" t="s">
        <v>18</v>
      </c>
      <c r="I651" s="2" t="s">
        <v>18</v>
      </c>
      <c r="J651">
        <v>0.56999999999999995</v>
      </c>
      <c r="K651" s="4">
        <v>43142</v>
      </c>
    </row>
    <row r="652" spans="1:11" x14ac:dyDescent="0.3">
      <c r="A652" t="s">
        <v>1327</v>
      </c>
      <c r="B652" s="2" t="s">
        <v>1328</v>
      </c>
      <c r="C652">
        <v>36</v>
      </c>
      <c r="D652" s="2" t="s">
        <v>13</v>
      </c>
      <c r="E652" s="2" t="s">
        <v>14</v>
      </c>
      <c r="F652" s="2" t="s">
        <v>23</v>
      </c>
      <c r="G652" s="2" t="s">
        <v>24</v>
      </c>
      <c r="H652" s="2" t="s">
        <v>17</v>
      </c>
      <c r="I652" s="2" t="s">
        <v>18</v>
      </c>
      <c r="J652">
        <v>0.25</v>
      </c>
      <c r="K652" s="4">
        <v>44730</v>
      </c>
    </row>
    <row r="653" spans="1:11" x14ac:dyDescent="0.3">
      <c r="A653" t="s">
        <v>1329</v>
      </c>
      <c r="B653" s="2" t="s">
        <v>1330</v>
      </c>
      <c r="C653">
        <v>27</v>
      </c>
      <c r="D653" s="2" t="s">
        <v>13</v>
      </c>
      <c r="E653" s="2" t="s">
        <v>30</v>
      </c>
      <c r="F653" s="2" t="s">
        <v>23</v>
      </c>
      <c r="G653" s="2" t="s">
        <v>66</v>
      </c>
      <c r="H653" s="2" t="s">
        <v>18</v>
      </c>
      <c r="I653" s="2" t="s">
        <v>17</v>
      </c>
      <c r="J653">
        <v>0.21</v>
      </c>
      <c r="K653" s="4">
        <v>45118</v>
      </c>
    </row>
    <row r="654" spans="1:11" x14ac:dyDescent="0.3">
      <c r="A654" t="s">
        <v>1331</v>
      </c>
      <c r="B654" s="2" t="s">
        <v>1332</v>
      </c>
      <c r="C654">
        <v>29</v>
      </c>
      <c r="D654" s="2" t="s">
        <v>21</v>
      </c>
      <c r="E654" s="2" t="s">
        <v>22</v>
      </c>
      <c r="F654" s="2" t="s">
        <v>37</v>
      </c>
      <c r="G654" s="2" t="s">
        <v>66</v>
      </c>
      <c r="H654" s="2" t="s">
        <v>17</v>
      </c>
      <c r="I654" s="2" t="s">
        <v>18</v>
      </c>
      <c r="J654">
        <v>0.32</v>
      </c>
      <c r="K654" s="4">
        <v>43359</v>
      </c>
    </row>
    <row r="655" spans="1:11" x14ac:dyDescent="0.3">
      <c r="A655" t="s">
        <v>1333</v>
      </c>
      <c r="B655" s="2" t="s">
        <v>1334</v>
      </c>
      <c r="C655">
        <v>22</v>
      </c>
      <c r="D655" s="2" t="s">
        <v>13</v>
      </c>
      <c r="E655" s="2" t="s">
        <v>14</v>
      </c>
      <c r="F655" s="2" t="s">
        <v>15</v>
      </c>
      <c r="G655" s="2" t="s">
        <v>32</v>
      </c>
      <c r="H655" s="2" t="s">
        <v>18</v>
      </c>
      <c r="I655" s="2" t="s">
        <v>17</v>
      </c>
      <c r="J655">
        <v>0.22</v>
      </c>
      <c r="K655" s="4">
        <v>43814</v>
      </c>
    </row>
    <row r="656" spans="1:11" x14ac:dyDescent="0.3">
      <c r="A656" t="s">
        <v>1335</v>
      </c>
      <c r="B656" s="2" t="s">
        <v>1336</v>
      </c>
      <c r="C656">
        <v>34</v>
      </c>
      <c r="D656" s="2" t="s">
        <v>13</v>
      </c>
      <c r="E656" s="2" t="s">
        <v>22</v>
      </c>
      <c r="F656" s="2" t="s">
        <v>31</v>
      </c>
      <c r="G656" s="2" t="s">
        <v>32</v>
      </c>
      <c r="H656" s="2" t="s">
        <v>18</v>
      </c>
      <c r="I656" s="2" t="s">
        <v>17</v>
      </c>
      <c r="J656">
        <v>0.62</v>
      </c>
      <c r="K656" s="4">
        <v>43816</v>
      </c>
    </row>
    <row r="657" spans="1:11" x14ac:dyDescent="0.3">
      <c r="A657" t="s">
        <v>1337</v>
      </c>
      <c r="B657" s="2" t="s">
        <v>1338</v>
      </c>
      <c r="C657">
        <v>27</v>
      </c>
      <c r="D657" s="2" t="s">
        <v>21</v>
      </c>
      <c r="E657" s="2" t="s">
        <v>30</v>
      </c>
      <c r="F657" s="2" t="s">
        <v>23</v>
      </c>
      <c r="G657" s="2" t="s">
        <v>27</v>
      </c>
      <c r="H657" s="2" t="s">
        <v>17</v>
      </c>
      <c r="I657" s="2" t="s">
        <v>18</v>
      </c>
      <c r="J657">
        <v>0.47</v>
      </c>
      <c r="K657" s="4">
        <v>44312</v>
      </c>
    </row>
    <row r="658" spans="1:11" x14ac:dyDescent="0.3">
      <c r="A658" t="s">
        <v>1339</v>
      </c>
      <c r="B658" s="2" t="s">
        <v>1340</v>
      </c>
      <c r="C658">
        <v>27</v>
      </c>
      <c r="D658" s="2" t="s">
        <v>21</v>
      </c>
      <c r="E658" s="2" t="s">
        <v>30</v>
      </c>
      <c r="F658" s="2" t="s">
        <v>37</v>
      </c>
      <c r="G658" s="2" t="s">
        <v>32</v>
      </c>
      <c r="H658" s="2" t="s">
        <v>18</v>
      </c>
      <c r="I658" s="2" t="s">
        <v>17</v>
      </c>
      <c r="J658">
        <v>0.4</v>
      </c>
      <c r="K658" s="4">
        <v>44376</v>
      </c>
    </row>
    <row r="659" spans="1:11" x14ac:dyDescent="0.3">
      <c r="A659" t="s">
        <v>1341</v>
      </c>
      <c r="B659" s="2" t="s">
        <v>1342</v>
      </c>
      <c r="C659">
        <v>48</v>
      </c>
      <c r="D659" s="2" t="s">
        <v>21</v>
      </c>
      <c r="E659" s="2" t="s">
        <v>22</v>
      </c>
      <c r="F659" s="2" t="s">
        <v>37</v>
      </c>
      <c r="G659" s="2" t="s">
        <v>16</v>
      </c>
      <c r="H659" s="2" t="s">
        <v>18</v>
      </c>
      <c r="I659" s="2" t="s">
        <v>18</v>
      </c>
      <c r="J659">
        <v>0.31</v>
      </c>
      <c r="K659" s="4">
        <v>45048</v>
      </c>
    </row>
    <row r="660" spans="1:11" x14ac:dyDescent="0.3">
      <c r="A660" t="s">
        <v>1343</v>
      </c>
      <c r="B660" s="2" t="s">
        <v>1344</v>
      </c>
      <c r="C660">
        <v>47</v>
      </c>
      <c r="D660" s="2" t="s">
        <v>13</v>
      </c>
      <c r="E660" s="2" t="s">
        <v>30</v>
      </c>
      <c r="F660" s="2" t="s">
        <v>37</v>
      </c>
      <c r="G660" s="2" t="s">
        <v>24</v>
      </c>
      <c r="H660" s="2" t="s">
        <v>17</v>
      </c>
      <c r="I660" s="2" t="s">
        <v>18</v>
      </c>
      <c r="J660">
        <v>0.49</v>
      </c>
      <c r="K660" s="4">
        <v>44248</v>
      </c>
    </row>
    <row r="661" spans="1:11" x14ac:dyDescent="0.3">
      <c r="A661" t="s">
        <v>1345</v>
      </c>
      <c r="B661" s="2" t="s">
        <v>1346</v>
      </c>
      <c r="C661">
        <v>26</v>
      </c>
      <c r="D661" s="2" t="s">
        <v>13</v>
      </c>
      <c r="E661" s="2" t="s">
        <v>22</v>
      </c>
      <c r="F661" s="2" t="s">
        <v>15</v>
      </c>
      <c r="G661" s="2" t="s">
        <v>66</v>
      </c>
      <c r="H661" s="2" t="s">
        <v>17</v>
      </c>
      <c r="I661" s="2" t="s">
        <v>18</v>
      </c>
      <c r="J661">
        <v>0.92</v>
      </c>
      <c r="K661" s="4">
        <v>43323</v>
      </c>
    </row>
    <row r="662" spans="1:11" x14ac:dyDescent="0.3">
      <c r="A662" t="s">
        <v>1347</v>
      </c>
      <c r="B662" s="2" t="s">
        <v>1348</v>
      </c>
      <c r="C662">
        <v>21</v>
      </c>
      <c r="D662" s="2" t="s">
        <v>13</v>
      </c>
      <c r="E662" s="2" t="s">
        <v>14</v>
      </c>
      <c r="F662" s="2" t="s">
        <v>15</v>
      </c>
      <c r="G662" s="2" t="s">
        <v>32</v>
      </c>
      <c r="H662" s="2" t="s">
        <v>18</v>
      </c>
      <c r="I662" s="2" t="s">
        <v>18</v>
      </c>
      <c r="J662">
        <v>0.5</v>
      </c>
      <c r="K662" s="4">
        <v>44030</v>
      </c>
    </row>
    <row r="663" spans="1:11" x14ac:dyDescent="0.3">
      <c r="A663" t="s">
        <v>1349</v>
      </c>
      <c r="B663" s="2" t="s">
        <v>1350</v>
      </c>
      <c r="C663">
        <v>28</v>
      </c>
      <c r="D663" s="2" t="s">
        <v>21</v>
      </c>
      <c r="E663" s="2" t="s">
        <v>22</v>
      </c>
      <c r="F663" s="2" t="s">
        <v>23</v>
      </c>
      <c r="G663" s="2" t="s">
        <v>24</v>
      </c>
      <c r="H663" s="2" t="s">
        <v>18</v>
      </c>
      <c r="I663" s="2" t="s">
        <v>18</v>
      </c>
      <c r="J663">
        <v>0.74</v>
      </c>
      <c r="K663" s="4">
        <v>44069</v>
      </c>
    </row>
    <row r="664" spans="1:11" x14ac:dyDescent="0.3">
      <c r="A664" t="s">
        <v>1351</v>
      </c>
      <c r="B664" s="2" t="s">
        <v>1352</v>
      </c>
      <c r="C664">
        <v>41</v>
      </c>
      <c r="D664" s="2" t="s">
        <v>13</v>
      </c>
      <c r="E664" s="2" t="s">
        <v>30</v>
      </c>
      <c r="F664" s="2" t="s">
        <v>15</v>
      </c>
      <c r="G664" s="2" t="s">
        <v>81</v>
      </c>
      <c r="H664" s="2" t="s">
        <v>17</v>
      </c>
      <c r="I664" s="2" t="s">
        <v>17</v>
      </c>
      <c r="J664">
        <v>0.24</v>
      </c>
      <c r="K664" s="4">
        <v>43176</v>
      </c>
    </row>
    <row r="665" spans="1:11" x14ac:dyDescent="0.3">
      <c r="A665" t="s">
        <v>1353</v>
      </c>
      <c r="B665" s="2" t="s">
        <v>1354</v>
      </c>
      <c r="C665">
        <v>58</v>
      </c>
      <c r="D665" s="2" t="s">
        <v>13</v>
      </c>
      <c r="E665" s="2" t="s">
        <v>14</v>
      </c>
      <c r="F665" s="2" t="s">
        <v>37</v>
      </c>
      <c r="G665" s="2" t="s">
        <v>32</v>
      </c>
      <c r="H665" s="2" t="s">
        <v>18</v>
      </c>
      <c r="I665" s="2" t="s">
        <v>17</v>
      </c>
      <c r="J665">
        <v>0.5</v>
      </c>
      <c r="K665" s="4">
        <v>43782</v>
      </c>
    </row>
    <row r="666" spans="1:11" x14ac:dyDescent="0.3">
      <c r="A666" t="s">
        <v>1355</v>
      </c>
      <c r="B666" s="2" t="s">
        <v>1356</v>
      </c>
      <c r="C666">
        <v>40</v>
      </c>
      <c r="D666" s="2" t="s">
        <v>13</v>
      </c>
      <c r="E666" s="2" t="s">
        <v>30</v>
      </c>
      <c r="F666" s="2" t="s">
        <v>23</v>
      </c>
      <c r="G666" s="2" t="s">
        <v>66</v>
      </c>
      <c r="H666" s="2" t="s">
        <v>18</v>
      </c>
      <c r="I666" s="2" t="s">
        <v>18</v>
      </c>
      <c r="J666">
        <v>0.08</v>
      </c>
      <c r="K666" s="4">
        <v>44689</v>
      </c>
    </row>
    <row r="667" spans="1:11" x14ac:dyDescent="0.3">
      <c r="A667" t="s">
        <v>1357</v>
      </c>
      <c r="B667" s="2" t="s">
        <v>1358</v>
      </c>
      <c r="C667">
        <v>29</v>
      </c>
      <c r="D667" s="2" t="s">
        <v>21</v>
      </c>
      <c r="E667" s="2" t="s">
        <v>14</v>
      </c>
      <c r="F667" s="2" t="s">
        <v>37</v>
      </c>
      <c r="G667" s="2" t="s">
        <v>27</v>
      </c>
      <c r="H667" s="2" t="s">
        <v>18</v>
      </c>
      <c r="I667" s="2" t="s">
        <v>18</v>
      </c>
      <c r="J667">
        <v>0.46</v>
      </c>
      <c r="K667" s="4">
        <v>43532</v>
      </c>
    </row>
    <row r="668" spans="1:11" x14ac:dyDescent="0.3">
      <c r="A668" t="s">
        <v>1359</v>
      </c>
      <c r="B668" s="2" t="s">
        <v>1360</v>
      </c>
      <c r="C668">
        <v>47</v>
      </c>
      <c r="D668" s="2" t="s">
        <v>13</v>
      </c>
      <c r="E668" s="2" t="s">
        <v>14</v>
      </c>
      <c r="F668" s="2" t="s">
        <v>15</v>
      </c>
      <c r="G668" s="2" t="s">
        <v>27</v>
      </c>
      <c r="H668" s="2" t="s">
        <v>17</v>
      </c>
      <c r="I668" s="2" t="s">
        <v>18</v>
      </c>
      <c r="J668">
        <v>0.03</v>
      </c>
      <c r="K668" s="4">
        <v>44309</v>
      </c>
    </row>
    <row r="669" spans="1:11" x14ac:dyDescent="0.3">
      <c r="A669" t="s">
        <v>1361</v>
      </c>
      <c r="B669" s="2" t="s">
        <v>1362</v>
      </c>
      <c r="C669">
        <v>47</v>
      </c>
      <c r="D669" s="2" t="s">
        <v>21</v>
      </c>
      <c r="E669" s="2" t="s">
        <v>30</v>
      </c>
      <c r="F669" s="2" t="s">
        <v>37</v>
      </c>
      <c r="G669" s="2" t="s">
        <v>27</v>
      </c>
      <c r="H669" s="2" t="s">
        <v>17</v>
      </c>
      <c r="I669" s="2" t="s">
        <v>18</v>
      </c>
      <c r="J669">
        <v>0.54</v>
      </c>
      <c r="K669" s="4">
        <v>44583</v>
      </c>
    </row>
    <row r="670" spans="1:11" x14ac:dyDescent="0.3">
      <c r="A670" t="s">
        <v>1363</v>
      </c>
      <c r="B670" s="2" t="s">
        <v>1364</v>
      </c>
      <c r="C670">
        <v>66</v>
      </c>
      <c r="D670" s="2" t="s">
        <v>13</v>
      </c>
      <c r="E670" s="2" t="s">
        <v>22</v>
      </c>
      <c r="F670" s="2" t="s">
        <v>23</v>
      </c>
      <c r="G670" s="2" t="s">
        <v>81</v>
      </c>
      <c r="H670" s="2" t="s">
        <v>18</v>
      </c>
      <c r="I670" s="2" t="s">
        <v>18</v>
      </c>
      <c r="J670">
        <v>0.28000000000000003</v>
      </c>
      <c r="K670" s="4">
        <v>44463</v>
      </c>
    </row>
    <row r="671" spans="1:11" x14ac:dyDescent="0.3">
      <c r="A671" t="s">
        <v>1365</v>
      </c>
      <c r="B671" s="2" t="s">
        <v>1366</v>
      </c>
      <c r="C671">
        <v>28</v>
      </c>
      <c r="D671" s="2" t="s">
        <v>13</v>
      </c>
      <c r="E671" s="2" t="s">
        <v>30</v>
      </c>
      <c r="F671" s="2" t="s">
        <v>37</v>
      </c>
      <c r="G671" s="2" t="s">
        <v>27</v>
      </c>
      <c r="H671" s="2" t="s">
        <v>17</v>
      </c>
      <c r="I671" s="2" t="s">
        <v>17</v>
      </c>
      <c r="J671">
        <v>0.53</v>
      </c>
      <c r="K671" s="4">
        <v>44078</v>
      </c>
    </row>
    <row r="672" spans="1:11" x14ac:dyDescent="0.3">
      <c r="A672" t="s">
        <v>1367</v>
      </c>
      <c r="B672" s="2" t="s">
        <v>1368</v>
      </c>
      <c r="C672">
        <v>30</v>
      </c>
      <c r="D672" s="2" t="s">
        <v>21</v>
      </c>
      <c r="E672" s="2" t="s">
        <v>14</v>
      </c>
      <c r="F672" s="2" t="s">
        <v>37</v>
      </c>
      <c r="G672" s="2" t="s">
        <v>27</v>
      </c>
      <c r="H672" s="2" t="s">
        <v>18</v>
      </c>
      <c r="I672" s="2" t="s">
        <v>18</v>
      </c>
      <c r="J672">
        <v>0.33</v>
      </c>
      <c r="K672" s="4">
        <v>43715</v>
      </c>
    </row>
    <row r="673" spans="1:11" x14ac:dyDescent="0.3">
      <c r="A673" t="s">
        <v>1369</v>
      </c>
      <c r="B673" s="2" t="s">
        <v>1370</v>
      </c>
      <c r="C673">
        <v>18</v>
      </c>
      <c r="D673" s="2" t="s">
        <v>21</v>
      </c>
      <c r="E673" s="2" t="s">
        <v>30</v>
      </c>
      <c r="F673" s="2" t="s">
        <v>15</v>
      </c>
      <c r="G673" s="2" t="s">
        <v>27</v>
      </c>
      <c r="H673" s="2" t="s">
        <v>18</v>
      </c>
      <c r="I673" s="2" t="s">
        <v>17</v>
      </c>
      <c r="J673">
        <v>0.53</v>
      </c>
      <c r="K673" s="4">
        <v>43787</v>
      </c>
    </row>
    <row r="674" spans="1:11" x14ac:dyDescent="0.3">
      <c r="A674" t="s">
        <v>1371</v>
      </c>
      <c r="B674" s="2" t="s">
        <v>1372</v>
      </c>
      <c r="C674">
        <v>57</v>
      </c>
      <c r="D674" s="2" t="s">
        <v>13</v>
      </c>
      <c r="E674" s="2" t="s">
        <v>30</v>
      </c>
      <c r="F674" s="2" t="s">
        <v>15</v>
      </c>
      <c r="G674" s="2" t="s">
        <v>16</v>
      </c>
      <c r="H674" s="2" t="s">
        <v>17</v>
      </c>
      <c r="I674" s="2" t="s">
        <v>17</v>
      </c>
      <c r="J674">
        <v>0.65</v>
      </c>
      <c r="K674" s="4">
        <v>43433</v>
      </c>
    </row>
    <row r="675" spans="1:11" x14ac:dyDescent="0.3">
      <c r="A675" t="s">
        <v>1373</v>
      </c>
      <c r="B675" s="2" t="s">
        <v>1374</v>
      </c>
      <c r="C675">
        <v>31</v>
      </c>
      <c r="D675" s="2" t="s">
        <v>13</v>
      </c>
      <c r="E675" s="2" t="s">
        <v>30</v>
      </c>
      <c r="F675" s="2" t="s">
        <v>23</v>
      </c>
      <c r="G675" s="2" t="s">
        <v>24</v>
      </c>
      <c r="H675" s="2" t="s">
        <v>17</v>
      </c>
      <c r="I675" s="2" t="s">
        <v>18</v>
      </c>
      <c r="J675">
        <v>0.28000000000000003</v>
      </c>
      <c r="K675" s="4">
        <v>44743</v>
      </c>
    </row>
    <row r="676" spans="1:11" x14ac:dyDescent="0.3">
      <c r="A676" t="s">
        <v>1375</v>
      </c>
      <c r="B676" s="2" t="s">
        <v>1376</v>
      </c>
      <c r="C676">
        <v>45</v>
      </c>
      <c r="D676" s="2" t="s">
        <v>13</v>
      </c>
      <c r="E676" s="2" t="s">
        <v>14</v>
      </c>
      <c r="F676" s="2" t="s">
        <v>15</v>
      </c>
      <c r="G676" s="2" t="s">
        <v>27</v>
      </c>
      <c r="H676" s="2" t="s">
        <v>17</v>
      </c>
      <c r="I676" s="2" t="s">
        <v>18</v>
      </c>
      <c r="J676">
        <v>0.67</v>
      </c>
      <c r="K676" s="4">
        <v>43484</v>
      </c>
    </row>
    <row r="677" spans="1:11" x14ac:dyDescent="0.3">
      <c r="A677" t="s">
        <v>1377</v>
      </c>
      <c r="B677" s="2" t="s">
        <v>1378</v>
      </c>
      <c r="C677">
        <v>45</v>
      </c>
      <c r="D677" s="2" t="s">
        <v>13</v>
      </c>
      <c r="E677" s="2" t="s">
        <v>30</v>
      </c>
      <c r="F677" s="2" t="s">
        <v>31</v>
      </c>
      <c r="G677" s="2" t="s">
        <v>66</v>
      </c>
      <c r="H677" s="2" t="s">
        <v>17</v>
      </c>
      <c r="I677" s="2" t="s">
        <v>18</v>
      </c>
      <c r="J677">
        <v>0.49</v>
      </c>
      <c r="K677" s="4">
        <v>43744</v>
      </c>
    </row>
    <row r="678" spans="1:11" x14ac:dyDescent="0.3">
      <c r="A678" t="s">
        <v>1379</v>
      </c>
      <c r="B678" s="2" t="s">
        <v>1380</v>
      </c>
      <c r="C678">
        <v>37</v>
      </c>
      <c r="D678" s="2" t="s">
        <v>21</v>
      </c>
      <c r="E678" s="2" t="s">
        <v>22</v>
      </c>
      <c r="F678" s="2" t="s">
        <v>37</v>
      </c>
      <c r="G678" s="2" t="s">
        <v>24</v>
      </c>
      <c r="H678" s="2" t="s">
        <v>17</v>
      </c>
      <c r="I678" s="2" t="s">
        <v>17</v>
      </c>
      <c r="J678">
        <v>0.78</v>
      </c>
      <c r="K678" s="4">
        <v>44901</v>
      </c>
    </row>
    <row r="679" spans="1:11" x14ac:dyDescent="0.3">
      <c r="A679" t="s">
        <v>1381</v>
      </c>
      <c r="B679" s="2" t="s">
        <v>1382</v>
      </c>
      <c r="C679">
        <v>26</v>
      </c>
      <c r="D679" s="2" t="s">
        <v>21</v>
      </c>
      <c r="E679" s="2" t="s">
        <v>30</v>
      </c>
      <c r="F679" s="2" t="s">
        <v>23</v>
      </c>
      <c r="G679" s="2" t="s">
        <v>81</v>
      </c>
      <c r="H679" s="2" t="s">
        <v>17</v>
      </c>
      <c r="I679" s="2" t="s">
        <v>17</v>
      </c>
      <c r="J679">
        <v>0.56000000000000005</v>
      </c>
      <c r="K679" s="4">
        <v>43121</v>
      </c>
    </row>
    <row r="680" spans="1:11" x14ac:dyDescent="0.3">
      <c r="A680" t="s">
        <v>1383</v>
      </c>
      <c r="B680" s="2" t="s">
        <v>1384</v>
      </c>
      <c r="C680">
        <v>45</v>
      </c>
      <c r="D680" s="2" t="s">
        <v>13</v>
      </c>
      <c r="E680" s="2" t="s">
        <v>30</v>
      </c>
      <c r="F680" s="2" t="s">
        <v>23</v>
      </c>
      <c r="G680" s="2" t="s">
        <v>27</v>
      </c>
      <c r="H680" s="2" t="s">
        <v>18</v>
      </c>
      <c r="I680" s="2" t="s">
        <v>17</v>
      </c>
      <c r="J680">
        <v>0.46</v>
      </c>
      <c r="K680" s="4">
        <v>44752</v>
      </c>
    </row>
    <row r="681" spans="1:11" x14ac:dyDescent="0.3">
      <c r="A681" t="s">
        <v>1385</v>
      </c>
      <c r="B681" s="2" t="s">
        <v>1386</v>
      </c>
      <c r="C681">
        <v>40</v>
      </c>
      <c r="D681" s="2" t="s">
        <v>13</v>
      </c>
      <c r="E681" s="2" t="s">
        <v>30</v>
      </c>
      <c r="F681" s="2" t="s">
        <v>23</v>
      </c>
      <c r="G681" s="2" t="s">
        <v>16</v>
      </c>
      <c r="H681" s="2" t="s">
        <v>18</v>
      </c>
      <c r="I681" s="2" t="s">
        <v>18</v>
      </c>
      <c r="J681">
        <v>0.37</v>
      </c>
      <c r="K681" s="4">
        <v>43251</v>
      </c>
    </row>
    <row r="682" spans="1:11" x14ac:dyDescent="0.3">
      <c r="A682" t="s">
        <v>1387</v>
      </c>
      <c r="B682" s="2" t="s">
        <v>1388</v>
      </c>
      <c r="C682">
        <v>41</v>
      </c>
      <c r="D682" s="2" t="s">
        <v>13</v>
      </c>
      <c r="E682" s="2" t="s">
        <v>30</v>
      </c>
      <c r="F682" s="2" t="s">
        <v>31</v>
      </c>
      <c r="G682" s="2" t="s">
        <v>27</v>
      </c>
      <c r="H682" s="2" t="s">
        <v>18</v>
      </c>
      <c r="I682" s="2" t="s">
        <v>17</v>
      </c>
      <c r="J682">
        <v>0.55000000000000004</v>
      </c>
      <c r="K682" s="4">
        <v>45026</v>
      </c>
    </row>
    <row r="683" spans="1:11" x14ac:dyDescent="0.3">
      <c r="A683" t="s">
        <v>1389</v>
      </c>
      <c r="B683" s="2" t="s">
        <v>1390</v>
      </c>
      <c r="C683">
        <v>64</v>
      </c>
      <c r="D683" s="2" t="s">
        <v>21</v>
      </c>
      <c r="E683" s="2" t="s">
        <v>30</v>
      </c>
      <c r="F683" s="2" t="s">
        <v>15</v>
      </c>
      <c r="G683" s="2" t="s">
        <v>24</v>
      </c>
      <c r="H683" s="2" t="s">
        <v>18</v>
      </c>
      <c r="I683" s="2" t="s">
        <v>18</v>
      </c>
      <c r="J683">
        <v>0.34</v>
      </c>
      <c r="K683" s="4">
        <v>43361</v>
      </c>
    </row>
    <row r="684" spans="1:11" x14ac:dyDescent="0.3">
      <c r="A684" t="s">
        <v>1391</v>
      </c>
      <c r="B684" s="2" t="s">
        <v>1392</v>
      </c>
      <c r="C684">
        <v>33</v>
      </c>
      <c r="D684" s="2" t="s">
        <v>13</v>
      </c>
      <c r="E684" s="2" t="s">
        <v>22</v>
      </c>
      <c r="F684" s="2" t="s">
        <v>37</v>
      </c>
      <c r="G684" s="2" t="s">
        <v>24</v>
      </c>
      <c r="H684" s="2" t="s">
        <v>18</v>
      </c>
      <c r="I684" s="2" t="s">
        <v>17</v>
      </c>
      <c r="J684">
        <v>1</v>
      </c>
      <c r="K684" s="4">
        <v>43335</v>
      </c>
    </row>
    <row r="685" spans="1:11" x14ac:dyDescent="0.3">
      <c r="A685" t="s">
        <v>1393</v>
      </c>
      <c r="B685" s="2" t="s">
        <v>1394</v>
      </c>
      <c r="C685">
        <v>51</v>
      </c>
      <c r="D685" s="2" t="s">
        <v>21</v>
      </c>
      <c r="E685" s="2" t="s">
        <v>14</v>
      </c>
      <c r="F685" s="2" t="s">
        <v>37</v>
      </c>
      <c r="G685" s="2" t="s">
        <v>66</v>
      </c>
      <c r="H685" s="2" t="s">
        <v>18</v>
      </c>
      <c r="I685" s="2" t="s">
        <v>17</v>
      </c>
      <c r="J685">
        <v>0.01</v>
      </c>
      <c r="K685" s="4">
        <v>43386</v>
      </c>
    </row>
    <row r="686" spans="1:11" x14ac:dyDescent="0.3">
      <c r="A686" t="s">
        <v>1395</v>
      </c>
      <c r="B686" s="2" t="s">
        <v>1396</v>
      </c>
      <c r="C686">
        <v>50</v>
      </c>
      <c r="D686" s="2" t="s">
        <v>13</v>
      </c>
      <c r="E686" s="2" t="s">
        <v>30</v>
      </c>
      <c r="F686" s="2" t="s">
        <v>31</v>
      </c>
      <c r="G686" s="2" t="s">
        <v>32</v>
      </c>
      <c r="H686" s="2" t="s">
        <v>18</v>
      </c>
      <c r="I686" s="2" t="s">
        <v>18</v>
      </c>
      <c r="J686">
        <v>0.4</v>
      </c>
      <c r="K686" s="4">
        <v>44843</v>
      </c>
    </row>
    <row r="687" spans="1:11" x14ac:dyDescent="0.3">
      <c r="A687" t="s">
        <v>1397</v>
      </c>
      <c r="B687" s="2" t="s">
        <v>1398</v>
      </c>
      <c r="C687">
        <v>36</v>
      </c>
      <c r="D687" s="2" t="s">
        <v>21</v>
      </c>
      <c r="E687" s="2" t="s">
        <v>14</v>
      </c>
      <c r="F687" s="2" t="s">
        <v>23</v>
      </c>
      <c r="G687" s="2" t="s">
        <v>27</v>
      </c>
      <c r="H687" s="2" t="s">
        <v>17</v>
      </c>
      <c r="I687" s="2" t="s">
        <v>17</v>
      </c>
      <c r="J687">
        <v>0.26</v>
      </c>
      <c r="K687" s="4">
        <v>44740</v>
      </c>
    </row>
    <row r="688" spans="1:11" x14ac:dyDescent="0.3">
      <c r="A688" t="s">
        <v>1399</v>
      </c>
      <c r="B688" s="2" t="s">
        <v>1400</v>
      </c>
      <c r="C688">
        <v>29</v>
      </c>
      <c r="D688" s="2" t="s">
        <v>21</v>
      </c>
      <c r="E688" s="2" t="s">
        <v>22</v>
      </c>
      <c r="F688" s="2" t="s">
        <v>15</v>
      </c>
      <c r="G688" s="2" t="s">
        <v>16</v>
      </c>
      <c r="H688" s="2" t="s">
        <v>17</v>
      </c>
      <c r="I688" s="2" t="s">
        <v>18</v>
      </c>
      <c r="J688">
        <v>0.42</v>
      </c>
      <c r="K688" s="4">
        <v>43365</v>
      </c>
    </row>
    <row r="689" spans="1:11" x14ac:dyDescent="0.3">
      <c r="A689" t="s">
        <v>1401</v>
      </c>
      <c r="B689" s="2" t="s">
        <v>1402</v>
      </c>
      <c r="C689">
        <v>44</v>
      </c>
      <c r="D689" s="2" t="s">
        <v>13</v>
      </c>
      <c r="E689" s="2" t="s">
        <v>30</v>
      </c>
      <c r="F689" s="2" t="s">
        <v>37</v>
      </c>
      <c r="G689" s="2" t="s">
        <v>27</v>
      </c>
      <c r="H689" s="2" t="s">
        <v>18</v>
      </c>
      <c r="I689" s="2" t="s">
        <v>18</v>
      </c>
      <c r="J689">
        <v>0.27</v>
      </c>
      <c r="K689" s="4">
        <v>45049</v>
      </c>
    </row>
    <row r="690" spans="1:11" x14ac:dyDescent="0.3">
      <c r="A690" t="s">
        <v>1403</v>
      </c>
      <c r="B690" s="2" t="s">
        <v>1404</v>
      </c>
      <c r="C690">
        <v>33</v>
      </c>
      <c r="D690" s="2" t="s">
        <v>13</v>
      </c>
      <c r="E690" s="2" t="s">
        <v>14</v>
      </c>
      <c r="F690" s="2" t="s">
        <v>37</v>
      </c>
      <c r="G690" s="2" t="s">
        <v>66</v>
      </c>
      <c r="H690" s="2" t="s">
        <v>17</v>
      </c>
      <c r="I690" s="2" t="s">
        <v>18</v>
      </c>
      <c r="J690">
        <v>0.45</v>
      </c>
      <c r="K690" s="4">
        <v>43531</v>
      </c>
    </row>
    <row r="691" spans="1:11" x14ac:dyDescent="0.3">
      <c r="A691" t="s">
        <v>1405</v>
      </c>
      <c r="B691" s="2" t="s">
        <v>1406</v>
      </c>
      <c r="C691">
        <v>41</v>
      </c>
      <c r="D691" s="2" t="s">
        <v>13</v>
      </c>
      <c r="E691" s="2" t="s">
        <v>30</v>
      </c>
      <c r="F691" s="2" t="s">
        <v>23</v>
      </c>
      <c r="G691" s="2" t="s">
        <v>66</v>
      </c>
      <c r="H691" s="2" t="s">
        <v>17</v>
      </c>
      <c r="I691" s="2" t="s">
        <v>17</v>
      </c>
      <c r="J691">
        <v>0.14000000000000001</v>
      </c>
      <c r="K691" s="4">
        <v>44416</v>
      </c>
    </row>
    <row r="692" spans="1:11" x14ac:dyDescent="0.3">
      <c r="A692" t="s">
        <v>1407</v>
      </c>
      <c r="B692" s="2" t="s">
        <v>1408</v>
      </c>
      <c r="C692">
        <v>36</v>
      </c>
      <c r="D692" s="2" t="s">
        <v>21</v>
      </c>
      <c r="E692" s="2" t="s">
        <v>22</v>
      </c>
      <c r="F692" s="2" t="s">
        <v>15</v>
      </c>
      <c r="G692" s="2" t="s">
        <v>27</v>
      </c>
      <c r="H692" s="2" t="s">
        <v>18</v>
      </c>
      <c r="I692" s="2" t="s">
        <v>18</v>
      </c>
      <c r="J692">
        <v>0.74</v>
      </c>
      <c r="K692" s="4">
        <v>43157</v>
      </c>
    </row>
    <row r="693" spans="1:11" x14ac:dyDescent="0.3">
      <c r="A693" t="s">
        <v>1409</v>
      </c>
      <c r="B693" s="2" t="s">
        <v>1410</v>
      </c>
      <c r="C693">
        <v>58</v>
      </c>
      <c r="D693" s="2" t="s">
        <v>21</v>
      </c>
      <c r="E693" s="2" t="s">
        <v>14</v>
      </c>
      <c r="F693" s="2" t="s">
        <v>37</v>
      </c>
      <c r="G693" s="2" t="s">
        <v>66</v>
      </c>
      <c r="H693" s="2" t="s">
        <v>17</v>
      </c>
      <c r="I693" s="2" t="s">
        <v>17</v>
      </c>
      <c r="J693">
        <v>0.41</v>
      </c>
      <c r="K693" s="4">
        <v>45101</v>
      </c>
    </row>
    <row r="694" spans="1:11" x14ac:dyDescent="0.3">
      <c r="A694" t="s">
        <v>1411</v>
      </c>
      <c r="B694" s="2" t="s">
        <v>1412</v>
      </c>
      <c r="C694">
        <v>55</v>
      </c>
      <c r="D694" s="2" t="s">
        <v>21</v>
      </c>
      <c r="E694" s="2" t="s">
        <v>30</v>
      </c>
      <c r="F694" s="2" t="s">
        <v>31</v>
      </c>
      <c r="G694" s="2" t="s">
        <v>32</v>
      </c>
      <c r="H694" s="2" t="s">
        <v>17</v>
      </c>
      <c r="I694" s="2" t="s">
        <v>18</v>
      </c>
      <c r="J694">
        <v>0.63</v>
      </c>
      <c r="K694" s="4">
        <v>44621</v>
      </c>
    </row>
    <row r="695" spans="1:11" x14ac:dyDescent="0.3">
      <c r="A695" t="s">
        <v>1413</v>
      </c>
      <c r="B695" s="2" t="s">
        <v>1414</v>
      </c>
      <c r="C695">
        <v>21</v>
      </c>
      <c r="D695" s="2" t="s">
        <v>21</v>
      </c>
      <c r="E695" s="2" t="s">
        <v>14</v>
      </c>
      <c r="F695" s="2" t="s">
        <v>15</v>
      </c>
      <c r="G695" s="2" t="s">
        <v>81</v>
      </c>
      <c r="H695" s="2" t="s">
        <v>17</v>
      </c>
      <c r="I695" s="2" t="s">
        <v>18</v>
      </c>
      <c r="J695">
        <v>0.39</v>
      </c>
      <c r="K695" s="4">
        <v>43485</v>
      </c>
    </row>
    <row r="696" spans="1:11" x14ac:dyDescent="0.3">
      <c r="A696" t="s">
        <v>1415</v>
      </c>
      <c r="B696" s="2" t="s">
        <v>1416</v>
      </c>
      <c r="C696">
        <v>37</v>
      </c>
      <c r="D696" s="2" t="s">
        <v>21</v>
      </c>
      <c r="E696" s="2" t="s">
        <v>22</v>
      </c>
      <c r="F696" s="2" t="s">
        <v>37</v>
      </c>
      <c r="G696" s="2" t="s">
        <v>32</v>
      </c>
      <c r="H696" s="2" t="s">
        <v>17</v>
      </c>
      <c r="I696" s="2" t="s">
        <v>18</v>
      </c>
      <c r="J696">
        <v>0.5</v>
      </c>
      <c r="K696" s="4">
        <v>43414</v>
      </c>
    </row>
    <row r="697" spans="1:11" x14ac:dyDescent="0.3">
      <c r="A697" t="s">
        <v>1417</v>
      </c>
      <c r="B697" s="2" t="s">
        <v>1418</v>
      </c>
      <c r="C697">
        <v>29</v>
      </c>
      <c r="D697" s="2" t="s">
        <v>21</v>
      </c>
      <c r="E697" s="2" t="s">
        <v>22</v>
      </c>
      <c r="F697" s="2" t="s">
        <v>23</v>
      </c>
      <c r="G697" s="2" t="s">
        <v>66</v>
      </c>
      <c r="H697" s="2" t="s">
        <v>17</v>
      </c>
      <c r="I697" s="2" t="s">
        <v>18</v>
      </c>
      <c r="J697">
        <v>0.65</v>
      </c>
      <c r="K697" s="4">
        <v>43188</v>
      </c>
    </row>
    <row r="698" spans="1:11" x14ac:dyDescent="0.3">
      <c r="A698" t="s">
        <v>1419</v>
      </c>
      <c r="B698" s="2" t="s">
        <v>1420</v>
      </c>
      <c r="C698">
        <v>50</v>
      </c>
      <c r="D698" s="2" t="s">
        <v>21</v>
      </c>
      <c r="E698" s="2" t="s">
        <v>22</v>
      </c>
      <c r="F698" s="2" t="s">
        <v>37</v>
      </c>
      <c r="G698" s="2" t="s">
        <v>27</v>
      </c>
      <c r="H698" s="2" t="s">
        <v>17</v>
      </c>
      <c r="I698" s="2" t="s">
        <v>17</v>
      </c>
      <c r="J698">
        <v>0.61</v>
      </c>
      <c r="K698" s="4">
        <v>43728</v>
      </c>
    </row>
    <row r="699" spans="1:11" x14ac:dyDescent="0.3">
      <c r="A699" t="s">
        <v>1421</v>
      </c>
      <c r="B699" s="2" t="s">
        <v>1422</v>
      </c>
      <c r="C699">
        <v>39</v>
      </c>
      <c r="D699" s="2" t="s">
        <v>13</v>
      </c>
      <c r="E699" s="2" t="s">
        <v>22</v>
      </c>
      <c r="F699" s="2" t="s">
        <v>37</v>
      </c>
      <c r="G699" s="2" t="s">
        <v>16</v>
      </c>
      <c r="H699" s="2" t="s">
        <v>18</v>
      </c>
      <c r="I699" s="2" t="s">
        <v>17</v>
      </c>
      <c r="J699">
        <v>0.57999999999999996</v>
      </c>
      <c r="K699" s="4">
        <v>44732</v>
      </c>
    </row>
    <row r="700" spans="1:11" x14ac:dyDescent="0.3">
      <c r="A700" t="s">
        <v>1423</v>
      </c>
      <c r="B700" s="2" t="s">
        <v>1424</v>
      </c>
      <c r="C700">
        <v>18</v>
      </c>
      <c r="D700" s="2" t="s">
        <v>21</v>
      </c>
      <c r="E700" s="2" t="s">
        <v>22</v>
      </c>
      <c r="F700" s="2" t="s">
        <v>23</v>
      </c>
      <c r="G700" s="2" t="s">
        <v>27</v>
      </c>
      <c r="H700" s="2" t="s">
        <v>17</v>
      </c>
      <c r="I700" s="2" t="s">
        <v>17</v>
      </c>
      <c r="J700">
        <v>0.18</v>
      </c>
      <c r="K700" s="4">
        <v>43245</v>
      </c>
    </row>
    <row r="701" spans="1:11" x14ac:dyDescent="0.3">
      <c r="A701" t="s">
        <v>1425</v>
      </c>
      <c r="B701" s="2" t="s">
        <v>1426</v>
      </c>
      <c r="C701">
        <v>21</v>
      </c>
      <c r="D701" s="2" t="s">
        <v>13</v>
      </c>
      <c r="E701" s="2" t="s">
        <v>14</v>
      </c>
      <c r="F701" s="2" t="s">
        <v>23</v>
      </c>
      <c r="G701" s="2" t="s">
        <v>32</v>
      </c>
      <c r="H701" s="2" t="s">
        <v>18</v>
      </c>
      <c r="I701" s="2" t="s">
        <v>17</v>
      </c>
      <c r="J701">
        <v>0.82</v>
      </c>
      <c r="K701" s="4">
        <v>44461</v>
      </c>
    </row>
    <row r="702" spans="1:11" x14ac:dyDescent="0.3">
      <c r="A702" t="s">
        <v>1427</v>
      </c>
      <c r="B702" s="2" t="s">
        <v>1428</v>
      </c>
      <c r="C702">
        <v>40</v>
      </c>
      <c r="D702" s="2" t="s">
        <v>13</v>
      </c>
      <c r="E702" s="2" t="s">
        <v>30</v>
      </c>
      <c r="F702" s="2" t="s">
        <v>15</v>
      </c>
      <c r="G702" s="2" t="s">
        <v>16</v>
      </c>
      <c r="H702" s="2" t="s">
        <v>17</v>
      </c>
      <c r="I702" s="2" t="s">
        <v>18</v>
      </c>
      <c r="J702">
        <v>0.54</v>
      </c>
      <c r="K702" s="4">
        <v>44519</v>
      </c>
    </row>
    <row r="703" spans="1:11" x14ac:dyDescent="0.3">
      <c r="A703" t="s">
        <v>1429</v>
      </c>
      <c r="B703" s="2" t="s">
        <v>1430</v>
      </c>
      <c r="C703">
        <v>43</v>
      </c>
      <c r="D703" s="2" t="s">
        <v>13</v>
      </c>
      <c r="E703" s="2" t="s">
        <v>22</v>
      </c>
      <c r="F703" s="2" t="s">
        <v>31</v>
      </c>
      <c r="G703" s="2" t="s">
        <v>81</v>
      </c>
      <c r="H703" s="2" t="s">
        <v>17</v>
      </c>
      <c r="I703" s="2" t="s">
        <v>17</v>
      </c>
      <c r="J703">
        <v>0.44</v>
      </c>
      <c r="K703" s="4">
        <v>43605</v>
      </c>
    </row>
    <row r="704" spans="1:11" x14ac:dyDescent="0.3">
      <c r="A704" t="s">
        <v>1431</v>
      </c>
      <c r="B704" s="2" t="s">
        <v>1432</v>
      </c>
      <c r="C704">
        <v>58</v>
      </c>
      <c r="D704" s="2" t="s">
        <v>21</v>
      </c>
      <c r="E704" s="2" t="s">
        <v>14</v>
      </c>
      <c r="F704" s="2" t="s">
        <v>15</v>
      </c>
      <c r="G704" s="2" t="s">
        <v>66</v>
      </c>
      <c r="H704" s="2" t="s">
        <v>18</v>
      </c>
      <c r="I704" s="2" t="s">
        <v>17</v>
      </c>
      <c r="J704">
        <v>7.0000000000000007E-2</v>
      </c>
      <c r="K704" s="4">
        <v>43477</v>
      </c>
    </row>
    <row r="705" spans="1:11" x14ac:dyDescent="0.3">
      <c r="A705" t="s">
        <v>1433</v>
      </c>
      <c r="B705" s="2" t="s">
        <v>1434</v>
      </c>
      <c r="C705">
        <v>69</v>
      </c>
      <c r="D705" s="2" t="s">
        <v>13</v>
      </c>
      <c r="E705" s="2" t="s">
        <v>30</v>
      </c>
      <c r="F705" s="2" t="s">
        <v>15</v>
      </c>
      <c r="G705" s="2" t="s">
        <v>32</v>
      </c>
      <c r="H705" s="2" t="s">
        <v>17</v>
      </c>
      <c r="I705" s="2" t="s">
        <v>17</v>
      </c>
      <c r="J705">
        <v>0.91</v>
      </c>
      <c r="K705" s="4">
        <v>43837</v>
      </c>
    </row>
    <row r="706" spans="1:11" x14ac:dyDescent="0.3">
      <c r="A706" t="s">
        <v>1435</v>
      </c>
      <c r="B706" s="2" t="s">
        <v>1436</v>
      </c>
      <c r="C706">
        <v>49</v>
      </c>
      <c r="D706" s="2" t="s">
        <v>13</v>
      </c>
      <c r="E706" s="2" t="s">
        <v>14</v>
      </c>
      <c r="F706" s="2" t="s">
        <v>15</v>
      </c>
      <c r="G706" s="2" t="s">
        <v>81</v>
      </c>
      <c r="H706" s="2" t="s">
        <v>18</v>
      </c>
      <c r="I706" s="2" t="s">
        <v>17</v>
      </c>
      <c r="J706">
        <v>0.39</v>
      </c>
      <c r="K706" s="4">
        <v>44169</v>
      </c>
    </row>
    <row r="707" spans="1:11" x14ac:dyDescent="0.3">
      <c r="A707" t="s">
        <v>1437</v>
      </c>
      <c r="B707" s="2" t="s">
        <v>1438</v>
      </c>
      <c r="C707">
        <v>31</v>
      </c>
      <c r="D707" s="2" t="s">
        <v>13</v>
      </c>
      <c r="E707" s="2" t="s">
        <v>30</v>
      </c>
      <c r="F707" s="2" t="s">
        <v>15</v>
      </c>
      <c r="G707" s="2" t="s">
        <v>27</v>
      </c>
      <c r="H707" s="2" t="s">
        <v>17</v>
      </c>
      <c r="I707" s="2" t="s">
        <v>18</v>
      </c>
      <c r="J707">
        <v>0.64</v>
      </c>
      <c r="K707" s="4">
        <v>44503</v>
      </c>
    </row>
    <row r="708" spans="1:11" x14ac:dyDescent="0.3">
      <c r="A708" t="s">
        <v>1439</v>
      </c>
      <c r="B708" s="2" t="s">
        <v>1440</v>
      </c>
      <c r="C708">
        <v>35</v>
      </c>
      <c r="D708" s="2" t="s">
        <v>13</v>
      </c>
      <c r="E708" s="2" t="s">
        <v>22</v>
      </c>
      <c r="F708" s="2" t="s">
        <v>37</v>
      </c>
      <c r="G708" s="2" t="s">
        <v>81</v>
      </c>
      <c r="H708" s="2" t="s">
        <v>18</v>
      </c>
      <c r="I708" s="2" t="s">
        <v>17</v>
      </c>
      <c r="J708">
        <v>0.69</v>
      </c>
      <c r="K708" s="4">
        <v>44027</v>
      </c>
    </row>
    <row r="709" spans="1:11" x14ac:dyDescent="0.3">
      <c r="A709" t="s">
        <v>1441</v>
      </c>
      <c r="B709" s="2" t="s">
        <v>1442</v>
      </c>
      <c r="C709">
        <v>41</v>
      </c>
      <c r="D709" s="2" t="s">
        <v>13</v>
      </c>
      <c r="E709" s="2" t="s">
        <v>22</v>
      </c>
      <c r="F709" s="2" t="s">
        <v>37</v>
      </c>
      <c r="G709" s="2" t="s">
        <v>24</v>
      </c>
      <c r="H709" s="2" t="s">
        <v>17</v>
      </c>
      <c r="I709" s="2" t="s">
        <v>17</v>
      </c>
      <c r="J709">
        <v>0.36</v>
      </c>
      <c r="K709" s="4">
        <v>44017</v>
      </c>
    </row>
    <row r="710" spans="1:11" x14ac:dyDescent="0.3">
      <c r="A710" t="s">
        <v>1443</v>
      </c>
      <c r="B710" s="2" t="s">
        <v>1444</v>
      </c>
      <c r="C710">
        <v>30</v>
      </c>
      <c r="D710" s="2" t="s">
        <v>21</v>
      </c>
      <c r="E710" s="2" t="s">
        <v>14</v>
      </c>
      <c r="F710" s="2" t="s">
        <v>31</v>
      </c>
      <c r="G710" s="2" t="s">
        <v>81</v>
      </c>
      <c r="H710" s="2" t="s">
        <v>18</v>
      </c>
      <c r="I710" s="2" t="s">
        <v>17</v>
      </c>
      <c r="J710">
        <v>0.62</v>
      </c>
      <c r="K710" s="4">
        <v>43393</v>
      </c>
    </row>
    <row r="711" spans="1:11" x14ac:dyDescent="0.3">
      <c r="A711" t="s">
        <v>1445</v>
      </c>
      <c r="B711" s="2" t="s">
        <v>1446</v>
      </c>
      <c r="C711">
        <v>53</v>
      </c>
      <c r="D711" s="2" t="s">
        <v>13</v>
      </c>
      <c r="E711" s="2" t="s">
        <v>22</v>
      </c>
      <c r="F711" s="2" t="s">
        <v>31</v>
      </c>
      <c r="G711" s="2" t="s">
        <v>27</v>
      </c>
      <c r="H711" s="2" t="s">
        <v>18</v>
      </c>
      <c r="I711" s="2" t="s">
        <v>17</v>
      </c>
      <c r="J711">
        <v>0.56999999999999995</v>
      </c>
      <c r="K711" s="4">
        <v>43525</v>
      </c>
    </row>
    <row r="712" spans="1:11" x14ac:dyDescent="0.3">
      <c r="A712" t="s">
        <v>1447</v>
      </c>
      <c r="B712" s="2" t="s">
        <v>1448</v>
      </c>
      <c r="C712">
        <v>21</v>
      </c>
      <c r="D712" s="2" t="s">
        <v>13</v>
      </c>
      <c r="E712" s="2" t="s">
        <v>22</v>
      </c>
      <c r="F712" s="2" t="s">
        <v>23</v>
      </c>
      <c r="G712" s="2" t="s">
        <v>32</v>
      </c>
      <c r="H712" s="2" t="s">
        <v>18</v>
      </c>
      <c r="I712" s="2" t="s">
        <v>18</v>
      </c>
      <c r="J712">
        <v>0.63</v>
      </c>
      <c r="K712" s="4">
        <v>43538</v>
      </c>
    </row>
    <row r="713" spans="1:11" x14ac:dyDescent="0.3">
      <c r="A713" t="s">
        <v>1449</v>
      </c>
      <c r="B713" s="2" t="s">
        <v>1450</v>
      </c>
      <c r="C713">
        <v>43</v>
      </c>
      <c r="D713" s="2" t="s">
        <v>13</v>
      </c>
      <c r="E713" s="2" t="s">
        <v>30</v>
      </c>
      <c r="F713" s="2" t="s">
        <v>37</v>
      </c>
      <c r="G713" s="2" t="s">
        <v>32</v>
      </c>
      <c r="H713" s="2" t="s">
        <v>17</v>
      </c>
      <c r="I713" s="2" t="s">
        <v>18</v>
      </c>
      <c r="J713">
        <v>0.72</v>
      </c>
      <c r="K713" s="4">
        <v>43830</v>
      </c>
    </row>
    <row r="714" spans="1:11" x14ac:dyDescent="0.3">
      <c r="A714" t="s">
        <v>1451</v>
      </c>
      <c r="B714" s="2" t="s">
        <v>1452</v>
      </c>
      <c r="C714">
        <v>38</v>
      </c>
      <c r="D714" s="2" t="s">
        <v>21</v>
      </c>
      <c r="E714" s="2" t="s">
        <v>30</v>
      </c>
      <c r="F714" s="2" t="s">
        <v>37</v>
      </c>
      <c r="G714" s="2" t="s">
        <v>81</v>
      </c>
      <c r="H714" s="2" t="s">
        <v>17</v>
      </c>
      <c r="I714" s="2" t="s">
        <v>18</v>
      </c>
      <c r="J714">
        <v>0.62</v>
      </c>
      <c r="K714" s="4">
        <v>43799</v>
      </c>
    </row>
    <row r="715" spans="1:11" x14ac:dyDescent="0.3">
      <c r="A715" t="s">
        <v>1453</v>
      </c>
      <c r="B715" s="2" t="s">
        <v>1454</v>
      </c>
      <c r="C715">
        <v>57</v>
      </c>
      <c r="D715" s="2" t="s">
        <v>13</v>
      </c>
      <c r="E715" s="2" t="s">
        <v>14</v>
      </c>
      <c r="F715" s="2" t="s">
        <v>31</v>
      </c>
      <c r="G715" s="2" t="s">
        <v>32</v>
      </c>
      <c r="H715" s="2" t="s">
        <v>18</v>
      </c>
      <c r="I715" s="2" t="s">
        <v>18</v>
      </c>
      <c r="J715">
        <v>0.51</v>
      </c>
      <c r="K715" s="4">
        <v>43237</v>
      </c>
    </row>
    <row r="716" spans="1:11" x14ac:dyDescent="0.3">
      <c r="A716" t="s">
        <v>1455</v>
      </c>
      <c r="B716" s="2" t="s">
        <v>1456</v>
      </c>
      <c r="C716">
        <v>46</v>
      </c>
      <c r="D716" s="2" t="s">
        <v>21</v>
      </c>
      <c r="E716" s="2" t="s">
        <v>22</v>
      </c>
      <c r="F716" s="2" t="s">
        <v>15</v>
      </c>
      <c r="G716" s="2" t="s">
        <v>81</v>
      </c>
      <c r="H716" s="2" t="s">
        <v>18</v>
      </c>
      <c r="I716" s="2" t="s">
        <v>17</v>
      </c>
      <c r="J716">
        <v>0.45</v>
      </c>
      <c r="K716" s="4">
        <v>43795</v>
      </c>
    </row>
    <row r="717" spans="1:11" x14ac:dyDescent="0.3">
      <c r="A717" t="s">
        <v>1457</v>
      </c>
      <c r="B717" s="2" t="s">
        <v>1458</v>
      </c>
      <c r="C717">
        <v>19</v>
      </c>
      <c r="D717" s="2" t="s">
        <v>13</v>
      </c>
      <c r="E717" s="2" t="s">
        <v>14</v>
      </c>
      <c r="F717" s="2" t="s">
        <v>23</v>
      </c>
      <c r="G717" s="2" t="s">
        <v>16</v>
      </c>
      <c r="H717" s="2" t="s">
        <v>18</v>
      </c>
      <c r="I717" s="2" t="s">
        <v>18</v>
      </c>
      <c r="J717">
        <v>0.42</v>
      </c>
      <c r="K717" s="4">
        <v>44640</v>
      </c>
    </row>
    <row r="718" spans="1:11" x14ac:dyDescent="0.3">
      <c r="A718" t="s">
        <v>1459</v>
      </c>
      <c r="B718" s="2" t="s">
        <v>1460</v>
      </c>
      <c r="C718">
        <v>32</v>
      </c>
      <c r="D718" s="2" t="s">
        <v>13</v>
      </c>
      <c r="E718" s="2" t="s">
        <v>22</v>
      </c>
      <c r="F718" s="2" t="s">
        <v>23</v>
      </c>
      <c r="G718" s="2" t="s">
        <v>81</v>
      </c>
      <c r="H718" s="2" t="s">
        <v>18</v>
      </c>
      <c r="I718" s="2" t="s">
        <v>17</v>
      </c>
      <c r="J718">
        <v>0.85</v>
      </c>
      <c r="K718" s="4">
        <v>43377</v>
      </c>
    </row>
    <row r="719" spans="1:11" x14ac:dyDescent="0.3">
      <c r="A719" t="s">
        <v>1461</v>
      </c>
      <c r="B719" s="2" t="s">
        <v>1462</v>
      </c>
      <c r="C719">
        <v>35</v>
      </c>
      <c r="D719" s="2" t="s">
        <v>21</v>
      </c>
      <c r="E719" s="2" t="s">
        <v>14</v>
      </c>
      <c r="F719" s="2" t="s">
        <v>31</v>
      </c>
      <c r="G719" s="2" t="s">
        <v>27</v>
      </c>
      <c r="H719" s="2" t="s">
        <v>17</v>
      </c>
      <c r="I719" s="2" t="s">
        <v>17</v>
      </c>
      <c r="J719">
        <v>0.43</v>
      </c>
      <c r="K719" s="4">
        <v>44206</v>
      </c>
    </row>
    <row r="720" spans="1:11" x14ac:dyDescent="0.3">
      <c r="A720" t="s">
        <v>1463</v>
      </c>
      <c r="B720" s="2" t="s">
        <v>1464</v>
      </c>
      <c r="C720">
        <v>43</v>
      </c>
      <c r="D720" s="2" t="s">
        <v>13</v>
      </c>
      <c r="E720" s="2" t="s">
        <v>22</v>
      </c>
      <c r="F720" s="2" t="s">
        <v>37</v>
      </c>
      <c r="G720" s="2" t="s">
        <v>81</v>
      </c>
      <c r="H720" s="2" t="s">
        <v>17</v>
      </c>
      <c r="I720" s="2" t="s">
        <v>17</v>
      </c>
      <c r="J720">
        <v>0.53</v>
      </c>
      <c r="K720" s="4">
        <v>43793</v>
      </c>
    </row>
    <row r="721" spans="1:11" x14ac:dyDescent="0.3">
      <c r="A721" t="s">
        <v>1465</v>
      </c>
      <c r="B721" s="2" t="s">
        <v>1466</v>
      </c>
      <c r="C721">
        <v>32</v>
      </c>
      <c r="D721" s="2" t="s">
        <v>21</v>
      </c>
      <c r="E721" s="2" t="s">
        <v>30</v>
      </c>
      <c r="F721" s="2" t="s">
        <v>37</v>
      </c>
      <c r="G721" s="2" t="s">
        <v>24</v>
      </c>
      <c r="H721" s="2" t="s">
        <v>18</v>
      </c>
      <c r="I721" s="2" t="s">
        <v>17</v>
      </c>
      <c r="J721">
        <v>0.22</v>
      </c>
      <c r="K721" s="4">
        <v>45100</v>
      </c>
    </row>
    <row r="722" spans="1:11" x14ac:dyDescent="0.3">
      <c r="A722" t="s">
        <v>1467</v>
      </c>
      <c r="B722" s="2" t="s">
        <v>1468</v>
      </c>
      <c r="C722">
        <v>57</v>
      </c>
      <c r="D722" s="2" t="s">
        <v>13</v>
      </c>
      <c r="E722" s="2" t="s">
        <v>14</v>
      </c>
      <c r="F722" s="2" t="s">
        <v>37</v>
      </c>
      <c r="G722" s="2" t="s">
        <v>81</v>
      </c>
      <c r="H722" s="2" t="s">
        <v>18</v>
      </c>
      <c r="I722" s="2" t="s">
        <v>18</v>
      </c>
      <c r="J722">
        <v>0.56000000000000005</v>
      </c>
      <c r="K722" s="4">
        <v>45194</v>
      </c>
    </row>
    <row r="723" spans="1:11" x14ac:dyDescent="0.3">
      <c r="A723" t="s">
        <v>1469</v>
      </c>
      <c r="B723" s="2" t="s">
        <v>1470</v>
      </c>
      <c r="C723">
        <v>26</v>
      </c>
      <c r="D723" s="2" t="s">
        <v>13</v>
      </c>
      <c r="E723" s="2" t="s">
        <v>22</v>
      </c>
      <c r="F723" s="2" t="s">
        <v>31</v>
      </c>
      <c r="G723" s="2" t="s">
        <v>81</v>
      </c>
      <c r="H723" s="2" t="s">
        <v>18</v>
      </c>
      <c r="I723" s="2" t="s">
        <v>17</v>
      </c>
      <c r="J723">
        <v>0.53</v>
      </c>
      <c r="K723" s="4">
        <v>43338</v>
      </c>
    </row>
    <row r="724" spans="1:11" x14ac:dyDescent="0.3">
      <c r="A724" t="s">
        <v>1471</v>
      </c>
      <c r="B724" s="2" t="s">
        <v>1472</v>
      </c>
      <c r="C724">
        <v>63</v>
      </c>
      <c r="D724" s="2" t="s">
        <v>21</v>
      </c>
      <c r="E724" s="2" t="s">
        <v>14</v>
      </c>
      <c r="F724" s="2" t="s">
        <v>15</v>
      </c>
      <c r="G724" s="2" t="s">
        <v>16</v>
      </c>
      <c r="H724" s="2" t="s">
        <v>17</v>
      </c>
      <c r="I724" s="2" t="s">
        <v>17</v>
      </c>
      <c r="J724">
        <v>0.54</v>
      </c>
      <c r="K724" s="4">
        <v>43350</v>
      </c>
    </row>
    <row r="725" spans="1:11" x14ac:dyDescent="0.3">
      <c r="A725" t="s">
        <v>1473</v>
      </c>
      <c r="B725" s="2" t="s">
        <v>1474</v>
      </c>
      <c r="C725">
        <v>45</v>
      </c>
      <c r="D725" s="2" t="s">
        <v>13</v>
      </c>
      <c r="E725" s="2" t="s">
        <v>14</v>
      </c>
      <c r="F725" s="2" t="s">
        <v>37</v>
      </c>
      <c r="G725" s="2" t="s">
        <v>24</v>
      </c>
      <c r="H725" s="2" t="s">
        <v>18</v>
      </c>
      <c r="I725" s="2" t="s">
        <v>18</v>
      </c>
      <c r="J725">
        <v>0.61</v>
      </c>
      <c r="K725" s="4">
        <v>44104</v>
      </c>
    </row>
    <row r="726" spans="1:11" x14ac:dyDescent="0.3">
      <c r="A726" t="s">
        <v>1475</v>
      </c>
      <c r="B726" s="2" t="s">
        <v>1476</v>
      </c>
      <c r="C726">
        <v>54</v>
      </c>
      <c r="D726" s="2" t="s">
        <v>21</v>
      </c>
      <c r="E726" s="2" t="s">
        <v>14</v>
      </c>
      <c r="F726" s="2" t="s">
        <v>23</v>
      </c>
      <c r="G726" s="2" t="s">
        <v>32</v>
      </c>
      <c r="H726" s="2" t="s">
        <v>17</v>
      </c>
      <c r="I726" s="2" t="s">
        <v>18</v>
      </c>
      <c r="J726">
        <v>0.69</v>
      </c>
      <c r="K726" s="4">
        <v>44044</v>
      </c>
    </row>
    <row r="727" spans="1:11" x14ac:dyDescent="0.3">
      <c r="A727" t="s">
        <v>1477</v>
      </c>
      <c r="B727" s="2" t="s">
        <v>1478</v>
      </c>
      <c r="C727">
        <v>29</v>
      </c>
      <c r="D727" s="2" t="s">
        <v>21</v>
      </c>
      <c r="E727" s="2" t="s">
        <v>30</v>
      </c>
      <c r="F727" s="2" t="s">
        <v>23</v>
      </c>
      <c r="G727" s="2" t="s">
        <v>16</v>
      </c>
      <c r="H727" s="2" t="s">
        <v>18</v>
      </c>
      <c r="I727" s="2" t="s">
        <v>18</v>
      </c>
      <c r="J727">
        <v>0.5</v>
      </c>
      <c r="K727" s="4">
        <v>45090</v>
      </c>
    </row>
    <row r="728" spans="1:11" x14ac:dyDescent="0.3">
      <c r="A728" t="s">
        <v>1479</v>
      </c>
      <c r="B728" s="2" t="s">
        <v>1480</v>
      </c>
      <c r="C728">
        <v>57</v>
      </c>
      <c r="D728" s="2" t="s">
        <v>21</v>
      </c>
      <c r="E728" s="2" t="s">
        <v>14</v>
      </c>
      <c r="F728" s="2" t="s">
        <v>37</v>
      </c>
      <c r="G728" s="2" t="s">
        <v>16</v>
      </c>
      <c r="H728" s="2" t="s">
        <v>17</v>
      </c>
      <c r="I728" s="2" t="s">
        <v>18</v>
      </c>
      <c r="J728">
        <v>0.57999999999999996</v>
      </c>
      <c r="K728" s="4">
        <v>44323</v>
      </c>
    </row>
    <row r="729" spans="1:11" x14ac:dyDescent="0.3">
      <c r="A729" t="s">
        <v>1481</v>
      </c>
      <c r="B729" s="2" t="s">
        <v>1482</v>
      </c>
      <c r="C729">
        <v>60</v>
      </c>
      <c r="D729" s="2" t="s">
        <v>21</v>
      </c>
      <c r="E729" s="2" t="s">
        <v>22</v>
      </c>
      <c r="F729" s="2" t="s">
        <v>37</v>
      </c>
      <c r="G729" s="2" t="s">
        <v>16</v>
      </c>
      <c r="H729" s="2" t="s">
        <v>18</v>
      </c>
      <c r="I729" s="2" t="s">
        <v>18</v>
      </c>
      <c r="J729">
        <v>0.36</v>
      </c>
      <c r="K729" s="4">
        <v>44576</v>
      </c>
    </row>
    <row r="730" spans="1:11" x14ac:dyDescent="0.3">
      <c r="A730" t="s">
        <v>1483</v>
      </c>
      <c r="B730" s="2" t="s">
        <v>1484</v>
      </c>
      <c r="C730">
        <v>49</v>
      </c>
      <c r="D730" s="2" t="s">
        <v>21</v>
      </c>
      <c r="E730" s="2" t="s">
        <v>14</v>
      </c>
      <c r="F730" s="2" t="s">
        <v>15</v>
      </c>
      <c r="G730" s="2" t="s">
        <v>24</v>
      </c>
      <c r="H730" s="2" t="s">
        <v>18</v>
      </c>
      <c r="I730" s="2" t="s">
        <v>18</v>
      </c>
      <c r="J730">
        <v>0.72</v>
      </c>
      <c r="K730" s="4">
        <v>44474</v>
      </c>
    </row>
    <row r="731" spans="1:11" x14ac:dyDescent="0.3">
      <c r="A731" t="s">
        <v>1485</v>
      </c>
      <c r="B731" s="2" t="s">
        <v>1486</v>
      </c>
      <c r="C731">
        <v>18</v>
      </c>
      <c r="D731" s="2" t="s">
        <v>13</v>
      </c>
      <c r="E731" s="2" t="s">
        <v>30</v>
      </c>
      <c r="F731" s="2" t="s">
        <v>15</v>
      </c>
      <c r="G731" s="2" t="s">
        <v>81</v>
      </c>
      <c r="H731" s="2" t="s">
        <v>18</v>
      </c>
      <c r="I731" s="2" t="s">
        <v>18</v>
      </c>
      <c r="J731">
        <v>0.73</v>
      </c>
      <c r="K731" s="4">
        <v>43200</v>
      </c>
    </row>
    <row r="732" spans="1:11" x14ac:dyDescent="0.3">
      <c r="A732" t="s">
        <v>1487</v>
      </c>
      <c r="B732" s="2" t="s">
        <v>1488</v>
      </c>
      <c r="C732">
        <v>29</v>
      </c>
      <c r="D732" s="2" t="s">
        <v>13</v>
      </c>
      <c r="E732" s="2" t="s">
        <v>30</v>
      </c>
      <c r="F732" s="2" t="s">
        <v>37</v>
      </c>
      <c r="G732" s="2" t="s">
        <v>27</v>
      </c>
      <c r="H732" s="2" t="s">
        <v>18</v>
      </c>
      <c r="I732" s="2" t="s">
        <v>17</v>
      </c>
      <c r="J732">
        <v>0.56000000000000005</v>
      </c>
      <c r="K732" s="4">
        <v>44178</v>
      </c>
    </row>
    <row r="733" spans="1:11" x14ac:dyDescent="0.3">
      <c r="A733" t="s">
        <v>1489</v>
      </c>
      <c r="B733" s="2" t="s">
        <v>1490</v>
      </c>
      <c r="C733">
        <v>35</v>
      </c>
      <c r="D733" s="2" t="s">
        <v>21</v>
      </c>
      <c r="E733" s="2" t="s">
        <v>30</v>
      </c>
      <c r="F733" s="2" t="s">
        <v>15</v>
      </c>
      <c r="G733" s="2" t="s">
        <v>24</v>
      </c>
      <c r="H733" s="2" t="s">
        <v>17</v>
      </c>
      <c r="I733" s="2" t="s">
        <v>18</v>
      </c>
      <c r="J733">
        <v>0.36</v>
      </c>
      <c r="K733" s="4">
        <v>44932</v>
      </c>
    </row>
    <row r="734" spans="1:11" x14ac:dyDescent="0.3">
      <c r="A734" t="s">
        <v>1491</v>
      </c>
      <c r="B734" s="2" t="s">
        <v>1492</v>
      </c>
      <c r="C734">
        <v>59</v>
      </c>
      <c r="D734" s="2" t="s">
        <v>21</v>
      </c>
      <c r="E734" s="2" t="s">
        <v>30</v>
      </c>
      <c r="F734" s="2" t="s">
        <v>31</v>
      </c>
      <c r="G734" s="2" t="s">
        <v>27</v>
      </c>
      <c r="H734" s="2" t="s">
        <v>17</v>
      </c>
      <c r="I734" s="2" t="s">
        <v>17</v>
      </c>
      <c r="J734">
        <v>0.44</v>
      </c>
      <c r="K734" s="4">
        <v>43328</v>
      </c>
    </row>
    <row r="735" spans="1:11" x14ac:dyDescent="0.3">
      <c r="A735" t="s">
        <v>1493</v>
      </c>
      <c r="B735" s="2" t="s">
        <v>1494</v>
      </c>
      <c r="C735">
        <v>40</v>
      </c>
      <c r="D735" s="2" t="s">
        <v>21</v>
      </c>
      <c r="E735" s="2" t="s">
        <v>14</v>
      </c>
      <c r="F735" s="2" t="s">
        <v>37</v>
      </c>
      <c r="G735" s="2" t="s">
        <v>66</v>
      </c>
      <c r="H735" s="2" t="s">
        <v>17</v>
      </c>
      <c r="I735" s="2" t="s">
        <v>17</v>
      </c>
      <c r="J735">
        <v>0.56000000000000005</v>
      </c>
      <c r="K735" s="4">
        <v>45084</v>
      </c>
    </row>
    <row r="736" spans="1:11" x14ac:dyDescent="0.3">
      <c r="A736" t="s">
        <v>1495</v>
      </c>
      <c r="B736" s="2" t="s">
        <v>1496</v>
      </c>
      <c r="C736">
        <v>60</v>
      </c>
      <c r="D736" s="2" t="s">
        <v>21</v>
      </c>
      <c r="E736" s="2" t="s">
        <v>22</v>
      </c>
      <c r="F736" s="2" t="s">
        <v>31</v>
      </c>
      <c r="G736" s="2" t="s">
        <v>27</v>
      </c>
      <c r="H736" s="2" t="s">
        <v>18</v>
      </c>
      <c r="I736" s="2" t="s">
        <v>18</v>
      </c>
      <c r="J736">
        <v>0.69</v>
      </c>
      <c r="K736" s="4">
        <v>44018</v>
      </c>
    </row>
    <row r="737" spans="1:11" x14ac:dyDescent="0.3">
      <c r="A737" t="s">
        <v>1497</v>
      </c>
      <c r="B737" s="2" t="s">
        <v>1498</v>
      </c>
      <c r="C737">
        <v>66</v>
      </c>
      <c r="D737" s="2" t="s">
        <v>21</v>
      </c>
      <c r="E737" s="2" t="s">
        <v>22</v>
      </c>
      <c r="F737" s="2" t="s">
        <v>15</v>
      </c>
      <c r="G737" s="2" t="s">
        <v>27</v>
      </c>
      <c r="H737" s="2" t="s">
        <v>18</v>
      </c>
      <c r="I737" s="2" t="s">
        <v>17</v>
      </c>
      <c r="J737">
        <v>0</v>
      </c>
      <c r="K737" s="4">
        <v>44214</v>
      </c>
    </row>
    <row r="738" spans="1:11" x14ac:dyDescent="0.3">
      <c r="A738" t="s">
        <v>1499</v>
      </c>
      <c r="B738" s="2" t="s">
        <v>1500</v>
      </c>
      <c r="C738">
        <v>55</v>
      </c>
      <c r="D738" s="2" t="s">
        <v>21</v>
      </c>
      <c r="E738" s="2" t="s">
        <v>30</v>
      </c>
      <c r="F738" s="2" t="s">
        <v>37</v>
      </c>
      <c r="G738" s="2" t="s">
        <v>81</v>
      </c>
      <c r="H738" s="2" t="s">
        <v>17</v>
      </c>
      <c r="I738" s="2" t="s">
        <v>18</v>
      </c>
      <c r="J738">
        <v>0.3</v>
      </c>
      <c r="K738" s="4">
        <v>43301</v>
      </c>
    </row>
    <row r="739" spans="1:11" x14ac:dyDescent="0.3">
      <c r="A739" t="s">
        <v>1501</v>
      </c>
      <c r="B739" s="2" t="s">
        <v>1502</v>
      </c>
      <c r="C739">
        <v>53</v>
      </c>
      <c r="D739" s="2" t="s">
        <v>13</v>
      </c>
      <c r="E739" s="2" t="s">
        <v>14</v>
      </c>
      <c r="F739" s="2" t="s">
        <v>37</v>
      </c>
      <c r="G739" s="2" t="s">
        <v>27</v>
      </c>
      <c r="H739" s="2" t="s">
        <v>18</v>
      </c>
      <c r="I739" s="2" t="s">
        <v>17</v>
      </c>
      <c r="J739">
        <v>0.25</v>
      </c>
      <c r="K739" s="4">
        <v>44789</v>
      </c>
    </row>
    <row r="740" spans="1:11" x14ac:dyDescent="0.3">
      <c r="A740" t="s">
        <v>1503</v>
      </c>
      <c r="B740" s="2" t="s">
        <v>1504</v>
      </c>
      <c r="C740">
        <v>65</v>
      </c>
      <c r="D740" s="2" t="s">
        <v>21</v>
      </c>
      <c r="E740" s="2" t="s">
        <v>30</v>
      </c>
      <c r="F740" s="2" t="s">
        <v>37</v>
      </c>
      <c r="G740" s="2" t="s">
        <v>81</v>
      </c>
      <c r="H740" s="2" t="s">
        <v>17</v>
      </c>
      <c r="I740" s="2" t="s">
        <v>17</v>
      </c>
      <c r="J740">
        <v>0.25</v>
      </c>
      <c r="K740" s="4">
        <v>45265</v>
      </c>
    </row>
    <row r="741" spans="1:11" x14ac:dyDescent="0.3">
      <c r="A741" t="s">
        <v>1505</v>
      </c>
      <c r="B741" s="2" t="s">
        <v>1506</v>
      </c>
      <c r="C741">
        <v>62</v>
      </c>
      <c r="D741" s="2" t="s">
        <v>13</v>
      </c>
      <c r="E741" s="2" t="s">
        <v>30</v>
      </c>
      <c r="F741" s="2" t="s">
        <v>15</v>
      </c>
      <c r="G741" s="2" t="s">
        <v>24</v>
      </c>
      <c r="H741" s="2" t="s">
        <v>18</v>
      </c>
      <c r="I741" s="2" t="s">
        <v>17</v>
      </c>
      <c r="J741">
        <v>0.7</v>
      </c>
      <c r="K741" s="4">
        <v>44765</v>
      </c>
    </row>
    <row r="742" spans="1:11" x14ac:dyDescent="0.3">
      <c r="A742" t="s">
        <v>1507</v>
      </c>
      <c r="B742" s="2" t="s">
        <v>1508</v>
      </c>
      <c r="C742">
        <v>19</v>
      </c>
      <c r="D742" s="2" t="s">
        <v>13</v>
      </c>
      <c r="E742" s="2" t="s">
        <v>30</v>
      </c>
      <c r="F742" s="2" t="s">
        <v>31</v>
      </c>
      <c r="G742" s="2" t="s">
        <v>24</v>
      </c>
      <c r="H742" s="2" t="s">
        <v>17</v>
      </c>
      <c r="I742" s="2" t="s">
        <v>17</v>
      </c>
      <c r="J742">
        <v>0.33</v>
      </c>
      <c r="K742" s="4">
        <v>43652</v>
      </c>
    </row>
    <row r="743" spans="1:11" x14ac:dyDescent="0.3">
      <c r="A743" t="s">
        <v>1509</v>
      </c>
      <c r="B743" s="2" t="s">
        <v>1510</v>
      </c>
      <c r="C743">
        <v>55</v>
      </c>
      <c r="D743" s="2" t="s">
        <v>13</v>
      </c>
      <c r="E743" s="2" t="s">
        <v>22</v>
      </c>
      <c r="F743" s="2" t="s">
        <v>15</v>
      </c>
      <c r="G743" s="2" t="s">
        <v>81</v>
      </c>
      <c r="H743" s="2" t="s">
        <v>17</v>
      </c>
      <c r="I743" s="2" t="s">
        <v>18</v>
      </c>
      <c r="J743">
        <v>0.72</v>
      </c>
      <c r="K743" s="4">
        <v>43466</v>
      </c>
    </row>
    <row r="744" spans="1:11" x14ac:dyDescent="0.3">
      <c r="A744" t="s">
        <v>1511</v>
      </c>
      <c r="B744" s="2" t="s">
        <v>1512</v>
      </c>
      <c r="C744">
        <v>42</v>
      </c>
      <c r="D744" s="2" t="s">
        <v>13</v>
      </c>
      <c r="E744" s="2" t="s">
        <v>14</v>
      </c>
      <c r="F744" s="2" t="s">
        <v>23</v>
      </c>
      <c r="G744" s="2" t="s">
        <v>16</v>
      </c>
      <c r="H744" s="2" t="s">
        <v>17</v>
      </c>
      <c r="I744" s="2" t="s">
        <v>18</v>
      </c>
      <c r="J744">
        <v>0.48</v>
      </c>
      <c r="K744" s="4">
        <v>44628</v>
      </c>
    </row>
    <row r="745" spans="1:11" x14ac:dyDescent="0.3">
      <c r="A745" t="s">
        <v>1513</v>
      </c>
      <c r="B745" s="2" t="s">
        <v>1514</v>
      </c>
      <c r="C745">
        <v>39</v>
      </c>
      <c r="D745" s="2" t="s">
        <v>13</v>
      </c>
      <c r="E745" s="2" t="s">
        <v>14</v>
      </c>
      <c r="F745" s="2" t="s">
        <v>37</v>
      </c>
      <c r="G745" s="2" t="s">
        <v>27</v>
      </c>
      <c r="H745" s="2" t="s">
        <v>17</v>
      </c>
      <c r="I745" s="2" t="s">
        <v>18</v>
      </c>
      <c r="J745">
        <v>0.41</v>
      </c>
      <c r="K745" s="4">
        <v>45137</v>
      </c>
    </row>
    <row r="746" spans="1:11" x14ac:dyDescent="0.3">
      <c r="A746" t="s">
        <v>1515</v>
      </c>
      <c r="B746" s="2" t="s">
        <v>1516</v>
      </c>
      <c r="C746">
        <v>42</v>
      </c>
      <c r="D746" s="2" t="s">
        <v>21</v>
      </c>
      <c r="E746" s="2" t="s">
        <v>14</v>
      </c>
      <c r="F746" s="2" t="s">
        <v>23</v>
      </c>
      <c r="G746" s="2" t="s">
        <v>66</v>
      </c>
      <c r="H746" s="2" t="s">
        <v>18</v>
      </c>
      <c r="I746" s="2" t="s">
        <v>18</v>
      </c>
      <c r="J746">
        <v>0.36</v>
      </c>
      <c r="K746" s="4">
        <v>43741</v>
      </c>
    </row>
    <row r="747" spans="1:11" x14ac:dyDescent="0.3">
      <c r="A747" t="s">
        <v>1517</v>
      </c>
      <c r="B747" s="2" t="s">
        <v>1518</v>
      </c>
      <c r="C747">
        <v>69</v>
      </c>
      <c r="D747" s="2" t="s">
        <v>13</v>
      </c>
      <c r="E747" s="2" t="s">
        <v>14</v>
      </c>
      <c r="F747" s="2" t="s">
        <v>15</v>
      </c>
      <c r="G747" s="2" t="s">
        <v>16</v>
      </c>
      <c r="H747" s="2" t="s">
        <v>17</v>
      </c>
      <c r="I747" s="2" t="s">
        <v>18</v>
      </c>
      <c r="J747">
        <v>0</v>
      </c>
      <c r="K747" s="4">
        <v>43765</v>
      </c>
    </row>
    <row r="748" spans="1:11" x14ac:dyDescent="0.3">
      <c r="A748" t="s">
        <v>1519</v>
      </c>
      <c r="B748" s="2" t="s">
        <v>1520</v>
      </c>
      <c r="C748">
        <v>52</v>
      </c>
      <c r="D748" s="2" t="s">
        <v>21</v>
      </c>
      <c r="E748" s="2" t="s">
        <v>30</v>
      </c>
      <c r="F748" s="2" t="s">
        <v>15</v>
      </c>
      <c r="G748" s="2" t="s">
        <v>27</v>
      </c>
      <c r="H748" s="2" t="s">
        <v>17</v>
      </c>
      <c r="I748" s="2" t="s">
        <v>17</v>
      </c>
      <c r="J748">
        <v>0.41</v>
      </c>
      <c r="K748" s="4">
        <v>44299</v>
      </c>
    </row>
    <row r="749" spans="1:11" x14ac:dyDescent="0.3">
      <c r="A749" t="s">
        <v>1521</v>
      </c>
      <c r="B749" s="2" t="s">
        <v>1522</v>
      </c>
      <c r="C749">
        <v>65</v>
      </c>
      <c r="D749" s="2" t="s">
        <v>21</v>
      </c>
      <c r="E749" s="2" t="s">
        <v>30</v>
      </c>
      <c r="F749" s="2" t="s">
        <v>15</v>
      </c>
      <c r="G749" s="2" t="s">
        <v>24</v>
      </c>
      <c r="H749" s="2" t="s">
        <v>17</v>
      </c>
      <c r="I749" s="2" t="s">
        <v>18</v>
      </c>
      <c r="J749">
        <v>0.79</v>
      </c>
      <c r="K749" s="4">
        <v>44130</v>
      </c>
    </row>
    <row r="750" spans="1:11" x14ac:dyDescent="0.3">
      <c r="A750" t="s">
        <v>1523</v>
      </c>
      <c r="B750" s="2" t="s">
        <v>1524</v>
      </c>
      <c r="C750">
        <v>20</v>
      </c>
      <c r="D750" s="2" t="s">
        <v>21</v>
      </c>
      <c r="E750" s="2" t="s">
        <v>14</v>
      </c>
      <c r="F750" s="2" t="s">
        <v>31</v>
      </c>
      <c r="G750" s="2" t="s">
        <v>32</v>
      </c>
      <c r="H750" s="2" t="s">
        <v>18</v>
      </c>
      <c r="I750" s="2" t="s">
        <v>18</v>
      </c>
      <c r="J750">
        <v>0.26</v>
      </c>
      <c r="K750" s="4">
        <v>44092</v>
      </c>
    </row>
    <row r="751" spans="1:11" x14ac:dyDescent="0.3">
      <c r="A751" t="s">
        <v>1525</v>
      </c>
      <c r="B751" s="2" t="s">
        <v>1526</v>
      </c>
      <c r="C751">
        <v>44</v>
      </c>
      <c r="D751" s="2" t="s">
        <v>21</v>
      </c>
      <c r="E751" s="2" t="s">
        <v>30</v>
      </c>
      <c r="F751" s="2" t="s">
        <v>31</v>
      </c>
      <c r="G751" s="2" t="s">
        <v>81</v>
      </c>
      <c r="H751" s="2" t="s">
        <v>18</v>
      </c>
      <c r="I751" s="2" t="s">
        <v>17</v>
      </c>
      <c r="J751">
        <v>0.44</v>
      </c>
      <c r="K751" s="4">
        <v>45161</v>
      </c>
    </row>
    <row r="752" spans="1:11" x14ac:dyDescent="0.3">
      <c r="A752" t="s">
        <v>1527</v>
      </c>
      <c r="B752" s="2" t="s">
        <v>1528</v>
      </c>
      <c r="C752">
        <v>67</v>
      </c>
      <c r="D752" s="2" t="s">
        <v>21</v>
      </c>
      <c r="E752" s="2" t="s">
        <v>22</v>
      </c>
      <c r="F752" s="2" t="s">
        <v>23</v>
      </c>
      <c r="G752" s="2" t="s">
        <v>24</v>
      </c>
      <c r="H752" s="2" t="s">
        <v>18</v>
      </c>
      <c r="I752" s="2" t="s">
        <v>17</v>
      </c>
      <c r="J752">
        <v>0.39</v>
      </c>
      <c r="K752" s="4">
        <v>43707</v>
      </c>
    </row>
    <row r="753" spans="1:11" x14ac:dyDescent="0.3">
      <c r="A753" t="s">
        <v>1529</v>
      </c>
      <c r="B753" s="2" t="s">
        <v>1530</v>
      </c>
      <c r="C753">
        <v>60</v>
      </c>
      <c r="D753" s="2" t="s">
        <v>21</v>
      </c>
      <c r="E753" s="2" t="s">
        <v>14</v>
      </c>
      <c r="F753" s="2" t="s">
        <v>15</v>
      </c>
      <c r="G753" s="2" t="s">
        <v>24</v>
      </c>
      <c r="H753" s="2" t="s">
        <v>18</v>
      </c>
      <c r="I753" s="2" t="s">
        <v>17</v>
      </c>
      <c r="J753">
        <v>0.45</v>
      </c>
      <c r="K753" s="4">
        <v>43963</v>
      </c>
    </row>
    <row r="754" spans="1:11" x14ac:dyDescent="0.3">
      <c r="A754" t="s">
        <v>1531</v>
      </c>
      <c r="B754" s="2" t="s">
        <v>1532</v>
      </c>
      <c r="C754">
        <v>32</v>
      </c>
      <c r="D754" s="2" t="s">
        <v>21</v>
      </c>
      <c r="E754" s="2" t="s">
        <v>22</v>
      </c>
      <c r="F754" s="2" t="s">
        <v>31</v>
      </c>
      <c r="G754" s="2" t="s">
        <v>66</v>
      </c>
      <c r="H754" s="2" t="s">
        <v>17</v>
      </c>
      <c r="I754" s="2" t="s">
        <v>17</v>
      </c>
      <c r="J754">
        <v>0.49</v>
      </c>
      <c r="K754" s="4">
        <v>43291</v>
      </c>
    </row>
    <row r="755" spans="1:11" x14ac:dyDescent="0.3">
      <c r="A755" t="s">
        <v>1533</v>
      </c>
      <c r="B755" s="2" t="s">
        <v>1534</v>
      </c>
      <c r="C755">
        <v>39</v>
      </c>
      <c r="D755" s="2" t="s">
        <v>21</v>
      </c>
      <c r="E755" s="2" t="s">
        <v>30</v>
      </c>
      <c r="F755" s="2" t="s">
        <v>15</v>
      </c>
      <c r="G755" s="2" t="s">
        <v>16</v>
      </c>
      <c r="H755" s="2" t="s">
        <v>17</v>
      </c>
      <c r="I755" s="2" t="s">
        <v>18</v>
      </c>
      <c r="J755">
        <v>0.52</v>
      </c>
      <c r="K755" s="4">
        <v>44213</v>
      </c>
    </row>
    <row r="756" spans="1:11" x14ac:dyDescent="0.3">
      <c r="A756" t="s">
        <v>1535</v>
      </c>
      <c r="B756" s="2" t="s">
        <v>1536</v>
      </c>
      <c r="C756">
        <v>48</v>
      </c>
      <c r="D756" s="2" t="s">
        <v>13</v>
      </c>
      <c r="E756" s="2" t="s">
        <v>30</v>
      </c>
      <c r="F756" s="2" t="s">
        <v>15</v>
      </c>
      <c r="G756" s="2" t="s">
        <v>16</v>
      </c>
      <c r="H756" s="2" t="s">
        <v>18</v>
      </c>
      <c r="I756" s="2" t="s">
        <v>18</v>
      </c>
      <c r="J756">
        <v>0.36</v>
      </c>
      <c r="K756" s="4">
        <v>44596</v>
      </c>
    </row>
    <row r="757" spans="1:11" x14ac:dyDescent="0.3">
      <c r="A757" t="s">
        <v>1537</v>
      </c>
      <c r="B757" s="2" t="s">
        <v>1538</v>
      </c>
      <c r="C757">
        <v>67</v>
      </c>
      <c r="D757" s="2" t="s">
        <v>13</v>
      </c>
      <c r="E757" s="2" t="s">
        <v>22</v>
      </c>
      <c r="F757" s="2" t="s">
        <v>23</v>
      </c>
      <c r="G757" s="2" t="s">
        <v>24</v>
      </c>
      <c r="H757" s="2" t="s">
        <v>17</v>
      </c>
      <c r="I757" s="2" t="s">
        <v>17</v>
      </c>
      <c r="J757">
        <v>0.47</v>
      </c>
      <c r="K757" s="4">
        <v>44149</v>
      </c>
    </row>
    <row r="758" spans="1:11" x14ac:dyDescent="0.3">
      <c r="A758" t="s">
        <v>1539</v>
      </c>
      <c r="B758" s="2" t="s">
        <v>1540</v>
      </c>
      <c r="C758">
        <v>21</v>
      </c>
      <c r="D758" s="2" t="s">
        <v>21</v>
      </c>
      <c r="E758" s="2" t="s">
        <v>14</v>
      </c>
      <c r="F758" s="2" t="s">
        <v>37</v>
      </c>
      <c r="G758" s="2" t="s">
        <v>16</v>
      </c>
      <c r="H758" s="2" t="s">
        <v>17</v>
      </c>
      <c r="I758" s="2" t="s">
        <v>18</v>
      </c>
      <c r="J758">
        <v>0.36</v>
      </c>
      <c r="K758" s="4">
        <v>44617</v>
      </c>
    </row>
    <row r="759" spans="1:11" x14ac:dyDescent="0.3">
      <c r="A759" t="s">
        <v>1541</v>
      </c>
      <c r="B759" s="2" t="s">
        <v>1542</v>
      </c>
      <c r="C759">
        <v>54</v>
      </c>
      <c r="D759" s="2" t="s">
        <v>21</v>
      </c>
      <c r="E759" s="2" t="s">
        <v>22</v>
      </c>
      <c r="F759" s="2" t="s">
        <v>31</v>
      </c>
      <c r="G759" s="2" t="s">
        <v>16</v>
      </c>
      <c r="H759" s="2" t="s">
        <v>17</v>
      </c>
      <c r="I759" s="2" t="s">
        <v>17</v>
      </c>
      <c r="J759">
        <v>0.38</v>
      </c>
      <c r="K759" s="4">
        <v>44203</v>
      </c>
    </row>
    <row r="760" spans="1:11" x14ac:dyDescent="0.3">
      <c r="A760" t="s">
        <v>1543</v>
      </c>
      <c r="B760" s="2" t="s">
        <v>1544</v>
      </c>
      <c r="C760">
        <v>21</v>
      </c>
      <c r="D760" s="2" t="s">
        <v>21</v>
      </c>
      <c r="E760" s="2" t="s">
        <v>30</v>
      </c>
      <c r="F760" s="2" t="s">
        <v>37</v>
      </c>
      <c r="G760" s="2" t="s">
        <v>66</v>
      </c>
      <c r="H760" s="2" t="s">
        <v>17</v>
      </c>
      <c r="I760" s="2" t="s">
        <v>17</v>
      </c>
      <c r="J760">
        <v>0.46</v>
      </c>
      <c r="K760" s="4">
        <v>44780</v>
      </c>
    </row>
    <row r="761" spans="1:11" x14ac:dyDescent="0.3">
      <c r="A761" t="s">
        <v>1545</v>
      </c>
      <c r="B761" s="2" t="s">
        <v>1546</v>
      </c>
      <c r="C761">
        <v>60</v>
      </c>
      <c r="D761" s="2" t="s">
        <v>21</v>
      </c>
      <c r="E761" s="2" t="s">
        <v>14</v>
      </c>
      <c r="F761" s="2" t="s">
        <v>37</v>
      </c>
      <c r="G761" s="2" t="s">
        <v>32</v>
      </c>
      <c r="H761" s="2" t="s">
        <v>18</v>
      </c>
      <c r="I761" s="2" t="s">
        <v>17</v>
      </c>
      <c r="J761">
        <v>0.36</v>
      </c>
      <c r="K761" s="4">
        <v>43758</v>
      </c>
    </row>
    <row r="762" spans="1:11" x14ac:dyDescent="0.3">
      <c r="A762" t="s">
        <v>1547</v>
      </c>
      <c r="B762" s="2" t="s">
        <v>1548</v>
      </c>
      <c r="C762">
        <v>29</v>
      </c>
      <c r="D762" s="2" t="s">
        <v>21</v>
      </c>
      <c r="E762" s="2" t="s">
        <v>14</v>
      </c>
      <c r="F762" s="2" t="s">
        <v>31</v>
      </c>
      <c r="G762" s="2" t="s">
        <v>16</v>
      </c>
      <c r="H762" s="2" t="s">
        <v>17</v>
      </c>
      <c r="I762" s="2" t="s">
        <v>18</v>
      </c>
      <c r="J762">
        <v>0.37</v>
      </c>
      <c r="K762" s="4">
        <v>43868</v>
      </c>
    </row>
    <row r="763" spans="1:11" x14ac:dyDescent="0.3">
      <c r="A763" t="s">
        <v>1549</v>
      </c>
      <c r="B763" s="2" t="s">
        <v>1550</v>
      </c>
      <c r="C763">
        <v>19</v>
      </c>
      <c r="D763" s="2" t="s">
        <v>21</v>
      </c>
      <c r="E763" s="2" t="s">
        <v>14</v>
      </c>
      <c r="F763" s="2" t="s">
        <v>15</v>
      </c>
      <c r="G763" s="2" t="s">
        <v>16</v>
      </c>
      <c r="H763" s="2" t="s">
        <v>17</v>
      </c>
      <c r="I763" s="2" t="s">
        <v>17</v>
      </c>
      <c r="J763">
        <v>0.04</v>
      </c>
      <c r="K763" s="4">
        <v>43672</v>
      </c>
    </row>
    <row r="764" spans="1:11" x14ac:dyDescent="0.3">
      <c r="A764" t="s">
        <v>1551</v>
      </c>
      <c r="B764" s="2" t="s">
        <v>1552</v>
      </c>
      <c r="C764">
        <v>49</v>
      </c>
      <c r="D764" s="2" t="s">
        <v>13</v>
      </c>
      <c r="E764" s="2" t="s">
        <v>30</v>
      </c>
      <c r="F764" s="2" t="s">
        <v>15</v>
      </c>
      <c r="G764" s="2" t="s">
        <v>81</v>
      </c>
      <c r="H764" s="2" t="s">
        <v>17</v>
      </c>
      <c r="I764" s="2" t="s">
        <v>18</v>
      </c>
      <c r="J764">
        <v>0.5</v>
      </c>
      <c r="K764" s="4">
        <v>45068</v>
      </c>
    </row>
    <row r="765" spans="1:11" x14ac:dyDescent="0.3">
      <c r="A765" t="s">
        <v>1553</v>
      </c>
      <c r="B765" s="2" t="s">
        <v>1554</v>
      </c>
      <c r="C765">
        <v>56</v>
      </c>
      <c r="D765" s="2" t="s">
        <v>13</v>
      </c>
      <c r="E765" s="2" t="s">
        <v>14</v>
      </c>
      <c r="F765" s="2" t="s">
        <v>31</v>
      </c>
      <c r="G765" s="2" t="s">
        <v>66</v>
      </c>
      <c r="H765" s="2" t="s">
        <v>17</v>
      </c>
      <c r="I765" s="2" t="s">
        <v>18</v>
      </c>
      <c r="J765">
        <v>0.33</v>
      </c>
      <c r="K765" s="4">
        <v>43680</v>
      </c>
    </row>
    <row r="766" spans="1:11" x14ac:dyDescent="0.3">
      <c r="A766" t="s">
        <v>1555</v>
      </c>
      <c r="B766" s="2" t="s">
        <v>1556</v>
      </c>
      <c r="C766">
        <v>22</v>
      </c>
      <c r="D766" s="2" t="s">
        <v>13</v>
      </c>
      <c r="E766" s="2" t="s">
        <v>30</v>
      </c>
      <c r="F766" s="2" t="s">
        <v>37</v>
      </c>
      <c r="G766" s="2" t="s">
        <v>32</v>
      </c>
      <c r="H766" s="2" t="s">
        <v>18</v>
      </c>
      <c r="I766" s="2" t="s">
        <v>17</v>
      </c>
      <c r="J766">
        <v>0.12</v>
      </c>
      <c r="K766" s="4">
        <v>43820</v>
      </c>
    </row>
    <row r="767" spans="1:11" x14ac:dyDescent="0.3">
      <c r="A767" t="s">
        <v>1557</v>
      </c>
      <c r="B767" s="2" t="s">
        <v>1558</v>
      </c>
      <c r="C767">
        <v>39</v>
      </c>
      <c r="D767" s="2" t="s">
        <v>13</v>
      </c>
      <c r="E767" s="2" t="s">
        <v>30</v>
      </c>
      <c r="F767" s="2" t="s">
        <v>15</v>
      </c>
      <c r="G767" s="2" t="s">
        <v>24</v>
      </c>
      <c r="H767" s="2" t="s">
        <v>17</v>
      </c>
      <c r="I767" s="2" t="s">
        <v>18</v>
      </c>
      <c r="J767">
        <v>0.49</v>
      </c>
      <c r="K767" s="4">
        <v>43437</v>
      </c>
    </row>
    <row r="768" spans="1:11" x14ac:dyDescent="0.3">
      <c r="A768" t="s">
        <v>1559</v>
      </c>
      <c r="B768" s="2" t="s">
        <v>1560</v>
      </c>
      <c r="C768">
        <v>38</v>
      </c>
      <c r="D768" s="2" t="s">
        <v>13</v>
      </c>
      <c r="E768" s="2" t="s">
        <v>14</v>
      </c>
      <c r="F768" s="2" t="s">
        <v>31</v>
      </c>
      <c r="G768" s="2" t="s">
        <v>32</v>
      </c>
      <c r="H768" s="2" t="s">
        <v>18</v>
      </c>
      <c r="I768" s="2" t="s">
        <v>17</v>
      </c>
      <c r="J768">
        <v>0.47</v>
      </c>
      <c r="K768" s="4">
        <v>44677</v>
      </c>
    </row>
    <row r="769" spans="1:11" x14ac:dyDescent="0.3">
      <c r="A769" t="s">
        <v>1561</v>
      </c>
      <c r="B769" s="2" t="s">
        <v>1562</v>
      </c>
      <c r="C769">
        <v>43</v>
      </c>
      <c r="D769" s="2" t="s">
        <v>21</v>
      </c>
      <c r="E769" s="2" t="s">
        <v>22</v>
      </c>
      <c r="F769" s="2" t="s">
        <v>15</v>
      </c>
      <c r="G769" s="2" t="s">
        <v>66</v>
      </c>
      <c r="H769" s="2" t="s">
        <v>17</v>
      </c>
      <c r="I769" s="2" t="s">
        <v>18</v>
      </c>
      <c r="J769">
        <v>0.39</v>
      </c>
      <c r="K769" s="4">
        <v>43989</v>
      </c>
    </row>
    <row r="770" spans="1:11" x14ac:dyDescent="0.3">
      <c r="A770" t="s">
        <v>1563</v>
      </c>
      <c r="B770" s="2" t="s">
        <v>1564</v>
      </c>
      <c r="C770">
        <v>43</v>
      </c>
      <c r="D770" s="2" t="s">
        <v>21</v>
      </c>
      <c r="E770" s="2" t="s">
        <v>14</v>
      </c>
      <c r="F770" s="2" t="s">
        <v>31</v>
      </c>
      <c r="G770" s="2" t="s">
        <v>66</v>
      </c>
      <c r="H770" s="2" t="s">
        <v>17</v>
      </c>
      <c r="I770" s="2" t="s">
        <v>17</v>
      </c>
      <c r="J770">
        <v>0.68</v>
      </c>
      <c r="K770" s="4">
        <v>44276</v>
      </c>
    </row>
    <row r="771" spans="1:11" x14ac:dyDescent="0.3">
      <c r="A771" t="s">
        <v>1565</v>
      </c>
      <c r="B771" s="2" t="s">
        <v>1566</v>
      </c>
      <c r="C771">
        <v>52</v>
      </c>
      <c r="D771" s="2" t="s">
        <v>13</v>
      </c>
      <c r="E771" s="2" t="s">
        <v>30</v>
      </c>
      <c r="F771" s="2" t="s">
        <v>37</v>
      </c>
      <c r="G771" s="2" t="s">
        <v>27</v>
      </c>
      <c r="H771" s="2" t="s">
        <v>18</v>
      </c>
      <c r="I771" s="2" t="s">
        <v>18</v>
      </c>
      <c r="J771">
        <v>0.43</v>
      </c>
      <c r="K771" s="4">
        <v>43835</v>
      </c>
    </row>
    <row r="772" spans="1:11" x14ac:dyDescent="0.3">
      <c r="A772" t="s">
        <v>1567</v>
      </c>
      <c r="B772" s="2" t="s">
        <v>1568</v>
      </c>
      <c r="C772">
        <v>53</v>
      </c>
      <c r="D772" s="2" t="s">
        <v>21</v>
      </c>
      <c r="E772" s="2" t="s">
        <v>30</v>
      </c>
      <c r="F772" s="2" t="s">
        <v>31</v>
      </c>
      <c r="G772" s="2" t="s">
        <v>66</v>
      </c>
      <c r="H772" s="2" t="s">
        <v>18</v>
      </c>
      <c r="I772" s="2" t="s">
        <v>17</v>
      </c>
      <c r="J772">
        <v>0.52</v>
      </c>
      <c r="K772" s="4">
        <v>43938</v>
      </c>
    </row>
    <row r="773" spans="1:11" x14ac:dyDescent="0.3">
      <c r="A773" t="s">
        <v>1569</v>
      </c>
      <c r="B773" s="2" t="s">
        <v>1570</v>
      </c>
      <c r="C773">
        <v>67</v>
      </c>
      <c r="D773" s="2" t="s">
        <v>13</v>
      </c>
      <c r="E773" s="2" t="s">
        <v>30</v>
      </c>
      <c r="F773" s="2" t="s">
        <v>31</v>
      </c>
      <c r="G773" s="2" t="s">
        <v>24</v>
      </c>
      <c r="H773" s="2" t="s">
        <v>18</v>
      </c>
      <c r="I773" s="2" t="s">
        <v>17</v>
      </c>
      <c r="J773">
        <v>0.12</v>
      </c>
      <c r="K773" s="4">
        <v>44544</v>
      </c>
    </row>
    <row r="774" spans="1:11" x14ac:dyDescent="0.3">
      <c r="A774" t="s">
        <v>1571</v>
      </c>
      <c r="B774" s="2" t="s">
        <v>1572</v>
      </c>
      <c r="C774">
        <v>56</v>
      </c>
      <c r="D774" s="2" t="s">
        <v>13</v>
      </c>
      <c r="E774" s="2" t="s">
        <v>22</v>
      </c>
      <c r="F774" s="2" t="s">
        <v>15</v>
      </c>
      <c r="G774" s="2" t="s">
        <v>32</v>
      </c>
      <c r="H774" s="2" t="s">
        <v>17</v>
      </c>
      <c r="I774" s="2" t="s">
        <v>17</v>
      </c>
      <c r="J774">
        <v>0.27</v>
      </c>
      <c r="K774" s="4">
        <v>45097</v>
      </c>
    </row>
    <row r="775" spans="1:11" x14ac:dyDescent="0.3">
      <c r="A775" t="s">
        <v>1573</v>
      </c>
      <c r="B775" s="2" t="s">
        <v>1574</v>
      </c>
      <c r="C775">
        <v>18</v>
      </c>
      <c r="D775" s="2" t="s">
        <v>13</v>
      </c>
      <c r="E775" s="2" t="s">
        <v>22</v>
      </c>
      <c r="F775" s="2" t="s">
        <v>37</v>
      </c>
      <c r="G775" s="2" t="s">
        <v>81</v>
      </c>
      <c r="H775" s="2" t="s">
        <v>18</v>
      </c>
      <c r="I775" s="2" t="s">
        <v>18</v>
      </c>
      <c r="J775">
        <v>0.09</v>
      </c>
      <c r="K775" s="4">
        <v>45257</v>
      </c>
    </row>
    <row r="776" spans="1:11" x14ac:dyDescent="0.3">
      <c r="A776" t="s">
        <v>1575</v>
      </c>
      <c r="B776" s="2" t="s">
        <v>1576</v>
      </c>
      <c r="C776">
        <v>32</v>
      </c>
      <c r="D776" s="2" t="s">
        <v>21</v>
      </c>
      <c r="E776" s="2" t="s">
        <v>30</v>
      </c>
      <c r="F776" s="2" t="s">
        <v>31</v>
      </c>
      <c r="G776" s="2" t="s">
        <v>81</v>
      </c>
      <c r="H776" s="2" t="s">
        <v>17</v>
      </c>
      <c r="I776" s="2" t="s">
        <v>17</v>
      </c>
      <c r="J776">
        <v>0.32</v>
      </c>
      <c r="K776" s="4">
        <v>44154</v>
      </c>
    </row>
    <row r="777" spans="1:11" x14ac:dyDescent="0.3">
      <c r="A777" t="s">
        <v>1577</v>
      </c>
      <c r="B777" s="2" t="s">
        <v>1578</v>
      </c>
      <c r="C777">
        <v>68</v>
      </c>
      <c r="D777" s="2" t="s">
        <v>21</v>
      </c>
      <c r="E777" s="2" t="s">
        <v>22</v>
      </c>
      <c r="F777" s="2" t="s">
        <v>15</v>
      </c>
      <c r="G777" s="2" t="s">
        <v>81</v>
      </c>
      <c r="H777" s="2" t="s">
        <v>18</v>
      </c>
      <c r="I777" s="2" t="s">
        <v>18</v>
      </c>
      <c r="J777">
        <v>0.06</v>
      </c>
      <c r="K777" s="4">
        <v>44307</v>
      </c>
    </row>
    <row r="778" spans="1:11" x14ac:dyDescent="0.3">
      <c r="A778" t="s">
        <v>1579</v>
      </c>
      <c r="B778" s="2" t="s">
        <v>1580</v>
      </c>
      <c r="C778">
        <v>52</v>
      </c>
      <c r="D778" s="2" t="s">
        <v>13</v>
      </c>
      <c r="E778" s="2" t="s">
        <v>30</v>
      </c>
      <c r="F778" s="2" t="s">
        <v>15</v>
      </c>
      <c r="G778" s="2" t="s">
        <v>66</v>
      </c>
      <c r="H778" s="2" t="s">
        <v>18</v>
      </c>
      <c r="I778" s="2" t="s">
        <v>17</v>
      </c>
      <c r="J778">
        <v>0.18</v>
      </c>
      <c r="K778" s="4">
        <v>44661</v>
      </c>
    </row>
    <row r="779" spans="1:11" x14ac:dyDescent="0.3">
      <c r="A779" t="s">
        <v>1581</v>
      </c>
      <c r="B779" s="2" t="s">
        <v>1582</v>
      </c>
      <c r="C779">
        <v>67</v>
      </c>
      <c r="D779" s="2" t="s">
        <v>21</v>
      </c>
      <c r="E779" s="2" t="s">
        <v>14</v>
      </c>
      <c r="F779" s="2" t="s">
        <v>37</v>
      </c>
      <c r="G779" s="2" t="s">
        <v>27</v>
      </c>
      <c r="H779" s="2" t="s">
        <v>17</v>
      </c>
      <c r="I779" s="2" t="s">
        <v>17</v>
      </c>
      <c r="J779">
        <v>0.76</v>
      </c>
      <c r="K779" s="4">
        <v>44003</v>
      </c>
    </row>
    <row r="780" spans="1:11" x14ac:dyDescent="0.3">
      <c r="A780" t="s">
        <v>1583</v>
      </c>
      <c r="B780" s="2" t="s">
        <v>1584</v>
      </c>
      <c r="C780">
        <v>20</v>
      </c>
      <c r="D780" s="2" t="s">
        <v>13</v>
      </c>
      <c r="E780" s="2" t="s">
        <v>22</v>
      </c>
      <c r="F780" s="2" t="s">
        <v>23</v>
      </c>
      <c r="G780" s="2" t="s">
        <v>32</v>
      </c>
      <c r="H780" s="2" t="s">
        <v>18</v>
      </c>
      <c r="I780" s="2" t="s">
        <v>17</v>
      </c>
      <c r="J780">
        <v>0.5</v>
      </c>
      <c r="K780" s="4">
        <v>43183</v>
      </c>
    </row>
    <row r="781" spans="1:11" x14ac:dyDescent="0.3">
      <c r="A781" t="s">
        <v>1585</v>
      </c>
      <c r="B781" s="2" t="s">
        <v>1586</v>
      </c>
      <c r="C781">
        <v>42</v>
      </c>
      <c r="D781" s="2" t="s">
        <v>21</v>
      </c>
      <c r="E781" s="2" t="s">
        <v>14</v>
      </c>
      <c r="F781" s="2" t="s">
        <v>23</v>
      </c>
      <c r="G781" s="2" t="s">
        <v>16</v>
      </c>
      <c r="H781" s="2" t="s">
        <v>18</v>
      </c>
      <c r="I781" s="2" t="s">
        <v>18</v>
      </c>
      <c r="J781">
        <v>0.47</v>
      </c>
      <c r="K781" s="4">
        <v>43652</v>
      </c>
    </row>
    <row r="782" spans="1:11" x14ac:dyDescent="0.3">
      <c r="A782" t="s">
        <v>1587</v>
      </c>
      <c r="B782" s="2" t="s">
        <v>1588</v>
      </c>
      <c r="C782">
        <v>50</v>
      </c>
      <c r="D782" s="2" t="s">
        <v>21</v>
      </c>
      <c r="E782" s="2" t="s">
        <v>14</v>
      </c>
      <c r="F782" s="2" t="s">
        <v>31</v>
      </c>
      <c r="G782" s="2" t="s">
        <v>16</v>
      </c>
      <c r="H782" s="2" t="s">
        <v>18</v>
      </c>
      <c r="I782" s="2" t="s">
        <v>18</v>
      </c>
      <c r="J782">
        <v>0.6</v>
      </c>
      <c r="K782" s="4">
        <v>44830</v>
      </c>
    </row>
    <row r="783" spans="1:11" x14ac:dyDescent="0.3">
      <c r="A783" t="s">
        <v>1589</v>
      </c>
      <c r="B783" s="2" t="s">
        <v>1590</v>
      </c>
      <c r="C783">
        <v>58</v>
      </c>
      <c r="D783" s="2" t="s">
        <v>21</v>
      </c>
      <c r="E783" s="2" t="s">
        <v>14</v>
      </c>
      <c r="F783" s="2" t="s">
        <v>23</v>
      </c>
      <c r="G783" s="2" t="s">
        <v>81</v>
      </c>
      <c r="H783" s="2" t="s">
        <v>18</v>
      </c>
      <c r="I783" s="2" t="s">
        <v>17</v>
      </c>
      <c r="J783">
        <v>0.49</v>
      </c>
      <c r="K783" s="4">
        <v>43957</v>
      </c>
    </row>
    <row r="784" spans="1:11" x14ac:dyDescent="0.3">
      <c r="A784" t="s">
        <v>1591</v>
      </c>
      <c r="B784" s="2" t="s">
        <v>1592</v>
      </c>
      <c r="C784">
        <v>27</v>
      </c>
      <c r="D784" s="2" t="s">
        <v>21</v>
      </c>
      <c r="E784" s="2" t="s">
        <v>14</v>
      </c>
      <c r="F784" s="2" t="s">
        <v>23</v>
      </c>
      <c r="G784" s="2" t="s">
        <v>66</v>
      </c>
      <c r="H784" s="2" t="s">
        <v>18</v>
      </c>
      <c r="I784" s="2" t="s">
        <v>17</v>
      </c>
      <c r="J784">
        <v>0.14000000000000001</v>
      </c>
      <c r="K784" s="4">
        <v>44228</v>
      </c>
    </row>
    <row r="785" spans="1:11" x14ac:dyDescent="0.3">
      <c r="A785" t="s">
        <v>1593</v>
      </c>
      <c r="B785" s="2" t="s">
        <v>1594</v>
      </c>
      <c r="C785">
        <v>46</v>
      </c>
      <c r="D785" s="2" t="s">
        <v>13</v>
      </c>
      <c r="E785" s="2" t="s">
        <v>14</v>
      </c>
      <c r="F785" s="2" t="s">
        <v>15</v>
      </c>
      <c r="G785" s="2" t="s">
        <v>24</v>
      </c>
      <c r="H785" s="2" t="s">
        <v>17</v>
      </c>
      <c r="I785" s="2" t="s">
        <v>18</v>
      </c>
      <c r="J785">
        <v>0.76</v>
      </c>
      <c r="K785" s="4">
        <v>45147</v>
      </c>
    </row>
    <row r="786" spans="1:11" x14ac:dyDescent="0.3">
      <c r="A786" t="s">
        <v>1595</v>
      </c>
      <c r="B786" s="2" t="s">
        <v>1596</v>
      </c>
      <c r="C786">
        <v>66</v>
      </c>
      <c r="D786" s="2" t="s">
        <v>13</v>
      </c>
      <c r="E786" s="2" t="s">
        <v>14</v>
      </c>
      <c r="F786" s="2" t="s">
        <v>31</v>
      </c>
      <c r="G786" s="2" t="s">
        <v>27</v>
      </c>
      <c r="H786" s="2" t="s">
        <v>17</v>
      </c>
      <c r="I786" s="2" t="s">
        <v>18</v>
      </c>
      <c r="J786">
        <v>0.57999999999999996</v>
      </c>
      <c r="K786" s="4">
        <v>44957</v>
      </c>
    </row>
    <row r="787" spans="1:11" x14ac:dyDescent="0.3">
      <c r="A787" t="s">
        <v>1597</v>
      </c>
      <c r="B787" s="2" t="s">
        <v>1598</v>
      </c>
      <c r="C787">
        <v>64</v>
      </c>
      <c r="D787" s="2" t="s">
        <v>13</v>
      </c>
      <c r="E787" s="2" t="s">
        <v>14</v>
      </c>
      <c r="F787" s="2" t="s">
        <v>15</v>
      </c>
      <c r="G787" s="2" t="s">
        <v>66</v>
      </c>
      <c r="H787" s="2" t="s">
        <v>18</v>
      </c>
      <c r="I787" s="2" t="s">
        <v>18</v>
      </c>
      <c r="J787">
        <v>0.62</v>
      </c>
      <c r="K787" s="4">
        <v>43124</v>
      </c>
    </row>
    <row r="788" spans="1:11" x14ac:dyDescent="0.3">
      <c r="A788" t="s">
        <v>1599</v>
      </c>
      <c r="B788" s="2" t="s">
        <v>1600</v>
      </c>
      <c r="C788">
        <v>67</v>
      </c>
      <c r="D788" s="2" t="s">
        <v>13</v>
      </c>
      <c r="E788" s="2" t="s">
        <v>22</v>
      </c>
      <c r="F788" s="2" t="s">
        <v>37</v>
      </c>
      <c r="G788" s="2" t="s">
        <v>81</v>
      </c>
      <c r="H788" s="2" t="s">
        <v>18</v>
      </c>
      <c r="I788" s="2" t="s">
        <v>17</v>
      </c>
      <c r="J788">
        <v>0.54</v>
      </c>
      <c r="K788" s="4">
        <v>43741</v>
      </c>
    </row>
    <row r="789" spans="1:11" x14ac:dyDescent="0.3">
      <c r="A789" t="s">
        <v>1601</v>
      </c>
      <c r="B789" s="2" t="s">
        <v>1602</v>
      </c>
      <c r="C789">
        <v>18</v>
      </c>
      <c r="D789" s="2" t="s">
        <v>13</v>
      </c>
      <c r="E789" s="2" t="s">
        <v>22</v>
      </c>
      <c r="F789" s="2" t="s">
        <v>31</v>
      </c>
      <c r="G789" s="2" t="s">
        <v>32</v>
      </c>
      <c r="H789" s="2" t="s">
        <v>17</v>
      </c>
      <c r="I789" s="2" t="s">
        <v>18</v>
      </c>
      <c r="J789">
        <v>0.65</v>
      </c>
      <c r="K789" s="4">
        <v>43101</v>
      </c>
    </row>
    <row r="790" spans="1:11" x14ac:dyDescent="0.3">
      <c r="A790" t="s">
        <v>1603</v>
      </c>
      <c r="B790" s="2" t="s">
        <v>1604</v>
      </c>
      <c r="C790">
        <v>69</v>
      </c>
      <c r="D790" s="2" t="s">
        <v>21</v>
      </c>
      <c r="E790" s="2" t="s">
        <v>14</v>
      </c>
      <c r="F790" s="2" t="s">
        <v>31</v>
      </c>
      <c r="G790" s="2" t="s">
        <v>81</v>
      </c>
      <c r="H790" s="2" t="s">
        <v>17</v>
      </c>
      <c r="I790" s="2" t="s">
        <v>17</v>
      </c>
      <c r="J790">
        <v>0.49</v>
      </c>
      <c r="K790" s="4">
        <v>44206</v>
      </c>
    </row>
    <row r="791" spans="1:11" x14ac:dyDescent="0.3">
      <c r="A791" t="s">
        <v>1605</v>
      </c>
      <c r="B791" s="2" t="s">
        <v>1606</v>
      </c>
      <c r="C791">
        <v>39</v>
      </c>
      <c r="D791" s="2" t="s">
        <v>21</v>
      </c>
      <c r="E791" s="2" t="s">
        <v>30</v>
      </c>
      <c r="F791" s="2" t="s">
        <v>23</v>
      </c>
      <c r="G791" s="2" t="s">
        <v>32</v>
      </c>
      <c r="H791" s="2" t="s">
        <v>17</v>
      </c>
      <c r="I791" s="2" t="s">
        <v>18</v>
      </c>
      <c r="J791">
        <v>0.41</v>
      </c>
      <c r="K791" s="4">
        <v>44210</v>
      </c>
    </row>
    <row r="792" spans="1:11" x14ac:dyDescent="0.3">
      <c r="A792" t="s">
        <v>1607</v>
      </c>
      <c r="B792" s="2" t="s">
        <v>1608</v>
      </c>
      <c r="C792">
        <v>51</v>
      </c>
      <c r="D792" s="2" t="s">
        <v>13</v>
      </c>
      <c r="E792" s="2" t="s">
        <v>30</v>
      </c>
      <c r="F792" s="2" t="s">
        <v>23</v>
      </c>
      <c r="G792" s="2" t="s">
        <v>24</v>
      </c>
      <c r="H792" s="2" t="s">
        <v>17</v>
      </c>
      <c r="I792" s="2" t="s">
        <v>18</v>
      </c>
      <c r="J792">
        <v>0.38</v>
      </c>
      <c r="K792" s="4">
        <v>43363</v>
      </c>
    </row>
    <row r="793" spans="1:11" x14ac:dyDescent="0.3">
      <c r="A793" t="s">
        <v>1609</v>
      </c>
      <c r="B793" s="2" t="s">
        <v>1610</v>
      </c>
      <c r="C793">
        <v>68</v>
      </c>
      <c r="D793" s="2" t="s">
        <v>13</v>
      </c>
      <c r="E793" s="2" t="s">
        <v>14</v>
      </c>
      <c r="F793" s="2" t="s">
        <v>37</v>
      </c>
      <c r="G793" s="2" t="s">
        <v>24</v>
      </c>
      <c r="H793" s="2" t="s">
        <v>18</v>
      </c>
      <c r="I793" s="2" t="s">
        <v>18</v>
      </c>
      <c r="J793">
        <v>0.71</v>
      </c>
      <c r="K793" s="4">
        <v>44394</v>
      </c>
    </row>
    <row r="794" spans="1:11" x14ac:dyDescent="0.3">
      <c r="A794" t="s">
        <v>1611</v>
      </c>
      <c r="B794" s="2" t="s">
        <v>1612</v>
      </c>
      <c r="C794">
        <v>30</v>
      </c>
      <c r="D794" s="2" t="s">
        <v>13</v>
      </c>
      <c r="E794" s="2" t="s">
        <v>14</v>
      </c>
      <c r="F794" s="2" t="s">
        <v>23</v>
      </c>
      <c r="G794" s="2" t="s">
        <v>81</v>
      </c>
      <c r="H794" s="2" t="s">
        <v>17</v>
      </c>
      <c r="I794" s="2" t="s">
        <v>17</v>
      </c>
      <c r="J794">
        <v>0.64</v>
      </c>
      <c r="K794" s="4">
        <v>43339</v>
      </c>
    </row>
    <row r="795" spans="1:11" x14ac:dyDescent="0.3">
      <c r="A795" t="s">
        <v>1613</v>
      </c>
      <c r="B795" s="2" t="s">
        <v>1614</v>
      </c>
      <c r="C795">
        <v>53</v>
      </c>
      <c r="D795" s="2" t="s">
        <v>21</v>
      </c>
      <c r="E795" s="2" t="s">
        <v>30</v>
      </c>
      <c r="F795" s="2" t="s">
        <v>31</v>
      </c>
      <c r="G795" s="2" t="s">
        <v>24</v>
      </c>
      <c r="H795" s="2" t="s">
        <v>17</v>
      </c>
      <c r="I795" s="2" t="s">
        <v>17</v>
      </c>
      <c r="J795">
        <v>0.64</v>
      </c>
      <c r="K795" s="4">
        <v>43134</v>
      </c>
    </row>
    <row r="796" spans="1:11" x14ac:dyDescent="0.3">
      <c r="A796" t="s">
        <v>1615</v>
      </c>
      <c r="B796" s="2" t="s">
        <v>1616</v>
      </c>
      <c r="C796">
        <v>40</v>
      </c>
      <c r="D796" s="2" t="s">
        <v>21</v>
      </c>
      <c r="E796" s="2" t="s">
        <v>14</v>
      </c>
      <c r="F796" s="2" t="s">
        <v>31</v>
      </c>
      <c r="G796" s="2" t="s">
        <v>24</v>
      </c>
      <c r="H796" s="2" t="s">
        <v>17</v>
      </c>
      <c r="I796" s="2" t="s">
        <v>17</v>
      </c>
      <c r="J796">
        <v>0.62</v>
      </c>
      <c r="K796" s="4">
        <v>43334</v>
      </c>
    </row>
    <row r="797" spans="1:11" x14ac:dyDescent="0.3">
      <c r="A797" t="s">
        <v>1617</v>
      </c>
      <c r="B797" s="2" t="s">
        <v>1618</v>
      </c>
      <c r="C797">
        <v>31</v>
      </c>
      <c r="D797" s="2" t="s">
        <v>21</v>
      </c>
      <c r="E797" s="2" t="s">
        <v>22</v>
      </c>
      <c r="F797" s="2" t="s">
        <v>37</v>
      </c>
      <c r="G797" s="2" t="s">
        <v>66</v>
      </c>
      <c r="H797" s="2" t="s">
        <v>17</v>
      </c>
      <c r="I797" s="2" t="s">
        <v>18</v>
      </c>
      <c r="J797">
        <v>0.7</v>
      </c>
      <c r="K797" s="4">
        <v>45116</v>
      </c>
    </row>
    <row r="798" spans="1:11" x14ac:dyDescent="0.3">
      <c r="A798" t="s">
        <v>1619</v>
      </c>
      <c r="B798" s="2" t="s">
        <v>1620</v>
      </c>
      <c r="C798">
        <v>25</v>
      </c>
      <c r="D798" s="2" t="s">
        <v>21</v>
      </c>
      <c r="E798" s="2" t="s">
        <v>30</v>
      </c>
      <c r="F798" s="2" t="s">
        <v>23</v>
      </c>
      <c r="G798" s="2" t="s">
        <v>66</v>
      </c>
      <c r="H798" s="2" t="s">
        <v>18</v>
      </c>
      <c r="I798" s="2" t="s">
        <v>17</v>
      </c>
      <c r="J798">
        <v>0.59</v>
      </c>
      <c r="K798" s="4">
        <v>45144</v>
      </c>
    </row>
    <row r="799" spans="1:11" x14ac:dyDescent="0.3">
      <c r="A799" t="s">
        <v>1621</v>
      </c>
      <c r="B799" s="2" t="s">
        <v>1622</v>
      </c>
      <c r="C799">
        <v>65</v>
      </c>
      <c r="D799" s="2" t="s">
        <v>13</v>
      </c>
      <c r="E799" s="2" t="s">
        <v>14</v>
      </c>
      <c r="F799" s="2" t="s">
        <v>37</v>
      </c>
      <c r="G799" s="2" t="s">
        <v>81</v>
      </c>
      <c r="H799" s="2" t="s">
        <v>18</v>
      </c>
      <c r="I799" s="2" t="s">
        <v>17</v>
      </c>
      <c r="J799">
        <v>0.75</v>
      </c>
      <c r="K799" s="4">
        <v>43328</v>
      </c>
    </row>
    <row r="800" spans="1:11" x14ac:dyDescent="0.3">
      <c r="A800" t="s">
        <v>1623</v>
      </c>
      <c r="B800" s="2" t="s">
        <v>1624</v>
      </c>
      <c r="C800">
        <v>58</v>
      </c>
      <c r="D800" s="2" t="s">
        <v>21</v>
      </c>
      <c r="E800" s="2" t="s">
        <v>22</v>
      </c>
      <c r="F800" s="2" t="s">
        <v>23</v>
      </c>
      <c r="G800" s="2" t="s">
        <v>27</v>
      </c>
      <c r="H800" s="2" t="s">
        <v>17</v>
      </c>
      <c r="I800" s="2" t="s">
        <v>17</v>
      </c>
      <c r="J800">
        <v>0.56000000000000005</v>
      </c>
      <c r="K800" s="4">
        <v>44551</v>
      </c>
    </row>
    <row r="801" spans="1:11" x14ac:dyDescent="0.3">
      <c r="A801" t="s">
        <v>1625</v>
      </c>
      <c r="B801" s="2" t="s">
        <v>1626</v>
      </c>
      <c r="C801">
        <v>59</v>
      </c>
      <c r="D801" s="2" t="s">
        <v>21</v>
      </c>
      <c r="E801" s="2" t="s">
        <v>14</v>
      </c>
      <c r="F801" s="2" t="s">
        <v>31</v>
      </c>
      <c r="G801" s="2" t="s">
        <v>16</v>
      </c>
      <c r="H801" s="2" t="s">
        <v>17</v>
      </c>
      <c r="I801" s="2" t="s">
        <v>17</v>
      </c>
      <c r="J801">
        <v>0.55000000000000004</v>
      </c>
      <c r="K801" s="4">
        <v>44436</v>
      </c>
    </row>
    <row r="802" spans="1:11" x14ac:dyDescent="0.3">
      <c r="A802" t="s">
        <v>1627</v>
      </c>
      <c r="B802" s="2" t="s">
        <v>1628</v>
      </c>
      <c r="C802">
        <v>26</v>
      </c>
      <c r="D802" s="2" t="s">
        <v>21</v>
      </c>
      <c r="E802" s="2" t="s">
        <v>22</v>
      </c>
      <c r="F802" s="2" t="s">
        <v>23</v>
      </c>
      <c r="G802" s="2" t="s">
        <v>81</v>
      </c>
      <c r="H802" s="2" t="s">
        <v>18</v>
      </c>
      <c r="I802" s="2" t="s">
        <v>17</v>
      </c>
      <c r="J802">
        <v>0.5</v>
      </c>
      <c r="K802" s="4">
        <v>43279</v>
      </c>
    </row>
    <row r="803" spans="1:11" x14ac:dyDescent="0.3">
      <c r="A803" t="s">
        <v>1629</v>
      </c>
      <c r="B803" s="2" t="s">
        <v>1630</v>
      </c>
      <c r="C803">
        <v>39</v>
      </c>
      <c r="D803" s="2" t="s">
        <v>21</v>
      </c>
      <c r="E803" s="2" t="s">
        <v>22</v>
      </c>
      <c r="F803" s="2" t="s">
        <v>37</v>
      </c>
      <c r="G803" s="2" t="s">
        <v>81</v>
      </c>
      <c r="H803" s="2" t="s">
        <v>17</v>
      </c>
      <c r="I803" s="2" t="s">
        <v>18</v>
      </c>
      <c r="J803">
        <v>0.39</v>
      </c>
      <c r="K803" s="4">
        <v>44302</v>
      </c>
    </row>
    <row r="804" spans="1:11" x14ac:dyDescent="0.3">
      <c r="A804" t="s">
        <v>1631</v>
      </c>
      <c r="B804" s="2" t="s">
        <v>1632</v>
      </c>
      <c r="C804">
        <v>36</v>
      </c>
      <c r="D804" s="2" t="s">
        <v>13</v>
      </c>
      <c r="E804" s="2" t="s">
        <v>30</v>
      </c>
      <c r="F804" s="2" t="s">
        <v>15</v>
      </c>
      <c r="G804" s="2" t="s">
        <v>66</v>
      </c>
      <c r="H804" s="2" t="s">
        <v>18</v>
      </c>
      <c r="I804" s="2" t="s">
        <v>17</v>
      </c>
      <c r="J804">
        <v>0.35</v>
      </c>
      <c r="K804" s="4">
        <v>43144</v>
      </c>
    </row>
    <row r="805" spans="1:11" x14ac:dyDescent="0.3">
      <c r="A805" t="s">
        <v>1633</v>
      </c>
      <c r="B805" s="2" t="s">
        <v>1634</v>
      </c>
      <c r="C805">
        <v>69</v>
      </c>
      <c r="D805" s="2" t="s">
        <v>21</v>
      </c>
      <c r="E805" s="2" t="s">
        <v>14</v>
      </c>
      <c r="F805" s="2" t="s">
        <v>31</v>
      </c>
      <c r="G805" s="2" t="s">
        <v>81</v>
      </c>
      <c r="H805" s="2" t="s">
        <v>17</v>
      </c>
      <c r="I805" s="2" t="s">
        <v>17</v>
      </c>
      <c r="J805">
        <v>0.5</v>
      </c>
      <c r="K805" s="4">
        <v>44784</v>
      </c>
    </row>
    <row r="806" spans="1:11" x14ac:dyDescent="0.3">
      <c r="A806" t="s">
        <v>1635</v>
      </c>
      <c r="B806" s="2" t="s">
        <v>1636</v>
      </c>
      <c r="C806">
        <v>53</v>
      </c>
      <c r="D806" s="2" t="s">
        <v>13</v>
      </c>
      <c r="E806" s="2" t="s">
        <v>22</v>
      </c>
      <c r="F806" s="2" t="s">
        <v>23</v>
      </c>
      <c r="G806" s="2" t="s">
        <v>24</v>
      </c>
      <c r="H806" s="2" t="s">
        <v>17</v>
      </c>
      <c r="I806" s="2" t="s">
        <v>18</v>
      </c>
      <c r="J806">
        <v>0.2</v>
      </c>
      <c r="K806" s="4">
        <v>44981</v>
      </c>
    </row>
    <row r="807" spans="1:11" x14ac:dyDescent="0.3">
      <c r="A807" t="s">
        <v>1637</v>
      </c>
      <c r="B807" s="2" t="s">
        <v>1638</v>
      </c>
      <c r="C807">
        <v>21</v>
      </c>
      <c r="D807" s="2" t="s">
        <v>13</v>
      </c>
      <c r="E807" s="2" t="s">
        <v>22</v>
      </c>
      <c r="F807" s="2" t="s">
        <v>15</v>
      </c>
      <c r="G807" s="2" t="s">
        <v>24</v>
      </c>
      <c r="H807" s="2" t="s">
        <v>18</v>
      </c>
      <c r="I807" s="2" t="s">
        <v>18</v>
      </c>
      <c r="J807">
        <v>0.53</v>
      </c>
      <c r="K807" s="4">
        <v>43123</v>
      </c>
    </row>
    <row r="808" spans="1:11" x14ac:dyDescent="0.3">
      <c r="A808" t="s">
        <v>1639</v>
      </c>
      <c r="B808" s="2" t="s">
        <v>1640</v>
      </c>
      <c r="C808">
        <v>41</v>
      </c>
      <c r="D808" s="2" t="s">
        <v>21</v>
      </c>
      <c r="E808" s="2" t="s">
        <v>30</v>
      </c>
      <c r="F808" s="2" t="s">
        <v>23</v>
      </c>
      <c r="G808" s="2" t="s">
        <v>81</v>
      </c>
      <c r="H808" s="2" t="s">
        <v>17</v>
      </c>
      <c r="I808" s="2" t="s">
        <v>17</v>
      </c>
      <c r="J808">
        <v>0.95</v>
      </c>
      <c r="K808" s="4">
        <v>45076</v>
      </c>
    </row>
    <row r="809" spans="1:11" x14ac:dyDescent="0.3">
      <c r="A809" t="s">
        <v>1641</v>
      </c>
      <c r="B809" s="2" t="s">
        <v>1642</v>
      </c>
      <c r="C809">
        <v>29</v>
      </c>
      <c r="D809" s="2" t="s">
        <v>13</v>
      </c>
      <c r="E809" s="2" t="s">
        <v>30</v>
      </c>
      <c r="F809" s="2" t="s">
        <v>15</v>
      </c>
      <c r="G809" s="2" t="s">
        <v>16</v>
      </c>
      <c r="H809" s="2" t="s">
        <v>18</v>
      </c>
      <c r="I809" s="2" t="s">
        <v>18</v>
      </c>
      <c r="J809">
        <v>0.33</v>
      </c>
      <c r="K809" s="4">
        <v>43753</v>
      </c>
    </row>
    <row r="810" spans="1:11" x14ac:dyDescent="0.3">
      <c r="A810" t="s">
        <v>1643</v>
      </c>
      <c r="B810" s="2" t="s">
        <v>1644</v>
      </c>
      <c r="C810">
        <v>49</v>
      </c>
      <c r="D810" s="2" t="s">
        <v>13</v>
      </c>
      <c r="E810" s="2" t="s">
        <v>22</v>
      </c>
      <c r="F810" s="2" t="s">
        <v>31</v>
      </c>
      <c r="G810" s="2" t="s">
        <v>24</v>
      </c>
      <c r="H810" s="2" t="s">
        <v>18</v>
      </c>
      <c r="I810" s="2" t="s">
        <v>17</v>
      </c>
      <c r="J810">
        <v>0.13</v>
      </c>
      <c r="K810" s="4">
        <v>43941</v>
      </c>
    </row>
    <row r="811" spans="1:11" x14ac:dyDescent="0.3">
      <c r="A811" t="s">
        <v>1645</v>
      </c>
      <c r="B811" s="2" t="s">
        <v>1646</v>
      </c>
      <c r="C811">
        <v>36</v>
      </c>
      <c r="D811" s="2" t="s">
        <v>21</v>
      </c>
      <c r="E811" s="2" t="s">
        <v>30</v>
      </c>
      <c r="F811" s="2" t="s">
        <v>37</v>
      </c>
      <c r="G811" s="2" t="s">
        <v>66</v>
      </c>
      <c r="H811" s="2" t="s">
        <v>18</v>
      </c>
      <c r="I811" s="2" t="s">
        <v>18</v>
      </c>
      <c r="J811">
        <v>0.43</v>
      </c>
      <c r="K811" s="4">
        <v>43799</v>
      </c>
    </row>
    <row r="812" spans="1:11" x14ac:dyDescent="0.3">
      <c r="A812" t="s">
        <v>1647</v>
      </c>
      <c r="B812" s="2" t="s">
        <v>1648</v>
      </c>
      <c r="C812">
        <v>26</v>
      </c>
      <c r="D812" s="2" t="s">
        <v>13</v>
      </c>
      <c r="E812" s="2" t="s">
        <v>14</v>
      </c>
      <c r="F812" s="2" t="s">
        <v>31</v>
      </c>
      <c r="G812" s="2" t="s">
        <v>16</v>
      </c>
      <c r="H812" s="2" t="s">
        <v>18</v>
      </c>
      <c r="I812" s="2" t="s">
        <v>18</v>
      </c>
      <c r="J812">
        <v>0.41</v>
      </c>
      <c r="K812" s="4">
        <v>43257</v>
      </c>
    </row>
    <row r="813" spans="1:11" x14ac:dyDescent="0.3">
      <c r="A813" t="s">
        <v>1649</v>
      </c>
      <c r="B813" s="2" t="s">
        <v>1650</v>
      </c>
      <c r="C813">
        <v>52</v>
      </c>
      <c r="D813" s="2" t="s">
        <v>13</v>
      </c>
      <c r="E813" s="2" t="s">
        <v>30</v>
      </c>
      <c r="F813" s="2" t="s">
        <v>15</v>
      </c>
      <c r="G813" s="2" t="s">
        <v>16</v>
      </c>
      <c r="H813" s="2" t="s">
        <v>18</v>
      </c>
      <c r="I813" s="2" t="s">
        <v>17</v>
      </c>
      <c r="J813">
        <v>0.45</v>
      </c>
      <c r="K813" s="4">
        <v>44794</v>
      </c>
    </row>
    <row r="814" spans="1:11" x14ac:dyDescent="0.3">
      <c r="A814" t="s">
        <v>1651</v>
      </c>
      <c r="B814" s="2" t="s">
        <v>1652</v>
      </c>
      <c r="C814">
        <v>29</v>
      </c>
      <c r="D814" s="2" t="s">
        <v>13</v>
      </c>
      <c r="E814" s="2" t="s">
        <v>14</v>
      </c>
      <c r="F814" s="2" t="s">
        <v>37</v>
      </c>
      <c r="G814" s="2" t="s">
        <v>32</v>
      </c>
      <c r="H814" s="2" t="s">
        <v>17</v>
      </c>
      <c r="I814" s="2" t="s">
        <v>17</v>
      </c>
      <c r="J814">
        <v>0.22</v>
      </c>
      <c r="K814" s="4">
        <v>43871</v>
      </c>
    </row>
    <row r="815" spans="1:11" x14ac:dyDescent="0.3">
      <c r="A815" t="s">
        <v>1653</v>
      </c>
      <c r="B815" s="2" t="s">
        <v>1654</v>
      </c>
      <c r="C815">
        <v>52</v>
      </c>
      <c r="D815" s="2" t="s">
        <v>13</v>
      </c>
      <c r="E815" s="2" t="s">
        <v>14</v>
      </c>
      <c r="F815" s="2" t="s">
        <v>31</v>
      </c>
      <c r="G815" s="2" t="s">
        <v>32</v>
      </c>
      <c r="H815" s="2" t="s">
        <v>17</v>
      </c>
      <c r="I815" s="2" t="s">
        <v>17</v>
      </c>
      <c r="J815">
        <v>0.35</v>
      </c>
      <c r="K815" s="4">
        <v>44573</v>
      </c>
    </row>
    <row r="816" spans="1:11" x14ac:dyDescent="0.3">
      <c r="A816" t="s">
        <v>1655</v>
      </c>
      <c r="B816" s="2" t="s">
        <v>1656</v>
      </c>
      <c r="C816">
        <v>59</v>
      </c>
      <c r="D816" s="2" t="s">
        <v>21</v>
      </c>
      <c r="E816" s="2" t="s">
        <v>14</v>
      </c>
      <c r="F816" s="2" t="s">
        <v>15</v>
      </c>
      <c r="G816" s="2" t="s">
        <v>27</v>
      </c>
      <c r="H816" s="2" t="s">
        <v>18</v>
      </c>
      <c r="I816" s="2" t="s">
        <v>17</v>
      </c>
      <c r="J816">
        <v>0.57999999999999996</v>
      </c>
      <c r="K816" s="4">
        <v>43581</v>
      </c>
    </row>
    <row r="817" spans="1:11" x14ac:dyDescent="0.3">
      <c r="A817" t="s">
        <v>1657</v>
      </c>
      <c r="B817" s="2" t="s">
        <v>1658</v>
      </c>
      <c r="C817">
        <v>36</v>
      </c>
      <c r="D817" s="2" t="s">
        <v>21</v>
      </c>
      <c r="E817" s="2" t="s">
        <v>14</v>
      </c>
      <c r="F817" s="2" t="s">
        <v>31</v>
      </c>
      <c r="G817" s="2" t="s">
        <v>27</v>
      </c>
      <c r="H817" s="2" t="s">
        <v>18</v>
      </c>
      <c r="I817" s="2" t="s">
        <v>17</v>
      </c>
      <c r="J817">
        <v>0.49</v>
      </c>
      <c r="K817" s="4">
        <v>44864</v>
      </c>
    </row>
    <row r="818" spans="1:11" x14ac:dyDescent="0.3">
      <c r="A818" t="s">
        <v>1659</v>
      </c>
      <c r="B818" s="2" t="s">
        <v>1660</v>
      </c>
      <c r="C818">
        <v>66</v>
      </c>
      <c r="D818" s="2" t="s">
        <v>21</v>
      </c>
      <c r="E818" s="2" t="s">
        <v>14</v>
      </c>
      <c r="F818" s="2" t="s">
        <v>15</v>
      </c>
      <c r="G818" s="2" t="s">
        <v>24</v>
      </c>
      <c r="H818" s="2" t="s">
        <v>18</v>
      </c>
      <c r="I818" s="2" t="s">
        <v>17</v>
      </c>
      <c r="J818">
        <v>0.18</v>
      </c>
      <c r="K818" s="4">
        <v>44628</v>
      </c>
    </row>
    <row r="819" spans="1:11" x14ac:dyDescent="0.3">
      <c r="A819" t="s">
        <v>1661</v>
      </c>
      <c r="B819" s="2" t="s">
        <v>1662</v>
      </c>
      <c r="C819">
        <v>51</v>
      </c>
      <c r="D819" s="2" t="s">
        <v>13</v>
      </c>
      <c r="E819" s="2" t="s">
        <v>30</v>
      </c>
      <c r="F819" s="2" t="s">
        <v>37</v>
      </c>
      <c r="G819" s="2" t="s">
        <v>16</v>
      </c>
      <c r="H819" s="2" t="s">
        <v>18</v>
      </c>
      <c r="I819" s="2" t="s">
        <v>17</v>
      </c>
      <c r="J819">
        <v>0.56999999999999995</v>
      </c>
      <c r="K819" s="4">
        <v>44094</v>
      </c>
    </row>
    <row r="820" spans="1:11" x14ac:dyDescent="0.3">
      <c r="A820" t="s">
        <v>1663</v>
      </c>
      <c r="B820" s="2" t="s">
        <v>1664</v>
      </c>
      <c r="C820">
        <v>22</v>
      </c>
      <c r="D820" s="2" t="s">
        <v>13</v>
      </c>
      <c r="E820" s="2" t="s">
        <v>30</v>
      </c>
      <c r="F820" s="2" t="s">
        <v>15</v>
      </c>
      <c r="G820" s="2" t="s">
        <v>27</v>
      </c>
      <c r="H820" s="2" t="s">
        <v>18</v>
      </c>
      <c r="I820" s="2" t="s">
        <v>17</v>
      </c>
      <c r="J820">
        <v>0.7</v>
      </c>
      <c r="K820" s="4">
        <v>45270</v>
      </c>
    </row>
    <row r="821" spans="1:11" x14ac:dyDescent="0.3">
      <c r="A821" t="s">
        <v>1665</v>
      </c>
      <c r="B821" s="2" t="s">
        <v>1666</v>
      </c>
      <c r="C821">
        <v>53</v>
      </c>
      <c r="D821" s="2" t="s">
        <v>21</v>
      </c>
      <c r="E821" s="2" t="s">
        <v>30</v>
      </c>
      <c r="F821" s="2" t="s">
        <v>37</v>
      </c>
      <c r="G821" s="2" t="s">
        <v>16</v>
      </c>
      <c r="H821" s="2" t="s">
        <v>18</v>
      </c>
      <c r="I821" s="2" t="s">
        <v>18</v>
      </c>
      <c r="J821">
        <v>0.36</v>
      </c>
      <c r="K821" s="4">
        <v>44259</v>
      </c>
    </row>
    <row r="822" spans="1:11" x14ac:dyDescent="0.3">
      <c r="A822" t="s">
        <v>1667</v>
      </c>
      <c r="B822" s="2" t="s">
        <v>1668</v>
      </c>
      <c r="C822">
        <v>42</v>
      </c>
      <c r="D822" s="2" t="s">
        <v>13</v>
      </c>
      <c r="E822" s="2" t="s">
        <v>22</v>
      </c>
      <c r="F822" s="2" t="s">
        <v>37</v>
      </c>
      <c r="G822" s="2" t="s">
        <v>27</v>
      </c>
      <c r="H822" s="2" t="s">
        <v>17</v>
      </c>
      <c r="I822" s="2" t="s">
        <v>18</v>
      </c>
      <c r="J822">
        <v>0.78</v>
      </c>
      <c r="K822" s="4">
        <v>44511</v>
      </c>
    </row>
    <row r="823" spans="1:11" x14ac:dyDescent="0.3">
      <c r="A823" t="s">
        <v>1669</v>
      </c>
      <c r="B823" s="2" t="s">
        <v>1670</v>
      </c>
      <c r="C823">
        <v>28</v>
      </c>
      <c r="D823" s="2" t="s">
        <v>21</v>
      </c>
      <c r="E823" s="2" t="s">
        <v>14</v>
      </c>
      <c r="F823" s="2" t="s">
        <v>31</v>
      </c>
      <c r="G823" s="2" t="s">
        <v>27</v>
      </c>
      <c r="H823" s="2" t="s">
        <v>17</v>
      </c>
      <c r="I823" s="2" t="s">
        <v>18</v>
      </c>
      <c r="J823">
        <v>0.65</v>
      </c>
      <c r="K823" s="4">
        <v>44578</v>
      </c>
    </row>
    <row r="824" spans="1:11" x14ac:dyDescent="0.3">
      <c r="A824" t="s">
        <v>1671</v>
      </c>
      <c r="B824" s="2" t="s">
        <v>1672</v>
      </c>
      <c r="C824">
        <v>29</v>
      </c>
      <c r="D824" s="2" t="s">
        <v>13</v>
      </c>
      <c r="E824" s="2" t="s">
        <v>30</v>
      </c>
      <c r="F824" s="2" t="s">
        <v>37</v>
      </c>
      <c r="G824" s="2" t="s">
        <v>27</v>
      </c>
      <c r="H824" s="2" t="s">
        <v>18</v>
      </c>
      <c r="I824" s="2" t="s">
        <v>18</v>
      </c>
      <c r="J824">
        <v>0.44</v>
      </c>
      <c r="K824" s="4">
        <v>44450</v>
      </c>
    </row>
    <row r="825" spans="1:11" x14ac:dyDescent="0.3">
      <c r="A825" t="s">
        <v>1673</v>
      </c>
      <c r="B825" s="2" t="s">
        <v>1674</v>
      </c>
      <c r="C825">
        <v>26</v>
      </c>
      <c r="D825" s="2" t="s">
        <v>13</v>
      </c>
      <c r="E825" s="2" t="s">
        <v>30</v>
      </c>
      <c r="F825" s="2" t="s">
        <v>15</v>
      </c>
      <c r="G825" s="2" t="s">
        <v>27</v>
      </c>
      <c r="H825" s="2" t="s">
        <v>18</v>
      </c>
      <c r="I825" s="2" t="s">
        <v>17</v>
      </c>
      <c r="J825">
        <v>0.5</v>
      </c>
      <c r="K825" s="4">
        <v>45190</v>
      </c>
    </row>
    <row r="826" spans="1:11" x14ac:dyDescent="0.3">
      <c r="A826" t="s">
        <v>1675</v>
      </c>
      <c r="B826" s="2" t="s">
        <v>1676</v>
      </c>
      <c r="C826">
        <v>42</v>
      </c>
      <c r="D826" s="2" t="s">
        <v>21</v>
      </c>
      <c r="E826" s="2" t="s">
        <v>22</v>
      </c>
      <c r="F826" s="2" t="s">
        <v>37</v>
      </c>
      <c r="G826" s="2" t="s">
        <v>27</v>
      </c>
      <c r="H826" s="2" t="s">
        <v>17</v>
      </c>
      <c r="I826" s="2" t="s">
        <v>18</v>
      </c>
      <c r="J826">
        <v>0.68</v>
      </c>
      <c r="K826" s="4">
        <v>43954</v>
      </c>
    </row>
    <row r="827" spans="1:11" x14ac:dyDescent="0.3">
      <c r="A827" t="s">
        <v>1677</v>
      </c>
      <c r="B827" s="2" t="s">
        <v>1678</v>
      </c>
      <c r="C827">
        <v>63</v>
      </c>
      <c r="D827" s="2" t="s">
        <v>13</v>
      </c>
      <c r="E827" s="2" t="s">
        <v>22</v>
      </c>
      <c r="F827" s="2" t="s">
        <v>37</v>
      </c>
      <c r="G827" s="2" t="s">
        <v>27</v>
      </c>
      <c r="H827" s="2" t="s">
        <v>18</v>
      </c>
      <c r="I827" s="2" t="s">
        <v>17</v>
      </c>
      <c r="J827">
        <v>0.66</v>
      </c>
      <c r="K827" s="4">
        <v>43480</v>
      </c>
    </row>
    <row r="828" spans="1:11" x14ac:dyDescent="0.3">
      <c r="A828" t="s">
        <v>1679</v>
      </c>
      <c r="B828" s="2" t="s">
        <v>1680</v>
      </c>
      <c r="C828">
        <v>24</v>
      </c>
      <c r="D828" s="2" t="s">
        <v>13</v>
      </c>
      <c r="E828" s="2" t="s">
        <v>30</v>
      </c>
      <c r="F828" s="2" t="s">
        <v>37</v>
      </c>
      <c r="G828" s="2" t="s">
        <v>27</v>
      </c>
      <c r="H828" s="2" t="s">
        <v>17</v>
      </c>
      <c r="I828" s="2" t="s">
        <v>17</v>
      </c>
      <c r="J828">
        <v>0.54</v>
      </c>
      <c r="K828" s="4">
        <v>43972</v>
      </c>
    </row>
    <row r="829" spans="1:11" x14ac:dyDescent="0.3">
      <c r="A829" t="s">
        <v>1681</v>
      </c>
      <c r="B829" s="2" t="s">
        <v>1682</v>
      </c>
      <c r="C829">
        <v>59</v>
      </c>
      <c r="D829" s="2" t="s">
        <v>13</v>
      </c>
      <c r="E829" s="2" t="s">
        <v>14</v>
      </c>
      <c r="F829" s="2" t="s">
        <v>15</v>
      </c>
      <c r="G829" s="2" t="s">
        <v>16</v>
      </c>
      <c r="H829" s="2" t="s">
        <v>18</v>
      </c>
      <c r="I829" s="2" t="s">
        <v>17</v>
      </c>
      <c r="J829">
        <v>0.51</v>
      </c>
      <c r="K829" s="4">
        <v>44187</v>
      </c>
    </row>
    <row r="830" spans="1:11" x14ac:dyDescent="0.3">
      <c r="A830" t="s">
        <v>1683</v>
      </c>
      <c r="B830" s="2" t="s">
        <v>1684</v>
      </c>
      <c r="C830">
        <v>41</v>
      </c>
      <c r="D830" s="2" t="s">
        <v>21</v>
      </c>
      <c r="E830" s="2" t="s">
        <v>14</v>
      </c>
      <c r="F830" s="2" t="s">
        <v>15</v>
      </c>
      <c r="G830" s="2" t="s">
        <v>81</v>
      </c>
      <c r="H830" s="2" t="s">
        <v>18</v>
      </c>
      <c r="I830" s="2" t="s">
        <v>18</v>
      </c>
      <c r="J830">
        <v>0.62</v>
      </c>
      <c r="K830" s="4">
        <v>43718</v>
      </c>
    </row>
    <row r="831" spans="1:11" x14ac:dyDescent="0.3">
      <c r="A831" t="s">
        <v>1685</v>
      </c>
      <c r="B831" s="2" t="s">
        <v>1686</v>
      </c>
      <c r="C831">
        <v>36</v>
      </c>
      <c r="D831" s="2" t="s">
        <v>21</v>
      </c>
      <c r="E831" s="2" t="s">
        <v>14</v>
      </c>
      <c r="F831" s="2" t="s">
        <v>31</v>
      </c>
      <c r="G831" s="2" t="s">
        <v>81</v>
      </c>
      <c r="H831" s="2" t="s">
        <v>18</v>
      </c>
      <c r="I831" s="2" t="s">
        <v>17</v>
      </c>
      <c r="J831">
        <v>0.39</v>
      </c>
      <c r="K831" s="4">
        <v>43310</v>
      </c>
    </row>
    <row r="832" spans="1:11" x14ac:dyDescent="0.3">
      <c r="A832" t="s">
        <v>1687</v>
      </c>
      <c r="B832" s="2" t="s">
        <v>1688</v>
      </c>
      <c r="C832">
        <v>29</v>
      </c>
      <c r="D832" s="2" t="s">
        <v>13</v>
      </c>
      <c r="E832" s="2" t="s">
        <v>30</v>
      </c>
      <c r="F832" s="2" t="s">
        <v>23</v>
      </c>
      <c r="G832" s="2" t="s">
        <v>32</v>
      </c>
      <c r="H832" s="2" t="s">
        <v>17</v>
      </c>
      <c r="I832" s="2" t="s">
        <v>18</v>
      </c>
      <c r="J832">
        <v>0.55000000000000004</v>
      </c>
      <c r="K832" s="4">
        <v>44317</v>
      </c>
    </row>
    <row r="833" spans="1:11" x14ac:dyDescent="0.3">
      <c r="A833" t="s">
        <v>1689</v>
      </c>
      <c r="B833" s="2" t="s">
        <v>1690</v>
      </c>
      <c r="C833">
        <v>54</v>
      </c>
      <c r="D833" s="2" t="s">
        <v>13</v>
      </c>
      <c r="E833" s="2" t="s">
        <v>14</v>
      </c>
      <c r="F833" s="2" t="s">
        <v>37</v>
      </c>
      <c r="G833" s="2" t="s">
        <v>81</v>
      </c>
      <c r="H833" s="2" t="s">
        <v>18</v>
      </c>
      <c r="I833" s="2" t="s">
        <v>18</v>
      </c>
      <c r="J833">
        <v>0.67</v>
      </c>
      <c r="K833" s="4">
        <v>44863</v>
      </c>
    </row>
    <row r="834" spans="1:11" x14ac:dyDescent="0.3">
      <c r="A834" t="s">
        <v>1691</v>
      </c>
      <c r="B834" s="2" t="s">
        <v>1692</v>
      </c>
      <c r="C834">
        <v>67</v>
      </c>
      <c r="D834" s="2" t="s">
        <v>21</v>
      </c>
      <c r="E834" s="2" t="s">
        <v>22</v>
      </c>
      <c r="F834" s="2" t="s">
        <v>37</v>
      </c>
      <c r="G834" s="2" t="s">
        <v>32</v>
      </c>
      <c r="H834" s="2" t="s">
        <v>17</v>
      </c>
      <c r="I834" s="2" t="s">
        <v>17</v>
      </c>
      <c r="J834">
        <v>0.63</v>
      </c>
      <c r="K834" s="4">
        <v>43951</v>
      </c>
    </row>
    <row r="835" spans="1:11" x14ac:dyDescent="0.3">
      <c r="A835" t="s">
        <v>1693</v>
      </c>
      <c r="B835" s="2" t="s">
        <v>1694</v>
      </c>
      <c r="C835">
        <v>59</v>
      </c>
      <c r="D835" s="2" t="s">
        <v>21</v>
      </c>
      <c r="E835" s="2" t="s">
        <v>30</v>
      </c>
      <c r="F835" s="2" t="s">
        <v>31</v>
      </c>
      <c r="G835" s="2" t="s">
        <v>27</v>
      </c>
      <c r="H835" s="2" t="s">
        <v>17</v>
      </c>
      <c r="I835" s="2" t="s">
        <v>17</v>
      </c>
      <c r="J835">
        <v>0.56999999999999995</v>
      </c>
      <c r="K835" s="4">
        <v>44247</v>
      </c>
    </row>
    <row r="836" spans="1:11" x14ac:dyDescent="0.3">
      <c r="A836" t="s">
        <v>1695</v>
      </c>
      <c r="B836" s="2" t="s">
        <v>1696</v>
      </c>
      <c r="C836">
        <v>46</v>
      </c>
      <c r="D836" s="2" t="s">
        <v>21</v>
      </c>
      <c r="E836" s="2" t="s">
        <v>30</v>
      </c>
      <c r="F836" s="2" t="s">
        <v>23</v>
      </c>
      <c r="G836" s="2" t="s">
        <v>24</v>
      </c>
      <c r="H836" s="2" t="s">
        <v>18</v>
      </c>
      <c r="I836" s="2" t="s">
        <v>17</v>
      </c>
      <c r="J836">
        <v>0.85</v>
      </c>
      <c r="K836" s="4">
        <v>43546</v>
      </c>
    </row>
    <row r="837" spans="1:11" x14ac:dyDescent="0.3">
      <c r="A837" t="s">
        <v>1697</v>
      </c>
      <c r="B837" s="2" t="s">
        <v>1698</v>
      </c>
      <c r="C837">
        <v>29</v>
      </c>
      <c r="D837" s="2" t="s">
        <v>21</v>
      </c>
      <c r="E837" s="2" t="s">
        <v>14</v>
      </c>
      <c r="F837" s="2" t="s">
        <v>31</v>
      </c>
      <c r="G837" s="2" t="s">
        <v>66</v>
      </c>
      <c r="H837" s="2" t="s">
        <v>18</v>
      </c>
      <c r="I837" s="2" t="s">
        <v>18</v>
      </c>
      <c r="J837">
        <v>0.36</v>
      </c>
      <c r="K837" s="4">
        <v>43913</v>
      </c>
    </row>
    <row r="838" spans="1:11" x14ac:dyDescent="0.3">
      <c r="A838" t="s">
        <v>1699</v>
      </c>
      <c r="B838" s="2" t="s">
        <v>1700</v>
      </c>
      <c r="C838">
        <v>64</v>
      </c>
      <c r="D838" s="2" t="s">
        <v>13</v>
      </c>
      <c r="E838" s="2" t="s">
        <v>30</v>
      </c>
      <c r="F838" s="2" t="s">
        <v>31</v>
      </c>
      <c r="G838" s="2" t="s">
        <v>32</v>
      </c>
      <c r="H838" s="2" t="s">
        <v>18</v>
      </c>
      <c r="I838" s="2" t="s">
        <v>18</v>
      </c>
      <c r="J838">
        <v>0.7</v>
      </c>
      <c r="K838" s="4">
        <v>45223</v>
      </c>
    </row>
    <row r="839" spans="1:11" x14ac:dyDescent="0.3">
      <c r="A839" t="s">
        <v>1701</v>
      </c>
      <c r="B839" s="2" t="s">
        <v>1702</v>
      </c>
      <c r="C839">
        <v>64</v>
      </c>
      <c r="D839" s="2" t="s">
        <v>13</v>
      </c>
      <c r="E839" s="2" t="s">
        <v>14</v>
      </c>
      <c r="F839" s="2" t="s">
        <v>15</v>
      </c>
      <c r="G839" s="2" t="s">
        <v>27</v>
      </c>
      <c r="H839" s="2" t="s">
        <v>18</v>
      </c>
      <c r="I839" s="2" t="s">
        <v>17</v>
      </c>
      <c r="J839">
        <v>0.37</v>
      </c>
      <c r="K839" s="4">
        <v>43211</v>
      </c>
    </row>
    <row r="840" spans="1:11" x14ac:dyDescent="0.3">
      <c r="A840" t="s">
        <v>1703</v>
      </c>
      <c r="B840" s="2" t="s">
        <v>1704</v>
      </c>
      <c r="C840">
        <v>52</v>
      </c>
      <c r="D840" s="2" t="s">
        <v>13</v>
      </c>
      <c r="E840" s="2" t="s">
        <v>30</v>
      </c>
      <c r="F840" s="2" t="s">
        <v>23</v>
      </c>
      <c r="G840" s="2" t="s">
        <v>24</v>
      </c>
      <c r="H840" s="2" t="s">
        <v>18</v>
      </c>
      <c r="I840" s="2" t="s">
        <v>18</v>
      </c>
      <c r="J840">
        <v>0.81</v>
      </c>
      <c r="K840" s="4">
        <v>44372</v>
      </c>
    </row>
    <row r="841" spans="1:11" x14ac:dyDescent="0.3">
      <c r="A841" t="s">
        <v>1705</v>
      </c>
      <c r="B841" s="2" t="s">
        <v>1706</v>
      </c>
      <c r="C841">
        <v>63</v>
      </c>
      <c r="D841" s="2" t="s">
        <v>13</v>
      </c>
      <c r="E841" s="2" t="s">
        <v>30</v>
      </c>
      <c r="F841" s="2" t="s">
        <v>31</v>
      </c>
      <c r="G841" s="2" t="s">
        <v>16</v>
      </c>
      <c r="H841" s="2" t="s">
        <v>18</v>
      </c>
      <c r="I841" s="2" t="s">
        <v>18</v>
      </c>
      <c r="J841">
        <v>0.35</v>
      </c>
      <c r="K841" s="4">
        <v>45001</v>
      </c>
    </row>
    <row r="842" spans="1:11" x14ac:dyDescent="0.3">
      <c r="A842" t="s">
        <v>1707</v>
      </c>
      <c r="B842" s="2" t="s">
        <v>1708</v>
      </c>
      <c r="C842">
        <v>40</v>
      </c>
      <c r="D842" s="2" t="s">
        <v>13</v>
      </c>
      <c r="E842" s="2" t="s">
        <v>30</v>
      </c>
      <c r="F842" s="2" t="s">
        <v>15</v>
      </c>
      <c r="G842" s="2" t="s">
        <v>16</v>
      </c>
      <c r="H842" s="2" t="s">
        <v>18</v>
      </c>
      <c r="I842" s="2" t="s">
        <v>17</v>
      </c>
      <c r="J842">
        <v>0.06</v>
      </c>
      <c r="K842" s="4">
        <v>44583</v>
      </c>
    </row>
    <row r="843" spans="1:11" x14ac:dyDescent="0.3">
      <c r="A843" t="s">
        <v>1709</v>
      </c>
      <c r="B843" s="2" t="s">
        <v>1710</v>
      </c>
      <c r="C843">
        <v>40</v>
      </c>
      <c r="D843" s="2" t="s">
        <v>13</v>
      </c>
      <c r="E843" s="2" t="s">
        <v>22</v>
      </c>
      <c r="F843" s="2" t="s">
        <v>15</v>
      </c>
      <c r="G843" s="2" t="s">
        <v>32</v>
      </c>
      <c r="H843" s="2" t="s">
        <v>18</v>
      </c>
      <c r="I843" s="2" t="s">
        <v>18</v>
      </c>
      <c r="J843">
        <v>0.75</v>
      </c>
      <c r="K843" s="4">
        <v>45177</v>
      </c>
    </row>
    <row r="844" spans="1:11" x14ac:dyDescent="0.3">
      <c r="A844" t="s">
        <v>1711</v>
      </c>
      <c r="B844" s="2" t="s">
        <v>1712</v>
      </c>
      <c r="C844">
        <v>40</v>
      </c>
      <c r="D844" s="2" t="s">
        <v>21</v>
      </c>
      <c r="E844" s="2" t="s">
        <v>14</v>
      </c>
      <c r="F844" s="2" t="s">
        <v>23</v>
      </c>
      <c r="G844" s="2" t="s">
        <v>16</v>
      </c>
      <c r="H844" s="2" t="s">
        <v>17</v>
      </c>
      <c r="I844" s="2" t="s">
        <v>18</v>
      </c>
      <c r="J844">
        <v>0.46</v>
      </c>
      <c r="K844" s="4">
        <v>43754</v>
      </c>
    </row>
    <row r="845" spans="1:11" x14ac:dyDescent="0.3">
      <c r="A845" t="s">
        <v>1713</v>
      </c>
      <c r="B845" s="2" t="s">
        <v>1714</v>
      </c>
      <c r="C845">
        <v>21</v>
      </c>
      <c r="D845" s="2" t="s">
        <v>21</v>
      </c>
      <c r="E845" s="2" t="s">
        <v>22</v>
      </c>
      <c r="F845" s="2" t="s">
        <v>23</v>
      </c>
      <c r="G845" s="2" t="s">
        <v>24</v>
      </c>
      <c r="H845" s="2" t="s">
        <v>18</v>
      </c>
      <c r="I845" s="2" t="s">
        <v>17</v>
      </c>
      <c r="J845">
        <v>0.64</v>
      </c>
      <c r="K845" s="4">
        <v>43804</v>
      </c>
    </row>
    <row r="846" spans="1:11" x14ac:dyDescent="0.3">
      <c r="A846" t="s">
        <v>1715</v>
      </c>
      <c r="B846" s="2" t="s">
        <v>1716</v>
      </c>
      <c r="C846">
        <v>37</v>
      </c>
      <c r="D846" s="2" t="s">
        <v>21</v>
      </c>
      <c r="E846" s="2" t="s">
        <v>22</v>
      </c>
      <c r="F846" s="2" t="s">
        <v>31</v>
      </c>
      <c r="G846" s="2" t="s">
        <v>32</v>
      </c>
      <c r="H846" s="2" t="s">
        <v>17</v>
      </c>
      <c r="I846" s="2" t="s">
        <v>18</v>
      </c>
      <c r="J846">
        <v>0.57999999999999996</v>
      </c>
      <c r="K846" s="4">
        <v>44970</v>
      </c>
    </row>
    <row r="847" spans="1:11" x14ac:dyDescent="0.3">
      <c r="A847" t="s">
        <v>1717</v>
      </c>
      <c r="B847" s="2" t="s">
        <v>1718</v>
      </c>
      <c r="C847">
        <v>31</v>
      </c>
      <c r="D847" s="2" t="s">
        <v>13</v>
      </c>
      <c r="E847" s="2" t="s">
        <v>30</v>
      </c>
      <c r="F847" s="2" t="s">
        <v>23</v>
      </c>
      <c r="G847" s="2" t="s">
        <v>81</v>
      </c>
      <c r="H847" s="2" t="s">
        <v>17</v>
      </c>
      <c r="I847" s="2" t="s">
        <v>17</v>
      </c>
      <c r="J847">
        <v>0.36</v>
      </c>
      <c r="K847" s="4">
        <v>44155</v>
      </c>
    </row>
    <row r="848" spans="1:11" x14ac:dyDescent="0.3">
      <c r="A848" t="s">
        <v>1719</v>
      </c>
      <c r="B848" s="2" t="s">
        <v>1720</v>
      </c>
      <c r="C848">
        <v>65</v>
      </c>
      <c r="D848" s="2" t="s">
        <v>21</v>
      </c>
      <c r="E848" s="2" t="s">
        <v>22</v>
      </c>
      <c r="F848" s="2" t="s">
        <v>23</v>
      </c>
      <c r="G848" s="2" t="s">
        <v>24</v>
      </c>
      <c r="H848" s="2" t="s">
        <v>18</v>
      </c>
      <c r="I848" s="2" t="s">
        <v>18</v>
      </c>
      <c r="J848">
        <v>0.5</v>
      </c>
      <c r="K848" s="4">
        <v>44145</v>
      </c>
    </row>
    <row r="849" spans="1:11" x14ac:dyDescent="0.3">
      <c r="A849" t="s">
        <v>1721</v>
      </c>
      <c r="B849" s="2" t="s">
        <v>1722</v>
      </c>
      <c r="C849">
        <v>47</v>
      </c>
      <c r="D849" s="2" t="s">
        <v>21</v>
      </c>
      <c r="E849" s="2" t="s">
        <v>30</v>
      </c>
      <c r="F849" s="2" t="s">
        <v>15</v>
      </c>
      <c r="G849" s="2" t="s">
        <v>66</v>
      </c>
      <c r="H849" s="2" t="s">
        <v>17</v>
      </c>
      <c r="I849" s="2" t="s">
        <v>18</v>
      </c>
      <c r="J849">
        <v>0.8</v>
      </c>
      <c r="K849" s="4">
        <v>44685</v>
      </c>
    </row>
    <row r="850" spans="1:11" x14ac:dyDescent="0.3">
      <c r="A850" t="s">
        <v>1723</v>
      </c>
      <c r="B850" s="2" t="s">
        <v>1724</v>
      </c>
      <c r="C850">
        <v>47</v>
      </c>
      <c r="D850" s="2" t="s">
        <v>21</v>
      </c>
      <c r="E850" s="2" t="s">
        <v>14</v>
      </c>
      <c r="F850" s="2" t="s">
        <v>23</v>
      </c>
      <c r="G850" s="2" t="s">
        <v>81</v>
      </c>
      <c r="H850" s="2" t="s">
        <v>17</v>
      </c>
      <c r="I850" s="2" t="s">
        <v>18</v>
      </c>
      <c r="J850">
        <v>0.55000000000000004</v>
      </c>
      <c r="K850" s="4">
        <v>43967</v>
      </c>
    </row>
    <row r="851" spans="1:11" x14ac:dyDescent="0.3">
      <c r="A851" t="s">
        <v>1725</v>
      </c>
      <c r="B851" s="2" t="s">
        <v>1726</v>
      </c>
      <c r="C851">
        <v>67</v>
      </c>
      <c r="D851" s="2" t="s">
        <v>21</v>
      </c>
      <c r="E851" s="2" t="s">
        <v>22</v>
      </c>
      <c r="F851" s="2" t="s">
        <v>31</v>
      </c>
      <c r="G851" s="2" t="s">
        <v>66</v>
      </c>
      <c r="H851" s="2" t="s">
        <v>17</v>
      </c>
      <c r="I851" s="2" t="s">
        <v>18</v>
      </c>
      <c r="J851">
        <v>0.56999999999999995</v>
      </c>
      <c r="K851" s="4">
        <v>44898</v>
      </c>
    </row>
    <row r="852" spans="1:11" x14ac:dyDescent="0.3">
      <c r="A852" t="s">
        <v>1727</v>
      </c>
      <c r="B852" s="2" t="s">
        <v>1728</v>
      </c>
      <c r="C852">
        <v>56</v>
      </c>
      <c r="D852" s="2" t="s">
        <v>13</v>
      </c>
      <c r="E852" s="2" t="s">
        <v>14</v>
      </c>
      <c r="F852" s="2" t="s">
        <v>15</v>
      </c>
      <c r="G852" s="2" t="s">
        <v>66</v>
      </c>
      <c r="H852" s="2" t="s">
        <v>17</v>
      </c>
      <c r="I852" s="2" t="s">
        <v>18</v>
      </c>
      <c r="J852">
        <v>0.31</v>
      </c>
      <c r="K852" s="4">
        <v>44277</v>
      </c>
    </row>
    <row r="853" spans="1:11" x14ac:dyDescent="0.3">
      <c r="A853" t="s">
        <v>1729</v>
      </c>
      <c r="B853" s="2" t="s">
        <v>1730</v>
      </c>
      <c r="C853">
        <v>30</v>
      </c>
      <c r="D853" s="2" t="s">
        <v>13</v>
      </c>
      <c r="E853" s="2" t="s">
        <v>30</v>
      </c>
      <c r="F853" s="2" t="s">
        <v>37</v>
      </c>
      <c r="G853" s="2" t="s">
        <v>16</v>
      </c>
      <c r="H853" s="2" t="s">
        <v>18</v>
      </c>
      <c r="I853" s="2" t="s">
        <v>18</v>
      </c>
      <c r="J853">
        <v>0.75</v>
      </c>
      <c r="K853" s="4">
        <v>44901</v>
      </c>
    </row>
    <row r="854" spans="1:11" x14ac:dyDescent="0.3">
      <c r="A854" t="s">
        <v>1731</v>
      </c>
      <c r="B854" s="2" t="s">
        <v>1732</v>
      </c>
      <c r="C854">
        <v>69</v>
      </c>
      <c r="D854" s="2" t="s">
        <v>13</v>
      </c>
      <c r="E854" s="2" t="s">
        <v>22</v>
      </c>
      <c r="F854" s="2" t="s">
        <v>23</v>
      </c>
      <c r="G854" s="2" t="s">
        <v>24</v>
      </c>
      <c r="H854" s="2" t="s">
        <v>18</v>
      </c>
      <c r="I854" s="2" t="s">
        <v>18</v>
      </c>
      <c r="J854">
        <v>0.02</v>
      </c>
      <c r="K854" s="4">
        <v>45058</v>
      </c>
    </row>
    <row r="855" spans="1:11" x14ac:dyDescent="0.3">
      <c r="A855" t="s">
        <v>1733</v>
      </c>
      <c r="B855" s="2" t="s">
        <v>1734</v>
      </c>
      <c r="C855">
        <v>30</v>
      </c>
      <c r="D855" s="2" t="s">
        <v>21</v>
      </c>
      <c r="E855" s="2" t="s">
        <v>30</v>
      </c>
      <c r="F855" s="2" t="s">
        <v>31</v>
      </c>
      <c r="G855" s="2" t="s">
        <v>24</v>
      </c>
      <c r="H855" s="2" t="s">
        <v>17</v>
      </c>
      <c r="I855" s="2" t="s">
        <v>17</v>
      </c>
      <c r="J855">
        <v>0.23</v>
      </c>
      <c r="K855" s="4">
        <v>44133</v>
      </c>
    </row>
    <row r="856" spans="1:11" x14ac:dyDescent="0.3">
      <c r="A856" t="s">
        <v>1735</v>
      </c>
      <c r="B856" s="2" t="s">
        <v>1736</v>
      </c>
      <c r="C856">
        <v>53</v>
      </c>
      <c r="D856" s="2" t="s">
        <v>13</v>
      </c>
      <c r="E856" s="2" t="s">
        <v>14</v>
      </c>
      <c r="F856" s="2" t="s">
        <v>23</v>
      </c>
      <c r="G856" s="2" t="s">
        <v>16</v>
      </c>
      <c r="H856" s="2" t="s">
        <v>18</v>
      </c>
      <c r="I856" s="2" t="s">
        <v>17</v>
      </c>
      <c r="J856">
        <v>0.35</v>
      </c>
      <c r="K856" s="4">
        <v>44026</v>
      </c>
    </row>
    <row r="857" spans="1:11" x14ac:dyDescent="0.3">
      <c r="A857" t="s">
        <v>1737</v>
      </c>
      <c r="B857" s="2" t="s">
        <v>1738</v>
      </c>
      <c r="C857">
        <v>23</v>
      </c>
      <c r="D857" s="2" t="s">
        <v>13</v>
      </c>
      <c r="E857" s="2" t="s">
        <v>30</v>
      </c>
      <c r="F857" s="2" t="s">
        <v>15</v>
      </c>
      <c r="G857" s="2" t="s">
        <v>16</v>
      </c>
      <c r="H857" s="2" t="s">
        <v>17</v>
      </c>
      <c r="I857" s="2" t="s">
        <v>18</v>
      </c>
      <c r="J857">
        <v>0.27</v>
      </c>
      <c r="K857" s="4">
        <v>43232</v>
      </c>
    </row>
    <row r="858" spans="1:11" x14ac:dyDescent="0.3">
      <c r="A858" t="s">
        <v>1739</v>
      </c>
      <c r="B858" s="2" t="s">
        <v>1740</v>
      </c>
      <c r="C858">
        <v>42</v>
      </c>
      <c r="D858" s="2" t="s">
        <v>21</v>
      </c>
      <c r="E858" s="2" t="s">
        <v>14</v>
      </c>
      <c r="F858" s="2" t="s">
        <v>15</v>
      </c>
      <c r="G858" s="2" t="s">
        <v>81</v>
      </c>
      <c r="H858" s="2" t="s">
        <v>17</v>
      </c>
      <c r="I858" s="2" t="s">
        <v>17</v>
      </c>
      <c r="J858">
        <v>0.15</v>
      </c>
      <c r="K858" s="4">
        <v>44137</v>
      </c>
    </row>
    <row r="859" spans="1:11" x14ac:dyDescent="0.3">
      <c r="A859" t="s">
        <v>1741</v>
      </c>
      <c r="B859" s="2" t="s">
        <v>1742</v>
      </c>
      <c r="C859">
        <v>38</v>
      </c>
      <c r="D859" s="2" t="s">
        <v>21</v>
      </c>
      <c r="E859" s="2" t="s">
        <v>14</v>
      </c>
      <c r="F859" s="2" t="s">
        <v>23</v>
      </c>
      <c r="G859" s="2" t="s">
        <v>81</v>
      </c>
      <c r="H859" s="2" t="s">
        <v>17</v>
      </c>
      <c r="I859" s="2" t="s">
        <v>17</v>
      </c>
      <c r="J859">
        <v>0.45</v>
      </c>
      <c r="K859" s="4">
        <v>44851</v>
      </c>
    </row>
    <row r="860" spans="1:11" x14ac:dyDescent="0.3">
      <c r="A860" t="s">
        <v>1743</v>
      </c>
      <c r="B860" s="2" t="s">
        <v>1744</v>
      </c>
      <c r="C860">
        <v>62</v>
      </c>
      <c r="D860" s="2" t="s">
        <v>21</v>
      </c>
      <c r="E860" s="2" t="s">
        <v>22</v>
      </c>
      <c r="F860" s="2" t="s">
        <v>31</v>
      </c>
      <c r="G860" s="2" t="s">
        <v>24</v>
      </c>
      <c r="H860" s="2" t="s">
        <v>17</v>
      </c>
      <c r="I860" s="2" t="s">
        <v>17</v>
      </c>
      <c r="J860">
        <v>0.69</v>
      </c>
      <c r="K860" s="4">
        <v>43714</v>
      </c>
    </row>
    <row r="861" spans="1:11" x14ac:dyDescent="0.3">
      <c r="A861" t="s">
        <v>1745</v>
      </c>
      <c r="B861" s="2" t="s">
        <v>1746</v>
      </c>
      <c r="C861">
        <v>59</v>
      </c>
      <c r="D861" s="2" t="s">
        <v>21</v>
      </c>
      <c r="E861" s="2" t="s">
        <v>30</v>
      </c>
      <c r="F861" s="2" t="s">
        <v>15</v>
      </c>
      <c r="G861" s="2" t="s">
        <v>16</v>
      </c>
      <c r="H861" s="2" t="s">
        <v>17</v>
      </c>
      <c r="I861" s="2" t="s">
        <v>18</v>
      </c>
      <c r="J861">
        <v>0.34</v>
      </c>
      <c r="K861" s="4">
        <v>43832</v>
      </c>
    </row>
    <row r="862" spans="1:11" x14ac:dyDescent="0.3">
      <c r="A862" t="s">
        <v>1747</v>
      </c>
      <c r="B862" s="2" t="s">
        <v>1748</v>
      </c>
      <c r="C862">
        <v>30</v>
      </c>
      <c r="D862" s="2" t="s">
        <v>13</v>
      </c>
      <c r="E862" s="2" t="s">
        <v>30</v>
      </c>
      <c r="F862" s="2" t="s">
        <v>31</v>
      </c>
      <c r="G862" s="2" t="s">
        <v>32</v>
      </c>
      <c r="H862" s="2" t="s">
        <v>17</v>
      </c>
      <c r="I862" s="2" t="s">
        <v>17</v>
      </c>
      <c r="J862">
        <v>0.41</v>
      </c>
      <c r="K862" s="4">
        <v>44212</v>
      </c>
    </row>
    <row r="863" spans="1:11" x14ac:dyDescent="0.3">
      <c r="A863" t="s">
        <v>1749</v>
      </c>
      <c r="B863" s="2" t="s">
        <v>1750</v>
      </c>
      <c r="C863">
        <v>31</v>
      </c>
      <c r="D863" s="2" t="s">
        <v>13</v>
      </c>
      <c r="E863" s="2" t="s">
        <v>30</v>
      </c>
      <c r="F863" s="2" t="s">
        <v>23</v>
      </c>
      <c r="G863" s="2" t="s">
        <v>27</v>
      </c>
      <c r="H863" s="2" t="s">
        <v>17</v>
      </c>
      <c r="I863" s="2" t="s">
        <v>17</v>
      </c>
      <c r="J863">
        <v>0.53</v>
      </c>
      <c r="K863" s="4">
        <v>43527</v>
      </c>
    </row>
    <row r="864" spans="1:11" x14ac:dyDescent="0.3">
      <c r="A864" t="s">
        <v>1751</v>
      </c>
      <c r="B864" s="2" t="s">
        <v>1752</v>
      </c>
      <c r="C864">
        <v>41</v>
      </c>
      <c r="D864" s="2" t="s">
        <v>13</v>
      </c>
      <c r="E864" s="2" t="s">
        <v>22</v>
      </c>
      <c r="F864" s="2" t="s">
        <v>31</v>
      </c>
      <c r="G864" s="2" t="s">
        <v>16</v>
      </c>
      <c r="H864" s="2" t="s">
        <v>18</v>
      </c>
      <c r="I864" s="2" t="s">
        <v>17</v>
      </c>
      <c r="J864">
        <v>0.41</v>
      </c>
      <c r="K864" s="4">
        <v>45253</v>
      </c>
    </row>
    <row r="865" spans="1:11" x14ac:dyDescent="0.3">
      <c r="A865" t="s">
        <v>1753</v>
      </c>
      <c r="B865" s="2" t="s">
        <v>1754</v>
      </c>
      <c r="C865">
        <v>54</v>
      </c>
      <c r="D865" s="2" t="s">
        <v>13</v>
      </c>
      <c r="E865" s="2" t="s">
        <v>14</v>
      </c>
      <c r="F865" s="2" t="s">
        <v>31</v>
      </c>
      <c r="G865" s="2" t="s">
        <v>32</v>
      </c>
      <c r="H865" s="2" t="s">
        <v>17</v>
      </c>
      <c r="I865" s="2" t="s">
        <v>18</v>
      </c>
      <c r="J865">
        <v>0.28000000000000003</v>
      </c>
      <c r="K865" s="4">
        <v>43736</v>
      </c>
    </row>
    <row r="866" spans="1:11" x14ac:dyDescent="0.3">
      <c r="A866" t="s">
        <v>1755</v>
      </c>
      <c r="B866" s="2" t="s">
        <v>1756</v>
      </c>
      <c r="C866">
        <v>20</v>
      </c>
      <c r="D866" s="2" t="s">
        <v>21</v>
      </c>
      <c r="E866" s="2" t="s">
        <v>22</v>
      </c>
      <c r="F866" s="2" t="s">
        <v>37</v>
      </c>
      <c r="G866" s="2" t="s">
        <v>16</v>
      </c>
      <c r="H866" s="2" t="s">
        <v>17</v>
      </c>
      <c r="I866" s="2" t="s">
        <v>18</v>
      </c>
      <c r="J866">
        <v>0.31</v>
      </c>
      <c r="K866" s="4">
        <v>44789</v>
      </c>
    </row>
    <row r="867" spans="1:11" x14ac:dyDescent="0.3">
      <c r="A867" t="s">
        <v>1757</v>
      </c>
      <c r="B867" s="2" t="s">
        <v>1758</v>
      </c>
      <c r="C867">
        <v>27</v>
      </c>
      <c r="D867" s="2" t="s">
        <v>21</v>
      </c>
      <c r="E867" s="2" t="s">
        <v>14</v>
      </c>
      <c r="F867" s="2" t="s">
        <v>23</v>
      </c>
      <c r="G867" s="2" t="s">
        <v>32</v>
      </c>
      <c r="H867" s="2" t="s">
        <v>17</v>
      </c>
      <c r="I867" s="2" t="s">
        <v>17</v>
      </c>
      <c r="J867">
        <v>0.26</v>
      </c>
      <c r="K867" s="4">
        <v>44628</v>
      </c>
    </row>
    <row r="868" spans="1:11" x14ac:dyDescent="0.3">
      <c r="A868" t="s">
        <v>1759</v>
      </c>
      <c r="B868" s="2" t="s">
        <v>1760</v>
      </c>
      <c r="C868">
        <v>34</v>
      </c>
      <c r="D868" s="2" t="s">
        <v>21</v>
      </c>
      <c r="E868" s="2" t="s">
        <v>30</v>
      </c>
      <c r="F868" s="2" t="s">
        <v>23</v>
      </c>
      <c r="G868" s="2" t="s">
        <v>81</v>
      </c>
      <c r="H868" s="2" t="s">
        <v>17</v>
      </c>
      <c r="I868" s="2" t="s">
        <v>18</v>
      </c>
      <c r="J868">
        <v>0.5</v>
      </c>
      <c r="K868" s="4">
        <v>45110</v>
      </c>
    </row>
    <row r="869" spans="1:11" x14ac:dyDescent="0.3">
      <c r="A869" t="s">
        <v>1761</v>
      </c>
      <c r="B869" s="2" t="s">
        <v>1762</v>
      </c>
      <c r="C869">
        <v>41</v>
      </c>
      <c r="D869" s="2" t="s">
        <v>13</v>
      </c>
      <c r="E869" s="2" t="s">
        <v>22</v>
      </c>
      <c r="F869" s="2" t="s">
        <v>37</v>
      </c>
      <c r="G869" s="2" t="s">
        <v>81</v>
      </c>
      <c r="H869" s="2" t="s">
        <v>18</v>
      </c>
      <c r="I869" s="2" t="s">
        <v>17</v>
      </c>
      <c r="J869">
        <v>0.51</v>
      </c>
      <c r="K869" s="4">
        <v>43697</v>
      </c>
    </row>
    <row r="870" spans="1:11" x14ac:dyDescent="0.3">
      <c r="A870" t="s">
        <v>1763</v>
      </c>
      <c r="B870" s="2" t="s">
        <v>1764</v>
      </c>
      <c r="C870">
        <v>63</v>
      </c>
      <c r="D870" s="2" t="s">
        <v>21</v>
      </c>
      <c r="E870" s="2" t="s">
        <v>14</v>
      </c>
      <c r="F870" s="2" t="s">
        <v>37</v>
      </c>
      <c r="G870" s="2" t="s">
        <v>27</v>
      </c>
      <c r="H870" s="2" t="s">
        <v>17</v>
      </c>
      <c r="I870" s="2" t="s">
        <v>18</v>
      </c>
      <c r="J870">
        <v>0.47</v>
      </c>
      <c r="K870" s="4">
        <v>43315</v>
      </c>
    </row>
    <row r="871" spans="1:11" x14ac:dyDescent="0.3">
      <c r="A871" t="s">
        <v>1765</v>
      </c>
      <c r="B871" s="2" t="s">
        <v>1766</v>
      </c>
      <c r="C871">
        <v>23</v>
      </c>
      <c r="D871" s="2" t="s">
        <v>21</v>
      </c>
      <c r="E871" s="2" t="s">
        <v>14</v>
      </c>
      <c r="F871" s="2" t="s">
        <v>37</v>
      </c>
      <c r="G871" s="2" t="s">
        <v>81</v>
      </c>
      <c r="H871" s="2" t="s">
        <v>18</v>
      </c>
      <c r="I871" s="2" t="s">
        <v>18</v>
      </c>
      <c r="J871">
        <v>0.56999999999999995</v>
      </c>
      <c r="K871" s="4">
        <v>43127</v>
      </c>
    </row>
    <row r="872" spans="1:11" x14ac:dyDescent="0.3">
      <c r="A872" t="s">
        <v>1767</v>
      </c>
      <c r="B872" s="2" t="s">
        <v>1768</v>
      </c>
      <c r="C872">
        <v>26</v>
      </c>
      <c r="D872" s="2" t="s">
        <v>21</v>
      </c>
      <c r="E872" s="2" t="s">
        <v>30</v>
      </c>
      <c r="F872" s="2" t="s">
        <v>37</v>
      </c>
      <c r="G872" s="2" t="s">
        <v>66</v>
      </c>
      <c r="H872" s="2" t="s">
        <v>18</v>
      </c>
      <c r="I872" s="2" t="s">
        <v>18</v>
      </c>
      <c r="J872">
        <v>0.54</v>
      </c>
      <c r="K872" s="4">
        <v>43324</v>
      </c>
    </row>
    <row r="873" spans="1:11" x14ac:dyDescent="0.3">
      <c r="A873" t="s">
        <v>1769</v>
      </c>
      <c r="B873" s="2" t="s">
        <v>1770</v>
      </c>
      <c r="C873">
        <v>69</v>
      </c>
      <c r="D873" s="2" t="s">
        <v>21</v>
      </c>
      <c r="E873" s="2" t="s">
        <v>22</v>
      </c>
      <c r="F873" s="2" t="s">
        <v>31</v>
      </c>
      <c r="G873" s="2" t="s">
        <v>27</v>
      </c>
      <c r="H873" s="2" t="s">
        <v>17</v>
      </c>
      <c r="I873" s="2" t="s">
        <v>18</v>
      </c>
      <c r="J873">
        <v>0.8</v>
      </c>
      <c r="K873" s="4">
        <v>43747</v>
      </c>
    </row>
    <row r="874" spans="1:11" x14ac:dyDescent="0.3">
      <c r="A874" t="s">
        <v>1771</v>
      </c>
      <c r="B874" s="2" t="s">
        <v>1772</v>
      </c>
      <c r="C874">
        <v>63</v>
      </c>
      <c r="D874" s="2" t="s">
        <v>13</v>
      </c>
      <c r="E874" s="2" t="s">
        <v>30</v>
      </c>
      <c r="F874" s="2" t="s">
        <v>15</v>
      </c>
      <c r="G874" s="2" t="s">
        <v>24</v>
      </c>
      <c r="H874" s="2" t="s">
        <v>17</v>
      </c>
      <c r="I874" s="2" t="s">
        <v>18</v>
      </c>
      <c r="J874">
        <v>0.4</v>
      </c>
      <c r="K874" s="4">
        <v>43288</v>
      </c>
    </row>
    <row r="875" spans="1:11" x14ac:dyDescent="0.3">
      <c r="A875" t="s">
        <v>1773</v>
      </c>
      <c r="B875" s="2" t="s">
        <v>1774</v>
      </c>
      <c r="C875">
        <v>35</v>
      </c>
      <c r="D875" s="2" t="s">
        <v>21</v>
      </c>
      <c r="E875" s="2" t="s">
        <v>14</v>
      </c>
      <c r="F875" s="2" t="s">
        <v>15</v>
      </c>
      <c r="G875" s="2" t="s">
        <v>27</v>
      </c>
      <c r="H875" s="2" t="s">
        <v>18</v>
      </c>
      <c r="I875" s="2" t="s">
        <v>17</v>
      </c>
      <c r="J875">
        <v>0.54</v>
      </c>
      <c r="K875" s="4">
        <v>43482</v>
      </c>
    </row>
    <row r="876" spans="1:11" x14ac:dyDescent="0.3">
      <c r="A876" t="s">
        <v>1775</v>
      </c>
      <c r="B876" s="2" t="s">
        <v>1776</v>
      </c>
      <c r="C876">
        <v>60</v>
      </c>
      <c r="D876" s="2" t="s">
        <v>13</v>
      </c>
      <c r="E876" s="2" t="s">
        <v>22</v>
      </c>
      <c r="F876" s="2" t="s">
        <v>37</v>
      </c>
      <c r="G876" s="2" t="s">
        <v>27</v>
      </c>
      <c r="H876" s="2" t="s">
        <v>18</v>
      </c>
      <c r="I876" s="2" t="s">
        <v>17</v>
      </c>
      <c r="J876">
        <v>0.66</v>
      </c>
      <c r="K876" s="4">
        <v>43238</v>
      </c>
    </row>
    <row r="877" spans="1:11" x14ac:dyDescent="0.3">
      <c r="A877" t="s">
        <v>1777</v>
      </c>
      <c r="B877" s="2" t="s">
        <v>1778</v>
      </c>
      <c r="C877">
        <v>40</v>
      </c>
      <c r="D877" s="2" t="s">
        <v>13</v>
      </c>
      <c r="E877" s="2" t="s">
        <v>30</v>
      </c>
      <c r="F877" s="2" t="s">
        <v>37</v>
      </c>
      <c r="G877" s="2" t="s">
        <v>32</v>
      </c>
      <c r="H877" s="2" t="s">
        <v>18</v>
      </c>
      <c r="I877" s="2" t="s">
        <v>17</v>
      </c>
      <c r="J877">
        <v>0.76</v>
      </c>
      <c r="K877" s="4">
        <v>44823</v>
      </c>
    </row>
    <row r="878" spans="1:11" x14ac:dyDescent="0.3">
      <c r="A878" t="s">
        <v>1779</v>
      </c>
      <c r="B878" s="2" t="s">
        <v>1780</v>
      </c>
      <c r="C878">
        <v>64</v>
      </c>
      <c r="D878" s="2" t="s">
        <v>21</v>
      </c>
      <c r="E878" s="2" t="s">
        <v>14</v>
      </c>
      <c r="F878" s="2" t="s">
        <v>37</v>
      </c>
      <c r="G878" s="2" t="s">
        <v>81</v>
      </c>
      <c r="H878" s="2" t="s">
        <v>17</v>
      </c>
      <c r="I878" s="2" t="s">
        <v>17</v>
      </c>
      <c r="J878">
        <v>0.6</v>
      </c>
      <c r="K878" s="4">
        <v>44487</v>
      </c>
    </row>
    <row r="879" spans="1:11" x14ac:dyDescent="0.3">
      <c r="A879" t="s">
        <v>1781</v>
      </c>
      <c r="B879" s="2" t="s">
        <v>1782</v>
      </c>
      <c r="C879">
        <v>48</v>
      </c>
      <c r="D879" s="2" t="s">
        <v>13</v>
      </c>
      <c r="E879" s="2" t="s">
        <v>30</v>
      </c>
      <c r="F879" s="2" t="s">
        <v>37</v>
      </c>
      <c r="G879" s="2" t="s">
        <v>27</v>
      </c>
      <c r="H879" s="2" t="s">
        <v>17</v>
      </c>
      <c r="I879" s="2" t="s">
        <v>18</v>
      </c>
      <c r="J879">
        <v>0.47</v>
      </c>
      <c r="K879" s="4">
        <v>44266</v>
      </c>
    </row>
    <row r="880" spans="1:11" x14ac:dyDescent="0.3">
      <c r="A880" t="s">
        <v>1783</v>
      </c>
      <c r="B880" s="2" t="s">
        <v>1784</v>
      </c>
      <c r="C880">
        <v>54</v>
      </c>
      <c r="D880" s="2" t="s">
        <v>21</v>
      </c>
      <c r="E880" s="2" t="s">
        <v>30</v>
      </c>
      <c r="F880" s="2" t="s">
        <v>37</v>
      </c>
      <c r="G880" s="2" t="s">
        <v>27</v>
      </c>
      <c r="H880" s="2" t="s">
        <v>18</v>
      </c>
      <c r="I880" s="2" t="s">
        <v>17</v>
      </c>
      <c r="J880">
        <v>0.47</v>
      </c>
      <c r="K880" s="4">
        <v>43161</v>
      </c>
    </row>
    <row r="881" spans="1:11" x14ac:dyDescent="0.3">
      <c r="A881" t="s">
        <v>1785</v>
      </c>
      <c r="B881" s="2" t="s">
        <v>1786</v>
      </c>
      <c r="C881">
        <v>62</v>
      </c>
      <c r="D881" s="2" t="s">
        <v>13</v>
      </c>
      <c r="E881" s="2" t="s">
        <v>22</v>
      </c>
      <c r="F881" s="2" t="s">
        <v>37</v>
      </c>
      <c r="G881" s="2" t="s">
        <v>66</v>
      </c>
      <c r="H881" s="2" t="s">
        <v>17</v>
      </c>
      <c r="I881" s="2" t="s">
        <v>18</v>
      </c>
      <c r="J881">
        <v>0.8</v>
      </c>
      <c r="K881" s="4">
        <v>45142</v>
      </c>
    </row>
    <row r="882" spans="1:11" x14ac:dyDescent="0.3">
      <c r="A882" t="s">
        <v>1787</v>
      </c>
      <c r="B882" s="2" t="s">
        <v>1788</v>
      </c>
      <c r="C882">
        <v>31</v>
      </c>
      <c r="D882" s="2" t="s">
        <v>21</v>
      </c>
      <c r="E882" s="2" t="s">
        <v>30</v>
      </c>
      <c r="F882" s="2" t="s">
        <v>15</v>
      </c>
      <c r="G882" s="2" t="s">
        <v>24</v>
      </c>
      <c r="H882" s="2" t="s">
        <v>18</v>
      </c>
      <c r="I882" s="2" t="s">
        <v>18</v>
      </c>
      <c r="J882">
        <v>0.49</v>
      </c>
      <c r="K882" s="4">
        <v>44167</v>
      </c>
    </row>
    <row r="883" spans="1:11" x14ac:dyDescent="0.3">
      <c r="A883" t="s">
        <v>1789</v>
      </c>
      <c r="B883" s="2" t="s">
        <v>1790</v>
      </c>
      <c r="C883">
        <v>56</v>
      </c>
      <c r="D883" s="2" t="s">
        <v>13</v>
      </c>
      <c r="E883" s="2" t="s">
        <v>14</v>
      </c>
      <c r="F883" s="2" t="s">
        <v>15</v>
      </c>
      <c r="G883" s="2" t="s">
        <v>24</v>
      </c>
      <c r="H883" s="2" t="s">
        <v>18</v>
      </c>
      <c r="I883" s="2" t="s">
        <v>18</v>
      </c>
      <c r="J883">
        <v>0.67</v>
      </c>
      <c r="K883" s="4">
        <v>44109</v>
      </c>
    </row>
    <row r="884" spans="1:11" x14ac:dyDescent="0.3">
      <c r="A884" t="s">
        <v>1791</v>
      </c>
      <c r="B884" s="2" t="s">
        <v>1792</v>
      </c>
      <c r="C884">
        <v>35</v>
      </c>
      <c r="D884" s="2" t="s">
        <v>21</v>
      </c>
      <c r="E884" s="2" t="s">
        <v>14</v>
      </c>
      <c r="F884" s="2" t="s">
        <v>37</v>
      </c>
      <c r="G884" s="2" t="s">
        <v>66</v>
      </c>
      <c r="H884" s="2" t="s">
        <v>17</v>
      </c>
      <c r="I884" s="2" t="s">
        <v>17</v>
      </c>
      <c r="J884">
        <v>0.53</v>
      </c>
      <c r="K884" s="4">
        <v>45070</v>
      </c>
    </row>
    <row r="885" spans="1:11" x14ac:dyDescent="0.3">
      <c r="A885" t="s">
        <v>1793</v>
      </c>
      <c r="B885" s="2" t="s">
        <v>1794</v>
      </c>
      <c r="C885">
        <v>34</v>
      </c>
      <c r="D885" s="2" t="s">
        <v>21</v>
      </c>
      <c r="E885" s="2" t="s">
        <v>30</v>
      </c>
      <c r="F885" s="2" t="s">
        <v>23</v>
      </c>
      <c r="G885" s="2" t="s">
        <v>27</v>
      </c>
      <c r="H885" s="2" t="s">
        <v>18</v>
      </c>
      <c r="I885" s="2" t="s">
        <v>17</v>
      </c>
      <c r="J885">
        <v>0.43</v>
      </c>
      <c r="K885" s="4">
        <v>44295</v>
      </c>
    </row>
    <row r="886" spans="1:11" x14ac:dyDescent="0.3">
      <c r="A886" t="s">
        <v>1795</v>
      </c>
      <c r="B886" s="2" t="s">
        <v>1796</v>
      </c>
      <c r="C886">
        <v>33</v>
      </c>
      <c r="D886" s="2" t="s">
        <v>21</v>
      </c>
      <c r="E886" s="2" t="s">
        <v>14</v>
      </c>
      <c r="F886" s="2" t="s">
        <v>31</v>
      </c>
      <c r="G886" s="2" t="s">
        <v>81</v>
      </c>
      <c r="H886" s="2" t="s">
        <v>18</v>
      </c>
      <c r="I886" s="2" t="s">
        <v>18</v>
      </c>
      <c r="J886">
        <v>0.22</v>
      </c>
      <c r="K886" s="4">
        <v>44654</v>
      </c>
    </row>
    <row r="887" spans="1:11" x14ac:dyDescent="0.3">
      <c r="A887" t="s">
        <v>1797</v>
      </c>
      <c r="B887" s="2" t="s">
        <v>1798</v>
      </c>
      <c r="C887">
        <v>32</v>
      </c>
      <c r="D887" s="2" t="s">
        <v>21</v>
      </c>
      <c r="E887" s="2" t="s">
        <v>22</v>
      </c>
      <c r="F887" s="2" t="s">
        <v>15</v>
      </c>
      <c r="G887" s="2" t="s">
        <v>27</v>
      </c>
      <c r="H887" s="2" t="s">
        <v>18</v>
      </c>
      <c r="I887" s="2" t="s">
        <v>17</v>
      </c>
      <c r="J887">
        <v>0.6</v>
      </c>
      <c r="K887" s="4">
        <v>45213</v>
      </c>
    </row>
    <row r="888" spans="1:11" x14ac:dyDescent="0.3">
      <c r="A888" t="s">
        <v>1799</v>
      </c>
      <c r="B888" s="2" t="s">
        <v>1800</v>
      </c>
      <c r="C888">
        <v>29</v>
      </c>
      <c r="D888" s="2" t="s">
        <v>21</v>
      </c>
      <c r="E888" s="2" t="s">
        <v>22</v>
      </c>
      <c r="F888" s="2" t="s">
        <v>37</v>
      </c>
      <c r="G888" s="2" t="s">
        <v>32</v>
      </c>
      <c r="H888" s="2" t="s">
        <v>17</v>
      </c>
      <c r="I888" s="2" t="s">
        <v>17</v>
      </c>
      <c r="J888">
        <v>0.78</v>
      </c>
      <c r="K888" s="4">
        <v>44652</v>
      </c>
    </row>
    <row r="889" spans="1:11" x14ac:dyDescent="0.3">
      <c r="A889" t="s">
        <v>1801</v>
      </c>
      <c r="B889" s="2" t="s">
        <v>1802</v>
      </c>
      <c r="C889">
        <v>36</v>
      </c>
      <c r="D889" s="2" t="s">
        <v>13</v>
      </c>
      <c r="E889" s="2" t="s">
        <v>14</v>
      </c>
      <c r="F889" s="2" t="s">
        <v>31</v>
      </c>
      <c r="G889" s="2" t="s">
        <v>81</v>
      </c>
      <c r="H889" s="2" t="s">
        <v>17</v>
      </c>
      <c r="I889" s="2" t="s">
        <v>17</v>
      </c>
      <c r="J889">
        <v>0.01</v>
      </c>
      <c r="K889" s="4">
        <v>44078</v>
      </c>
    </row>
    <row r="890" spans="1:11" x14ac:dyDescent="0.3">
      <c r="A890" t="s">
        <v>1803</v>
      </c>
      <c r="B890" s="2" t="s">
        <v>1804</v>
      </c>
      <c r="C890">
        <v>49</v>
      </c>
      <c r="D890" s="2" t="s">
        <v>21</v>
      </c>
      <c r="E890" s="2" t="s">
        <v>30</v>
      </c>
      <c r="F890" s="2" t="s">
        <v>37</v>
      </c>
      <c r="G890" s="2" t="s">
        <v>24</v>
      </c>
      <c r="H890" s="2" t="s">
        <v>18</v>
      </c>
      <c r="I890" s="2" t="s">
        <v>17</v>
      </c>
      <c r="J890">
        <v>0.96</v>
      </c>
      <c r="K890" s="4">
        <v>43958</v>
      </c>
    </row>
    <row r="891" spans="1:11" x14ac:dyDescent="0.3">
      <c r="A891" t="s">
        <v>1805</v>
      </c>
      <c r="B891" s="2" t="s">
        <v>1806</v>
      </c>
      <c r="C891">
        <v>38</v>
      </c>
      <c r="D891" s="2" t="s">
        <v>13</v>
      </c>
      <c r="E891" s="2" t="s">
        <v>14</v>
      </c>
      <c r="F891" s="2" t="s">
        <v>31</v>
      </c>
      <c r="G891" s="2" t="s">
        <v>27</v>
      </c>
      <c r="H891" s="2" t="s">
        <v>18</v>
      </c>
      <c r="I891" s="2" t="s">
        <v>18</v>
      </c>
      <c r="J891">
        <v>0.6</v>
      </c>
      <c r="K891" s="4">
        <v>43848</v>
      </c>
    </row>
    <row r="892" spans="1:11" x14ac:dyDescent="0.3">
      <c r="A892" t="s">
        <v>1807</v>
      </c>
      <c r="B892" s="2" t="s">
        <v>1808</v>
      </c>
      <c r="C892">
        <v>34</v>
      </c>
      <c r="D892" s="2" t="s">
        <v>13</v>
      </c>
      <c r="E892" s="2" t="s">
        <v>30</v>
      </c>
      <c r="F892" s="2" t="s">
        <v>23</v>
      </c>
      <c r="G892" s="2" t="s">
        <v>16</v>
      </c>
      <c r="H892" s="2" t="s">
        <v>18</v>
      </c>
      <c r="I892" s="2" t="s">
        <v>17</v>
      </c>
      <c r="J892">
        <v>0.76</v>
      </c>
      <c r="K892" s="4">
        <v>43182</v>
      </c>
    </row>
    <row r="893" spans="1:11" x14ac:dyDescent="0.3">
      <c r="A893" t="s">
        <v>1809</v>
      </c>
      <c r="B893" s="2" t="s">
        <v>1810</v>
      </c>
      <c r="C893">
        <v>23</v>
      </c>
      <c r="D893" s="2" t="s">
        <v>21</v>
      </c>
      <c r="E893" s="2" t="s">
        <v>14</v>
      </c>
      <c r="F893" s="2" t="s">
        <v>37</v>
      </c>
      <c r="G893" s="2" t="s">
        <v>66</v>
      </c>
      <c r="H893" s="2" t="s">
        <v>18</v>
      </c>
      <c r="I893" s="2" t="s">
        <v>18</v>
      </c>
      <c r="J893">
        <v>0.57999999999999996</v>
      </c>
      <c r="K893" s="4">
        <v>44851</v>
      </c>
    </row>
    <row r="894" spans="1:11" x14ac:dyDescent="0.3">
      <c r="A894" t="s">
        <v>1811</v>
      </c>
      <c r="B894" s="2" t="s">
        <v>1812</v>
      </c>
      <c r="C894">
        <v>20</v>
      </c>
      <c r="D894" s="2" t="s">
        <v>21</v>
      </c>
      <c r="E894" s="2" t="s">
        <v>30</v>
      </c>
      <c r="F894" s="2" t="s">
        <v>31</v>
      </c>
      <c r="G894" s="2" t="s">
        <v>27</v>
      </c>
      <c r="H894" s="2" t="s">
        <v>17</v>
      </c>
      <c r="I894" s="2" t="s">
        <v>18</v>
      </c>
      <c r="J894">
        <v>0.75</v>
      </c>
      <c r="K894" s="4">
        <v>44146</v>
      </c>
    </row>
    <row r="895" spans="1:11" x14ac:dyDescent="0.3">
      <c r="A895" t="s">
        <v>1813</v>
      </c>
      <c r="B895" s="2" t="s">
        <v>1814</v>
      </c>
      <c r="C895">
        <v>19</v>
      </c>
      <c r="D895" s="2" t="s">
        <v>21</v>
      </c>
      <c r="E895" s="2" t="s">
        <v>30</v>
      </c>
      <c r="F895" s="2" t="s">
        <v>37</v>
      </c>
      <c r="G895" s="2" t="s">
        <v>32</v>
      </c>
      <c r="H895" s="2" t="s">
        <v>18</v>
      </c>
      <c r="I895" s="2" t="s">
        <v>17</v>
      </c>
      <c r="J895">
        <v>0.23</v>
      </c>
      <c r="K895" s="4">
        <v>43900</v>
      </c>
    </row>
    <row r="896" spans="1:11" x14ac:dyDescent="0.3">
      <c r="A896" t="s">
        <v>1815</v>
      </c>
      <c r="B896" s="2" t="s">
        <v>1816</v>
      </c>
      <c r="C896">
        <v>38</v>
      </c>
      <c r="D896" s="2" t="s">
        <v>21</v>
      </c>
      <c r="E896" s="2" t="s">
        <v>14</v>
      </c>
      <c r="F896" s="2" t="s">
        <v>31</v>
      </c>
      <c r="G896" s="2" t="s">
        <v>81</v>
      </c>
      <c r="H896" s="2" t="s">
        <v>17</v>
      </c>
      <c r="I896" s="2" t="s">
        <v>17</v>
      </c>
      <c r="J896">
        <v>0.93</v>
      </c>
      <c r="K896" s="4">
        <v>43730</v>
      </c>
    </row>
    <row r="897" spans="1:11" x14ac:dyDescent="0.3">
      <c r="A897" t="s">
        <v>1817</v>
      </c>
      <c r="B897" s="2" t="s">
        <v>1818</v>
      </c>
      <c r="C897">
        <v>24</v>
      </c>
      <c r="D897" s="2" t="s">
        <v>13</v>
      </c>
      <c r="E897" s="2" t="s">
        <v>30</v>
      </c>
      <c r="F897" s="2" t="s">
        <v>31</v>
      </c>
      <c r="G897" s="2" t="s">
        <v>66</v>
      </c>
      <c r="H897" s="2" t="s">
        <v>18</v>
      </c>
      <c r="I897" s="2" t="s">
        <v>18</v>
      </c>
      <c r="J897">
        <v>0.42</v>
      </c>
      <c r="K897" s="4">
        <v>44818</v>
      </c>
    </row>
    <row r="898" spans="1:11" x14ac:dyDescent="0.3">
      <c r="A898" t="s">
        <v>1819</v>
      </c>
      <c r="B898" s="2" t="s">
        <v>1820</v>
      </c>
      <c r="C898">
        <v>66</v>
      </c>
      <c r="D898" s="2" t="s">
        <v>21</v>
      </c>
      <c r="E898" s="2" t="s">
        <v>30</v>
      </c>
      <c r="F898" s="2" t="s">
        <v>15</v>
      </c>
      <c r="G898" s="2" t="s">
        <v>27</v>
      </c>
      <c r="H898" s="2" t="s">
        <v>17</v>
      </c>
      <c r="I898" s="2" t="s">
        <v>17</v>
      </c>
      <c r="J898">
        <v>0.36</v>
      </c>
      <c r="K898" s="4">
        <v>44018</v>
      </c>
    </row>
    <row r="899" spans="1:11" x14ac:dyDescent="0.3">
      <c r="A899" t="s">
        <v>1821</v>
      </c>
      <c r="B899" s="2" t="s">
        <v>1822</v>
      </c>
      <c r="C899">
        <v>25</v>
      </c>
      <c r="D899" s="2" t="s">
        <v>13</v>
      </c>
      <c r="E899" s="2" t="s">
        <v>14</v>
      </c>
      <c r="F899" s="2" t="s">
        <v>23</v>
      </c>
      <c r="G899" s="2" t="s">
        <v>66</v>
      </c>
      <c r="H899" s="2" t="s">
        <v>17</v>
      </c>
      <c r="I899" s="2" t="s">
        <v>18</v>
      </c>
      <c r="J899">
        <v>0.34</v>
      </c>
      <c r="K899" s="4">
        <v>43392</v>
      </c>
    </row>
    <row r="900" spans="1:11" x14ac:dyDescent="0.3">
      <c r="A900" t="s">
        <v>1823</v>
      </c>
      <c r="B900" s="2" t="s">
        <v>1824</v>
      </c>
      <c r="C900">
        <v>58</v>
      </c>
      <c r="D900" s="2" t="s">
        <v>21</v>
      </c>
      <c r="E900" s="2" t="s">
        <v>30</v>
      </c>
      <c r="F900" s="2" t="s">
        <v>37</v>
      </c>
      <c r="G900" s="2" t="s">
        <v>81</v>
      </c>
      <c r="H900" s="2" t="s">
        <v>17</v>
      </c>
      <c r="I900" s="2" t="s">
        <v>18</v>
      </c>
      <c r="J900">
        <v>0.73</v>
      </c>
      <c r="K900" s="4">
        <v>43121</v>
      </c>
    </row>
    <row r="901" spans="1:11" x14ac:dyDescent="0.3">
      <c r="A901" t="s">
        <v>1825</v>
      </c>
      <c r="B901" s="2" t="s">
        <v>1826</v>
      </c>
      <c r="C901">
        <v>22</v>
      </c>
      <c r="D901" s="2" t="s">
        <v>13</v>
      </c>
      <c r="E901" s="2" t="s">
        <v>14</v>
      </c>
      <c r="F901" s="2" t="s">
        <v>23</v>
      </c>
      <c r="G901" s="2" t="s">
        <v>24</v>
      </c>
      <c r="H901" s="2" t="s">
        <v>18</v>
      </c>
      <c r="I901" s="2" t="s">
        <v>17</v>
      </c>
      <c r="J901">
        <v>0.36</v>
      </c>
      <c r="K901" s="4">
        <v>44670</v>
      </c>
    </row>
    <row r="902" spans="1:11" x14ac:dyDescent="0.3">
      <c r="A902" t="s">
        <v>1827</v>
      </c>
      <c r="B902" s="2" t="s">
        <v>1828</v>
      </c>
      <c r="C902">
        <v>24</v>
      </c>
      <c r="D902" s="2" t="s">
        <v>13</v>
      </c>
      <c r="E902" s="2" t="s">
        <v>14</v>
      </c>
      <c r="F902" s="2" t="s">
        <v>15</v>
      </c>
      <c r="G902" s="2" t="s">
        <v>66</v>
      </c>
      <c r="H902" s="2" t="s">
        <v>18</v>
      </c>
      <c r="I902" s="2" t="s">
        <v>17</v>
      </c>
      <c r="J902">
        <v>0.42</v>
      </c>
      <c r="K902" s="4">
        <v>44276</v>
      </c>
    </row>
    <row r="903" spans="1:11" x14ac:dyDescent="0.3">
      <c r="A903" t="s">
        <v>1829</v>
      </c>
      <c r="B903" s="2" t="s">
        <v>1830</v>
      </c>
      <c r="C903">
        <v>61</v>
      </c>
      <c r="D903" s="2" t="s">
        <v>21</v>
      </c>
      <c r="E903" s="2" t="s">
        <v>14</v>
      </c>
      <c r="F903" s="2" t="s">
        <v>31</v>
      </c>
      <c r="G903" s="2" t="s">
        <v>16</v>
      </c>
      <c r="H903" s="2" t="s">
        <v>17</v>
      </c>
      <c r="I903" s="2" t="s">
        <v>17</v>
      </c>
      <c r="J903">
        <v>0.59</v>
      </c>
      <c r="K903" s="4">
        <v>43897</v>
      </c>
    </row>
    <row r="904" spans="1:11" x14ac:dyDescent="0.3">
      <c r="A904" t="s">
        <v>1831</v>
      </c>
      <c r="B904" s="2" t="s">
        <v>1832</v>
      </c>
      <c r="C904">
        <v>49</v>
      </c>
      <c r="D904" s="2" t="s">
        <v>13</v>
      </c>
      <c r="E904" s="2" t="s">
        <v>14</v>
      </c>
      <c r="F904" s="2" t="s">
        <v>37</v>
      </c>
      <c r="G904" s="2" t="s">
        <v>32</v>
      </c>
      <c r="H904" s="2" t="s">
        <v>17</v>
      </c>
      <c r="I904" s="2" t="s">
        <v>18</v>
      </c>
      <c r="J904">
        <v>0.39</v>
      </c>
      <c r="K904" s="4">
        <v>45116</v>
      </c>
    </row>
    <row r="905" spans="1:11" x14ac:dyDescent="0.3">
      <c r="A905" t="s">
        <v>1833</v>
      </c>
      <c r="B905" s="2" t="s">
        <v>1834</v>
      </c>
      <c r="C905">
        <v>22</v>
      </c>
      <c r="D905" s="2" t="s">
        <v>13</v>
      </c>
      <c r="E905" s="2" t="s">
        <v>22</v>
      </c>
      <c r="F905" s="2" t="s">
        <v>23</v>
      </c>
      <c r="G905" s="2" t="s">
        <v>16</v>
      </c>
      <c r="H905" s="2" t="s">
        <v>17</v>
      </c>
      <c r="I905" s="2" t="s">
        <v>17</v>
      </c>
      <c r="J905">
        <v>0.38</v>
      </c>
      <c r="K905" s="4">
        <v>43890</v>
      </c>
    </row>
    <row r="906" spans="1:11" x14ac:dyDescent="0.3">
      <c r="A906" t="s">
        <v>1835</v>
      </c>
      <c r="B906" s="2" t="s">
        <v>1836</v>
      </c>
      <c r="C906">
        <v>56</v>
      </c>
      <c r="D906" s="2" t="s">
        <v>13</v>
      </c>
      <c r="E906" s="2" t="s">
        <v>30</v>
      </c>
      <c r="F906" s="2" t="s">
        <v>37</v>
      </c>
      <c r="G906" s="2" t="s">
        <v>24</v>
      </c>
      <c r="H906" s="2" t="s">
        <v>17</v>
      </c>
      <c r="I906" s="2" t="s">
        <v>18</v>
      </c>
      <c r="J906">
        <v>0.77</v>
      </c>
      <c r="K906" s="4">
        <v>44639</v>
      </c>
    </row>
    <row r="907" spans="1:11" x14ac:dyDescent="0.3">
      <c r="A907" t="s">
        <v>1837</v>
      </c>
      <c r="B907" s="2" t="s">
        <v>1838</v>
      </c>
      <c r="C907">
        <v>56</v>
      </c>
      <c r="D907" s="2" t="s">
        <v>13</v>
      </c>
      <c r="E907" s="2" t="s">
        <v>22</v>
      </c>
      <c r="F907" s="2" t="s">
        <v>31</v>
      </c>
      <c r="G907" s="2" t="s">
        <v>16</v>
      </c>
      <c r="H907" s="2" t="s">
        <v>17</v>
      </c>
      <c r="I907" s="2" t="s">
        <v>18</v>
      </c>
      <c r="J907">
        <v>0.78</v>
      </c>
      <c r="K907" s="4">
        <v>44554</v>
      </c>
    </row>
    <row r="908" spans="1:11" x14ac:dyDescent="0.3">
      <c r="A908" t="s">
        <v>1839</v>
      </c>
      <c r="B908" s="2" t="s">
        <v>1840</v>
      </c>
      <c r="C908">
        <v>34</v>
      </c>
      <c r="D908" s="2" t="s">
        <v>21</v>
      </c>
      <c r="E908" s="2" t="s">
        <v>14</v>
      </c>
      <c r="F908" s="2" t="s">
        <v>15</v>
      </c>
      <c r="G908" s="2" t="s">
        <v>81</v>
      </c>
      <c r="H908" s="2" t="s">
        <v>17</v>
      </c>
      <c r="I908" s="2" t="s">
        <v>18</v>
      </c>
      <c r="J908">
        <v>0.65</v>
      </c>
      <c r="K908" s="4">
        <v>44922</v>
      </c>
    </row>
    <row r="909" spans="1:11" x14ac:dyDescent="0.3">
      <c r="A909" t="s">
        <v>1841</v>
      </c>
      <c r="B909" s="2" t="s">
        <v>1842</v>
      </c>
      <c r="C909">
        <v>34</v>
      </c>
      <c r="D909" s="2" t="s">
        <v>13</v>
      </c>
      <c r="E909" s="2" t="s">
        <v>30</v>
      </c>
      <c r="F909" s="2" t="s">
        <v>23</v>
      </c>
      <c r="G909" s="2" t="s">
        <v>81</v>
      </c>
      <c r="H909" s="2" t="s">
        <v>18</v>
      </c>
      <c r="I909" s="2" t="s">
        <v>17</v>
      </c>
      <c r="J909">
        <v>0.77</v>
      </c>
      <c r="K909" s="4">
        <v>43464</v>
      </c>
    </row>
    <row r="910" spans="1:11" x14ac:dyDescent="0.3">
      <c r="A910" t="s">
        <v>1843</v>
      </c>
      <c r="B910" s="2" t="s">
        <v>1844</v>
      </c>
      <c r="C910">
        <v>45</v>
      </c>
      <c r="D910" s="2" t="s">
        <v>13</v>
      </c>
      <c r="E910" s="2" t="s">
        <v>30</v>
      </c>
      <c r="F910" s="2" t="s">
        <v>37</v>
      </c>
      <c r="G910" s="2" t="s">
        <v>81</v>
      </c>
      <c r="H910" s="2" t="s">
        <v>18</v>
      </c>
      <c r="I910" s="2" t="s">
        <v>17</v>
      </c>
      <c r="J910">
        <v>0.3</v>
      </c>
      <c r="K910" s="4">
        <v>44238</v>
      </c>
    </row>
    <row r="911" spans="1:11" x14ac:dyDescent="0.3">
      <c r="A911" t="s">
        <v>1845</v>
      </c>
      <c r="B911" s="2" t="s">
        <v>1846</v>
      </c>
      <c r="C911">
        <v>33</v>
      </c>
      <c r="D911" s="2" t="s">
        <v>21</v>
      </c>
      <c r="E911" s="2" t="s">
        <v>14</v>
      </c>
      <c r="F911" s="2" t="s">
        <v>23</v>
      </c>
      <c r="G911" s="2" t="s">
        <v>66</v>
      </c>
      <c r="H911" s="2" t="s">
        <v>17</v>
      </c>
      <c r="I911" s="2" t="s">
        <v>18</v>
      </c>
      <c r="J911">
        <v>0.45</v>
      </c>
      <c r="K911" s="4">
        <v>44208</v>
      </c>
    </row>
    <row r="912" spans="1:11" x14ac:dyDescent="0.3">
      <c r="A912" t="s">
        <v>1847</v>
      </c>
      <c r="B912" s="2" t="s">
        <v>1848</v>
      </c>
      <c r="C912">
        <v>31</v>
      </c>
      <c r="D912" s="2" t="s">
        <v>21</v>
      </c>
      <c r="E912" s="2" t="s">
        <v>30</v>
      </c>
      <c r="F912" s="2" t="s">
        <v>15</v>
      </c>
      <c r="G912" s="2" t="s">
        <v>16</v>
      </c>
      <c r="H912" s="2" t="s">
        <v>17</v>
      </c>
      <c r="I912" s="2" t="s">
        <v>17</v>
      </c>
      <c r="J912">
        <v>0.39</v>
      </c>
      <c r="K912" s="4">
        <v>44617</v>
      </c>
    </row>
    <row r="913" spans="1:11" x14ac:dyDescent="0.3">
      <c r="A913" t="s">
        <v>1849</v>
      </c>
      <c r="B913" s="2" t="s">
        <v>1850</v>
      </c>
      <c r="C913">
        <v>50</v>
      </c>
      <c r="D913" s="2" t="s">
        <v>21</v>
      </c>
      <c r="E913" s="2" t="s">
        <v>22</v>
      </c>
      <c r="F913" s="2" t="s">
        <v>15</v>
      </c>
      <c r="G913" s="2" t="s">
        <v>24</v>
      </c>
      <c r="H913" s="2" t="s">
        <v>17</v>
      </c>
      <c r="I913" s="2" t="s">
        <v>18</v>
      </c>
      <c r="J913">
        <v>0.73</v>
      </c>
      <c r="K913" s="4">
        <v>43671</v>
      </c>
    </row>
    <row r="914" spans="1:11" x14ac:dyDescent="0.3">
      <c r="A914" t="s">
        <v>1851</v>
      </c>
      <c r="B914" s="2" t="s">
        <v>1852</v>
      </c>
      <c r="C914">
        <v>47</v>
      </c>
      <c r="D914" s="2" t="s">
        <v>21</v>
      </c>
      <c r="E914" s="2" t="s">
        <v>30</v>
      </c>
      <c r="F914" s="2" t="s">
        <v>37</v>
      </c>
      <c r="G914" s="2" t="s">
        <v>27</v>
      </c>
      <c r="H914" s="2" t="s">
        <v>18</v>
      </c>
      <c r="I914" s="2" t="s">
        <v>17</v>
      </c>
      <c r="J914">
        <v>0.89</v>
      </c>
      <c r="K914" s="4">
        <v>43112</v>
      </c>
    </row>
    <row r="915" spans="1:11" x14ac:dyDescent="0.3">
      <c r="A915" t="s">
        <v>1853</v>
      </c>
      <c r="B915" s="2" t="s">
        <v>1854</v>
      </c>
      <c r="C915">
        <v>63</v>
      </c>
      <c r="D915" s="2" t="s">
        <v>21</v>
      </c>
      <c r="E915" s="2" t="s">
        <v>22</v>
      </c>
      <c r="F915" s="2" t="s">
        <v>37</v>
      </c>
      <c r="G915" s="2" t="s">
        <v>81</v>
      </c>
      <c r="H915" s="2" t="s">
        <v>18</v>
      </c>
      <c r="I915" s="2" t="s">
        <v>18</v>
      </c>
      <c r="J915">
        <v>0.68</v>
      </c>
      <c r="K915" s="4">
        <v>44089</v>
      </c>
    </row>
    <row r="916" spans="1:11" x14ac:dyDescent="0.3">
      <c r="A916" t="s">
        <v>1855</v>
      </c>
      <c r="B916" s="2" t="s">
        <v>1856</v>
      </c>
      <c r="C916">
        <v>32</v>
      </c>
      <c r="D916" s="2" t="s">
        <v>13</v>
      </c>
      <c r="E916" s="2" t="s">
        <v>14</v>
      </c>
      <c r="F916" s="2" t="s">
        <v>37</v>
      </c>
      <c r="G916" s="2" t="s">
        <v>16</v>
      </c>
      <c r="H916" s="2" t="s">
        <v>18</v>
      </c>
      <c r="I916" s="2" t="s">
        <v>18</v>
      </c>
      <c r="J916">
        <v>0.55000000000000004</v>
      </c>
      <c r="K916" s="4">
        <v>44373</v>
      </c>
    </row>
    <row r="917" spans="1:11" x14ac:dyDescent="0.3">
      <c r="A917" t="s">
        <v>1857</v>
      </c>
      <c r="B917" s="2" t="s">
        <v>1858</v>
      </c>
      <c r="C917">
        <v>27</v>
      </c>
      <c r="D917" s="2" t="s">
        <v>21</v>
      </c>
      <c r="E917" s="2" t="s">
        <v>22</v>
      </c>
      <c r="F917" s="2" t="s">
        <v>23</v>
      </c>
      <c r="G917" s="2" t="s">
        <v>16</v>
      </c>
      <c r="H917" s="2" t="s">
        <v>18</v>
      </c>
      <c r="I917" s="2" t="s">
        <v>17</v>
      </c>
      <c r="J917">
        <v>0.52</v>
      </c>
      <c r="K917" s="4">
        <v>44470</v>
      </c>
    </row>
    <row r="918" spans="1:11" x14ac:dyDescent="0.3">
      <c r="A918" t="s">
        <v>1859</v>
      </c>
      <c r="B918" s="2" t="s">
        <v>1860</v>
      </c>
      <c r="C918">
        <v>37</v>
      </c>
      <c r="D918" s="2" t="s">
        <v>13</v>
      </c>
      <c r="E918" s="2" t="s">
        <v>30</v>
      </c>
      <c r="F918" s="2" t="s">
        <v>31</v>
      </c>
      <c r="G918" s="2" t="s">
        <v>27</v>
      </c>
      <c r="H918" s="2" t="s">
        <v>17</v>
      </c>
      <c r="I918" s="2" t="s">
        <v>18</v>
      </c>
      <c r="J918">
        <v>0.35</v>
      </c>
      <c r="K918" s="4">
        <v>44314</v>
      </c>
    </row>
    <row r="919" spans="1:11" x14ac:dyDescent="0.3">
      <c r="A919" t="s">
        <v>1861</v>
      </c>
      <c r="B919" s="2" t="s">
        <v>1862</v>
      </c>
      <c r="C919">
        <v>65</v>
      </c>
      <c r="D919" s="2" t="s">
        <v>13</v>
      </c>
      <c r="E919" s="2" t="s">
        <v>22</v>
      </c>
      <c r="F919" s="2" t="s">
        <v>23</v>
      </c>
      <c r="G919" s="2" t="s">
        <v>16</v>
      </c>
      <c r="H919" s="2" t="s">
        <v>18</v>
      </c>
      <c r="I919" s="2" t="s">
        <v>17</v>
      </c>
      <c r="J919">
        <v>0.04</v>
      </c>
      <c r="K919" s="4">
        <v>43711</v>
      </c>
    </row>
    <row r="920" spans="1:11" x14ac:dyDescent="0.3">
      <c r="A920" t="s">
        <v>1863</v>
      </c>
      <c r="B920" s="2" t="s">
        <v>1864</v>
      </c>
      <c r="C920">
        <v>53</v>
      </c>
      <c r="D920" s="2" t="s">
        <v>13</v>
      </c>
      <c r="E920" s="2" t="s">
        <v>14</v>
      </c>
      <c r="F920" s="2" t="s">
        <v>15</v>
      </c>
      <c r="G920" s="2" t="s">
        <v>16</v>
      </c>
      <c r="H920" s="2" t="s">
        <v>18</v>
      </c>
      <c r="I920" s="2" t="s">
        <v>17</v>
      </c>
      <c r="J920">
        <v>0.55000000000000004</v>
      </c>
      <c r="K920" s="4">
        <v>43324</v>
      </c>
    </row>
    <row r="921" spans="1:11" x14ac:dyDescent="0.3">
      <c r="A921" t="s">
        <v>1865</v>
      </c>
      <c r="B921" s="2" t="s">
        <v>1866</v>
      </c>
      <c r="C921">
        <v>57</v>
      </c>
      <c r="D921" s="2" t="s">
        <v>13</v>
      </c>
      <c r="E921" s="2" t="s">
        <v>22</v>
      </c>
      <c r="F921" s="2" t="s">
        <v>15</v>
      </c>
      <c r="G921" s="2" t="s">
        <v>24</v>
      </c>
      <c r="H921" s="2" t="s">
        <v>17</v>
      </c>
      <c r="I921" s="2" t="s">
        <v>18</v>
      </c>
      <c r="J921">
        <v>1</v>
      </c>
      <c r="K921" s="4">
        <v>43710</v>
      </c>
    </row>
    <row r="922" spans="1:11" x14ac:dyDescent="0.3">
      <c r="A922" t="s">
        <v>1867</v>
      </c>
      <c r="B922" s="2" t="s">
        <v>1868</v>
      </c>
      <c r="C922">
        <v>65</v>
      </c>
      <c r="D922" s="2" t="s">
        <v>13</v>
      </c>
      <c r="E922" s="2" t="s">
        <v>22</v>
      </c>
      <c r="F922" s="2" t="s">
        <v>31</v>
      </c>
      <c r="G922" s="2" t="s">
        <v>27</v>
      </c>
      <c r="H922" s="2" t="s">
        <v>17</v>
      </c>
      <c r="I922" s="2" t="s">
        <v>17</v>
      </c>
      <c r="J922">
        <v>0.47</v>
      </c>
      <c r="K922" s="4">
        <v>45022</v>
      </c>
    </row>
    <row r="923" spans="1:11" x14ac:dyDescent="0.3">
      <c r="A923" t="s">
        <v>1869</v>
      </c>
      <c r="B923" s="2" t="s">
        <v>1870</v>
      </c>
      <c r="C923">
        <v>27</v>
      </c>
      <c r="D923" s="2" t="s">
        <v>21</v>
      </c>
      <c r="E923" s="2" t="s">
        <v>22</v>
      </c>
      <c r="F923" s="2" t="s">
        <v>31</v>
      </c>
      <c r="G923" s="2" t="s">
        <v>24</v>
      </c>
      <c r="H923" s="2" t="s">
        <v>18</v>
      </c>
      <c r="I923" s="2" t="s">
        <v>17</v>
      </c>
      <c r="J923">
        <v>0.48</v>
      </c>
      <c r="K923" s="4">
        <v>44527</v>
      </c>
    </row>
    <row r="924" spans="1:11" x14ac:dyDescent="0.3">
      <c r="A924" t="s">
        <v>1871</v>
      </c>
      <c r="B924" s="2" t="s">
        <v>1872</v>
      </c>
      <c r="C924">
        <v>55</v>
      </c>
      <c r="D924" s="2" t="s">
        <v>21</v>
      </c>
      <c r="E924" s="2" t="s">
        <v>22</v>
      </c>
      <c r="F924" s="2" t="s">
        <v>31</v>
      </c>
      <c r="G924" s="2" t="s">
        <v>66</v>
      </c>
      <c r="H924" s="2" t="s">
        <v>18</v>
      </c>
      <c r="I924" s="2" t="s">
        <v>18</v>
      </c>
      <c r="J924">
        <v>0.42</v>
      </c>
      <c r="K924" s="4">
        <v>43247</v>
      </c>
    </row>
    <row r="925" spans="1:11" x14ac:dyDescent="0.3">
      <c r="A925" t="s">
        <v>1873</v>
      </c>
      <c r="B925" s="2" t="s">
        <v>1874</v>
      </c>
      <c r="C925">
        <v>19</v>
      </c>
      <c r="D925" s="2" t="s">
        <v>21</v>
      </c>
      <c r="E925" s="2" t="s">
        <v>14</v>
      </c>
      <c r="F925" s="2" t="s">
        <v>37</v>
      </c>
      <c r="G925" s="2" t="s">
        <v>24</v>
      </c>
      <c r="H925" s="2" t="s">
        <v>17</v>
      </c>
      <c r="I925" s="2" t="s">
        <v>17</v>
      </c>
      <c r="J925">
        <v>0.81</v>
      </c>
      <c r="K925" s="4">
        <v>44554</v>
      </c>
    </row>
    <row r="926" spans="1:11" x14ac:dyDescent="0.3">
      <c r="A926" t="s">
        <v>1875</v>
      </c>
      <c r="B926" s="2" t="s">
        <v>1876</v>
      </c>
      <c r="C926">
        <v>20</v>
      </c>
      <c r="D926" s="2" t="s">
        <v>13</v>
      </c>
      <c r="E926" s="2" t="s">
        <v>14</v>
      </c>
      <c r="F926" s="2" t="s">
        <v>31</v>
      </c>
      <c r="G926" s="2" t="s">
        <v>32</v>
      </c>
      <c r="H926" s="2" t="s">
        <v>17</v>
      </c>
      <c r="I926" s="2" t="s">
        <v>17</v>
      </c>
      <c r="J926">
        <v>0.71</v>
      </c>
      <c r="K926" s="4">
        <v>43721</v>
      </c>
    </row>
    <row r="927" spans="1:11" x14ac:dyDescent="0.3">
      <c r="A927" t="s">
        <v>1877</v>
      </c>
      <c r="B927" s="2" t="s">
        <v>1878</v>
      </c>
      <c r="C927">
        <v>61</v>
      </c>
      <c r="D927" s="2" t="s">
        <v>13</v>
      </c>
      <c r="E927" s="2" t="s">
        <v>14</v>
      </c>
      <c r="F927" s="2" t="s">
        <v>37</v>
      </c>
      <c r="G927" s="2" t="s">
        <v>16</v>
      </c>
      <c r="H927" s="2" t="s">
        <v>17</v>
      </c>
      <c r="I927" s="2" t="s">
        <v>18</v>
      </c>
      <c r="J927">
        <v>0.56999999999999995</v>
      </c>
      <c r="K927" s="4">
        <v>44235</v>
      </c>
    </row>
    <row r="928" spans="1:11" x14ac:dyDescent="0.3">
      <c r="A928" t="s">
        <v>1879</v>
      </c>
      <c r="B928" s="2" t="s">
        <v>1880</v>
      </c>
      <c r="C928">
        <v>32</v>
      </c>
      <c r="D928" s="2" t="s">
        <v>21</v>
      </c>
      <c r="E928" s="2" t="s">
        <v>22</v>
      </c>
      <c r="F928" s="2" t="s">
        <v>23</v>
      </c>
      <c r="G928" s="2" t="s">
        <v>66</v>
      </c>
      <c r="H928" s="2" t="s">
        <v>18</v>
      </c>
      <c r="I928" s="2" t="s">
        <v>17</v>
      </c>
      <c r="J928">
        <v>0.4</v>
      </c>
      <c r="K928" s="4">
        <v>43427</v>
      </c>
    </row>
    <row r="929" spans="1:11" x14ac:dyDescent="0.3">
      <c r="A929" t="s">
        <v>1881</v>
      </c>
      <c r="B929" s="2" t="s">
        <v>1882</v>
      </c>
      <c r="C929">
        <v>53</v>
      </c>
      <c r="D929" s="2" t="s">
        <v>13</v>
      </c>
      <c r="E929" s="2" t="s">
        <v>30</v>
      </c>
      <c r="F929" s="2" t="s">
        <v>15</v>
      </c>
      <c r="G929" s="2" t="s">
        <v>66</v>
      </c>
      <c r="H929" s="2" t="s">
        <v>18</v>
      </c>
      <c r="I929" s="2" t="s">
        <v>17</v>
      </c>
      <c r="J929">
        <v>0.38</v>
      </c>
      <c r="K929" s="4">
        <v>43452</v>
      </c>
    </row>
    <row r="930" spans="1:11" x14ac:dyDescent="0.3">
      <c r="A930" t="s">
        <v>1883</v>
      </c>
      <c r="B930" s="2" t="s">
        <v>1884</v>
      </c>
      <c r="C930">
        <v>62</v>
      </c>
      <c r="D930" s="2" t="s">
        <v>13</v>
      </c>
      <c r="E930" s="2" t="s">
        <v>14</v>
      </c>
      <c r="F930" s="2" t="s">
        <v>23</v>
      </c>
      <c r="G930" s="2" t="s">
        <v>24</v>
      </c>
      <c r="H930" s="2" t="s">
        <v>18</v>
      </c>
      <c r="I930" s="2" t="s">
        <v>18</v>
      </c>
      <c r="J930">
        <v>0.48</v>
      </c>
      <c r="K930" s="4">
        <v>44089</v>
      </c>
    </row>
    <row r="931" spans="1:11" x14ac:dyDescent="0.3">
      <c r="A931" t="s">
        <v>1885</v>
      </c>
      <c r="B931" s="2" t="s">
        <v>1886</v>
      </c>
      <c r="C931">
        <v>50</v>
      </c>
      <c r="D931" s="2" t="s">
        <v>21</v>
      </c>
      <c r="E931" s="2" t="s">
        <v>30</v>
      </c>
      <c r="F931" s="2" t="s">
        <v>37</v>
      </c>
      <c r="G931" s="2" t="s">
        <v>24</v>
      </c>
      <c r="H931" s="2" t="s">
        <v>17</v>
      </c>
      <c r="I931" s="2" t="s">
        <v>18</v>
      </c>
      <c r="J931">
        <v>0.2</v>
      </c>
      <c r="K931" s="4">
        <v>44522</v>
      </c>
    </row>
    <row r="932" spans="1:11" x14ac:dyDescent="0.3">
      <c r="A932" t="s">
        <v>1887</v>
      </c>
      <c r="B932" s="2" t="s">
        <v>1888</v>
      </c>
      <c r="C932">
        <v>57</v>
      </c>
      <c r="D932" s="2" t="s">
        <v>13</v>
      </c>
      <c r="E932" s="2" t="s">
        <v>14</v>
      </c>
      <c r="F932" s="2" t="s">
        <v>15</v>
      </c>
      <c r="G932" s="2" t="s">
        <v>16</v>
      </c>
      <c r="H932" s="2" t="s">
        <v>18</v>
      </c>
      <c r="I932" s="2" t="s">
        <v>17</v>
      </c>
      <c r="J932">
        <v>0.35</v>
      </c>
      <c r="K932" s="4">
        <v>43769</v>
      </c>
    </row>
    <row r="933" spans="1:11" x14ac:dyDescent="0.3">
      <c r="A933" t="s">
        <v>1889</v>
      </c>
      <c r="B933" s="2" t="s">
        <v>1890</v>
      </c>
      <c r="C933">
        <v>54</v>
      </c>
      <c r="D933" s="2" t="s">
        <v>21</v>
      </c>
      <c r="E933" s="2" t="s">
        <v>22</v>
      </c>
      <c r="F933" s="2" t="s">
        <v>37</v>
      </c>
      <c r="G933" s="2" t="s">
        <v>66</v>
      </c>
      <c r="H933" s="2" t="s">
        <v>17</v>
      </c>
      <c r="I933" s="2" t="s">
        <v>18</v>
      </c>
      <c r="J933">
        <v>0.62</v>
      </c>
      <c r="K933" s="4">
        <v>44267</v>
      </c>
    </row>
    <row r="934" spans="1:11" x14ac:dyDescent="0.3">
      <c r="A934" t="s">
        <v>1891</v>
      </c>
      <c r="B934" s="2" t="s">
        <v>1892</v>
      </c>
      <c r="C934">
        <v>47</v>
      </c>
      <c r="D934" s="2" t="s">
        <v>13</v>
      </c>
      <c r="E934" s="2" t="s">
        <v>14</v>
      </c>
      <c r="F934" s="2" t="s">
        <v>31</v>
      </c>
      <c r="G934" s="2" t="s">
        <v>27</v>
      </c>
      <c r="H934" s="2" t="s">
        <v>18</v>
      </c>
      <c r="I934" s="2" t="s">
        <v>18</v>
      </c>
      <c r="J934">
        <v>0.31</v>
      </c>
      <c r="K934" s="4">
        <v>44598</v>
      </c>
    </row>
    <row r="935" spans="1:11" x14ac:dyDescent="0.3">
      <c r="A935" t="s">
        <v>1893</v>
      </c>
      <c r="B935" s="2" t="s">
        <v>1894</v>
      </c>
      <c r="C935">
        <v>68</v>
      </c>
      <c r="D935" s="2" t="s">
        <v>13</v>
      </c>
      <c r="E935" s="2" t="s">
        <v>22</v>
      </c>
      <c r="F935" s="2" t="s">
        <v>15</v>
      </c>
      <c r="G935" s="2" t="s">
        <v>27</v>
      </c>
      <c r="H935" s="2" t="s">
        <v>17</v>
      </c>
      <c r="I935" s="2" t="s">
        <v>17</v>
      </c>
      <c r="J935">
        <v>0.46</v>
      </c>
      <c r="K935" s="4">
        <v>44883</v>
      </c>
    </row>
    <row r="936" spans="1:11" x14ac:dyDescent="0.3">
      <c r="A936" t="s">
        <v>1895</v>
      </c>
      <c r="B936" s="2" t="s">
        <v>1896</v>
      </c>
      <c r="C936">
        <v>66</v>
      </c>
      <c r="D936" s="2" t="s">
        <v>13</v>
      </c>
      <c r="E936" s="2" t="s">
        <v>14</v>
      </c>
      <c r="F936" s="2" t="s">
        <v>37</v>
      </c>
      <c r="G936" s="2" t="s">
        <v>81</v>
      </c>
      <c r="H936" s="2" t="s">
        <v>17</v>
      </c>
      <c r="I936" s="2" t="s">
        <v>17</v>
      </c>
      <c r="J936">
        <v>0.73</v>
      </c>
      <c r="K936" s="4">
        <v>44818</v>
      </c>
    </row>
    <row r="937" spans="1:11" x14ac:dyDescent="0.3">
      <c r="A937" t="s">
        <v>1897</v>
      </c>
      <c r="B937" s="2" t="s">
        <v>1898</v>
      </c>
      <c r="C937">
        <v>65</v>
      </c>
      <c r="D937" s="2" t="s">
        <v>13</v>
      </c>
      <c r="E937" s="2" t="s">
        <v>14</v>
      </c>
      <c r="F937" s="2" t="s">
        <v>37</v>
      </c>
      <c r="G937" s="2" t="s">
        <v>27</v>
      </c>
      <c r="H937" s="2" t="s">
        <v>18</v>
      </c>
      <c r="I937" s="2" t="s">
        <v>18</v>
      </c>
      <c r="J937">
        <v>0.33</v>
      </c>
      <c r="K937" s="4">
        <v>43142</v>
      </c>
    </row>
    <row r="938" spans="1:11" x14ac:dyDescent="0.3">
      <c r="A938" t="s">
        <v>1899</v>
      </c>
      <c r="B938" s="2" t="s">
        <v>1900</v>
      </c>
      <c r="C938">
        <v>57</v>
      </c>
      <c r="D938" s="2" t="s">
        <v>13</v>
      </c>
      <c r="E938" s="2" t="s">
        <v>30</v>
      </c>
      <c r="F938" s="2" t="s">
        <v>31</v>
      </c>
      <c r="G938" s="2" t="s">
        <v>32</v>
      </c>
      <c r="H938" s="2" t="s">
        <v>17</v>
      </c>
      <c r="I938" s="2" t="s">
        <v>18</v>
      </c>
      <c r="J938">
        <v>0.23</v>
      </c>
      <c r="K938" s="4">
        <v>43694</v>
      </c>
    </row>
    <row r="939" spans="1:11" x14ac:dyDescent="0.3">
      <c r="A939" t="s">
        <v>1901</v>
      </c>
      <c r="B939" s="2" t="s">
        <v>1902</v>
      </c>
      <c r="C939">
        <v>65</v>
      </c>
      <c r="D939" s="2" t="s">
        <v>21</v>
      </c>
      <c r="E939" s="2" t="s">
        <v>30</v>
      </c>
      <c r="F939" s="2" t="s">
        <v>15</v>
      </c>
      <c r="G939" s="2" t="s">
        <v>27</v>
      </c>
      <c r="H939" s="2" t="s">
        <v>17</v>
      </c>
      <c r="I939" s="2" t="s">
        <v>17</v>
      </c>
      <c r="J939">
        <v>0.61</v>
      </c>
      <c r="K939" s="4">
        <v>43778</v>
      </c>
    </row>
    <row r="940" spans="1:11" x14ac:dyDescent="0.3">
      <c r="A940" t="s">
        <v>1903</v>
      </c>
      <c r="B940" s="2" t="s">
        <v>1904</v>
      </c>
      <c r="C940">
        <v>31</v>
      </c>
      <c r="D940" s="2" t="s">
        <v>13</v>
      </c>
      <c r="E940" s="2" t="s">
        <v>22</v>
      </c>
      <c r="F940" s="2" t="s">
        <v>37</v>
      </c>
      <c r="G940" s="2" t="s">
        <v>24</v>
      </c>
      <c r="H940" s="2" t="s">
        <v>18</v>
      </c>
      <c r="I940" s="2" t="s">
        <v>18</v>
      </c>
      <c r="J940">
        <v>0.43</v>
      </c>
      <c r="K940" s="4">
        <v>44088</v>
      </c>
    </row>
    <row r="941" spans="1:11" x14ac:dyDescent="0.3">
      <c r="A941" t="s">
        <v>1905</v>
      </c>
      <c r="B941" s="2" t="s">
        <v>1906</v>
      </c>
      <c r="C941">
        <v>18</v>
      </c>
      <c r="D941" s="2" t="s">
        <v>13</v>
      </c>
      <c r="E941" s="2" t="s">
        <v>14</v>
      </c>
      <c r="F941" s="2" t="s">
        <v>23</v>
      </c>
      <c r="G941" s="2" t="s">
        <v>24</v>
      </c>
      <c r="H941" s="2" t="s">
        <v>17</v>
      </c>
      <c r="I941" s="2" t="s">
        <v>17</v>
      </c>
      <c r="J941">
        <v>0.35</v>
      </c>
      <c r="K941" s="4">
        <v>44761</v>
      </c>
    </row>
    <row r="942" spans="1:11" x14ac:dyDescent="0.3">
      <c r="A942" t="s">
        <v>1907</v>
      </c>
      <c r="B942" s="2" t="s">
        <v>1908</v>
      </c>
      <c r="C942">
        <v>67</v>
      </c>
      <c r="D942" s="2" t="s">
        <v>21</v>
      </c>
      <c r="E942" s="2" t="s">
        <v>30</v>
      </c>
      <c r="F942" s="2" t="s">
        <v>15</v>
      </c>
      <c r="G942" s="2" t="s">
        <v>32</v>
      </c>
      <c r="H942" s="2" t="s">
        <v>18</v>
      </c>
      <c r="I942" s="2" t="s">
        <v>17</v>
      </c>
      <c r="J942">
        <v>0.31</v>
      </c>
      <c r="K942" s="4">
        <v>43909</v>
      </c>
    </row>
    <row r="943" spans="1:11" x14ac:dyDescent="0.3">
      <c r="A943" t="s">
        <v>1909</v>
      </c>
      <c r="B943" s="2" t="s">
        <v>1910</v>
      </c>
      <c r="C943">
        <v>62</v>
      </c>
      <c r="D943" s="2" t="s">
        <v>13</v>
      </c>
      <c r="E943" s="2" t="s">
        <v>30</v>
      </c>
      <c r="F943" s="2" t="s">
        <v>23</v>
      </c>
      <c r="G943" s="2" t="s">
        <v>27</v>
      </c>
      <c r="H943" s="2" t="s">
        <v>17</v>
      </c>
      <c r="I943" s="2" t="s">
        <v>17</v>
      </c>
      <c r="J943">
        <v>0.69</v>
      </c>
      <c r="K943" s="4">
        <v>44435</v>
      </c>
    </row>
    <row r="944" spans="1:11" x14ac:dyDescent="0.3">
      <c r="A944" t="s">
        <v>1911</v>
      </c>
      <c r="B944" s="2" t="s">
        <v>1912</v>
      </c>
      <c r="C944">
        <v>65</v>
      </c>
      <c r="D944" s="2" t="s">
        <v>21</v>
      </c>
      <c r="E944" s="2" t="s">
        <v>22</v>
      </c>
      <c r="F944" s="2" t="s">
        <v>23</v>
      </c>
      <c r="G944" s="2" t="s">
        <v>24</v>
      </c>
      <c r="H944" s="2" t="s">
        <v>18</v>
      </c>
      <c r="I944" s="2" t="s">
        <v>17</v>
      </c>
      <c r="J944">
        <v>0.98</v>
      </c>
      <c r="K944" s="4">
        <v>43271</v>
      </c>
    </row>
    <row r="945" spans="1:11" x14ac:dyDescent="0.3">
      <c r="A945" t="s">
        <v>1913</v>
      </c>
      <c r="B945" s="2" t="s">
        <v>1914</v>
      </c>
      <c r="C945">
        <v>19</v>
      </c>
      <c r="D945" s="2" t="s">
        <v>21</v>
      </c>
      <c r="E945" s="2" t="s">
        <v>22</v>
      </c>
      <c r="F945" s="2" t="s">
        <v>31</v>
      </c>
      <c r="G945" s="2" t="s">
        <v>81</v>
      </c>
      <c r="H945" s="2" t="s">
        <v>17</v>
      </c>
      <c r="I945" s="2" t="s">
        <v>18</v>
      </c>
      <c r="J945">
        <v>0.1</v>
      </c>
      <c r="K945" s="4">
        <v>44597</v>
      </c>
    </row>
    <row r="946" spans="1:11" x14ac:dyDescent="0.3">
      <c r="A946" t="s">
        <v>1915</v>
      </c>
      <c r="B946" s="2" t="s">
        <v>1916</v>
      </c>
      <c r="C946">
        <v>30</v>
      </c>
      <c r="D946" s="2" t="s">
        <v>21</v>
      </c>
      <c r="E946" s="2" t="s">
        <v>22</v>
      </c>
      <c r="F946" s="2" t="s">
        <v>15</v>
      </c>
      <c r="G946" s="2" t="s">
        <v>66</v>
      </c>
      <c r="H946" s="2" t="s">
        <v>18</v>
      </c>
      <c r="I946" s="2" t="s">
        <v>18</v>
      </c>
      <c r="J946">
        <v>0.37</v>
      </c>
      <c r="K946" s="4">
        <v>44951</v>
      </c>
    </row>
    <row r="947" spans="1:11" x14ac:dyDescent="0.3">
      <c r="A947" t="s">
        <v>1917</v>
      </c>
      <c r="B947" s="2" t="s">
        <v>1918</v>
      </c>
      <c r="C947">
        <v>59</v>
      </c>
      <c r="D947" s="2" t="s">
        <v>13</v>
      </c>
      <c r="E947" s="2" t="s">
        <v>30</v>
      </c>
      <c r="F947" s="2" t="s">
        <v>31</v>
      </c>
      <c r="G947" s="2" t="s">
        <v>66</v>
      </c>
      <c r="H947" s="2" t="s">
        <v>17</v>
      </c>
      <c r="I947" s="2" t="s">
        <v>17</v>
      </c>
      <c r="J947">
        <v>0.38</v>
      </c>
      <c r="K947" s="4">
        <v>43992</v>
      </c>
    </row>
    <row r="948" spans="1:11" x14ac:dyDescent="0.3">
      <c r="A948" t="s">
        <v>1919</v>
      </c>
      <c r="B948" s="2" t="s">
        <v>1920</v>
      </c>
      <c r="C948">
        <v>60</v>
      </c>
      <c r="D948" s="2" t="s">
        <v>21</v>
      </c>
      <c r="E948" s="2" t="s">
        <v>14</v>
      </c>
      <c r="F948" s="2" t="s">
        <v>31</v>
      </c>
      <c r="G948" s="2" t="s">
        <v>66</v>
      </c>
      <c r="H948" s="2" t="s">
        <v>18</v>
      </c>
      <c r="I948" s="2" t="s">
        <v>17</v>
      </c>
      <c r="J948">
        <v>0.97</v>
      </c>
      <c r="K948" s="4">
        <v>44985</v>
      </c>
    </row>
    <row r="949" spans="1:11" x14ac:dyDescent="0.3">
      <c r="A949" t="s">
        <v>1921</v>
      </c>
      <c r="B949" s="2" t="s">
        <v>1922</v>
      </c>
      <c r="C949">
        <v>56</v>
      </c>
      <c r="D949" s="2" t="s">
        <v>21</v>
      </c>
      <c r="E949" s="2" t="s">
        <v>14</v>
      </c>
      <c r="F949" s="2" t="s">
        <v>23</v>
      </c>
      <c r="G949" s="2" t="s">
        <v>27</v>
      </c>
      <c r="H949" s="2" t="s">
        <v>17</v>
      </c>
      <c r="I949" s="2" t="s">
        <v>18</v>
      </c>
      <c r="J949">
        <v>0.54</v>
      </c>
      <c r="K949" s="4">
        <v>43656</v>
      </c>
    </row>
    <row r="950" spans="1:11" x14ac:dyDescent="0.3">
      <c r="A950" t="s">
        <v>1923</v>
      </c>
      <c r="B950" s="2" t="s">
        <v>1924</v>
      </c>
      <c r="C950">
        <v>69</v>
      </c>
      <c r="D950" s="2" t="s">
        <v>21</v>
      </c>
      <c r="E950" s="2" t="s">
        <v>22</v>
      </c>
      <c r="F950" s="2" t="s">
        <v>23</v>
      </c>
      <c r="G950" s="2" t="s">
        <v>32</v>
      </c>
      <c r="H950" s="2" t="s">
        <v>17</v>
      </c>
      <c r="I950" s="2" t="s">
        <v>18</v>
      </c>
      <c r="J950">
        <v>0.75</v>
      </c>
      <c r="K950" s="4">
        <v>44270</v>
      </c>
    </row>
    <row r="951" spans="1:11" x14ac:dyDescent="0.3">
      <c r="A951" t="s">
        <v>1925</v>
      </c>
      <c r="B951" s="2" t="s">
        <v>1926</v>
      </c>
      <c r="C951">
        <v>26</v>
      </c>
      <c r="D951" s="2" t="s">
        <v>13</v>
      </c>
      <c r="E951" s="2" t="s">
        <v>14</v>
      </c>
      <c r="F951" s="2" t="s">
        <v>15</v>
      </c>
      <c r="G951" s="2" t="s">
        <v>81</v>
      </c>
      <c r="H951" s="2" t="s">
        <v>17</v>
      </c>
      <c r="I951" s="2" t="s">
        <v>18</v>
      </c>
      <c r="J951">
        <v>0.2</v>
      </c>
      <c r="K951" s="4">
        <v>45251</v>
      </c>
    </row>
    <row r="952" spans="1:11" x14ac:dyDescent="0.3">
      <c r="A952" t="s">
        <v>1927</v>
      </c>
      <c r="B952" s="2" t="s">
        <v>1928</v>
      </c>
      <c r="C952">
        <v>48</v>
      </c>
      <c r="D952" s="2" t="s">
        <v>13</v>
      </c>
      <c r="E952" s="2" t="s">
        <v>22</v>
      </c>
      <c r="F952" s="2" t="s">
        <v>31</v>
      </c>
      <c r="G952" s="2" t="s">
        <v>66</v>
      </c>
      <c r="H952" s="2" t="s">
        <v>17</v>
      </c>
      <c r="I952" s="2" t="s">
        <v>17</v>
      </c>
      <c r="J952">
        <v>0.48</v>
      </c>
      <c r="K952" s="4">
        <v>44956</v>
      </c>
    </row>
    <row r="953" spans="1:11" x14ac:dyDescent="0.3">
      <c r="A953" t="s">
        <v>1929</v>
      </c>
      <c r="B953" s="2" t="s">
        <v>1930</v>
      </c>
      <c r="C953">
        <v>22</v>
      </c>
      <c r="D953" s="2" t="s">
        <v>21</v>
      </c>
      <c r="E953" s="2" t="s">
        <v>14</v>
      </c>
      <c r="F953" s="2" t="s">
        <v>15</v>
      </c>
      <c r="G953" s="2" t="s">
        <v>16</v>
      </c>
      <c r="H953" s="2" t="s">
        <v>17</v>
      </c>
      <c r="I953" s="2" t="s">
        <v>17</v>
      </c>
      <c r="J953">
        <v>0.55000000000000004</v>
      </c>
      <c r="K953" s="4">
        <v>44461</v>
      </c>
    </row>
    <row r="954" spans="1:11" x14ac:dyDescent="0.3">
      <c r="A954" t="s">
        <v>1931</v>
      </c>
      <c r="B954" s="2" t="s">
        <v>1932</v>
      </c>
      <c r="C954">
        <v>20</v>
      </c>
      <c r="D954" s="2" t="s">
        <v>13</v>
      </c>
      <c r="E954" s="2" t="s">
        <v>14</v>
      </c>
      <c r="F954" s="2" t="s">
        <v>37</v>
      </c>
      <c r="G954" s="2" t="s">
        <v>16</v>
      </c>
      <c r="H954" s="2" t="s">
        <v>18</v>
      </c>
      <c r="I954" s="2" t="s">
        <v>18</v>
      </c>
      <c r="J954">
        <v>0.62</v>
      </c>
      <c r="K954" s="4">
        <v>43728</v>
      </c>
    </row>
    <row r="955" spans="1:11" x14ac:dyDescent="0.3">
      <c r="A955" t="s">
        <v>1933</v>
      </c>
      <c r="B955" s="2" t="s">
        <v>1934</v>
      </c>
      <c r="C955">
        <v>57</v>
      </c>
      <c r="D955" s="2" t="s">
        <v>13</v>
      </c>
      <c r="E955" s="2" t="s">
        <v>22</v>
      </c>
      <c r="F955" s="2" t="s">
        <v>31</v>
      </c>
      <c r="G955" s="2" t="s">
        <v>24</v>
      </c>
      <c r="H955" s="2" t="s">
        <v>17</v>
      </c>
      <c r="I955" s="2" t="s">
        <v>17</v>
      </c>
      <c r="J955">
        <v>0.35</v>
      </c>
      <c r="K955" s="4">
        <v>44202</v>
      </c>
    </row>
    <row r="956" spans="1:11" x14ac:dyDescent="0.3">
      <c r="A956" t="s">
        <v>1935</v>
      </c>
      <c r="B956" s="2" t="s">
        <v>1936</v>
      </c>
      <c r="C956">
        <v>18</v>
      </c>
      <c r="D956" s="2" t="s">
        <v>13</v>
      </c>
      <c r="E956" s="2" t="s">
        <v>22</v>
      </c>
      <c r="F956" s="2" t="s">
        <v>15</v>
      </c>
      <c r="G956" s="2" t="s">
        <v>27</v>
      </c>
      <c r="H956" s="2" t="s">
        <v>17</v>
      </c>
      <c r="I956" s="2" t="s">
        <v>18</v>
      </c>
      <c r="J956">
        <v>0.54</v>
      </c>
      <c r="K956" s="4">
        <v>44178</v>
      </c>
    </row>
    <row r="957" spans="1:11" x14ac:dyDescent="0.3">
      <c r="A957" t="s">
        <v>1937</v>
      </c>
      <c r="B957" s="2" t="s">
        <v>1938</v>
      </c>
      <c r="C957">
        <v>62</v>
      </c>
      <c r="D957" s="2" t="s">
        <v>21</v>
      </c>
      <c r="E957" s="2" t="s">
        <v>14</v>
      </c>
      <c r="F957" s="2" t="s">
        <v>23</v>
      </c>
      <c r="G957" s="2" t="s">
        <v>16</v>
      </c>
      <c r="H957" s="2" t="s">
        <v>18</v>
      </c>
      <c r="I957" s="2" t="s">
        <v>18</v>
      </c>
      <c r="J957">
        <v>0.34</v>
      </c>
      <c r="K957" s="4">
        <v>43678</v>
      </c>
    </row>
    <row r="958" spans="1:11" x14ac:dyDescent="0.3">
      <c r="A958" t="s">
        <v>1939</v>
      </c>
      <c r="B958" s="2" t="s">
        <v>1940</v>
      </c>
      <c r="C958">
        <v>27</v>
      </c>
      <c r="D958" s="2" t="s">
        <v>13</v>
      </c>
      <c r="E958" s="2" t="s">
        <v>30</v>
      </c>
      <c r="F958" s="2" t="s">
        <v>31</v>
      </c>
      <c r="G958" s="2" t="s">
        <v>81</v>
      </c>
      <c r="H958" s="2" t="s">
        <v>17</v>
      </c>
      <c r="I958" s="2" t="s">
        <v>18</v>
      </c>
      <c r="J958">
        <v>0.54</v>
      </c>
      <c r="K958" s="4">
        <v>44354</v>
      </c>
    </row>
    <row r="959" spans="1:11" x14ac:dyDescent="0.3">
      <c r="A959" t="s">
        <v>1941</v>
      </c>
      <c r="B959" s="2" t="s">
        <v>1942</v>
      </c>
      <c r="C959">
        <v>21</v>
      </c>
      <c r="D959" s="2" t="s">
        <v>13</v>
      </c>
      <c r="E959" s="2" t="s">
        <v>30</v>
      </c>
      <c r="F959" s="2" t="s">
        <v>37</v>
      </c>
      <c r="G959" s="2" t="s">
        <v>66</v>
      </c>
      <c r="H959" s="2" t="s">
        <v>17</v>
      </c>
      <c r="I959" s="2" t="s">
        <v>18</v>
      </c>
      <c r="J959">
        <v>0.74</v>
      </c>
      <c r="K959" s="4">
        <v>43335</v>
      </c>
    </row>
    <row r="960" spans="1:11" x14ac:dyDescent="0.3">
      <c r="A960" t="s">
        <v>1943</v>
      </c>
      <c r="B960" s="2" t="s">
        <v>1944</v>
      </c>
      <c r="C960">
        <v>61</v>
      </c>
      <c r="D960" s="2" t="s">
        <v>13</v>
      </c>
      <c r="E960" s="2" t="s">
        <v>30</v>
      </c>
      <c r="F960" s="2" t="s">
        <v>31</v>
      </c>
      <c r="G960" s="2" t="s">
        <v>66</v>
      </c>
      <c r="H960" s="2" t="s">
        <v>18</v>
      </c>
      <c r="I960" s="2" t="s">
        <v>17</v>
      </c>
      <c r="J960">
        <v>0.82</v>
      </c>
      <c r="K960" s="4">
        <v>44643</v>
      </c>
    </row>
    <row r="961" spans="1:11" x14ac:dyDescent="0.3">
      <c r="A961" t="s">
        <v>1945</v>
      </c>
      <c r="B961" s="2" t="s">
        <v>1946</v>
      </c>
      <c r="C961">
        <v>27</v>
      </c>
      <c r="D961" s="2" t="s">
        <v>21</v>
      </c>
      <c r="E961" s="2" t="s">
        <v>22</v>
      </c>
      <c r="F961" s="2" t="s">
        <v>15</v>
      </c>
      <c r="G961" s="2" t="s">
        <v>32</v>
      </c>
      <c r="H961" s="2" t="s">
        <v>17</v>
      </c>
      <c r="I961" s="2" t="s">
        <v>18</v>
      </c>
      <c r="J961">
        <v>0.62</v>
      </c>
      <c r="K961" s="4">
        <v>44671</v>
      </c>
    </row>
    <row r="962" spans="1:11" x14ac:dyDescent="0.3">
      <c r="A962" t="s">
        <v>1947</v>
      </c>
      <c r="B962" s="2" t="s">
        <v>1948</v>
      </c>
      <c r="C962">
        <v>33</v>
      </c>
      <c r="D962" s="2" t="s">
        <v>13</v>
      </c>
      <c r="E962" s="2" t="s">
        <v>22</v>
      </c>
      <c r="F962" s="2" t="s">
        <v>15</v>
      </c>
      <c r="G962" s="2" t="s">
        <v>27</v>
      </c>
      <c r="H962" s="2" t="s">
        <v>18</v>
      </c>
      <c r="I962" s="2" t="s">
        <v>18</v>
      </c>
      <c r="J962">
        <v>0.4</v>
      </c>
      <c r="K962" s="4">
        <v>43115</v>
      </c>
    </row>
    <row r="963" spans="1:11" x14ac:dyDescent="0.3">
      <c r="A963" t="s">
        <v>1949</v>
      </c>
      <c r="B963" s="2" t="s">
        <v>1950</v>
      </c>
      <c r="C963">
        <v>62</v>
      </c>
      <c r="D963" s="2" t="s">
        <v>13</v>
      </c>
      <c r="E963" s="2" t="s">
        <v>14</v>
      </c>
      <c r="F963" s="2" t="s">
        <v>15</v>
      </c>
      <c r="G963" s="2" t="s">
        <v>81</v>
      </c>
      <c r="H963" s="2" t="s">
        <v>18</v>
      </c>
      <c r="I963" s="2" t="s">
        <v>17</v>
      </c>
      <c r="J963">
        <v>0.4</v>
      </c>
      <c r="K963" s="4">
        <v>45171</v>
      </c>
    </row>
    <row r="964" spans="1:11" x14ac:dyDescent="0.3">
      <c r="A964" t="s">
        <v>1951</v>
      </c>
      <c r="B964" s="2" t="s">
        <v>1952</v>
      </c>
      <c r="C964">
        <v>28</v>
      </c>
      <c r="D964" s="2" t="s">
        <v>21</v>
      </c>
      <c r="E964" s="2" t="s">
        <v>30</v>
      </c>
      <c r="F964" s="2" t="s">
        <v>37</v>
      </c>
      <c r="G964" s="2" t="s">
        <v>32</v>
      </c>
      <c r="H964" s="2" t="s">
        <v>17</v>
      </c>
      <c r="I964" s="2" t="s">
        <v>18</v>
      </c>
      <c r="J964">
        <v>0.56000000000000005</v>
      </c>
      <c r="K964" s="4">
        <v>43563</v>
      </c>
    </row>
    <row r="965" spans="1:11" x14ac:dyDescent="0.3">
      <c r="A965" t="s">
        <v>1953</v>
      </c>
      <c r="B965" s="2" t="s">
        <v>1954</v>
      </c>
      <c r="C965">
        <v>35</v>
      </c>
      <c r="D965" s="2" t="s">
        <v>13</v>
      </c>
      <c r="E965" s="2" t="s">
        <v>14</v>
      </c>
      <c r="F965" s="2" t="s">
        <v>15</v>
      </c>
      <c r="G965" s="2" t="s">
        <v>66</v>
      </c>
      <c r="H965" s="2" t="s">
        <v>17</v>
      </c>
      <c r="I965" s="2" t="s">
        <v>17</v>
      </c>
      <c r="J965">
        <v>0.52</v>
      </c>
      <c r="K965" s="4">
        <v>44807</v>
      </c>
    </row>
    <row r="966" spans="1:11" x14ac:dyDescent="0.3">
      <c r="A966" t="s">
        <v>1955</v>
      </c>
      <c r="B966" s="2" t="s">
        <v>1956</v>
      </c>
      <c r="C966">
        <v>35</v>
      </c>
      <c r="D966" s="2" t="s">
        <v>13</v>
      </c>
      <c r="E966" s="2" t="s">
        <v>22</v>
      </c>
      <c r="F966" s="2" t="s">
        <v>23</v>
      </c>
      <c r="G966" s="2" t="s">
        <v>27</v>
      </c>
      <c r="H966" s="2" t="s">
        <v>17</v>
      </c>
      <c r="I966" s="2" t="s">
        <v>17</v>
      </c>
      <c r="J966">
        <v>0.23</v>
      </c>
      <c r="K966" s="4">
        <v>44996</v>
      </c>
    </row>
    <row r="967" spans="1:11" x14ac:dyDescent="0.3">
      <c r="A967" t="s">
        <v>1957</v>
      </c>
      <c r="B967" s="2" t="s">
        <v>1958</v>
      </c>
      <c r="C967">
        <v>29</v>
      </c>
      <c r="D967" s="2" t="s">
        <v>13</v>
      </c>
      <c r="E967" s="2" t="s">
        <v>22</v>
      </c>
      <c r="F967" s="2" t="s">
        <v>23</v>
      </c>
      <c r="G967" s="2" t="s">
        <v>66</v>
      </c>
      <c r="H967" s="2" t="s">
        <v>18</v>
      </c>
      <c r="I967" s="2" t="s">
        <v>18</v>
      </c>
      <c r="J967">
        <v>0.62</v>
      </c>
      <c r="K967" s="4">
        <v>43604</v>
      </c>
    </row>
    <row r="968" spans="1:11" x14ac:dyDescent="0.3">
      <c r="A968" t="s">
        <v>1959</v>
      </c>
      <c r="B968" s="2" t="s">
        <v>1960</v>
      </c>
      <c r="C968">
        <v>45</v>
      </c>
      <c r="D968" s="2" t="s">
        <v>13</v>
      </c>
      <c r="E968" s="2" t="s">
        <v>30</v>
      </c>
      <c r="F968" s="2" t="s">
        <v>37</v>
      </c>
      <c r="G968" s="2" t="s">
        <v>81</v>
      </c>
      <c r="H968" s="2" t="s">
        <v>17</v>
      </c>
      <c r="I968" s="2" t="s">
        <v>17</v>
      </c>
      <c r="J968">
        <v>0.47</v>
      </c>
      <c r="K968" s="4">
        <v>44688</v>
      </c>
    </row>
    <row r="969" spans="1:11" x14ac:dyDescent="0.3">
      <c r="A969" t="s">
        <v>1961</v>
      </c>
      <c r="B969" s="2" t="s">
        <v>1962</v>
      </c>
      <c r="C969">
        <v>68</v>
      </c>
      <c r="D969" s="2" t="s">
        <v>13</v>
      </c>
      <c r="E969" s="2" t="s">
        <v>14</v>
      </c>
      <c r="F969" s="2" t="s">
        <v>23</v>
      </c>
      <c r="G969" s="2" t="s">
        <v>32</v>
      </c>
      <c r="H969" s="2" t="s">
        <v>18</v>
      </c>
      <c r="I969" s="2" t="s">
        <v>18</v>
      </c>
      <c r="J969">
        <v>0.86</v>
      </c>
      <c r="K969" s="4">
        <v>43645</v>
      </c>
    </row>
    <row r="970" spans="1:11" x14ac:dyDescent="0.3">
      <c r="A970" t="s">
        <v>1963</v>
      </c>
      <c r="B970" s="2" t="s">
        <v>1964</v>
      </c>
      <c r="C970">
        <v>35</v>
      </c>
      <c r="D970" s="2" t="s">
        <v>13</v>
      </c>
      <c r="E970" s="2" t="s">
        <v>30</v>
      </c>
      <c r="F970" s="2" t="s">
        <v>23</v>
      </c>
      <c r="G970" s="2" t="s">
        <v>16</v>
      </c>
      <c r="H970" s="2" t="s">
        <v>18</v>
      </c>
      <c r="I970" s="2" t="s">
        <v>17</v>
      </c>
      <c r="J970">
        <v>0.51</v>
      </c>
      <c r="K970" s="4">
        <v>43828</v>
      </c>
    </row>
    <row r="971" spans="1:11" x14ac:dyDescent="0.3">
      <c r="A971" t="s">
        <v>1965</v>
      </c>
      <c r="B971" s="2" t="s">
        <v>1966</v>
      </c>
      <c r="C971">
        <v>59</v>
      </c>
      <c r="D971" s="2" t="s">
        <v>13</v>
      </c>
      <c r="E971" s="2" t="s">
        <v>14</v>
      </c>
      <c r="F971" s="2" t="s">
        <v>15</v>
      </c>
      <c r="G971" s="2" t="s">
        <v>24</v>
      </c>
      <c r="H971" s="2" t="s">
        <v>18</v>
      </c>
      <c r="I971" s="2" t="s">
        <v>18</v>
      </c>
      <c r="J971">
        <v>0.67</v>
      </c>
      <c r="K971" s="4">
        <v>45284</v>
      </c>
    </row>
    <row r="972" spans="1:11" x14ac:dyDescent="0.3">
      <c r="A972" t="s">
        <v>1967</v>
      </c>
      <c r="B972" s="2" t="s">
        <v>1968</v>
      </c>
      <c r="C972">
        <v>32</v>
      </c>
      <c r="D972" s="2" t="s">
        <v>21</v>
      </c>
      <c r="E972" s="2" t="s">
        <v>22</v>
      </c>
      <c r="F972" s="2" t="s">
        <v>31</v>
      </c>
      <c r="G972" s="2" t="s">
        <v>27</v>
      </c>
      <c r="H972" s="2" t="s">
        <v>17</v>
      </c>
      <c r="I972" s="2" t="s">
        <v>18</v>
      </c>
      <c r="J972">
        <v>0.57999999999999996</v>
      </c>
      <c r="K972" s="4">
        <v>43200</v>
      </c>
    </row>
    <row r="973" spans="1:11" x14ac:dyDescent="0.3">
      <c r="A973" t="s">
        <v>1969</v>
      </c>
      <c r="B973" s="2" t="s">
        <v>1970</v>
      </c>
      <c r="C973">
        <v>59</v>
      </c>
      <c r="D973" s="2" t="s">
        <v>21</v>
      </c>
      <c r="E973" s="2" t="s">
        <v>14</v>
      </c>
      <c r="F973" s="2" t="s">
        <v>15</v>
      </c>
      <c r="G973" s="2" t="s">
        <v>24</v>
      </c>
      <c r="H973" s="2" t="s">
        <v>18</v>
      </c>
      <c r="I973" s="2" t="s">
        <v>17</v>
      </c>
      <c r="J973">
        <v>0.39</v>
      </c>
      <c r="K973" s="4">
        <v>43786</v>
      </c>
    </row>
    <row r="974" spans="1:11" x14ac:dyDescent="0.3">
      <c r="A974" t="s">
        <v>1971</v>
      </c>
      <c r="B974" s="2" t="s">
        <v>1972</v>
      </c>
      <c r="C974">
        <v>60</v>
      </c>
      <c r="D974" s="2" t="s">
        <v>21</v>
      </c>
      <c r="E974" s="2" t="s">
        <v>14</v>
      </c>
      <c r="F974" s="2" t="s">
        <v>23</v>
      </c>
      <c r="G974" s="2" t="s">
        <v>27</v>
      </c>
      <c r="H974" s="2" t="s">
        <v>17</v>
      </c>
      <c r="I974" s="2" t="s">
        <v>18</v>
      </c>
      <c r="J974">
        <v>0.6</v>
      </c>
      <c r="K974" s="4">
        <v>43497</v>
      </c>
    </row>
    <row r="975" spans="1:11" x14ac:dyDescent="0.3">
      <c r="A975" t="s">
        <v>1973</v>
      </c>
      <c r="B975" s="2" t="s">
        <v>1974</v>
      </c>
      <c r="C975">
        <v>52</v>
      </c>
      <c r="D975" s="2" t="s">
        <v>13</v>
      </c>
      <c r="E975" s="2" t="s">
        <v>14</v>
      </c>
      <c r="F975" s="2" t="s">
        <v>23</v>
      </c>
      <c r="G975" s="2" t="s">
        <v>16</v>
      </c>
      <c r="H975" s="2" t="s">
        <v>18</v>
      </c>
      <c r="I975" s="2" t="s">
        <v>17</v>
      </c>
      <c r="J975">
        <v>0.28000000000000003</v>
      </c>
      <c r="K975" s="4">
        <v>43364</v>
      </c>
    </row>
    <row r="976" spans="1:11" x14ac:dyDescent="0.3">
      <c r="A976" t="s">
        <v>1975</v>
      </c>
      <c r="B976" s="2" t="s">
        <v>1976</v>
      </c>
      <c r="C976">
        <v>62</v>
      </c>
      <c r="D976" s="2" t="s">
        <v>13</v>
      </c>
      <c r="E976" s="2" t="s">
        <v>30</v>
      </c>
      <c r="F976" s="2" t="s">
        <v>31</v>
      </c>
      <c r="G976" s="2" t="s">
        <v>32</v>
      </c>
      <c r="H976" s="2" t="s">
        <v>18</v>
      </c>
      <c r="I976" s="2" t="s">
        <v>18</v>
      </c>
      <c r="J976">
        <v>0.27</v>
      </c>
      <c r="K976" s="4">
        <v>43408</v>
      </c>
    </row>
    <row r="977" spans="1:11" x14ac:dyDescent="0.3">
      <c r="A977" t="s">
        <v>1977</v>
      </c>
      <c r="B977" s="2" t="s">
        <v>1978</v>
      </c>
      <c r="C977">
        <v>60</v>
      </c>
      <c r="D977" s="2" t="s">
        <v>13</v>
      </c>
      <c r="E977" s="2" t="s">
        <v>22</v>
      </c>
      <c r="F977" s="2" t="s">
        <v>15</v>
      </c>
      <c r="G977" s="2" t="s">
        <v>27</v>
      </c>
      <c r="H977" s="2" t="s">
        <v>18</v>
      </c>
      <c r="I977" s="2" t="s">
        <v>18</v>
      </c>
      <c r="J977">
        <v>0.53</v>
      </c>
      <c r="K977" s="4">
        <v>43473</v>
      </c>
    </row>
    <row r="978" spans="1:11" x14ac:dyDescent="0.3">
      <c r="A978" t="s">
        <v>1979</v>
      </c>
      <c r="B978" s="2" t="s">
        <v>1980</v>
      </c>
      <c r="C978">
        <v>51</v>
      </c>
      <c r="D978" s="2" t="s">
        <v>21</v>
      </c>
      <c r="E978" s="2" t="s">
        <v>14</v>
      </c>
      <c r="F978" s="2" t="s">
        <v>23</v>
      </c>
      <c r="G978" s="2" t="s">
        <v>24</v>
      </c>
      <c r="H978" s="2" t="s">
        <v>17</v>
      </c>
      <c r="I978" s="2" t="s">
        <v>17</v>
      </c>
      <c r="J978">
        <v>0.67</v>
      </c>
      <c r="K978" s="4">
        <v>43438</v>
      </c>
    </row>
    <row r="979" spans="1:11" x14ac:dyDescent="0.3">
      <c r="A979" t="s">
        <v>1981</v>
      </c>
      <c r="B979" s="2" t="s">
        <v>1982</v>
      </c>
      <c r="C979">
        <v>52</v>
      </c>
      <c r="D979" s="2" t="s">
        <v>13</v>
      </c>
      <c r="E979" s="2" t="s">
        <v>14</v>
      </c>
      <c r="F979" s="2" t="s">
        <v>37</v>
      </c>
      <c r="G979" s="2" t="s">
        <v>24</v>
      </c>
      <c r="H979" s="2" t="s">
        <v>18</v>
      </c>
      <c r="I979" s="2" t="s">
        <v>18</v>
      </c>
      <c r="J979">
        <v>0.28000000000000003</v>
      </c>
      <c r="K979" s="4">
        <v>44878</v>
      </c>
    </row>
    <row r="980" spans="1:11" x14ac:dyDescent="0.3">
      <c r="A980" t="s">
        <v>1983</v>
      </c>
      <c r="B980" s="2" t="s">
        <v>1984</v>
      </c>
      <c r="C980">
        <v>45</v>
      </c>
      <c r="D980" s="2" t="s">
        <v>13</v>
      </c>
      <c r="E980" s="2" t="s">
        <v>14</v>
      </c>
      <c r="F980" s="2" t="s">
        <v>15</v>
      </c>
      <c r="G980" s="2" t="s">
        <v>66</v>
      </c>
      <c r="H980" s="2" t="s">
        <v>18</v>
      </c>
      <c r="I980" s="2" t="s">
        <v>17</v>
      </c>
      <c r="J980">
        <v>0.49</v>
      </c>
      <c r="K980" s="4">
        <v>43641</v>
      </c>
    </row>
    <row r="981" spans="1:11" x14ac:dyDescent="0.3">
      <c r="A981" t="s">
        <v>1985</v>
      </c>
      <c r="B981" s="2" t="s">
        <v>1986</v>
      </c>
      <c r="C981">
        <v>39</v>
      </c>
      <c r="D981" s="2" t="s">
        <v>21</v>
      </c>
      <c r="E981" s="2" t="s">
        <v>14</v>
      </c>
      <c r="F981" s="2" t="s">
        <v>23</v>
      </c>
      <c r="G981" s="2" t="s">
        <v>24</v>
      </c>
      <c r="H981" s="2" t="s">
        <v>17</v>
      </c>
      <c r="I981" s="2" t="s">
        <v>17</v>
      </c>
      <c r="J981">
        <v>0.51</v>
      </c>
      <c r="K981" s="4">
        <v>43590</v>
      </c>
    </row>
    <row r="982" spans="1:11" x14ac:dyDescent="0.3">
      <c r="A982" t="s">
        <v>1987</v>
      </c>
      <c r="B982" s="2" t="s">
        <v>1988</v>
      </c>
      <c r="C982">
        <v>24</v>
      </c>
      <c r="D982" s="2" t="s">
        <v>13</v>
      </c>
      <c r="E982" s="2" t="s">
        <v>14</v>
      </c>
      <c r="F982" s="2" t="s">
        <v>31</v>
      </c>
      <c r="G982" s="2" t="s">
        <v>27</v>
      </c>
      <c r="H982" s="2" t="s">
        <v>17</v>
      </c>
      <c r="I982" s="2" t="s">
        <v>17</v>
      </c>
      <c r="J982">
        <v>0.45</v>
      </c>
      <c r="K982" s="4">
        <v>43932</v>
      </c>
    </row>
    <row r="983" spans="1:11" x14ac:dyDescent="0.3">
      <c r="A983" t="s">
        <v>1989</v>
      </c>
      <c r="B983" s="2" t="s">
        <v>1990</v>
      </c>
      <c r="C983">
        <v>53</v>
      </c>
      <c r="D983" s="2" t="s">
        <v>21</v>
      </c>
      <c r="E983" s="2" t="s">
        <v>30</v>
      </c>
      <c r="F983" s="2" t="s">
        <v>37</v>
      </c>
      <c r="G983" s="2" t="s">
        <v>32</v>
      </c>
      <c r="H983" s="2" t="s">
        <v>18</v>
      </c>
      <c r="I983" s="2" t="s">
        <v>18</v>
      </c>
      <c r="J983">
        <v>0.42</v>
      </c>
      <c r="K983" s="4">
        <v>44412</v>
      </c>
    </row>
    <row r="984" spans="1:11" x14ac:dyDescent="0.3">
      <c r="A984" t="s">
        <v>1991</v>
      </c>
      <c r="B984" s="2" t="s">
        <v>1992</v>
      </c>
      <c r="C984">
        <v>63</v>
      </c>
      <c r="D984" s="2" t="s">
        <v>13</v>
      </c>
      <c r="E984" s="2" t="s">
        <v>22</v>
      </c>
      <c r="F984" s="2" t="s">
        <v>23</v>
      </c>
      <c r="G984" s="2" t="s">
        <v>27</v>
      </c>
      <c r="H984" s="2" t="s">
        <v>17</v>
      </c>
      <c r="I984" s="2" t="s">
        <v>18</v>
      </c>
      <c r="J984">
        <v>0.85</v>
      </c>
      <c r="K984" s="4">
        <v>44706</v>
      </c>
    </row>
    <row r="985" spans="1:11" x14ac:dyDescent="0.3">
      <c r="A985" t="s">
        <v>1993</v>
      </c>
      <c r="B985" s="2" t="s">
        <v>1994</v>
      </c>
      <c r="C985">
        <v>67</v>
      </c>
      <c r="D985" s="2" t="s">
        <v>13</v>
      </c>
      <c r="E985" s="2" t="s">
        <v>22</v>
      </c>
      <c r="F985" s="2" t="s">
        <v>15</v>
      </c>
      <c r="G985" s="2" t="s">
        <v>16</v>
      </c>
      <c r="H985" s="2" t="s">
        <v>17</v>
      </c>
      <c r="I985" s="2" t="s">
        <v>18</v>
      </c>
      <c r="J985">
        <v>0.82</v>
      </c>
      <c r="K985" s="4">
        <v>43479</v>
      </c>
    </row>
    <row r="986" spans="1:11" x14ac:dyDescent="0.3">
      <c r="A986" t="s">
        <v>1995</v>
      </c>
      <c r="B986" s="2" t="s">
        <v>1996</v>
      </c>
      <c r="C986">
        <v>33</v>
      </c>
      <c r="D986" s="2" t="s">
        <v>21</v>
      </c>
      <c r="E986" s="2" t="s">
        <v>30</v>
      </c>
      <c r="F986" s="2" t="s">
        <v>31</v>
      </c>
      <c r="G986" s="2" t="s">
        <v>66</v>
      </c>
      <c r="H986" s="2" t="s">
        <v>18</v>
      </c>
      <c r="I986" s="2" t="s">
        <v>17</v>
      </c>
      <c r="J986">
        <v>0.25</v>
      </c>
      <c r="K986" s="4">
        <v>44703</v>
      </c>
    </row>
    <row r="987" spans="1:11" x14ac:dyDescent="0.3">
      <c r="A987" t="s">
        <v>1997</v>
      </c>
      <c r="B987" s="2" t="s">
        <v>1998</v>
      </c>
      <c r="C987">
        <v>56</v>
      </c>
      <c r="D987" s="2" t="s">
        <v>21</v>
      </c>
      <c r="E987" s="2" t="s">
        <v>14</v>
      </c>
      <c r="F987" s="2" t="s">
        <v>23</v>
      </c>
      <c r="G987" s="2" t="s">
        <v>32</v>
      </c>
      <c r="H987" s="2" t="s">
        <v>17</v>
      </c>
      <c r="I987" s="2" t="s">
        <v>17</v>
      </c>
      <c r="J987">
        <v>0.46</v>
      </c>
      <c r="K987" s="4">
        <v>44578</v>
      </c>
    </row>
    <row r="988" spans="1:11" x14ac:dyDescent="0.3">
      <c r="A988" t="s">
        <v>1999</v>
      </c>
      <c r="B988" s="2" t="s">
        <v>2000</v>
      </c>
      <c r="C988">
        <v>28</v>
      </c>
      <c r="D988" s="2" t="s">
        <v>13</v>
      </c>
      <c r="E988" s="2" t="s">
        <v>22</v>
      </c>
      <c r="F988" s="2" t="s">
        <v>23</v>
      </c>
      <c r="G988" s="2" t="s">
        <v>32</v>
      </c>
      <c r="H988" s="2" t="s">
        <v>18</v>
      </c>
      <c r="I988" s="2" t="s">
        <v>18</v>
      </c>
      <c r="J988">
        <v>0.62</v>
      </c>
      <c r="K988" s="4">
        <v>43109</v>
      </c>
    </row>
    <row r="989" spans="1:11" x14ac:dyDescent="0.3">
      <c r="A989" t="s">
        <v>2001</v>
      </c>
      <c r="B989" s="2" t="s">
        <v>2002</v>
      </c>
      <c r="C989">
        <v>25</v>
      </c>
      <c r="D989" s="2" t="s">
        <v>13</v>
      </c>
      <c r="E989" s="2" t="s">
        <v>30</v>
      </c>
      <c r="F989" s="2" t="s">
        <v>37</v>
      </c>
      <c r="G989" s="2" t="s">
        <v>27</v>
      </c>
      <c r="H989" s="2" t="s">
        <v>18</v>
      </c>
      <c r="I989" s="2" t="s">
        <v>17</v>
      </c>
      <c r="J989">
        <v>0.75</v>
      </c>
      <c r="K989" s="4">
        <v>43165</v>
      </c>
    </row>
    <row r="990" spans="1:11" x14ac:dyDescent="0.3">
      <c r="A990" t="s">
        <v>2003</v>
      </c>
      <c r="B990" s="2" t="s">
        <v>2004</v>
      </c>
      <c r="C990">
        <v>20</v>
      </c>
      <c r="D990" s="2" t="s">
        <v>13</v>
      </c>
      <c r="E990" s="2" t="s">
        <v>30</v>
      </c>
      <c r="F990" s="2" t="s">
        <v>37</v>
      </c>
      <c r="G990" s="2" t="s">
        <v>27</v>
      </c>
      <c r="H990" s="2" t="s">
        <v>17</v>
      </c>
      <c r="I990" s="2" t="s">
        <v>17</v>
      </c>
      <c r="J990">
        <v>0.56000000000000005</v>
      </c>
      <c r="K990" s="4">
        <v>43592</v>
      </c>
    </row>
    <row r="991" spans="1:11" x14ac:dyDescent="0.3">
      <c r="A991" t="s">
        <v>2005</v>
      </c>
      <c r="B991" s="2" t="s">
        <v>2006</v>
      </c>
      <c r="C991">
        <v>47</v>
      </c>
      <c r="D991" s="2" t="s">
        <v>13</v>
      </c>
      <c r="E991" s="2" t="s">
        <v>30</v>
      </c>
      <c r="F991" s="2" t="s">
        <v>15</v>
      </c>
      <c r="G991" s="2" t="s">
        <v>16</v>
      </c>
      <c r="H991" s="2" t="s">
        <v>17</v>
      </c>
      <c r="I991" s="2" t="s">
        <v>18</v>
      </c>
      <c r="J991">
        <v>0.39</v>
      </c>
      <c r="K991" s="4">
        <v>44250</v>
      </c>
    </row>
    <row r="992" spans="1:11" x14ac:dyDescent="0.3">
      <c r="A992" t="s">
        <v>2007</v>
      </c>
      <c r="B992" s="2" t="s">
        <v>2008</v>
      </c>
      <c r="C992">
        <v>27</v>
      </c>
      <c r="D992" s="2" t="s">
        <v>13</v>
      </c>
      <c r="E992" s="2" t="s">
        <v>14</v>
      </c>
      <c r="F992" s="2" t="s">
        <v>23</v>
      </c>
      <c r="G992" s="2" t="s">
        <v>24</v>
      </c>
      <c r="H992" s="2" t="s">
        <v>17</v>
      </c>
      <c r="I992" s="2" t="s">
        <v>18</v>
      </c>
      <c r="J992">
        <v>0.25</v>
      </c>
      <c r="K992" s="4">
        <v>43223</v>
      </c>
    </row>
    <row r="993" spans="1:11" x14ac:dyDescent="0.3">
      <c r="A993" t="s">
        <v>2009</v>
      </c>
      <c r="B993" s="2" t="s">
        <v>2010</v>
      </c>
      <c r="C993">
        <v>32</v>
      </c>
      <c r="D993" s="2" t="s">
        <v>13</v>
      </c>
      <c r="E993" s="2" t="s">
        <v>30</v>
      </c>
      <c r="F993" s="2" t="s">
        <v>37</v>
      </c>
      <c r="G993" s="2" t="s">
        <v>32</v>
      </c>
      <c r="H993" s="2" t="s">
        <v>17</v>
      </c>
      <c r="I993" s="2" t="s">
        <v>17</v>
      </c>
      <c r="J993">
        <v>0.43</v>
      </c>
      <c r="K993" s="4">
        <v>44643</v>
      </c>
    </row>
    <row r="994" spans="1:11" x14ac:dyDescent="0.3">
      <c r="A994" t="s">
        <v>2011</v>
      </c>
      <c r="B994" s="2" t="s">
        <v>2012</v>
      </c>
      <c r="C994">
        <v>30</v>
      </c>
      <c r="D994" s="2" t="s">
        <v>21</v>
      </c>
      <c r="E994" s="2" t="s">
        <v>14</v>
      </c>
      <c r="F994" s="2" t="s">
        <v>37</v>
      </c>
      <c r="G994" s="2" t="s">
        <v>24</v>
      </c>
      <c r="H994" s="2" t="s">
        <v>18</v>
      </c>
      <c r="I994" s="2" t="s">
        <v>17</v>
      </c>
      <c r="J994">
        <v>0.31</v>
      </c>
      <c r="K994" s="4">
        <v>43572</v>
      </c>
    </row>
    <row r="995" spans="1:11" x14ac:dyDescent="0.3">
      <c r="A995" t="s">
        <v>2013</v>
      </c>
      <c r="B995" s="2" t="s">
        <v>2014</v>
      </c>
      <c r="C995">
        <v>46</v>
      </c>
      <c r="D995" s="2" t="s">
        <v>21</v>
      </c>
      <c r="E995" s="2" t="s">
        <v>30</v>
      </c>
      <c r="F995" s="2" t="s">
        <v>37</v>
      </c>
      <c r="G995" s="2" t="s">
        <v>32</v>
      </c>
      <c r="H995" s="2" t="s">
        <v>18</v>
      </c>
      <c r="I995" s="2" t="s">
        <v>17</v>
      </c>
      <c r="J995">
        <v>0.78</v>
      </c>
      <c r="K995" s="4">
        <v>44589</v>
      </c>
    </row>
    <row r="996" spans="1:11" x14ac:dyDescent="0.3">
      <c r="A996" t="s">
        <v>2015</v>
      </c>
      <c r="B996" s="2" t="s">
        <v>2016</v>
      </c>
      <c r="C996">
        <v>26</v>
      </c>
      <c r="D996" s="2" t="s">
        <v>13</v>
      </c>
      <c r="E996" s="2" t="s">
        <v>30</v>
      </c>
      <c r="F996" s="2" t="s">
        <v>37</v>
      </c>
      <c r="G996" s="2" t="s">
        <v>24</v>
      </c>
      <c r="H996" s="2" t="s">
        <v>17</v>
      </c>
      <c r="I996" s="2" t="s">
        <v>18</v>
      </c>
      <c r="J996">
        <v>0.85</v>
      </c>
      <c r="K996" s="4">
        <v>44391</v>
      </c>
    </row>
    <row r="997" spans="1:11" x14ac:dyDescent="0.3">
      <c r="A997" t="s">
        <v>2017</v>
      </c>
      <c r="B997" s="2" t="s">
        <v>2018</v>
      </c>
      <c r="C997">
        <v>56</v>
      </c>
      <c r="D997" s="2" t="s">
        <v>21</v>
      </c>
      <c r="E997" s="2" t="s">
        <v>30</v>
      </c>
      <c r="F997" s="2" t="s">
        <v>31</v>
      </c>
      <c r="G997" s="2" t="s">
        <v>16</v>
      </c>
      <c r="H997" s="2" t="s">
        <v>18</v>
      </c>
      <c r="I997" s="2" t="s">
        <v>17</v>
      </c>
      <c r="J997">
        <v>0.5</v>
      </c>
      <c r="K997" s="4">
        <v>43933</v>
      </c>
    </row>
    <row r="998" spans="1:11" x14ac:dyDescent="0.3">
      <c r="A998" t="s">
        <v>2019</v>
      </c>
      <c r="B998" s="2" t="s">
        <v>2020</v>
      </c>
      <c r="C998">
        <v>29</v>
      </c>
      <c r="D998" s="2" t="s">
        <v>21</v>
      </c>
      <c r="E998" s="2" t="s">
        <v>14</v>
      </c>
      <c r="F998" s="2" t="s">
        <v>23</v>
      </c>
      <c r="G998" s="2" t="s">
        <v>24</v>
      </c>
      <c r="H998" s="2" t="s">
        <v>17</v>
      </c>
      <c r="I998" s="2" t="s">
        <v>17</v>
      </c>
      <c r="J998">
        <v>0.36</v>
      </c>
      <c r="K998" s="4">
        <v>44911</v>
      </c>
    </row>
    <row r="999" spans="1:11" x14ac:dyDescent="0.3">
      <c r="A999" t="s">
        <v>2021</v>
      </c>
      <c r="B999" s="2" t="s">
        <v>2022</v>
      </c>
      <c r="C999">
        <v>19</v>
      </c>
      <c r="D999" s="2" t="s">
        <v>13</v>
      </c>
      <c r="E999" s="2" t="s">
        <v>14</v>
      </c>
      <c r="F999" s="2" t="s">
        <v>31</v>
      </c>
      <c r="G999" s="2" t="s">
        <v>16</v>
      </c>
      <c r="H999" s="2" t="s">
        <v>18</v>
      </c>
      <c r="I999" s="2" t="s">
        <v>17</v>
      </c>
      <c r="J999">
        <v>0.57999999999999996</v>
      </c>
      <c r="K999" s="4">
        <v>44311</v>
      </c>
    </row>
    <row r="1000" spans="1:11" x14ac:dyDescent="0.3">
      <c r="A1000" t="s">
        <v>2023</v>
      </c>
      <c r="B1000" s="2" t="s">
        <v>2024</v>
      </c>
      <c r="C1000">
        <v>33</v>
      </c>
      <c r="D1000" s="2" t="s">
        <v>13</v>
      </c>
      <c r="E1000" s="2" t="s">
        <v>30</v>
      </c>
      <c r="F1000" s="2" t="s">
        <v>23</v>
      </c>
      <c r="G1000" s="2" t="s">
        <v>16</v>
      </c>
      <c r="H1000" s="2" t="s">
        <v>18</v>
      </c>
      <c r="I1000" s="2" t="s">
        <v>18</v>
      </c>
      <c r="J1000">
        <v>0.51</v>
      </c>
      <c r="K1000" s="4">
        <v>43811</v>
      </c>
    </row>
    <row r="1001" spans="1:11" x14ac:dyDescent="0.3">
      <c r="A1001" t="s">
        <v>2025</v>
      </c>
      <c r="B1001" s="2" t="s">
        <v>2026</v>
      </c>
      <c r="C1001">
        <v>52</v>
      </c>
      <c r="D1001" s="2" t="s">
        <v>21</v>
      </c>
      <c r="E1001" s="2" t="s">
        <v>14</v>
      </c>
      <c r="F1001" s="2" t="s">
        <v>37</v>
      </c>
      <c r="G1001" s="2" t="s">
        <v>24</v>
      </c>
      <c r="H1001" s="2" t="s">
        <v>18</v>
      </c>
      <c r="I1001" s="2" t="s">
        <v>18</v>
      </c>
      <c r="J1001">
        <v>0.31</v>
      </c>
      <c r="K1001" s="4">
        <v>43871</v>
      </c>
    </row>
    <row r="1002" spans="1:11" x14ac:dyDescent="0.3">
      <c r="A1002" t="s">
        <v>2027</v>
      </c>
      <c r="B1002" s="2" t="s">
        <v>2028</v>
      </c>
      <c r="C1002">
        <v>18</v>
      </c>
      <c r="D1002" s="2" t="s">
        <v>21</v>
      </c>
      <c r="E1002" s="2" t="s">
        <v>22</v>
      </c>
      <c r="F1002" s="2" t="s">
        <v>23</v>
      </c>
      <c r="G1002" s="2" t="s">
        <v>16</v>
      </c>
      <c r="H1002" s="2" t="s">
        <v>17</v>
      </c>
      <c r="I1002" s="2" t="s">
        <v>18</v>
      </c>
      <c r="J1002">
        <v>0.48</v>
      </c>
      <c r="K1002" s="4">
        <v>43865</v>
      </c>
    </row>
    <row r="1003" spans="1:11" x14ac:dyDescent="0.3">
      <c r="A1003" t="s">
        <v>2029</v>
      </c>
      <c r="B1003" s="2" t="s">
        <v>2030</v>
      </c>
      <c r="C1003">
        <v>20</v>
      </c>
      <c r="D1003" s="2" t="s">
        <v>13</v>
      </c>
      <c r="E1003" s="2" t="s">
        <v>22</v>
      </c>
      <c r="F1003" s="2" t="s">
        <v>31</v>
      </c>
      <c r="G1003" s="2" t="s">
        <v>32</v>
      </c>
      <c r="H1003" s="2" t="s">
        <v>17</v>
      </c>
      <c r="I1003" s="2" t="s">
        <v>18</v>
      </c>
      <c r="J1003">
        <v>0.47</v>
      </c>
      <c r="K1003" s="4">
        <v>43208</v>
      </c>
    </row>
    <row r="1004" spans="1:11" x14ac:dyDescent="0.3">
      <c r="A1004" t="s">
        <v>2031</v>
      </c>
      <c r="B1004" s="2" t="s">
        <v>2032</v>
      </c>
      <c r="C1004">
        <v>36</v>
      </c>
      <c r="D1004" s="2" t="s">
        <v>13</v>
      </c>
      <c r="E1004" s="2" t="s">
        <v>22</v>
      </c>
      <c r="F1004" s="2" t="s">
        <v>15</v>
      </c>
      <c r="G1004" s="2" t="s">
        <v>66</v>
      </c>
      <c r="H1004" s="2" t="s">
        <v>17</v>
      </c>
      <c r="I1004" s="2" t="s">
        <v>17</v>
      </c>
      <c r="J1004">
        <v>0.36</v>
      </c>
      <c r="K1004" s="4">
        <v>43547</v>
      </c>
    </row>
    <row r="1005" spans="1:11" x14ac:dyDescent="0.3">
      <c r="A1005" t="s">
        <v>2033</v>
      </c>
      <c r="B1005" s="2" t="s">
        <v>2034</v>
      </c>
      <c r="C1005">
        <v>40</v>
      </c>
      <c r="D1005" s="2" t="s">
        <v>13</v>
      </c>
      <c r="E1005" s="2" t="s">
        <v>14</v>
      </c>
      <c r="F1005" s="2" t="s">
        <v>15</v>
      </c>
      <c r="G1005" s="2" t="s">
        <v>24</v>
      </c>
      <c r="H1005" s="2" t="s">
        <v>17</v>
      </c>
      <c r="I1005" s="2" t="s">
        <v>17</v>
      </c>
      <c r="J1005">
        <v>0.32</v>
      </c>
      <c r="K1005" s="4">
        <v>44775</v>
      </c>
    </row>
    <row r="1006" spans="1:11" x14ac:dyDescent="0.3">
      <c r="A1006" t="s">
        <v>2035</v>
      </c>
      <c r="B1006" s="2" t="s">
        <v>2036</v>
      </c>
      <c r="C1006">
        <v>58</v>
      </c>
      <c r="D1006" s="2" t="s">
        <v>21</v>
      </c>
      <c r="E1006" s="2" t="s">
        <v>30</v>
      </c>
      <c r="F1006" s="2" t="s">
        <v>37</v>
      </c>
      <c r="G1006" s="2" t="s">
        <v>16</v>
      </c>
      <c r="H1006" s="2" t="s">
        <v>17</v>
      </c>
      <c r="I1006" s="2" t="s">
        <v>17</v>
      </c>
      <c r="J1006">
        <v>0.09</v>
      </c>
      <c r="K1006" s="4">
        <v>43795</v>
      </c>
    </row>
    <row r="1007" spans="1:11" x14ac:dyDescent="0.3">
      <c r="A1007" t="s">
        <v>2037</v>
      </c>
      <c r="B1007" s="2" t="s">
        <v>2038</v>
      </c>
      <c r="C1007">
        <v>61</v>
      </c>
      <c r="D1007" s="2" t="s">
        <v>21</v>
      </c>
      <c r="E1007" s="2" t="s">
        <v>14</v>
      </c>
      <c r="F1007" s="2" t="s">
        <v>37</v>
      </c>
      <c r="G1007" s="2" t="s">
        <v>24</v>
      </c>
      <c r="H1007" s="2" t="s">
        <v>18</v>
      </c>
      <c r="I1007" s="2" t="s">
        <v>18</v>
      </c>
      <c r="J1007">
        <v>0.35</v>
      </c>
      <c r="K1007" s="4">
        <v>44353</v>
      </c>
    </row>
    <row r="1008" spans="1:11" x14ac:dyDescent="0.3">
      <c r="A1008" t="s">
        <v>2039</v>
      </c>
      <c r="B1008" s="2" t="s">
        <v>2040</v>
      </c>
      <c r="C1008">
        <v>45</v>
      </c>
      <c r="D1008" s="2" t="s">
        <v>21</v>
      </c>
      <c r="E1008" s="2" t="s">
        <v>14</v>
      </c>
      <c r="F1008" s="2" t="s">
        <v>23</v>
      </c>
      <c r="G1008" s="2" t="s">
        <v>32</v>
      </c>
      <c r="H1008" s="2" t="s">
        <v>17</v>
      </c>
      <c r="I1008" s="2" t="s">
        <v>17</v>
      </c>
      <c r="J1008">
        <v>0.68</v>
      </c>
      <c r="K1008" s="4">
        <v>43539</v>
      </c>
    </row>
    <row r="1009" spans="1:11" x14ac:dyDescent="0.3">
      <c r="A1009" t="s">
        <v>2041</v>
      </c>
      <c r="B1009" s="2" t="s">
        <v>2042</v>
      </c>
      <c r="C1009">
        <v>30</v>
      </c>
      <c r="D1009" s="2" t="s">
        <v>21</v>
      </c>
      <c r="E1009" s="2" t="s">
        <v>14</v>
      </c>
      <c r="F1009" s="2" t="s">
        <v>31</v>
      </c>
      <c r="G1009" s="2" t="s">
        <v>24</v>
      </c>
      <c r="H1009" s="2" t="s">
        <v>17</v>
      </c>
      <c r="I1009" s="2" t="s">
        <v>18</v>
      </c>
      <c r="J1009">
        <v>0.23</v>
      </c>
      <c r="K1009" s="4">
        <v>43146</v>
      </c>
    </row>
    <row r="1010" spans="1:11" x14ac:dyDescent="0.3">
      <c r="A1010" t="s">
        <v>2043</v>
      </c>
      <c r="B1010" s="2" t="s">
        <v>2044</v>
      </c>
      <c r="C1010">
        <v>45</v>
      </c>
      <c r="D1010" s="2" t="s">
        <v>13</v>
      </c>
      <c r="E1010" s="2" t="s">
        <v>30</v>
      </c>
      <c r="F1010" s="2" t="s">
        <v>31</v>
      </c>
      <c r="G1010" s="2" t="s">
        <v>81</v>
      </c>
      <c r="H1010" s="2" t="s">
        <v>18</v>
      </c>
      <c r="I1010" s="2" t="s">
        <v>18</v>
      </c>
      <c r="J1010">
        <v>0.74</v>
      </c>
      <c r="K1010" s="4">
        <v>44488</v>
      </c>
    </row>
    <row r="1011" spans="1:11" x14ac:dyDescent="0.3">
      <c r="A1011" t="s">
        <v>2045</v>
      </c>
      <c r="B1011" s="2" t="s">
        <v>2046</v>
      </c>
      <c r="C1011">
        <v>50</v>
      </c>
      <c r="D1011" s="2" t="s">
        <v>13</v>
      </c>
      <c r="E1011" s="2" t="s">
        <v>14</v>
      </c>
      <c r="F1011" s="2" t="s">
        <v>15</v>
      </c>
      <c r="G1011" s="2" t="s">
        <v>16</v>
      </c>
      <c r="H1011" s="2" t="s">
        <v>18</v>
      </c>
      <c r="I1011" s="2" t="s">
        <v>18</v>
      </c>
      <c r="J1011">
        <v>0.17</v>
      </c>
      <c r="K1011" s="4">
        <v>44022</v>
      </c>
    </row>
    <row r="1012" spans="1:11" x14ac:dyDescent="0.3">
      <c r="A1012" t="s">
        <v>2047</v>
      </c>
      <c r="B1012" s="2" t="s">
        <v>2048</v>
      </c>
      <c r="C1012">
        <v>24</v>
      </c>
      <c r="D1012" s="2" t="s">
        <v>13</v>
      </c>
      <c r="E1012" s="2" t="s">
        <v>14</v>
      </c>
      <c r="F1012" s="2" t="s">
        <v>37</v>
      </c>
      <c r="G1012" s="2" t="s">
        <v>27</v>
      </c>
      <c r="H1012" s="2" t="s">
        <v>18</v>
      </c>
      <c r="I1012" s="2" t="s">
        <v>17</v>
      </c>
      <c r="J1012">
        <v>0.32</v>
      </c>
      <c r="K1012" s="4">
        <v>45045</v>
      </c>
    </row>
    <row r="1013" spans="1:11" x14ac:dyDescent="0.3">
      <c r="A1013" t="s">
        <v>2049</v>
      </c>
      <c r="B1013" s="2" t="s">
        <v>2050</v>
      </c>
      <c r="C1013">
        <v>54</v>
      </c>
      <c r="D1013" s="2" t="s">
        <v>21</v>
      </c>
      <c r="E1013" s="2" t="s">
        <v>30</v>
      </c>
      <c r="F1013" s="2" t="s">
        <v>31</v>
      </c>
      <c r="G1013" s="2" t="s">
        <v>66</v>
      </c>
      <c r="H1013" s="2" t="s">
        <v>18</v>
      </c>
      <c r="I1013" s="2" t="s">
        <v>18</v>
      </c>
      <c r="J1013">
        <v>0.66</v>
      </c>
      <c r="K1013" s="4">
        <v>43172</v>
      </c>
    </row>
    <row r="1014" spans="1:11" x14ac:dyDescent="0.3">
      <c r="A1014" t="s">
        <v>2051</v>
      </c>
      <c r="B1014" s="2" t="s">
        <v>2052</v>
      </c>
      <c r="C1014">
        <v>20</v>
      </c>
      <c r="D1014" s="2" t="s">
        <v>21</v>
      </c>
      <c r="E1014" s="2" t="s">
        <v>14</v>
      </c>
      <c r="F1014" s="2" t="s">
        <v>15</v>
      </c>
      <c r="G1014" s="2" t="s">
        <v>27</v>
      </c>
      <c r="H1014" s="2" t="s">
        <v>17</v>
      </c>
      <c r="I1014" s="2" t="s">
        <v>18</v>
      </c>
      <c r="J1014">
        <v>0.68</v>
      </c>
      <c r="K1014" s="4">
        <v>44550</v>
      </c>
    </row>
    <row r="1015" spans="1:11" x14ac:dyDescent="0.3">
      <c r="A1015" t="s">
        <v>2053</v>
      </c>
      <c r="B1015" s="2" t="s">
        <v>2054</v>
      </c>
      <c r="C1015">
        <v>31</v>
      </c>
      <c r="D1015" s="2" t="s">
        <v>13</v>
      </c>
      <c r="E1015" s="2" t="s">
        <v>30</v>
      </c>
      <c r="F1015" s="2" t="s">
        <v>31</v>
      </c>
      <c r="G1015" s="2" t="s">
        <v>81</v>
      </c>
      <c r="H1015" s="2" t="s">
        <v>17</v>
      </c>
      <c r="I1015" s="2" t="s">
        <v>17</v>
      </c>
      <c r="J1015">
        <v>0.59</v>
      </c>
      <c r="K1015" s="4">
        <v>45029</v>
      </c>
    </row>
    <row r="1016" spans="1:11" x14ac:dyDescent="0.3">
      <c r="A1016" t="s">
        <v>2055</v>
      </c>
      <c r="B1016" s="2" t="s">
        <v>2056</v>
      </c>
      <c r="C1016">
        <v>65</v>
      </c>
      <c r="D1016" s="2" t="s">
        <v>13</v>
      </c>
      <c r="E1016" s="2" t="s">
        <v>22</v>
      </c>
      <c r="F1016" s="2" t="s">
        <v>37</v>
      </c>
      <c r="G1016" s="2" t="s">
        <v>32</v>
      </c>
      <c r="H1016" s="2" t="s">
        <v>18</v>
      </c>
      <c r="I1016" s="2" t="s">
        <v>17</v>
      </c>
      <c r="J1016">
        <v>0.39</v>
      </c>
      <c r="K1016" s="4">
        <v>44627</v>
      </c>
    </row>
    <row r="1017" spans="1:11" x14ac:dyDescent="0.3">
      <c r="A1017" t="s">
        <v>2057</v>
      </c>
      <c r="B1017" s="2" t="s">
        <v>2058</v>
      </c>
      <c r="C1017">
        <v>23</v>
      </c>
      <c r="D1017" s="2" t="s">
        <v>21</v>
      </c>
      <c r="E1017" s="2" t="s">
        <v>30</v>
      </c>
      <c r="F1017" s="2" t="s">
        <v>15</v>
      </c>
      <c r="G1017" s="2" t="s">
        <v>81</v>
      </c>
      <c r="H1017" s="2" t="s">
        <v>17</v>
      </c>
      <c r="I1017" s="2" t="s">
        <v>17</v>
      </c>
      <c r="J1017">
        <v>0.49</v>
      </c>
      <c r="K1017" s="4">
        <v>43770</v>
      </c>
    </row>
    <row r="1018" spans="1:11" x14ac:dyDescent="0.3">
      <c r="A1018" t="s">
        <v>2059</v>
      </c>
      <c r="B1018" s="2" t="s">
        <v>2060</v>
      </c>
      <c r="C1018">
        <v>69</v>
      </c>
      <c r="D1018" s="2" t="s">
        <v>21</v>
      </c>
      <c r="E1018" s="2" t="s">
        <v>14</v>
      </c>
      <c r="F1018" s="2" t="s">
        <v>15</v>
      </c>
      <c r="G1018" s="2" t="s">
        <v>32</v>
      </c>
      <c r="H1018" s="2" t="s">
        <v>18</v>
      </c>
      <c r="I1018" s="2" t="s">
        <v>17</v>
      </c>
      <c r="J1018">
        <v>0.44</v>
      </c>
      <c r="K1018" s="4">
        <v>43995</v>
      </c>
    </row>
    <row r="1019" spans="1:11" x14ac:dyDescent="0.3">
      <c r="A1019" t="s">
        <v>2061</v>
      </c>
      <c r="B1019" s="2" t="s">
        <v>2062</v>
      </c>
      <c r="C1019">
        <v>24</v>
      </c>
      <c r="D1019" s="2" t="s">
        <v>13</v>
      </c>
      <c r="E1019" s="2" t="s">
        <v>30</v>
      </c>
      <c r="F1019" s="2" t="s">
        <v>15</v>
      </c>
      <c r="G1019" s="2" t="s">
        <v>16</v>
      </c>
      <c r="H1019" s="2" t="s">
        <v>17</v>
      </c>
      <c r="I1019" s="2" t="s">
        <v>18</v>
      </c>
      <c r="J1019">
        <v>0.62</v>
      </c>
      <c r="K1019" s="4">
        <v>44188</v>
      </c>
    </row>
    <row r="1020" spans="1:11" x14ac:dyDescent="0.3">
      <c r="A1020" t="s">
        <v>2063</v>
      </c>
      <c r="B1020" s="2" t="s">
        <v>2064</v>
      </c>
      <c r="C1020">
        <v>50</v>
      </c>
      <c r="D1020" s="2" t="s">
        <v>13</v>
      </c>
      <c r="E1020" s="2" t="s">
        <v>22</v>
      </c>
      <c r="F1020" s="2" t="s">
        <v>31</v>
      </c>
      <c r="G1020" s="2" t="s">
        <v>24</v>
      </c>
      <c r="H1020" s="2" t="s">
        <v>18</v>
      </c>
      <c r="I1020" s="2" t="s">
        <v>18</v>
      </c>
      <c r="J1020">
        <v>0.74</v>
      </c>
      <c r="K1020" s="4">
        <v>44937</v>
      </c>
    </row>
    <row r="1021" spans="1:11" x14ac:dyDescent="0.3">
      <c r="A1021" t="s">
        <v>2065</v>
      </c>
      <c r="B1021" s="2" t="s">
        <v>2066</v>
      </c>
      <c r="C1021">
        <v>46</v>
      </c>
      <c r="D1021" s="2" t="s">
        <v>21</v>
      </c>
      <c r="E1021" s="2" t="s">
        <v>22</v>
      </c>
      <c r="F1021" s="2" t="s">
        <v>31</v>
      </c>
      <c r="G1021" s="2" t="s">
        <v>32</v>
      </c>
      <c r="H1021" s="2" t="s">
        <v>17</v>
      </c>
      <c r="I1021" s="2" t="s">
        <v>17</v>
      </c>
      <c r="J1021">
        <v>0.41</v>
      </c>
      <c r="K1021" s="4">
        <v>43452</v>
      </c>
    </row>
    <row r="1022" spans="1:11" x14ac:dyDescent="0.3">
      <c r="A1022" t="s">
        <v>2067</v>
      </c>
      <c r="B1022" s="2" t="s">
        <v>2068</v>
      </c>
      <c r="C1022">
        <v>50</v>
      </c>
      <c r="D1022" s="2" t="s">
        <v>21</v>
      </c>
      <c r="E1022" s="2" t="s">
        <v>14</v>
      </c>
      <c r="F1022" s="2" t="s">
        <v>37</v>
      </c>
      <c r="G1022" s="2" t="s">
        <v>66</v>
      </c>
      <c r="H1022" s="2" t="s">
        <v>18</v>
      </c>
      <c r="I1022" s="2" t="s">
        <v>18</v>
      </c>
      <c r="J1022">
        <v>0.45</v>
      </c>
      <c r="K1022" s="4">
        <v>45029</v>
      </c>
    </row>
    <row r="1023" spans="1:11" x14ac:dyDescent="0.3">
      <c r="A1023" t="s">
        <v>2069</v>
      </c>
      <c r="B1023" s="2" t="s">
        <v>2070</v>
      </c>
      <c r="C1023">
        <v>68</v>
      </c>
      <c r="D1023" s="2" t="s">
        <v>13</v>
      </c>
      <c r="E1023" s="2" t="s">
        <v>14</v>
      </c>
      <c r="F1023" s="2" t="s">
        <v>37</v>
      </c>
      <c r="G1023" s="2" t="s">
        <v>32</v>
      </c>
      <c r="H1023" s="2" t="s">
        <v>18</v>
      </c>
      <c r="I1023" s="2" t="s">
        <v>17</v>
      </c>
      <c r="J1023">
        <v>0.46</v>
      </c>
      <c r="K1023" s="4">
        <v>44085</v>
      </c>
    </row>
    <row r="1024" spans="1:11" x14ac:dyDescent="0.3">
      <c r="A1024" t="s">
        <v>2071</v>
      </c>
      <c r="B1024" s="2" t="s">
        <v>2072</v>
      </c>
      <c r="C1024">
        <v>40</v>
      </c>
      <c r="D1024" s="2" t="s">
        <v>21</v>
      </c>
      <c r="E1024" s="2" t="s">
        <v>30</v>
      </c>
      <c r="F1024" s="2" t="s">
        <v>31</v>
      </c>
      <c r="G1024" s="2" t="s">
        <v>16</v>
      </c>
      <c r="H1024" s="2" t="s">
        <v>18</v>
      </c>
      <c r="I1024" s="2" t="s">
        <v>18</v>
      </c>
      <c r="J1024">
        <v>0.68</v>
      </c>
      <c r="K1024" s="4">
        <v>43376</v>
      </c>
    </row>
    <row r="1025" spans="1:11" x14ac:dyDescent="0.3">
      <c r="A1025" t="s">
        <v>2073</v>
      </c>
      <c r="B1025" s="2" t="s">
        <v>2074</v>
      </c>
      <c r="C1025">
        <v>54</v>
      </c>
      <c r="D1025" s="2" t="s">
        <v>21</v>
      </c>
      <c r="E1025" s="2" t="s">
        <v>22</v>
      </c>
      <c r="F1025" s="2" t="s">
        <v>15</v>
      </c>
      <c r="G1025" s="2" t="s">
        <v>66</v>
      </c>
      <c r="H1025" s="2" t="s">
        <v>18</v>
      </c>
      <c r="I1025" s="2" t="s">
        <v>17</v>
      </c>
      <c r="J1025">
        <v>0.71</v>
      </c>
      <c r="K1025" s="4">
        <v>43686</v>
      </c>
    </row>
    <row r="1026" spans="1:11" x14ac:dyDescent="0.3">
      <c r="A1026" t="s">
        <v>2075</v>
      </c>
      <c r="B1026" s="2" t="s">
        <v>2076</v>
      </c>
      <c r="C1026">
        <v>19</v>
      </c>
      <c r="D1026" s="2" t="s">
        <v>13</v>
      </c>
      <c r="E1026" s="2" t="s">
        <v>22</v>
      </c>
      <c r="F1026" s="2" t="s">
        <v>37</v>
      </c>
      <c r="G1026" s="2" t="s">
        <v>24</v>
      </c>
      <c r="H1026" s="2" t="s">
        <v>18</v>
      </c>
      <c r="I1026" s="2" t="s">
        <v>17</v>
      </c>
      <c r="J1026">
        <v>0.21</v>
      </c>
      <c r="K1026" s="4">
        <v>44426</v>
      </c>
    </row>
    <row r="1027" spans="1:11" x14ac:dyDescent="0.3">
      <c r="A1027" t="s">
        <v>2077</v>
      </c>
      <c r="B1027" s="2" t="s">
        <v>2078</v>
      </c>
      <c r="C1027">
        <v>23</v>
      </c>
      <c r="D1027" s="2" t="s">
        <v>21</v>
      </c>
      <c r="E1027" s="2" t="s">
        <v>30</v>
      </c>
      <c r="F1027" s="2" t="s">
        <v>37</v>
      </c>
      <c r="G1027" s="2" t="s">
        <v>16</v>
      </c>
      <c r="H1027" s="2" t="s">
        <v>18</v>
      </c>
      <c r="I1027" s="2" t="s">
        <v>18</v>
      </c>
      <c r="J1027">
        <v>0.62</v>
      </c>
      <c r="K1027" s="4">
        <v>43501</v>
      </c>
    </row>
    <row r="1028" spans="1:11" x14ac:dyDescent="0.3">
      <c r="A1028" t="s">
        <v>2079</v>
      </c>
      <c r="B1028" s="2" t="s">
        <v>2080</v>
      </c>
      <c r="C1028">
        <v>52</v>
      </c>
      <c r="D1028" s="2" t="s">
        <v>21</v>
      </c>
      <c r="E1028" s="2" t="s">
        <v>22</v>
      </c>
      <c r="F1028" s="2" t="s">
        <v>37</v>
      </c>
      <c r="G1028" s="2" t="s">
        <v>81</v>
      </c>
      <c r="H1028" s="2" t="s">
        <v>18</v>
      </c>
      <c r="I1028" s="2" t="s">
        <v>17</v>
      </c>
      <c r="J1028">
        <v>0.34</v>
      </c>
      <c r="K1028" s="4">
        <v>44749</v>
      </c>
    </row>
    <row r="1029" spans="1:11" x14ac:dyDescent="0.3">
      <c r="A1029" t="s">
        <v>2081</v>
      </c>
      <c r="B1029" s="2" t="s">
        <v>2082</v>
      </c>
      <c r="C1029">
        <v>39</v>
      </c>
      <c r="D1029" s="2" t="s">
        <v>13</v>
      </c>
      <c r="E1029" s="2" t="s">
        <v>30</v>
      </c>
      <c r="F1029" s="2" t="s">
        <v>23</v>
      </c>
      <c r="G1029" s="2" t="s">
        <v>27</v>
      </c>
      <c r="H1029" s="2" t="s">
        <v>17</v>
      </c>
      <c r="I1029" s="2" t="s">
        <v>18</v>
      </c>
      <c r="J1029">
        <v>0.66</v>
      </c>
      <c r="K1029" s="4">
        <v>43897</v>
      </c>
    </row>
    <row r="1030" spans="1:11" x14ac:dyDescent="0.3">
      <c r="A1030" t="s">
        <v>2083</v>
      </c>
      <c r="B1030" s="2" t="s">
        <v>2084</v>
      </c>
      <c r="C1030">
        <v>44</v>
      </c>
      <c r="D1030" s="2" t="s">
        <v>13</v>
      </c>
      <c r="E1030" s="2" t="s">
        <v>30</v>
      </c>
      <c r="F1030" s="2" t="s">
        <v>37</v>
      </c>
      <c r="G1030" s="2" t="s">
        <v>16</v>
      </c>
      <c r="H1030" s="2" t="s">
        <v>18</v>
      </c>
      <c r="I1030" s="2" t="s">
        <v>18</v>
      </c>
      <c r="J1030">
        <v>0.79</v>
      </c>
      <c r="K1030" s="4">
        <v>44184</v>
      </c>
    </row>
    <row r="1031" spans="1:11" x14ac:dyDescent="0.3">
      <c r="A1031" t="s">
        <v>2085</v>
      </c>
      <c r="B1031" s="2" t="s">
        <v>2086</v>
      </c>
      <c r="C1031">
        <v>45</v>
      </c>
      <c r="D1031" s="2" t="s">
        <v>13</v>
      </c>
      <c r="E1031" s="2" t="s">
        <v>22</v>
      </c>
      <c r="F1031" s="2" t="s">
        <v>23</v>
      </c>
      <c r="G1031" s="2" t="s">
        <v>66</v>
      </c>
      <c r="H1031" s="2" t="s">
        <v>18</v>
      </c>
      <c r="I1031" s="2" t="s">
        <v>17</v>
      </c>
      <c r="J1031">
        <v>0.5</v>
      </c>
      <c r="K1031" s="4">
        <v>44265</v>
      </c>
    </row>
    <row r="1032" spans="1:11" x14ac:dyDescent="0.3">
      <c r="A1032" t="s">
        <v>2087</v>
      </c>
      <c r="B1032" s="2" t="s">
        <v>2088</v>
      </c>
      <c r="C1032">
        <v>30</v>
      </c>
      <c r="D1032" s="2" t="s">
        <v>21</v>
      </c>
      <c r="E1032" s="2" t="s">
        <v>22</v>
      </c>
      <c r="F1032" s="2" t="s">
        <v>31</v>
      </c>
      <c r="G1032" s="2" t="s">
        <v>81</v>
      </c>
      <c r="H1032" s="2" t="s">
        <v>18</v>
      </c>
      <c r="I1032" s="2" t="s">
        <v>17</v>
      </c>
      <c r="J1032">
        <v>0.65</v>
      </c>
      <c r="K1032" s="4">
        <v>43369</v>
      </c>
    </row>
    <row r="1033" spans="1:11" x14ac:dyDescent="0.3">
      <c r="A1033" t="s">
        <v>2089</v>
      </c>
      <c r="B1033" s="2" t="s">
        <v>2090</v>
      </c>
      <c r="C1033">
        <v>69</v>
      </c>
      <c r="D1033" s="2" t="s">
        <v>13</v>
      </c>
      <c r="E1033" s="2" t="s">
        <v>30</v>
      </c>
      <c r="F1033" s="2" t="s">
        <v>31</v>
      </c>
      <c r="G1033" s="2" t="s">
        <v>27</v>
      </c>
      <c r="H1033" s="2" t="s">
        <v>17</v>
      </c>
      <c r="I1033" s="2" t="s">
        <v>18</v>
      </c>
      <c r="J1033">
        <v>0.46</v>
      </c>
      <c r="K1033" s="4">
        <v>43484</v>
      </c>
    </row>
    <row r="1034" spans="1:11" x14ac:dyDescent="0.3">
      <c r="A1034" t="s">
        <v>2091</v>
      </c>
      <c r="B1034" s="2" t="s">
        <v>2092</v>
      </c>
      <c r="C1034">
        <v>61</v>
      </c>
      <c r="D1034" s="2" t="s">
        <v>13</v>
      </c>
      <c r="E1034" s="2" t="s">
        <v>14</v>
      </c>
      <c r="F1034" s="2" t="s">
        <v>15</v>
      </c>
      <c r="G1034" s="2" t="s">
        <v>32</v>
      </c>
      <c r="H1034" s="2" t="s">
        <v>18</v>
      </c>
      <c r="I1034" s="2" t="s">
        <v>18</v>
      </c>
      <c r="J1034">
        <v>0.63</v>
      </c>
      <c r="K1034" s="4">
        <v>45231</v>
      </c>
    </row>
    <row r="1035" spans="1:11" x14ac:dyDescent="0.3">
      <c r="A1035" t="s">
        <v>2093</v>
      </c>
      <c r="B1035" s="2" t="s">
        <v>2094</v>
      </c>
      <c r="C1035">
        <v>23</v>
      </c>
      <c r="D1035" s="2" t="s">
        <v>13</v>
      </c>
      <c r="E1035" s="2" t="s">
        <v>30</v>
      </c>
      <c r="F1035" s="2" t="s">
        <v>23</v>
      </c>
      <c r="G1035" s="2" t="s">
        <v>66</v>
      </c>
      <c r="H1035" s="2" t="s">
        <v>18</v>
      </c>
      <c r="I1035" s="2" t="s">
        <v>17</v>
      </c>
      <c r="J1035">
        <v>0.55000000000000004</v>
      </c>
      <c r="K1035" s="4">
        <v>44273</v>
      </c>
    </row>
    <row r="1036" spans="1:11" x14ac:dyDescent="0.3">
      <c r="A1036" t="s">
        <v>2095</v>
      </c>
      <c r="B1036" s="2" t="s">
        <v>2096</v>
      </c>
      <c r="C1036">
        <v>63</v>
      </c>
      <c r="D1036" s="2" t="s">
        <v>21</v>
      </c>
      <c r="E1036" s="2" t="s">
        <v>30</v>
      </c>
      <c r="F1036" s="2" t="s">
        <v>37</v>
      </c>
      <c r="G1036" s="2" t="s">
        <v>81</v>
      </c>
      <c r="H1036" s="2" t="s">
        <v>18</v>
      </c>
      <c r="I1036" s="2" t="s">
        <v>17</v>
      </c>
      <c r="J1036">
        <v>0.47</v>
      </c>
      <c r="K1036" s="4">
        <v>43910</v>
      </c>
    </row>
    <row r="1037" spans="1:11" x14ac:dyDescent="0.3">
      <c r="A1037" t="s">
        <v>2097</v>
      </c>
      <c r="B1037" s="2" t="s">
        <v>2098</v>
      </c>
      <c r="C1037">
        <v>38</v>
      </c>
      <c r="D1037" s="2" t="s">
        <v>13</v>
      </c>
      <c r="E1037" s="2" t="s">
        <v>22</v>
      </c>
      <c r="F1037" s="2" t="s">
        <v>15</v>
      </c>
      <c r="G1037" s="2" t="s">
        <v>66</v>
      </c>
      <c r="H1037" s="2" t="s">
        <v>18</v>
      </c>
      <c r="I1037" s="2" t="s">
        <v>18</v>
      </c>
      <c r="J1037">
        <v>0.66</v>
      </c>
      <c r="K1037" s="4">
        <v>44591</v>
      </c>
    </row>
    <row r="1038" spans="1:11" x14ac:dyDescent="0.3">
      <c r="A1038" t="s">
        <v>2099</v>
      </c>
      <c r="B1038" s="2" t="s">
        <v>2100</v>
      </c>
      <c r="C1038">
        <v>36</v>
      </c>
      <c r="D1038" s="2" t="s">
        <v>21</v>
      </c>
      <c r="E1038" s="2" t="s">
        <v>14</v>
      </c>
      <c r="F1038" s="2" t="s">
        <v>31</v>
      </c>
      <c r="G1038" s="2" t="s">
        <v>24</v>
      </c>
      <c r="H1038" s="2" t="s">
        <v>18</v>
      </c>
      <c r="I1038" s="2" t="s">
        <v>18</v>
      </c>
      <c r="J1038">
        <v>0.22</v>
      </c>
      <c r="K1038" s="4">
        <v>43817</v>
      </c>
    </row>
    <row r="1039" spans="1:11" x14ac:dyDescent="0.3">
      <c r="A1039" t="s">
        <v>2101</v>
      </c>
      <c r="B1039" s="2" t="s">
        <v>2102</v>
      </c>
      <c r="C1039">
        <v>53</v>
      </c>
      <c r="D1039" s="2" t="s">
        <v>13</v>
      </c>
      <c r="E1039" s="2" t="s">
        <v>14</v>
      </c>
      <c r="F1039" s="2" t="s">
        <v>15</v>
      </c>
      <c r="G1039" s="2" t="s">
        <v>16</v>
      </c>
      <c r="H1039" s="2" t="s">
        <v>18</v>
      </c>
      <c r="I1039" s="2" t="s">
        <v>17</v>
      </c>
      <c r="J1039">
        <v>0.19</v>
      </c>
      <c r="K1039" s="4">
        <v>43311</v>
      </c>
    </row>
    <row r="1040" spans="1:11" x14ac:dyDescent="0.3">
      <c r="A1040" t="s">
        <v>2103</v>
      </c>
      <c r="B1040" s="2" t="s">
        <v>2104</v>
      </c>
      <c r="C1040">
        <v>41</v>
      </c>
      <c r="D1040" s="2" t="s">
        <v>13</v>
      </c>
      <c r="E1040" s="2" t="s">
        <v>14</v>
      </c>
      <c r="F1040" s="2" t="s">
        <v>37</v>
      </c>
      <c r="G1040" s="2" t="s">
        <v>27</v>
      </c>
      <c r="H1040" s="2" t="s">
        <v>17</v>
      </c>
      <c r="I1040" s="2" t="s">
        <v>17</v>
      </c>
      <c r="J1040">
        <v>0.38</v>
      </c>
      <c r="K1040" s="4">
        <v>44754</v>
      </c>
    </row>
    <row r="1041" spans="1:11" x14ac:dyDescent="0.3">
      <c r="A1041" t="s">
        <v>2105</v>
      </c>
      <c r="B1041" s="2" t="s">
        <v>2106</v>
      </c>
      <c r="C1041">
        <v>62</v>
      </c>
      <c r="D1041" s="2" t="s">
        <v>13</v>
      </c>
      <c r="E1041" s="2" t="s">
        <v>14</v>
      </c>
      <c r="F1041" s="2" t="s">
        <v>15</v>
      </c>
      <c r="G1041" s="2" t="s">
        <v>24</v>
      </c>
      <c r="H1041" s="2" t="s">
        <v>18</v>
      </c>
      <c r="I1041" s="2" t="s">
        <v>17</v>
      </c>
      <c r="J1041">
        <v>0.6</v>
      </c>
      <c r="K1041" s="4">
        <v>43755</v>
      </c>
    </row>
    <row r="1042" spans="1:11" x14ac:dyDescent="0.3">
      <c r="A1042" t="s">
        <v>2107</v>
      </c>
      <c r="B1042" s="2" t="s">
        <v>2108</v>
      </c>
      <c r="C1042">
        <v>67</v>
      </c>
      <c r="D1042" s="2" t="s">
        <v>21</v>
      </c>
      <c r="E1042" s="2" t="s">
        <v>22</v>
      </c>
      <c r="F1042" s="2" t="s">
        <v>37</v>
      </c>
      <c r="G1042" s="2" t="s">
        <v>81</v>
      </c>
      <c r="H1042" s="2" t="s">
        <v>18</v>
      </c>
      <c r="I1042" s="2" t="s">
        <v>18</v>
      </c>
      <c r="J1042">
        <v>0.66</v>
      </c>
      <c r="K1042" s="4">
        <v>44487</v>
      </c>
    </row>
    <row r="1043" spans="1:11" x14ac:dyDescent="0.3">
      <c r="A1043" t="s">
        <v>2109</v>
      </c>
      <c r="B1043" s="2" t="s">
        <v>2110</v>
      </c>
      <c r="C1043">
        <v>38</v>
      </c>
      <c r="D1043" s="2" t="s">
        <v>13</v>
      </c>
      <c r="E1043" s="2" t="s">
        <v>30</v>
      </c>
      <c r="F1043" s="2" t="s">
        <v>31</v>
      </c>
      <c r="G1043" s="2" t="s">
        <v>81</v>
      </c>
      <c r="H1043" s="2" t="s">
        <v>17</v>
      </c>
      <c r="I1043" s="2" t="s">
        <v>18</v>
      </c>
      <c r="J1043">
        <v>0.43</v>
      </c>
      <c r="K1043" s="4">
        <v>43338</v>
      </c>
    </row>
    <row r="1044" spans="1:11" x14ac:dyDescent="0.3">
      <c r="A1044" t="s">
        <v>2111</v>
      </c>
      <c r="B1044" s="2" t="s">
        <v>2112</v>
      </c>
      <c r="C1044">
        <v>33</v>
      </c>
      <c r="D1044" s="2" t="s">
        <v>13</v>
      </c>
      <c r="E1044" s="2" t="s">
        <v>14</v>
      </c>
      <c r="F1044" s="2" t="s">
        <v>15</v>
      </c>
      <c r="G1044" s="2" t="s">
        <v>66</v>
      </c>
      <c r="H1044" s="2" t="s">
        <v>18</v>
      </c>
      <c r="I1044" s="2" t="s">
        <v>17</v>
      </c>
      <c r="J1044">
        <v>0.19</v>
      </c>
      <c r="K1044" s="4">
        <v>44844</v>
      </c>
    </row>
    <row r="1045" spans="1:11" x14ac:dyDescent="0.3">
      <c r="A1045" t="s">
        <v>2113</v>
      </c>
      <c r="B1045" s="2" t="s">
        <v>2114</v>
      </c>
      <c r="C1045">
        <v>20</v>
      </c>
      <c r="D1045" s="2" t="s">
        <v>13</v>
      </c>
      <c r="E1045" s="2" t="s">
        <v>14</v>
      </c>
      <c r="F1045" s="2" t="s">
        <v>15</v>
      </c>
      <c r="G1045" s="2" t="s">
        <v>32</v>
      </c>
      <c r="H1045" s="2" t="s">
        <v>17</v>
      </c>
      <c r="I1045" s="2" t="s">
        <v>17</v>
      </c>
      <c r="J1045">
        <v>0.2</v>
      </c>
      <c r="K1045" s="4">
        <v>43507</v>
      </c>
    </row>
    <row r="1046" spans="1:11" x14ac:dyDescent="0.3">
      <c r="A1046" t="s">
        <v>2115</v>
      </c>
      <c r="B1046" s="2" t="s">
        <v>2116</v>
      </c>
      <c r="C1046">
        <v>51</v>
      </c>
      <c r="D1046" s="2" t="s">
        <v>13</v>
      </c>
      <c r="E1046" s="2" t="s">
        <v>30</v>
      </c>
      <c r="F1046" s="2" t="s">
        <v>15</v>
      </c>
      <c r="G1046" s="2" t="s">
        <v>66</v>
      </c>
      <c r="H1046" s="2" t="s">
        <v>18</v>
      </c>
      <c r="I1046" s="2" t="s">
        <v>18</v>
      </c>
      <c r="J1046">
        <v>0.38</v>
      </c>
      <c r="K1046" s="4">
        <v>43313</v>
      </c>
    </row>
    <row r="1047" spans="1:11" x14ac:dyDescent="0.3">
      <c r="A1047" t="s">
        <v>2117</v>
      </c>
      <c r="B1047" s="2" t="s">
        <v>2118</v>
      </c>
      <c r="C1047">
        <v>36</v>
      </c>
      <c r="D1047" s="2" t="s">
        <v>21</v>
      </c>
      <c r="E1047" s="2" t="s">
        <v>30</v>
      </c>
      <c r="F1047" s="2" t="s">
        <v>23</v>
      </c>
      <c r="G1047" s="2" t="s">
        <v>27</v>
      </c>
      <c r="H1047" s="2" t="s">
        <v>17</v>
      </c>
      <c r="I1047" s="2" t="s">
        <v>17</v>
      </c>
      <c r="J1047">
        <v>0.94</v>
      </c>
      <c r="K1047" s="4">
        <v>45113</v>
      </c>
    </row>
    <row r="1048" spans="1:11" x14ac:dyDescent="0.3">
      <c r="A1048" t="s">
        <v>2119</v>
      </c>
      <c r="B1048" s="2" t="s">
        <v>2120</v>
      </c>
      <c r="C1048">
        <v>44</v>
      </c>
      <c r="D1048" s="2" t="s">
        <v>13</v>
      </c>
      <c r="E1048" s="2" t="s">
        <v>14</v>
      </c>
      <c r="F1048" s="2" t="s">
        <v>37</v>
      </c>
      <c r="G1048" s="2" t="s">
        <v>66</v>
      </c>
      <c r="H1048" s="2" t="s">
        <v>18</v>
      </c>
      <c r="I1048" s="2" t="s">
        <v>18</v>
      </c>
      <c r="J1048">
        <v>0.21</v>
      </c>
      <c r="K1048" s="4">
        <v>43104</v>
      </c>
    </row>
    <row r="1049" spans="1:11" x14ac:dyDescent="0.3">
      <c r="A1049" t="s">
        <v>2121</v>
      </c>
      <c r="B1049" s="2" t="s">
        <v>2122</v>
      </c>
      <c r="C1049">
        <v>22</v>
      </c>
      <c r="D1049" s="2" t="s">
        <v>21</v>
      </c>
      <c r="E1049" s="2" t="s">
        <v>30</v>
      </c>
      <c r="F1049" s="2" t="s">
        <v>15</v>
      </c>
      <c r="G1049" s="2" t="s">
        <v>27</v>
      </c>
      <c r="H1049" s="2" t="s">
        <v>18</v>
      </c>
      <c r="I1049" s="2" t="s">
        <v>18</v>
      </c>
      <c r="J1049">
        <v>0.63</v>
      </c>
      <c r="K1049" s="4">
        <v>43926</v>
      </c>
    </row>
    <row r="1050" spans="1:11" x14ac:dyDescent="0.3">
      <c r="A1050" t="s">
        <v>2123</v>
      </c>
      <c r="B1050" s="2" t="s">
        <v>2124</v>
      </c>
      <c r="C1050">
        <v>41</v>
      </c>
      <c r="D1050" s="2" t="s">
        <v>21</v>
      </c>
      <c r="E1050" s="2" t="s">
        <v>14</v>
      </c>
      <c r="F1050" s="2" t="s">
        <v>37</v>
      </c>
      <c r="G1050" s="2" t="s">
        <v>81</v>
      </c>
      <c r="H1050" s="2" t="s">
        <v>17</v>
      </c>
      <c r="I1050" s="2" t="s">
        <v>17</v>
      </c>
      <c r="J1050">
        <v>0.64</v>
      </c>
      <c r="K1050" s="4">
        <v>45164</v>
      </c>
    </row>
    <row r="1051" spans="1:11" x14ac:dyDescent="0.3">
      <c r="A1051" t="s">
        <v>2125</v>
      </c>
      <c r="B1051" s="2" t="s">
        <v>2126</v>
      </c>
      <c r="C1051">
        <v>24</v>
      </c>
      <c r="D1051" s="2" t="s">
        <v>21</v>
      </c>
      <c r="E1051" s="2" t="s">
        <v>30</v>
      </c>
      <c r="F1051" s="2" t="s">
        <v>31</v>
      </c>
      <c r="G1051" s="2" t="s">
        <v>32</v>
      </c>
      <c r="H1051" s="2" t="s">
        <v>17</v>
      </c>
      <c r="I1051" s="2" t="s">
        <v>17</v>
      </c>
      <c r="J1051">
        <v>0.17</v>
      </c>
      <c r="K1051" s="4">
        <v>43388</v>
      </c>
    </row>
    <row r="1052" spans="1:11" x14ac:dyDescent="0.3">
      <c r="A1052" t="s">
        <v>2127</v>
      </c>
      <c r="B1052" s="2" t="s">
        <v>2128</v>
      </c>
      <c r="C1052">
        <v>23</v>
      </c>
      <c r="D1052" s="2" t="s">
        <v>21</v>
      </c>
      <c r="E1052" s="2" t="s">
        <v>14</v>
      </c>
      <c r="F1052" s="2" t="s">
        <v>31</v>
      </c>
      <c r="G1052" s="2" t="s">
        <v>16</v>
      </c>
      <c r="H1052" s="2" t="s">
        <v>17</v>
      </c>
      <c r="I1052" s="2" t="s">
        <v>17</v>
      </c>
      <c r="J1052">
        <v>0.17</v>
      </c>
      <c r="K1052" s="4">
        <v>43204</v>
      </c>
    </row>
    <row r="1053" spans="1:11" x14ac:dyDescent="0.3">
      <c r="A1053" t="s">
        <v>2129</v>
      </c>
      <c r="B1053" s="2" t="s">
        <v>2130</v>
      </c>
      <c r="C1053">
        <v>47</v>
      </c>
      <c r="D1053" s="2" t="s">
        <v>13</v>
      </c>
      <c r="E1053" s="2" t="s">
        <v>30</v>
      </c>
      <c r="F1053" s="2" t="s">
        <v>37</v>
      </c>
      <c r="G1053" s="2" t="s">
        <v>16</v>
      </c>
      <c r="H1053" s="2" t="s">
        <v>17</v>
      </c>
      <c r="I1053" s="2" t="s">
        <v>18</v>
      </c>
      <c r="J1053">
        <v>0.28999999999999998</v>
      </c>
      <c r="K1053" s="4">
        <v>44792</v>
      </c>
    </row>
    <row r="1054" spans="1:11" x14ac:dyDescent="0.3">
      <c r="A1054" t="s">
        <v>2131</v>
      </c>
      <c r="B1054" s="2" t="s">
        <v>2132</v>
      </c>
      <c r="C1054">
        <v>21</v>
      </c>
      <c r="D1054" s="2" t="s">
        <v>21</v>
      </c>
      <c r="E1054" s="2" t="s">
        <v>22</v>
      </c>
      <c r="F1054" s="2" t="s">
        <v>31</v>
      </c>
      <c r="G1054" s="2" t="s">
        <v>16</v>
      </c>
      <c r="H1054" s="2" t="s">
        <v>17</v>
      </c>
      <c r="I1054" s="2" t="s">
        <v>18</v>
      </c>
      <c r="J1054">
        <v>0.34</v>
      </c>
      <c r="K1054" s="4">
        <v>44111</v>
      </c>
    </row>
    <row r="1055" spans="1:11" x14ac:dyDescent="0.3">
      <c r="A1055" t="s">
        <v>2133</v>
      </c>
      <c r="B1055" s="2" t="s">
        <v>2134</v>
      </c>
      <c r="C1055">
        <v>25</v>
      </c>
      <c r="D1055" s="2" t="s">
        <v>13</v>
      </c>
      <c r="E1055" s="2" t="s">
        <v>30</v>
      </c>
      <c r="F1055" s="2" t="s">
        <v>23</v>
      </c>
      <c r="G1055" s="2" t="s">
        <v>81</v>
      </c>
      <c r="H1055" s="2" t="s">
        <v>18</v>
      </c>
      <c r="I1055" s="2" t="s">
        <v>17</v>
      </c>
      <c r="J1055">
        <v>0.28999999999999998</v>
      </c>
      <c r="K1055" s="4">
        <v>44295</v>
      </c>
    </row>
    <row r="1056" spans="1:11" x14ac:dyDescent="0.3">
      <c r="A1056" t="s">
        <v>2135</v>
      </c>
      <c r="B1056" s="2" t="s">
        <v>2136</v>
      </c>
      <c r="C1056">
        <v>60</v>
      </c>
      <c r="D1056" s="2" t="s">
        <v>21</v>
      </c>
      <c r="E1056" s="2" t="s">
        <v>22</v>
      </c>
      <c r="F1056" s="2" t="s">
        <v>31</v>
      </c>
      <c r="G1056" s="2" t="s">
        <v>32</v>
      </c>
      <c r="H1056" s="2" t="s">
        <v>17</v>
      </c>
      <c r="I1056" s="2" t="s">
        <v>18</v>
      </c>
      <c r="J1056">
        <v>0.56999999999999995</v>
      </c>
      <c r="K1056" s="4">
        <v>44256</v>
      </c>
    </row>
    <row r="1057" spans="1:11" x14ac:dyDescent="0.3">
      <c r="A1057" t="s">
        <v>2137</v>
      </c>
      <c r="B1057" s="2" t="s">
        <v>2138</v>
      </c>
      <c r="C1057">
        <v>35</v>
      </c>
      <c r="D1057" s="2" t="s">
        <v>13</v>
      </c>
      <c r="E1057" s="2" t="s">
        <v>22</v>
      </c>
      <c r="F1057" s="2" t="s">
        <v>37</v>
      </c>
      <c r="G1057" s="2" t="s">
        <v>81</v>
      </c>
      <c r="H1057" s="2" t="s">
        <v>18</v>
      </c>
      <c r="I1057" s="2" t="s">
        <v>17</v>
      </c>
      <c r="J1057">
        <v>0.59</v>
      </c>
      <c r="K1057" s="4">
        <v>43545</v>
      </c>
    </row>
    <row r="1058" spans="1:11" x14ac:dyDescent="0.3">
      <c r="A1058" t="s">
        <v>2139</v>
      </c>
      <c r="B1058" s="2" t="s">
        <v>2140</v>
      </c>
      <c r="C1058">
        <v>68</v>
      </c>
      <c r="D1058" s="2" t="s">
        <v>21</v>
      </c>
      <c r="E1058" s="2" t="s">
        <v>14</v>
      </c>
      <c r="F1058" s="2" t="s">
        <v>31</v>
      </c>
      <c r="G1058" s="2" t="s">
        <v>81</v>
      </c>
      <c r="H1058" s="2" t="s">
        <v>18</v>
      </c>
      <c r="I1058" s="2" t="s">
        <v>17</v>
      </c>
      <c r="J1058">
        <v>0.4</v>
      </c>
      <c r="K1058" s="4">
        <v>43977</v>
      </c>
    </row>
    <row r="1059" spans="1:11" x14ac:dyDescent="0.3">
      <c r="A1059" t="s">
        <v>2141</v>
      </c>
      <c r="B1059" s="2" t="s">
        <v>2142</v>
      </c>
      <c r="C1059">
        <v>44</v>
      </c>
      <c r="D1059" s="2" t="s">
        <v>21</v>
      </c>
      <c r="E1059" s="2" t="s">
        <v>30</v>
      </c>
      <c r="F1059" s="2" t="s">
        <v>23</v>
      </c>
      <c r="G1059" s="2" t="s">
        <v>66</v>
      </c>
      <c r="H1059" s="2" t="s">
        <v>18</v>
      </c>
      <c r="I1059" s="2" t="s">
        <v>17</v>
      </c>
      <c r="J1059">
        <v>0.52</v>
      </c>
      <c r="K1059" s="4">
        <v>43140</v>
      </c>
    </row>
    <row r="1060" spans="1:11" x14ac:dyDescent="0.3">
      <c r="A1060" t="s">
        <v>2143</v>
      </c>
      <c r="B1060" s="2" t="s">
        <v>2144</v>
      </c>
      <c r="C1060">
        <v>30</v>
      </c>
      <c r="D1060" s="2" t="s">
        <v>21</v>
      </c>
      <c r="E1060" s="2" t="s">
        <v>14</v>
      </c>
      <c r="F1060" s="2" t="s">
        <v>15</v>
      </c>
      <c r="G1060" s="2" t="s">
        <v>66</v>
      </c>
      <c r="H1060" s="2" t="s">
        <v>18</v>
      </c>
      <c r="I1060" s="2" t="s">
        <v>18</v>
      </c>
      <c r="J1060">
        <v>0.42</v>
      </c>
      <c r="K1060" s="4">
        <v>43428</v>
      </c>
    </row>
    <row r="1061" spans="1:11" x14ac:dyDescent="0.3">
      <c r="A1061" t="s">
        <v>2145</v>
      </c>
      <c r="B1061" s="2" t="s">
        <v>2146</v>
      </c>
      <c r="C1061">
        <v>25</v>
      </c>
      <c r="D1061" s="2" t="s">
        <v>13</v>
      </c>
      <c r="E1061" s="2" t="s">
        <v>14</v>
      </c>
      <c r="F1061" s="2" t="s">
        <v>37</v>
      </c>
      <c r="G1061" s="2" t="s">
        <v>27</v>
      </c>
      <c r="H1061" s="2" t="s">
        <v>18</v>
      </c>
      <c r="I1061" s="2" t="s">
        <v>17</v>
      </c>
      <c r="J1061">
        <v>0.11</v>
      </c>
      <c r="K1061" s="4">
        <v>44604</v>
      </c>
    </row>
    <row r="1062" spans="1:11" x14ac:dyDescent="0.3">
      <c r="A1062" t="s">
        <v>2147</v>
      </c>
      <c r="B1062" s="2" t="s">
        <v>2148</v>
      </c>
      <c r="C1062">
        <v>35</v>
      </c>
      <c r="D1062" s="2" t="s">
        <v>21</v>
      </c>
      <c r="E1062" s="2" t="s">
        <v>14</v>
      </c>
      <c r="F1062" s="2" t="s">
        <v>37</v>
      </c>
      <c r="G1062" s="2" t="s">
        <v>27</v>
      </c>
      <c r="H1062" s="2" t="s">
        <v>18</v>
      </c>
      <c r="I1062" s="2" t="s">
        <v>17</v>
      </c>
      <c r="J1062">
        <v>0</v>
      </c>
      <c r="K1062" s="4">
        <v>44630</v>
      </c>
    </row>
    <row r="1063" spans="1:11" x14ac:dyDescent="0.3">
      <c r="A1063" t="s">
        <v>2149</v>
      </c>
      <c r="B1063" s="2" t="s">
        <v>2150</v>
      </c>
      <c r="C1063">
        <v>45</v>
      </c>
      <c r="D1063" s="2" t="s">
        <v>21</v>
      </c>
      <c r="E1063" s="2" t="s">
        <v>30</v>
      </c>
      <c r="F1063" s="2" t="s">
        <v>37</v>
      </c>
      <c r="G1063" s="2" t="s">
        <v>24</v>
      </c>
      <c r="H1063" s="2" t="s">
        <v>17</v>
      </c>
      <c r="I1063" s="2" t="s">
        <v>17</v>
      </c>
      <c r="J1063">
        <v>0.73</v>
      </c>
      <c r="K1063" s="4">
        <v>45236</v>
      </c>
    </row>
    <row r="1064" spans="1:11" x14ac:dyDescent="0.3">
      <c r="A1064" t="s">
        <v>2151</v>
      </c>
      <c r="B1064" s="2" t="s">
        <v>2152</v>
      </c>
      <c r="C1064">
        <v>54</v>
      </c>
      <c r="D1064" s="2" t="s">
        <v>21</v>
      </c>
      <c r="E1064" s="2" t="s">
        <v>14</v>
      </c>
      <c r="F1064" s="2" t="s">
        <v>31</v>
      </c>
      <c r="G1064" s="2" t="s">
        <v>81</v>
      </c>
      <c r="H1064" s="2" t="s">
        <v>18</v>
      </c>
      <c r="I1064" s="2" t="s">
        <v>18</v>
      </c>
      <c r="J1064">
        <v>0.44</v>
      </c>
      <c r="K1064" s="4">
        <v>45130</v>
      </c>
    </row>
    <row r="1065" spans="1:11" x14ac:dyDescent="0.3">
      <c r="A1065" t="s">
        <v>2153</v>
      </c>
      <c r="B1065" s="2" t="s">
        <v>2154</v>
      </c>
      <c r="C1065">
        <v>25</v>
      </c>
      <c r="D1065" s="2" t="s">
        <v>13</v>
      </c>
      <c r="E1065" s="2" t="s">
        <v>22</v>
      </c>
      <c r="F1065" s="2" t="s">
        <v>37</v>
      </c>
      <c r="G1065" s="2" t="s">
        <v>27</v>
      </c>
      <c r="H1065" s="2" t="s">
        <v>18</v>
      </c>
      <c r="I1065" s="2" t="s">
        <v>17</v>
      </c>
      <c r="J1065">
        <v>0.71</v>
      </c>
      <c r="K1065" s="4">
        <v>43128</v>
      </c>
    </row>
    <row r="1066" spans="1:11" x14ac:dyDescent="0.3">
      <c r="A1066" t="s">
        <v>2155</v>
      </c>
      <c r="B1066" s="2" t="s">
        <v>2156</v>
      </c>
      <c r="C1066">
        <v>48</v>
      </c>
      <c r="D1066" s="2" t="s">
        <v>13</v>
      </c>
      <c r="E1066" s="2" t="s">
        <v>22</v>
      </c>
      <c r="F1066" s="2" t="s">
        <v>15</v>
      </c>
      <c r="G1066" s="2" t="s">
        <v>16</v>
      </c>
      <c r="H1066" s="2" t="s">
        <v>18</v>
      </c>
      <c r="I1066" s="2" t="s">
        <v>17</v>
      </c>
      <c r="J1066">
        <v>0.54</v>
      </c>
      <c r="K1066" s="4">
        <v>43374</v>
      </c>
    </row>
    <row r="1067" spans="1:11" x14ac:dyDescent="0.3">
      <c r="A1067" t="s">
        <v>2157</v>
      </c>
      <c r="B1067" s="2" t="s">
        <v>2158</v>
      </c>
      <c r="C1067">
        <v>45</v>
      </c>
      <c r="D1067" s="2" t="s">
        <v>13</v>
      </c>
      <c r="E1067" s="2" t="s">
        <v>30</v>
      </c>
      <c r="F1067" s="2" t="s">
        <v>37</v>
      </c>
      <c r="G1067" s="2" t="s">
        <v>66</v>
      </c>
      <c r="H1067" s="2" t="s">
        <v>17</v>
      </c>
      <c r="I1067" s="2" t="s">
        <v>17</v>
      </c>
      <c r="J1067">
        <v>0.28999999999999998</v>
      </c>
      <c r="K1067" s="4">
        <v>44997</v>
      </c>
    </row>
    <row r="1068" spans="1:11" x14ac:dyDescent="0.3">
      <c r="A1068" t="s">
        <v>2159</v>
      </c>
      <c r="B1068" s="2" t="s">
        <v>2160</v>
      </c>
      <c r="C1068">
        <v>51</v>
      </c>
      <c r="D1068" s="2" t="s">
        <v>13</v>
      </c>
      <c r="E1068" s="2" t="s">
        <v>22</v>
      </c>
      <c r="F1068" s="2" t="s">
        <v>23</v>
      </c>
      <c r="G1068" s="2" t="s">
        <v>24</v>
      </c>
      <c r="H1068" s="2" t="s">
        <v>18</v>
      </c>
      <c r="I1068" s="2" t="s">
        <v>18</v>
      </c>
      <c r="J1068">
        <v>0.53</v>
      </c>
      <c r="K1068" s="4">
        <v>44686</v>
      </c>
    </row>
    <row r="1069" spans="1:11" x14ac:dyDescent="0.3">
      <c r="A1069" t="s">
        <v>2161</v>
      </c>
      <c r="B1069" s="2" t="s">
        <v>2162</v>
      </c>
      <c r="C1069">
        <v>25</v>
      </c>
      <c r="D1069" s="2" t="s">
        <v>21</v>
      </c>
      <c r="E1069" s="2" t="s">
        <v>30</v>
      </c>
      <c r="F1069" s="2" t="s">
        <v>15</v>
      </c>
      <c r="G1069" s="2" t="s">
        <v>24</v>
      </c>
      <c r="H1069" s="2" t="s">
        <v>17</v>
      </c>
      <c r="I1069" s="2" t="s">
        <v>17</v>
      </c>
      <c r="J1069">
        <v>0.6</v>
      </c>
      <c r="K1069" s="4">
        <v>44711</v>
      </c>
    </row>
    <row r="1070" spans="1:11" x14ac:dyDescent="0.3">
      <c r="A1070" t="s">
        <v>2163</v>
      </c>
      <c r="B1070" s="2" t="s">
        <v>2164</v>
      </c>
      <c r="C1070">
        <v>42</v>
      </c>
      <c r="D1070" s="2" t="s">
        <v>21</v>
      </c>
      <c r="E1070" s="2" t="s">
        <v>14</v>
      </c>
      <c r="F1070" s="2" t="s">
        <v>31</v>
      </c>
      <c r="G1070" s="2" t="s">
        <v>81</v>
      </c>
      <c r="H1070" s="2" t="s">
        <v>18</v>
      </c>
      <c r="I1070" s="2" t="s">
        <v>17</v>
      </c>
      <c r="J1070">
        <v>0.36</v>
      </c>
      <c r="K1070" s="4">
        <v>44883</v>
      </c>
    </row>
    <row r="1071" spans="1:11" x14ac:dyDescent="0.3">
      <c r="A1071" t="s">
        <v>2165</v>
      </c>
      <c r="B1071" s="2" t="s">
        <v>2166</v>
      </c>
      <c r="C1071">
        <v>31</v>
      </c>
      <c r="D1071" s="2" t="s">
        <v>21</v>
      </c>
      <c r="E1071" s="2" t="s">
        <v>30</v>
      </c>
      <c r="F1071" s="2" t="s">
        <v>23</v>
      </c>
      <c r="G1071" s="2" t="s">
        <v>81</v>
      </c>
      <c r="H1071" s="2" t="s">
        <v>18</v>
      </c>
      <c r="I1071" s="2" t="s">
        <v>17</v>
      </c>
      <c r="J1071">
        <v>0.55000000000000004</v>
      </c>
      <c r="K1071" s="4">
        <v>44412</v>
      </c>
    </row>
    <row r="1072" spans="1:11" x14ac:dyDescent="0.3">
      <c r="A1072" t="s">
        <v>2167</v>
      </c>
      <c r="B1072" s="2" t="s">
        <v>2168</v>
      </c>
      <c r="C1072">
        <v>49</v>
      </c>
      <c r="D1072" s="2" t="s">
        <v>21</v>
      </c>
      <c r="E1072" s="2" t="s">
        <v>14</v>
      </c>
      <c r="F1072" s="2" t="s">
        <v>31</v>
      </c>
      <c r="G1072" s="2" t="s">
        <v>16</v>
      </c>
      <c r="H1072" s="2" t="s">
        <v>18</v>
      </c>
      <c r="I1072" s="2" t="s">
        <v>18</v>
      </c>
      <c r="J1072">
        <v>0.57999999999999996</v>
      </c>
      <c r="K1072" s="4">
        <v>43748</v>
      </c>
    </row>
    <row r="1073" spans="1:11" x14ac:dyDescent="0.3">
      <c r="A1073" t="s">
        <v>2169</v>
      </c>
      <c r="B1073" s="2" t="s">
        <v>2170</v>
      </c>
      <c r="C1073">
        <v>37</v>
      </c>
      <c r="D1073" s="2" t="s">
        <v>13</v>
      </c>
      <c r="E1073" s="2" t="s">
        <v>14</v>
      </c>
      <c r="F1073" s="2" t="s">
        <v>37</v>
      </c>
      <c r="G1073" s="2" t="s">
        <v>24</v>
      </c>
      <c r="H1073" s="2" t="s">
        <v>18</v>
      </c>
      <c r="I1073" s="2" t="s">
        <v>18</v>
      </c>
      <c r="J1073">
        <v>0.43</v>
      </c>
      <c r="K1073" s="4">
        <v>43769</v>
      </c>
    </row>
    <row r="1074" spans="1:11" x14ac:dyDescent="0.3">
      <c r="A1074" t="s">
        <v>2171</v>
      </c>
      <c r="B1074" s="2" t="s">
        <v>2172</v>
      </c>
      <c r="C1074">
        <v>24</v>
      </c>
      <c r="D1074" s="2" t="s">
        <v>13</v>
      </c>
      <c r="E1074" s="2" t="s">
        <v>14</v>
      </c>
      <c r="F1074" s="2" t="s">
        <v>37</v>
      </c>
      <c r="G1074" s="2" t="s">
        <v>66</v>
      </c>
      <c r="H1074" s="2" t="s">
        <v>17</v>
      </c>
      <c r="I1074" s="2" t="s">
        <v>17</v>
      </c>
      <c r="J1074">
        <v>0.7</v>
      </c>
      <c r="K1074" s="4">
        <v>44901</v>
      </c>
    </row>
    <row r="1075" spans="1:11" x14ac:dyDescent="0.3">
      <c r="A1075" t="s">
        <v>2173</v>
      </c>
      <c r="B1075" s="2" t="s">
        <v>2174</v>
      </c>
      <c r="C1075">
        <v>28</v>
      </c>
      <c r="D1075" s="2" t="s">
        <v>13</v>
      </c>
      <c r="E1075" s="2" t="s">
        <v>14</v>
      </c>
      <c r="F1075" s="2" t="s">
        <v>15</v>
      </c>
      <c r="G1075" s="2" t="s">
        <v>32</v>
      </c>
      <c r="H1075" s="2" t="s">
        <v>17</v>
      </c>
      <c r="I1075" s="2" t="s">
        <v>17</v>
      </c>
      <c r="J1075">
        <v>0.52</v>
      </c>
      <c r="K1075" s="4">
        <v>44687</v>
      </c>
    </row>
    <row r="1076" spans="1:11" x14ac:dyDescent="0.3">
      <c r="A1076" t="s">
        <v>2175</v>
      </c>
      <c r="B1076" s="2" t="s">
        <v>2176</v>
      </c>
      <c r="C1076">
        <v>28</v>
      </c>
      <c r="D1076" s="2" t="s">
        <v>21</v>
      </c>
      <c r="E1076" s="2" t="s">
        <v>30</v>
      </c>
      <c r="F1076" s="2" t="s">
        <v>31</v>
      </c>
      <c r="G1076" s="2" t="s">
        <v>16</v>
      </c>
      <c r="H1076" s="2" t="s">
        <v>18</v>
      </c>
      <c r="I1076" s="2" t="s">
        <v>17</v>
      </c>
      <c r="J1076">
        <v>0.41</v>
      </c>
      <c r="K1076" s="4">
        <v>43548</v>
      </c>
    </row>
    <row r="1077" spans="1:11" x14ac:dyDescent="0.3">
      <c r="A1077" t="s">
        <v>2177</v>
      </c>
      <c r="B1077" s="2" t="s">
        <v>2178</v>
      </c>
      <c r="C1077">
        <v>59</v>
      </c>
      <c r="D1077" s="2" t="s">
        <v>13</v>
      </c>
      <c r="E1077" s="2" t="s">
        <v>30</v>
      </c>
      <c r="F1077" s="2" t="s">
        <v>23</v>
      </c>
      <c r="G1077" s="2" t="s">
        <v>32</v>
      </c>
      <c r="H1077" s="2" t="s">
        <v>17</v>
      </c>
      <c r="I1077" s="2" t="s">
        <v>17</v>
      </c>
      <c r="J1077">
        <v>0.11</v>
      </c>
      <c r="K1077" s="4">
        <v>44966</v>
      </c>
    </row>
    <row r="1078" spans="1:11" x14ac:dyDescent="0.3">
      <c r="A1078" t="s">
        <v>2179</v>
      </c>
      <c r="B1078" s="2" t="s">
        <v>2180</v>
      </c>
      <c r="C1078">
        <v>26</v>
      </c>
      <c r="D1078" s="2" t="s">
        <v>13</v>
      </c>
      <c r="E1078" s="2" t="s">
        <v>30</v>
      </c>
      <c r="F1078" s="2" t="s">
        <v>15</v>
      </c>
      <c r="G1078" s="2" t="s">
        <v>16</v>
      </c>
      <c r="H1078" s="2" t="s">
        <v>18</v>
      </c>
      <c r="I1078" s="2" t="s">
        <v>17</v>
      </c>
      <c r="J1078">
        <v>0.76</v>
      </c>
      <c r="K1078" s="4">
        <v>43426</v>
      </c>
    </row>
    <row r="1079" spans="1:11" x14ac:dyDescent="0.3">
      <c r="A1079" t="s">
        <v>2181</v>
      </c>
      <c r="B1079" s="2" t="s">
        <v>2182</v>
      </c>
      <c r="C1079">
        <v>24</v>
      </c>
      <c r="D1079" s="2" t="s">
        <v>21</v>
      </c>
      <c r="E1079" s="2" t="s">
        <v>30</v>
      </c>
      <c r="F1079" s="2" t="s">
        <v>37</v>
      </c>
      <c r="G1079" s="2" t="s">
        <v>24</v>
      </c>
      <c r="H1079" s="2" t="s">
        <v>17</v>
      </c>
      <c r="I1079" s="2" t="s">
        <v>18</v>
      </c>
      <c r="J1079">
        <v>0.11</v>
      </c>
      <c r="K1079" s="4">
        <v>43642</v>
      </c>
    </row>
    <row r="1080" spans="1:11" x14ac:dyDescent="0.3">
      <c r="A1080" t="s">
        <v>2183</v>
      </c>
      <c r="B1080" s="2" t="s">
        <v>2184</v>
      </c>
      <c r="C1080">
        <v>41</v>
      </c>
      <c r="D1080" s="2" t="s">
        <v>13</v>
      </c>
      <c r="E1080" s="2" t="s">
        <v>22</v>
      </c>
      <c r="F1080" s="2" t="s">
        <v>37</v>
      </c>
      <c r="G1080" s="2" t="s">
        <v>24</v>
      </c>
      <c r="H1080" s="2" t="s">
        <v>17</v>
      </c>
      <c r="I1080" s="2" t="s">
        <v>18</v>
      </c>
      <c r="J1080">
        <v>0.59</v>
      </c>
      <c r="K1080" s="4">
        <v>43769</v>
      </c>
    </row>
    <row r="1081" spans="1:11" x14ac:dyDescent="0.3">
      <c r="A1081" t="s">
        <v>2185</v>
      </c>
      <c r="B1081" s="2" t="s">
        <v>2186</v>
      </c>
      <c r="C1081">
        <v>38</v>
      </c>
      <c r="D1081" s="2" t="s">
        <v>21</v>
      </c>
      <c r="E1081" s="2" t="s">
        <v>30</v>
      </c>
      <c r="F1081" s="2" t="s">
        <v>31</v>
      </c>
      <c r="G1081" s="2" t="s">
        <v>81</v>
      </c>
      <c r="H1081" s="2" t="s">
        <v>18</v>
      </c>
      <c r="I1081" s="2" t="s">
        <v>17</v>
      </c>
      <c r="J1081">
        <v>0.56000000000000005</v>
      </c>
      <c r="K1081" s="4">
        <v>44931</v>
      </c>
    </row>
    <row r="1082" spans="1:11" x14ac:dyDescent="0.3">
      <c r="A1082" t="s">
        <v>2187</v>
      </c>
      <c r="B1082" s="2" t="s">
        <v>2188</v>
      </c>
      <c r="C1082">
        <v>26</v>
      </c>
      <c r="D1082" s="2" t="s">
        <v>13</v>
      </c>
      <c r="E1082" s="2" t="s">
        <v>30</v>
      </c>
      <c r="F1082" s="2" t="s">
        <v>23</v>
      </c>
      <c r="G1082" s="2" t="s">
        <v>66</v>
      </c>
      <c r="H1082" s="2" t="s">
        <v>17</v>
      </c>
      <c r="I1082" s="2" t="s">
        <v>18</v>
      </c>
      <c r="J1082">
        <v>0.67</v>
      </c>
      <c r="K1082" s="4">
        <v>44253</v>
      </c>
    </row>
    <row r="1083" spans="1:11" x14ac:dyDescent="0.3">
      <c r="A1083" t="s">
        <v>2189</v>
      </c>
      <c r="B1083" s="2" t="s">
        <v>2190</v>
      </c>
      <c r="C1083">
        <v>60</v>
      </c>
      <c r="D1083" s="2" t="s">
        <v>21</v>
      </c>
      <c r="E1083" s="2" t="s">
        <v>30</v>
      </c>
      <c r="F1083" s="2" t="s">
        <v>15</v>
      </c>
      <c r="G1083" s="2" t="s">
        <v>24</v>
      </c>
      <c r="H1083" s="2" t="s">
        <v>18</v>
      </c>
      <c r="I1083" s="2" t="s">
        <v>17</v>
      </c>
      <c r="J1083">
        <v>0.49</v>
      </c>
      <c r="K1083" s="4">
        <v>43319</v>
      </c>
    </row>
    <row r="1084" spans="1:11" x14ac:dyDescent="0.3">
      <c r="A1084" t="s">
        <v>2191</v>
      </c>
      <c r="B1084" s="2" t="s">
        <v>2192</v>
      </c>
      <c r="C1084">
        <v>69</v>
      </c>
      <c r="D1084" s="2" t="s">
        <v>21</v>
      </c>
      <c r="E1084" s="2" t="s">
        <v>14</v>
      </c>
      <c r="F1084" s="2" t="s">
        <v>37</v>
      </c>
      <c r="G1084" s="2" t="s">
        <v>24</v>
      </c>
      <c r="H1084" s="2" t="s">
        <v>17</v>
      </c>
      <c r="I1084" s="2" t="s">
        <v>17</v>
      </c>
      <c r="J1084">
        <v>0.27</v>
      </c>
      <c r="K1084" s="4">
        <v>43717</v>
      </c>
    </row>
    <row r="1085" spans="1:11" x14ac:dyDescent="0.3">
      <c r="A1085" t="s">
        <v>2193</v>
      </c>
      <c r="B1085" s="2" t="s">
        <v>2194</v>
      </c>
      <c r="C1085">
        <v>34</v>
      </c>
      <c r="D1085" s="2" t="s">
        <v>21</v>
      </c>
      <c r="E1085" s="2" t="s">
        <v>30</v>
      </c>
      <c r="F1085" s="2" t="s">
        <v>23</v>
      </c>
      <c r="G1085" s="2" t="s">
        <v>81</v>
      </c>
      <c r="H1085" s="2" t="s">
        <v>18</v>
      </c>
      <c r="I1085" s="2" t="s">
        <v>18</v>
      </c>
      <c r="J1085">
        <v>0.59</v>
      </c>
      <c r="K1085" s="4">
        <v>44135</v>
      </c>
    </row>
    <row r="1086" spans="1:11" x14ac:dyDescent="0.3">
      <c r="A1086" t="s">
        <v>2195</v>
      </c>
      <c r="B1086" s="2" t="s">
        <v>2196</v>
      </c>
      <c r="C1086">
        <v>31</v>
      </c>
      <c r="D1086" s="2" t="s">
        <v>21</v>
      </c>
      <c r="E1086" s="2" t="s">
        <v>14</v>
      </c>
      <c r="F1086" s="2" t="s">
        <v>31</v>
      </c>
      <c r="G1086" s="2" t="s">
        <v>16</v>
      </c>
      <c r="H1086" s="2" t="s">
        <v>18</v>
      </c>
      <c r="I1086" s="2" t="s">
        <v>18</v>
      </c>
      <c r="J1086">
        <v>0.44</v>
      </c>
      <c r="K1086" s="4">
        <v>44036</v>
      </c>
    </row>
    <row r="1087" spans="1:11" x14ac:dyDescent="0.3">
      <c r="A1087" t="s">
        <v>2197</v>
      </c>
      <c r="B1087" s="2" t="s">
        <v>2198</v>
      </c>
      <c r="C1087">
        <v>30</v>
      </c>
      <c r="D1087" s="2" t="s">
        <v>21</v>
      </c>
      <c r="E1087" s="2" t="s">
        <v>30</v>
      </c>
      <c r="F1087" s="2" t="s">
        <v>23</v>
      </c>
      <c r="G1087" s="2" t="s">
        <v>66</v>
      </c>
      <c r="H1087" s="2" t="s">
        <v>17</v>
      </c>
      <c r="I1087" s="2" t="s">
        <v>17</v>
      </c>
      <c r="J1087">
        <v>0.59</v>
      </c>
      <c r="K1087" s="4">
        <v>43221</v>
      </c>
    </row>
    <row r="1088" spans="1:11" x14ac:dyDescent="0.3">
      <c r="A1088" t="s">
        <v>2199</v>
      </c>
      <c r="B1088" s="2" t="s">
        <v>2200</v>
      </c>
      <c r="C1088">
        <v>62</v>
      </c>
      <c r="D1088" s="2" t="s">
        <v>13</v>
      </c>
      <c r="E1088" s="2" t="s">
        <v>14</v>
      </c>
      <c r="F1088" s="2" t="s">
        <v>31</v>
      </c>
      <c r="G1088" s="2" t="s">
        <v>81</v>
      </c>
      <c r="H1088" s="2" t="s">
        <v>18</v>
      </c>
      <c r="I1088" s="2" t="s">
        <v>17</v>
      </c>
      <c r="J1088">
        <v>0.1</v>
      </c>
      <c r="K1088" s="4">
        <v>44713</v>
      </c>
    </row>
    <row r="1089" spans="1:11" x14ac:dyDescent="0.3">
      <c r="A1089" t="s">
        <v>2201</v>
      </c>
      <c r="B1089" s="2" t="s">
        <v>2202</v>
      </c>
      <c r="C1089">
        <v>47</v>
      </c>
      <c r="D1089" s="2" t="s">
        <v>21</v>
      </c>
      <c r="E1089" s="2" t="s">
        <v>22</v>
      </c>
      <c r="F1089" s="2" t="s">
        <v>15</v>
      </c>
      <c r="G1089" s="2" t="s">
        <v>66</v>
      </c>
      <c r="H1089" s="2" t="s">
        <v>17</v>
      </c>
      <c r="I1089" s="2" t="s">
        <v>17</v>
      </c>
      <c r="J1089">
        <v>0.55000000000000004</v>
      </c>
      <c r="K1089" s="4">
        <v>44103</v>
      </c>
    </row>
    <row r="1090" spans="1:11" x14ac:dyDescent="0.3">
      <c r="A1090" t="s">
        <v>2203</v>
      </c>
      <c r="B1090" s="2" t="s">
        <v>2204</v>
      </c>
      <c r="C1090">
        <v>46</v>
      </c>
      <c r="D1090" s="2" t="s">
        <v>13</v>
      </c>
      <c r="E1090" s="2" t="s">
        <v>30</v>
      </c>
      <c r="F1090" s="2" t="s">
        <v>15</v>
      </c>
      <c r="G1090" s="2" t="s">
        <v>27</v>
      </c>
      <c r="H1090" s="2" t="s">
        <v>17</v>
      </c>
      <c r="I1090" s="2" t="s">
        <v>18</v>
      </c>
      <c r="J1090">
        <v>0.61</v>
      </c>
      <c r="K1090" s="4">
        <v>44765</v>
      </c>
    </row>
    <row r="1091" spans="1:11" x14ac:dyDescent="0.3">
      <c r="A1091" t="s">
        <v>2205</v>
      </c>
      <c r="B1091" s="2" t="s">
        <v>2206</v>
      </c>
      <c r="C1091">
        <v>61</v>
      </c>
      <c r="D1091" s="2" t="s">
        <v>21</v>
      </c>
      <c r="E1091" s="2" t="s">
        <v>22</v>
      </c>
      <c r="F1091" s="2" t="s">
        <v>15</v>
      </c>
      <c r="G1091" s="2" t="s">
        <v>66</v>
      </c>
      <c r="H1091" s="2" t="s">
        <v>17</v>
      </c>
      <c r="I1091" s="2" t="s">
        <v>18</v>
      </c>
      <c r="J1091">
        <v>0.59</v>
      </c>
      <c r="K1091" s="4">
        <v>44754</v>
      </c>
    </row>
    <row r="1092" spans="1:11" x14ac:dyDescent="0.3">
      <c r="A1092" t="s">
        <v>2207</v>
      </c>
      <c r="B1092" s="2" t="s">
        <v>2208</v>
      </c>
      <c r="C1092">
        <v>39</v>
      </c>
      <c r="D1092" s="2" t="s">
        <v>13</v>
      </c>
      <c r="E1092" s="2" t="s">
        <v>14</v>
      </c>
      <c r="F1092" s="2" t="s">
        <v>15</v>
      </c>
      <c r="G1092" s="2" t="s">
        <v>32</v>
      </c>
      <c r="H1092" s="2" t="s">
        <v>18</v>
      </c>
      <c r="I1092" s="2" t="s">
        <v>18</v>
      </c>
      <c r="J1092">
        <v>0.59</v>
      </c>
      <c r="K1092" s="4">
        <v>43143</v>
      </c>
    </row>
    <row r="1093" spans="1:11" x14ac:dyDescent="0.3">
      <c r="A1093" t="s">
        <v>2209</v>
      </c>
      <c r="B1093" s="2" t="s">
        <v>2210</v>
      </c>
      <c r="C1093">
        <v>46</v>
      </c>
      <c r="D1093" s="2" t="s">
        <v>13</v>
      </c>
      <c r="E1093" s="2" t="s">
        <v>14</v>
      </c>
      <c r="F1093" s="2" t="s">
        <v>15</v>
      </c>
      <c r="G1093" s="2" t="s">
        <v>32</v>
      </c>
      <c r="H1093" s="2" t="s">
        <v>17</v>
      </c>
      <c r="I1093" s="2" t="s">
        <v>17</v>
      </c>
      <c r="J1093">
        <v>0.5</v>
      </c>
      <c r="K1093" s="4">
        <v>44342</v>
      </c>
    </row>
    <row r="1094" spans="1:11" x14ac:dyDescent="0.3">
      <c r="A1094" t="s">
        <v>2211</v>
      </c>
      <c r="B1094" s="2" t="s">
        <v>2212</v>
      </c>
      <c r="C1094">
        <v>34</v>
      </c>
      <c r="D1094" s="2" t="s">
        <v>13</v>
      </c>
      <c r="E1094" s="2" t="s">
        <v>22</v>
      </c>
      <c r="F1094" s="2" t="s">
        <v>37</v>
      </c>
      <c r="G1094" s="2" t="s">
        <v>16</v>
      </c>
      <c r="H1094" s="2" t="s">
        <v>17</v>
      </c>
      <c r="I1094" s="2" t="s">
        <v>17</v>
      </c>
      <c r="J1094">
        <v>0.78</v>
      </c>
      <c r="K1094" s="4">
        <v>44234</v>
      </c>
    </row>
    <row r="1095" spans="1:11" x14ac:dyDescent="0.3">
      <c r="A1095" t="s">
        <v>2213</v>
      </c>
      <c r="B1095" s="2" t="s">
        <v>2214</v>
      </c>
      <c r="C1095">
        <v>39</v>
      </c>
      <c r="D1095" s="2" t="s">
        <v>21</v>
      </c>
      <c r="E1095" s="2" t="s">
        <v>14</v>
      </c>
      <c r="F1095" s="2" t="s">
        <v>37</v>
      </c>
      <c r="G1095" s="2" t="s">
        <v>81</v>
      </c>
      <c r="H1095" s="2" t="s">
        <v>17</v>
      </c>
      <c r="I1095" s="2" t="s">
        <v>17</v>
      </c>
      <c r="J1095">
        <v>0.52</v>
      </c>
      <c r="K1095" s="4">
        <v>43523</v>
      </c>
    </row>
    <row r="1096" spans="1:11" x14ac:dyDescent="0.3">
      <c r="A1096" t="s">
        <v>2215</v>
      </c>
      <c r="B1096" s="2" t="s">
        <v>2216</v>
      </c>
      <c r="C1096">
        <v>54</v>
      </c>
      <c r="D1096" s="2" t="s">
        <v>13</v>
      </c>
      <c r="E1096" s="2" t="s">
        <v>14</v>
      </c>
      <c r="F1096" s="2" t="s">
        <v>15</v>
      </c>
      <c r="G1096" s="2" t="s">
        <v>16</v>
      </c>
      <c r="H1096" s="2" t="s">
        <v>18</v>
      </c>
      <c r="I1096" s="2" t="s">
        <v>18</v>
      </c>
      <c r="J1096">
        <v>0.32</v>
      </c>
      <c r="K1096" s="4">
        <v>43229</v>
      </c>
    </row>
    <row r="1097" spans="1:11" x14ac:dyDescent="0.3">
      <c r="A1097" t="s">
        <v>2217</v>
      </c>
      <c r="B1097" s="2" t="s">
        <v>2218</v>
      </c>
      <c r="C1097">
        <v>40</v>
      </c>
      <c r="D1097" s="2" t="s">
        <v>21</v>
      </c>
      <c r="E1097" s="2" t="s">
        <v>22</v>
      </c>
      <c r="F1097" s="2" t="s">
        <v>15</v>
      </c>
      <c r="G1097" s="2" t="s">
        <v>81</v>
      </c>
      <c r="H1097" s="2" t="s">
        <v>18</v>
      </c>
      <c r="I1097" s="2" t="s">
        <v>18</v>
      </c>
      <c r="J1097">
        <v>0</v>
      </c>
      <c r="K1097" s="4">
        <v>43427</v>
      </c>
    </row>
    <row r="1098" spans="1:11" x14ac:dyDescent="0.3">
      <c r="A1098" t="s">
        <v>2219</v>
      </c>
      <c r="B1098" s="2" t="s">
        <v>2220</v>
      </c>
      <c r="C1098">
        <v>60</v>
      </c>
      <c r="D1098" s="2" t="s">
        <v>13</v>
      </c>
      <c r="E1098" s="2" t="s">
        <v>14</v>
      </c>
      <c r="F1098" s="2" t="s">
        <v>31</v>
      </c>
      <c r="G1098" s="2" t="s">
        <v>27</v>
      </c>
      <c r="H1098" s="2" t="s">
        <v>17</v>
      </c>
      <c r="I1098" s="2" t="s">
        <v>18</v>
      </c>
      <c r="J1098">
        <v>0.65</v>
      </c>
      <c r="K1098" s="4">
        <v>44331</v>
      </c>
    </row>
    <row r="1099" spans="1:11" x14ac:dyDescent="0.3">
      <c r="A1099" t="s">
        <v>2221</v>
      </c>
      <c r="B1099" s="2" t="s">
        <v>2222</v>
      </c>
      <c r="C1099">
        <v>57</v>
      </c>
      <c r="D1099" s="2" t="s">
        <v>21</v>
      </c>
      <c r="E1099" s="2" t="s">
        <v>22</v>
      </c>
      <c r="F1099" s="2" t="s">
        <v>31</v>
      </c>
      <c r="G1099" s="2" t="s">
        <v>16</v>
      </c>
      <c r="H1099" s="2" t="s">
        <v>17</v>
      </c>
      <c r="I1099" s="2" t="s">
        <v>17</v>
      </c>
      <c r="J1099">
        <v>0.51</v>
      </c>
      <c r="K1099" s="4">
        <v>43482</v>
      </c>
    </row>
    <row r="1100" spans="1:11" x14ac:dyDescent="0.3">
      <c r="A1100" t="s">
        <v>2223</v>
      </c>
      <c r="B1100" s="2" t="s">
        <v>2224</v>
      </c>
      <c r="C1100">
        <v>51</v>
      </c>
      <c r="D1100" s="2" t="s">
        <v>13</v>
      </c>
      <c r="E1100" s="2" t="s">
        <v>30</v>
      </c>
      <c r="F1100" s="2" t="s">
        <v>15</v>
      </c>
      <c r="G1100" s="2" t="s">
        <v>66</v>
      </c>
      <c r="H1100" s="2" t="s">
        <v>18</v>
      </c>
      <c r="I1100" s="2" t="s">
        <v>18</v>
      </c>
      <c r="J1100">
        <v>0.62</v>
      </c>
      <c r="K1100" s="4">
        <v>44027</v>
      </c>
    </row>
    <row r="1101" spans="1:11" x14ac:dyDescent="0.3">
      <c r="A1101" t="s">
        <v>2225</v>
      </c>
      <c r="B1101" s="2" t="s">
        <v>2226</v>
      </c>
      <c r="C1101">
        <v>59</v>
      </c>
      <c r="D1101" s="2" t="s">
        <v>13</v>
      </c>
      <c r="E1101" s="2" t="s">
        <v>30</v>
      </c>
      <c r="F1101" s="2" t="s">
        <v>15</v>
      </c>
      <c r="G1101" s="2" t="s">
        <v>81</v>
      </c>
      <c r="H1101" s="2" t="s">
        <v>17</v>
      </c>
      <c r="I1101" s="2" t="s">
        <v>18</v>
      </c>
      <c r="J1101">
        <v>0.57999999999999996</v>
      </c>
      <c r="K1101" s="4">
        <v>43182</v>
      </c>
    </row>
    <row r="1102" spans="1:11" x14ac:dyDescent="0.3">
      <c r="A1102" t="s">
        <v>2227</v>
      </c>
      <c r="B1102" s="2" t="s">
        <v>2228</v>
      </c>
      <c r="C1102">
        <v>41</v>
      </c>
      <c r="D1102" s="2" t="s">
        <v>21</v>
      </c>
      <c r="E1102" s="2" t="s">
        <v>14</v>
      </c>
      <c r="F1102" s="2" t="s">
        <v>15</v>
      </c>
      <c r="G1102" s="2" t="s">
        <v>66</v>
      </c>
      <c r="H1102" s="2" t="s">
        <v>18</v>
      </c>
      <c r="I1102" s="2" t="s">
        <v>17</v>
      </c>
      <c r="J1102">
        <v>0.52</v>
      </c>
      <c r="K1102" s="4">
        <v>43318</v>
      </c>
    </row>
    <row r="1103" spans="1:11" x14ac:dyDescent="0.3">
      <c r="A1103" t="s">
        <v>2229</v>
      </c>
      <c r="B1103" s="2" t="s">
        <v>2230</v>
      </c>
      <c r="C1103">
        <v>62</v>
      </c>
      <c r="D1103" s="2" t="s">
        <v>21</v>
      </c>
      <c r="E1103" s="2" t="s">
        <v>14</v>
      </c>
      <c r="F1103" s="2" t="s">
        <v>15</v>
      </c>
      <c r="G1103" s="2" t="s">
        <v>32</v>
      </c>
      <c r="H1103" s="2" t="s">
        <v>18</v>
      </c>
      <c r="I1103" s="2" t="s">
        <v>17</v>
      </c>
      <c r="J1103">
        <v>0.49</v>
      </c>
      <c r="K1103" s="4">
        <v>44610</v>
      </c>
    </row>
    <row r="1104" spans="1:11" x14ac:dyDescent="0.3">
      <c r="A1104" t="s">
        <v>2231</v>
      </c>
      <c r="B1104" s="2" t="s">
        <v>2232</v>
      </c>
      <c r="C1104">
        <v>36</v>
      </c>
      <c r="D1104" s="2" t="s">
        <v>13</v>
      </c>
      <c r="E1104" s="2" t="s">
        <v>14</v>
      </c>
      <c r="F1104" s="2" t="s">
        <v>37</v>
      </c>
      <c r="G1104" s="2" t="s">
        <v>66</v>
      </c>
      <c r="H1104" s="2" t="s">
        <v>17</v>
      </c>
      <c r="I1104" s="2" t="s">
        <v>17</v>
      </c>
      <c r="J1104">
        <v>0.44</v>
      </c>
      <c r="K1104" s="4">
        <v>44583</v>
      </c>
    </row>
    <row r="1105" spans="1:11" x14ac:dyDescent="0.3">
      <c r="A1105" t="s">
        <v>2233</v>
      </c>
      <c r="B1105" s="2" t="s">
        <v>2234</v>
      </c>
      <c r="C1105">
        <v>55</v>
      </c>
      <c r="D1105" s="2" t="s">
        <v>21</v>
      </c>
      <c r="E1105" s="2" t="s">
        <v>30</v>
      </c>
      <c r="F1105" s="2" t="s">
        <v>23</v>
      </c>
      <c r="G1105" s="2" t="s">
        <v>32</v>
      </c>
      <c r="H1105" s="2" t="s">
        <v>18</v>
      </c>
      <c r="I1105" s="2" t="s">
        <v>18</v>
      </c>
      <c r="J1105">
        <v>0.47</v>
      </c>
      <c r="K1105" s="4">
        <v>44249</v>
      </c>
    </row>
    <row r="1106" spans="1:11" x14ac:dyDescent="0.3">
      <c r="A1106" t="s">
        <v>2235</v>
      </c>
      <c r="B1106" s="2" t="s">
        <v>2236</v>
      </c>
      <c r="C1106">
        <v>23</v>
      </c>
      <c r="D1106" s="2" t="s">
        <v>21</v>
      </c>
      <c r="E1106" s="2" t="s">
        <v>30</v>
      </c>
      <c r="F1106" s="2" t="s">
        <v>31</v>
      </c>
      <c r="G1106" s="2" t="s">
        <v>16</v>
      </c>
      <c r="H1106" s="2" t="s">
        <v>17</v>
      </c>
      <c r="I1106" s="2" t="s">
        <v>17</v>
      </c>
      <c r="J1106">
        <v>0.48</v>
      </c>
      <c r="K1106" s="4">
        <v>43313</v>
      </c>
    </row>
    <row r="1107" spans="1:11" x14ac:dyDescent="0.3">
      <c r="A1107" t="s">
        <v>2237</v>
      </c>
      <c r="B1107" s="2" t="s">
        <v>2238</v>
      </c>
      <c r="C1107">
        <v>36</v>
      </c>
      <c r="D1107" s="2" t="s">
        <v>21</v>
      </c>
      <c r="E1107" s="2" t="s">
        <v>14</v>
      </c>
      <c r="F1107" s="2" t="s">
        <v>37</v>
      </c>
      <c r="G1107" s="2" t="s">
        <v>66</v>
      </c>
      <c r="H1107" s="2" t="s">
        <v>17</v>
      </c>
      <c r="I1107" s="2" t="s">
        <v>18</v>
      </c>
      <c r="J1107">
        <v>0.56999999999999995</v>
      </c>
      <c r="K1107" s="4">
        <v>44505</v>
      </c>
    </row>
    <row r="1108" spans="1:11" x14ac:dyDescent="0.3">
      <c r="A1108" t="s">
        <v>2239</v>
      </c>
      <c r="B1108" s="2" t="s">
        <v>2240</v>
      </c>
      <c r="C1108">
        <v>48</v>
      </c>
      <c r="D1108" s="2" t="s">
        <v>13</v>
      </c>
      <c r="E1108" s="2" t="s">
        <v>14</v>
      </c>
      <c r="F1108" s="2" t="s">
        <v>37</v>
      </c>
      <c r="G1108" s="2" t="s">
        <v>66</v>
      </c>
      <c r="H1108" s="2" t="s">
        <v>17</v>
      </c>
      <c r="I1108" s="2" t="s">
        <v>17</v>
      </c>
      <c r="J1108">
        <v>0.66</v>
      </c>
      <c r="K1108" s="4">
        <v>43399</v>
      </c>
    </row>
    <row r="1109" spans="1:11" x14ac:dyDescent="0.3">
      <c r="A1109" t="s">
        <v>2241</v>
      </c>
      <c r="B1109" s="2" t="s">
        <v>2242</v>
      </c>
      <c r="C1109">
        <v>64</v>
      </c>
      <c r="D1109" s="2" t="s">
        <v>13</v>
      </c>
      <c r="E1109" s="2" t="s">
        <v>22</v>
      </c>
      <c r="F1109" s="2" t="s">
        <v>37</v>
      </c>
      <c r="G1109" s="2" t="s">
        <v>27</v>
      </c>
      <c r="H1109" s="2" t="s">
        <v>17</v>
      </c>
      <c r="I1109" s="2" t="s">
        <v>17</v>
      </c>
      <c r="J1109">
        <v>0.08</v>
      </c>
      <c r="K1109" s="4">
        <v>43462</v>
      </c>
    </row>
    <row r="1110" spans="1:11" x14ac:dyDescent="0.3">
      <c r="A1110" t="s">
        <v>2243</v>
      </c>
      <c r="B1110" s="2" t="s">
        <v>2244</v>
      </c>
      <c r="C1110">
        <v>22</v>
      </c>
      <c r="D1110" s="2" t="s">
        <v>21</v>
      </c>
      <c r="E1110" s="2" t="s">
        <v>14</v>
      </c>
      <c r="F1110" s="2" t="s">
        <v>37</v>
      </c>
      <c r="G1110" s="2" t="s">
        <v>66</v>
      </c>
      <c r="H1110" s="2" t="s">
        <v>18</v>
      </c>
      <c r="I1110" s="2" t="s">
        <v>17</v>
      </c>
      <c r="J1110">
        <v>0.36</v>
      </c>
      <c r="K1110" s="4">
        <v>43313</v>
      </c>
    </row>
    <row r="1111" spans="1:11" x14ac:dyDescent="0.3">
      <c r="A1111" t="s">
        <v>2245</v>
      </c>
      <c r="B1111" s="2" t="s">
        <v>2246</v>
      </c>
      <c r="C1111">
        <v>45</v>
      </c>
      <c r="D1111" s="2" t="s">
        <v>21</v>
      </c>
      <c r="E1111" s="2" t="s">
        <v>22</v>
      </c>
      <c r="F1111" s="2" t="s">
        <v>37</v>
      </c>
      <c r="G1111" s="2" t="s">
        <v>24</v>
      </c>
      <c r="H1111" s="2" t="s">
        <v>17</v>
      </c>
      <c r="I1111" s="2" t="s">
        <v>17</v>
      </c>
      <c r="J1111">
        <v>0.81</v>
      </c>
      <c r="K1111" s="4">
        <v>43420</v>
      </c>
    </row>
    <row r="1112" spans="1:11" x14ac:dyDescent="0.3">
      <c r="A1112" t="s">
        <v>2247</v>
      </c>
      <c r="B1112" s="2" t="s">
        <v>2248</v>
      </c>
      <c r="C1112">
        <v>50</v>
      </c>
      <c r="D1112" s="2" t="s">
        <v>13</v>
      </c>
      <c r="E1112" s="2" t="s">
        <v>14</v>
      </c>
      <c r="F1112" s="2" t="s">
        <v>15</v>
      </c>
      <c r="G1112" s="2" t="s">
        <v>81</v>
      </c>
      <c r="H1112" s="2" t="s">
        <v>18</v>
      </c>
      <c r="I1112" s="2" t="s">
        <v>17</v>
      </c>
      <c r="J1112">
        <v>0.5</v>
      </c>
      <c r="K1112" s="4">
        <v>43546</v>
      </c>
    </row>
    <row r="1113" spans="1:11" x14ac:dyDescent="0.3">
      <c r="A1113" t="s">
        <v>2249</v>
      </c>
      <c r="B1113" s="2" t="s">
        <v>2250</v>
      </c>
      <c r="C1113">
        <v>46</v>
      </c>
      <c r="D1113" s="2" t="s">
        <v>13</v>
      </c>
      <c r="E1113" s="2" t="s">
        <v>22</v>
      </c>
      <c r="F1113" s="2" t="s">
        <v>37</v>
      </c>
      <c r="G1113" s="2" t="s">
        <v>81</v>
      </c>
      <c r="H1113" s="2" t="s">
        <v>17</v>
      </c>
      <c r="I1113" s="2" t="s">
        <v>18</v>
      </c>
      <c r="J1113">
        <v>0.76</v>
      </c>
      <c r="K1113" s="4">
        <v>44901</v>
      </c>
    </row>
    <row r="1114" spans="1:11" x14ac:dyDescent="0.3">
      <c r="A1114" t="s">
        <v>2251</v>
      </c>
      <c r="B1114" s="2" t="s">
        <v>2252</v>
      </c>
      <c r="C1114">
        <v>59</v>
      </c>
      <c r="D1114" s="2" t="s">
        <v>13</v>
      </c>
      <c r="E1114" s="2" t="s">
        <v>30</v>
      </c>
      <c r="F1114" s="2" t="s">
        <v>31</v>
      </c>
      <c r="G1114" s="2" t="s">
        <v>27</v>
      </c>
      <c r="H1114" s="2" t="s">
        <v>18</v>
      </c>
      <c r="I1114" s="2" t="s">
        <v>18</v>
      </c>
      <c r="J1114">
        <v>0.48</v>
      </c>
      <c r="K1114" s="4">
        <v>44393</v>
      </c>
    </row>
    <row r="1115" spans="1:11" x14ac:dyDescent="0.3">
      <c r="A1115" t="s">
        <v>2253</v>
      </c>
      <c r="B1115" s="2" t="s">
        <v>2254</v>
      </c>
      <c r="C1115">
        <v>65</v>
      </c>
      <c r="D1115" s="2" t="s">
        <v>13</v>
      </c>
      <c r="E1115" s="2" t="s">
        <v>22</v>
      </c>
      <c r="F1115" s="2" t="s">
        <v>37</v>
      </c>
      <c r="G1115" s="2" t="s">
        <v>24</v>
      </c>
      <c r="H1115" s="2" t="s">
        <v>18</v>
      </c>
      <c r="I1115" s="2" t="s">
        <v>18</v>
      </c>
      <c r="J1115">
        <v>0.45</v>
      </c>
      <c r="K1115" s="4">
        <v>43776</v>
      </c>
    </row>
    <row r="1116" spans="1:11" x14ac:dyDescent="0.3">
      <c r="A1116" t="s">
        <v>2255</v>
      </c>
      <c r="B1116" s="2" t="s">
        <v>2256</v>
      </c>
      <c r="C1116">
        <v>66</v>
      </c>
      <c r="D1116" s="2" t="s">
        <v>13</v>
      </c>
      <c r="E1116" s="2" t="s">
        <v>14</v>
      </c>
      <c r="F1116" s="2" t="s">
        <v>37</v>
      </c>
      <c r="G1116" s="2" t="s">
        <v>27</v>
      </c>
      <c r="H1116" s="2" t="s">
        <v>17</v>
      </c>
      <c r="I1116" s="2" t="s">
        <v>17</v>
      </c>
      <c r="J1116">
        <v>0.54</v>
      </c>
      <c r="K1116" s="4">
        <v>44096</v>
      </c>
    </row>
    <row r="1117" spans="1:11" x14ac:dyDescent="0.3">
      <c r="A1117" t="s">
        <v>2257</v>
      </c>
      <c r="B1117" s="2" t="s">
        <v>2258</v>
      </c>
      <c r="C1117">
        <v>55</v>
      </c>
      <c r="D1117" s="2" t="s">
        <v>13</v>
      </c>
      <c r="E1117" s="2" t="s">
        <v>30</v>
      </c>
      <c r="F1117" s="2" t="s">
        <v>37</v>
      </c>
      <c r="G1117" s="2" t="s">
        <v>66</v>
      </c>
      <c r="H1117" s="2" t="s">
        <v>17</v>
      </c>
      <c r="I1117" s="2" t="s">
        <v>17</v>
      </c>
      <c r="J1117">
        <v>0.54</v>
      </c>
      <c r="K1117" s="4">
        <v>44668</v>
      </c>
    </row>
    <row r="1118" spans="1:11" x14ac:dyDescent="0.3">
      <c r="A1118" t="s">
        <v>2259</v>
      </c>
      <c r="B1118" s="2" t="s">
        <v>2260</v>
      </c>
      <c r="C1118">
        <v>64</v>
      </c>
      <c r="D1118" s="2" t="s">
        <v>21</v>
      </c>
      <c r="E1118" s="2" t="s">
        <v>22</v>
      </c>
      <c r="F1118" s="2" t="s">
        <v>15</v>
      </c>
      <c r="G1118" s="2" t="s">
        <v>81</v>
      </c>
      <c r="H1118" s="2" t="s">
        <v>18</v>
      </c>
      <c r="I1118" s="2" t="s">
        <v>18</v>
      </c>
      <c r="J1118">
        <v>0.48</v>
      </c>
      <c r="K1118" s="4">
        <v>44096</v>
      </c>
    </row>
    <row r="1119" spans="1:11" x14ac:dyDescent="0.3">
      <c r="A1119" t="s">
        <v>2261</v>
      </c>
      <c r="B1119" s="2" t="s">
        <v>2262</v>
      </c>
      <c r="C1119">
        <v>62</v>
      </c>
      <c r="D1119" s="2" t="s">
        <v>21</v>
      </c>
      <c r="E1119" s="2" t="s">
        <v>14</v>
      </c>
      <c r="F1119" s="2" t="s">
        <v>23</v>
      </c>
      <c r="G1119" s="2" t="s">
        <v>27</v>
      </c>
      <c r="H1119" s="2" t="s">
        <v>17</v>
      </c>
      <c r="I1119" s="2" t="s">
        <v>18</v>
      </c>
      <c r="J1119">
        <v>0.51</v>
      </c>
      <c r="K1119" s="4">
        <v>45167</v>
      </c>
    </row>
    <row r="1120" spans="1:11" x14ac:dyDescent="0.3">
      <c r="A1120" t="s">
        <v>2263</v>
      </c>
      <c r="B1120" s="2" t="s">
        <v>2264</v>
      </c>
      <c r="C1120">
        <v>49</v>
      </c>
      <c r="D1120" s="2" t="s">
        <v>21</v>
      </c>
      <c r="E1120" s="2" t="s">
        <v>30</v>
      </c>
      <c r="F1120" s="2" t="s">
        <v>15</v>
      </c>
      <c r="G1120" s="2" t="s">
        <v>81</v>
      </c>
      <c r="H1120" s="2" t="s">
        <v>18</v>
      </c>
      <c r="I1120" s="2" t="s">
        <v>18</v>
      </c>
      <c r="J1120">
        <v>0.69</v>
      </c>
      <c r="K1120" s="4">
        <v>44494</v>
      </c>
    </row>
    <row r="1121" spans="1:11" x14ac:dyDescent="0.3">
      <c r="A1121" t="s">
        <v>2265</v>
      </c>
      <c r="B1121" s="2" t="s">
        <v>2266</v>
      </c>
      <c r="C1121">
        <v>57</v>
      </c>
      <c r="D1121" s="2" t="s">
        <v>21</v>
      </c>
      <c r="E1121" s="2" t="s">
        <v>14</v>
      </c>
      <c r="F1121" s="2" t="s">
        <v>31</v>
      </c>
      <c r="G1121" s="2" t="s">
        <v>81</v>
      </c>
      <c r="H1121" s="2" t="s">
        <v>17</v>
      </c>
      <c r="I1121" s="2" t="s">
        <v>18</v>
      </c>
      <c r="J1121">
        <v>0.37</v>
      </c>
      <c r="K1121" s="4">
        <v>43150</v>
      </c>
    </row>
    <row r="1122" spans="1:11" x14ac:dyDescent="0.3">
      <c r="A1122" t="s">
        <v>2267</v>
      </c>
      <c r="B1122" s="2" t="s">
        <v>2268</v>
      </c>
      <c r="C1122">
        <v>69</v>
      </c>
      <c r="D1122" s="2" t="s">
        <v>13</v>
      </c>
      <c r="E1122" s="2" t="s">
        <v>22</v>
      </c>
      <c r="F1122" s="2" t="s">
        <v>15</v>
      </c>
      <c r="G1122" s="2" t="s">
        <v>24</v>
      </c>
      <c r="H1122" s="2" t="s">
        <v>17</v>
      </c>
      <c r="I1122" s="2" t="s">
        <v>17</v>
      </c>
      <c r="J1122">
        <v>0.28999999999999998</v>
      </c>
      <c r="K1122" s="4">
        <v>43173</v>
      </c>
    </row>
    <row r="1123" spans="1:11" x14ac:dyDescent="0.3">
      <c r="A1123" t="s">
        <v>2269</v>
      </c>
      <c r="B1123" s="2" t="s">
        <v>2270</v>
      </c>
      <c r="C1123">
        <v>25</v>
      </c>
      <c r="D1123" s="2" t="s">
        <v>21</v>
      </c>
      <c r="E1123" s="2" t="s">
        <v>30</v>
      </c>
      <c r="F1123" s="2" t="s">
        <v>37</v>
      </c>
      <c r="G1123" s="2" t="s">
        <v>16</v>
      </c>
      <c r="H1123" s="2" t="s">
        <v>18</v>
      </c>
      <c r="I1123" s="2" t="s">
        <v>17</v>
      </c>
      <c r="J1123">
        <v>0.59</v>
      </c>
      <c r="K1123" s="4">
        <v>44645</v>
      </c>
    </row>
    <row r="1124" spans="1:11" x14ac:dyDescent="0.3">
      <c r="A1124" t="s">
        <v>2271</v>
      </c>
      <c r="B1124" s="2" t="s">
        <v>2272</v>
      </c>
      <c r="C1124">
        <v>65</v>
      </c>
      <c r="D1124" s="2" t="s">
        <v>21</v>
      </c>
      <c r="E1124" s="2" t="s">
        <v>30</v>
      </c>
      <c r="F1124" s="2" t="s">
        <v>15</v>
      </c>
      <c r="G1124" s="2" t="s">
        <v>24</v>
      </c>
      <c r="H1124" s="2" t="s">
        <v>18</v>
      </c>
      <c r="I1124" s="2" t="s">
        <v>18</v>
      </c>
      <c r="J1124">
        <v>0.39</v>
      </c>
      <c r="K1124" s="4">
        <v>43642</v>
      </c>
    </row>
    <row r="1125" spans="1:11" x14ac:dyDescent="0.3">
      <c r="A1125" t="s">
        <v>2273</v>
      </c>
      <c r="B1125" s="2" t="s">
        <v>2274</v>
      </c>
      <c r="C1125">
        <v>39</v>
      </c>
      <c r="D1125" s="2" t="s">
        <v>13</v>
      </c>
      <c r="E1125" s="2" t="s">
        <v>30</v>
      </c>
      <c r="F1125" s="2" t="s">
        <v>37</v>
      </c>
      <c r="G1125" s="2" t="s">
        <v>66</v>
      </c>
      <c r="H1125" s="2" t="s">
        <v>18</v>
      </c>
      <c r="I1125" s="2" t="s">
        <v>18</v>
      </c>
      <c r="J1125">
        <v>0.72</v>
      </c>
      <c r="K1125" s="4">
        <v>44133</v>
      </c>
    </row>
    <row r="1126" spans="1:11" x14ac:dyDescent="0.3">
      <c r="A1126" t="s">
        <v>2275</v>
      </c>
      <c r="B1126" s="2" t="s">
        <v>2276</v>
      </c>
      <c r="C1126">
        <v>64</v>
      </c>
      <c r="D1126" s="2" t="s">
        <v>21</v>
      </c>
      <c r="E1126" s="2" t="s">
        <v>22</v>
      </c>
      <c r="F1126" s="2" t="s">
        <v>23</v>
      </c>
      <c r="G1126" s="2" t="s">
        <v>16</v>
      </c>
      <c r="H1126" s="2" t="s">
        <v>17</v>
      </c>
      <c r="I1126" s="2" t="s">
        <v>18</v>
      </c>
      <c r="J1126">
        <v>0.55000000000000004</v>
      </c>
      <c r="K1126" s="4">
        <v>43186</v>
      </c>
    </row>
    <row r="1127" spans="1:11" x14ac:dyDescent="0.3">
      <c r="A1127" t="s">
        <v>2277</v>
      </c>
      <c r="B1127" s="2" t="s">
        <v>2278</v>
      </c>
      <c r="C1127">
        <v>37</v>
      </c>
      <c r="D1127" s="2" t="s">
        <v>21</v>
      </c>
      <c r="E1127" s="2" t="s">
        <v>30</v>
      </c>
      <c r="F1127" s="2" t="s">
        <v>37</v>
      </c>
      <c r="G1127" s="2" t="s">
        <v>16</v>
      </c>
      <c r="H1127" s="2" t="s">
        <v>17</v>
      </c>
      <c r="I1127" s="2" t="s">
        <v>18</v>
      </c>
      <c r="J1127">
        <v>0.17</v>
      </c>
      <c r="K1127" s="4">
        <v>43788</v>
      </c>
    </row>
    <row r="1128" spans="1:11" x14ac:dyDescent="0.3">
      <c r="A1128" t="s">
        <v>2279</v>
      </c>
      <c r="B1128" s="2" t="s">
        <v>2280</v>
      </c>
      <c r="C1128">
        <v>33</v>
      </c>
      <c r="D1128" s="2" t="s">
        <v>21</v>
      </c>
      <c r="E1128" s="2" t="s">
        <v>14</v>
      </c>
      <c r="F1128" s="2" t="s">
        <v>23</v>
      </c>
      <c r="G1128" s="2" t="s">
        <v>81</v>
      </c>
      <c r="H1128" s="2" t="s">
        <v>17</v>
      </c>
      <c r="I1128" s="2" t="s">
        <v>18</v>
      </c>
      <c r="J1128">
        <v>0.6</v>
      </c>
      <c r="K1128" s="4">
        <v>43102</v>
      </c>
    </row>
    <row r="1129" spans="1:11" x14ac:dyDescent="0.3">
      <c r="A1129" t="s">
        <v>2281</v>
      </c>
      <c r="B1129" s="2" t="s">
        <v>2282</v>
      </c>
      <c r="C1129">
        <v>25</v>
      </c>
      <c r="D1129" s="2" t="s">
        <v>13</v>
      </c>
      <c r="E1129" s="2" t="s">
        <v>22</v>
      </c>
      <c r="F1129" s="2" t="s">
        <v>23</v>
      </c>
      <c r="G1129" s="2" t="s">
        <v>66</v>
      </c>
      <c r="H1129" s="2" t="s">
        <v>17</v>
      </c>
      <c r="I1129" s="2" t="s">
        <v>17</v>
      </c>
      <c r="J1129">
        <v>0.39</v>
      </c>
      <c r="K1129" s="4">
        <v>43614</v>
      </c>
    </row>
    <row r="1130" spans="1:11" x14ac:dyDescent="0.3">
      <c r="A1130" t="s">
        <v>2283</v>
      </c>
      <c r="B1130" s="2" t="s">
        <v>2284</v>
      </c>
      <c r="C1130">
        <v>38</v>
      </c>
      <c r="D1130" s="2" t="s">
        <v>21</v>
      </c>
      <c r="E1130" s="2" t="s">
        <v>14</v>
      </c>
      <c r="F1130" s="2" t="s">
        <v>15</v>
      </c>
      <c r="G1130" s="2" t="s">
        <v>16</v>
      </c>
      <c r="H1130" s="2" t="s">
        <v>17</v>
      </c>
      <c r="I1130" s="2" t="s">
        <v>17</v>
      </c>
      <c r="J1130">
        <v>0.19</v>
      </c>
      <c r="K1130" s="4">
        <v>45081</v>
      </c>
    </row>
    <row r="1131" spans="1:11" x14ac:dyDescent="0.3">
      <c r="A1131" t="s">
        <v>2285</v>
      </c>
      <c r="B1131" s="2" t="s">
        <v>2286</v>
      </c>
      <c r="C1131">
        <v>66</v>
      </c>
      <c r="D1131" s="2" t="s">
        <v>13</v>
      </c>
      <c r="E1131" s="2" t="s">
        <v>14</v>
      </c>
      <c r="F1131" s="2" t="s">
        <v>15</v>
      </c>
      <c r="G1131" s="2" t="s">
        <v>66</v>
      </c>
      <c r="H1131" s="2" t="s">
        <v>18</v>
      </c>
      <c r="I1131" s="2" t="s">
        <v>17</v>
      </c>
      <c r="J1131">
        <v>0.43</v>
      </c>
      <c r="K1131" s="4">
        <v>43850</v>
      </c>
    </row>
    <row r="1132" spans="1:11" x14ac:dyDescent="0.3">
      <c r="A1132" t="s">
        <v>2287</v>
      </c>
      <c r="B1132" s="2" t="s">
        <v>2288</v>
      </c>
      <c r="C1132">
        <v>43</v>
      </c>
      <c r="D1132" s="2" t="s">
        <v>21</v>
      </c>
      <c r="E1132" s="2" t="s">
        <v>30</v>
      </c>
      <c r="F1132" s="2" t="s">
        <v>15</v>
      </c>
      <c r="G1132" s="2" t="s">
        <v>24</v>
      </c>
      <c r="H1132" s="2" t="s">
        <v>18</v>
      </c>
      <c r="I1132" s="2" t="s">
        <v>18</v>
      </c>
      <c r="J1132">
        <v>0.57999999999999996</v>
      </c>
      <c r="K1132" s="4">
        <v>44116</v>
      </c>
    </row>
    <row r="1133" spans="1:11" x14ac:dyDescent="0.3">
      <c r="A1133" t="s">
        <v>2289</v>
      </c>
      <c r="B1133" s="2" t="s">
        <v>2290</v>
      </c>
      <c r="C1133">
        <v>29</v>
      </c>
      <c r="D1133" s="2" t="s">
        <v>13</v>
      </c>
      <c r="E1133" s="2" t="s">
        <v>22</v>
      </c>
      <c r="F1133" s="2" t="s">
        <v>31</v>
      </c>
      <c r="G1133" s="2" t="s">
        <v>32</v>
      </c>
      <c r="H1133" s="2" t="s">
        <v>18</v>
      </c>
      <c r="I1133" s="2" t="s">
        <v>17</v>
      </c>
      <c r="J1133">
        <v>0.78</v>
      </c>
      <c r="K1133" s="4">
        <v>43749</v>
      </c>
    </row>
    <row r="1134" spans="1:11" x14ac:dyDescent="0.3">
      <c r="A1134" t="s">
        <v>2291</v>
      </c>
      <c r="B1134" s="2" t="s">
        <v>2292</v>
      </c>
      <c r="C1134">
        <v>51</v>
      </c>
      <c r="D1134" s="2" t="s">
        <v>13</v>
      </c>
      <c r="E1134" s="2" t="s">
        <v>14</v>
      </c>
      <c r="F1134" s="2" t="s">
        <v>15</v>
      </c>
      <c r="G1134" s="2" t="s">
        <v>24</v>
      </c>
      <c r="H1134" s="2" t="s">
        <v>18</v>
      </c>
      <c r="I1134" s="2" t="s">
        <v>17</v>
      </c>
      <c r="J1134">
        <v>0.22</v>
      </c>
      <c r="K1134" s="4">
        <v>44647</v>
      </c>
    </row>
    <row r="1135" spans="1:11" x14ac:dyDescent="0.3">
      <c r="A1135" t="s">
        <v>2293</v>
      </c>
      <c r="B1135" s="2" t="s">
        <v>2294</v>
      </c>
      <c r="C1135">
        <v>48</v>
      </c>
      <c r="D1135" s="2" t="s">
        <v>13</v>
      </c>
      <c r="E1135" s="2" t="s">
        <v>14</v>
      </c>
      <c r="F1135" s="2" t="s">
        <v>37</v>
      </c>
      <c r="G1135" s="2" t="s">
        <v>16</v>
      </c>
      <c r="H1135" s="2" t="s">
        <v>17</v>
      </c>
      <c r="I1135" s="2" t="s">
        <v>17</v>
      </c>
      <c r="J1135">
        <v>0.91</v>
      </c>
      <c r="K1135" s="4">
        <v>45043</v>
      </c>
    </row>
    <row r="1136" spans="1:11" x14ac:dyDescent="0.3">
      <c r="A1136" t="s">
        <v>2295</v>
      </c>
      <c r="B1136" s="2" t="s">
        <v>2296</v>
      </c>
      <c r="C1136">
        <v>49</v>
      </c>
      <c r="D1136" s="2" t="s">
        <v>13</v>
      </c>
      <c r="E1136" s="2" t="s">
        <v>14</v>
      </c>
      <c r="F1136" s="2" t="s">
        <v>15</v>
      </c>
      <c r="G1136" s="2" t="s">
        <v>27</v>
      </c>
      <c r="H1136" s="2" t="s">
        <v>17</v>
      </c>
      <c r="I1136" s="2" t="s">
        <v>18</v>
      </c>
      <c r="J1136">
        <v>0.45</v>
      </c>
      <c r="K1136" s="4">
        <v>44862</v>
      </c>
    </row>
    <row r="1137" spans="1:11" x14ac:dyDescent="0.3">
      <c r="A1137" t="s">
        <v>2297</v>
      </c>
      <c r="B1137" s="2" t="s">
        <v>2298</v>
      </c>
      <c r="C1137">
        <v>58</v>
      </c>
      <c r="D1137" s="2" t="s">
        <v>21</v>
      </c>
      <c r="E1137" s="2" t="s">
        <v>22</v>
      </c>
      <c r="F1137" s="2" t="s">
        <v>31</v>
      </c>
      <c r="G1137" s="2" t="s">
        <v>16</v>
      </c>
      <c r="H1137" s="2" t="s">
        <v>17</v>
      </c>
      <c r="I1137" s="2" t="s">
        <v>18</v>
      </c>
      <c r="J1137">
        <v>0.44</v>
      </c>
      <c r="K1137" s="4">
        <v>43397</v>
      </c>
    </row>
    <row r="1138" spans="1:11" x14ac:dyDescent="0.3">
      <c r="A1138" t="s">
        <v>2299</v>
      </c>
      <c r="B1138" s="2" t="s">
        <v>2300</v>
      </c>
      <c r="C1138">
        <v>29</v>
      </c>
      <c r="D1138" s="2" t="s">
        <v>21</v>
      </c>
      <c r="E1138" s="2" t="s">
        <v>14</v>
      </c>
      <c r="F1138" s="2" t="s">
        <v>37</v>
      </c>
      <c r="G1138" s="2" t="s">
        <v>16</v>
      </c>
      <c r="H1138" s="2" t="s">
        <v>17</v>
      </c>
      <c r="I1138" s="2" t="s">
        <v>17</v>
      </c>
      <c r="J1138">
        <v>0.51</v>
      </c>
      <c r="K1138" s="4">
        <v>44856</v>
      </c>
    </row>
    <row r="1139" spans="1:11" x14ac:dyDescent="0.3">
      <c r="A1139" t="s">
        <v>2301</v>
      </c>
      <c r="B1139" s="2" t="s">
        <v>2302</v>
      </c>
      <c r="C1139">
        <v>62</v>
      </c>
      <c r="D1139" s="2" t="s">
        <v>21</v>
      </c>
      <c r="E1139" s="2" t="s">
        <v>22</v>
      </c>
      <c r="F1139" s="2" t="s">
        <v>37</v>
      </c>
      <c r="G1139" s="2" t="s">
        <v>16</v>
      </c>
      <c r="H1139" s="2" t="s">
        <v>17</v>
      </c>
      <c r="I1139" s="2" t="s">
        <v>17</v>
      </c>
      <c r="J1139">
        <v>0.63</v>
      </c>
      <c r="K1139" s="4">
        <v>43188</v>
      </c>
    </row>
    <row r="1140" spans="1:11" x14ac:dyDescent="0.3">
      <c r="A1140" t="s">
        <v>2303</v>
      </c>
      <c r="B1140" s="2" t="s">
        <v>2304</v>
      </c>
      <c r="C1140">
        <v>38</v>
      </c>
      <c r="D1140" s="2" t="s">
        <v>13</v>
      </c>
      <c r="E1140" s="2" t="s">
        <v>22</v>
      </c>
      <c r="F1140" s="2" t="s">
        <v>31</v>
      </c>
      <c r="G1140" s="2" t="s">
        <v>16</v>
      </c>
      <c r="H1140" s="2" t="s">
        <v>17</v>
      </c>
      <c r="I1140" s="2" t="s">
        <v>17</v>
      </c>
      <c r="J1140">
        <v>0.61</v>
      </c>
      <c r="K1140" s="4">
        <v>44245</v>
      </c>
    </row>
    <row r="1141" spans="1:11" x14ac:dyDescent="0.3">
      <c r="A1141" t="s">
        <v>2305</v>
      </c>
      <c r="B1141" s="2" t="s">
        <v>2306</v>
      </c>
      <c r="C1141">
        <v>55</v>
      </c>
      <c r="D1141" s="2" t="s">
        <v>21</v>
      </c>
      <c r="E1141" s="2" t="s">
        <v>22</v>
      </c>
      <c r="F1141" s="2" t="s">
        <v>15</v>
      </c>
      <c r="G1141" s="2" t="s">
        <v>24</v>
      </c>
      <c r="H1141" s="2" t="s">
        <v>18</v>
      </c>
      <c r="I1141" s="2" t="s">
        <v>18</v>
      </c>
      <c r="J1141">
        <v>0.54</v>
      </c>
      <c r="K1141" s="4">
        <v>43277</v>
      </c>
    </row>
    <row r="1142" spans="1:11" x14ac:dyDescent="0.3">
      <c r="A1142" t="s">
        <v>2307</v>
      </c>
      <c r="B1142" s="2" t="s">
        <v>2308</v>
      </c>
      <c r="C1142">
        <v>57</v>
      </c>
      <c r="D1142" s="2" t="s">
        <v>13</v>
      </c>
      <c r="E1142" s="2" t="s">
        <v>30</v>
      </c>
      <c r="F1142" s="2" t="s">
        <v>37</v>
      </c>
      <c r="G1142" s="2" t="s">
        <v>32</v>
      </c>
      <c r="H1142" s="2" t="s">
        <v>18</v>
      </c>
      <c r="I1142" s="2" t="s">
        <v>17</v>
      </c>
      <c r="J1142">
        <v>1</v>
      </c>
      <c r="K1142" s="4">
        <v>43969</v>
      </c>
    </row>
    <row r="1143" spans="1:11" x14ac:dyDescent="0.3">
      <c r="A1143" t="s">
        <v>2309</v>
      </c>
      <c r="B1143" s="2" t="s">
        <v>2310</v>
      </c>
      <c r="C1143">
        <v>20</v>
      </c>
      <c r="D1143" s="2" t="s">
        <v>21</v>
      </c>
      <c r="E1143" s="2" t="s">
        <v>30</v>
      </c>
      <c r="F1143" s="2" t="s">
        <v>31</v>
      </c>
      <c r="G1143" s="2" t="s">
        <v>66</v>
      </c>
      <c r="H1143" s="2" t="s">
        <v>17</v>
      </c>
      <c r="I1143" s="2" t="s">
        <v>17</v>
      </c>
      <c r="J1143">
        <v>0.4</v>
      </c>
      <c r="K1143" s="4">
        <v>43467</v>
      </c>
    </row>
    <row r="1144" spans="1:11" x14ac:dyDescent="0.3">
      <c r="A1144" t="s">
        <v>2311</v>
      </c>
      <c r="B1144" s="2" t="s">
        <v>2312</v>
      </c>
      <c r="C1144">
        <v>20</v>
      </c>
      <c r="D1144" s="2" t="s">
        <v>21</v>
      </c>
      <c r="E1144" s="2" t="s">
        <v>14</v>
      </c>
      <c r="F1144" s="2" t="s">
        <v>31</v>
      </c>
      <c r="G1144" s="2" t="s">
        <v>24</v>
      </c>
      <c r="H1144" s="2" t="s">
        <v>18</v>
      </c>
      <c r="I1144" s="2" t="s">
        <v>18</v>
      </c>
      <c r="J1144">
        <v>0.17</v>
      </c>
      <c r="K1144" s="4">
        <v>45030</v>
      </c>
    </row>
    <row r="1145" spans="1:11" x14ac:dyDescent="0.3">
      <c r="A1145" t="s">
        <v>2313</v>
      </c>
      <c r="B1145" s="2" t="s">
        <v>2314</v>
      </c>
      <c r="C1145">
        <v>18</v>
      </c>
      <c r="D1145" s="2" t="s">
        <v>13</v>
      </c>
      <c r="E1145" s="2" t="s">
        <v>14</v>
      </c>
      <c r="F1145" s="2" t="s">
        <v>15</v>
      </c>
      <c r="G1145" s="2" t="s">
        <v>32</v>
      </c>
      <c r="H1145" s="2" t="s">
        <v>17</v>
      </c>
      <c r="I1145" s="2" t="s">
        <v>18</v>
      </c>
      <c r="J1145">
        <v>0.24</v>
      </c>
      <c r="K1145" s="4">
        <v>44117</v>
      </c>
    </row>
    <row r="1146" spans="1:11" x14ac:dyDescent="0.3">
      <c r="A1146" t="s">
        <v>2315</v>
      </c>
      <c r="B1146" s="2" t="s">
        <v>2316</v>
      </c>
      <c r="C1146">
        <v>44</v>
      </c>
      <c r="D1146" s="2" t="s">
        <v>13</v>
      </c>
      <c r="E1146" s="2" t="s">
        <v>30</v>
      </c>
      <c r="F1146" s="2" t="s">
        <v>37</v>
      </c>
      <c r="G1146" s="2" t="s">
        <v>66</v>
      </c>
      <c r="H1146" s="2" t="s">
        <v>18</v>
      </c>
      <c r="I1146" s="2" t="s">
        <v>18</v>
      </c>
      <c r="J1146">
        <v>0.21</v>
      </c>
      <c r="K1146" s="4">
        <v>44730</v>
      </c>
    </row>
    <row r="1147" spans="1:11" x14ac:dyDescent="0.3">
      <c r="A1147" t="s">
        <v>2317</v>
      </c>
      <c r="B1147" s="2" t="s">
        <v>2318</v>
      </c>
      <c r="C1147">
        <v>38</v>
      </c>
      <c r="D1147" s="2" t="s">
        <v>21</v>
      </c>
      <c r="E1147" s="2" t="s">
        <v>22</v>
      </c>
      <c r="F1147" s="2" t="s">
        <v>15</v>
      </c>
      <c r="G1147" s="2" t="s">
        <v>16</v>
      </c>
      <c r="H1147" s="2" t="s">
        <v>18</v>
      </c>
      <c r="I1147" s="2" t="s">
        <v>18</v>
      </c>
      <c r="J1147">
        <v>0.24</v>
      </c>
      <c r="K1147" s="4">
        <v>43510</v>
      </c>
    </row>
    <row r="1148" spans="1:11" x14ac:dyDescent="0.3">
      <c r="A1148" t="s">
        <v>2319</v>
      </c>
      <c r="B1148" s="2" t="s">
        <v>2320</v>
      </c>
      <c r="C1148">
        <v>26</v>
      </c>
      <c r="D1148" s="2" t="s">
        <v>13</v>
      </c>
      <c r="E1148" s="2" t="s">
        <v>30</v>
      </c>
      <c r="F1148" s="2" t="s">
        <v>23</v>
      </c>
      <c r="G1148" s="2" t="s">
        <v>66</v>
      </c>
      <c r="H1148" s="2" t="s">
        <v>17</v>
      </c>
      <c r="I1148" s="2" t="s">
        <v>18</v>
      </c>
      <c r="J1148">
        <v>0.25</v>
      </c>
      <c r="K1148" s="4">
        <v>43104</v>
      </c>
    </row>
    <row r="1149" spans="1:11" x14ac:dyDescent="0.3">
      <c r="A1149" t="s">
        <v>2321</v>
      </c>
      <c r="B1149" s="2" t="s">
        <v>2322</v>
      </c>
      <c r="C1149">
        <v>64</v>
      </c>
      <c r="D1149" s="2" t="s">
        <v>13</v>
      </c>
      <c r="E1149" s="2" t="s">
        <v>14</v>
      </c>
      <c r="F1149" s="2" t="s">
        <v>37</v>
      </c>
      <c r="G1149" s="2" t="s">
        <v>32</v>
      </c>
      <c r="H1149" s="2" t="s">
        <v>17</v>
      </c>
      <c r="I1149" s="2" t="s">
        <v>17</v>
      </c>
      <c r="J1149">
        <v>0.08</v>
      </c>
      <c r="K1149" s="4">
        <v>43928</v>
      </c>
    </row>
    <row r="1150" spans="1:11" x14ac:dyDescent="0.3">
      <c r="A1150" t="s">
        <v>2323</v>
      </c>
      <c r="B1150" s="2" t="s">
        <v>2324</v>
      </c>
      <c r="C1150">
        <v>30</v>
      </c>
      <c r="D1150" s="2" t="s">
        <v>21</v>
      </c>
      <c r="E1150" s="2" t="s">
        <v>14</v>
      </c>
      <c r="F1150" s="2" t="s">
        <v>23</v>
      </c>
      <c r="G1150" s="2" t="s">
        <v>27</v>
      </c>
      <c r="H1150" s="2" t="s">
        <v>17</v>
      </c>
      <c r="I1150" s="2" t="s">
        <v>18</v>
      </c>
      <c r="J1150">
        <v>0.48</v>
      </c>
      <c r="K1150" s="4">
        <v>44718</v>
      </c>
    </row>
    <row r="1151" spans="1:11" x14ac:dyDescent="0.3">
      <c r="A1151" t="s">
        <v>2325</v>
      </c>
      <c r="B1151" s="2" t="s">
        <v>2326</v>
      </c>
      <c r="C1151">
        <v>41</v>
      </c>
      <c r="D1151" s="2" t="s">
        <v>21</v>
      </c>
      <c r="E1151" s="2" t="s">
        <v>30</v>
      </c>
      <c r="F1151" s="2" t="s">
        <v>31</v>
      </c>
      <c r="G1151" s="2" t="s">
        <v>24</v>
      </c>
      <c r="H1151" s="2" t="s">
        <v>17</v>
      </c>
      <c r="I1151" s="2" t="s">
        <v>17</v>
      </c>
      <c r="J1151">
        <v>0.76</v>
      </c>
      <c r="K1151" s="4">
        <v>44475</v>
      </c>
    </row>
    <row r="1152" spans="1:11" x14ac:dyDescent="0.3">
      <c r="A1152" t="s">
        <v>2327</v>
      </c>
      <c r="B1152" s="2" t="s">
        <v>2328</v>
      </c>
      <c r="C1152">
        <v>32</v>
      </c>
      <c r="D1152" s="2" t="s">
        <v>13</v>
      </c>
      <c r="E1152" s="2" t="s">
        <v>22</v>
      </c>
      <c r="F1152" s="2" t="s">
        <v>15</v>
      </c>
      <c r="G1152" s="2" t="s">
        <v>24</v>
      </c>
      <c r="H1152" s="2" t="s">
        <v>18</v>
      </c>
      <c r="I1152" s="2" t="s">
        <v>17</v>
      </c>
      <c r="J1152">
        <v>0.52</v>
      </c>
      <c r="K1152" s="4">
        <v>43807</v>
      </c>
    </row>
    <row r="1153" spans="1:11" x14ac:dyDescent="0.3">
      <c r="A1153" t="s">
        <v>2329</v>
      </c>
      <c r="B1153" s="2" t="s">
        <v>2330</v>
      </c>
      <c r="C1153">
        <v>52</v>
      </c>
      <c r="D1153" s="2" t="s">
        <v>21</v>
      </c>
      <c r="E1153" s="2" t="s">
        <v>30</v>
      </c>
      <c r="F1153" s="2" t="s">
        <v>15</v>
      </c>
      <c r="G1153" s="2" t="s">
        <v>16</v>
      </c>
      <c r="H1153" s="2" t="s">
        <v>17</v>
      </c>
      <c r="I1153" s="2" t="s">
        <v>17</v>
      </c>
      <c r="J1153">
        <v>0.65</v>
      </c>
      <c r="K1153" s="4">
        <v>44006</v>
      </c>
    </row>
    <row r="1154" spans="1:11" x14ac:dyDescent="0.3">
      <c r="A1154" t="s">
        <v>2331</v>
      </c>
      <c r="B1154" s="2" t="s">
        <v>2332</v>
      </c>
      <c r="C1154">
        <v>55</v>
      </c>
      <c r="D1154" s="2" t="s">
        <v>21</v>
      </c>
      <c r="E1154" s="2" t="s">
        <v>14</v>
      </c>
      <c r="F1154" s="2" t="s">
        <v>15</v>
      </c>
      <c r="G1154" s="2" t="s">
        <v>66</v>
      </c>
      <c r="H1154" s="2" t="s">
        <v>17</v>
      </c>
      <c r="I1154" s="2" t="s">
        <v>18</v>
      </c>
      <c r="J1154">
        <v>0.5</v>
      </c>
      <c r="K1154" s="4">
        <v>44020</v>
      </c>
    </row>
    <row r="1155" spans="1:11" x14ac:dyDescent="0.3">
      <c r="A1155" t="s">
        <v>2333</v>
      </c>
      <c r="B1155" s="2" t="s">
        <v>2334</v>
      </c>
      <c r="C1155">
        <v>54</v>
      </c>
      <c r="D1155" s="2" t="s">
        <v>13</v>
      </c>
      <c r="E1155" s="2" t="s">
        <v>22</v>
      </c>
      <c r="F1155" s="2" t="s">
        <v>31</v>
      </c>
      <c r="G1155" s="2" t="s">
        <v>66</v>
      </c>
      <c r="H1155" s="2" t="s">
        <v>17</v>
      </c>
      <c r="I1155" s="2" t="s">
        <v>18</v>
      </c>
      <c r="J1155">
        <v>0.56000000000000005</v>
      </c>
      <c r="K1155" s="4">
        <v>43509</v>
      </c>
    </row>
    <row r="1156" spans="1:11" x14ac:dyDescent="0.3">
      <c r="A1156" t="s">
        <v>2335</v>
      </c>
      <c r="B1156" s="2" t="s">
        <v>2336</v>
      </c>
      <c r="C1156">
        <v>33</v>
      </c>
      <c r="D1156" s="2" t="s">
        <v>21</v>
      </c>
      <c r="E1156" s="2" t="s">
        <v>22</v>
      </c>
      <c r="F1156" s="2" t="s">
        <v>23</v>
      </c>
      <c r="G1156" s="2" t="s">
        <v>81</v>
      </c>
      <c r="H1156" s="2" t="s">
        <v>17</v>
      </c>
      <c r="I1156" s="2" t="s">
        <v>18</v>
      </c>
      <c r="J1156">
        <v>0.44</v>
      </c>
      <c r="K1156" s="4">
        <v>44902</v>
      </c>
    </row>
    <row r="1157" spans="1:11" x14ac:dyDescent="0.3">
      <c r="A1157" t="s">
        <v>2337</v>
      </c>
      <c r="B1157" s="2" t="s">
        <v>2338</v>
      </c>
      <c r="C1157">
        <v>54</v>
      </c>
      <c r="D1157" s="2" t="s">
        <v>21</v>
      </c>
      <c r="E1157" s="2" t="s">
        <v>14</v>
      </c>
      <c r="F1157" s="2" t="s">
        <v>23</v>
      </c>
      <c r="G1157" s="2" t="s">
        <v>24</v>
      </c>
      <c r="H1157" s="2" t="s">
        <v>17</v>
      </c>
      <c r="I1157" s="2" t="s">
        <v>18</v>
      </c>
      <c r="J1157">
        <v>0.67</v>
      </c>
      <c r="K1157" s="4">
        <v>44043</v>
      </c>
    </row>
    <row r="1158" spans="1:11" x14ac:dyDescent="0.3">
      <c r="A1158" t="s">
        <v>2339</v>
      </c>
      <c r="B1158" s="2" t="s">
        <v>2340</v>
      </c>
      <c r="C1158">
        <v>60</v>
      </c>
      <c r="D1158" s="2" t="s">
        <v>21</v>
      </c>
      <c r="E1158" s="2" t="s">
        <v>14</v>
      </c>
      <c r="F1158" s="2" t="s">
        <v>15</v>
      </c>
      <c r="G1158" s="2" t="s">
        <v>32</v>
      </c>
      <c r="H1158" s="2" t="s">
        <v>18</v>
      </c>
      <c r="I1158" s="2" t="s">
        <v>17</v>
      </c>
      <c r="J1158">
        <v>0.42</v>
      </c>
      <c r="K1158" s="4">
        <v>43859</v>
      </c>
    </row>
    <row r="1159" spans="1:11" x14ac:dyDescent="0.3">
      <c r="A1159" t="s">
        <v>2341</v>
      </c>
      <c r="B1159" s="2" t="s">
        <v>2342</v>
      </c>
      <c r="C1159">
        <v>39</v>
      </c>
      <c r="D1159" s="2" t="s">
        <v>13</v>
      </c>
      <c r="E1159" s="2" t="s">
        <v>30</v>
      </c>
      <c r="F1159" s="2" t="s">
        <v>15</v>
      </c>
      <c r="G1159" s="2" t="s">
        <v>16</v>
      </c>
      <c r="H1159" s="2" t="s">
        <v>18</v>
      </c>
      <c r="I1159" s="2" t="s">
        <v>18</v>
      </c>
      <c r="J1159">
        <v>0.28999999999999998</v>
      </c>
      <c r="K1159" s="4">
        <v>43210</v>
      </c>
    </row>
    <row r="1160" spans="1:11" x14ac:dyDescent="0.3">
      <c r="A1160" t="s">
        <v>2343</v>
      </c>
      <c r="B1160" s="2" t="s">
        <v>2344</v>
      </c>
      <c r="C1160">
        <v>50</v>
      </c>
      <c r="D1160" s="2" t="s">
        <v>21</v>
      </c>
      <c r="E1160" s="2" t="s">
        <v>22</v>
      </c>
      <c r="F1160" s="2" t="s">
        <v>31</v>
      </c>
      <c r="G1160" s="2" t="s">
        <v>16</v>
      </c>
      <c r="H1160" s="2" t="s">
        <v>18</v>
      </c>
      <c r="I1160" s="2" t="s">
        <v>17</v>
      </c>
      <c r="J1160">
        <v>0.73</v>
      </c>
      <c r="K1160" s="4">
        <v>44883</v>
      </c>
    </row>
    <row r="1161" spans="1:11" x14ac:dyDescent="0.3">
      <c r="A1161" t="s">
        <v>2345</v>
      </c>
      <c r="B1161" s="2" t="s">
        <v>2346</v>
      </c>
      <c r="C1161">
        <v>57</v>
      </c>
      <c r="D1161" s="2" t="s">
        <v>13</v>
      </c>
      <c r="E1161" s="2" t="s">
        <v>14</v>
      </c>
      <c r="F1161" s="2" t="s">
        <v>15</v>
      </c>
      <c r="G1161" s="2" t="s">
        <v>66</v>
      </c>
      <c r="H1161" s="2" t="s">
        <v>17</v>
      </c>
      <c r="I1161" s="2" t="s">
        <v>18</v>
      </c>
      <c r="J1161">
        <v>0.62</v>
      </c>
      <c r="K1161" s="4">
        <v>43185</v>
      </c>
    </row>
    <row r="1162" spans="1:11" x14ac:dyDescent="0.3">
      <c r="A1162" t="s">
        <v>2347</v>
      </c>
      <c r="B1162" s="2" t="s">
        <v>2348</v>
      </c>
      <c r="C1162">
        <v>38</v>
      </c>
      <c r="D1162" s="2" t="s">
        <v>21</v>
      </c>
      <c r="E1162" s="2" t="s">
        <v>30</v>
      </c>
      <c r="F1162" s="2" t="s">
        <v>15</v>
      </c>
      <c r="G1162" s="2" t="s">
        <v>24</v>
      </c>
      <c r="H1162" s="2" t="s">
        <v>18</v>
      </c>
      <c r="I1162" s="2" t="s">
        <v>18</v>
      </c>
      <c r="J1162">
        <v>0.54</v>
      </c>
      <c r="K1162" s="4">
        <v>43674</v>
      </c>
    </row>
    <row r="1163" spans="1:11" x14ac:dyDescent="0.3">
      <c r="A1163" t="s">
        <v>2349</v>
      </c>
      <c r="B1163" s="2" t="s">
        <v>2350</v>
      </c>
      <c r="C1163">
        <v>18</v>
      </c>
      <c r="D1163" s="2" t="s">
        <v>21</v>
      </c>
      <c r="E1163" s="2" t="s">
        <v>30</v>
      </c>
      <c r="F1163" s="2" t="s">
        <v>37</v>
      </c>
      <c r="G1163" s="2" t="s">
        <v>81</v>
      </c>
      <c r="H1163" s="2" t="s">
        <v>18</v>
      </c>
      <c r="I1163" s="2" t="s">
        <v>17</v>
      </c>
      <c r="J1163">
        <v>0.75</v>
      </c>
      <c r="K1163" s="4">
        <v>43673</v>
      </c>
    </row>
    <row r="1164" spans="1:11" x14ac:dyDescent="0.3">
      <c r="A1164" t="s">
        <v>2351</v>
      </c>
      <c r="B1164" s="2" t="s">
        <v>2352</v>
      </c>
      <c r="C1164">
        <v>46</v>
      </c>
      <c r="D1164" s="2" t="s">
        <v>21</v>
      </c>
      <c r="E1164" s="2" t="s">
        <v>30</v>
      </c>
      <c r="F1164" s="2" t="s">
        <v>31</v>
      </c>
      <c r="G1164" s="2" t="s">
        <v>32</v>
      </c>
      <c r="H1164" s="2" t="s">
        <v>18</v>
      </c>
      <c r="I1164" s="2" t="s">
        <v>18</v>
      </c>
      <c r="J1164">
        <v>0.52</v>
      </c>
      <c r="K1164" s="4">
        <v>44483</v>
      </c>
    </row>
    <row r="1165" spans="1:11" x14ac:dyDescent="0.3">
      <c r="A1165" t="s">
        <v>2353</v>
      </c>
      <c r="B1165" s="2" t="s">
        <v>2354</v>
      </c>
      <c r="C1165">
        <v>30</v>
      </c>
      <c r="D1165" s="2" t="s">
        <v>13</v>
      </c>
      <c r="E1165" s="2" t="s">
        <v>30</v>
      </c>
      <c r="F1165" s="2" t="s">
        <v>23</v>
      </c>
      <c r="G1165" s="2" t="s">
        <v>81</v>
      </c>
      <c r="H1165" s="2" t="s">
        <v>17</v>
      </c>
      <c r="I1165" s="2" t="s">
        <v>17</v>
      </c>
      <c r="J1165">
        <v>0.81</v>
      </c>
      <c r="K1165" s="4">
        <v>44171</v>
      </c>
    </row>
    <row r="1166" spans="1:11" x14ac:dyDescent="0.3">
      <c r="A1166" t="s">
        <v>2355</v>
      </c>
      <c r="B1166" s="2" t="s">
        <v>2356</v>
      </c>
      <c r="C1166">
        <v>58</v>
      </c>
      <c r="D1166" s="2" t="s">
        <v>21</v>
      </c>
      <c r="E1166" s="2" t="s">
        <v>30</v>
      </c>
      <c r="F1166" s="2" t="s">
        <v>37</v>
      </c>
      <c r="G1166" s="2" t="s">
        <v>66</v>
      </c>
      <c r="H1166" s="2" t="s">
        <v>18</v>
      </c>
      <c r="I1166" s="2" t="s">
        <v>18</v>
      </c>
      <c r="J1166">
        <v>0.35</v>
      </c>
      <c r="K1166" s="4">
        <v>44343</v>
      </c>
    </row>
    <row r="1167" spans="1:11" x14ac:dyDescent="0.3">
      <c r="A1167" t="s">
        <v>2357</v>
      </c>
      <c r="B1167" s="2" t="s">
        <v>2358</v>
      </c>
      <c r="C1167">
        <v>42</v>
      </c>
      <c r="D1167" s="2" t="s">
        <v>13</v>
      </c>
      <c r="E1167" s="2" t="s">
        <v>30</v>
      </c>
      <c r="F1167" s="2" t="s">
        <v>31</v>
      </c>
      <c r="G1167" s="2" t="s">
        <v>66</v>
      </c>
      <c r="H1167" s="2" t="s">
        <v>17</v>
      </c>
      <c r="I1167" s="2" t="s">
        <v>17</v>
      </c>
      <c r="J1167">
        <v>0.75</v>
      </c>
      <c r="K1167" s="4">
        <v>44168</v>
      </c>
    </row>
    <row r="1168" spans="1:11" x14ac:dyDescent="0.3">
      <c r="A1168" t="s">
        <v>2359</v>
      </c>
      <c r="B1168" s="2" t="s">
        <v>2360</v>
      </c>
      <c r="C1168">
        <v>24</v>
      </c>
      <c r="D1168" s="2" t="s">
        <v>13</v>
      </c>
      <c r="E1168" s="2" t="s">
        <v>14</v>
      </c>
      <c r="F1168" s="2" t="s">
        <v>37</v>
      </c>
      <c r="G1168" s="2" t="s">
        <v>81</v>
      </c>
      <c r="H1168" s="2" t="s">
        <v>17</v>
      </c>
      <c r="I1168" s="2" t="s">
        <v>18</v>
      </c>
      <c r="J1168">
        <v>0.53</v>
      </c>
      <c r="K1168" s="4">
        <v>43623</v>
      </c>
    </row>
    <row r="1169" spans="1:11" x14ac:dyDescent="0.3">
      <c r="A1169" t="s">
        <v>2361</v>
      </c>
      <c r="B1169" s="2" t="s">
        <v>2362</v>
      </c>
      <c r="C1169">
        <v>42</v>
      </c>
      <c r="D1169" s="2" t="s">
        <v>21</v>
      </c>
      <c r="E1169" s="2" t="s">
        <v>30</v>
      </c>
      <c r="F1169" s="2" t="s">
        <v>31</v>
      </c>
      <c r="G1169" s="2" t="s">
        <v>24</v>
      </c>
      <c r="H1169" s="2" t="s">
        <v>18</v>
      </c>
      <c r="I1169" s="2" t="s">
        <v>17</v>
      </c>
      <c r="J1169">
        <v>0.94</v>
      </c>
      <c r="K1169" s="4">
        <v>43164</v>
      </c>
    </row>
    <row r="1170" spans="1:11" x14ac:dyDescent="0.3">
      <c r="A1170" t="s">
        <v>2363</v>
      </c>
      <c r="B1170" s="2" t="s">
        <v>2364</v>
      </c>
      <c r="C1170">
        <v>64</v>
      </c>
      <c r="D1170" s="2" t="s">
        <v>13</v>
      </c>
      <c r="E1170" s="2" t="s">
        <v>14</v>
      </c>
      <c r="F1170" s="2" t="s">
        <v>23</v>
      </c>
      <c r="G1170" s="2" t="s">
        <v>24</v>
      </c>
      <c r="H1170" s="2" t="s">
        <v>17</v>
      </c>
      <c r="I1170" s="2" t="s">
        <v>18</v>
      </c>
      <c r="J1170">
        <v>0.66</v>
      </c>
      <c r="K1170" s="4">
        <v>43426</v>
      </c>
    </row>
    <row r="1171" spans="1:11" x14ac:dyDescent="0.3">
      <c r="A1171" t="s">
        <v>2365</v>
      </c>
      <c r="B1171" s="2" t="s">
        <v>2366</v>
      </c>
      <c r="C1171">
        <v>19</v>
      </c>
      <c r="D1171" s="2" t="s">
        <v>13</v>
      </c>
      <c r="E1171" s="2" t="s">
        <v>22</v>
      </c>
      <c r="F1171" s="2" t="s">
        <v>31</v>
      </c>
      <c r="G1171" s="2" t="s">
        <v>24</v>
      </c>
      <c r="H1171" s="2" t="s">
        <v>17</v>
      </c>
      <c r="I1171" s="2" t="s">
        <v>17</v>
      </c>
      <c r="J1171">
        <v>0.36</v>
      </c>
      <c r="K1171" s="4">
        <v>43134</v>
      </c>
    </row>
    <row r="1172" spans="1:11" x14ac:dyDescent="0.3">
      <c r="A1172" t="s">
        <v>2367</v>
      </c>
      <c r="B1172" s="2" t="s">
        <v>2368</v>
      </c>
      <c r="C1172">
        <v>50</v>
      </c>
      <c r="D1172" s="2" t="s">
        <v>13</v>
      </c>
      <c r="E1172" s="2" t="s">
        <v>14</v>
      </c>
      <c r="F1172" s="2" t="s">
        <v>15</v>
      </c>
      <c r="G1172" s="2" t="s">
        <v>16</v>
      </c>
      <c r="H1172" s="2" t="s">
        <v>18</v>
      </c>
      <c r="I1172" s="2" t="s">
        <v>18</v>
      </c>
      <c r="J1172">
        <v>0.47</v>
      </c>
      <c r="K1172" s="4">
        <v>44913</v>
      </c>
    </row>
    <row r="1173" spans="1:11" x14ac:dyDescent="0.3">
      <c r="A1173" t="s">
        <v>2369</v>
      </c>
      <c r="B1173" s="2" t="s">
        <v>2370</v>
      </c>
      <c r="C1173">
        <v>23</v>
      </c>
      <c r="D1173" s="2" t="s">
        <v>21</v>
      </c>
      <c r="E1173" s="2" t="s">
        <v>22</v>
      </c>
      <c r="F1173" s="2" t="s">
        <v>23</v>
      </c>
      <c r="G1173" s="2" t="s">
        <v>24</v>
      </c>
      <c r="H1173" s="2" t="s">
        <v>17</v>
      </c>
      <c r="I1173" s="2" t="s">
        <v>17</v>
      </c>
      <c r="J1173">
        <v>0.71</v>
      </c>
      <c r="K1173" s="4">
        <v>43898</v>
      </c>
    </row>
    <row r="1174" spans="1:11" x14ac:dyDescent="0.3">
      <c r="A1174" t="s">
        <v>2371</v>
      </c>
      <c r="B1174" s="2" t="s">
        <v>2372</v>
      </c>
      <c r="C1174">
        <v>34</v>
      </c>
      <c r="D1174" s="2" t="s">
        <v>13</v>
      </c>
      <c r="E1174" s="2" t="s">
        <v>22</v>
      </c>
      <c r="F1174" s="2" t="s">
        <v>23</v>
      </c>
      <c r="G1174" s="2" t="s">
        <v>66</v>
      </c>
      <c r="H1174" s="2" t="s">
        <v>17</v>
      </c>
      <c r="I1174" s="2" t="s">
        <v>17</v>
      </c>
      <c r="J1174">
        <v>0.38</v>
      </c>
      <c r="K1174" s="4">
        <v>44212</v>
      </c>
    </row>
    <row r="1175" spans="1:11" x14ac:dyDescent="0.3">
      <c r="A1175" t="s">
        <v>2373</v>
      </c>
      <c r="B1175" s="2" t="s">
        <v>2374</v>
      </c>
      <c r="C1175">
        <v>44</v>
      </c>
      <c r="D1175" s="2" t="s">
        <v>21</v>
      </c>
      <c r="E1175" s="2" t="s">
        <v>22</v>
      </c>
      <c r="F1175" s="2" t="s">
        <v>37</v>
      </c>
      <c r="G1175" s="2" t="s">
        <v>27</v>
      </c>
      <c r="H1175" s="2" t="s">
        <v>18</v>
      </c>
      <c r="I1175" s="2" t="s">
        <v>18</v>
      </c>
      <c r="J1175">
        <v>0.43</v>
      </c>
      <c r="K1175" s="4">
        <v>43218</v>
      </c>
    </row>
    <row r="1176" spans="1:11" x14ac:dyDescent="0.3">
      <c r="A1176" t="s">
        <v>2375</v>
      </c>
      <c r="B1176" s="2" t="s">
        <v>2376</v>
      </c>
      <c r="C1176">
        <v>20</v>
      </c>
      <c r="D1176" s="2" t="s">
        <v>13</v>
      </c>
      <c r="E1176" s="2" t="s">
        <v>14</v>
      </c>
      <c r="F1176" s="2" t="s">
        <v>23</v>
      </c>
      <c r="G1176" s="2" t="s">
        <v>16</v>
      </c>
      <c r="H1176" s="2" t="s">
        <v>17</v>
      </c>
      <c r="I1176" s="2" t="s">
        <v>18</v>
      </c>
      <c r="J1176">
        <v>0.67</v>
      </c>
      <c r="K1176" s="4">
        <v>44694</v>
      </c>
    </row>
    <row r="1177" spans="1:11" x14ac:dyDescent="0.3">
      <c r="A1177" t="s">
        <v>2377</v>
      </c>
      <c r="B1177" s="2" t="s">
        <v>2378</v>
      </c>
      <c r="C1177">
        <v>52</v>
      </c>
      <c r="D1177" s="2" t="s">
        <v>21</v>
      </c>
      <c r="E1177" s="2" t="s">
        <v>30</v>
      </c>
      <c r="F1177" s="2" t="s">
        <v>37</v>
      </c>
      <c r="G1177" s="2" t="s">
        <v>32</v>
      </c>
      <c r="H1177" s="2" t="s">
        <v>17</v>
      </c>
      <c r="I1177" s="2" t="s">
        <v>17</v>
      </c>
      <c r="J1177">
        <v>0.6</v>
      </c>
      <c r="K1177" s="4">
        <v>44955</v>
      </c>
    </row>
    <row r="1178" spans="1:11" x14ac:dyDescent="0.3">
      <c r="A1178" t="s">
        <v>2379</v>
      </c>
      <c r="B1178" s="2" t="s">
        <v>2380</v>
      </c>
      <c r="C1178">
        <v>35</v>
      </c>
      <c r="D1178" s="2" t="s">
        <v>21</v>
      </c>
      <c r="E1178" s="2" t="s">
        <v>14</v>
      </c>
      <c r="F1178" s="2" t="s">
        <v>15</v>
      </c>
      <c r="G1178" s="2" t="s">
        <v>27</v>
      </c>
      <c r="H1178" s="2" t="s">
        <v>18</v>
      </c>
      <c r="I1178" s="2" t="s">
        <v>18</v>
      </c>
      <c r="J1178">
        <v>0.34</v>
      </c>
      <c r="K1178" s="4">
        <v>44596</v>
      </c>
    </row>
    <row r="1179" spans="1:11" x14ac:dyDescent="0.3">
      <c r="A1179" t="s">
        <v>2381</v>
      </c>
      <c r="B1179" s="2" t="s">
        <v>2382</v>
      </c>
      <c r="C1179">
        <v>58</v>
      </c>
      <c r="D1179" s="2" t="s">
        <v>13</v>
      </c>
      <c r="E1179" s="2" t="s">
        <v>14</v>
      </c>
      <c r="F1179" s="2" t="s">
        <v>37</v>
      </c>
      <c r="G1179" s="2" t="s">
        <v>32</v>
      </c>
      <c r="H1179" s="2" t="s">
        <v>17</v>
      </c>
      <c r="I1179" s="2" t="s">
        <v>18</v>
      </c>
      <c r="J1179">
        <v>0.27</v>
      </c>
      <c r="K1179" s="4">
        <v>44728</v>
      </c>
    </row>
    <row r="1180" spans="1:11" x14ac:dyDescent="0.3">
      <c r="A1180" t="s">
        <v>2383</v>
      </c>
      <c r="B1180" s="2" t="s">
        <v>2384</v>
      </c>
      <c r="C1180">
        <v>57</v>
      </c>
      <c r="D1180" s="2" t="s">
        <v>21</v>
      </c>
      <c r="E1180" s="2" t="s">
        <v>22</v>
      </c>
      <c r="F1180" s="2" t="s">
        <v>31</v>
      </c>
      <c r="G1180" s="2" t="s">
        <v>66</v>
      </c>
      <c r="H1180" s="2" t="s">
        <v>18</v>
      </c>
      <c r="I1180" s="2" t="s">
        <v>18</v>
      </c>
      <c r="J1180">
        <v>0.33</v>
      </c>
      <c r="K1180" s="4">
        <v>43881</v>
      </c>
    </row>
    <row r="1181" spans="1:11" x14ac:dyDescent="0.3">
      <c r="A1181" t="s">
        <v>2385</v>
      </c>
      <c r="B1181" s="2" t="s">
        <v>2386</v>
      </c>
      <c r="C1181">
        <v>64</v>
      </c>
      <c r="D1181" s="2" t="s">
        <v>13</v>
      </c>
      <c r="E1181" s="2" t="s">
        <v>30</v>
      </c>
      <c r="F1181" s="2" t="s">
        <v>23</v>
      </c>
      <c r="G1181" s="2" t="s">
        <v>27</v>
      </c>
      <c r="H1181" s="2" t="s">
        <v>18</v>
      </c>
      <c r="I1181" s="2" t="s">
        <v>17</v>
      </c>
      <c r="J1181">
        <v>0.35</v>
      </c>
      <c r="K1181" s="4">
        <v>43797</v>
      </c>
    </row>
    <row r="1182" spans="1:11" x14ac:dyDescent="0.3">
      <c r="A1182" t="s">
        <v>2387</v>
      </c>
      <c r="B1182" s="2" t="s">
        <v>2388</v>
      </c>
      <c r="C1182">
        <v>45</v>
      </c>
      <c r="D1182" s="2" t="s">
        <v>13</v>
      </c>
      <c r="E1182" s="2" t="s">
        <v>14</v>
      </c>
      <c r="F1182" s="2" t="s">
        <v>15</v>
      </c>
      <c r="G1182" s="2" t="s">
        <v>16</v>
      </c>
      <c r="H1182" s="2" t="s">
        <v>17</v>
      </c>
      <c r="I1182" s="2" t="s">
        <v>18</v>
      </c>
      <c r="J1182">
        <v>0.28000000000000003</v>
      </c>
      <c r="K1182" s="4">
        <v>43563</v>
      </c>
    </row>
    <row r="1183" spans="1:11" x14ac:dyDescent="0.3">
      <c r="A1183" t="s">
        <v>2389</v>
      </c>
      <c r="B1183" s="2" t="s">
        <v>2390</v>
      </c>
      <c r="C1183">
        <v>20</v>
      </c>
      <c r="D1183" s="2" t="s">
        <v>13</v>
      </c>
      <c r="E1183" s="2" t="s">
        <v>22</v>
      </c>
      <c r="F1183" s="2" t="s">
        <v>31</v>
      </c>
      <c r="G1183" s="2" t="s">
        <v>16</v>
      </c>
      <c r="H1183" s="2" t="s">
        <v>18</v>
      </c>
      <c r="I1183" s="2" t="s">
        <v>18</v>
      </c>
      <c r="J1183">
        <v>0.36</v>
      </c>
      <c r="K1183" s="4">
        <v>44363</v>
      </c>
    </row>
    <row r="1184" spans="1:11" x14ac:dyDescent="0.3">
      <c r="A1184" t="s">
        <v>2391</v>
      </c>
      <c r="B1184" s="2" t="s">
        <v>2392</v>
      </c>
      <c r="C1184">
        <v>46</v>
      </c>
      <c r="D1184" s="2" t="s">
        <v>13</v>
      </c>
      <c r="E1184" s="2" t="s">
        <v>22</v>
      </c>
      <c r="F1184" s="2" t="s">
        <v>15</v>
      </c>
      <c r="G1184" s="2" t="s">
        <v>32</v>
      </c>
      <c r="H1184" s="2" t="s">
        <v>17</v>
      </c>
      <c r="I1184" s="2" t="s">
        <v>18</v>
      </c>
      <c r="J1184">
        <v>0.6</v>
      </c>
      <c r="K1184" s="4">
        <v>44355</v>
      </c>
    </row>
    <row r="1185" spans="1:11" x14ac:dyDescent="0.3">
      <c r="A1185" t="s">
        <v>2393</v>
      </c>
      <c r="B1185" s="2" t="s">
        <v>2394</v>
      </c>
      <c r="C1185">
        <v>26</v>
      </c>
      <c r="D1185" s="2" t="s">
        <v>13</v>
      </c>
      <c r="E1185" s="2" t="s">
        <v>22</v>
      </c>
      <c r="F1185" s="2" t="s">
        <v>15</v>
      </c>
      <c r="G1185" s="2" t="s">
        <v>32</v>
      </c>
      <c r="H1185" s="2" t="s">
        <v>17</v>
      </c>
      <c r="I1185" s="2" t="s">
        <v>17</v>
      </c>
      <c r="J1185">
        <v>0.32</v>
      </c>
      <c r="K1185" s="4">
        <v>44427</v>
      </c>
    </row>
    <row r="1186" spans="1:11" x14ac:dyDescent="0.3">
      <c r="A1186" t="s">
        <v>2395</v>
      </c>
      <c r="B1186" s="2" t="s">
        <v>2396</v>
      </c>
      <c r="C1186">
        <v>27</v>
      </c>
      <c r="D1186" s="2" t="s">
        <v>21</v>
      </c>
      <c r="E1186" s="2" t="s">
        <v>22</v>
      </c>
      <c r="F1186" s="2" t="s">
        <v>23</v>
      </c>
      <c r="G1186" s="2" t="s">
        <v>27</v>
      </c>
      <c r="H1186" s="2" t="s">
        <v>18</v>
      </c>
      <c r="I1186" s="2" t="s">
        <v>18</v>
      </c>
      <c r="J1186">
        <v>0.1</v>
      </c>
      <c r="K1186" s="4">
        <v>44083</v>
      </c>
    </row>
    <row r="1187" spans="1:11" x14ac:dyDescent="0.3">
      <c r="A1187" t="s">
        <v>2397</v>
      </c>
      <c r="B1187" s="2" t="s">
        <v>2398</v>
      </c>
      <c r="C1187">
        <v>20</v>
      </c>
      <c r="D1187" s="2" t="s">
        <v>21</v>
      </c>
      <c r="E1187" s="2" t="s">
        <v>22</v>
      </c>
      <c r="F1187" s="2" t="s">
        <v>31</v>
      </c>
      <c r="G1187" s="2" t="s">
        <v>66</v>
      </c>
      <c r="H1187" s="2" t="s">
        <v>18</v>
      </c>
      <c r="I1187" s="2" t="s">
        <v>17</v>
      </c>
      <c r="J1187">
        <v>0.3</v>
      </c>
      <c r="K1187" s="4">
        <v>43435</v>
      </c>
    </row>
    <row r="1188" spans="1:11" x14ac:dyDescent="0.3">
      <c r="A1188" t="s">
        <v>2399</v>
      </c>
      <c r="B1188" s="2" t="s">
        <v>2400</v>
      </c>
      <c r="C1188">
        <v>25</v>
      </c>
      <c r="D1188" s="2" t="s">
        <v>13</v>
      </c>
      <c r="E1188" s="2" t="s">
        <v>30</v>
      </c>
      <c r="F1188" s="2" t="s">
        <v>37</v>
      </c>
      <c r="G1188" s="2" t="s">
        <v>81</v>
      </c>
      <c r="H1188" s="2" t="s">
        <v>17</v>
      </c>
      <c r="I1188" s="2" t="s">
        <v>17</v>
      </c>
      <c r="J1188">
        <v>0.4</v>
      </c>
      <c r="K1188" s="4">
        <v>43952</v>
      </c>
    </row>
    <row r="1189" spans="1:11" x14ac:dyDescent="0.3">
      <c r="A1189" t="s">
        <v>2401</v>
      </c>
      <c r="B1189" s="2" t="s">
        <v>2402</v>
      </c>
      <c r="C1189">
        <v>58</v>
      </c>
      <c r="D1189" s="2" t="s">
        <v>13</v>
      </c>
      <c r="E1189" s="2" t="s">
        <v>22</v>
      </c>
      <c r="F1189" s="2" t="s">
        <v>31</v>
      </c>
      <c r="G1189" s="2" t="s">
        <v>81</v>
      </c>
      <c r="H1189" s="2" t="s">
        <v>17</v>
      </c>
      <c r="I1189" s="2" t="s">
        <v>18</v>
      </c>
      <c r="J1189">
        <v>0.52</v>
      </c>
      <c r="K1189" s="4">
        <v>44214</v>
      </c>
    </row>
    <row r="1190" spans="1:11" x14ac:dyDescent="0.3">
      <c r="A1190" t="s">
        <v>2403</v>
      </c>
      <c r="B1190" s="2" t="s">
        <v>2404</v>
      </c>
      <c r="C1190">
        <v>28</v>
      </c>
      <c r="D1190" s="2" t="s">
        <v>13</v>
      </c>
      <c r="E1190" s="2" t="s">
        <v>22</v>
      </c>
      <c r="F1190" s="2" t="s">
        <v>23</v>
      </c>
      <c r="G1190" s="2" t="s">
        <v>32</v>
      </c>
      <c r="H1190" s="2" t="s">
        <v>17</v>
      </c>
      <c r="I1190" s="2" t="s">
        <v>18</v>
      </c>
      <c r="J1190">
        <v>0.28000000000000003</v>
      </c>
      <c r="K1190" s="4">
        <v>44226</v>
      </c>
    </row>
    <row r="1191" spans="1:11" x14ac:dyDescent="0.3">
      <c r="A1191" t="s">
        <v>2405</v>
      </c>
      <c r="B1191" s="2" t="s">
        <v>2406</v>
      </c>
      <c r="C1191">
        <v>67</v>
      </c>
      <c r="D1191" s="2" t="s">
        <v>21</v>
      </c>
      <c r="E1191" s="2" t="s">
        <v>30</v>
      </c>
      <c r="F1191" s="2" t="s">
        <v>23</v>
      </c>
      <c r="G1191" s="2" t="s">
        <v>27</v>
      </c>
      <c r="H1191" s="2" t="s">
        <v>18</v>
      </c>
      <c r="I1191" s="2" t="s">
        <v>17</v>
      </c>
      <c r="J1191">
        <v>0.77</v>
      </c>
      <c r="K1191" s="4">
        <v>43763</v>
      </c>
    </row>
    <row r="1192" spans="1:11" x14ac:dyDescent="0.3">
      <c r="A1192" t="s">
        <v>2407</v>
      </c>
      <c r="B1192" s="2" t="s">
        <v>2408</v>
      </c>
      <c r="C1192">
        <v>41</v>
      </c>
      <c r="D1192" s="2" t="s">
        <v>13</v>
      </c>
      <c r="E1192" s="2" t="s">
        <v>30</v>
      </c>
      <c r="F1192" s="2" t="s">
        <v>31</v>
      </c>
      <c r="G1192" s="2" t="s">
        <v>27</v>
      </c>
      <c r="H1192" s="2" t="s">
        <v>18</v>
      </c>
      <c r="I1192" s="2" t="s">
        <v>18</v>
      </c>
      <c r="J1192">
        <v>0.36</v>
      </c>
      <c r="K1192" s="4">
        <v>44557</v>
      </c>
    </row>
    <row r="1193" spans="1:11" x14ac:dyDescent="0.3">
      <c r="A1193" t="s">
        <v>2409</v>
      </c>
      <c r="B1193" s="2" t="s">
        <v>2410</v>
      </c>
      <c r="C1193">
        <v>66</v>
      </c>
      <c r="D1193" s="2" t="s">
        <v>21</v>
      </c>
      <c r="E1193" s="2" t="s">
        <v>14</v>
      </c>
      <c r="F1193" s="2" t="s">
        <v>23</v>
      </c>
      <c r="G1193" s="2" t="s">
        <v>81</v>
      </c>
      <c r="H1193" s="2" t="s">
        <v>17</v>
      </c>
      <c r="I1193" s="2" t="s">
        <v>17</v>
      </c>
      <c r="J1193">
        <v>0.24</v>
      </c>
      <c r="K1193" s="4">
        <v>43962</v>
      </c>
    </row>
    <row r="1194" spans="1:11" x14ac:dyDescent="0.3">
      <c r="A1194" t="s">
        <v>2411</v>
      </c>
      <c r="B1194" s="2" t="s">
        <v>2412</v>
      </c>
      <c r="C1194">
        <v>22</v>
      </c>
      <c r="D1194" s="2" t="s">
        <v>21</v>
      </c>
      <c r="E1194" s="2" t="s">
        <v>30</v>
      </c>
      <c r="F1194" s="2" t="s">
        <v>37</v>
      </c>
      <c r="G1194" s="2" t="s">
        <v>66</v>
      </c>
      <c r="H1194" s="2" t="s">
        <v>18</v>
      </c>
      <c r="I1194" s="2" t="s">
        <v>18</v>
      </c>
      <c r="J1194">
        <v>0.27</v>
      </c>
      <c r="K1194" s="4">
        <v>44453</v>
      </c>
    </row>
    <row r="1195" spans="1:11" x14ac:dyDescent="0.3">
      <c r="A1195" t="s">
        <v>2413</v>
      </c>
      <c r="B1195" s="2" t="s">
        <v>2414</v>
      </c>
      <c r="C1195">
        <v>57</v>
      </c>
      <c r="D1195" s="2" t="s">
        <v>13</v>
      </c>
      <c r="E1195" s="2" t="s">
        <v>14</v>
      </c>
      <c r="F1195" s="2" t="s">
        <v>15</v>
      </c>
      <c r="G1195" s="2" t="s">
        <v>32</v>
      </c>
      <c r="H1195" s="2" t="s">
        <v>17</v>
      </c>
      <c r="I1195" s="2" t="s">
        <v>18</v>
      </c>
      <c r="J1195">
        <v>0.72</v>
      </c>
      <c r="K1195" s="4">
        <v>44302</v>
      </c>
    </row>
    <row r="1196" spans="1:11" x14ac:dyDescent="0.3">
      <c r="A1196" t="s">
        <v>2415</v>
      </c>
      <c r="B1196" s="2" t="s">
        <v>2416</v>
      </c>
      <c r="C1196">
        <v>65</v>
      </c>
      <c r="D1196" s="2" t="s">
        <v>21</v>
      </c>
      <c r="E1196" s="2" t="s">
        <v>30</v>
      </c>
      <c r="F1196" s="2" t="s">
        <v>23</v>
      </c>
      <c r="G1196" s="2" t="s">
        <v>27</v>
      </c>
      <c r="H1196" s="2" t="s">
        <v>18</v>
      </c>
      <c r="I1196" s="2" t="s">
        <v>17</v>
      </c>
      <c r="J1196">
        <v>0.46</v>
      </c>
      <c r="K1196" s="4">
        <v>43576</v>
      </c>
    </row>
    <row r="1197" spans="1:11" x14ac:dyDescent="0.3">
      <c r="A1197" t="s">
        <v>2417</v>
      </c>
      <c r="B1197" s="2" t="s">
        <v>2418</v>
      </c>
      <c r="C1197">
        <v>24</v>
      </c>
      <c r="D1197" s="2" t="s">
        <v>13</v>
      </c>
      <c r="E1197" s="2" t="s">
        <v>30</v>
      </c>
      <c r="F1197" s="2" t="s">
        <v>15</v>
      </c>
      <c r="G1197" s="2" t="s">
        <v>32</v>
      </c>
      <c r="H1197" s="2" t="s">
        <v>17</v>
      </c>
      <c r="I1197" s="2" t="s">
        <v>17</v>
      </c>
      <c r="J1197">
        <v>0.38</v>
      </c>
      <c r="K1197" s="4">
        <v>44841</v>
      </c>
    </row>
    <row r="1198" spans="1:11" x14ac:dyDescent="0.3">
      <c r="A1198" t="s">
        <v>2419</v>
      </c>
      <c r="B1198" s="2" t="s">
        <v>2420</v>
      </c>
      <c r="C1198">
        <v>41</v>
      </c>
      <c r="D1198" s="2" t="s">
        <v>13</v>
      </c>
      <c r="E1198" s="2" t="s">
        <v>22</v>
      </c>
      <c r="F1198" s="2" t="s">
        <v>37</v>
      </c>
      <c r="G1198" s="2" t="s">
        <v>16</v>
      </c>
      <c r="H1198" s="2" t="s">
        <v>17</v>
      </c>
      <c r="I1198" s="2" t="s">
        <v>18</v>
      </c>
      <c r="J1198">
        <v>0.5</v>
      </c>
      <c r="K1198" s="4">
        <v>44277</v>
      </c>
    </row>
    <row r="1199" spans="1:11" x14ac:dyDescent="0.3">
      <c r="A1199" t="s">
        <v>2421</v>
      </c>
      <c r="B1199" s="2" t="s">
        <v>2422</v>
      </c>
      <c r="C1199">
        <v>28</v>
      </c>
      <c r="D1199" s="2" t="s">
        <v>21</v>
      </c>
      <c r="E1199" s="2" t="s">
        <v>30</v>
      </c>
      <c r="F1199" s="2" t="s">
        <v>37</v>
      </c>
      <c r="G1199" s="2" t="s">
        <v>16</v>
      </c>
      <c r="H1199" s="2" t="s">
        <v>17</v>
      </c>
      <c r="I1199" s="2" t="s">
        <v>18</v>
      </c>
      <c r="J1199">
        <v>0.72</v>
      </c>
      <c r="K1199" s="4">
        <v>43323</v>
      </c>
    </row>
    <row r="1200" spans="1:11" x14ac:dyDescent="0.3">
      <c r="A1200" t="s">
        <v>2423</v>
      </c>
      <c r="B1200" s="2" t="s">
        <v>2424</v>
      </c>
      <c r="C1200">
        <v>41</v>
      </c>
      <c r="D1200" s="2" t="s">
        <v>13</v>
      </c>
      <c r="E1200" s="2" t="s">
        <v>30</v>
      </c>
      <c r="F1200" s="2" t="s">
        <v>15</v>
      </c>
      <c r="G1200" s="2" t="s">
        <v>32</v>
      </c>
      <c r="H1200" s="2" t="s">
        <v>18</v>
      </c>
      <c r="I1200" s="2" t="s">
        <v>18</v>
      </c>
      <c r="J1200">
        <v>0.75</v>
      </c>
      <c r="K1200" s="4">
        <v>43333</v>
      </c>
    </row>
    <row r="1201" spans="1:11" x14ac:dyDescent="0.3">
      <c r="A1201" t="s">
        <v>2425</v>
      </c>
      <c r="B1201" s="2" t="s">
        <v>2426</v>
      </c>
      <c r="C1201">
        <v>65</v>
      </c>
      <c r="D1201" s="2" t="s">
        <v>13</v>
      </c>
      <c r="E1201" s="2" t="s">
        <v>22</v>
      </c>
      <c r="F1201" s="2" t="s">
        <v>15</v>
      </c>
      <c r="G1201" s="2" t="s">
        <v>32</v>
      </c>
      <c r="H1201" s="2" t="s">
        <v>17</v>
      </c>
      <c r="I1201" s="2" t="s">
        <v>17</v>
      </c>
      <c r="J1201">
        <v>0.43</v>
      </c>
      <c r="K1201" s="4">
        <v>44360</v>
      </c>
    </row>
    <row r="1202" spans="1:11" x14ac:dyDescent="0.3">
      <c r="A1202" t="s">
        <v>2427</v>
      </c>
      <c r="B1202" s="2" t="s">
        <v>2428</v>
      </c>
      <c r="C1202">
        <v>34</v>
      </c>
      <c r="D1202" s="2" t="s">
        <v>13</v>
      </c>
      <c r="E1202" s="2" t="s">
        <v>22</v>
      </c>
      <c r="F1202" s="2" t="s">
        <v>23</v>
      </c>
      <c r="G1202" s="2" t="s">
        <v>24</v>
      </c>
      <c r="H1202" s="2" t="s">
        <v>18</v>
      </c>
      <c r="I1202" s="2" t="s">
        <v>18</v>
      </c>
      <c r="J1202">
        <v>0.05</v>
      </c>
      <c r="K1202" s="4">
        <v>43731</v>
      </c>
    </row>
    <row r="1203" spans="1:11" x14ac:dyDescent="0.3">
      <c r="A1203" t="s">
        <v>2429</v>
      </c>
      <c r="B1203" s="2" t="s">
        <v>2430</v>
      </c>
      <c r="C1203">
        <v>31</v>
      </c>
      <c r="D1203" s="2" t="s">
        <v>13</v>
      </c>
      <c r="E1203" s="2" t="s">
        <v>14</v>
      </c>
      <c r="F1203" s="2" t="s">
        <v>15</v>
      </c>
      <c r="G1203" s="2" t="s">
        <v>81</v>
      </c>
      <c r="H1203" s="2" t="s">
        <v>18</v>
      </c>
      <c r="I1203" s="2" t="s">
        <v>17</v>
      </c>
      <c r="J1203">
        <v>0.43</v>
      </c>
      <c r="K1203" s="4">
        <v>44649</v>
      </c>
    </row>
    <row r="1204" spans="1:11" x14ac:dyDescent="0.3">
      <c r="A1204" t="s">
        <v>2431</v>
      </c>
      <c r="B1204" s="2" t="s">
        <v>2432</v>
      </c>
      <c r="C1204">
        <v>40</v>
      </c>
      <c r="D1204" s="2" t="s">
        <v>21</v>
      </c>
      <c r="E1204" s="2" t="s">
        <v>30</v>
      </c>
      <c r="F1204" s="2" t="s">
        <v>37</v>
      </c>
      <c r="G1204" s="2" t="s">
        <v>66</v>
      </c>
      <c r="H1204" s="2" t="s">
        <v>17</v>
      </c>
      <c r="I1204" s="2" t="s">
        <v>17</v>
      </c>
      <c r="J1204">
        <v>0.48</v>
      </c>
      <c r="K1204" s="4">
        <v>43669</v>
      </c>
    </row>
    <row r="1205" spans="1:11" x14ac:dyDescent="0.3">
      <c r="A1205" t="s">
        <v>2433</v>
      </c>
      <c r="B1205" s="2" t="s">
        <v>2434</v>
      </c>
      <c r="C1205">
        <v>21</v>
      </c>
      <c r="D1205" s="2" t="s">
        <v>21</v>
      </c>
      <c r="E1205" s="2" t="s">
        <v>22</v>
      </c>
      <c r="F1205" s="2" t="s">
        <v>15</v>
      </c>
      <c r="G1205" s="2" t="s">
        <v>81</v>
      </c>
      <c r="H1205" s="2" t="s">
        <v>17</v>
      </c>
      <c r="I1205" s="2" t="s">
        <v>17</v>
      </c>
      <c r="J1205">
        <v>0.71</v>
      </c>
      <c r="K1205" s="4">
        <v>44575</v>
      </c>
    </row>
    <row r="1206" spans="1:11" x14ac:dyDescent="0.3">
      <c r="A1206" t="s">
        <v>2435</v>
      </c>
      <c r="B1206" s="2" t="s">
        <v>2436</v>
      </c>
      <c r="C1206">
        <v>56</v>
      </c>
      <c r="D1206" s="2" t="s">
        <v>13</v>
      </c>
      <c r="E1206" s="2" t="s">
        <v>22</v>
      </c>
      <c r="F1206" s="2" t="s">
        <v>15</v>
      </c>
      <c r="G1206" s="2" t="s">
        <v>24</v>
      </c>
      <c r="H1206" s="2" t="s">
        <v>17</v>
      </c>
      <c r="I1206" s="2" t="s">
        <v>18</v>
      </c>
      <c r="J1206">
        <v>0.45</v>
      </c>
      <c r="K1206" s="4">
        <v>44019</v>
      </c>
    </row>
    <row r="1207" spans="1:11" x14ac:dyDescent="0.3">
      <c r="A1207" t="s">
        <v>2437</v>
      </c>
      <c r="B1207" s="2" t="s">
        <v>2438</v>
      </c>
      <c r="C1207">
        <v>26</v>
      </c>
      <c r="D1207" s="2" t="s">
        <v>13</v>
      </c>
      <c r="E1207" s="2" t="s">
        <v>14</v>
      </c>
      <c r="F1207" s="2" t="s">
        <v>23</v>
      </c>
      <c r="G1207" s="2" t="s">
        <v>32</v>
      </c>
      <c r="H1207" s="2" t="s">
        <v>17</v>
      </c>
      <c r="I1207" s="2" t="s">
        <v>17</v>
      </c>
      <c r="J1207">
        <v>0.37</v>
      </c>
      <c r="K1207" s="4">
        <v>44170</v>
      </c>
    </row>
    <row r="1208" spans="1:11" x14ac:dyDescent="0.3">
      <c r="A1208" t="s">
        <v>2439</v>
      </c>
      <c r="B1208" s="2" t="s">
        <v>2440</v>
      </c>
      <c r="C1208">
        <v>54</v>
      </c>
      <c r="D1208" s="2" t="s">
        <v>21</v>
      </c>
      <c r="E1208" s="2" t="s">
        <v>22</v>
      </c>
      <c r="F1208" s="2" t="s">
        <v>37</v>
      </c>
      <c r="G1208" s="2" t="s">
        <v>32</v>
      </c>
      <c r="H1208" s="2" t="s">
        <v>17</v>
      </c>
      <c r="I1208" s="2" t="s">
        <v>17</v>
      </c>
      <c r="J1208">
        <v>0.32</v>
      </c>
      <c r="K1208" s="4">
        <v>44279</v>
      </c>
    </row>
    <row r="1209" spans="1:11" x14ac:dyDescent="0.3">
      <c r="A1209" t="s">
        <v>2441</v>
      </c>
      <c r="B1209" s="2" t="s">
        <v>2442</v>
      </c>
      <c r="C1209">
        <v>27</v>
      </c>
      <c r="D1209" s="2" t="s">
        <v>21</v>
      </c>
      <c r="E1209" s="2" t="s">
        <v>14</v>
      </c>
      <c r="F1209" s="2" t="s">
        <v>37</v>
      </c>
      <c r="G1209" s="2" t="s">
        <v>27</v>
      </c>
      <c r="H1209" s="2" t="s">
        <v>17</v>
      </c>
      <c r="I1209" s="2" t="s">
        <v>17</v>
      </c>
      <c r="J1209">
        <v>0.46</v>
      </c>
      <c r="K1209" s="4">
        <v>43245</v>
      </c>
    </row>
    <row r="1210" spans="1:11" x14ac:dyDescent="0.3">
      <c r="A1210" t="s">
        <v>2443</v>
      </c>
      <c r="B1210" s="2" t="s">
        <v>2444</v>
      </c>
      <c r="C1210">
        <v>22</v>
      </c>
      <c r="D1210" s="2" t="s">
        <v>13</v>
      </c>
      <c r="E1210" s="2" t="s">
        <v>22</v>
      </c>
      <c r="F1210" s="2" t="s">
        <v>31</v>
      </c>
      <c r="G1210" s="2" t="s">
        <v>32</v>
      </c>
      <c r="H1210" s="2" t="s">
        <v>18</v>
      </c>
      <c r="I1210" s="2" t="s">
        <v>17</v>
      </c>
      <c r="J1210">
        <v>0.62</v>
      </c>
      <c r="K1210" s="4">
        <v>43414</v>
      </c>
    </row>
    <row r="1211" spans="1:11" x14ac:dyDescent="0.3">
      <c r="A1211" t="s">
        <v>2445</v>
      </c>
      <c r="B1211" s="2" t="s">
        <v>2446</v>
      </c>
      <c r="C1211">
        <v>65</v>
      </c>
      <c r="D1211" s="2" t="s">
        <v>21</v>
      </c>
      <c r="E1211" s="2" t="s">
        <v>30</v>
      </c>
      <c r="F1211" s="2" t="s">
        <v>23</v>
      </c>
      <c r="G1211" s="2" t="s">
        <v>27</v>
      </c>
      <c r="H1211" s="2" t="s">
        <v>18</v>
      </c>
      <c r="I1211" s="2" t="s">
        <v>18</v>
      </c>
      <c r="J1211">
        <v>0.33</v>
      </c>
      <c r="K1211" s="4">
        <v>44646</v>
      </c>
    </row>
    <row r="1212" spans="1:11" x14ac:dyDescent="0.3">
      <c r="A1212" t="s">
        <v>2447</v>
      </c>
      <c r="B1212" s="2" t="s">
        <v>2448</v>
      </c>
      <c r="C1212">
        <v>31</v>
      </c>
      <c r="D1212" s="2" t="s">
        <v>21</v>
      </c>
      <c r="E1212" s="2" t="s">
        <v>22</v>
      </c>
      <c r="F1212" s="2" t="s">
        <v>15</v>
      </c>
      <c r="G1212" s="2" t="s">
        <v>24</v>
      </c>
      <c r="H1212" s="2" t="s">
        <v>18</v>
      </c>
      <c r="I1212" s="2" t="s">
        <v>17</v>
      </c>
      <c r="J1212">
        <v>0.42</v>
      </c>
      <c r="K1212" s="4">
        <v>43312</v>
      </c>
    </row>
    <row r="1213" spans="1:11" x14ac:dyDescent="0.3">
      <c r="A1213" t="s">
        <v>2449</v>
      </c>
      <c r="B1213" s="2" t="s">
        <v>2450</v>
      </c>
      <c r="C1213">
        <v>28</v>
      </c>
      <c r="D1213" s="2" t="s">
        <v>13</v>
      </c>
      <c r="E1213" s="2" t="s">
        <v>30</v>
      </c>
      <c r="F1213" s="2" t="s">
        <v>31</v>
      </c>
      <c r="G1213" s="2" t="s">
        <v>66</v>
      </c>
      <c r="H1213" s="2" t="s">
        <v>17</v>
      </c>
      <c r="I1213" s="2" t="s">
        <v>17</v>
      </c>
      <c r="J1213">
        <v>0.42</v>
      </c>
      <c r="K1213" s="4">
        <v>45027</v>
      </c>
    </row>
    <row r="1214" spans="1:11" x14ac:dyDescent="0.3">
      <c r="A1214" t="s">
        <v>2451</v>
      </c>
      <c r="B1214" s="2" t="s">
        <v>2452</v>
      </c>
      <c r="C1214">
        <v>66</v>
      </c>
      <c r="D1214" s="2" t="s">
        <v>13</v>
      </c>
      <c r="E1214" s="2" t="s">
        <v>22</v>
      </c>
      <c r="F1214" s="2" t="s">
        <v>15</v>
      </c>
      <c r="G1214" s="2" t="s">
        <v>27</v>
      </c>
      <c r="H1214" s="2" t="s">
        <v>17</v>
      </c>
      <c r="I1214" s="2" t="s">
        <v>18</v>
      </c>
      <c r="J1214">
        <v>0.51</v>
      </c>
      <c r="K1214" s="4">
        <v>45257</v>
      </c>
    </row>
    <row r="1215" spans="1:11" x14ac:dyDescent="0.3">
      <c r="A1215" t="s">
        <v>2453</v>
      </c>
      <c r="B1215" s="2" t="s">
        <v>2454</v>
      </c>
      <c r="C1215">
        <v>53</v>
      </c>
      <c r="D1215" s="2" t="s">
        <v>13</v>
      </c>
      <c r="E1215" s="2" t="s">
        <v>14</v>
      </c>
      <c r="F1215" s="2" t="s">
        <v>15</v>
      </c>
      <c r="G1215" s="2" t="s">
        <v>66</v>
      </c>
      <c r="H1215" s="2" t="s">
        <v>17</v>
      </c>
      <c r="I1215" s="2" t="s">
        <v>18</v>
      </c>
      <c r="J1215">
        <v>0.46</v>
      </c>
      <c r="K1215" s="4">
        <v>43376</v>
      </c>
    </row>
    <row r="1216" spans="1:11" x14ac:dyDescent="0.3">
      <c r="A1216" t="s">
        <v>2455</v>
      </c>
      <c r="B1216" s="2" t="s">
        <v>2456</v>
      </c>
      <c r="C1216">
        <v>50</v>
      </c>
      <c r="D1216" s="2" t="s">
        <v>21</v>
      </c>
      <c r="E1216" s="2" t="s">
        <v>22</v>
      </c>
      <c r="F1216" s="2" t="s">
        <v>23</v>
      </c>
      <c r="G1216" s="2" t="s">
        <v>66</v>
      </c>
      <c r="H1216" s="2" t="s">
        <v>18</v>
      </c>
      <c r="I1216" s="2" t="s">
        <v>17</v>
      </c>
      <c r="J1216">
        <v>0.79</v>
      </c>
      <c r="K1216" s="4">
        <v>43894</v>
      </c>
    </row>
    <row r="1217" spans="1:11" x14ac:dyDescent="0.3">
      <c r="A1217" t="s">
        <v>2457</v>
      </c>
      <c r="B1217" s="2" t="s">
        <v>2458</v>
      </c>
      <c r="C1217">
        <v>21</v>
      </c>
      <c r="D1217" s="2" t="s">
        <v>13</v>
      </c>
      <c r="E1217" s="2" t="s">
        <v>14</v>
      </c>
      <c r="F1217" s="2" t="s">
        <v>15</v>
      </c>
      <c r="G1217" s="2" t="s">
        <v>27</v>
      </c>
      <c r="H1217" s="2" t="s">
        <v>17</v>
      </c>
      <c r="I1217" s="2" t="s">
        <v>17</v>
      </c>
      <c r="J1217">
        <v>0.08</v>
      </c>
      <c r="K1217" s="4">
        <v>45108</v>
      </c>
    </row>
    <row r="1218" spans="1:11" x14ac:dyDescent="0.3">
      <c r="A1218" t="s">
        <v>2459</v>
      </c>
      <c r="B1218" s="2" t="s">
        <v>2460</v>
      </c>
      <c r="C1218">
        <v>44</v>
      </c>
      <c r="D1218" s="2" t="s">
        <v>21</v>
      </c>
      <c r="E1218" s="2" t="s">
        <v>30</v>
      </c>
      <c r="F1218" s="2" t="s">
        <v>37</v>
      </c>
      <c r="G1218" s="2" t="s">
        <v>24</v>
      </c>
      <c r="H1218" s="2" t="s">
        <v>18</v>
      </c>
      <c r="I1218" s="2" t="s">
        <v>18</v>
      </c>
      <c r="J1218">
        <v>0.85</v>
      </c>
      <c r="K1218" s="4">
        <v>44803</v>
      </c>
    </row>
    <row r="1219" spans="1:11" x14ac:dyDescent="0.3">
      <c r="A1219" t="s">
        <v>2461</v>
      </c>
      <c r="B1219" s="2" t="s">
        <v>2462</v>
      </c>
      <c r="C1219">
        <v>41</v>
      </c>
      <c r="D1219" s="2" t="s">
        <v>13</v>
      </c>
      <c r="E1219" s="2" t="s">
        <v>14</v>
      </c>
      <c r="F1219" s="2" t="s">
        <v>23</v>
      </c>
      <c r="G1219" s="2" t="s">
        <v>16</v>
      </c>
      <c r="H1219" s="2" t="s">
        <v>18</v>
      </c>
      <c r="I1219" s="2" t="s">
        <v>17</v>
      </c>
      <c r="J1219">
        <v>0.5</v>
      </c>
      <c r="K1219" s="4">
        <v>43959</v>
      </c>
    </row>
    <row r="1220" spans="1:11" x14ac:dyDescent="0.3">
      <c r="A1220" t="s">
        <v>2463</v>
      </c>
      <c r="B1220" s="2" t="s">
        <v>2464</v>
      </c>
      <c r="C1220">
        <v>65</v>
      </c>
      <c r="D1220" s="2" t="s">
        <v>13</v>
      </c>
      <c r="E1220" s="2" t="s">
        <v>22</v>
      </c>
      <c r="F1220" s="2" t="s">
        <v>37</v>
      </c>
      <c r="G1220" s="2" t="s">
        <v>24</v>
      </c>
      <c r="H1220" s="2" t="s">
        <v>18</v>
      </c>
      <c r="I1220" s="2" t="s">
        <v>18</v>
      </c>
      <c r="J1220">
        <v>0.77</v>
      </c>
      <c r="K1220" s="4">
        <v>43823</v>
      </c>
    </row>
    <row r="1221" spans="1:11" x14ac:dyDescent="0.3">
      <c r="A1221" t="s">
        <v>2465</v>
      </c>
      <c r="B1221" s="2" t="s">
        <v>2466</v>
      </c>
      <c r="C1221">
        <v>32</v>
      </c>
      <c r="D1221" s="2" t="s">
        <v>21</v>
      </c>
      <c r="E1221" s="2" t="s">
        <v>22</v>
      </c>
      <c r="F1221" s="2" t="s">
        <v>23</v>
      </c>
      <c r="G1221" s="2" t="s">
        <v>66</v>
      </c>
      <c r="H1221" s="2" t="s">
        <v>18</v>
      </c>
      <c r="I1221" s="2" t="s">
        <v>17</v>
      </c>
      <c r="J1221">
        <v>0.62</v>
      </c>
      <c r="K1221" s="4">
        <v>44524</v>
      </c>
    </row>
    <row r="1222" spans="1:11" x14ac:dyDescent="0.3">
      <c r="A1222" t="s">
        <v>2467</v>
      </c>
      <c r="B1222" s="2" t="s">
        <v>2468</v>
      </c>
      <c r="C1222">
        <v>33</v>
      </c>
      <c r="D1222" s="2" t="s">
        <v>21</v>
      </c>
      <c r="E1222" s="2" t="s">
        <v>30</v>
      </c>
      <c r="F1222" s="2" t="s">
        <v>23</v>
      </c>
      <c r="G1222" s="2" t="s">
        <v>27</v>
      </c>
      <c r="H1222" s="2" t="s">
        <v>17</v>
      </c>
      <c r="I1222" s="2" t="s">
        <v>18</v>
      </c>
      <c r="J1222">
        <v>0.78</v>
      </c>
      <c r="K1222" s="4">
        <v>45006</v>
      </c>
    </row>
    <row r="1223" spans="1:11" x14ac:dyDescent="0.3">
      <c r="A1223" t="s">
        <v>2469</v>
      </c>
      <c r="B1223" s="2" t="s">
        <v>2470</v>
      </c>
      <c r="C1223">
        <v>52</v>
      </c>
      <c r="D1223" s="2" t="s">
        <v>13</v>
      </c>
      <c r="E1223" s="2" t="s">
        <v>14</v>
      </c>
      <c r="F1223" s="2" t="s">
        <v>15</v>
      </c>
      <c r="G1223" s="2" t="s">
        <v>27</v>
      </c>
      <c r="H1223" s="2" t="s">
        <v>17</v>
      </c>
      <c r="I1223" s="2" t="s">
        <v>17</v>
      </c>
      <c r="J1223">
        <v>0.42</v>
      </c>
      <c r="K1223" s="4">
        <v>44052</v>
      </c>
    </row>
    <row r="1224" spans="1:11" x14ac:dyDescent="0.3">
      <c r="A1224" t="s">
        <v>2471</v>
      </c>
      <c r="B1224" s="2" t="s">
        <v>2472</v>
      </c>
      <c r="C1224">
        <v>66</v>
      </c>
      <c r="D1224" s="2" t="s">
        <v>21</v>
      </c>
      <c r="E1224" s="2" t="s">
        <v>14</v>
      </c>
      <c r="F1224" s="2" t="s">
        <v>15</v>
      </c>
      <c r="G1224" s="2" t="s">
        <v>66</v>
      </c>
      <c r="H1224" s="2" t="s">
        <v>18</v>
      </c>
      <c r="I1224" s="2" t="s">
        <v>17</v>
      </c>
      <c r="J1224">
        <v>0.56999999999999995</v>
      </c>
      <c r="K1224" s="4">
        <v>43255</v>
      </c>
    </row>
    <row r="1225" spans="1:11" x14ac:dyDescent="0.3">
      <c r="A1225" t="s">
        <v>2473</v>
      </c>
      <c r="B1225" s="2" t="s">
        <v>2474</v>
      </c>
      <c r="C1225">
        <v>37</v>
      </c>
      <c r="D1225" s="2" t="s">
        <v>13</v>
      </c>
      <c r="E1225" s="2" t="s">
        <v>30</v>
      </c>
      <c r="F1225" s="2" t="s">
        <v>31</v>
      </c>
      <c r="G1225" s="2" t="s">
        <v>27</v>
      </c>
      <c r="H1225" s="2" t="s">
        <v>17</v>
      </c>
      <c r="I1225" s="2" t="s">
        <v>18</v>
      </c>
      <c r="J1225">
        <v>0.68</v>
      </c>
      <c r="K1225" s="4">
        <v>44202</v>
      </c>
    </row>
    <row r="1226" spans="1:11" x14ac:dyDescent="0.3">
      <c r="A1226" t="s">
        <v>2475</v>
      </c>
      <c r="B1226" s="2" t="s">
        <v>2476</v>
      </c>
      <c r="C1226">
        <v>40</v>
      </c>
      <c r="D1226" s="2" t="s">
        <v>13</v>
      </c>
      <c r="E1226" s="2" t="s">
        <v>30</v>
      </c>
      <c r="F1226" s="2" t="s">
        <v>23</v>
      </c>
      <c r="G1226" s="2" t="s">
        <v>16</v>
      </c>
      <c r="H1226" s="2" t="s">
        <v>18</v>
      </c>
      <c r="I1226" s="2" t="s">
        <v>18</v>
      </c>
      <c r="J1226">
        <v>0.55000000000000004</v>
      </c>
      <c r="K1226" s="4">
        <v>44662</v>
      </c>
    </row>
    <row r="1227" spans="1:11" x14ac:dyDescent="0.3">
      <c r="A1227" t="s">
        <v>2477</v>
      </c>
      <c r="B1227" s="2" t="s">
        <v>2478</v>
      </c>
      <c r="C1227">
        <v>22</v>
      </c>
      <c r="D1227" s="2" t="s">
        <v>21</v>
      </c>
      <c r="E1227" s="2" t="s">
        <v>14</v>
      </c>
      <c r="F1227" s="2" t="s">
        <v>31</v>
      </c>
      <c r="G1227" s="2" t="s">
        <v>24</v>
      </c>
      <c r="H1227" s="2" t="s">
        <v>18</v>
      </c>
      <c r="I1227" s="2" t="s">
        <v>17</v>
      </c>
      <c r="J1227">
        <v>0.6</v>
      </c>
      <c r="K1227" s="4">
        <v>44576</v>
      </c>
    </row>
    <row r="1228" spans="1:11" x14ac:dyDescent="0.3">
      <c r="A1228" t="s">
        <v>2479</v>
      </c>
      <c r="B1228" s="2" t="s">
        <v>2480</v>
      </c>
      <c r="C1228">
        <v>33</v>
      </c>
      <c r="D1228" s="2" t="s">
        <v>13</v>
      </c>
      <c r="E1228" s="2" t="s">
        <v>14</v>
      </c>
      <c r="F1228" s="2" t="s">
        <v>15</v>
      </c>
      <c r="G1228" s="2" t="s">
        <v>27</v>
      </c>
      <c r="H1228" s="2" t="s">
        <v>18</v>
      </c>
      <c r="I1228" s="2" t="s">
        <v>18</v>
      </c>
      <c r="J1228">
        <v>0.44</v>
      </c>
      <c r="K1228" s="4">
        <v>43170</v>
      </c>
    </row>
    <row r="1229" spans="1:11" x14ac:dyDescent="0.3">
      <c r="A1229" t="s">
        <v>2481</v>
      </c>
      <c r="B1229" s="2" t="s">
        <v>2482</v>
      </c>
      <c r="C1229">
        <v>48</v>
      </c>
      <c r="D1229" s="2" t="s">
        <v>13</v>
      </c>
      <c r="E1229" s="2" t="s">
        <v>30</v>
      </c>
      <c r="F1229" s="2" t="s">
        <v>37</v>
      </c>
      <c r="G1229" s="2" t="s">
        <v>66</v>
      </c>
      <c r="H1229" s="2" t="s">
        <v>18</v>
      </c>
      <c r="I1229" s="2" t="s">
        <v>17</v>
      </c>
      <c r="J1229">
        <v>0.65</v>
      </c>
      <c r="K1229" s="4">
        <v>44591</v>
      </c>
    </row>
    <row r="1230" spans="1:11" x14ac:dyDescent="0.3">
      <c r="A1230" t="s">
        <v>2483</v>
      </c>
      <c r="B1230" s="2" t="s">
        <v>2484</v>
      </c>
      <c r="C1230">
        <v>18</v>
      </c>
      <c r="D1230" s="2" t="s">
        <v>13</v>
      </c>
      <c r="E1230" s="2" t="s">
        <v>14</v>
      </c>
      <c r="F1230" s="2" t="s">
        <v>37</v>
      </c>
      <c r="G1230" s="2" t="s">
        <v>27</v>
      </c>
      <c r="H1230" s="2" t="s">
        <v>17</v>
      </c>
      <c r="I1230" s="2" t="s">
        <v>18</v>
      </c>
      <c r="J1230">
        <v>0.48</v>
      </c>
      <c r="K1230" s="4">
        <v>44633</v>
      </c>
    </row>
    <row r="1231" spans="1:11" x14ac:dyDescent="0.3">
      <c r="A1231" t="s">
        <v>2485</v>
      </c>
      <c r="B1231" s="2" t="s">
        <v>2486</v>
      </c>
      <c r="C1231">
        <v>30</v>
      </c>
      <c r="D1231" s="2" t="s">
        <v>21</v>
      </c>
      <c r="E1231" s="2" t="s">
        <v>22</v>
      </c>
      <c r="F1231" s="2" t="s">
        <v>31</v>
      </c>
      <c r="G1231" s="2" t="s">
        <v>32</v>
      </c>
      <c r="H1231" s="2" t="s">
        <v>17</v>
      </c>
      <c r="I1231" s="2" t="s">
        <v>17</v>
      </c>
      <c r="J1231">
        <v>0.68</v>
      </c>
      <c r="K1231" s="4">
        <v>44566</v>
      </c>
    </row>
    <row r="1232" spans="1:11" x14ac:dyDescent="0.3">
      <c r="A1232" t="s">
        <v>2487</v>
      </c>
      <c r="B1232" s="2" t="s">
        <v>2488</v>
      </c>
      <c r="C1232">
        <v>50</v>
      </c>
      <c r="D1232" s="2" t="s">
        <v>21</v>
      </c>
      <c r="E1232" s="2" t="s">
        <v>14</v>
      </c>
      <c r="F1232" s="2" t="s">
        <v>37</v>
      </c>
      <c r="G1232" s="2" t="s">
        <v>81</v>
      </c>
      <c r="H1232" s="2" t="s">
        <v>18</v>
      </c>
      <c r="I1232" s="2" t="s">
        <v>18</v>
      </c>
      <c r="J1232">
        <v>0.75</v>
      </c>
      <c r="K1232" s="4">
        <v>44168</v>
      </c>
    </row>
    <row r="1233" spans="1:11" x14ac:dyDescent="0.3">
      <c r="A1233" t="s">
        <v>2489</v>
      </c>
      <c r="B1233" s="2" t="s">
        <v>2490</v>
      </c>
      <c r="C1233">
        <v>23</v>
      </c>
      <c r="D1233" s="2" t="s">
        <v>13</v>
      </c>
      <c r="E1233" s="2" t="s">
        <v>22</v>
      </c>
      <c r="F1233" s="2" t="s">
        <v>15</v>
      </c>
      <c r="G1233" s="2" t="s">
        <v>24</v>
      </c>
      <c r="H1233" s="2" t="s">
        <v>17</v>
      </c>
      <c r="I1233" s="2" t="s">
        <v>18</v>
      </c>
      <c r="J1233">
        <v>0.52</v>
      </c>
      <c r="K1233" s="4">
        <v>43280</v>
      </c>
    </row>
    <row r="1234" spans="1:11" x14ac:dyDescent="0.3">
      <c r="A1234" t="s">
        <v>2491</v>
      </c>
      <c r="B1234" s="2" t="s">
        <v>2492</v>
      </c>
      <c r="C1234">
        <v>37</v>
      </c>
      <c r="D1234" s="2" t="s">
        <v>21</v>
      </c>
      <c r="E1234" s="2" t="s">
        <v>22</v>
      </c>
      <c r="F1234" s="2" t="s">
        <v>37</v>
      </c>
      <c r="G1234" s="2" t="s">
        <v>16</v>
      </c>
      <c r="H1234" s="2" t="s">
        <v>18</v>
      </c>
      <c r="I1234" s="2" t="s">
        <v>18</v>
      </c>
      <c r="J1234">
        <v>0.81</v>
      </c>
      <c r="K1234" s="4">
        <v>45249</v>
      </c>
    </row>
    <row r="1235" spans="1:11" x14ac:dyDescent="0.3">
      <c r="A1235" t="s">
        <v>2493</v>
      </c>
      <c r="B1235" s="2" t="s">
        <v>2494</v>
      </c>
      <c r="C1235">
        <v>67</v>
      </c>
      <c r="D1235" s="2" t="s">
        <v>13</v>
      </c>
      <c r="E1235" s="2" t="s">
        <v>30</v>
      </c>
      <c r="F1235" s="2" t="s">
        <v>37</v>
      </c>
      <c r="G1235" s="2" t="s">
        <v>16</v>
      </c>
      <c r="H1235" s="2" t="s">
        <v>17</v>
      </c>
      <c r="I1235" s="2" t="s">
        <v>18</v>
      </c>
      <c r="J1235">
        <v>0.2</v>
      </c>
      <c r="K1235" s="4">
        <v>43521</v>
      </c>
    </row>
    <row r="1236" spans="1:11" x14ac:dyDescent="0.3">
      <c r="A1236" t="s">
        <v>2495</v>
      </c>
      <c r="B1236" s="2" t="s">
        <v>2496</v>
      </c>
      <c r="C1236">
        <v>56</v>
      </c>
      <c r="D1236" s="2" t="s">
        <v>21</v>
      </c>
      <c r="E1236" s="2" t="s">
        <v>22</v>
      </c>
      <c r="F1236" s="2" t="s">
        <v>23</v>
      </c>
      <c r="G1236" s="2" t="s">
        <v>66</v>
      </c>
      <c r="H1236" s="2" t="s">
        <v>17</v>
      </c>
      <c r="I1236" s="2" t="s">
        <v>17</v>
      </c>
      <c r="J1236">
        <v>0.23</v>
      </c>
      <c r="K1236" s="4">
        <v>45291</v>
      </c>
    </row>
    <row r="1237" spans="1:11" x14ac:dyDescent="0.3">
      <c r="A1237" t="s">
        <v>2497</v>
      </c>
      <c r="B1237" s="2" t="s">
        <v>2498</v>
      </c>
      <c r="C1237">
        <v>58</v>
      </c>
      <c r="D1237" s="2" t="s">
        <v>13</v>
      </c>
      <c r="E1237" s="2" t="s">
        <v>30</v>
      </c>
      <c r="F1237" s="2" t="s">
        <v>31</v>
      </c>
      <c r="G1237" s="2" t="s">
        <v>27</v>
      </c>
      <c r="H1237" s="2" t="s">
        <v>17</v>
      </c>
      <c r="I1237" s="2" t="s">
        <v>18</v>
      </c>
      <c r="J1237">
        <v>0.83</v>
      </c>
      <c r="K1237" s="4">
        <v>43175</v>
      </c>
    </row>
    <row r="1238" spans="1:11" x14ac:dyDescent="0.3">
      <c r="A1238" t="s">
        <v>2499</v>
      </c>
      <c r="B1238" s="2" t="s">
        <v>2500</v>
      </c>
      <c r="C1238">
        <v>33</v>
      </c>
      <c r="D1238" s="2" t="s">
        <v>13</v>
      </c>
      <c r="E1238" s="2" t="s">
        <v>30</v>
      </c>
      <c r="F1238" s="2" t="s">
        <v>31</v>
      </c>
      <c r="G1238" s="2" t="s">
        <v>66</v>
      </c>
      <c r="H1238" s="2" t="s">
        <v>18</v>
      </c>
      <c r="I1238" s="2" t="s">
        <v>18</v>
      </c>
      <c r="J1238">
        <v>0.23</v>
      </c>
      <c r="K1238" s="4">
        <v>43253</v>
      </c>
    </row>
    <row r="1239" spans="1:11" x14ac:dyDescent="0.3">
      <c r="A1239" t="s">
        <v>2501</v>
      </c>
      <c r="B1239" s="2" t="s">
        <v>2502</v>
      </c>
      <c r="C1239">
        <v>38</v>
      </c>
      <c r="D1239" s="2" t="s">
        <v>21</v>
      </c>
      <c r="E1239" s="2" t="s">
        <v>22</v>
      </c>
      <c r="F1239" s="2" t="s">
        <v>15</v>
      </c>
      <c r="G1239" s="2" t="s">
        <v>27</v>
      </c>
      <c r="H1239" s="2" t="s">
        <v>18</v>
      </c>
      <c r="I1239" s="2" t="s">
        <v>17</v>
      </c>
      <c r="J1239">
        <v>0.31</v>
      </c>
      <c r="K1239" s="4">
        <v>44092</v>
      </c>
    </row>
    <row r="1240" spans="1:11" x14ac:dyDescent="0.3">
      <c r="A1240" t="s">
        <v>2503</v>
      </c>
      <c r="B1240" s="2" t="s">
        <v>2504</v>
      </c>
      <c r="C1240">
        <v>26</v>
      </c>
      <c r="D1240" s="2" t="s">
        <v>21</v>
      </c>
      <c r="E1240" s="2" t="s">
        <v>22</v>
      </c>
      <c r="F1240" s="2" t="s">
        <v>23</v>
      </c>
      <c r="G1240" s="2" t="s">
        <v>66</v>
      </c>
      <c r="H1240" s="2" t="s">
        <v>18</v>
      </c>
      <c r="I1240" s="2" t="s">
        <v>17</v>
      </c>
      <c r="J1240">
        <v>0.94</v>
      </c>
      <c r="K1240" s="4">
        <v>43703</v>
      </c>
    </row>
    <row r="1241" spans="1:11" x14ac:dyDescent="0.3">
      <c r="A1241" t="s">
        <v>2505</v>
      </c>
      <c r="B1241" s="2" t="s">
        <v>2506</v>
      </c>
      <c r="C1241">
        <v>22</v>
      </c>
      <c r="D1241" s="2" t="s">
        <v>13</v>
      </c>
      <c r="E1241" s="2" t="s">
        <v>14</v>
      </c>
      <c r="F1241" s="2" t="s">
        <v>15</v>
      </c>
      <c r="G1241" s="2" t="s">
        <v>27</v>
      </c>
      <c r="H1241" s="2" t="s">
        <v>18</v>
      </c>
      <c r="I1241" s="2" t="s">
        <v>18</v>
      </c>
      <c r="J1241">
        <v>0.55000000000000004</v>
      </c>
      <c r="K1241" s="4">
        <v>43986</v>
      </c>
    </row>
    <row r="1242" spans="1:11" x14ac:dyDescent="0.3">
      <c r="A1242" t="s">
        <v>2507</v>
      </c>
      <c r="B1242" s="2" t="s">
        <v>2508</v>
      </c>
      <c r="C1242">
        <v>31</v>
      </c>
      <c r="D1242" s="2" t="s">
        <v>13</v>
      </c>
      <c r="E1242" s="2" t="s">
        <v>22</v>
      </c>
      <c r="F1242" s="2" t="s">
        <v>15</v>
      </c>
      <c r="G1242" s="2" t="s">
        <v>66</v>
      </c>
      <c r="H1242" s="2" t="s">
        <v>18</v>
      </c>
      <c r="I1242" s="2" t="s">
        <v>17</v>
      </c>
      <c r="J1242">
        <v>0.4</v>
      </c>
      <c r="K1242" s="4">
        <v>43109</v>
      </c>
    </row>
    <row r="1243" spans="1:11" x14ac:dyDescent="0.3">
      <c r="A1243" t="s">
        <v>2509</v>
      </c>
      <c r="B1243" s="2" t="s">
        <v>2510</v>
      </c>
      <c r="C1243">
        <v>38</v>
      </c>
      <c r="D1243" s="2" t="s">
        <v>13</v>
      </c>
      <c r="E1243" s="2" t="s">
        <v>22</v>
      </c>
      <c r="F1243" s="2" t="s">
        <v>37</v>
      </c>
      <c r="G1243" s="2" t="s">
        <v>24</v>
      </c>
      <c r="H1243" s="2" t="s">
        <v>17</v>
      </c>
      <c r="I1243" s="2" t="s">
        <v>18</v>
      </c>
      <c r="J1243">
        <v>0</v>
      </c>
      <c r="K1243" s="4">
        <v>43697</v>
      </c>
    </row>
    <row r="1244" spans="1:11" x14ac:dyDescent="0.3">
      <c r="A1244" t="s">
        <v>2511</v>
      </c>
      <c r="B1244" s="2" t="s">
        <v>2512</v>
      </c>
      <c r="C1244">
        <v>60</v>
      </c>
      <c r="D1244" s="2" t="s">
        <v>21</v>
      </c>
      <c r="E1244" s="2" t="s">
        <v>22</v>
      </c>
      <c r="F1244" s="2" t="s">
        <v>31</v>
      </c>
      <c r="G1244" s="2" t="s">
        <v>32</v>
      </c>
      <c r="H1244" s="2" t="s">
        <v>17</v>
      </c>
      <c r="I1244" s="2" t="s">
        <v>18</v>
      </c>
      <c r="J1244">
        <v>0.28000000000000003</v>
      </c>
      <c r="K1244" s="4">
        <v>43192</v>
      </c>
    </row>
    <row r="1245" spans="1:11" x14ac:dyDescent="0.3">
      <c r="A1245" t="s">
        <v>2513</v>
      </c>
      <c r="B1245" s="2" t="s">
        <v>2514</v>
      </c>
      <c r="C1245">
        <v>59</v>
      </c>
      <c r="D1245" s="2" t="s">
        <v>13</v>
      </c>
      <c r="E1245" s="2" t="s">
        <v>14</v>
      </c>
      <c r="F1245" s="2" t="s">
        <v>31</v>
      </c>
      <c r="G1245" s="2" t="s">
        <v>66</v>
      </c>
      <c r="H1245" s="2" t="s">
        <v>18</v>
      </c>
      <c r="I1245" s="2" t="s">
        <v>18</v>
      </c>
      <c r="J1245">
        <v>0.61</v>
      </c>
      <c r="K1245" s="4">
        <v>43212</v>
      </c>
    </row>
    <row r="1246" spans="1:11" x14ac:dyDescent="0.3">
      <c r="A1246" t="s">
        <v>2515</v>
      </c>
      <c r="B1246" s="2" t="s">
        <v>2516</v>
      </c>
      <c r="C1246">
        <v>68</v>
      </c>
      <c r="D1246" s="2" t="s">
        <v>13</v>
      </c>
      <c r="E1246" s="2" t="s">
        <v>14</v>
      </c>
      <c r="F1246" s="2" t="s">
        <v>31</v>
      </c>
      <c r="G1246" s="2" t="s">
        <v>16</v>
      </c>
      <c r="H1246" s="2" t="s">
        <v>18</v>
      </c>
      <c r="I1246" s="2" t="s">
        <v>18</v>
      </c>
      <c r="J1246">
        <v>0.56000000000000005</v>
      </c>
      <c r="K1246" s="4">
        <v>44185</v>
      </c>
    </row>
    <row r="1247" spans="1:11" x14ac:dyDescent="0.3">
      <c r="A1247" t="s">
        <v>2517</v>
      </c>
      <c r="B1247" s="2" t="s">
        <v>2518</v>
      </c>
      <c r="C1247">
        <v>61</v>
      </c>
      <c r="D1247" s="2" t="s">
        <v>21</v>
      </c>
      <c r="E1247" s="2" t="s">
        <v>14</v>
      </c>
      <c r="F1247" s="2" t="s">
        <v>31</v>
      </c>
      <c r="G1247" s="2" t="s">
        <v>81</v>
      </c>
      <c r="H1247" s="2" t="s">
        <v>17</v>
      </c>
      <c r="I1247" s="2" t="s">
        <v>17</v>
      </c>
      <c r="J1247">
        <v>0.4</v>
      </c>
      <c r="K1247" s="4">
        <v>43578</v>
      </c>
    </row>
    <row r="1248" spans="1:11" x14ac:dyDescent="0.3">
      <c r="A1248" t="s">
        <v>2519</v>
      </c>
      <c r="B1248" s="2" t="s">
        <v>2520</v>
      </c>
      <c r="C1248">
        <v>43</v>
      </c>
      <c r="D1248" s="2" t="s">
        <v>21</v>
      </c>
      <c r="E1248" s="2" t="s">
        <v>30</v>
      </c>
      <c r="F1248" s="2" t="s">
        <v>31</v>
      </c>
      <c r="G1248" s="2" t="s">
        <v>81</v>
      </c>
      <c r="H1248" s="2" t="s">
        <v>17</v>
      </c>
      <c r="I1248" s="2" t="s">
        <v>17</v>
      </c>
      <c r="J1248">
        <v>0.35</v>
      </c>
      <c r="K1248" s="4">
        <v>44771</v>
      </c>
    </row>
    <row r="1249" spans="1:11" x14ac:dyDescent="0.3">
      <c r="A1249" t="s">
        <v>2521</v>
      </c>
      <c r="B1249" s="2" t="s">
        <v>2522</v>
      </c>
      <c r="C1249">
        <v>57</v>
      </c>
      <c r="D1249" s="2" t="s">
        <v>21</v>
      </c>
      <c r="E1249" s="2" t="s">
        <v>30</v>
      </c>
      <c r="F1249" s="2" t="s">
        <v>37</v>
      </c>
      <c r="G1249" s="2" t="s">
        <v>27</v>
      </c>
      <c r="H1249" s="2" t="s">
        <v>17</v>
      </c>
      <c r="I1249" s="2" t="s">
        <v>17</v>
      </c>
      <c r="J1249">
        <v>0.77</v>
      </c>
      <c r="K1249" s="4">
        <v>44587</v>
      </c>
    </row>
    <row r="1250" spans="1:11" x14ac:dyDescent="0.3">
      <c r="A1250" t="s">
        <v>2523</v>
      </c>
      <c r="B1250" s="2" t="s">
        <v>2524</v>
      </c>
      <c r="C1250">
        <v>20</v>
      </c>
      <c r="D1250" s="2" t="s">
        <v>13</v>
      </c>
      <c r="E1250" s="2" t="s">
        <v>30</v>
      </c>
      <c r="F1250" s="2" t="s">
        <v>23</v>
      </c>
      <c r="G1250" s="2" t="s">
        <v>24</v>
      </c>
      <c r="H1250" s="2" t="s">
        <v>18</v>
      </c>
      <c r="I1250" s="2" t="s">
        <v>18</v>
      </c>
      <c r="J1250">
        <v>0.65</v>
      </c>
      <c r="K1250" s="4">
        <v>43102</v>
      </c>
    </row>
    <row r="1251" spans="1:11" x14ac:dyDescent="0.3">
      <c r="A1251" t="s">
        <v>2525</v>
      </c>
      <c r="B1251" s="2" t="s">
        <v>2526</v>
      </c>
      <c r="C1251">
        <v>20</v>
      </c>
      <c r="D1251" s="2" t="s">
        <v>21</v>
      </c>
      <c r="E1251" s="2" t="s">
        <v>14</v>
      </c>
      <c r="F1251" s="2" t="s">
        <v>23</v>
      </c>
      <c r="G1251" s="2" t="s">
        <v>16</v>
      </c>
      <c r="H1251" s="2" t="s">
        <v>18</v>
      </c>
      <c r="I1251" s="2" t="s">
        <v>18</v>
      </c>
      <c r="J1251">
        <v>0.27</v>
      </c>
      <c r="K1251" s="4">
        <v>44644</v>
      </c>
    </row>
    <row r="1252" spans="1:11" x14ac:dyDescent="0.3">
      <c r="A1252" t="s">
        <v>2527</v>
      </c>
      <c r="B1252" s="2" t="s">
        <v>2528</v>
      </c>
      <c r="C1252">
        <v>52</v>
      </c>
      <c r="D1252" s="2" t="s">
        <v>13</v>
      </c>
      <c r="E1252" s="2" t="s">
        <v>14</v>
      </c>
      <c r="F1252" s="2" t="s">
        <v>15</v>
      </c>
      <c r="G1252" s="2" t="s">
        <v>32</v>
      </c>
      <c r="H1252" s="2" t="s">
        <v>18</v>
      </c>
      <c r="I1252" s="2" t="s">
        <v>17</v>
      </c>
      <c r="J1252">
        <v>0.52</v>
      </c>
      <c r="K1252" s="4">
        <v>44833</v>
      </c>
    </row>
    <row r="1253" spans="1:11" x14ac:dyDescent="0.3">
      <c r="A1253" t="s">
        <v>2529</v>
      </c>
      <c r="B1253" s="2" t="s">
        <v>2530</v>
      </c>
      <c r="C1253">
        <v>61</v>
      </c>
      <c r="D1253" s="2" t="s">
        <v>21</v>
      </c>
      <c r="E1253" s="2" t="s">
        <v>14</v>
      </c>
      <c r="F1253" s="2" t="s">
        <v>31</v>
      </c>
      <c r="G1253" s="2" t="s">
        <v>24</v>
      </c>
      <c r="H1253" s="2" t="s">
        <v>17</v>
      </c>
      <c r="I1253" s="2" t="s">
        <v>17</v>
      </c>
      <c r="J1253">
        <v>0.41</v>
      </c>
      <c r="K1253" s="4">
        <v>44946</v>
      </c>
    </row>
    <row r="1254" spans="1:11" x14ac:dyDescent="0.3">
      <c r="A1254" t="s">
        <v>2531</v>
      </c>
      <c r="B1254" s="2" t="s">
        <v>2532</v>
      </c>
      <c r="C1254">
        <v>66</v>
      </c>
      <c r="D1254" s="2" t="s">
        <v>13</v>
      </c>
      <c r="E1254" s="2" t="s">
        <v>14</v>
      </c>
      <c r="F1254" s="2" t="s">
        <v>37</v>
      </c>
      <c r="G1254" s="2" t="s">
        <v>16</v>
      </c>
      <c r="H1254" s="2" t="s">
        <v>18</v>
      </c>
      <c r="I1254" s="2" t="s">
        <v>18</v>
      </c>
      <c r="J1254">
        <v>0.5</v>
      </c>
      <c r="K1254" s="4">
        <v>43779</v>
      </c>
    </row>
    <row r="1255" spans="1:11" x14ac:dyDescent="0.3">
      <c r="A1255" t="s">
        <v>2533</v>
      </c>
      <c r="B1255" s="2" t="s">
        <v>2534</v>
      </c>
      <c r="C1255">
        <v>18</v>
      </c>
      <c r="D1255" s="2" t="s">
        <v>21</v>
      </c>
      <c r="E1255" s="2" t="s">
        <v>30</v>
      </c>
      <c r="F1255" s="2" t="s">
        <v>23</v>
      </c>
      <c r="G1255" s="2" t="s">
        <v>32</v>
      </c>
      <c r="H1255" s="2" t="s">
        <v>17</v>
      </c>
      <c r="I1255" s="2" t="s">
        <v>17</v>
      </c>
      <c r="J1255">
        <v>0.25</v>
      </c>
      <c r="K1255" s="4">
        <v>43758</v>
      </c>
    </row>
    <row r="1256" spans="1:11" x14ac:dyDescent="0.3">
      <c r="A1256" t="s">
        <v>2535</v>
      </c>
      <c r="B1256" s="2" t="s">
        <v>2536</v>
      </c>
      <c r="C1256">
        <v>53</v>
      </c>
      <c r="D1256" s="2" t="s">
        <v>13</v>
      </c>
      <c r="E1256" s="2" t="s">
        <v>22</v>
      </c>
      <c r="F1256" s="2" t="s">
        <v>31</v>
      </c>
      <c r="G1256" s="2" t="s">
        <v>24</v>
      </c>
      <c r="H1256" s="2" t="s">
        <v>17</v>
      </c>
      <c r="I1256" s="2" t="s">
        <v>17</v>
      </c>
      <c r="J1256">
        <v>0.51</v>
      </c>
      <c r="K1256" s="4">
        <v>44914</v>
      </c>
    </row>
    <row r="1257" spans="1:11" x14ac:dyDescent="0.3">
      <c r="A1257" t="s">
        <v>2537</v>
      </c>
      <c r="B1257" s="2" t="s">
        <v>2538</v>
      </c>
      <c r="C1257">
        <v>60</v>
      </c>
      <c r="D1257" s="2" t="s">
        <v>13</v>
      </c>
      <c r="E1257" s="2" t="s">
        <v>22</v>
      </c>
      <c r="F1257" s="2" t="s">
        <v>31</v>
      </c>
      <c r="G1257" s="2" t="s">
        <v>81</v>
      </c>
      <c r="H1257" s="2" t="s">
        <v>18</v>
      </c>
      <c r="I1257" s="2" t="s">
        <v>17</v>
      </c>
      <c r="J1257">
        <v>0.34</v>
      </c>
      <c r="K1257" s="4">
        <v>43242</v>
      </c>
    </row>
    <row r="1258" spans="1:11" x14ac:dyDescent="0.3">
      <c r="A1258" t="s">
        <v>2539</v>
      </c>
      <c r="B1258" s="2" t="s">
        <v>2540</v>
      </c>
      <c r="C1258">
        <v>18</v>
      </c>
      <c r="D1258" s="2" t="s">
        <v>21</v>
      </c>
      <c r="E1258" s="2" t="s">
        <v>14</v>
      </c>
      <c r="F1258" s="2" t="s">
        <v>37</v>
      </c>
      <c r="G1258" s="2" t="s">
        <v>32</v>
      </c>
      <c r="H1258" s="2" t="s">
        <v>17</v>
      </c>
      <c r="I1258" s="2" t="s">
        <v>18</v>
      </c>
      <c r="J1258">
        <v>0.44</v>
      </c>
      <c r="K1258" s="4">
        <v>43949</v>
      </c>
    </row>
    <row r="1259" spans="1:11" x14ac:dyDescent="0.3">
      <c r="A1259" t="s">
        <v>2541</v>
      </c>
      <c r="B1259" s="2" t="s">
        <v>2542</v>
      </c>
      <c r="C1259">
        <v>52</v>
      </c>
      <c r="D1259" s="2" t="s">
        <v>13</v>
      </c>
      <c r="E1259" s="2" t="s">
        <v>14</v>
      </c>
      <c r="F1259" s="2" t="s">
        <v>37</v>
      </c>
      <c r="G1259" s="2" t="s">
        <v>24</v>
      </c>
      <c r="H1259" s="2" t="s">
        <v>17</v>
      </c>
      <c r="I1259" s="2" t="s">
        <v>17</v>
      </c>
      <c r="J1259">
        <v>0.47</v>
      </c>
      <c r="K1259" s="4">
        <v>44516</v>
      </c>
    </row>
    <row r="1260" spans="1:11" x14ac:dyDescent="0.3">
      <c r="A1260" t="s">
        <v>2543</v>
      </c>
      <c r="B1260" s="2" t="s">
        <v>2544</v>
      </c>
      <c r="C1260">
        <v>18</v>
      </c>
      <c r="D1260" s="2" t="s">
        <v>13</v>
      </c>
      <c r="E1260" s="2" t="s">
        <v>22</v>
      </c>
      <c r="F1260" s="2" t="s">
        <v>31</v>
      </c>
      <c r="G1260" s="2" t="s">
        <v>27</v>
      </c>
      <c r="H1260" s="2" t="s">
        <v>18</v>
      </c>
      <c r="I1260" s="2" t="s">
        <v>17</v>
      </c>
      <c r="J1260">
        <v>0.59</v>
      </c>
      <c r="K1260" s="4">
        <v>43119</v>
      </c>
    </row>
    <row r="1261" spans="1:11" x14ac:dyDescent="0.3">
      <c r="A1261" t="s">
        <v>2545</v>
      </c>
      <c r="B1261" s="2" t="s">
        <v>2546</v>
      </c>
      <c r="C1261">
        <v>24</v>
      </c>
      <c r="D1261" s="2" t="s">
        <v>21</v>
      </c>
      <c r="E1261" s="2" t="s">
        <v>14</v>
      </c>
      <c r="F1261" s="2" t="s">
        <v>15</v>
      </c>
      <c r="G1261" s="2" t="s">
        <v>81</v>
      </c>
      <c r="H1261" s="2" t="s">
        <v>17</v>
      </c>
      <c r="I1261" s="2" t="s">
        <v>17</v>
      </c>
      <c r="J1261">
        <v>0.52</v>
      </c>
      <c r="K1261" s="4">
        <v>44714</v>
      </c>
    </row>
    <row r="1262" spans="1:11" x14ac:dyDescent="0.3">
      <c r="A1262" t="s">
        <v>2547</v>
      </c>
      <c r="B1262" s="2" t="s">
        <v>2548</v>
      </c>
      <c r="C1262">
        <v>40</v>
      </c>
      <c r="D1262" s="2" t="s">
        <v>21</v>
      </c>
      <c r="E1262" s="2" t="s">
        <v>30</v>
      </c>
      <c r="F1262" s="2" t="s">
        <v>15</v>
      </c>
      <c r="G1262" s="2" t="s">
        <v>66</v>
      </c>
      <c r="H1262" s="2" t="s">
        <v>17</v>
      </c>
      <c r="I1262" s="2" t="s">
        <v>18</v>
      </c>
      <c r="J1262">
        <v>0.55000000000000004</v>
      </c>
      <c r="K1262" s="4">
        <v>43502</v>
      </c>
    </row>
    <row r="1263" spans="1:11" x14ac:dyDescent="0.3">
      <c r="A1263" t="s">
        <v>2549</v>
      </c>
      <c r="B1263" s="2" t="s">
        <v>2550</v>
      </c>
      <c r="C1263">
        <v>54</v>
      </c>
      <c r="D1263" s="2" t="s">
        <v>21</v>
      </c>
      <c r="E1263" s="2" t="s">
        <v>22</v>
      </c>
      <c r="F1263" s="2" t="s">
        <v>31</v>
      </c>
      <c r="G1263" s="2" t="s">
        <v>66</v>
      </c>
      <c r="H1263" s="2" t="s">
        <v>17</v>
      </c>
      <c r="I1263" s="2" t="s">
        <v>17</v>
      </c>
      <c r="J1263">
        <v>0.49</v>
      </c>
      <c r="K1263" s="4">
        <v>44588</v>
      </c>
    </row>
    <row r="1264" spans="1:11" x14ac:dyDescent="0.3">
      <c r="A1264" t="s">
        <v>2551</v>
      </c>
      <c r="B1264" s="2" t="s">
        <v>2552</v>
      </c>
      <c r="C1264">
        <v>53</v>
      </c>
      <c r="D1264" s="2" t="s">
        <v>13</v>
      </c>
      <c r="E1264" s="2" t="s">
        <v>14</v>
      </c>
      <c r="F1264" s="2" t="s">
        <v>23</v>
      </c>
      <c r="G1264" s="2" t="s">
        <v>24</v>
      </c>
      <c r="H1264" s="2" t="s">
        <v>17</v>
      </c>
      <c r="I1264" s="2" t="s">
        <v>17</v>
      </c>
      <c r="J1264">
        <v>0</v>
      </c>
      <c r="K1264" s="4">
        <v>43829</v>
      </c>
    </row>
    <row r="1265" spans="1:11" x14ac:dyDescent="0.3">
      <c r="A1265" t="s">
        <v>2553</v>
      </c>
      <c r="B1265" s="2" t="s">
        <v>2554</v>
      </c>
      <c r="C1265">
        <v>45</v>
      </c>
      <c r="D1265" s="2" t="s">
        <v>21</v>
      </c>
      <c r="E1265" s="2" t="s">
        <v>14</v>
      </c>
      <c r="F1265" s="2" t="s">
        <v>31</v>
      </c>
      <c r="G1265" s="2" t="s">
        <v>16</v>
      </c>
      <c r="H1265" s="2" t="s">
        <v>17</v>
      </c>
      <c r="I1265" s="2" t="s">
        <v>17</v>
      </c>
      <c r="J1265">
        <v>0.59</v>
      </c>
      <c r="K1265" s="4">
        <v>44824</v>
      </c>
    </row>
    <row r="1266" spans="1:11" x14ac:dyDescent="0.3">
      <c r="A1266" t="s">
        <v>2555</v>
      </c>
      <c r="B1266" s="2" t="s">
        <v>2556</v>
      </c>
      <c r="C1266">
        <v>43</v>
      </c>
      <c r="D1266" s="2" t="s">
        <v>13</v>
      </c>
      <c r="E1266" s="2" t="s">
        <v>22</v>
      </c>
      <c r="F1266" s="2" t="s">
        <v>37</v>
      </c>
      <c r="G1266" s="2" t="s">
        <v>27</v>
      </c>
      <c r="H1266" s="2" t="s">
        <v>17</v>
      </c>
      <c r="I1266" s="2" t="s">
        <v>17</v>
      </c>
      <c r="J1266">
        <v>0.56999999999999995</v>
      </c>
      <c r="K1266" s="4">
        <v>44338</v>
      </c>
    </row>
    <row r="1267" spans="1:11" x14ac:dyDescent="0.3">
      <c r="A1267" t="s">
        <v>2557</v>
      </c>
      <c r="B1267" s="2" t="s">
        <v>2558</v>
      </c>
      <c r="C1267">
        <v>21</v>
      </c>
      <c r="D1267" s="2" t="s">
        <v>21</v>
      </c>
      <c r="E1267" s="2" t="s">
        <v>14</v>
      </c>
      <c r="F1267" s="2" t="s">
        <v>31</v>
      </c>
      <c r="G1267" s="2" t="s">
        <v>32</v>
      </c>
      <c r="H1267" s="2" t="s">
        <v>17</v>
      </c>
      <c r="I1267" s="2" t="s">
        <v>17</v>
      </c>
      <c r="J1267">
        <v>0.71</v>
      </c>
      <c r="K1267" s="4">
        <v>43799</v>
      </c>
    </row>
    <row r="1268" spans="1:11" x14ac:dyDescent="0.3">
      <c r="A1268" t="s">
        <v>2559</v>
      </c>
      <c r="B1268" s="2" t="s">
        <v>2560</v>
      </c>
      <c r="C1268">
        <v>46</v>
      </c>
      <c r="D1268" s="2" t="s">
        <v>21</v>
      </c>
      <c r="E1268" s="2" t="s">
        <v>30</v>
      </c>
      <c r="F1268" s="2" t="s">
        <v>31</v>
      </c>
      <c r="G1268" s="2" t="s">
        <v>32</v>
      </c>
      <c r="H1268" s="2" t="s">
        <v>17</v>
      </c>
      <c r="I1268" s="2" t="s">
        <v>18</v>
      </c>
      <c r="J1268">
        <v>0.33</v>
      </c>
      <c r="K1268" s="4">
        <v>44309</v>
      </c>
    </row>
    <row r="1269" spans="1:11" x14ac:dyDescent="0.3">
      <c r="A1269" t="s">
        <v>2561</v>
      </c>
      <c r="B1269" s="2" t="s">
        <v>2562</v>
      </c>
      <c r="C1269">
        <v>60</v>
      </c>
      <c r="D1269" s="2" t="s">
        <v>13</v>
      </c>
      <c r="E1269" s="2" t="s">
        <v>30</v>
      </c>
      <c r="F1269" s="2" t="s">
        <v>23</v>
      </c>
      <c r="G1269" s="2" t="s">
        <v>66</v>
      </c>
      <c r="H1269" s="2" t="s">
        <v>18</v>
      </c>
      <c r="I1269" s="2" t="s">
        <v>17</v>
      </c>
      <c r="J1269">
        <v>0.52</v>
      </c>
      <c r="K1269" s="4">
        <v>43392</v>
      </c>
    </row>
    <row r="1270" spans="1:11" x14ac:dyDescent="0.3">
      <c r="A1270" t="s">
        <v>2563</v>
      </c>
      <c r="B1270" s="2" t="s">
        <v>2564</v>
      </c>
      <c r="C1270">
        <v>40</v>
      </c>
      <c r="D1270" s="2" t="s">
        <v>21</v>
      </c>
      <c r="E1270" s="2" t="s">
        <v>14</v>
      </c>
      <c r="F1270" s="2" t="s">
        <v>37</v>
      </c>
      <c r="G1270" s="2" t="s">
        <v>32</v>
      </c>
      <c r="H1270" s="2" t="s">
        <v>18</v>
      </c>
      <c r="I1270" s="2" t="s">
        <v>18</v>
      </c>
      <c r="J1270">
        <v>0.69</v>
      </c>
      <c r="K1270" s="4">
        <v>43367</v>
      </c>
    </row>
    <row r="1271" spans="1:11" x14ac:dyDescent="0.3">
      <c r="A1271" t="s">
        <v>2565</v>
      </c>
      <c r="B1271" s="2" t="s">
        <v>2566</v>
      </c>
      <c r="C1271">
        <v>33</v>
      </c>
      <c r="D1271" s="2" t="s">
        <v>21</v>
      </c>
      <c r="E1271" s="2" t="s">
        <v>22</v>
      </c>
      <c r="F1271" s="2" t="s">
        <v>15</v>
      </c>
      <c r="G1271" s="2" t="s">
        <v>81</v>
      </c>
      <c r="H1271" s="2" t="s">
        <v>18</v>
      </c>
      <c r="I1271" s="2" t="s">
        <v>18</v>
      </c>
      <c r="J1271">
        <v>0.72</v>
      </c>
      <c r="K1271" s="4">
        <v>44596</v>
      </c>
    </row>
    <row r="1272" spans="1:11" x14ac:dyDescent="0.3">
      <c r="A1272" t="s">
        <v>2567</v>
      </c>
      <c r="B1272" s="2" t="s">
        <v>2568</v>
      </c>
      <c r="C1272">
        <v>60</v>
      </c>
      <c r="D1272" s="2" t="s">
        <v>13</v>
      </c>
      <c r="E1272" s="2" t="s">
        <v>22</v>
      </c>
      <c r="F1272" s="2" t="s">
        <v>23</v>
      </c>
      <c r="G1272" s="2" t="s">
        <v>66</v>
      </c>
      <c r="H1272" s="2" t="s">
        <v>18</v>
      </c>
      <c r="I1272" s="2" t="s">
        <v>18</v>
      </c>
      <c r="J1272">
        <v>0.33</v>
      </c>
      <c r="K1272" s="4">
        <v>44589</v>
      </c>
    </row>
    <row r="1273" spans="1:11" x14ac:dyDescent="0.3">
      <c r="A1273" t="s">
        <v>2569</v>
      </c>
      <c r="B1273" s="2" t="s">
        <v>2570</v>
      </c>
      <c r="C1273">
        <v>39</v>
      </c>
      <c r="D1273" s="2" t="s">
        <v>13</v>
      </c>
      <c r="E1273" s="2" t="s">
        <v>22</v>
      </c>
      <c r="F1273" s="2" t="s">
        <v>15</v>
      </c>
      <c r="G1273" s="2" t="s">
        <v>24</v>
      </c>
      <c r="H1273" s="2" t="s">
        <v>17</v>
      </c>
      <c r="I1273" s="2" t="s">
        <v>17</v>
      </c>
      <c r="J1273">
        <v>0.53</v>
      </c>
      <c r="K1273" s="4">
        <v>44895</v>
      </c>
    </row>
    <row r="1274" spans="1:11" x14ac:dyDescent="0.3">
      <c r="A1274" t="s">
        <v>2571</v>
      </c>
      <c r="B1274" s="2" t="s">
        <v>2572</v>
      </c>
      <c r="C1274">
        <v>54</v>
      </c>
      <c r="D1274" s="2" t="s">
        <v>21</v>
      </c>
      <c r="E1274" s="2" t="s">
        <v>14</v>
      </c>
      <c r="F1274" s="2" t="s">
        <v>15</v>
      </c>
      <c r="G1274" s="2" t="s">
        <v>16</v>
      </c>
      <c r="H1274" s="2" t="s">
        <v>17</v>
      </c>
      <c r="I1274" s="2" t="s">
        <v>17</v>
      </c>
      <c r="J1274">
        <v>0.77</v>
      </c>
      <c r="K1274" s="4">
        <v>44255</v>
      </c>
    </row>
    <row r="1275" spans="1:11" x14ac:dyDescent="0.3">
      <c r="A1275" t="s">
        <v>2573</v>
      </c>
      <c r="B1275" s="2" t="s">
        <v>2574</v>
      </c>
      <c r="C1275">
        <v>60</v>
      </c>
      <c r="D1275" s="2" t="s">
        <v>13</v>
      </c>
      <c r="E1275" s="2" t="s">
        <v>22</v>
      </c>
      <c r="F1275" s="2" t="s">
        <v>15</v>
      </c>
      <c r="G1275" s="2" t="s">
        <v>66</v>
      </c>
      <c r="H1275" s="2" t="s">
        <v>18</v>
      </c>
      <c r="I1275" s="2" t="s">
        <v>18</v>
      </c>
      <c r="J1275">
        <v>0.74</v>
      </c>
      <c r="K1275" s="4">
        <v>45012</v>
      </c>
    </row>
    <row r="1276" spans="1:11" x14ac:dyDescent="0.3">
      <c r="A1276" t="s">
        <v>2575</v>
      </c>
      <c r="B1276" s="2" t="s">
        <v>2576</v>
      </c>
      <c r="C1276">
        <v>22</v>
      </c>
      <c r="D1276" s="2" t="s">
        <v>21</v>
      </c>
      <c r="E1276" s="2" t="s">
        <v>14</v>
      </c>
      <c r="F1276" s="2" t="s">
        <v>23</v>
      </c>
      <c r="G1276" s="2" t="s">
        <v>27</v>
      </c>
      <c r="H1276" s="2" t="s">
        <v>17</v>
      </c>
      <c r="I1276" s="2" t="s">
        <v>17</v>
      </c>
      <c r="J1276">
        <v>0.15</v>
      </c>
      <c r="K1276" s="4">
        <v>43181</v>
      </c>
    </row>
    <row r="1277" spans="1:11" x14ac:dyDescent="0.3">
      <c r="A1277" t="s">
        <v>2577</v>
      </c>
      <c r="B1277" s="2" t="s">
        <v>2578</v>
      </c>
      <c r="C1277">
        <v>51</v>
      </c>
      <c r="D1277" s="2" t="s">
        <v>13</v>
      </c>
      <c r="E1277" s="2" t="s">
        <v>30</v>
      </c>
      <c r="F1277" s="2" t="s">
        <v>37</v>
      </c>
      <c r="G1277" s="2" t="s">
        <v>81</v>
      </c>
      <c r="H1277" s="2" t="s">
        <v>18</v>
      </c>
      <c r="I1277" s="2" t="s">
        <v>18</v>
      </c>
      <c r="J1277">
        <v>0.62</v>
      </c>
      <c r="K1277" s="4">
        <v>43353</v>
      </c>
    </row>
    <row r="1278" spans="1:11" x14ac:dyDescent="0.3">
      <c r="A1278" t="s">
        <v>2579</v>
      </c>
      <c r="B1278" s="2" t="s">
        <v>2580</v>
      </c>
      <c r="C1278">
        <v>52</v>
      </c>
      <c r="D1278" s="2" t="s">
        <v>21</v>
      </c>
      <c r="E1278" s="2" t="s">
        <v>14</v>
      </c>
      <c r="F1278" s="2" t="s">
        <v>31</v>
      </c>
      <c r="G1278" s="2" t="s">
        <v>66</v>
      </c>
      <c r="H1278" s="2" t="s">
        <v>18</v>
      </c>
      <c r="I1278" s="2" t="s">
        <v>17</v>
      </c>
      <c r="J1278">
        <v>0.65</v>
      </c>
      <c r="K1278" s="4">
        <v>43809</v>
      </c>
    </row>
    <row r="1279" spans="1:11" x14ac:dyDescent="0.3">
      <c r="A1279" t="s">
        <v>2581</v>
      </c>
      <c r="B1279" s="2" t="s">
        <v>2582</v>
      </c>
      <c r="C1279">
        <v>57</v>
      </c>
      <c r="D1279" s="2" t="s">
        <v>13</v>
      </c>
      <c r="E1279" s="2" t="s">
        <v>30</v>
      </c>
      <c r="F1279" s="2" t="s">
        <v>31</v>
      </c>
      <c r="G1279" s="2" t="s">
        <v>27</v>
      </c>
      <c r="H1279" s="2" t="s">
        <v>17</v>
      </c>
      <c r="I1279" s="2" t="s">
        <v>17</v>
      </c>
      <c r="J1279">
        <v>0.57999999999999996</v>
      </c>
      <c r="K1279" s="4">
        <v>43332</v>
      </c>
    </row>
    <row r="1280" spans="1:11" x14ac:dyDescent="0.3">
      <c r="A1280" t="s">
        <v>2583</v>
      </c>
      <c r="B1280" s="2" t="s">
        <v>2584</v>
      </c>
      <c r="C1280">
        <v>31</v>
      </c>
      <c r="D1280" s="2" t="s">
        <v>21</v>
      </c>
      <c r="E1280" s="2" t="s">
        <v>14</v>
      </c>
      <c r="F1280" s="2" t="s">
        <v>31</v>
      </c>
      <c r="G1280" s="2" t="s">
        <v>27</v>
      </c>
      <c r="H1280" s="2" t="s">
        <v>18</v>
      </c>
      <c r="I1280" s="2" t="s">
        <v>17</v>
      </c>
      <c r="J1280">
        <v>0.5</v>
      </c>
      <c r="K1280" s="4">
        <v>43265</v>
      </c>
    </row>
    <row r="1281" spans="1:11" x14ac:dyDescent="0.3">
      <c r="A1281" t="s">
        <v>2585</v>
      </c>
      <c r="B1281" s="2" t="s">
        <v>2586</v>
      </c>
      <c r="C1281">
        <v>62</v>
      </c>
      <c r="D1281" s="2" t="s">
        <v>21</v>
      </c>
      <c r="E1281" s="2" t="s">
        <v>22</v>
      </c>
      <c r="F1281" s="2" t="s">
        <v>31</v>
      </c>
      <c r="G1281" s="2" t="s">
        <v>27</v>
      </c>
      <c r="H1281" s="2" t="s">
        <v>18</v>
      </c>
      <c r="I1281" s="2" t="s">
        <v>17</v>
      </c>
      <c r="J1281">
        <v>0.71</v>
      </c>
      <c r="K1281" s="4">
        <v>44618</v>
      </c>
    </row>
    <row r="1282" spans="1:11" x14ac:dyDescent="0.3">
      <c r="A1282" t="s">
        <v>2587</v>
      </c>
      <c r="B1282" s="2" t="s">
        <v>2588</v>
      </c>
      <c r="C1282">
        <v>19</v>
      </c>
      <c r="D1282" s="2" t="s">
        <v>13</v>
      </c>
      <c r="E1282" s="2" t="s">
        <v>14</v>
      </c>
      <c r="F1282" s="2" t="s">
        <v>23</v>
      </c>
      <c r="G1282" s="2" t="s">
        <v>24</v>
      </c>
      <c r="H1282" s="2" t="s">
        <v>17</v>
      </c>
      <c r="I1282" s="2" t="s">
        <v>17</v>
      </c>
      <c r="J1282">
        <v>0.65</v>
      </c>
      <c r="K1282" s="4">
        <v>43260</v>
      </c>
    </row>
    <row r="1283" spans="1:11" x14ac:dyDescent="0.3">
      <c r="A1283" t="s">
        <v>2589</v>
      </c>
      <c r="B1283" s="2" t="s">
        <v>2590</v>
      </c>
      <c r="C1283">
        <v>19</v>
      </c>
      <c r="D1283" s="2" t="s">
        <v>21</v>
      </c>
      <c r="E1283" s="2" t="s">
        <v>14</v>
      </c>
      <c r="F1283" s="2" t="s">
        <v>37</v>
      </c>
      <c r="G1283" s="2" t="s">
        <v>81</v>
      </c>
      <c r="H1283" s="2" t="s">
        <v>18</v>
      </c>
      <c r="I1283" s="2" t="s">
        <v>17</v>
      </c>
      <c r="J1283">
        <v>0.36</v>
      </c>
      <c r="K1283" s="4">
        <v>43395</v>
      </c>
    </row>
    <row r="1284" spans="1:11" x14ac:dyDescent="0.3">
      <c r="A1284" t="s">
        <v>2591</v>
      </c>
      <c r="B1284" s="2" t="s">
        <v>2592</v>
      </c>
      <c r="C1284">
        <v>33</v>
      </c>
      <c r="D1284" s="2" t="s">
        <v>21</v>
      </c>
      <c r="E1284" s="2" t="s">
        <v>30</v>
      </c>
      <c r="F1284" s="2" t="s">
        <v>23</v>
      </c>
      <c r="G1284" s="2" t="s">
        <v>81</v>
      </c>
      <c r="H1284" s="2" t="s">
        <v>17</v>
      </c>
      <c r="I1284" s="2" t="s">
        <v>18</v>
      </c>
      <c r="J1284">
        <v>0.56000000000000005</v>
      </c>
      <c r="K1284" s="4">
        <v>44189</v>
      </c>
    </row>
    <row r="1285" spans="1:11" x14ac:dyDescent="0.3">
      <c r="A1285" t="s">
        <v>2593</v>
      </c>
      <c r="B1285" s="2" t="s">
        <v>2594</v>
      </c>
      <c r="C1285">
        <v>19</v>
      </c>
      <c r="D1285" s="2" t="s">
        <v>13</v>
      </c>
      <c r="E1285" s="2" t="s">
        <v>30</v>
      </c>
      <c r="F1285" s="2" t="s">
        <v>15</v>
      </c>
      <c r="G1285" s="2" t="s">
        <v>27</v>
      </c>
      <c r="H1285" s="2" t="s">
        <v>18</v>
      </c>
      <c r="I1285" s="2" t="s">
        <v>18</v>
      </c>
      <c r="J1285">
        <v>0.51</v>
      </c>
      <c r="K1285" s="4">
        <v>44504</v>
      </c>
    </row>
    <row r="1286" spans="1:11" x14ac:dyDescent="0.3">
      <c r="A1286" t="s">
        <v>2595</v>
      </c>
      <c r="B1286" s="2" t="s">
        <v>2596</v>
      </c>
      <c r="C1286">
        <v>56</v>
      </c>
      <c r="D1286" s="2" t="s">
        <v>13</v>
      </c>
      <c r="E1286" s="2" t="s">
        <v>22</v>
      </c>
      <c r="F1286" s="2" t="s">
        <v>15</v>
      </c>
      <c r="G1286" s="2" t="s">
        <v>27</v>
      </c>
      <c r="H1286" s="2" t="s">
        <v>18</v>
      </c>
      <c r="I1286" s="2" t="s">
        <v>17</v>
      </c>
      <c r="J1286">
        <v>0.52</v>
      </c>
      <c r="K1286" s="4">
        <v>43601</v>
      </c>
    </row>
    <row r="1287" spans="1:11" x14ac:dyDescent="0.3">
      <c r="A1287" t="s">
        <v>2597</v>
      </c>
      <c r="B1287" s="2" t="s">
        <v>2598</v>
      </c>
      <c r="C1287">
        <v>28</v>
      </c>
      <c r="D1287" s="2" t="s">
        <v>13</v>
      </c>
      <c r="E1287" s="2" t="s">
        <v>14</v>
      </c>
      <c r="F1287" s="2" t="s">
        <v>15</v>
      </c>
      <c r="G1287" s="2" t="s">
        <v>32</v>
      </c>
      <c r="H1287" s="2" t="s">
        <v>17</v>
      </c>
      <c r="I1287" s="2" t="s">
        <v>18</v>
      </c>
      <c r="J1287">
        <v>0.41</v>
      </c>
      <c r="K1287" s="4">
        <v>44149</v>
      </c>
    </row>
    <row r="1288" spans="1:11" x14ac:dyDescent="0.3">
      <c r="A1288" t="s">
        <v>2599</v>
      </c>
      <c r="B1288" s="2" t="s">
        <v>2600</v>
      </c>
      <c r="C1288">
        <v>50</v>
      </c>
      <c r="D1288" s="2" t="s">
        <v>13</v>
      </c>
      <c r="E1288" s="2" t="s">
        <v>30</v>
      </c>
      <c r="F1288" s="2" t="s">
        <v>23</v>
      </c>
      <c r="G1288" s="2" t="s">
        <v>81</v>
      </c>
      <c r="H1288" s="2" t="s">
        <v>17</v>
      </c>
      <c r="I1288" s="2" t="s">
        <v>17</v>
      </c>
      <c r="J1288">
        <v>0.28000000000000003</v>
      </c>
      <c r="K1288" s="4">
        <v>43825</v>
      </c>
    </row>
    <row r="1289" spans="1:11" x14ac:dyDescent="0.3">
      <c r="A1289" t="s">
        <v>2601</v>
      </c>
      <c r="B1289" s="2" t="s">
        <v>2602</v>
      </c>
      <c r="C1289">
        <v>29</v>
      </c>
      <c r="D1289" s="2" t="s">
        <v>21</v>
      </c>
      <c r="E1289" s="2" t="s">
        <v>14</v>
      </c>
      <c r="F1289" s="2" t="s">
        <v>15</v>
      </c>
      <c r="G1289" s="2" t="s">
        <v>66</v>
      </c>
      <c r="H1289" s="2" t="s">
        <v>18</v>
      </c>
      <c r="I1289" s="2" t="s">
        <v>17</v>
      </c>
      <c r="J1289">
        <v>0.66</v>
      </c>
      <c r="K1289" s="4">
        <v>43626</v>
      </c>
    </row>
    <row r="1290" spans="1:11" x14ac:dyDescent="0.3">
      <c r="A1290" t="s">
        <v>2603</v>
      </c>
      <c r="B1290" s="2" t="s">
        <v>2604</v>
      </c>
      <c r="C1290">
        <v>58</v>
      </c>
      <c r="D1290" s="2" t="s">
        <v>21</v>
      </c>
      <c r="E1290" s="2" t="s">
        <v>14</v>
      </c>
      <c r="F1290" s="2" t="s">
        <v>31</v>
      </c>
      <c r="G1290" s="2" t="s">
        <v>16</v>
      </c>
      <c r="H1290" s="2" t="s">
        <v>18</v>
      </c>
      <c r="I1290" s="2" t="s">
        <v>18</v>
      </c>
      <c r="J1290">
        <v>0.56999999999999995</v>
      </c>
      <c r="K1290" s="4">
        <v>43162</v>
      </c>
    </row>
    <row r="1291" spans="1:11" x14ac:dyDescent="0.3">
      <c r="A1291" t="s">
        <v>2605</v>
      </c>
      <c r="B1291" s="2" t="s">
        <v>2606</v>
      </c>
      <c r="C1291">
        <v>33</v>
      </c>
      <c r="D1291" s="2" t="s">
        <v>13</v>
      </c>
      <c r="E1291" s="2" t="s">
        <v>14</v>
      </c>
      <c r="F1291" s="2" t="s">
        <v>23</v>
      </c>
      <c r="G1291" s="2" t="s">
        <v>66</v>
      </c>
      <c r="H1291" s="2" t="s">
        <v>17</v>
      </c>
      <c r="I1291" s="2" t="s">
        <v>18</v>
      </c>
      <c r="J1291">
        <v>0.68</v>
      </c>
      <c r="K1291" s="4">
        <v>43206</v>
      </c>
    </row>
    <row r="1292" spans="1:11" x14ac:dyDescent="0.3">
      <c r="A1292" t="s">
        <v>2607</v>
      </c>
      <c r="B1292" s="2" t="s">
        <v>2608</v>
      </c>
      <c r="C1292">
        <v>69</v>
      </c>
      <c r="D1292" s="2" t="s">
        <v>13</v>
      </c>
      <c r="E1292" s="2" t="s">
        <v>14</v>
      </c>
      <c r="F1292" s="2" t="s">
        <v>15</v>
      </c>
      <c r="G1292" s="2" t="s">
        <v>66</v>
      </c>
      <c r="H1292" s="2" t="s">
        <v>18</v>
      </c>
      <c r="I1292" s="2" t="s">
        <v>18</v>
      </c>
      <c r="J1292">
        <v>0.63</v>
      </c>
      <c r="K1292" s="4">
        <v>43857</v>
      </c>
    </row>
    <row r="1293" spans="1:11" x14ac:dyDescent="0.3">
      <c r="A1293" t="s">
        <v>2609</v>
      </c>
      <c r="B1293" s="2" t="s">
        <v>2610</v>
      </c>
      <c r="C1293">
        <v>24</v>
      </c>
      <c r="D1293" s="2" t="s">
        <v>21</v>
      </c>
      <c r="E1293" s="2" t="s">
        <v>22</v>
      </c>
      <c r="F1293" s="2" t="s">
        <v>31</v>
      </c>
      <c r="G1293" s="2" t="s">
        <v>24</v>
      </c>
      <c r="H1293" s="2" t="s">
        <v>17</v>
      </c>
      <c r="I1293" s="2" t="s">
        <v>18</v>
      </c>
      <c r="J1293">
        <v>0.6</v>
      </c>
      <c r="K1293" s="4">
        <v>43709</v>
      </c>
    </row>
    <row r="1294" spans="1:11" x14ac:dyDescent="0.3">
      <c r="A1294" t="s">
        <v>2611</v>
      </c>
      <c r="B1294" s="2" t="s">
        <v>2612</v>
      </c>
      <c r="C1294">
        <v>34</v>
      </c>
      <c r="D1294" s="2" t="s">
        <v>21</v>
      </c>
      <c r="E1294" s="2" t="s">
        <v>30</v>
      </c>
      <c r="F1294" s="2" t="s">
        <v>37</v>
      </c>
      <c r="G1294" s="2" t="s">
        <v>66</v>
      </c>
      <c r="H1294" s="2" t="s">
        <v>18</v>
      </c>
      <c r="I1294" s="2" t="s">
        <v>17</v>
      </c>
      <c r="J1294">
        <v>0.19</v>
      </c>
      <c r="K1294" s="4">
        <v>44095</v>
      </c>
    </row>
    <row r="1295" spans="1:11" x14ac:dyDescent="0.3">
      <c r="A1295" t="s">
        <v>2613</v>
      </c>
      <c r="B1295" s="2" t="s">
        <v>2614</v>
      </c>
      <c r="C1295">
        <v>23</v>
      </c>
      <c r="D1295" s="2" t="s">
        <v>13</v>
      </c>
      <c r="E1295" s="2" t="s">
        <v>30</v>
      </c>
      <c r="F1295" s="2" t="s">
        <v>23</v>
      </c>
      <c r="G1295" s="2" t="s">
        <v>32</v>
      </c>
      <c r="H1295" s="2" t="s">
        <v>18</v>
      </c>
      <c r="I1295" s="2" t="s">
        <v>17</v>
      </c>
      <c r="J1295">
        <v>0.89</v>
      </c>
      <c r="K1295" s="4">
        <v>43708</v>
      </c>
    </row>
    <row r="1296" spans="1:11" x14ac:dyDescent="0.3">
      <c r="A1296" t="s">
        <v>2615</v>
      </c>
      <c r="B1296" s="2" t="s">
        <v>2616</v>
      </c>
      <c r="C1296">
        <v>36</v>
      </c>
      <c r="D1296" s="2" t="s">
        <v>21</v>
      </c>
      <c r="E1296" s="2" t="s">
        <v>22</v>
      </c>
      <c r="F1296" s="2" t="s">
        <v>31</v>
      </c>
      <c r="G1296" s="2" t="s">
        <v>66</v>
      </c>
      <c r="H1296" s="2" t="s">
        <v>17</v>
      </c>
      <c r="I1296" s="2" t="s">
        <v>17</v>
      </c>
      <c r="J1296">
        <v>0.59</v>
      </c>
      <c r="K1296" s="4">
        <v>44980</v>
      </c>
    </row>
    <row r="1297" spans="1:11" x14ac:dyDescent="0.3">
      <c r="A1297" t="s">
        <v>2617</v>
      </c>
      <c r="B1297" s="2" t="s">
        <v>2618</v>
      </c>
      <c r="C1297">
        <v>21</v>
      </c>
      <c r="D1297" s="2" t="s">
        <v>13</v>
      </c>
      <c r="E1297" s="2" t="s">
        <v>14</v>
      </c>
      <c r="F1297" s="2" t="s">
        <v>15</v>
      </c>
      <c r="G1297" s="2" t="s">
        <v>27</v>
      </c>
      <c r="H1297" s="2" t="s">
        <v>18</v>
      </c>
      <c r="I1297" s="2" t="s">
        <v>17</v>
      </c>
      <c r="J1297">
        <v>0.59</v>
      </c>
      <c r="K1297" s="4">
        <v>43321</v>
      </c>
    </row>
    <row r="1298" spans="1:11" x14ac:dyDescent="0.3">
      <c r="A1298" t="s">
        <v>2619</v>
      </c>
      <c r="B1298" s="2" t="s">
        <v>2620</v>
      </c>
      <c r="C1298">
        <v>43</v>
      </c>
      <c r="D1298" s="2" t="s">
        <v>13</v>
      </c>
      <c r="E1298" s="2" t="s">
        <v>22</v>
      </c>
      <c r="F1298" s="2" t="s">
        <v>37</v>
      </c>
      <c r="G1298" s="2" t="s">
        <v>27</v>
      </c>
      <c r="H1298" s="2" t="s">
        <v>18</v>
      </c>
      <c r="I1298" s="2" t="s">
        <v>18</v>
      </c>
      <c r="J1298">
        <v>0.54</v>
      </c>
      <c r="K1298" s="4">
        <v>43498</v>
      </c>
    </row>
    <row r="1299" spans="1:11" x14ac:dyDescent="0.3">
      <c r="A1299" t="s">
        <v>2621</v>
      </c>
      <c r="B1299" s="2" t="s">
        <v>2622</v>
      </c>
      <c r="C1299">
        <v>36</v>
      </c>
      <c r="D1299" s="2" t="s">
        <v>21</v>
      </c>
      <c r="E1299" s="2" t="s">
        <v>30</v>
      </c>
      <c r="F1299" s="2" t="s">
        <v>31</v>
      </c>
      <c r="G1299" s="2" t="s">
        <v>27</v>
      </c>
      <c r="H1299" s="2" t="s">
        <v>18</v>
      </c>
      <c r="I1299" s="2" t="s">
        <v>18</v>
      </c>
      <c r="J1299">
        <v>0.47</v>
      </c>
      <c r="K1299" s="4">
        <v>44871</v>
      </c>
    </row>
    <row r="1300" spans="1:11" x14ac:dyDescent="0.3">
      <c r="A1300" t="s">
        <v>2623</v>
      </c>
      <c r="B1300" s="2" t="s">
        <v>2624</v>
      </c>
      <c r="C1300">
        <v>49</v>
      </c>
      <c r="D1300" s="2" t="s">
        <v>21</v>
      </c>
      <c r="E1300" s="2" t="s">
        <v>14</v>
      </c>
      <c r="F1300" s="2" t="s">
        <v>15</v>
      </c>
      <c r="G1300" s="2" t="s">
        <v>66</v>
      </c>
      <c r="H1300" s="2" t="s">
        <v>18</v>
      </c>
      <c r="I1300" s="2" t="s">
        <v>18</v>
      </c>
      <c r="J1300">
        <v>0.38</v>
      </c>
      <c r="K1300" s="4">
        <v>43438</v>
      </c>
    </row>
    <row r="1301" spans="1:11" x14ac:dyDescent="0.3">
      <c r="A1301" t="s">
        <v>2625</v>
      </c>
      <c r="B1301" s="2" t="s">
        <v>2626</v>
      </c>
      <c r="C1301">
        <v>49</v>
      </c>
      <c r="D1301" s="2" t="s">
        <v>21</v>
      </c>
      <c r="E1301" s="2" t="s">
        <v>14</v>
      </c>
      <c r="F1301" s="2" t="s">
        <v>15</v>
      </c>
      <c r="G1301" s="2" t="s">
        <v>81</v>
      </c>
      <c r="H1301" s="2" t="s">
        <v>17</v>
      </c>
      <c r="I1301" s="2" t="s">
        <v>18</v>
      </c>
      <c r="J1301">
        <v>0.35</v>
      </c>
      <c r="K1301" s="4">
        <v>43459</v>
      </c>
    </row>
    <row r="1302" spans="1:11" x14ac:dyDescent="0.3">
      <c r="A1302" t="s">
        <v>2627</v>
      </c>
      <c r="B1302" s="2" t="s">
        <v>2628</v>
      </c>
      <c r="C1302">
        <v>56</v>
      </c>
      <c r="D1302" s="2" t="s">
        <v>13</v>
      </c>
      <c r="E1302" s="2" t="s">
        <v>22</v>
      </c>
      <c r="F1302" s="2" t="s">
        <v>37</v>
      </c>
      <c r="G1302" s="2" t="s">
        <v>27</v>
      </c>
      <c r="H1302" s="2" t="s">
        <v>18</v>
      </c>
      <c r="I1302" s="2" t="s">
        <v>18</v>
      </c>
      <c r="J1302">
        <v>0.55000000000000004</v>
      </c>
      <c r="K1302" s="4">
        <v>43840</v>
      </c>
    </row>
    <row r="1303" spans="1:11" x14ac:dyDescent="0.3">
      <c r="A1303" t="s">
        <v>2629</v>
      </c>
      <c r="B1303" s="2" t="s">
        <v>2630</v>
      </c>
      <c r="C1303">
        <v>32</v>
      </c>
      <c r="D1303" s="2" t="s">
        <v>21</v>
      </c>
      <c r="E1303" s="2" t="s">
        <v>30</v>
      </c>
      <c r="F1303" s="2" t="s">
        <v>23</v>
      </c>
      <c r="G1303" s="2" t="s">
        <v>81</v>
      </c>
      <c r="H1303" s="2" t="s">
        <v>18</v>
      </c>
      <c r="I1303" s="2" t="s">
        <v>18</v>
      </c>
      <c r="J1303">
        <v>0.6</v>
      </c>
      <c r="K1303" s="4">
        <v>44492</v>
      </c>
    </row>
    <row r="1304" spans="1:11" x14ac:dyDescent="0.3">
      <c r="A1304" t="s">
        <v>2631</v>
      </c>
      <c r="B1304" s="2" t="s">
        <v>2632</v>
      </c>
      <c r="C1304">
        <v>38</v>
      </c>
      <c r="D1304" s="2" t="s">
        <v>13</v>
      </c>
      <c r="E1304" s="2" t="s">
        <v>30</v>
      </c>
      <c r="F1304" s="2" t="s">
        <v>23</v>
      </c>
      <c r="G1304" s="2" t="s">
        <v>66</v>
      </c>
      <c r="H1304" s="2" t="s">
        <v>18</v>
      </c>
      <c r="I1304" s="2" t="s">
        <v>17</v>
      </c>
      <c r="J1304">
        <v>0.39</v>
      </c>
      <c r="K1304" s="4">
        <v>44619</v>
      </c>
    </row>
    <row r="1305" spans="1:11" x14ac:dyDescent="0.3">
      <c r="A1305" t="s">
        <v>2633</v>
      </c>
      <c r="B1305" s="2" t="s">
        <v>2634</v>
      </c>
      <c r="C1305">
        <v>29</v>
      </c>
      <c r="D1305" s="2" t="s">
        <v>21</v>
      </c>
      <c r="E1305" s="2" t="s">
        <v>30</v>
      </c>
      <c r="F1305" s="2" t="s">
        <v>37</v>
      </c>
      <c r="G1305" s="2" t="s">
        <v>27</v>
      </c>
      <c r="H1305" s="2" t="s">
        <v>17</v>
      </c>
      <c r="I1305" s="2" t="s">
        <v>18</v>
      </c>
      <c r="J1305">
        <v>0.62</v>
      </c>
      <c r="K1305" s="4">
        <v>43620</v>
      </c>
    </row>
    <row r="1306" spans="1:11" x14ac:dyDescent="0.3">
      <c r="A1306" t="s">
        <v>2635</v>
      </c>
      <c r="B1306" s="2" t="s">
        <v>2636</v>
      </c>
      <c r="C1306">
        <v>31</v>
      </c>
      <c r="D1306" s="2" t="s">
        <v>13</v>
      </c>
      <c r="E1306" s="2" t="s">
        <v>22</v>
      </c>
      <c r="F1306" s="2" t="s">
        <v>23</v>
      </c>
      <c r="G1306" s="2" t="s">
        <v>66</v>
      </c>
      <c r="H1306" s="2" t="s">
        <v>18</v>
      </c>
      <c r="I1306" s="2" t="s">
        <v>17</v>
      </c>
      <c r="J1306">
        <v>0.62</v>
      </c>
      <c r="K1306" s="4">
        <v>43963</v>
      </c>
    </row>
    <row r="1307" spans="1:11" x14ac:dyDescent="0.3">
      <c r="A1307" t="s">
        <v>2637</v>
      </c>
      <c r="B1307" s="2" t="s">
        <v>2638</v>
      </c>
      <c r="C1307">
        <v>59</v>
      </c>
      <c r="D1307" s="2" t="s">
        <v>21</v>
      </c>
      <c r="E1307" s="2" t="s">
        <v>30</v>
      </c>
      <c r="F1307" s="2" t="s">
        <v>37</v>
      </c>
      <c r="G1307" s="2" t="s">
        <v>81</v>
      </c>
      <c r="H1307" s="2" t="s">
        <v>18</v>
      </c>
      <c r="I1307" s="2" t="s">
        <v>18</v>
      </c>
      <c r="J1307">
        <v>0.53</v>
      </c>
      <c r="K1307" s="4">
        <v>43649</v>
      </c>
    </row>
    <row r="1308" spans="1:11" x14ac:dyDescent="0.3">
      <c r="A1308" t="s">
        <v>2639</v>
      </c>
      <c r="B1308" s="2" t="s">
        <v>2640</v>
      </c>
      <c r="C1308">
        <v>32</v>
      </c>
      <c r="D1308" s="2" t="s">
        <v>21</v>
      </c>
      <c r="E1308" s="2" t="s">
        <v>30</v>
      </c>
      <c r="F1308" s="2" t="s">
        <v>37</v>
      </c>
      <c r="G1308" s="2" t="s">
        <v>24</v>
      </c>
      <c r="H1308" s="2" t="s">
        <v>18</v>
      </c>
      <c r="I1308" s="2" t="s">
        <v>18</v>
      </c>
      <c r="J1308">
        <v>0.51</v>
      </c>
      <c r="K1308" s="4">
        <v>44244</v>
      </c>
    </row>
    <row r="1309" spans="1:11" x14ac:dyDescent="0.3">
      <c r="A1309" t="s">
        <v>2641</v>
      </c>
      <c r="B1309" s="2" t="s">
        <v>2642</v>
      </c>
      <c r="C1309">
        <v>26</v>
      </c>
      <c r="D1309" s="2" t="s">
        <v>13</v>
      </c>
      <c r="E1309" s="2" t="s">
        <v>30</v>
      </c>
      <c r="F1309" s="2" t="s">
        <v>37</v>
      </c>
      <c r="G1309" s="2" t="s">
        <v>66</v>
      </c>
      <c r="H1309" s="2" t="s">
        <v>18</v>
      </c>
      <c r="I1309" s="2" t="s">
        <v>18</v>
      </c>
      <c r="J1309">
        <v>0.17</v>
      </c>
      <c r="K1309" s="4">
        <v>44462</v>
      </c>
    </row>
    <row r="1310" spans="1:11" x14ac:dyDescent="0.3">
      <c r="A1310" t="s">
        <v>2643</v>
      </c>
      <c r="B1310" s="2" t="s">
        <v>2644</v>
      </c>
      <c r="C1310">
        <v>46</v>
      </c>
      <c r="D1310" s="2" t="s">
        <v>21</v>
      </c>
      <c r="E1310" s="2" t="s">
        <v>30</v>
      </c>
      <c r="F1310" s="2" t="s">
        <v>31</v>
      </c>
      <c r="G1310" s="2" t="s">
        <v>32</v>
      </c>
      <c r="H1310" s="2" t="s">
        <v>17</v>
      </c>
      <c r="I1310" s="2" t="s">
        <v>18</v>
      </c>
      <c r="J1310">
        <v>0.85</v>
      </c>
      <c r="K1310" s="4">
        <v>44115</v>
      </c>
    </row>
    <row r="1311" spans="1:11" x14ac:dyDescent="0.3">
      <c r="A1311" t="s">
        <v>2645</v>
      </c>
      <c r="B1311" s="2" t="s">
        <v>2646</v>
      </c>
      <c r="C1311">
        <v>65</v>
      </c>
      <c r="D1311" s="2" t="s">
        <v>21</v>
      </c>
      <c r="E1311" s="2" t="s">
        <v>14</v>
      </c>
      <c r="F1311" s="2" t="s">
        <v>31</v>
      </c>
      <c r="G1311" s="2" t="s">
        <v>81</v>
      </c>
      <c r="H1311" s="2" t="s">
        <v>18</v>
      </c>
      <c r="I1311" s="2" t="s">
        <v>18</v>
      </c>
      <c r="J1311">
        <v>0.64</v>
      </c>
      <c r="K1311" s="4">
        <v>44839</v>
      </c>
    </row>
    <row r="1312" spans="1:11" x14ac:dyDescent="0.3">
      <c r="A1312" t="s">
        <v>2647</v>
      </c>
      <c r="B1312" s="2" t="s">
        <v>2648</v>
      </c>
      <c r="C1312">
        <v>53</v>
      </c>
      <c r="D1312" s="2" t="s">
        <v>21</v>
      </c>
      <c r="E1312" s="2" t="s">
        <v>14</v>
      </c>
      <c r="F1312" s="2" t="s">
        <v>37</v>
      </c>
      <c r="G1312" s="2" t="s">
        <v>27</v>
      </c>
      <c r="H1312" s="2" t="s">
        <v>17</v>
      </c>
      <c r="I1312" s="2" t="s">
        <v>18</v>
      </c>
      <c r="J1312">
        <v>0.77</v>
      </c>
      <c r="K1312" s="4">
        <v>44160</v>
      </c>
    </row>
    <row r="1313" spans="1:11" x14ac:dyDescent="0.3">
      <c r="A1313" t="s">
        <v>2649</v>
      </c>
      <c r="B1313" s="2" t="s">
        <v>2650</v>
      </c>
      <c r="C1313">
        <v>26</v>
      </c>
      <c r="D1313" s="2" t="s">
        <v>21</v>
      </c>
      <c r="E1313" s="2" t="s">
        <v>30</v>
      </c>
      <c r="F1313" s="2" t="s">
        <v>31</v>
      </c>
      <c r="G1313" s="2" t="s">
        <v>81</v>
      </c>
      <c r="H1313" s="2" t="s">
        <v>18</v>
      </c>
      <c r="I1313" s="2" t="s">
        <v>17</v>
      </c>
      <c r="J1313">
        <v>0.45</v>
      </c>
      <c r="K1313" s="4">
        <v>43105</v>
      </c>
    </row>
    <row r="1314" spans="1:11" x14ac:dyDescent="0.3">
      <c r="A1314" t="s">
        <v>2651</v>
      </c>
      <c r="B1314" s="2" t="s">
        <v>2652</v>
      </c>
      <c r="C1314">
        <v>51</v>
      </c>
      <c r="D1314" s="2" t="s">
        <v>13</v>
      </c>
      <c r="E1314" s="2" t="s">
        <v>14</v>
      </c>
      <c r="F1314" s="2" t="s">
        <v>23</v>
      </c>
      <c r="G1314" s="2" t="s">
        <v>16</v>
      </c>
      <c r="H1314" s="2" t="s">
        <v>18</v>
      </c>
      <c r="I1314" s="2" t="s">
        <v>18</v>
      </c>
      <c r="J1314">
        <v>0.31</v>
      </c>
      <c r="K1314" s="4">
        <v>43950</v>
      </c>
    </row>
    <row r="1315" spans="1:11" x14ac:dyDescent="0.3">
      <c r="A1315" t="s">
        <v>2653</v>
      </c>
      <c r="B1315" s="2" t="s">
        <v>2654</v>
      </c>
      <c r="C1315">
        <v>37</v>
      </c>
      <c r="D1315" s="2" t="s">
        <v>21</v>
      </c>
      <c r="E1315" s="2" t="s">
        <v>22</v>
      </c>
      <c r="F1315" s="2" t="s">
        <v>23</v>
      </c>
      <c r="G1315" s="2" t="s">
        <v>27</v>
      </c>
      <c r="H1315" s="2" t="s">
        <v>18</v>
      </c>
      <c r="I1315" s="2" t="s">
        <v>18</v>
      </c>
      <c r="J1315">
        <v>0.47</v>
      </c>
      <c r="K1315" s="4">
        <v>44121</v>
      </c>
    </row>
    <row r="1316" spans="1:11" x14ac:dyDescent="0.3">
      <c r="A1316" t="s">
        <v>2655</v>
      </c>
      <c r="B1316" s="2" t="s">
        <v>2656</v>
      </c>
      <c r="C1316">
        <v>54</v>
      </c>
      <c r="D1316" s="2" t="s">
        <v>13</v>
      </c>
      <c r="E1316" s="2" t="s">
        <v>14</v>
      </c>
      <c r="F1316" s="2" t="s">
        <v>31</v>
      </c>
      <c r="G1316" s="2" t="s">
        <v>32</v>
      </c>
      <c r="H1316" s="2" t="s">
        <v>17</v>
      </c>
      <c r="I1316" s="2" t="s">
        <v>18</v>
      </c>
      <c r="J1316">
        <v>0.31</v>
      </c>
      <c r="K1316" s="4">
        <v>44759</v>
      </c>
    </row>
    <row r="1317" spans="1:11" x14ac:dyDescent="0.3">
      <c r="A1317" t="s">
        <v>2657</v>
      </c>
      <c r="B1317" s="2" t="s">
        <v>2658</v>
      </c>
      <c r="C1317">
        <v>63</v>
      </c>
      <c r="D1317" s="2" t="s">
        <v>21</v>
      </c>
      <c r="E1317" s="2" t="s">
        <v>30</v>
      </c>
      <c r="F1317" s="2" t="s">
        <v>37</v>
      </c>
      <c r="G1317" s="2" t="s">
        <v>24</v>
      </c>
      <c r="H1317" s="2" t="s">
        <v>18</v>
      </c>
      <c r="I1317" s="2" t="s">
        <v>17</v>
      </c>
      <c r="J1317">
        <v>0.3</v>
      </c>
      <c r="K1317" s="4">
        <v>44015</v>
      </c>
    </row>
    <row r="1318" spans="1:11" x14ac:dyDescent="0.3">
      <c r="A1318" t="s">
        <v>2659</v>
      </c>
      <c r="B1318" s="2" t="s">
        <v>2660</v>
      </c>
      <c r="C1318">
        <v>33</v>
      </c>
      <c r="D1318" s="2" t="s">
        <v>13</v>
      </c>
      <c r="E1318" s="2" t="s">
        <v>22</v>
      </c>
      <c r="F1318" s="2" t="s">
        <v>31</v>
      </c>
      <c r="G1318" s="2" t="s">
        <v>16</v>
      </c>
      <c r="H1318" s="2" t="s">
        <v>17</v>
      </c>
      <c r="I1318" s="2" t="s">
        <v>18</v>
      </c>
      <c r="J1318">
        <v>0.7</v>
      </c>
      <c r="K1318" s="4">
        <v>44868</v>
      </c>
    </row>
    <row r="1319" spans="1:11" x14ac:dyDescent="0.3">
      <c r="A1319" t="s">
        <v>2661</v>
      </c>
      <c r="B1319" s="2" t="s">
        <v>2662</v>
      </c>
      <c r="C1319">
        <v>22</v>
      </c>
      <c r="D1319" s="2" t="s">
        <v>13</v>
      </c>
      <c r="E1319" s="2" t="s">
        <v>22</v>
      </c>
      <c r="F1319" s="2" t="s">
        <v>31</v>
      </c>
      <c r="G1319" s="2" t="s">
        <v>81</v>
      </c>
      <c r="H1319" s="2" t="s">
        <v>17</v>
      </c>
      <c r="I1319" s="2" t="s">
        <v>17</v>
      </c>
      <c r="J1319">
        <v>0.49</v>
      </c>
      <c r="K1319" s="4">
        <v>44557</v>
      </c>
    </row>
    <row r="1320" spans="1:11" x14ac:dyDescent="0.3">
      <c r="A1320" t="s">
        <v>2663</v>
      </c>
      <c r="B1320" s="2" t="s">
        <v>2664</v>
      </c>
      <c r="C1320">
        <v>28</v>
      </c>
      <c r="D1320" s="2" t="s">
        <v>21</v>
      </c>
      <c r="E1320" s="2" t="s">
        <v>30</v>
      </c>
      <c r="F1320" s="2" t="s">
        <v>31</v>
      </c>
      <c r="G1320" s="2" t="s">
        <v>32</v>
      </c>
      <c r="H1320" s="2" t="s">
        <v>17</v>
      </c>
      <c r="I1320" s="2" t="s">
        <v>17</v>
      </c>
      <c r="J1320">
        <v>0.83</v>
      </c>
      <c r="K1320" s="4">
        <v>44543</v>
      </c>
    </row>
    <row r="1321" spans="1:11" x14ac:dyDescent="0.3">
      <c r="A1321" t="s">
        <v>2665</v>
      </c>
      <c r="B1321" s="2" t="s">
        <v>2666</v>
      </c>
      <c r="C1321">
        <v>21</v>
      </c>
      <c r="D1321" s="2" t="s">
        <v>13</v>
      </c>
      <c r="E1321" s="2" t="s">
        <v>22</v>
      </c>
      <c r="F1321" s="2" t="s">
        <v>23</v>
      </c>
      <c r="G1321" s="2" t="s">
        <v>81</v>
      </c>
      <c r="H1321" s="2" t="s">
        <v>18</v>
      </c>
      <c r="I1321" s="2" t="s">
        <v>18</v>
      </c>
      <c r="J1321">
        <v>0.47</v>
      </c>
      <c r="K1321" s="4">
        <v>44056</v>
      </c>
    </row>
    <row r="1322" spans="1:11" x14ac:dyDescent="0.3">
      <c r="A1322" t="s">
        <v>2667</v>
      </c>
      <c r="B1322" s="2" t="s">
        <v>2668</v>
      </c>
      <c r="C1322">
        <v>19</v>
      </c>
      <c r="D1322" s="2" t="s">
        <v>21</v>
      </c>
      <c r="E1322" s="2" t="s">
        <v>22</v>
      </c>
      <c r="F1322" s="2" t="s">
        <v>15</v>
      </c>
      <c r="G1322" s="2" t="s">
        <v>16</v>
      </c>
      <c r="H1322" s="2" t="s">
        <v>18</v>
      </c>
      <c r="I1322" s="2" t="s">
        <v>17</v>
      </c>
      <c r="J1322">
        <v>0.5</v>
      </c>
      <c r="K1322" s="4">
        <v>44344</v>
      </c>
    </row>
    <row r="1323" spans="1:11" x14ac:dyDescent="0.3">
      <c r="A1323" t="s">
        <v>2669</v>
      </c>
      <c r="B1323" s="2" t="s">
        <v>2670</v>
      </c>
      <c r="C1323">
        <v>54</v>
      </c>
      <c r="D1323" s="2" t="s">
        <v>13</v>
      </c>
      <c r="E1323" s="2" t="s">
        <v>22</v>
      </c>
      <c r="F1323" s="2" t="s">
        <v>15</v>
      </c>
      <c r="G1323" s="2" t="s">
        <v>81</v>
      </c>
      <c r="H1323" s="2" t="s">
        <v>17</v>
      </c>
      <c r="I1323" s="2" t="s">
        <v>17</v>
      </c>
      <c r="J1323">
        <v>0.19</v>
      </c>
      <c r="K1323" s="4">
        <v>44708</v>
      </c>
    </row>
    <row r="1324" spans="1:11" x14ac:dyDescent="0.3">
      <c r="A1324" t="s">
        <v>2671</v>
      </c>
      <c r="B1324" s="2" t="s">
        <v>2672</v>
      </c>
      <c r="C1324">
        <v>31</v>
      </c>
      <c r="D1324" s="2" t="s">
        <v>13</v>
      </c>
      <c r="E1324" s="2" t="s">
        <v>14</v>
      </c>
      <c r="F1324" s="2" t="s">
        <v>37</v>
      </c>
      <c r="G1324" s="2" t="s">
        <v>81</v>
      </c>
      <c r="H1324" s="2" t="s">
        <v>18</v>
      </c>
      <c r="I1324" s="2" t="s">
        <v>17</v>
      </c>
      <c r="J1324">
        <v>0.43</v>
      </c>
      <c r="K1324" s="4">
        <v>44501</v>
      </c>
    </row>
    <row r="1325" spans="1:11" x14ac:dyDescent="0.3">
      <c r="A1325" t="s">
        <v>2673</v>
      </c>
      <c r="B1325" s="2" t="s">
        <v>2674</v>
      </c>
      <c r="C1325">
        <v>33</v>
      </c>
      <c r="D1325" s="2" t="s">
        <v>13</v>
      </c>
      <c r="E1325" s="2" t="s">
        <v>14</v>
      </c>
      <c r="F1325" s="2" t="s">
        <v>37</v>
      </c>
      <c r="G1325" s="2" t="s">
        <v>16</v>
      </c>
      <c r="H1325" s="2" t="s">
        <v>18</v>
      </c>
      <c r="I1325" s="2" t="s">
        <v>17</v>
      </c>
      <c r="J1325">
        <v>0.33</v>
      </c>
      <c r="K1325" s="4">
        <v>43385</v>
      </c>
    </row>
    <row r="1326" spans="1:11" x14ac:dyDescent="0.3">
      <c r="A1326" t="s">
        <v>2675</v>
      </c>
      <c r="B1326" s="2" t="s">
        <v>2676</v>
      </c>
      <c r="C1326">
        <v>34</v>
      </c>
      <c r="D1326" s="2" t="s">
        <v>13</v>
      </c>
      <c r="E1326" s="2" t="s">
        <v>14</v>
      </c>
      <c r="F1326" s="2" t="s">
        <v>15</v>
      </c>
      <c r="G1326" s="2" t="s">
        <v>16</v>
      </c>
      <c r="H1326" s="2" t="s">
        <v>17</v>
      </c>
      <c r="I1326" s="2" t="s">
        <v>18</v>
      </c>
      <c r="J1326">
        <v>0.8</v>
      </c>
      <c r="K1326" s="4">
        <v>45243</v>
      </c>
    </row>
    <row r="1327" spans="1:11" x14ac:dyDescent="0.3">
      <c r="A1327" t="s">
        <v>2677</v>
      </c>
      <c r="B1327" s="2" t="s">
        <v>2678</v>
      </c>
      <c r="C1327">
        <v>23</v>
      </c>
      <c r="D1327" s="2" t="s">
        <v>21</v>
      </c>
      <c r="E1327" s="2" t="s">
        <v>14</v>
      </c>
      <c r="F1327" s="2" t="s">
        <v>23</v>
      </c>
      <c r="G1327" s="2" t="s">
        <v>27</v>
      </c>
      <c r="H1327" s="2" t="s">
        <v>17</v>
      </c>
      <c r="I1327" s="2" t="s">
        <v>17</v>
      </c>
      <c r="J1327">
        <v>0.39</v>
      </c>
      <c r="K1327" s="4">
        <v>44400</v>
      </c>
    </row>
    <row r="1328" spans="1:11" x14ac:dyDescent="0.3">
      <c r="A1328" t="s">
        <v>2679</v>
      </c>
      <c r="B1328" s="2" t="s">
        <v>2680</v>
      </c>
      <c r="C1328">
        <v>60</v>
      </c>
      <c r="D1328" s="2" t="s">
        <v>21</v>
      </c>
      <c r="E1328" s="2" t="s">
        <v>22</v>
      </c>
      <c r="F1328" s="2" t="s">
        <v>31</v>
      </c>
      <c r="G1328" s="2" t="s">
        <v>66</v>
      </c>
      <c r="H1328" s="2" t="s">
        <v>17</v>
      </c>
      <c r="I1328" s="2" t="s">
        <v>18</v>
      </c>
      <c r="J1328">
        <v>0.63</v>
      </c>
      <c r="K1328" s="4">
        <v>44614</v>
      </c>
    </row>
    <row r="1329" spans="1:11" x14ac:dyDescent="0.3">
      <c r="A1329" t="s">
        <v>2681</v>
      </c>
      <c r="B1329" s="2" t="s">
        <v>2682</v>
      </c>
      <c r="C1329">
        <v>62</v>
      </c>
      <c r="D1329" s="2" t="s">
        <v>21</v>
      </c>
      <c r="E1329" s="2" t="s">
        <v>30</v>
      </c>
      <c r="F1329" s="2" t="s">
        <v>31</v>
      </c>
      <c r="G1329" s="2" t="s">
        <v>81</v>
      </c>
      <c r="H1329" s="2" t="s">
        <v>18</v>
      </c>
      <c r="I1329" s="2" t="s">
        <v>17</v>
      </c>
      <c r="J1329">
        <v>0.56000000000000005</v>
      </c>
      <c r="K1329" s="4">
        <v>44127</v>
      </c>
    </row>
    <row r="1330" spans="1:11" x14ac:dyDescent="0.3">
      <c r="A1330" t="s">
        <v>2683</v>
      </c>
      <c r="B1330" s="2" t="s">
        <v>2684</v>
      </c>
      <c r="C1330">
        <v>20</v>
      </c>
      <c r="D1330" s="2" t="s">
        <v>13</v>
      </c>
      <c r="E1330" s="2" t="s">
        <v>22</v>
      </c>
      <c r="F1330" s="2" t="s">
        <v>37</v>
      </c>
      <c r="G1330" s="2" t="s">
        <v>66</v>
      </c>
      <c r="H1330" s="2" t="s">
        <v>17</v>
      </c>
      <c r="I1330" s="2" t="s">
        <v>17</v>
      </c>
      <c r="J1330">
        <v>0.52</v>
      </c>
      <c r="K1330" s="4">
        <v>43173</v>
      </c>
    </row>
    <row r="1331" spans="1:11" x14ac:dyDescent="0.3">
      <c r="A1331" t="s">
        <v>2685</v>
      </c>
      <c r="B1331" s="2" t="s">
        <v>2686</v>
      </c>
      <c r="C1331">
        <v>60</v>
      </c>
      <c r="D1331" s="2" t="s">
        <v>13</v>
      </c>
      <c r="E1331" s="2" t="s">
        <v>22</v>
      </c>
      <c r="F1331" s="2" t="s">
        <v>15</v>
      </c>
      <c r="G1331" s="2" t="s">
        <v>32</v>
      </c>
      <c r="H1331" s="2" t="s">
        <v>18</v>
      </c>
      <c r="I1331" s="2" t="s">
        <v>17</v>
      </c>
      <c r="J1331">
        <v>0.23</v>
      </c>
      <c r="K1331" s="4">
        <v>44645</v>
      </c>
    </row>
    <row r="1332" spans="1:11" x14ac:dyDescent="0.3">
      <c r="A1332" t="s">
        <v>2687</v>
      </c>
      <c r="B1332" s="2" t="s">
        <v>2688</v>
      </c>
      <c r="C1332">
        <v>31</v>
      </c>
      <c r="D1332" s="2" t="s">
        <v>21</v>
      </c>
      <c r="E1332" s="2" t="s">
        <v>22</v>
      </c>
      <c r="F1332" s="2" t="s">
        <v>23</v>
      </c>
      <c r="G1332" s="2" t="s">
        <v>81</v>
      </c>
      <c r="H1332" s="2" t="s">
        <v>18</v>
      </c>
      <c r="I1332" s="2" t="s">
        <v>17</v>
      </c>
      <c r="J1332">
        <v>0.74</v>
      </c>
      <c r="K1332" s="4">
        <v>44306</v>
      </c>
    </row>
    <row r="1333" spans="1:11" x14ac:dyDescent="0.3">
      <c r="A1333" t="s">
        <v>2689</v>
      </c>
      <c r="B1333" s="2" t="s">
        <v>2690</v>
      </c>
      <c r="C1333">
        <v>63</v>
      </c>
      <c r="D1333" s="2" t="s">
        <v>21</v>
      </c>
      <c r="E1333" s="2" t="s">
        <v>14</v>
      </c>
      <c r="F1333" s="2" t="s">
        <v>31</v>
      </c>
      <c r="G1333" s="2" t="s">
        <v>81</v>
      </c>
      <c r="H1333" s="2" t="s">
        <v>17</v>
      </c>
      <c r="I1333" s="2" t="s">
        <v>17</v>
      </c>
      <c r="J1333">
        <v>0.45</v>
      </c>
      <c r="K1333" s="4">
        <v>44023</v>
      </c>
    </row>
    <row r="1334" spans="1:11" x14ac:dyDescent="0.3">
      <c r="A1334" t="s">
        <v>2691</v>
      </c>
      <c r="B1334" s="2" t="s">
        <v>2692</v>
      </c>
      <c r="C1334">
        <v>36</v>
      </c>
      <c r="D1334" s="2" t="s">
        <v>21</v>
      </c>
      <c r="E1334" s="2" t="s">
        <v>14</v>
      </c>
      <c r="F1334" s="2" t="s">
        <v>15</v>
      </c>
      <c r="G1334" s="2" t="s">
        <v>81</v>
      </c>
      <c r="H1334" s="2" t="s">
        <v>18</v>
      </c>
      <c r="I1334" s="2" t="s">
        <v>18</v>
      </c>
      <c r="J1334">
        <v>0.16</v>
      </c>
      <c r="K1334" s="4">
        <v>44294</v>
      </c>
    </row>
    <row r="1335" spans="1:11" x14ac:dyDescent="0.3">
      <c r="A1335" t="s">
        <v>2693</v>
      </c>
      <c r="B1335" s="2" t="s">
        <v>2694</v>
      </c>
      <c r="C1335">
        <v>30</v>
      </c>
      <c r="D1335" s="2" t="s">
        <v>13</v>
      </c>
      <c r="E1335" s="2" t="s">
        <v>14</v>
      </c>
      <c r="F1335" s="2" t="s">
        <v>15</v>
      </c>
      <c r="G1335" s="2" t="s">
        <v>81</v>
      </c>
      <c r="H1335" s="2" t="s">
        <v>18</v>
      </c>
      <c r="I1335" s="2" t="s">
        <v>17</v>
      </c>
      <c r="J1335">
        <v>0.14000000000000001</v>
      </c>
      <c r="K1335" s="4">
        <v>45113</v>
      </c>
    </row>
    <row r="1336" spans="1:11" x14ac:dyDescent="0.3">
      <c r="A1336" t="s">
        <v>2695</v>
      </c>
      <c r="B1336" s="2" t="s">
        <v>2696</v>
      </c>
      <c r="C1336">
        <v>29</v>
      </c>
      <c r="D1336" s="2" t="s">
        <v>13</v>
      </c>
      <c r="E1336" s="2" t="s">
        <v>14</v>
      </c>
      <c r="F1336" s="2" t="s">
        <v>31</v>
      </c>
      <c r="G1336" s="2" t="s">
        <v>81</v>
      </c>
      <c r="H1336" s="2" t="s">
        <v>17</v>
      </c>
      <c r="I1336" s="2" t="s">
        <v>18</v>
      </c>
      <c r="J1336">
        <v>0.45</v>
      </c>
      <c r="K1336" s="4">
        <v>43328</v>
      </c>
    </row>
    <row r="1337" spans="1:11" x14ac:dyDescent="0.3">
      <c r="A1337" t="s">
        <v>2697</v>
      </c>
      <c r="B1337" s="2" t="s">
        <v>2698</v>
      </c>
      <c r="C1337">
        <v>56</v>
      </c>
      <c r="D1337" s="2" t="s">
        <v>21</v>
      </c>
      <c r="E1337" s="2" t="s">
        <v>22</v>
      </c>
      <c r="F1337" s="2" t="s">
        <v>15</v>
      </c>
      <c r="G1337" s="2" t="s">
        <v>16</v>
      </c>
      <c r="H1337" s="2" t="s">
        <v>17</v>
      </c>
      <c r="I1337" s="2" t="s">
        <v>17</v>
      </c>
      <c r="J1337">
        <v>0.67</v>
      </c>
      <c r="K1337" s="4">
        <v>44469</v>
      </c>
    </row>
    <row r="1338" spans="1:11" x14ac:dyDescent="0.3">
      <c r="A1338" t="s">
        <v>2699</v>
      </c>
      <c r="B1338" s="2" t="s">
        <v>2700</v>
      </c>
      <c r="C1338">
        <v>47</v>
      </c>
      <c r="D1338" s="2" t="s">
        <v>13</v>
      </c>
      <c r="E1338" s="2" t="s">
        <v>14</v>
      </c>
      <c r="F1338" s="2" t="s">
        <v>37</v>
      </c>
      <c r="G1338" s="2" t="s">
        <v>32</v>
      </c>
      <c r="H1338" s="2" t="s">
        <v>17</v>
      </c>
      <c r="I1338" s="2" t="s">
        <v>17</v>
      </c>
      <c r="J1338">
        <v>0.67</v>
      </c>
      <c r="K1338" s="4">
        <v>44672</v>
      </c>
    </row>
    <row r="1339" spans="1:11" x14ac:dyDescent="0.3">
      <c r="A1339" t="s">
        <v>2701</v>
      </c>
      <c r="B1339" s="2" t="s">
        <v>2702</v>
      </c>
      <c r="C1339">
        <v>60</v>
      </c>
      <c r="D1339" s="2" t="s">
        <v>21</v>
      </c>
      <c r="E1339" s="2" t="s">
        <v>14</v>
      </c>
      <c r="F1339" s="2" t="s">
        <v>37</v>
      </c>
      <c r="G1339" s="2" t="s">
        <v>32</v>
      </c>
      <c r="H1339" s="2" t="s">
        <v>17</v>
      </c>
      <c r="I1339" s="2" t="s">
        <v>17</v>
      </c>
      <c r="J1339">
        <v>0.25</v>
      </c>
      <c r="K1339" s="4">
        <v>44251</v>
      </c>
    </row>
    <row r="1340" spans="1:11" x14ac:dyDescent="0.3">
      <c r="A1340" t="s">
        <v>2703</v>
      </c>
      <c r="B1340" s="2" t="s">
        <v>2704</v>
      </c>
      <c r="C1340">
        <v>34</v>
      </c>
      <c r="D1340" s="2" t="s">
        <v>13</v>
      </c>
      <c r="E1340" s="2" t="s">
        <v>30</v>
      </c>
      <c r="F1340" s="2" t="s">
        <v>23</v>
      </c>
      <c r="G1340" s="2" t="s">
        <v>16</v>
      </c>
      <c r="H1340" s="2" t="s">
        <v>18</v>
      </c>
      <c r="I1340" s="2" t="s">
        <v>18</v>
      </c>
      <c r="J1340">
        <v>0.66</v>
      </c>
      <c r="K1340" s="4">
        <v>44395</v>
      </c>
    </row>
    <row r="1341" spans="1:11" x14ac:dyDescent="0.3">
      <c r="A1341" t="s">
        <v>2705</v>
      </c>
      <c r="B1341" s="2" t="s">
        <v>2706</v>
      </c>
      <c r="C1341">
        <v>51</v>
      </c>
      <c r="D1341" s="2" t="s">
        <v>21</v>
      </c>
      <c r="E1341" s="2" t="s">
        <v>30</v>
      </c>
      <c r="F1341" s="2" t="s">
        <v>23</v>
      </c>
      <c r="G1341" s="2" t="s">
        <v>66</v>
      </c>
      <c r="H1341" s="2" t="s">
        <v>17</v>
      </c>
      <c r="I1341" s="2" t="s">
        <v>18</v>
      </c>
      <c r="J1341">
        <v>0.3</v>
      </c>
      <c r="K1341" s="4">
        <v>44184</v>
      </c>
    </row>
    <row r="1342" spans="1:11" x14ac:dyDescent="0.3">
      <c r="A1342" t="s">
        <v>2707</v>
      </c>
      <c r="B1342" s="2" t="s">
        <v>2708</v>
      </c>
      <c r="C1342">
        <v>50</v>
      </c>
      <c r="D1342" s="2" t="s">
        <v>13</v>
      </c>
      <c r="E1342" s="2" t="s">
        <v>30</v>
      </c>
      <c r="F1342" s="2" t="s">
        <v>37</v>
      </c>
      <c r="G1342" s="2" t="s">
        <v>27</v>
      </c>
      <c r="H1342" s="2" t="s">
        <v>17</v>
      </c>
      <c r="I1342" s="2" t="s">
        <v>17</v>
      </c>
      <c r="J1342">
        <v>0.43</v>
      </c>
      <c r="K1342" s="4">
        <v>43206</v>
      </c>
    </row>
    <row r="1343" spans="1:11" x14ac:dyDescent="0.3">
      <c r="A1343" t="s">
        <v>2709</v>
      </c>
      <c r="B1343" s="2" t="s">
        <v>2710</v>
      </c>
      <c r="C1343">
        <v>57</v>
      </c>
      <c r="D1343" s="2" t="s">
        <v>13</v>
      </c>
      <c r="E1343" s="2" t="s">
        <v>14</v>
      </c>
      <c r="F1343" s="2" t="s">
        <v>31</v>
      </c>
      <c r="G1343" s="2" t="s">
        <v>24</v>
      </c>
      <c r="H1343" s="2" t="s">
        <v>17</v>
      </c>
      <c r="I1343" s="2" t="s">
        <v>18</v>
      </c>
      <c r="J1343">
        <v>0.62</v>
      </c>
      <c r="K1343" s="4">
        <v>44452</v>
      </c>
    </row>
    <row r="1344" spans="1:11" x14ac:dyDescent="0.3">
      <c r="A1344" t="s">
        <v>2711</v>
      </c>
      <c r="B1344" s="2" t="s">
        <v>2712</v>
      </c>
      <c r="C1344">
        <v>46</v>
      </c>
      <c r="D1344" s="2" t="s">
        <v>21</v>
      </c>
      <c r="E1344" s="2" t="s">
        <v>14</v>
      </c>
      <c r="F1344" s="2" t="s">
        <v>15</v>
      </c>
      <c r="G1344" s="2" t="s">
        <v>81</v>
      </c>
      <c r="H1344" s="2" t="s">
        <v>18</v>
      </c>
      <c r="I1344" s="2" t="s">
        <v>17</v>
      </c>
      <c r="J1344">
        <v>0.49</v>
      </c>
      <c r="K1344" s="4">
        <v>45057</v>
      </c>
    </row>
    <row r="1345" spans="1:11" x14ac:dyDescent="0.3">
      <c r="A1345" t="s">
        <v>2713</v>
      </c>
      <c r="B1345" s="2" t="s">
        <v>2714</v>
      </c>
      <c r="C1345">
        <v>51</v>
      </c>
      <c r="D1345" s="2" t="s">
        <v>21</v>
      </c>
      <c r="E1345" s="2" t="s">
        <v>30</v>
      </c>
      <c r="F1345" s="2" t="s">
        <v>37</v>
      </c>
      <c r="G1345" s="2" t="s">
        <v>24</v>
      </c>
      <c r="H1345" s="2" t="s">
        <v>18</v>
      </c>
      <c r="I1345" s="2" t="s">
        <v>18</v>
      </c>
      <c r="J1345">
        <v>0.26</v>
      </c>
      <c r="K1345" s="4">
        <v>44020</v>
      </c>
    </row>
    <row r="1346" spans="1:11" x14ac:dyDescent="0.3">
      <c r="A1346" t="s">
        <v>2715</v>
      </c>
      <c r="B1346" s="2" t="s">
        <v>2716</v>
      </c>
      <c r="C1346">
        <v>63</v>
      </c>
      <c r="D1346" s="2" t="s">
        <v>21</v>
      </c>
      <c r="E1346" s="2" t="s">
        <v>30</v>
      </c>
      <c r="F1346" s="2" t="s">
        <v>31</v>
      </c>
      <c r="G1346" s="2" t="s">
        <v>81</v>
      </c>
      <c r="H1346" s="2" t="s">
        <v>18</v>
      </c>
      <c r="I1346" s="2" t="s">
        <v>17</v>
      </c>
      <c r="J1346">
        <v>0.54</v>
      </c>
      <c r="K1346" s="4">
        <v>45061</v>
      </c>
    </row>
    <row r="1347" spans="1:11" x14ac:dyDescent="0.3">
      <c r="A1347" t="s">
        <v>2717</v>
      </c>
      <c r="B1347" s="2" t="s">
        <v>2718</v>
      </c>
      <c r="C1347">
        <v>62</v>
      </c>
      <c r="D1347" s="2" t="s">
        <v>21</v>
      </c>
      <c r="E1347" s="2" t="s">
        <v>30</v>
      </c>
      <c r="F1347" s="2" t="s">
        <v>31</v>
      </c>
      <c r="G1347" s="2" t="s">
        <v>16</v>
      </c>
      <c r="H1347" s="2" t="s">
        <v>17</v>
      </c>
      <c r="I1347" s="2" t="s">
        <v>17</v>
      </c>
      <c r="J1347">
        <v>0.3</v>
      </c>
      <c r="K1347" s="4">
        <v>44497</v>
      </c>
    </row>
    <row r="1348" spans="1:11" x14ac:dyDescent="0.3">
      <c r="A1348" t="s">
        <v>2719</v>
      </c>
      <c r="B1348" s="2" t="s">
        <v>2720</v>
      </c>
      <c r="C1348">
        <v>61</v>
      </c>
      <c r="D1348" s="2" t="s">
        <v>21</v>
      </c>
      <c r="E1348" s="2" t="s">
        <v>14</v>
      </c>
      <c r="F1348" s="2" t="s">
        <v>31</v>
      </c>
      <c r="G1348" s="2" t="s">
        <v>24</v>
      </c>
      <c r="H1348" s="2" t="s">
        <v>18</v>
      </c>
      <c r="I1348" s="2" t="s">
        <v>17</v>
      </c>
      <c r="J1348">
        <v>0.57999999999999996</v>
      </c>
      <c r="K1348" s="4">
        <v>44580</v>
      </c>
    </row>
    <row r="1349" spans="1:11" x14ac:dyDescent="0.3">
      <c r="A1349" t="s">
        <v>2721</v>
      </c>
      <c r="B1349" s="2" t="s">
        <v>2722</v>
      </c>
      <c r="C1349">
        <v>18</v>
      </c>
      <c r="D1349" s="2" t="s">
        <v>21</v>
      </c>
      <c r="E1349" s="2" t="s">
        <v>30</v>
      </c>
      <c r="F1349" s="2" t="s">
        <v>31</v>
      </c>
      <c r="G1349" s="2" t="s">
        <v>16</v>
      </c>
      <c r="H1349" s="2" t="s">
        <v>17</v>
      </c>
      <c r="I1349" s="2" t="s">
        <v>18</v>
      </c>
      <c r="J1349">
        <v>0.15</v>
      </c>
      <c r="K1349" s="4">
        <v>43843</v>
      </c>
    </row>
    <row r="1350" spans="1:11" x14ac:dyDescent="0.3">
      <c r="A1350" t="s">
        <v>2723</v>
      </c>
      <c r="B1350" s="2" t="s">
        <v>2724</v>
      </c>
      <c r="C1350">
        <v>56</v>
      </c>
      <c r="D1350" s="2" t="s">
        <v>13</v>
      </c>
      <c r="E1350" s="2" t="s">
        <v>22</v>
      </c>
      <c r="F1350" s="2" t="s">
        <v>37</v>
      </c>
      <c r="G1350" s="2" t="s">
        <v>16</v>
      </c>
      <c r="H1350" s="2" t="s">
        <v>18</v>
      </c>
      <c r="I1350" s="2" t="s">
        <v>17</v>
      </c>
      <c r="J1350">
        <v>0.56999999999999995</v>
      </c>
      <c r="K1350" s="4">
        <v>44153</v>
      </c>
    </row>
    <row r="1351" spans="1:11" x14ac:dyDescent="0.3">
      <c r="A1351" t="s">
        <v>2725</v>
      </c>
      <c r="B1351" s="2" t="s">
        <v>2726</v>
      </c>
      <c r="C1351">
        <v>39</v>
      </c>
      <c r="D1351" s="2" t="s">
        <v>21</v>
      </c>
      <c r="E1351" s="2" t="s">
        <v>30</v>
      </c>
      <c r="F1351" s="2" t="s">
        <v>31</v>
      </c>
      <c r="G1351" s="2" t="s">
        <v>16</v>
      </c>
      <c r="H1351" s="2" t="s">
        <v>18</v>
      </c>
      <c r="I1351" s="2" t="s">
        <v>17</v>
      </c>
      <c r="J1351">
        <v>0.28000000000000003</v>
      </c>
      <c r="K1351" s="4">
        <v>44084</v>
      </c>
    </row>
    <row r="1352" spans="1:11" x14ac:dyDescent="0.3">
      <c r="A1352" t="s">
        <v>2727</v>
      </c>
      <c r="B1352" s="2" t="s">
        <v>2728</v>
      </c>
      <c r="C1352">
        <v>44</v>
      </c>
      <c r="D1352" s="2" t="s">
        <v>13</v>
      </c>
      <c r="E1352" s="2" t="s">
        <v>30</v>
      </c>
      <c r="F1352" s="2" t="s">
        <v>37</v>
      </c>
      <c r="G1352" s="2" t="s">
        <v>32</v>
      </c>
      <c r="H1352" s="2" t="s">
        <v>18</v>
      </c>
      <c r="I1352" s="2" t="s">
        <v>18</v>
      </c>
      <c r="J1352">
        <v>7.0000000000000007E-2</v>
      </c>
      <c r="K1352" s="4">
        <v>45010</v>
      </c>
    </row>
    <row r="1353" spans="1:11" x14ac:dyDescent="0.3">
      <c r="A1353" t="s">
        <v>2729</v>
      </c>
      <c r="B1353" s="2" t="s">
        <v>2730</v>
      </c>
      <c r="C1353">
        <v>51</v>
      </c>
      <c r="D1353" s="2" t="s">
        <v>13</v>
      </c>
      <c r="E1353" s="2" t="s">
        <v>22</v>
      </c>
      <c r="F1353" s="2" t="s">
        <v>37</v>
      </c>
      <c r="G1353" s="2" t="s">
        <v>24</v>
      </c>
      <c r="H1353" s="2" t="s">
        <v>17</v>
      </c>
      <c r="I1353" s="2" t="s">
        <v>18</v>
      </c>
      <c r="J1353">
        <v>0.24</v>
      </c>
      <c r="K1353" s="4">
        <v>44249</v>
      </c>
    </row>
    <row r="1354" spans="1:11" x14ac:dyDescent="0.3">
      <c r="A1354" t="s">
        <v>2731</v>
      </c>
      <c r="B1354" s="2" t="s">
        <v>2732</v>
      </c>
      <c r="C1354">
        <v>32</v>
      </c>
      <c r="D1354" s="2" t="s">
        <v>13</v>
      </c>
      <c r="E1354" s="2" t="s">
        <v>14</v>
      </c>
      <c r="F1354" s="2" t="s">
        <v>37</v>
      </c>
      <c r="G1354" s="2" t="s">
        <v>81</v>
      </c>
      <c r="H1354" s="2" t="s">
        <v>18</v>
      </c>
      <c r="I1354" s="2" t="s">
        <v>17</v>
      </c>
      <c r="J1354">
        <v>0.5</v>
      </c>
      <c r="K1354" s="4">
        <v>44838</v>
      </c>
    </row>
    <row r="1355" spans="1:11" x14ac:dyDescent="0.3">
      <c r="A1355" t="s">
        <v>2733</v>
      </c>
      <c r="B1355" s="2" t="s">
        <v>2734</v>
      </c>
      <c r="C1355">
        <v>38</v>
      </c>
      <c r="D1355" s="2" t="s">
        <v>21</v>
      </c>
      <c r="E1355" s="2" t="s">
        <v>14</v>
      </c>
      <c r="F1355" s="2" t="s">
        <v>23</v>
      </c>
      <c r="G1355" s="2" t="s">
        <v>24</v>
      </c>
      <c r="H1355" s="2" t="s">
        <v>17</v>
      </c>
      <c r="I1355" s="2" t="s">
        <v>17</v>
      </c>
      <c r="J1355">
        <v>0.57999999999999996</v>
      </c>
      <c r="K1355" s="4">
        <v>43893</v>
      </c>
    </row>
    <row r="1356" spans="1:11" x14ac:dyDescent="0.3">
      <c r="A1356" t="s">
        <v>2735</v>
      </c>
      <c r="B1356" s="2" t="s">
        <v>2736</v>
      </c>
      <c r="C1356">
        <v>41</v>
      </c>
      <c r="D1356" s="2" t="s">
        <v>13</v>
      </c>
      <c r="E1356" s="2" t="s">
        <v>14</v>
      </c>
      <c r="F1356" s="2" t="s">
        <v>15</v>
      </c>
      <c r="G1356" s="2" t="s">
        <v>32</v>
      </c>
      <c r="H1356" s="2" t="s">
        <v>17</v>
      </c>
      <c r="I1356" s="2" t="s">
        <v>17</v>
      </c>
      <c r="J1356">
        <v>0.55000000000000004</v>
      </c>
      <c r="K1356" s="4">
        <v>43452</v>
      </c>
    </row>
    <row r="1357" spans="1:11" x14ac:dyDescent="0.3">
      <c r="A1357" t="s">
        <v>2737</v>
      </c>
      <c r="B1357" s="2" t="s">
        <v>2738</v>
      </c>
      <c r="C1357">
        <v>28</v>
      </c>
      <c r="D1357" s="2" t="s">
        <v>13</v>
      </c>
      <c r="E1357" s="2" t="s">
        <v>22</v>
      </c>
      <c r="F1357" s="2" t="s">
        <v>15</v>
      </c>
      <c r="G1357" s="2" t="s">
        <v>32</v>
      </c>
      <c r="H1357" s="2" t="s">
        <v>18</v>
      </c>
      <c r="I1357" s="2" t="s">
        <v>17</v>
      </c>
      <c r="J1357">
        <v>0.52</v>
      </c>
      <c r="K1357" s="4">
        <v>43183</v>
      </c>
    </row>
    <row r="1358" spans="1:11" x14ac:dyDescent="0.3">
      <c r="A1358" t="s">
        <v>2739</v>
      </c>
      <c r="B1358" s="2" t="s">
        <v>2740</v>
      </c>
      <c r="C1358">
        <v>68</v>
      </c>
      <c r="D1358" s="2" t="s">
        <v>13</v>
      </c>
      <c r="E1358" s="2" t="s">
        <v>14</v>
      </c>
      <c r="F1358" s="2" t="s">
        <v>23</v>
      </c>
      <c r="G1358" s="2" t="s">
        <v>16</v>
      </c>
      <c r="H1358" s="2" t="s">
        <v>17</v>
      </c>
      <c r="I1358" s="2" t="s">
        <v>17</v>
      </c>
      <c r="J1358">
        <v>0.52</v>
      </c>
      <c r="K1358" s="4">
        <v>43593</v>
      </c>
    </row>
    <row r="1359" spans="1:11" x14ac:dyDescent="0.3">
      <c r="A1359" t="s">
        <v>2741</v>
      </c>
      <c r="B1359" s="2" t="s">
        <v>2742</v>
      </c>
      <c r="C1359">
        <v>62</v>
      </c>
      <c r="D1359" s="2" t="s">
        <v>21</v>
      </c>
      <c r="E1359" s="2" t="s">
        <v>14</v>
      </c>
      <c r="F1359" s="2" t="s">
        <v>37</v>
      </c>
      <c r="G1359" s="2" t="s">
        <v>81</v>
      </c>
      <c r="H1359" s="2" t="s">
        <v>17</v>
      </c>
      <c r="I1359" s="2" t="s">
        <v>17</v>
      </c>
      <c r="J1359">
        <v>0.12</v>
      </c>
      <c r="K1359" s="4">
        <v>43678</v>
      </c>
    </row>
    <row r="1360" spans="1:11" x14ac:dyDescent="0.3">
      <c r="A1360" t="s">
        <v>2743</v>
      </c>
      <c r="B1360" s="2" t="s">
        <v>2744</v>
      </c>
      <c r="C1360">
        <v>59</v>
      </c>
      <c r="D1360" s="2" t="s">
        <v>21</v>
      </c>
      <c r="E1360" s="2" t="s">
        <v>30</v>
      </c>
      <c r="F1360" s="2" t="s">
        <v>37</v>
      </c>
      <c r="G1360" s="2" t="s">
        <v>66</v>
      </c>
      <c r="H1360" s="2" t="s">
        <v>18</v>
      </c>
      <c r="I1360" s="2" t="s">
        <v>18</v>
      </c>
      <c r="J1360">
        <v>0.49</v>
      </c>
      <c r="K1360" s="4">
        <v>44393</v>
      </c>
    </row>
    <row r="1361" spans="1:11" x14ac:dyDescent="0.3">
      <c r="A1361" t="s">
        <v>2745</v>
      </c>
      <c r="B1361" s="2" t="s">
        <v>2746</v>
      </c>
      <c r="C1361">
        <v>54</v>
      </c>
      <c r="D1361" s="2" t="s">
        <v>13</v>
      </c>
      <c r="E1361" s="2" t="s">
        <v>22</v>
      </c>
      <c r="F1361" s="2" t="s">
        <v>23</v>
      </c>
      <c r="G1361" s="2" t="s">
        <v>27</v>
      </c>
      <c r="H1361" s="2" t="s">
        <v>18</v>
      </c>
      <c r="I1361" s="2" t="s">
        <v>17</v>
      </c>
      <c r="J1361">
        <v>0.49</v>
      </c>
      <c r="K1361" s="4">
        <v>43388</v>
      </c>
    </row>
    <row r="1362" spans="1:11" x14ac:dyDescent="0.3">
      <c r="A1362" t="s">
        <v>2747</v>
      </c>
      <c r="B1362" s="2" t="s">
        <v>2748</v>
      </c>
      <c r="C1362">
        <v>19</v>
      </c>
      <c r="D1362" s="2" t="s">
        <v>13</v>
      </c>
      <c r="E1362" s="2" t="s">
        <v>30</v>
      </c>
      <c r="F1362" s="2" t="s">
        <v>31</v>
      </c>
      <c r="G1362" s="2" t="s">
        <v>24</v>
      </c>
      <c r="H1362" s="2" t="s">
        <v>17</v>
      </c>
      <c r="I1362" s="2" t="s">
        <v>17</v>
      </c>
      <c r="J1362">
        <v>0.73</v>
      </c>
      <c r="K1362" s="4">
        <v>43627</v>
      </c>
    </row>
    <row r="1363" spans="1:11" x14ac:dyDescent="0.3">
      <c r="A1363" t="s">
        <v>2749</v>
      </c>
      <c r="B1363" s="2" t="s">
        <v>2750</v>
      </c>
      <c r="C1363">
        <v>23</v>
      </c>
      <c r="D1363" s="2" t="s">
        <v>13</v>
      </c>
      <c r="E1363" s="2" t="s">
        <v>14</v>
      </c>
      <c r="F1363" s="2" t="s">
        <v>23</v>
      </c>
      <c r="G1363" s="2" t="s">
        <v>81</v>
      </c>
      <c r="H1363" s="2" t="s">
        <v>18</v>
      </c>
      <c r="I1363" s="2" t="s">
        <v>17</v>
      </c>
      <c r="J1363">
        <v>0.83</v>
      </c>
      <c r="K1363" s="4">
        <v>43446</v>
      </c>
    </row>
    <row r="1364" spans="1:11" x14ac:dyDescent="0.3">
      <c r="A1364" t="s">
        <v>2751</v>
      </c>
      <c r="B1364" s="2" t="s">
        <v>2752</v>
      </c>
      <c r="C1364">
        <v>24</v>
      </c>
      <c r="D1364" s="2" t="s">
        <v>21</v>
      </c>
      <c r="E1364" s="2" t="s">
        <v>22</v>
      </c>
      <c r="F1364" s="2" t="s">
        <v>15</v>
      </c>
      <c r="G1364" s="2" t="s">
        <v>66</v>
      </c>
      <c r="H1364" s="2" t="s">
        <v>18</v>
      </c>
      <c r="I1364" s="2" t="s">
        <v>18</v>
      </c>
      <c r="J1364">
        <v>0.59</v>
      </c>
      <c r="K1364" s="4">
        <v>43959</v>
      </c>
    </row>
    <row r="1365" spans="1:11" x14ac:dyDescent="0.3">
      <c r="A1365" t="s">
        <v>2753</v>
      </c>
      <c r="B1365" s="2" t="s">
        <v>2754</v>
      </c>
      <c r="C1365">
        <v>33</v>
      </c>
      <c r="D1365" s="2" t="s">
        <v>13</v>
      </c>
      <c r="E1365" s="2" t="s">
        <v>30</v>
      </c>
      <c r="F1365" s="2" t="s">
        <v>37</v>
      </c>
      <c r="G1365" s="2" t="s">
        <v>24</v>
      </c>
      <c r="H1365" s="2" t="s">
        <v>18</v>
      </c>
      <c r="I1365" s="2" t="s">
        <v>18</v>
      </c>
      <c r="J1365">
        <v>0.44</v>
      </c>
      <c r="K1365" s="4">
        <v>43892</v>
      </c>
    </row>
    <row r="1366" spans="1:11" x14ac:dyDescent="0.3">
      <c r="A1366" t="s">
        <v>2755</v>
      </c>
      <c r="B1366" s="2" t="s">
        <v>2756</v>
      </c>
      <c r="C1366">
        <v>63</v>
      </c>
      <c r="D1366" s="2" t="s">
        <v>21</v>
      </c>
      <c r="E1366" s="2" t="s">
        <v>30</v>
      </c>
      <c r="F1366" s="2" t="s">
        <v>31</v>
      </c>
      <c r="G1366" s="2" t="s">
        <v>24</v>
      </c>
      <c r="H1366" s="2" t="s">
        <v>17</v>
      </c>
      <c r="I1366" s="2" t="s">
        <v>18</v>
      </c>
      <c r="J1366">
        <v>0.49</v>
      </c>
      <c r="K1366" s="4">
        <v>44014</v>
      </c>
    </row>
    <row r="1367" spans="1:11" x14ac:dyDescent="0.3">
      <c r="A1367" t="s">
        <v>2757</v>
      </c>
      <c r="B1367" s="2" t="s">
        <v>2758</v>
      </c>
      <c r="C1367">
        <v>46</v>
      </c>
      <c r="D1367" s="2" t="s">
        <v>21</v>
      </c>
      <c r="E1367" s="2" t="s">
        <v>14</v>
      </c>
      <c r="F1367" s="2" t="s">
        <v>31</v>
      </c>
      <c r="G1367" s="2" t="s">
        <v>66</v>
      </c>
      <c r="H1367" s="2" t="s">
        <v>18</v>
      </c>
      <c r="I1367" s="2" t="s">
        <v>18</v>
      </c>
      <c r="J1367">
        <v>0.6</v>
      </c>
      <c r="K1367" s="4">
        <v>43236</v>
      </c>
    </row>
    <row r="1368" spans="1:11" x14ac:dyDescent="0.3">
      <c r="A1368" t="s">
        <v>2759</v>
      </c>
      <c r="B1368" s="2" t="s">
        <v>2760</v>
      </c>
      <c r="C1368">
        <v>57</v>
      </c>
      <c r="D1368" s="2" t="s">
        <v>13</v>
      </c>
      <c r="E1368" s="2" t="s">
        <v>30</v>
      </c>
      <c r="F1368" s="2" t="s">
        <v>37</v>
      </c>
      <c r="G1368" s="2" t="s">
        <v>81</v>
      </c>
      <c r="H1368" s="2" t="s">
        <v>17</v>
      </c>
      <c r="I1368" s="2" t="s">
        <v>17</v>
      </c>
      <c r="J1368">
        <v>0.42</v>
      </c>
      <c r="K1368" s="4">
        <v>43274</v>
      </c>
    </row>
    <row r="1369" spans="1:11" x14ac:dyDescent="0.3">
      <c r="A1369" t="s">
        <v>2761</v>
      </c>
      <c r="B1369" s="2" t="s">
        <v>2762</v>
      </c>
      <c r="C1369">
        <v>46</v>
      </c>
      <c r="D1369" s="2" t="s">
        <v>21</v>
      </c>
      <c r="E1369" s="2" t="s">
        <v>22</v>
      </c>
      <c r="F1369" s="2" t="s">
        <v>31</v>
      </c>
      <c r="G1369" s="2" t="s">
        <v>16</v>
      </c>
      <c r="H1369" s="2" t="s">
        <v>17</v>
      </c>
      <c r="I1369" s="2" t="s">
        <v>18</v>
      </c>
      <c r="J1369">
        <v>0.33</v>
      </c>
      <c r="K1369" s="4">
        <v>44818</v>
      </c>
    </row>
    <row r="1370" spans="1:11" x14ac:dyDescent="0.3">
      <c r="A1370" t="s">
        <v>2763</v>
      </c>
      <c r="B1370" s="2" t="s">
        <v>2764</v>
      </c>
      <c r="C1370">
        <v>56</v>
      </c>
      <c r="D1370" s="2" t="s">
        <v>13</v>
      </c>
      <c r="E1370" s="2" t="s">
        <v>30</v>
      </c>
      <c r="F1370" s="2" t="s">
        <v>23</v>
      </c>
      <c r="G1370" s="2" t="s">
        <v>24</v>
      </c>
      <c r="H1370" s="2" t="s">
        <v>18</v>
      </c>
      <c r="I1370" s="2" t="s">
        <v>17</v>
      </c>
      <c r="J1370">
        <v>0.18</v>
      </c>
      <c r="K1370" s="4">
        <v>43702</v>
      </c>
    </row>
    <row r="1371" spans="1:11" x14ac:dyDescent="0.3">
      <c r="A1371" t="s">
        <v>2765</v>
      </c>
      <c r="B1371" s="2" t="s">
        <v>2766</v>
      </c>
      <c r="C1371">
        <v>54</v>
      </c>
      <c r="D1371" s="2" t="s">
        <v>13</v>
      </c>
      <c r="E1371" s="2" t="s">
        <v>22</v>
      </c>
      <c r="F1371" s="2" t="s">
        <v>31</v>
      </c>
      <c r="G1371" s="2" t="s">
        <v>81</v>
      </c>
      <c r="H1371" s="2" t="s">
        <v>17</v>
      </c>
      <c r="I1371" s="2" t="s">
        <v>18</v>
      </c>
      <c r="J1371">
        <v>0.56000000000000005</v>
      </c>
      <c r="K1371" s="4">
        <v>43587</v>
      </c>
    </row>
    <row r="1372" spans="1:11" x14ac:dyDescent="0.3">
      <c r="A1372" t="s">
        <v>2767</v>
      </c>
      <c r="B1372" s="2" t="s">
        <v>2768</v>
      </c>
      <c r="C1372">
        <v>34</v>
      </c>
      <c r="D1372" s="2" t="s">
        <v>13</v>
      </c>
      <c r="E1372" s="2" t="s">
        <v>14</v>
      </c>
      <c r="F1372" s="2" t="s">
        <v>23</v>
      </c>
      <c r="G1372" s="2" t="s">
        <v>32</v>
      </c>
      <c r="H1372" s="2" t="s">
        <v>18</v>
      </c>
      <c r="I1372" s="2" t="s">
        <v>18</v>
      </c>
      <c r="J1372">
        <v>0.53</v>
      </c>
      <c r="K1372" s="4">
        <v>43268</v>
      </c>
    </row>
    <row r="1373" spans="1:11" x14ac:dyDescent="0.3">
      <c r="A1373" t="s">
        <v>2769</v>
      </c>
      <c r="B1373" s="2" t="s">
        <v>2770</v>
      </c>
      <c r="C1373">
        <v>32</v>
      </c>
      <c r="D1373" s="2" t="s">
        <v>13</v>
      </c>
      <c r="E1373" s="2" t="s">
        <v>30</v>
      </c>
      <c r="F1373" s="2" t="s">
        <v>23</v>
      </c>
      <c r="G1373" s="2" t="s">
        <v>66</v>
      </c>
      <c r="H1373" s="2" t="s">
        <v>17</v>
      </c>
      <c r="I1373" s="2" t="s">
        <v>17</v>
      </c>
      <c r="J1373">
        <v>0.05</v>
      </c>
      <c r="K1373" s="4">
        <v>44321</v>
      </c>
    </row>
    <row r="1374" spans="1:11" x14ac:dyDescent="0.3">
      <c r="A1374" t="s">
        <v>2771</v>
      </c>
      <c r="B1374" s="2" t="s">
        <v>2772</v>
      </c>
      <c r="C1374">
        <v>26</v>
      </c>
      <c r="D1374" s="2" t="s">
        <v>13</v>
      </c>
      <c r="E1374" s="2" t="s">
        <v>14</v>
      </c>
      <c r="F1374" s="2" t="s">
        <v>23</v>
      </c>
      <c r="G1374" s="2" t="s">
        <v>24</v>
      </c>
      <c r="H1374" s="2" t="s">
        <v>18</v>
      </c>
      <c r="I1374" s="2" t="s">
        <v>18</v>
      </c>
      <c r="J1374">
        <v>0.04</v>
      </c>
      <c r="K1374" s="4">
        <v>44439</v>
      </c>
    </row>
    <row r="1375" spans="1:11" x14ac:dyDescent="0.3">
      <c r="A1375" t="s">
        <v>2773</v>
      </c>
      <c r="B1375" s="2" t="s">
        <v>2774</v>
      </c>
      <c r="C1375">
        <v>33</v>
      </c>
      <c r="D1375" s="2" t="s">
        <v>21</v>
      </c>
      <c r="E1375" s="2" t="s">
        <v>30</v>
      </c>
      <c r="F1375" s="2" t="s">
        <v>23</v>
      </c>
      <c r="G1375" s="2" t="s">
        <v>27</v>
      </c>
      <c r="H1375" s="2" t="s">
        <v>18</v>
      </c>
      <c r="I1375" s="2" t="s">
        <v>18</v>
      </c>
      <c r="J1375">
        <v>0.44</v>
      </c>
      <c r="K1375" s="4">
        <v>44224</v>
      </c>
    </row>
    <row r="1376" spans="1:11" x14ac:dyDescent="0.3">
      <c r="A1376" t="s">
        <v>2775</v>
      </c>
      <c r="B1376" s="2" t="s">
        <v>2776</v>
      </c>
      <c r="C1376">
        <v>57</v>
      </c>
      <c r="D1376" s="2" t="s">
        <v>13</v>
      </c>
      <c r="E1376" s="2" t="s">
        <v>14</v>
      </c>
      <c r="F1376" s="2" t="s">
        <v>23</v>
      </c>
      <c r="G1376" s="2" t="s">
        <v>66</v>
      </c>
      <c r="H1376" s="2" t="s">
        <v>18</v>
      </c>
      <c r="I1376" s="2" t="s">
        <v>18</v>
      </c>
      <c r="J1376">
        <v>0.38</v>
      </c>
      <c r="K1376" s="4">
        <v>44510</v>
      </c>
    </row>
    <row r="1377" spans="1:11" x14ac:dyDescent="0.3">
      <c r="A1377" t="s">
        <v>2777</v>
      </c>
      <c r="B1377" s="2" t="s">
        <v>2778</v>
      </c>
      <c r="C1377">
        <v>42</v>
      </c>
      <c r="D1377" s="2" t="s">
        <v>13</v>
      </c>
      <c r="E1377" s="2" t="s">
        <v>22</v>
      </c>
      <c r="F1377" s="2" t="s">
        <v>15</v>
      </c>
      <c r="G1377" s="2" t="s">
        <v>81</v>
      </c>
      <c r="H1377" s="2" t="s">
        <v>18</v>
      </c>
      <c r="I1377" s="2" t="s">
        <v>18</v>
      </c>
      <c r="J1377">
        <v>0.22</v>
      </c>
      <c r="K1377" s="4">
        <v>44063</v>
      </c>
    </row>
    <row r="1378" spans="1:11" x14ac:dyDescent="0.3">
      <c r="A1378" t="s">
        <v>2779</v>
      </c>
      <c r="B1378" s="2" t="s">
        <v>2780</v>
      </c>
      <c r="C1378">
        <v>23</v>
      </c>
      <c r="D1378" s="2" t="s">
        <v>21</v>
      </c>
      <c r="E1378" s="2" t="s">
        <v>30</v>
      </c>
      <c r="F1378" s="2" t="s">
        <v>23</v>
      </c>
      <c r="G1378" s="2" t="s">
        <v>16</v>
      </c>
      <c r="H1378" s="2" t="s">
        <v>17</v>
      </c>
      <c r="I1378" s="2" t="s">
        <v>17</v>
      </c>
      <c r="J1378">
        <v>0.56000000000000005</v>
      </c>
      <c r="K1378" s="4">
        <v>43628</v>
      </c>
    </row>
    <row r="1379" spans="1:11" x14ac:dyDescent="0.3">
      <c r="A1379" t="s">
        <v>2781</v>
      </c>
      <c r="B1379" s="2" t="s">
        <v>2782</v>
      </c>
      <c r="C1379">
        <v>65</v>
      </c>
      <c r="D1379" s="2" t="s">
        <v>13</v>
      </c>
      <c r="E1379" s="2" t="s">
        <v>30</v>
      </c>
      <c r="F1379" s="2" t="s">
        <v>37</v>
      </c>
      <c r="G1379" s="2" t="s">
        <v>81</v>
      </c>
      <c r="H1379" s="2" t="s">
        <v>18</v>
      </c>
      <c r="I1379" s="2" t="s">
        <v>17</v>
      </c>
      <c r="J1379">
        <v>0.49</v>
      </c>
      <c r="K1379" s="4">
        <v>43203</v>
      </c>
    </row>
    <row r="1380" spans="1:11" x14ac:dyDescent="0.3">
      <c r="A1380" t="s">
        <v>2783</v>
      </c>
      <c r="B1380" s="2" t="s">
        <v>2784</v>
      </c>
      <c r="C1380">
        <v>47</v>
      </c>
      <c r="D1380" s="2" t="s">
        <v>13</v>
      </c>
      <c r="E1380" s="2" t="s">
        <v>14</v>
      </c>
      <c r="F1380" s="2" t="s">
        <v>15</v>
      </c>
      <c r="G1380" s="2" t="s">
        <v>81</v>
      </c>
      <c r="H1380" s="2" t="s">
        <v>18</v>
      </c>
      <c r="I1380" s="2" t="s">
        <v>18</v>
      </c>
      <c r="J1380">
        <v>0.43</v>
      </c>
      <c r="K1380" s="4">
        <v>43437</v>
      </c>
    </row>
    <row r="1381" spans="1:11" x14ac:dyDescent="0.3">
      <c r="A1381" t="s">
        <v>2785</v>
      </c>
      <c r="B1381" s="2" t="s">
        <v>2786</v>
      </c>
      <c r="C1381">
        <v>67</v>
      </c>
      <c r="D1381" s="2" t="s">
        <v>21</v>
      </c>
      <c r="E1381" s="2" t="s">
        <v>14</v>
      </c>
      <c r="F1381" s="2" t="s">
        <v>37</v>
      </c>
      <c r="G1381" s="2" t="s">
        <v>32</v>
      </c>
      <c r="H1381" s="2" t="s">
        <v>18</v>
      </c>
      <c r="I1381" s="2" t="s">
        <v>17</v>
      </c>
      <c r="J1381">
        <v>0.3</v>
      </c>
      <c r="K1381" s="4">
        <v>44003</v>
      </c>
    </row>
    <row r="1382" spans="1:11" x14ac:dyDescent="0.3">
      <c r="A1382" t="s">
        <v>2787</v>
      </c>
      <c r="B1382" s="2" t="s">
        <v>2788</v>
      </c>
      <c r="C1382">
        <v>52</v>
      </c>
      <c r="D1382" s="2" t="s">
        <v>21</v>
      </c>
      <c r="E1382" s="2" t="s">
        <v>22</v>
      </c>
      <c r="F1382" s="2" t="s">
        <v>15</v>
      </c>
      <c r="G1382" s="2" t="s">
        <v>27</v>
      </c>
      <c r="H1382" s="2" t="s">
        <v>17</v>
      </c>
      <c r="I1382" s="2" t="s">
        <v>17</v>
      </c>
      <c r="J1382">
        <v>0.54</v>
      </c>
      <c r="K1382" s="4">
        <v>44232</v>
      </c>
    </row>
    <row r="1383" spans="1:11" x14ac:dyDescent="0.3">
      <c r="A1383" t="s">
        <v>2789</v>
      </c>
      <c r="B1383" s="2" t="s">
        <v>2790</v>
      </c>
      <c r="C1383">
        <v>65</v>
      </c>
      <c r="D1383" s="2" t="s">
        <v>21</v>
      </c>
      <c r="E1383" s="2" t="s">
        <v>30</v>
      </c>
      <c r="F1383" s="2" t="s">
        <v>37</v>
      </c>
      <c r="G1383" s="2" t="s">
        <v>27</v>
      </c>
      <c r="H1383" s="2" t="s">
        <v>17</v>
      </c>
      <c r="I1383" s="2" t="s">
        <v>18</v>
      </c>
      <c r="J1383">
        <v>0.09</v>
      </c>
      <c r="K1383" s="4">
        <v>43768</v>
      </c>
    </row>
    <row r="1384" spans="1:11" x14ac:dyDescent="0.3">
      <c r="A1384" t="s">
        <v>2791</v>
      </c>
      <c r="B1384" s="2" t="s">
        <v>2792</v>
      </c>
      <c r="C1384">
        <v>64</v>
      </c>
      <c r="D1384" s="2" t="s">
        <v>13</v>
      </c>
      <c r="E1384" s="2" t="s">
        <v>22</v>
      </c>
      <c r="F1384" s="2" t="s">
        <v>31</v>
      </c>
      <c r="G1384" s="2" t="s">
        <v>24</v>
      </c>
      <c r="H1384" s="2" t="s">
        <v>18</v>
      </c>
      <c r="I1384" s="2" t="s">
        <v>18</v>
      </c>
      <c r="J1384">
        <v>0.7</v>
      </c>
      <c r="K1384" s="4">
        <v>43107</v>
      </c>
    </row>
    <row r="1385" spans="1:11" x14ac:dyDescent="0.3">
      <c r="A1385" t="s">
        <v>2793</v>
      </c>
      <c r="B1385" s="2" t="s">
        <v>2794</v>
      </c>
      <c r="C1385">
        <v>62</v>
      </c>
      <c r="D1385" s="2" t="s">
        <v>21</v>
      </c>
      <c r="E1385" s="2" t="s">
        <v>22</v>
      </c>
      <c r="F1385" s="2" t="s">
        <v>23</v>
      </c>
      <c r="G1385" s="2" t="s">
        <v>81</v>
      </c>
      <c r="H1385" s="2" t="s">
        <v>17</v>
      </c>
      <c r="I1385" s="2" t="s">
        <v>18</v>
      </c>
      <c r="J1385">
        <v>0.53</v>
      </c>
      <c r="K1385" s="4">
        <v>43397</v>
      </c>
    </row>
    <row r="1386" spans="1:11" x14ac:dyDescent="0.3">
      <c r="A1386" t="s">
        <v>2795</v>
      </c>
      <c r="B1386" s="2" t="s">
        <v>2796</v>
      </c>
      <c r="C1386">
        <v>23</v>
      </c>
      <c r="D1386" s="2" t="s">
        <v>21</v>
      </c>
      <c r="E1386" s="2" t="s">
        <v>22</v>
      </c>
      <c r="F1386" s="2" t="s">
        <v>15</v>
      </c>
      <c r="G1386" s="2" t="s">
        <v>81</v>
      </c>
      <c r="H1386" s="2" t="s">
        <v>18</v>
      </c>
      <c r="I1386" s="2" t="s">
        <v>17</v>
      </c>
      <c r="J1386">
        <v>0.93</v>
      </c>
      <c r="K1386" s="4">
        <v>43875</v>
      </c>
    </row>
    <row r="1387" spans="1:11" x14ac:dyDescent="0.3">
      <c r="A1387" t="s">
        <v>2797</v>
      </c>
      <c r="B1387" s="2" t="s">
        <v>2798</v>
      </c>
      <c r="C1387">
        <v>54</v>
      </c>
      <c r="D1387" s="2" t="s">
        <v>21</v>
      </c>
      <c r="E1387" s="2" t="s">
        <v>14</v>
      </c>
      <c r="F1387" s="2" t="s">
        <v>23</v>
      </c>
      <c r="G1387" s="2" t="s">
        <v>27</v>
      </c>
      <c r="H1387" s="2" t="s">
        <v>18</v>
      </c>
      <c r="I1387" s="2" t="s">
        <v>17</v>
      </c>
      <c r="J1387">
        <v>0.23</v>
      </c>
      <c r="K1387" s="4">
        <v>44429</v>
      </c>
    </row>
    <row r="1388" spans="1:11" x14ac:dyDescent="0.3">
      <c r="A1388" t="s">
        <v>2799</v>
      </c>
      <c r="B1388" s="2" t="s">
        <v>2800</v>
      </c>
      <c r="C1388">
        <v>21</v>
      </c>
      <c r="D1388" s="2" t="s">
        <v>13</v>
      </c>
      <c r="E1388" s="2" t="s">
        <v>14</v>
      </c>
      <c r="F1388" s="2" t="s">
        <v>15</v>
      </c>
      <c r="G1388" s="2" t="s">
        <v>16</v>
      </c>
      <c r="H1388" s="2" t="s">
        <v>18</v>
      </c>
      <c r="I1388" s="2" t="s">
        <v>18</v>
      </c>
      <c r="J1388">
        <v>0.54</v>
      </c>
      <c r="K1388" s="4">
        <v>43729</v>
      </c>
    </row>
    <row r="1389" spans="1:11" x14ac:dyDescent="0.3">
      <c r="A1389" t="s">
        <v>2801</v>
      </c>
      <c r="B1389" s="2" t="s">
        <v>2802</v>
      </c>
      <c r="C1389">
        <v>19</v>
      </c>
      <c r="D1389" s="2" t="s">
        <v>13</v>
      </c>
      <c r="E1389" s="2" t="s">
        <v>30</v>
      </c>
      <c r="F1389" s="2" t="s">
        <v>15</v>
      </c>
      <c r="G1389" s="2" t="s">
        <v>81</v>
      </c>
      <c r="H1389" s="2" t="s">
        <v>17</v>
      </c>
      <c r="I1389" s="2" t="s">
        <v>17</v>
      </c>
      <c r="J1389">
        <v>0.18</v>
      </c>
      <c r="K1389" s="4">
        <v>43941</v>
      </c>
    </row>
    <row r="1390" spans="1:11" x14ac:dyDescent="0.3">
      <c r="A1390" t="s">
        <v>2803</v>
      </c>
      <c r="B1390" s="2" t="s">
        <v>2804</v>
      </c>
      <c r="C1390">
        <v>55</v>
      </c>
      <c r="D1390" s="2" t="s">
        <v>13</v>
      </c>
      <c r="E1390" s="2" t="s">
        <v>30</v>
      </c>
      <c r="F1390" s="2" t="s">
        <v>37</v>
      </c>
      <c r="G1390" s="2" t="s">
        <v>81</v>
      </c>
      <c r="H1390" s="2" t="s">
        <v>17</v>
      </c>
      <c r="I1390" s="2" t="s">
        <v>18</v>
      </c>
      <c r="J1390">
        <v>0.44</v>
      </c>
      <c r="K1390" s="4">
        <v>43874</v>
      </c>
    </row>
    <row r="1391" spans="1:11" x14ac:dyDescent="0.3">
      <c r="A1391" t="s">
        <v>2805</v>
      </c>
      <c r="B1391" s="2" t="s">
        <v>2806</v>
      </c>
      <c r="C1391">
        <v>53</v>
      </c>
      <c r="D1391" s="2" t="s">
        <v>21</v>
      </c>
      <c r="E1391" s="2" t="s">
        <v>14</v>
      </c>
      <c r="F1391" s="2" t="s">
        <v>37</v>
      </c>
      <c r="G1391" s="2" t="s">
        <v>66</v>
      </c>
      <c r="H1391" s="2" t="s">
        <v>18</v>
      </c>
      <c r="I1391" s="2" t="s">
        <v>17</v>
      </c>
      <c r="J1391">
        <v>0.54</v>
      </c>
      <c r="K1391" s="4">
        <v>43159</v>
      </c>
    </row>
    <row r="1392" spans="1:11" x14ac:dyDescent="0.3">
      <c r="A1392" t="s">
        <v>2807</v>
      </c>
      <c r="B1392" s="2" t="s">
        <v>2808</v>
      </c>
      <c r="C1392">
        <v>54</v>
      </c>
      <c r="D1392" s="2" t="s">
        <v>21</v>
      </c>
      <c r="E1392" s="2" t="s">
        <v>14</v>
      </c>
      <c r="F1392" s="2" t="s">
        <v>23</v>
      </c>
      <c r="G1392" s="2" t="s">
        <v>81</v>
      </c>
      <c r="H1392" s="2" t="s">
        <v>18</v>
      </c>
      <c r="I1392" s="2" t="s">
        <v>18</v>
      </c>
      <c r="J1392">
        <v>0.8</v>
      </c>
      <c r="K1392" s="4">
        <v>44683</v>
      </c>
    </row>
    <row r="1393" spans="1:11" x14ac:dyDescent="0.3">
      <c r="A1393" t="s">
        <v>2809</v>
      </c>
      <c r="B1393" s="2" t="s">
        <v>2810</v>
      </c>
      <c r="C1393">
        <v>42</v>
      </c>
      <c r="D1393" s="2" t="s">
        <v>13</v>
      </c>
      <c r="E1393" s="2" t="s">
        <v>14</v>
      </c>
      <c r="F1393" s="2" t="s">
        <v>37</v>
      </c>
      <c r="G1393" s="2" t="s">
        <v>66</v>
      </c>
      <c r="H1393" s="2" t="s">
        <v>17</v>
      </c>
      <c r="I1393" s="2" t="s">
        <v>18</v>
      </c>
      <c r="J1393">
        <v>0.35</v>
      </c>
      <c r="K1393" s="4">
        <v>44404</v>
      </c>
    </row>
    <row r="1394" spans="1:11" x14ac:dyDescent="0.3">
      <c r="A1394" t="s">
        <v>2811</v>
      </c>
      <c r="B1394" s="2" t="s">
        <v>2812</v>
      </c>
      <c r="C1394">
        <v>68</v>
      </c>
      <c r="D1394" s="2" t="s">
        <v>21</v>
      </c>
      <c r="E1394" s="2" t="s">
        <v>14</v>
      </c>
      <c r="F1394" s="2" t="s">
        <v>15</v>
      </c>
      <c r="G1394" s="2" t="s">
        <v>32</v>
      </c>
      <c r="H1394" s="2" t="s">
        <v>17</v>
      </c>
      <c r="I1394" s="2" t="s">
        <v>17</v>
      </c>
      <c r="J1394">
        <v>0.55000000000000004</v>
      </c>
      <c r="K1394" s="4">
        <v>44867</v>
      </c>
    </row>
    <row r="1395" spans="1:11" x14ac:dyDescent="0.3">
      <c r="A1395" t="s">
        <v>2813</v>
      </c>
      <c r="B1395" s="2" t="s">
        <v>2814</v>
      </c>
      <c r="C1395">
        <v>52</v>
      </c>
      <c r="D1395" s="2" t="s">
        <v>13</v>
      </c>
      <c r="E1395" s="2" t="s">
        <v>30</v>
      </c>
      <c r="F1395" s="2" t="s">
        <v>37</v>
      </c>
      <c r="G1395" s="2" t="s">
        <v>27</v>
      </c>
      <c r="H1395" s="2" t="s">
        <v>18</v>
      </c>
      <c r="I1395" s="2" t="s">
        <v>17</v>
      </c>
      <c r="J1395">
        <v>0.98</v>
      </c>
      <c r="K1395" s="4">
        <v>43351</v>
      </c>
    </row>
    <row r="1396" spans="1:11" x14ac:dyDescent="0.3">
      <c r="A1396" t="s">
        <v>2815</v>
      </c>
      <c r="B1396" s="2" t="s">
        <v>2816</v>
      </c>
      <c r="C1396">
        <v>39</v>
      </c>
      <c r="D1396" s="2" t="s">
        <v>13</v>
      </c>
      <c r="E1396" s="2" t="s">
        <v>14</v>
      </c>
      <c r="F1396" s="2" t="s">
        <v>31</v>
      </c>
      <c r="G1396" s="2" t="s">
        <v>66</v>
      </c>
      <c r="H1396" s="2" t="s">
        <v>18</v>
      </c>
      <c r="I1396" s="2" t="s">
        <v>18</v>
      </c>
      <c r="J1396">
        <v>0.56999999999999995</v>
      </c>
      <c r="K1396" s="4">
        <v>44466</v>
      </c>
    </row>
    <row r="1397" spans="1:11" x14ac:dyDescent="0.3">
      <c r="A1397" t="s">
        <v>2817</v>
      </c>
      <c r="B1397" s="2" t="s">
        <v>2818</v>
      </c>
      <c r="C1397">
        <v>57</v>
      </c>
      <c r="D1397" s="2" t="s">
        <v>13</v>
      </c>
      <c r="E1397" s="2" t="s">
        <v>22</v>
      </c>
      <c r="F1397" s="2" t="s">
        <v>37</v>
      </c>
      <c r="G1397" s="2" t="s">
        <v>27</v>
      </c>
      <c r="H1397" s="2" t="s">
        <v>17</v>
      </c>
      <c r="I1397" s="2" t="s">
        <v>17</v>
      </c>
      <c r="J1397">
        <v>0.26</v>
      </c>
      <c r="K1397" s="4">
        <v>43549</v>
      </c>
    </row>
    <row r="1398" spans="1:11" x14ac:dyDescent="0.3">
      <c r="A1398" t="s">
        <v>2819</v>
      </c>
      <c r="B1398" s="2" t="s">
        <v>2820</v>
      </c>
      <c r="C1398">
        <v>56</v>
      </c>
      <c r="D1398" s="2" t="s">
        <v>13</v>
      </c>
      <c r="E1398" s="2" t="s">
        <v>14</v>
      </c>
      <c r="F1398" s="2" t="s">
        <v>37</v>
      </c>
      <c r="G1398" s="2" t="s">
        <v>81</v>
      </c>
      <c r="H1398" s="2" t="s">
        <v>18</v>
      </c>
      <c r="I1398" s="2" t="s">
        <v>18</v>
      </c>
      <c r="J1398">
        <v>0.78</v>
      </c>
      <c r="K1398" s="4">
        <v>44127</v>
      </c>
    </row>
    <row r="1399" spans="1:11" x14ac:dyDescent="0.3">
      <c r="A1399" t="s">
        <v>2821</v>
      </c>
      <c r="B1399" s="2" t="s">
        <v>2822</v>
      </c>
      <c r="C1399">
        <v>53</v>
      </c>
      <c r="D1399" s="2" t="s">
        <v>13</v>
      </c>
      <c r="E1399" s="2" t="s">
        <v>22</v>
      </c>
      <c r="F1399" s="2" t="s">
        <v>23</v>
      </c>
      <c r="G1399" s="2" t="s">
        <v>27</v>
      </c>
      <c r="H1399" s="2" t="s">
        <v>18</v>
      </c>
      <c r="I1399" s="2" t="s">
        <v>18</v>
      </c>
      <c r="J1399">
        <v>0.42</v>
      </c>
      <c r="K1399" s="4">
        <v>43775</v>
      </c>
    </row>
    <row r="1400" spans="1:11" x14ac:dyDescent="0.3">
      <c r="A1400" t="s">
        <v>2823</v>
      </c>
      <c r="B1400" s="2" t="s">
        <v>2824</v>
      </c>
      <c r="C1400">
        <v>54</v>
      </c>
      <c r="D1400" s="2" t="s">
        <v>13</v>
      </c>
      <c r="E1400" s="2" t="s">
        <v>14</v>
      </c>
      <c r="F1400" s="2" t="s">
        <v>23</v>
      </c>
      <c r="G1400" s="2" t="s">
        <v>27</v>
      </c>
      <c r="H1400" s="2" t="s">
        <v>17</v>
      </c>
      <c r="I1400" s="2" t="s">
        <v>17</v>
      </c>
      <c r="J1400">
        <v>0.36</v>
      </c>
      <c r="K1400" s="4">
        <v>44663</v>
      </c>
    </row>
    <row r="1401" spans="1:11" x14ac:dyDescent="0.3">
      <c r="A1401" t="s">
        <v>2825</v>
      </c>
      <c r="B1401" s="2" t="s">
        <v>2826</v>
      </c>
      <c r="C1401">
        <v>40</v>
      </c>
      <c r="D1401" s="2" t="s">
        <v>21</v>
      </c>
      <c r="E1401" s="2" t="s">
        <v>30</v>
      </c>
      <c r="F1401" s="2" t="s">
        <v>15</v>
      </c>
      <c r="G1401" s="2" t="s">
        <v>66</v>
      </c>
      <c r="H1401" s="2" t="s">
        <v>17</v>
      </c>
      <c r="I1401" s="2" t="s">
        <v>18</v>
      </c>
      <c r="J1401">
        <v>0.52</v>
      </c>
      <c r="K1401" s="4">
        <v>43865</v>
      </c>
    </row>
    <row r="1402" spans="1:11" x14ac:dyDescent="0.3">
      <c r="A1402" t="s">
        <v>2827</v>
      </c>
      <c r="B1402" s="2" t="s">
        <v>2828</v>
      </c>
      <c r="C1402">
        <v>25</v>
      </c>
      <c r="D1402" s="2" t="s">
        <v>13</v>
      </c>
      <c r="E1402" s="2" t="s">
        <v>22</v>
      </c>
      <c r="F1402" s="2" t="s">
        <v>31</v>
      </c>
      <c r="G1402" s="2" t="s">
        <v>16</v>
      </c>
      <c r="H1402" s="2" t="s">
        <v>17</v>
      </c>
      <c r="I1402" s="2" t="s">
        <v>18</v>
      </c>
      <c r="J1402">
        <v>0.35</v>
      </c>
      <c r="K1402" s="4">
        <v>44302</v>
      </c>
    </row>
    <row r="1403" spans="1:11" x14ac:dyDescent="0.3">
      <c r="A1403" t="s">
        <v>2829</v>
      </c>
      <c r="B1403" s="2" t="s">
        <v>2830</v>
      </c>
      <c r="C1403">
        <v>50</v>
      </c>
      <c r="D1403" s="2" t="s">
        <v>21</v>
      </c>
      <c r="E1403" s="2" t="s">
        <v>14</v>
      </c>
      <c r="F1403" s="2" t="s">
        <v>15</v>
      </c>
      <c r="G1403" s="2" t="s">
        <v>24</v>
      </c>
      <c r="H1403" s="2" t="s">
        <v>18</v>
      </c>
      <c r="I1403" s="2" t="s">
        <v>17</v>
      </c>
      <c r="J1403">
        <v>0.37</v>
      </c>
      <c r="K1403" s="4">
        <v>43676</v>
      </c>
    </row>
    <row r="1404" spans="1:11" x14ac:dyDescent="0.3">
      <c r="A1404" t="s">
        <v>2831</v>
      </c>
      <c r="B1404" s="2" t="s">
        <v>2832</v>
      </c>
      <c r="C1404">
        <v>30</v>
      </c>
      <c r="D1404" s="2" t="s">
        <v>13</v>
      </c>
      <c r="E1404" s="2" t="s">
        <v>14</v>
      </c>
      <c r="F1404" s="2" t="s">
        <v>15</v>
      </c>
      <c r="G1404" s="2" t="s">
        <v>32</v>
      </c>
      <c r="H1404" s="2" t="s">
        <v>18</v>
      </c>
      <c r="I1404" s="2" t="s">
        <v>17</v>
      </c>
      <c r="J1404">
        <v>0.57999999999999996</v>
      </c>
      <c r="K1404" s="4">
        <v>43680</v>
      </c>
    </row>
    <row r="1405" spans="1:11" x14ac:dyDescent="0.3">
      <c r="A1405" t="s">
        <v>2833</v>
      </c>
      <c r="B1405" s="2" t="s">
        <v>2834</v>
      </c>
      <c r="C1405">
        <v>60</v>
      </c>
      <c r="D1405" s="2" t="s">
        <v>21</v>
      </c>
      <c r="E1405" s="2" t="s">
        <v>22</v>
      </c>
      <c r="F1405" s="2" t="s">
        <v>15</v>
      </c>
      <c r="G1405" s="2" t="s">
        <v>66</v>
      </c>
      <c r="H1405" s="2" t="s">
        <v>18</v>
      </c>
      <c r="I1405" s="2" t="s">
        <v>18</v>
      </c>
      <c r="J1405">
        <v>0.65</v>
      </c>
      <c r="K1405" s="4">
        <v>43764</v>
      </c>
    </row>
    <row r="1406" spans="1:11" x14ac:dyDescent="0.3">
      <c r="A1406" t="s">
        <v>2835</v>
      </c>
      <c r="B1406" s="2" t="s">
        <v>2836</v>
      </c>
      <c r="C1406">
        <v>28</v>
      </c>
      <c r="D1406" s="2" t="s">
        <v>13</v>
      </c>
      <c r="E1406" s="2" t="s">
        <v>14</v>
      </c>
      <c r="F1406" s="2" t="s">
        <v>23</v>
      </c>
      <c r="G1406" s="2" t="s">
        <v>66</v>
      </c>
      <c r="H1406" s="2" t="s">
        <v>17</v>
      </c>
      <c r="I1406" s="2" t="s">
        <v>18</v>
      </c>
      <c r="J1406">
        <v>0.52</v>
      </c>
      <c r="K1406" s="4">
        <v>44673</v>
      </c>
    </row>
    <row r="1407" spans="1:11" x14ac:dyDescent="0.3">
      <c r="A1407" t="s">
        <v>2837</v>
      </c>
      <c r="B1407" s="2" t="s">
        <v>2838</v>
      </c>
      <c r="C1407">
        <v>39</v>
      </c>
      <c r="D1407" s="2" t="s">
        <v>21</v>
      </c>
      <c r="E1407" s="2" t="s">
        <v>14</v>
      </c>
      <c r="F1407" s="2" t="s">
        <v>31</v>
      </c>
      <c r="G1407" s="2" t="s">
        <v>66</v>
      </c>
      <c r="H1407" s="2" t="s">
        <v>17</v>
      </c>
      <c r="I1407" s="2" t="s">
        <v>18</v>
      </c>
      <c r="J1407">
        <v>0.8</v>
      </c>
      <c r="K1407" s="4">
        <v>43235</v>
      </c>
    </row>
    <row r="1408" spans="1:11" x14ac:dyDescent="0.3">
      <c r="A1408" t="s">
        <v>2839</v>
      </c>
      <c r="B1408" s="2" t="s">
        <v>2840</v>
      </c>
      <c r="C1408">
        <v>40</v>
      </c>
      <c r="D1408" s="2" t="s">
        <v>21</v>
      </c>
      <c r="E1408" s="2" t="s">
        <v>22</v>
      </c>
      <c r="F1408" s="2" t="s">
        <v>37</v>
      </c>
      <c r="G1408" s="2" t="s">
        <v>16</v>
      </c>
      <c r="H1408" s="2" t="s">
        <v>18</v>
      </c>
      <c r="I1408" s="2" t="s">
        <v>18</v>
      </c>
      <c r="J1408">
        <v>0.73</v>
      </c>
      <c r="K1408" s="4">
        <v>43538</v>
      </c>
    </row>
    <row r="1409" spans="1:11" x14ac:dyDescent="0.3">
      <c r="A1409" t="s">
        <v>2841</v>
      </c>
      <c r="B1409" s="2" t="s">
        <v>2842</v>
      </c>
      <c r="C1409">
        <v>26</v>
      </c>
      <c r="D1409" s="2" t="s">
        <v>21</v>
      </c>
      <c r="E1409" s="2" t="s">
        <v>30</v>
      </c>
      <c r="F1409" s="2" t="s">
        <v>15</v>
      </c>
      <c r="G1409" s="2" t="s">
        <v>32</v>
      </c>
      <c r="H1409" s="2" t="s">
        <v>17</v>
      </c>
      <c r="I1409" s="2" t="s">
        <v>18</v>
      </c>
      <c r="J1409">
        <v>0.27</v>
      </c>
      <c r="K1409" s="4">
        <v>43349</v>
      </c>
    </row>
    <row r="1410" spans="1:11" x14ac:dyDescent="0.3">
      <c r="A1410" t="s">
        <v>2843</v>
      </c>
      <c r="B1410" s="2" t="s">
        <v>2844</v>
      </c>
      <c r="C1410">
        <v>66</v>
      </c>
      <c r="D1410" s="2" t="s">
        <v>13</v>
      </c>
      <c r="E1410" s="2" t="s">
        <v>14</v>
      </c>
      <c r="F1410" s="2" t="s">
        <v>31</v>
      </c>
      <c r="G1410" s="2" t="s">
        <v>24</v>
      </c>
      <c r="H1410" s="2" t="s">
        <v>18</v>
      </c>
      <c r="I1410" s="2" t="s">
        <v>18</v>
      </c>
      <c r="J1410">
        <v>0.76</v>
      </c>
      <c r="K1410" s="4">
        <v>43165</v>
      </c>
    </row>
    <row r="1411" spans="1:11" x14ac:dyDescent="0.3">
      <c r="A1411" t="s">
        <v>2845</v>
      </c>
      <c r="B1411" s="2" t="s">
        <v>2846</v>
      </c>
      <c r="C1411">
        <v>49</v>
      </c>
      <c r="D1411" s="2" t="s">
        <v>13</v>
      </c>
      <c r="E1411" s="2" t="s">
        <v>14</v>
      </c>
      <c r="F1411" s="2" t="s">
        <v>23</v>
      </c>
      <c r="G1411" s="2" t="s">
        <v>32</v>
      </c>
      <c r="H1411" s="2" t="s">
        <v>18</v>
      </c>
      <c r="I1411" s="2" t="s">
        <v>17</v>
      </c>
      <c r="J1411">
        <v>0.54</v>
      </c>
      <c r="K1411" s="4">
        <v>44838</v>
      </c>
    </row>
    <row r="1412" spans="1:11" x14ac:dyDescent="0.3">
      <c r="A1412" t="s">
        <v>2847</v>
      </c>
      <c r="B1412" s="2" t="s">
        <v>2848</v>
      </c>
      <c r="C1412">
        <v>40</v>
      </c>
      <c r="D1412" s="2" t="s">
        <v>21</v>
      </c>
      <c r="E1412" s="2" t="s">
        <v>22</v>
      </c>
      <c r="F1412" s="2" t="s">
        <v>23</v>
      </c>
      <c r="G1412" s="2" t="s">
        <v>24</v>
      </c>
      <c r="H1412" s="2" t="s">
        <v>17</v>
      </c>
      <c r="I1412" s="2" t="s">
        <v>18</v>
      </c>
      <c r="J1412">
        <v>0.63</v>
      </c>
      <c r="K1412" s="4">
        <v>43646</v>
      </c>
    </row>
    <row r="1413" spans="1:11" x14ac:dyDescent="0.3">
      <c r="A1413" t="s">
        <v>2849</v>
      </c>
      <c r="B1413" s="2" t="s">
        <v>2850</v>
      </c>
      <c r="C1413">
        <v>46</v>
      </c>
      <c r="D1413" s="2" t="s">
        <v>21</v>
      </c>
      <c r="E1413" s="2" t="s">
        <v>30</v>
      </c>
      <c r="F1413" s="2" t="s">
        <v>23</v>
      </c>
      <c r="G1413" s="2" t="s">
        <v>66</v>
      </c>
      <c r="H1413" s="2" t="s">
        <v>18</v>
      </c>
      <c r="I1413" s="2" t="s">
        <v>17</v>
      </c>
      <c r="J1413">
        <v>0.66</v>
      </c>
      <c r="K1413" s="4">
        <v>43318</v>
      </c>
    </row>
    <row r="1414" spans="1:11" x14ac:dyDescent="0.3">
      <c r="A1414" t="s">
        <v>2851</v>
      </c>
      <c r="B1414" s="2" t="s">
        <v>2852</v>
      </c>
      <c r="C1414">
        <v>44</v>
      </c>
      <c r="D1414" s="2" t="s">
        <v>21</v>
      </c>
      <c r="E1414" s="2" t="s">
        <v>22</v>
      </c>
      <c r="F1414" s="2" t="s">
        <v>15</v>
      </c>
      <c r="G1414" s="2" t="s">
        <v>16</v>
      </c>
      <c r="H1414" s="2" t="s">
        <v>17</v>
      </c>
      <c r="I1414" s="2" t="s">
        <v>17</v>
      </c>
      <c r="J1414">
        <v>0.57999999999999996</v>
      </c>
      <c r="K1414" s="4">
        <v>43853</v>
      </c>
    </row>
    <row r="1415" spans="1:11" x14ac:dyDescent="0.3">
      <c r="A1415" t="s">
        <v>2853</v>
      </c>
      <c r="B1415" s="2" t="s">
        <v>2854</v>
      </c>
      <c r="C1415">
        <v>69</v>
      </c>
      <c r="D1415" s="2" t="s">
        <v>13</v>
      </c>
      <c r="E1415" s="2" t="s">
        <v>30</v>
      </c>
      <c r="F1415" s="2" t="s">
        <v>23</v>
      </c>
      <c r="G1415" s="2" t="s">
        <v>16</v>
      </c>
      <c r="H1415" s="2" t="s">
        <v>17</v>
      </c>
      <c r="I1415" s="2" t="s">
        <v>17</v>
      </c>
      <c r="J1415">
        <v>0.5</v>
      </c>
      <c r="K1415" s="4">
        <v>44658</v>
      </c>
    </row>
    <row r="1416" spans="1:11" x14ac:dyDescent="0.3">
      <c r="A1416" t="s">
        <v>2855</v>
      </c>
      <c r="B1416" s="2" t="s">
        <v>2856</v>
      </c>
      <c r="C1416">
        <v>67</v>
      </c>
      <c r="D1416" s="2" t="s">
        <v>21</v>
      </c>
      <c r="E1416" s="2" t="s">
        <v>14</v>
      </c>
      <c r="F1416" s="2" t="s">
        <v>15</v>
      </c>
      <c r="G1416" s="2" t="s">
        <v>66</v>
      </c>
      <c r="H1416" s="2" t="s">
        <v>17</v>
      </c>
      <c r="I1416" s="2" t="s">
        <v>18</v>
      </c>
      <c r="J1416">
        <v>0.44</v>
      </c>
      <c r="K1416" s="4">
        <v>43992</v>
      </c>
    </row>
    <row r="1417" spans="1:11" x14ac:dyDescent="0.3">
      <c r="A1417" t="s">
        <v>2857</v>
      </c>
      <c r="B1417" s="2" t="s">
        <v>2858</v>
      </c>
      <c r="C1417">
        <v>32</v>
      </c>
      <c r="D1417" s="2" t="s">
        <v>21</v>
      </c>
      <c r="E1417" s="2" t="s">
        <v>22</v>
      </c>
      <c r="F1417" s="2" t="s">
        <v>23</v>
      </c>
      <c r="G1417" s="2" t="s">
        <v>27</v>
      </c>
      <c r="H1417" s="2" t="s">
        <v>17</v>
      </c>
      <c r="I1417" s="2" t="s">
        <v>18</v>
      </c>
      <c r="J1417">
        <v>0.65</v>
      </c>
      <c r="K1417" s="4">
        <v>43535</v>
      </c>
    </row>
    <row r="1418" spans="1:11" x14ac:dyDescent="0.3">
      <c r="A1418" t="s">
        <v>2859</v>
      </c>
      <c r="B1418" s="2" t="s">
        <v>2860</v>
      </c>
      <c r="C1418">
        <v>67</v>
      </c>
      <c r="D1418" s="2" t="s">
        <v>13</v>
      </c>
      <c r="E1418" s="2" t="s">
        <v>14</v>
      </c>
      <c r="F1418" s="2" t="s">
        <v>23</v>
      </c>
      <c r="G1418" s="2" t="s">
        <v>32</v>
      </c>
      <c r="H1418" s="2" t="s">
        <v>17</v>
      </c>
      <c r="I1418" s="2" t="s">
        <v>18</v>
      </c>
      <c r="J1418">
        <v>0.55000000000000004</v>
      </c>
      <c r="K1418" s="4">
        <v>44255</v>
      </c>
    </row>
    <row r="1419" spans="1:11" x14ac:dyDescent="0.3">
      <c r="A1419" t="s">
        <v>2861</v>
      </c>
      <c r="B1419" s="2" t="s">
        <v>2862</v>
      </c>
      <c r="C1419">
        <v>50</v>
      </c>
      <c r="D1419" s="2" t="s">
        <v>13</v>
      </c>
      <c r="E1419" s="2" t="s">
        <v>14</v>
      </c>
      <c r="F1419" s="2" t="s">
        <v>37</v>
      </c>
      <c r="G1419" s="2" t="s">
        <v>81</v>
      </c>
      <c r="H1419" s="2" t="s">
        <v>18</v>
      </c>
      <c r="I1419" s="2" t="s">
        <v>18</v>
      </c>
      <c r="J1419">
        <v>0.14000000000000001</v>
      </c>
      <c r="K1419" s="4">
        <v>43667</v>
      </c>
    </row>
    <row r="1420" spans="1:11" x14ac:dyDescent="0.3">
      <c r="A1420" t="s">
        <v>2863</v>
      </c>
      <c r="B1420" s="2" t="s">
        <v>2864</v>
      </c>
      <c r="C1420">
        <v>48</v>
      </c>
      <c r="D1420" s="2" t="s">
        <v>13</v>
      </c>
      <c r="E1420" s="2" t="s">
        <v>22</v>
      </c>
      <c r="F1420" s="2" t="s">
        <v>23</v>
      </c>
      <c r="G1420" s="2" t="s">
        <v>24</v>
      </c>
      <c r="H1420" s="2" t="s">
        <v>18</v>
      </c>
      <c r="I1420" s="2" t="s">
        <v>18</v>
      </c>
      <c r="J1420">
        <v>0.65</v>
      </c>
      <c r="K1420" s="4">
        <v>43558</v>
      </c>
    </row>
    <row r="1421" spans="1:11" x14ac:dyDescent="0.3">
      <c r="A1421" t="s">
        <v>2865</v>
      </c>
      <c r="B1421" s="2" t="s">
        <v>2866</v>
      </c>
      <c r="C1421">
        <v>66</v>
      </c>
      <c r="D1421" s="2" t="s">
        <v>21</v>
      </c>
      <c r="E1421" s="2" t="s">
        <v>14</v>
      </c>
      <c r="F1421" s="2" t="s">
        <v>15</v>
      </c>
      <c r="G1421" s="2" t="s">
        <v>16</v>
      </c>
      <c r="H1421" s="2" t="s">
        <v>17</v>
      </c>
      <c r="I1421" s="2" t="s">
        <v>17</v>
      </c>
      <c r="J1421">
        <v>0.75</v>
      </c>
      <c r="K1421" s="4">
        <v>44360</v>
      </c>
    </row>
    <row r="1422" spans="1:11" x14ac:dyDescent="0.3">
      <c r="A1422" t="s">
        <v>2867</v>
      </c>
      <c r="B1422" s="2" t="s">
        <v>2868</v>
      </c>
      <c r="C1422">
        <v>56</v>
      </c>
      <c r="D1422" s="2" t="s">
        <v>21</v>
      </c>
      <c r="E1422" s="2" t="s">
        <v>22</v>
      </c>
      <c r="F1422" s="2" t="s">
        <v>15</v>
      </c>
      <c r="G1422" s="2" t="s">
        <v>27</v>
      </c>
      <c r="H1422" s="2" t="s">
        <v>17</v>
      </c>
      <c r="I1422" s="2" t="s">
        <v>18</v>
      </c>
      <c r="J1422">
        <v>0.4</v>
      </c>
      <c r="K1422" s="4">
        <v>43559</v>
      </c>
    </row>
    <row r="1423" spans="1:11" x14ac:dyDescent="0.3">
      <c r="A1423" t="s">
        <v>2869</v>
      </c>
      <c r="B1423" s="2" t="s">
        <v>2870</v>
      </c>
      <c r="C1423">
        <v>56</v>
      </c>
      <c r="D1423" s="2" t="s">
        <v>21</v>
      </c>
      <c r="E1423" s="2" t="s">
        <v>14</v>
      </c>
      <c r="F1423" s="2" t="s">
        <v>23</v>
      </c>
      <c r="G1423" s="2" t="s">
        <v>27</v>
      </c>
      <c r="H1423" s="2" t="s">
        <v>17</v>
      </c>
      <c r="I1423" s="2" t="s">
        <v>17</v>
      </c>
      <c r="J1423">
        <v>0.2</v>
      </c>
      <c r="K1423" s="4">
        <v>44959</v>
      </c>
    </row>
    <row r="1424" spans="1:11" x14ac:dyDescent="0.3">
      <c r="A1424" t="s">
        <v>2871</v>
      </c>
      <c r="B1424" s="2" t="s">
        <v>2872</v>
      </c>
      <c r="C1424">
        <v>19</v>
      </c>
      <c r="D1424" s="2" t="s">
        <v>13</v>
      </c>
      <c r="E1424" s="2" t="s">
        <v>14</v>
      </c>
      <c r="F1424" s="2" t="s">
        <v>23</v>
      </c>
      <c r="G1424" s="2" t="s">
        <v>32</v>
      </c>
      <c r="H1424" s="2" t="s">
        <v>17</v>
      </c>
      <c r="I1424" s="2" t="s">
        <v>18</v>
      </c>
      <c r="J1424">
        <v>0.45</v>
      </c>
      <c r="K1424" s="4">
        <v>44419</v>
      </c>
    </row>
    <row r="1425" spans="1:11" x14ac:dyDescent="0.3">
      <c r="A1425" t="s">
        <v>2873</v>
      </c>
      <c r="B1425" s="2" t="s">
        <v>2874</v>
      </c>
      <c r="C1425">
        <v>62</v>
      </c>
      <c r="D1425" s="2" t="s">
        <v>13</v>
      </c>
      <c r="E1425" s="2" t="s">
        <v>14</v>
      </c>
      <c r="F1425" s="2" t="s">
        <v>15</v>
      </c>
      <c r="G1425" s="2" t="s">
        <v>32</v>
      </c>
      <c r="H1425" s="2" t="s">
        <v>17</v>
      </c>
      <c r="I1425" s="2" t="s">
        <v>17</v>
      </c>
      <c r="J1425">
        <v>0.5</v>
      </c>
      <c r="K1425" s="4">
        <v>45187</v>
      </c>
    </row>
    <row r="1426" spans="1:11" x14ac:dyDescent="0.3">
      <c r="A1426" t="s">
        <v>2875</v>
      </c>
      <c r="B1426" s="2" t="s">
        <v>2876</v>
      </c>
      <c r="C1426">
        <v>65</v>
      </c>
      <c r="D1426" s="2" t="s">
        <v>21</v>
      </c>
      <c r="E1426" s="2" t="s">
        <v>22</v>
      </c>
      <c r="F1426" s="2" t="s">
        <v>15</v>
      </c>
      <c r="G1426" s="2" t="s">
        <v>66</v>
      </c>
      <c r="H1426" s="2" t="s">
        <v>18</v>
      </c>
      <c r="I1426" s="2" t="s">
        <v>17</v>
      </c>
      <c r="J1426">
        <v>0.5</v>
      </c>
      <c r="K1426" s="4">
        <v>43384</v>
      </c>
    </row>
    <row r="1427" spans="1:11" x14ac:dyDescent="0.3">
      <c r="A1427" t="s">
        <v>2877</v>
      </c>
      <c r="B1427" s="2" t="s">
        <v>2878</v>
      </c>
      <c r="C1427">
        <v>23</v>
      </c>
      <c r="D1427" s="2" t="s">
        <v>21</v>
      </c>
      <c r="E1427" s="2" t="s">
        <v>30</v>
      </c>
      <c r="F1427" s="2" t="s">
        <v>15</v>
      </c>
      <c r="G1427" s="2" t="s">
        <v>24</v>
      </c>
      <c r="H1427" s="2" t="s">
        <v>18</v>
      </c>
      <c r="I1427" s="2" t="s">
        <v>18</v>
      </c>
      <c r="J1427">
        <v>0.48</v>
      </c>
      <c r="K1427" s="4">
        <v>44563</v>
      </c>
    </row>
    <row r="1428" spans="1:11" x14ac:dyDescent="0.3">
      <c r="A1428" t="s">
        <v>2879</v>
      </c>
      <c r="B1428" s="2" t="s">
        <v>2880</v>
      </c>
      <c r="C1428">
        <v>53</v>
      </c>
      <c r="D1428" s="2" t="s">
        <v>21</v>
      </c>
      <c r="E1428" s="2" t="s">
        <v>22</v>
      </c>
      <c r="F1428" s="2" t="s">
        <v>23</v>
      </c>
      <c r="G1428" s="2" t="s">
        <v>27</v>
      </c>
      <c r="H1428" s="2" t="s">
        <v>17</v>
      </c>
      <c r="I1428" s="2" t="s">
        <v>17</v>
      </c>
      <c r="J1428">
        <v>0.35</v>
      </c>
      <c r="K1428" s="4">
        <v>44357</v>
      </c>
    </row>
    <row r="1429" spans="1:11" x14ac:dyDescent="0.3">
      <c r="A1429" t="s">
        <v>2881</v>
      </c>
      <c r="B1429" s="2" t="s">
        <v>2882</v>
      </c>
      <c r="C1429">
        <v>21</v>
      </c>
      <c r="D1429" s="2" t="s">
        <v>21</v>
      </c>
      <c r="E1429" s="2" t="s">
        <v>14</v>
      </c>
      <c r="F1429" s="2" t="s">
        <v>23</v>
      </c>
      <c r="G1429" s="2" t="s">
        <v>32</v>
      </c>
      <c r="H1429" s="2" t="s">
        <v>17</v>
      </c>
      <c r="I1429" s="2" t="s">
        <v>17</v>
      </c>
      <c r="J1429">
        <v>0.44</v>
      </c>
      <c r="K1429" s="4">
        <v>45185</v>
      </c>
    </row>
    <row r="1430" spans="1:11" x14ac:dyDescent="0.3">
      <c r="A1430" t="s">
        <v>2883</v>
      </c>
      <c r="B1430" s="2" t="s">
        <v>2884</v>
      </c>
      <c r="C1430">
        <v>25</v>
      </c>
      <c r="D1430" s="2" t="s">
        <v>21</v>
      </c>
      <c r="E1430" s="2" t="s">
        <v>14</v>
      </c>
      <c r="F1430" s="2" t="s">
        <v>37</v>
      </c>
      <c r="G1430" s="2" t="s">
        <v>24</v>
      </c>
      <c r="H1430" s="2" t="s">
        <v>18</v>
      </c>
      <c r="I1430" s="2" t="s">
        <v>17</v>
      </c>
      <c r="J1430">
        <v>0.66</v>
      </c>
      <c r="K1430" s="4">
        <v>43940</v>
      </c>
    </row>
    <row r="1431" spans="1:11" x14ac:dyDescent="0.3">
      <c r="A1431" t="s">
        <v>2885</v>
      </c>
      <c r="B1431" s="2" t="s">
        <v>2886</v>
      </c>
      <c r="C1431">
        <v>37</v>
      </c>
      <c r="D1431" s="2" t="s">
        <v>21</v>
      </c>
      <c r="E1431" s="2" t="s">
        <v>30</v>
      </c>
      <c r="F1431" s="2" t="s">
        <v>15</v>
      </c>
      <c r="G1431" s="2" t="s">
        <v>27</v>
      </c>
      <c r="H1431" s="2" t="s">
        <v>17</v>
      </c>
      <c r="I1431" s="2" t="s">
        <v>17</v>
      </c>
      <c r="J1431">
        <v>0.7</v>
      </c>
      <c r="K1431" s="4">
        <v>44728</v>
      </c>
    </row>
    <row r="1432" spans="1:11" x14ac:dyDescent="0.3">
      <c r="A1432" t="s">
        <v>2887</v>
      </c>
      <c r="B1432" s="2" t="s">
        <v>2888</v>
      </c>
      <c r="C1432">
        <v>67</v>
      </c>
      <c r="D1432" s="2" t="s">
        <v>13</v>
      </c>
      <c r="E1432" s="2" t="s">
        <v>22</v>
      </c>
      <c r="F1432" s="2" t="s">
        <v>15</v>
      </c>
      <c r="G1432" s="2" t="s">
        <v>66</v>
      </c>
      <c r="H1432" s="2" t="s">
        <v>17</v>
      </c>
      <c r="I1432" s="2" t="s">
        <v>18</v>
      </c>
      <c r="J1432">
        <v>0.6</v>
      </c>
      <c r="K1432" s="4">
        <v>44312</v>
      </c>
    </row>
    <row r="1433" spans="1:11" x14ac:dyDescent="0.3">
      <c r="A1433" t="s">
        <v>2889</v>
      </c>
      <c r="B1433" s="2" t="s">
        <v>2890</v>
      </c>
      <c r="C1433">
        <v>59</v>
      </c>
      <c r="D1433" s="2" t="s">
        <v>21</v>
      </c>
      <c r="E1433" s="2" t="s">
        <v>30</v>
      </c>
      <c r="F1433" s="2" t="s">
        <v>31</v>
      </c>
      <c r="G1433" s="2" t="s">
        <v>3325</v>
      </c>
      <c r="H1433" s="2" t="s">
        <v>18</v>
      </c>
      <c r="I1433" s="2" t="s">
        <v>18</v>
      </c>
      <c r="J1433">
        <v>0.4</v>
      </c>
      <c r="K1433" s="4">
        <v>43520</v>
      </c>
    </row>
    <row r="1434" spans="1:11" x14ac:dyDescent="0.3">
      <c r="A1434" t="s">
        <v>2891</v>
      </c>
      <c r="B1434" s="2" t="s">
        <v>2892</v>
      </c>
      <c r="C1434">
        <v>53</v>
      </c>
      <c r="D1434" s="2" t="s">
        <v>13</v>
      </c>
      <c r="E1434" s="2" t="s">
        <v>30</v>
      </c>
      <c r="F1434" s="2" t="s">
        <v>15</v>
      </c>
      <c r="G1434" s="2" t="s">
        <v>16</v>
      </c>
      <c r="H1434" s="2" t="s">
        <v>17</v>
      </c>
      <c r="I1434" s="2" t="s">
        <v>17</v>
      </c>
      <c r="J1434">
        <v>0.46</v>
      </c>
      <c r="K1434" s="4">
        <v>43596</v>
      </c>
    </row>
    <row r="1435" spans="1:11" x14ac:dyDescent="0.3">
      <c r="A1435" t="s">
        <v>2893</v>
      </c>
      <c r="B1435" s="2" t="s">
        <v>2894</v>
      </c>
      <c r="C1435">
        <v>56</v>
      </c>
      <c r="D1435" s="2" t="s">
        <v>13</v>
      </c>
      <c r="E1435" s="2" t="s">
        <v>30</v>
      </c>
      <c r="F1435" s="2" t="s">
        <v>37</v>
      </c>
      <c r="G1435" s="2" t="s">
        <v>66</v>
      </c>
      <c r="H1435" s="2" t="s">
        <v>17</v>
      </c>
      <c r="I1435" s="2" t="s">
        <v>17</v>
      </c>
      <c r="J1435">
        <v>0.33</v>
      </c>
      <c r="K1435" s="4">
        <v>44895</v>
      </c>
    </row>
    <row r="1436" spans="1:11" x14ac:dyDescent="0.3">
      <c r="A1436" t="s">
        <v>2895</v>
      </c>
      <c r="B1436" s="2" t="s">
        <v>2896</v>
      </c>
      <c r="C1436">
        <v>32</v>
      </c>
      <c r="D1436" s="2" t="s">
        <v>21</v>
      </c>
      <c r="E1436" s="2" t="s">
        <v>22</v>
      </c>
      <c r="F1436" s="2" t="s">
        <v>23</v>
      </c>
      <c r="G1436" s="2" t="s">
        <v>24</v>
      </c>
      <c r="H1436" s="2" t="s">
        <v>17</v>
      </c>
      <c r="I1436" s="2" t="s">
        <v>17</v>
      </c>
      <c r="J1436">
        <v>0.54</v>
      </c>
      <c r="K1436" s="4">
        <v>43963</v>
      </c>
    </row>
    <row r="1437" spans="1:11" x14ac:dyDescent="0.3">
      <c r="A1437" t="s">
        <v>2897</v>
      </c>
      <c r="B1437" s="2" t="s">
        <v>2898</v>
      </c>
      <c r="C1437">
        <v>68</v>
      </c>
      <c r="D1437" s="2" t="s">
        <v>13</v>
      </c>
      <c r="E1437" s="2" t="s">
        <v>22</v>
      </c>
      <c r="F1437" s="2" t="s">
        <v>37</v>
      </c>
      <c r="G1437" s="2" t="s">
        <v>16</v>
      </c>
      <c r="H1437" s="2" t="s">
        <v>17</v>
      </c>
      <c r="I1437" s="2" t="s">
        <v>18</v>
      </c>
      <c r="J1437">
        <v>0.76</v>
      </c>
      <c r="K1437" s="4">
        <v>44159</v>
      </c>
    </row>
    <row r="1438" spans="1:11" x14ac:dyDescent="0.3">
      <c r="A1438" t="s">
        <v>2899</v>
      </c>
      <c r="B1438" s="2" t="s">
        <v>2900</v>
      </c>
      <c r="C1438">
        <v>33</v>
      </c>
      <c r="D1438" s="2" t="s">
        <v>13</v>
      </c>
      <c r="E1438" s="2" t="s">
        <v>30</v>
      </c>
      <c r="F1438" s="2" t="s">
        <v>37</v>
      </c>
      <c r="G1438" s="2" t="s">
        <v>24</v>
      </c>
      <c r="H1438" s="2" t="s">
        <v>18</v>
      </c>
      <c r="I1438" s="2" t="s">
        <v>17</v>
      </c>
      <c r="J1438">
        <v>0.36</v>
      </c>
      <c r="K1438" s="4">
        <v>43529</v>
      </c>
    </row>
    <row r="1439" spans="1:11" x14ac:dyDescent="0.3">
      <c r="A1439" t="s">
        <v>2901</v>
      </c>
      <c r="B1439" s="2" t="s">
        <v>2902</v>
      </c>
      <c r="C1439">
        <v>19</v>
      </c>
      <c r="D1439" s="2" t="s">
        <v>21</v>
      </c>
      <c r="E1439" s="2" t="s">
        <v>30</v>
      </c>
      <c r="F1439" s="2" t="s">
        <v>37</v>
      </c>
      <c r="G1439" s="2" t="s">
        <v>66</v>
      </c>
      <c r="H1439" s="2" t="s">
        <v>17</v>
      </c>
      <c r="I1439" s="2" t="s">
        <v>17</v>
      </c>
      <c r="J1439">
        <v>0.53</v>
      </c>
      <c r="K1439" s="4">
        <v>44414</v>
      </c>
    </row>
    <row r="1440" spans="1:11" x14ac:dyDescent="0.3">
      <c r="A1440" t="s">
        <v>2903</v>
      </c>
      <c r="B1440" s="2" t="s">
        <v>2904</v>
      </c>
      <c r="C1440">
        <v>34</v>
      </c>
      <c r="D1440" s="2" t="s">
        <v>21</v>
      </c>
      <c r="E1440" s="2" t="s">
        <v>30</v>
      </c>
      <c r="F1440" s="2" t="s">
        <v>31</v>
      </c>
      <c r="G1440" s="2" t="s">
        <v>81</v>
      </c>
      <c r="H1440" s="2" t="s">
        <v>18</v>
      </c>
      <c r="I1440" s="2" t="s">
        <v>18</v>
      </c>
      <c r="J1440">
        <v>0.48</v>
      </c>
      <c r="K1440" s="4">
        <v>43197</v>
      </c>
    </row>
    <row r="1441" spans="1:11" x14ac:dyDescent="0.3">
      <c r="A1441" t="s">
        <v>2905</v>
      </c>
      <c r="B1441" s="2" t="s">
        <v>2906</v>
      </c>
      <c r="C1441">
        <v>22</v>
      </c>
      <c r="D1441" s="2" t="s">
        <v>21</v>
      </c>
      <c r="E1441" s="2" t="s">
        <v>22</v>
      </c>
      <c r="F1441" s="2" t="s">
        <v>15</v>
      </c>
      <c r="G1441" s="2" t="s">
        <v>27</v>
      </c>
      <c r="H1441" s="2" t="s">
        <v>17</v>
      </c>
      <c r="I1441" s="2" t="s">
        <v>18</v>
      </c>
      <c r="J1441">
        <v>0.48</v>
      </c>
      <c r="K1441" s="4">
        <v>44641</v>
      </c>
    </row>
    <row r="1442" spans="1:11" x14ac:dyDescent="0.3">
      <c r="A1442" t="s">
        <v>2907</v>
      </c>
      <c r="B1442" s="2" t="s">
        <v>2908</v>
      </c>
      <c r="C1442">
        <v>22</v>
      </c>
      <c r="D1442" s="2" t="s">
        <v>21</v>
      </c>
      <c r="E1442" s="2" t="s">
        <v>30</v>
      </c>
      <c r="F1442" s="2" t="s">
        <v>23</v>
      </c>
      <c r="G1442" s="2" t="s">
        <v>81</v>
      </c>
      <c r="H1442" s="2" t="s">
        <v>17</v>
      </c>
      <c r="I1442" s="2" t="s">
        <v>17</v>
      </c>
      <c r="J1442">
        <v>0.13</v>
      </c>
      <c r="K1442" s="4">
        <v>44050</v>
      </c>
    </row>
    <row r="1443" spans="1:11" x14ac:dyDescent="0.3">
      <c r="A1443" t="s">
        <v>2909</v>
      </c>
      <c r="B1443" s="2" t="s">
        <v>2910</v>
      </c>
      <c r="C1443">
        <v>48</v>
      </c>
      <c r="D1443" s="2" t="s">
        <v>21</v>
      </c>
      <c r="E1443" s="2" t="s">
        <v>14</v>
      </c>
      <c r="F1443" s="2" t="s">
        <v>37</v>
      </c>
      <c r="G1443" s="2" t="s">
        <v>27</v>
      </c>
      <c r="H1443" s="2" t="s">
        <v>18</v>
      </c>
      <c r="I1443" s="2" t="s">
        <v>18</v>
      </c>
      <c r="J1443">
        <v>0.28999999999999998</v>
      </c>
      <c r="K1443" s="4">
        <v>43759</v>
      </c>
    </row>
    <row r="1444" spans="1:11" x14ac:dyDescent="0.3">
      <c r="A1444" t="s">
        <v>2911</v>
      </c>
      <c r="B1444" s="2" t="s">
        <v>2912</v>
      </c>
      <c r="C1444">
        <v>48</v>
      </c>
      <c r="D1444" s="2" t="s">
        <v>13</v>
      </c>
      <c r="E1444" s="2" t="s">
        <v>22</v>
      </c>
      <c r="F1444" s="2" t="s">
        <v>37</v>
      </c>
      <c r="G1444" s="2" t="s">
        <v>16</v>
      </c>
      <c r="H1444" s="2" t="s">
        <v>18</v>
      </c>
      <c r="I1444" s="2" t="s">
        <v>18</v>
      </c>
      <c r="J1444">
        <v>0.69</v>
      </c>
      <c r="K1444" s="4">
        <v>43343</v>
      </c>
    </row>
    <row r="1445" spans="1:11" x14ac:dyDescent="0.3">
      <c r="A1445" t="s">
        <v>2913</v>
      </c>
      <c r="B1445" s="2" t="s">
        <v>2914</v>
      </c>
      <c r="C1445">
        <v>27</v>
      </c>
      <c r="D1445" s="2" t="s">
        <v>21</v>
      </c>
      <c r="E1445" s="2" t="s">
        <v>22</v>
      </c>
      <c r="F1445" s="2" t="s">
        <v>23</v>
      </c>
      <c r="G1445" s="2" t="s">
        <v>16</v>
      </c>
      <c r="H1445" s="2" t="s">
        <v>17</v>
      </c>
      <c r="I1445" s="2" t="s">
        <v>18</v>
      </c>
      <c r="J1445">
        <v>0.69</v>
      </c>
      <c r="K1445" s="4">
        <v>44726</v>
      </c>
    </row>
    <row r="1446" spans="1:11" x14ac:dyDescent="0.3">
      <c r="A1446" t="s">
        <v>2915</v>
      </c>
      <c r="B1446" s="2" t="s">
        <v>2916</v>
      </c>
      <c r="C1446">
        <v>31</v>
      </c>
      <c r="D1446" s="2" t="s">
        <v>21</v>
      </c>
      <c r="E1446" s="2" t="s">
        <v>22</v>
      </c>
      <c r="F1446" s="2" t="s">
        <v>23</v>
      </c>
      <c r="G1446" s="2" t="s">
        <v>66</v>
      </c>
      <c r="H1446" s="2" t="s">
        <v>17</v>
      </c>
      <c r="I1446" s="2" t="s">
        <v>17</v>
      </c>
      <c r="J1446">
        <v>0.32</v>
      </c>
      <c r="K1446" s="4">
        <v>44217</v>
      </c>
    </row>
    <row r="1447" spans="1:11" x14ac:dyDescent="0.3">
      <c r="A1447" t="s">
        <v>2917</v>
      </c>
      <c r="B1447" s="2" t="s">
        <v>2918</v>
      </c>
      <c r="C1447">
        <v>23</v>
      </c>
      <c r="D1447" s="2" t="s">
        <v>21</v>
      </c>
      <c r="E1447" s="2" t="s">
        <v>14</v>
      </c>
      <c r="F1447" s="2" t="s">
        <v>31</v>
      </c>
      <c r="G1447" s="2" t="s">
        <v>16</v>
      </c>
      <c r="H1447" s="2" t="s">
        <v>17</v>
      </c>
      <c r="I1447" s="2" t="s">
        <v>17</v>
      </c>
      <c r="J1447">
        <v>0.46</v>
      </c>
      <c r="K1447" s="4">
        <v>43396</v>
      </c>
    </row>
    <row r="1448" spans="1:11" x14ac:dyDescent="0.3">
      <c r="A1448" t="s">
        <v>2919</v>
      </c>
      <c r="B1448" s="2" t="s">
        <v>2920</v>
      </c>
      <c r="C1448">
        <v>55</v>
      </c>
      <c r="D1448" s="2" t="s">
        <v>13</v>
      </c>
      <c r="E1448" s="2" t="s">
        <v>22</v>
      </c>
      <c r="F1448" s="2" t="s">
        <v>23</v>
      </c>
      <c r="G1448" s="2" t="s">
        <v>27</v>
      </c>
      <c r="H1448" s="2" t="s">
        <v>18</v>
      </c>
      <c r="I1448" s="2" t="s">
        <v>18</v>
      </c>
      <c r="J1448">
        <v>0.6</v>
      </c>
      <c r="K1448" s="4">
        <v>44638</v>
      </c>
    </row>
    <row r="1449" spans="1:11" x14ac:dyDescent="0.3">
      <c r="A1449" t="s">
        <v>2921</v>
      </c>
      <c r="B1449" s="2" t="s">
        <v>2922</v>
      </c>
      <c r="C1449">
        <v>47</v>
      </c>
      <c r="D1449" s="2" t="s">
        <v>21</v>
      </c>
      <c r="E1449" s="2" t="s">
        <v>30</v>
      </c>
      <c r="F1449" s="2" t="s">
        <v>23</v>
      </c>
      <c r="G1449" s="2" t="s">
        <v>24</v>
      </c>
      <c r="H1449" s="2" t="s">
        <v>18</v>
      </c>
      <c r="I1449" s="2" t="s">
        <v>17</v>
      </c>
      <c r="J1449">
        <v>0.67</v>
      </c>
      <c r="K1449" s="4">
        <v>43689</v>
      </c>
    </row>
    <row r="1450" spans="1:11" x14ac:dyDescent="0.3">
      <c r="A1450" t="s">
        <v>2923</v>
      </c>
      <c r="B1450" s="2" t="s">
        <v>2924</v>
      </c>
      <c r="C1450">
        <v>38</v>
      </c>
      <c r="D1450" s="2" t="s">
        <v>13</v>
      </c>
      <c r="E1450" s="2" t="s">
        <v>14</v>
      </c>
      <c r="F1450" s="2" t="s">
        <v>23</v>
      </c>
      <c r="G1450" s="2" t="s">
        <v>24</v>
      </c>
      <c r="H1450" s="2" t="s">
        <v>18</v>
      </c>
      <c r="I1450" s="2" t="s">
        <v>17</v>
      </c>
      <c r="J1450">
        <v>0.61</v>
      </c>
      <c r="K1450" s="4">
        <v>44391</v>
      </c>
    </row>
    <row r="1451" spans="1:11" x14ac:dyDescent="0.3">
      <c r="A1451" t="s">
        <v>2925</v>
      </c>
      <c r="B1451" s="2" t="s">
        <v>2926</v>
      </c>
      <c r="C1451">
        <v>20</v>
      </c>
      <c r="D1451" s="2" t="s">
        <v>13</v>
      </c>
      <c r="E1451" s="2" t="s">
        <v>22</v>
      </c>
      <c r="F1451" s="2" t="s">
        <v>15</v>
      </c>
      <c r="G1451" s="2" t="s">
        <v>16</v>
      </c>
      <c r="H1451" s="2" t="s">
        <v>18</v>
      </c>
      <c r="I1451" s="2" t="s">
        <v>17</v>
      </c>
      <c r="J1451">
        <v>0.56000000000000005</v>
      </c>
      <c r="K1451" s="4">
        <v>43213</v>
      </c>
    </row>
    <row r="1452" spans="1:11" x14ac:dyDescent="0.3">
      <c r="A1452" t="s">
        <v>2927</v>
      </c>
      <c r="B1452" s="2" t="s">
        <v>2928</v>
      </c>
      <c r="C1452">
        <v>58</v>
      </c>
      <c r="D1452" s="2" t="s">
        <v>21</v>
      </c>
      <c r="E1452" s="2" t="s">
        <v>22</v>
      </c>
      <c r="F1452" s="2" t="s">
        <v>15</v>
      </c>
      <c r="G1452" s="2" t="s">
        <v>24</v>
      </c>
      <c r="H1452" s="2" t="s">
        <v>18</v>
      </c>
      <c r="I1452" s="2" t="s">
        <v>18</v>
      </c>
      <c r="J1452">
        <v>0.41</v>
      </c>
      <c r="K1452" s="4">
        <v>44209</v>
      </c>
    </row>
    <row r="1453" spans="1:11" x14ac:dyDescent="0.3">
      <c r="A1453" t="s">
        <v>2929</v>
      </c>
      <c r="B1453" s="2" t="s">
        <v>2930</v>
      </c>
      <c r="C1453">
        <v>32</v>
      </c>
      <c r="D1453" s="2" t="s">
        <v>13</v>
      </c>
      <c r="E1453" s="2" t="s">
        <v>30</v>
      </c>
      <c r="F1453" s="2" t="s">
        <v>31</v>
      </c>
      <c r="G1453" s="2" t="s">
        <v>32</v>
      </c>
      <c r="H1453" s="2" t="s">
        <v>18</v>
      </c>
      <c r="I1453" s="2" t="s">
        <v>17</v>
      </c>
      <c r="J1453">
        <v>0.92</v>
      </c>
      <c r="K1453" s="4">
        <v>43292</v>
      </c>
    </row>
    <row r="1454" spans="1:11" x14ac:dyDescent="0.3">
      <c r="A1454" t="s">
        <v>2931</v>
      </c>
      <c r="B1454" s="2" t="s">
        <v>2932</v>
      </c>
      <c r="C1454">
        <v>25</v>
      </c>
      <c r="D1454" s="2" t="s">
        <v>13</v>
      </c>
      <c r="E1454" s="2" t="s">
        <v>22</v>
      </c>
      <c r="F1454" s="2" t="s">
        <v>15</v>
      </c>
      <c r="G1454" s="2" t="s">
        <v>16</v>
      </c>
      <c r="H1454" s="2" t="s">
        <v>17</v>
      </c>
      <c r="I1454" s="2" t="s">
        <v>18</v>
      </c>
      <c r="J1454">
        <v>0.49</v>
      </c>
      <c r="K1454" s="4">
        <v>44729</v>
      </c>
    </row>
    <row r="1455" spans="1:11" x14ac:dyDescent="0.3">
      <c r="A1455" t="s">
        <v>2933</v>
      </c>
      <c r="B1455" s="2" t="s">
        <v>2934</v>
      </c>
      <c r="C1455">
        <v>18</v>
      </c>
      <c r="D1455" s="2" t="s">
        <v>13</v>
      </c>
      <c r="E1455" s="2" t="s">
        <v>14</v>
      </c>
      <c r="F1455" s="2" t="s">
        <v>15</v>
      </c>
      <c r="G1455" s="2" t="s">
        <v>16</v>
      </c>
      <c r="H1455" s="2" t="s">
        <v>17</v>
      </c>
      <c r="I1455" s="2" t="s">
        <v>17</v>
      </c>
      <c r="J1455">
        <v>0.3</v>
      </c>
      <c r="K1455" s="4">
        <v>43975</v>
      </c>
    </row>
    <row r="1456" spans="1:11" x14ac:dyDescent="0.3">
      <c r="A1456" t="s">
        <v>2935</v>
      </c>
      <c r="B1456" s="2" t="s">
        <v>2936</v>
      </c>
      <c r="C1456">
        <v>30</v>
      </c>
      <c r="D1456" s="2" t="s">
        <v>13</v>
      </c>
      <c r="E1456" s="2" t="s">
        <v>14</v>
      </c>
      <c r="F1456" s="2" t="s">
        <v>23</v>
      </c>
      <c r="G1456" s="2" t="s">
        <v>27</v>
      </c>
      <c r="H1456" s="2" t="s">
        <v>18</v>
      </c>
      <c r="I1456" s="2" t="s">
        <v>18</v>
      </c>
      <c r="J1456">
        <v>0.44</v>
      </c>
      <c r="K1456" s="4">
        <v>44534</v>
      </c>
    </row>
    <row r="1457" spans="1:11" x14ac:dyDescent="0.3">
      <c r="A1457" t="s">
        <v>2937</v>
      </c>
      <c r="B1457" s="2" t="s">
        <v>2938</v>
      </c>
      <c r="C1457">
        <v>37</v>
      </c>
      <c r="D1457" s="2" t="s">
        <v>13</v>
      </c>
      <c r="E1457" s="2" t="s">
        <v>22</v>
      </c>
      <c r="F1457" s="2" t="s">
        <v>31</v>
      </c>
      <c r="G1457" s="2" t="s">
        <v>32</v>
      </c>
      <c r="H1457" s="2" t="s">
        <v>18</v>
      </c>
      <c r="I1457" s="2" t="s">
        <v>17</v>
      </c>
      <c r="J1457">
        <v>0.79</v>
      </c>
      <c r="K1457" s="4">
        <v>43774</v>
      </c>
    </row>
    <row r="1458" spans="1:11" x14ac:dyDescent="0.3">
      <c r="A1458" t="s">
        <v>2939</v>
      </c>
      <c r="B1458" s="2" t="s">
        <v>2940</v>
      </c>
      <c r="C1458">
        <v>38</v>
      </c>
      <c r="D1458" s="2" t="s">
        <v>13</v>
      </c>
      <c r="E1458" s="2" t="s">
        <v>14</v>
      </c>
      <c r="F1458" s="2" t="s">
        <v>15</v>
      </c>
      <c r="G1458" s="2" t="s">
        <v>16</v>
      </c>
      <c r="H1458" s="2" t="s">
        <v>17</v>
      </c>
      <c r="I1458" s="2" t="s">
        <v>18</v>
      </c>
      <c r="J1458">
        <v>0.63</v>
      </c>
      <c r="K1458" s="4">
        <v>44205</v>
      </c>
    </row>
    <row r="1459" spans="1:11" x14ac:dyDescent="0.3">
      <c r="A1459" t="s">
        <v>2941</v>
      </c>
      <c r="B1459" s="2" t="s">
        <v>2942</v>
      </c>
      <c r="C1459">
        <v>57</v>
      </c>
      <c r="D1459" s="2" t="s">
        <v>21</v>
      </c>
      <c r="E1459" s="2" t="s">
        <v>22</v>
      </c>
      <c r="F1459" s="2" t="s">
        <v>23</v>
      </c>
      <c r="G1459" s="2" t="s">
        <v>16</v>
      </c>
      <c r="H1459" s="2" t="s">
        <v>18</v>
      </c>
      <c r="I1459" s="2" t="s">
        <v>18</v>
      </c>
      <c r="J1459">
        <v>0.73</v>
      </c>
      <c r="K1459" s="4">
        <v>44182</v>
      </c>
    </row>
    <row r="1460" spans="1:11" x14ac:dyDescent="0.3">
      <c r="A1460" t="s">
        <v>2943</v>
      </c>
      <c r="B1460" s="2" t="s">
        <v>2944</v>
      </c>
      <c r="C1460">
        <v>22</v>
      </c>
      <c r="D1460" s="2" t="s">
        <v>21</v>
      </c>
      <c r="E1460" s="2" t="s">
        <v>14</v>
      </c>
      <c r="F1460" s="2" t="s">
        <v>31</v>
      </c>
      <c r="G1460" s="2" t="s">
        <v>16</v>
      </c>
      <c r="H1460" s="2" t="s">
        <v>18</v>
      </c>
      <c r="I1460" s="2" t="s">
        <v>17</v>
      </c>
      <c r="J1460">
        <v>0.36</v>
      </c>
      <c r="K1460" s="4">
        <v>44601</v>
      </c>
    </row>
    <row r="1461" spans="1:11" x14ac:dyDescent="0.3">
      <c r="A1461" t="s">
        <v>2945</v>
      </c>
      <c r="B1461" s="2" t="s">
        <v>2946</v>
      </c>
      <c r="C1461">
        <v>63</v>
      </c>
      <c r="D1461" s="2" t="s">
        <v>21</v>
      </c>
      <c r="E1461" s="2" t="s">
        <v>22</v>
      </c>
      <c r="F1461" s="2" t="s">
        <v>37</v>
      </c>
      <c r="G1461" s="2" t="s">
        <v>32</v>
      </c>
      <c r="H1461" s="2" t="s">
        <v>17</v>
      </c>
      <c r="I1461" s="2" t="s">
        <v>18</v>
      </c>
      <c r="J1461">
        <v>0.31</v>
      </c>
      <c r="K1461" s="4">
        <v>43905</v>
      </c>
    </row>
    <row r="1462" spans="1:11" x14ac:dyDescent="0.3">
      <c r="A1462" t="s">
        <v>2947</v>
      </c>
      <c r="B1462" s="2" t="s">
        <v>2948</v>
      </c>
      <c r="C1462">
        <v>31</v>
      </c>
      <c r="D1462" s="2" t="s">
        <v>21</v>
      </c>
      <c r="E1462" s="2" t="s">
        <v>14</v>
      </c>
      <c r="F1462" s="2" t="s">
        <v>31</v>
      </c>
      <c r="G1462" s="2" t="s">
        <v>27</v>
      </c>
      <c r="H1462" s="2" t="s">
        <v>17</v>
      </c>
      <c r="I1462" s="2" t="s">
        <v>17</v>
      </c>
      <c r="J1462">
        <v>0.63</v>
      </c>
      <c r="K1462" s="4">
        <v>43418</v>
      </c>
    </row>
    <row r="1463" spans="1:11" x14ac:dyDescent="0.3">
      <c r="A1463" t="s">
        <v>2949</v>
      </c>
      <c r="B1463" s="2" t="s">
        <v>2950</v>
      </c>
      <c r="C1463">
        <v>48</v>
      </c>
      <c r="D1463" s="2" t="s">
        <v>21</v>
      </c>
      <c r="E1463" s="2" t="s">
        <v>22</v>
      </c>
      <c r="F1463" s="2" t="s">
        <v>23</v>
      </c>
      <c r="G1463" s="2" t="s">
        <v>24</v>
      </c>
      <c r="H1463" s="2" t="s">
        <v>17</v>
      </c>
      <c r="I1463" s="2" t="s">
        <v>17</v>
      </c>
      <c r="J1463">
        <v>0.41</v>
      </c>
      <c r="K1463" s="4">
        <v>43399</v>
      </c>
    </row>
    <row r="1464" spans="1:11" x14ac:dyDescent="0.3">
      <c r="A1464" t="s">
        <v>2951</v>
      </c>
      <c r="B1464" s="2" t="s">
        <v>2952</v>
      </c>
      <c r="C1464">
        <v>31</v>
      </c>
      <c r="D1464" s="2" t="s">
        <v>13</v>
      </c>
      <c r="E1464" s="2" t="s">
        <v>14</v>
      </c>
      <c r="F1464" s="2" t="s">
        <v>15</v>
      </c>
      <c r="G1464" s="2" t="s">
        <v>66</v>
      </c>
      <c r="H1464" s="2" t="s">
        <v>17</v>
      </c>
      <c r="I1464" s="2" t="s">
        <v>17</v>
      </c>
      <c r="J1464">
        <v>0.73</v>
      </c>
      <c r="K1464" s="4">
        <v>44304</v>
      </c>
    </row>
    <row r="1465" spans="1:11" x14ac:dyDescent="0.3">
      <c r="A1465" t="s">
        <v>2953</v>
      </c>
      <c r="B1465" s="2" t="s">
        <v>2954</v>
      </c>
      <c r="C1465">
        <v>40</v>
      </c>
      <c r="D1465" s="2" t="s">
        <v>13</v>
      </c>
      <c r="E1465" s="2" t="s">
        <v>22</v>
      </c>
      <c r="F1465" s="2" t="s">
        <v>23</v>
      </c>
      <c r="G1465" s="2" t="s">
        <v>24</v>
      </c>
      <c r="H1465" s="2" t="s">
        <v>18</v>
      </c>
      <c r="I1465" s="2" t="s">
        <v>17</v>
      </c>
      <c r="J1465">
        <v>0.54</v>
      </c>
      <c r="K1465" s="4">
        <v>45005</v>
      </c>
    </row>
    <row r="1466" spans="1:11" x14ac:dyDescent="0.3">
      <c r="A1466" t="s">
        <v>2955</v>
      </c>
      <c r="B1466" s="2" t="s">
        <v>2956</v>
      </c>
      <c r="C1466">
        <v>32</v>
      </c>
      <c r="D1466" s="2" t="s">
        <v>13</v>
      </c>
      <c r="E1466" s="2" t="s">
        <v>30</v>
      </c>
      <c r="F1466" s="2" t="s">
        <v>15</v>
      </c>
      <c r="G1466" s="2" t="s">
        <v>32</v>
      </c>
      <c r="H1466" s="2" t="s">
        <v>18</v>
      </c>
      <c r="I1466" s="2" t="s">
        <v>17</v>
      </c>
      <c r="J1466">
        <v>0.61</v>
      </c>
      <c r="K1466" s="4">
        <v>43866</v>
      </c>
    </row>
    <row r="1467" spans="1:11" x14ac:dyDescent="0.3">
      <c r="A1467" t="s">
        <v>2957</v>
      </c>
      <c r="B1467" s="2" t="s">
        <v>2958</v>
      </c>
      <c r="C1467">
        <v>45</v>
      </c>
      <c r="D1467" s="2" t="s">
        <v>21</v>
      </c>
      <c r="E1467" s="2" t="s">
        <v>30</v>
      </c>
      <c r="F1467" s="2" t="s">
        <v>37</v>
      </c>
      <c r="G1467" s="2" t="s">
        <v>24</v>
      </c>
      <c r="H1467" s="2" t="s">
        <v>17</v>
      </c>
      <c r="I1467" s="2" t="s">
        <v>18</v>
      </c>
      <c r="J1467">
        <v>0.48</v>
      </c>
      <c r="K1467" s="4">
        <v>44305</v>
      </c>
    </row>
    <row r="1468" spans="1:11" x14ac:dyDescent="0.3">
      <c r="A1468" t="s">
        <v>2959</v>
      </c>
      <c r="B1468" s="2" t="s">
        <v>2960</v>
      </c>
      <c r="C1468">
        <v>38</v>
      </c>
      <c r="D1468" s="2" t="s">
        <v>21</v>
      </c>
      <c r="E1468" s="2" t="s">
        <v>14</v>
      </c>
      <c r="F1468" s="2" t="s">
        <v>23</v>
      </c>
      <c r="G1468" s="2" t="s">
        <v>81</v>
      </c>
      <c r="H1468" s="2" t="s">
        <v>18</v>
      </c>
      <c r="I1468" s="2" t="s">
        <v>17</v>
      </c>
      <c r="J1468">
        <v>0.78</v>
      </c>
      <c r="K1468" s="4">
        <v>44412</v>
      </c>
    </row>
    <row r="1469" spans="1:11" x14ac:dyDescent="0.3">
      <c r="A1469" t="s">
        <v>2961</v>
      </c>
      <c r="B1469" s="2" t="s">
        <v>2962</v>
      </c>
      <c r="C1469">
        <v>41</v>
      </c>
      <c r="D1469" s="2" t="s">
        <v>13</v>
      </c>
      <c r="E1469" s="2" t="s">
        <v>14</v>
      </c>
      <c r="F1469" s="2" t="s">
        <v>23</v>
      </c>
      <c r="G1469" s="2" t="s">
        <v>16</v>
      </c>
      <c r="H1469" s="2" t="s">
        <v>17</v>
      </c>
      <c r="I1469" s="2" t="s">
        <v>18</v>
      </c>
      <c r="J1469">
        <v>0.41</v>
      </c>
      <c r="K1469" s="4">
        <v>43837</v>
      </c>
    </row>
    <row r="1470" spans="1:11" x14ac:dyDescent="0.3">
      <c r="A1470" t="s">
        <v>2963</v>
      </c>
      <c r="B1470" s="2" t="s">
        <v>2964</v>
      </c>
      <c r="C1470">
        <v>31</v>
      </c>
      <c r="D1470" s="2" t="s">
        <v>21</v>
      </c>
      <c r="E1470" s="2" t="s">
        <v>22</v>
      </c>
      <c r="F1470" s="2" t="s">
        <v>37</v>
      </c>
      <c r="G1470" s="2" t="s">
        <v>32</v>
      </c>
      <c r="H1470" s="2" t="s">
        <v>18</v>
      </c>
      <c r="I1470" s="2" t="s">
        <v>18</v>
      </c>
      <c r="J1470">
        <v>0.37</v>
      </c>
      <c r="K1470" s="4">
        <v>43682</v>
      </c>
    </row>
    <row r="1471" spans="1:11" x14ac:dyDescent="0.3">
      <c r="A1471" t="s">
        <v>2965</v>
      </c>
      <c r="B1471" s="2" t="s">
        <v>2966</v>
      </c>
      <c r="C1471">
        <v>48</v>
      </c>
      <c r="D1471" s="2" t="s">
        <v>21</v>
      </c>
      <c r="E1471" s="2" t="s">
        <v>14</v>
      </c>
      <c r="F1471" s="2" t="s">
        <v>37</v>
      </c>
      <c r="G1471" s="2" t="s">
        <v>27</v>
      </c>
      <c r="H1471" s="2" t="s">
        <v>17</v>
      </c>
      <c r="I1471" s="2" t="s">
        <v>17</v>
      </c>
      <c r="J1471">
        <v>0.68</v>
      </c>
      <c r="K1471" s="4">
        <v>45060</v>
      </c>
    </row>
    <row r="1472" spans="1:11" x14ac:dyDescent="0.3">
      <c r="A1472" t="s">
        <v>2967</v>
      </c>
      <c r="B1472" s="2" t="s">
        <v>2968</v>
      </c>
      <c r="C1472">
        <v>48</v>
      </c>
      <c r="D1472" s="2" t="s">
        <v>21</v>
      </c>
      <c r="E1472" s="2" t="s">
        <v>14</v>
      </c>
      <c r="F1472" s="2" t="s">
        <v>15</v>
      </c>
      <c r="G1472" s="2" t="s">
        <v>16</v>
      </c>
      <c r="H1472" s="2" t="s">
        <v>17</v>
      </c>
      <c r="I1472" s="2" t="s">
        <v>17</v>
      </c>
      <c r="J1472">
        <v>0.56000000000000005</v>
      </c>
      <c r="K1472" s="4">
        <v>43763</v>
      </c>
    </row>
    <row r="1473" spans="1:11" x14ac:dyDescent="0.3">
      <c r="A1473" t="s">
        <v>2969</v>
      </c>
      <c r="B1473" s="2" t="s">
        <v>2970</v>
      </c>
      <c r="C1473">
        <v>54</v>
      </c>
      <c r="D1473" s="2" t="s">
        <v>13</v>
      </c>
      <c r="E1473" s="2" t="s">
        <v>22</v>
      </c>
      <c r="F1473" s="2" t="s">
        <v>31</v>
      </c>
      <c r="G1473" s="2" t="s">
        <v>16</v>
      </c>
      <c r="H1473" s="2" t="s">
        <v>18</v>
      </c>
      <c r="I1473" s="2" t="s">
        <v>17</v>
      </c>
      <c r="J1473">
        <v>0.44</v>
      </c>
      <c r="K1473" s="4">
        <v>43561</v>
      </c>
    </row>
    <row r="1474" spans="1:11" x14ac:dyDescent="0.3">
      <c r="A1474" t="s">
        <v>2971</v>
      </c>
      <c r="B1474" s="2" t="s">
        <v>2972</v>
      </c>
      <c r="C1474">
        <v>19</v>
      </c>
      <c r="D1474" s="2" t="s">
        <v>21</v>
      </c>
      <c r="E1474" s="2" t="s">
        <v>22</v>
      </c>
      <c r="F1474" s="2" t="s">
        <v>31</v>
      </c>
      <c r="G1474" s="2" t="s">
        <v>16</v>
      </c>
      <c r="H1474" s="2" t="s">
        <v>17</v>
      </c>
      <c r="I1474" s="2" t="s">
        <v>17</v>
      </c>
      <c r="J1474">
        <v>0.67</v>
      </c>
      <c r="K1474" s="4">
        <v>44667</v>
      </c>
    </row>
    <row r="1475" spans="1:11" x14ac:dyDescent="0.3">
      <c r="A1475" t="s">
        <v>2973</v>
      </c>
      <c r="B1475" s="2" t="s">
        <v>2974</v>
      </c>
      <c r="C1475">
        <v>32</v>
      </c>
      <c r="D1475" s="2" t="s">
        <v>13</v>
      </c>
      <c r="E1475" s="2" t="s">
        <v>22</v>
      </c>
      <c r="F1475" s="2" t="s">
        <v>23</v>
      </c>
      <c r="G1475" s="2" t="s">
        <v>16</v>
      </c>
      <c r="H1475" s="2" t="s">
        <v>17</v>
      </c>
      <c r="I1475" s="2" t="s">
        <v>17</v>
      </c>
      <c r="J1475">
        <v>0.7</v>
      </c>
      <c r="K1475" s="4">
        <v>44476</v>
      </c>
    </row>
    <row r="1476" spans="1:11" x14ac:dyDescent="0.3">
      <c r="A1476" t="s">
        <v>2975</v>
      </c>
      <c r="B1476" s="2" t="s">
        <v>2976</v>
      </c>
      <c r="C1476">
        <v>37</v>
      </c>
      <c r="D1476" s="2" t="s">
        <v>13</v>
      </c>
      <c r="E1476" s="2" t="s">
        <v>14</v>
      </c>
      <c r="F1476" s="2" t="s">
        <v>23</v>
      </c>
      <c r="G1476" s="2" t="s">
        <v>27</v>
      </c>
      <c r="H1476" s="2" t="s">
        <v>18</v>
      </c>
      <c r="I1476" s="2" t="s">
        <v>18</v>
      </c>
      <c r="J1476">
        <v>0.89</v>
      </c>
      <c r="K1476" s="4">
        <v>45085</v>
      </c>
    </row>
    <row r="1477" spans="1:11" x14ac:dyDescent="0.3">
      <c r="A1477" t="s">
        <v>2977</v>
      </c>
      <c r="B1477" s="2" t="s">
        <v>2978</v>
      </c>
      <c r="C1477">
        <v>26</v>
      </c>
      <c r="D1477" s="2" t="s">
        <v>21</v>
      </c>
      <c r="E1477" s="2" t="s">
        <v>14</v>
      </c>
      <c r="F1477" s="2" t="s">
        <v>31</v>
      </c>
      <c r="G1477" s="2" t="s">
        <v>66</v>
      </c>
      <c r="H1477" s="2" t="s">
        <v>17</v>
      </c>
      <c r="I1477" s="2" t="s">
        <v>18</v>
      </c>
      <c r="J1477">
        <v>0.99</v>
      </c>
      <c r="K1477" s="4">
        <v>44251</v>
      </c>
    </row>
    <row r="1478" spans="1:11" x14ac:dyDescent="0.3">
      <c r="A1478" t="s">
        <v>2979</v>
      </c>
      <c r="B1478" s="2" t="s">
        <v>2980</v>
      </c>
      <c r="C1478">
        <v>24</v>
      </c>
      <c r="D1478" s="2" t="s">
        <v>21</v>
      </c>
      <c r="E1478" s="2" t="s">
        <v>14</v>
      </c>
      <c r="F1478" s="2" t="s">
        <v>31</v>
      </c>
      <c r="G1478" s="2" t="s">
        <v>81</v>
      </c>
      <c r="H1478" s="2" t="s">
        <v>18</v>
      </c>
      <c r="I1478" s="2" t="s">
        <v>18</v>
      </c>
      <c r="J1478">
        <v>0.59</v>
      </c>
      <c r="K1478" s="4">
        <v>44010</v>
      </c>
    </row>
    <row r="1479" spans="1:11" x14ac:dyDescent="0.3">
      <c r="A1479" t="s">
        <v>2981</v>
      </c>
      <c r="B1479" s="2" t="s">
        <v>2982</v>
      </c>
      <c r="C1479">
        <v>45</v>
      </c>
      <c r="D1479" s="2" t="s">
        <v>21</v>
      </c>
      <c r="E1479" s="2" t="s">
        <v>14</v>
      </c>
      <c r="F1479" s="2" t="s">
        <v>37</v>
      </c>
      <c r="G1479" s="2" t="s">
        <v>32</v>
      </c>
      <c r="H1479" s="2" t="s">
        <v>18</v>
      </c>
      <c r="I1479" s="2" t="s">
        <v>18</v>
      </c>
      <c r="J1479">
        <v>0.71</v>
      </c>
      <c r="K1479" s="4">
        <v>45035</v>
      </c>
    </row>
    <row r="1480" spans="1:11" x14ac:dyDescent="0.3">
      <c r="A1480" t="s">
        <v>2983</v>
      </c>
      <c r="B1480" s="2" t="s">
        <v>2984</v>
      </c>
      <c r="C1480">
        <v>19</v>
      </c>
      <c r="D1480" s="2" t="s">
        <v>21</v>
      </c>
      <c r="E1480" s="2" t="s">
        <v>30</v>
      </c>
      <c r="F1480" s="2" t="s">
        <v>31</v>
      </c>
      <c r="G1480" s="2" t="s">
        <v>16</v>
      </c>
      <c r="H1480" s="2" t="s">
        <v>18</v>
      </c>
      <c r="I1480" s="2" t="s">
        <v>18</v>
      </c>
      <c r="J1480">
        <v>0.28999999999999998</v>
      </c>
      <c r="K1480" s="4">
        <v>43690</v>
      </c>
    </row>
    <row r="1481" spans="1:11" x14ac:dyDescent="0.3">
      <c r="A1481" t="s">
        <v>2985</v>
      </c>
      <c r="B1481" s="2" t="s">
        <v>2986</v>
      </c>
      <c r="C1481">
        <v>63</v>
      </c>
      <c r="D1481" s="2" t="s">
        <v>21</v>
      </c>
      <c r="E1481" s="2" t="s">
        <v>30</v>
      </c>
      <c r="F1481" s="2" t="s">
        <v>31</v>
      </c>
      <c r="G1481" s="2" t="s">
        <v>81</v>
      </c>
      <c r="H1481" s="2" t="s">
        <v>18</v>
      </c>
      <c r="I1481" s="2" t="s">
        <v>18</v>
      </c>
      <c r="J1481">
        <v>0.76</v>
      </c>
      <c r="K1481" s="4">
        <v>44719</v>
      </c>
    </row>
    <row r="1482" spans="1:11" x14ac:dyDescent="0.3">
      <c r="A1482" t="s">
        <v>2987</v>
      </c>
      <c r="B1482" s="2" t="s">
        <v>2988</v>
      </c>
      <c r="C1482">
        <v>21</v>
      </c>
      <c r="D1482" s="2" t="s">
        <v>13</v>
      </c>
      <c r="E1482" s="2" t="s">
        <v>22</v>
      </c>
      <c r="F1482" s="2" t="s">
        <v>37</v>
      </c>
      <c r="G1482" s="2" t="s">
        <v>81</v>
      </c>
      <c r="H1482" s="2" t="s">
        <v>18</v>
      </c>
      <c r="I1482" s="2" t="s">
        <v>17</v>
      </c>
      <c r="J1482">
        <v>0.11</v>
      </c>
      <c r="K1482" s="4">
        <v>43409</v>
      </c>
    </row>
    <row r="1483" spans="1:11" x14ac:dyDescent="0.3">
      <c r="A1483" t="s">
        <v>2989</v>
      </c>
      <c r="B1483" s="2" t="s">
        <v>852</v>
      </c>
      <c r="C1483">
        <v>25</v>
      </c>
      <c r="D1483" s="2" t="s">
        <v>13</v>
      </c>
      <c r="E1483" s="2" t="s">
        <v>22</v>
      </c>
      <c r="F1483" s="2" t="s">
        <v>23</v>
      </c>
      <c r="G1483" s="2" t="s">
        <v>81</v>
      </c>
      <c r="H1483" s="2" t="s">
        <v>18</v>
      </c>
      <c r="I1483" s="2" t="s">
        <v>17</v>
      </c>
      <c r="J1483">
        <v>0.42</v>
      </c>
      <c r="K1483" s="4">
        <v>43180</v>
      </c>
    </row>
    <row r="1484" spans="1:11" x14ac:dyDescent="0.3">
      <c r="A1484" t="s">
        <v>2990</v>
      </c>
      <c r="B1484" s="2" t="s">
        <v>2991</v>
      </c>
      <c r="C1484">
        <v>40</v>
      </c>
      <c r="D1484" s="2" t="s">
        <v>13</v>
      </c>
      <c r="E1484" s="2" t="s">
        <v>14</v>
      </c>
      <c r="F1484" s="2" t="s">
        <v>15</v>
      </c>
      <c r="G1484" s="2" t="s">
        <v>66</v>
      </c>
      <c r="H1484" s="2" t="s">
        <v>18</v>
      </c>
      <c r="I1484" s="2" t="s">
        <v>17</v>
      </c>
      <c r="J1484">
        <v>0.34</v>
      </c>
      <c r="K1484" s="4">
        <v>43701</v>
      </c>
    </row>
    <row r="1485" spans="1:11" x14ac:dyDescent="0.3">
      <c r="A1485" t="s">
        <v>2992</v>
      </c>
      <c r="B1485" s="2" t="s">
        <v>2993</v>
      </c>
      <c r="C1485">
        <v>53</v>
      </c>
      <c r="D1485" s="2" t="s">
        <v>21</v>
      </c>
      <c r="E1485" s="2" t="s">
        <v>14</v>
      </c>
      <c r="F1485" s="2" t="s">
        <v>15</v>
      </c>
      <c r="G1485" s="2" t="s">
        <v>16</v>
      </c>
      <c r="H1485" s="2" t="s">
        <v>18</v>
      </c>
      <c r="I1485" s="2" t="s">
        <v>18</v>
      </c>
      <c r="J1485">
        <v>0.86</v>
      </c>
      <c r="K1485" s="4">
        <v>45084</v>
      </c>
    </row>
    <row r="1486" spans="1:11" x14ac:dyDescent="0.3">
      <c r="A1486" t="s">
        <v>2994</v>
      </c>
      <c r="B1486" s="2" t="s">
        <v>2995</v>
      </c>
      <c r="C1486">
        <v>44</v>
      </c>
      <c r="D1486" s="2" t="s">
        <v>13</v>
      </c>
      <c r="E1486" s="2" t="s">
        <v>14</v>
      </c>
      <c r="F1486" s="2" t="s">
        <v>31</v>
      </c>
      <c r="G1486" s="2" t="s">
        <v>27</v>
      </c>
      <c r="H1486" s="2" t="s">
        <v>17</v>
      </c>
      <c r="I1486" s="2" t="s">
        <v>17</v>
      </c>
      <c r="J1486">
        <v>0.75</v>
      </c>
      <c r="K1486" s="4">
        <v>44076</v>
      </c>
    </row>
    <row r="1487" spans="1:11" x14ac:dyDescent="0.3">
      <c r="A1487" t="s">
        <v>2996</v>
      </c>
      <c r="B1487" s="2" t="s">
        <v>2997</v>
      </c>
      <c r="C1487">
        <v>30</v>
      </c>
      <c r="D1487" s="2" t="s">
        <v>13</v>
      </c>
      <c r="E1487" s="2" t="s">
        <v>30</v>
      </c>
      <c r="F1487" s="2" t="s">
        <v>23</v>
      </c>
      <c r="G1487" s="2" t="s">
        <v>27</v>
      </c>
      <c r="H1487" s="2" t="s">
        <v>17</v>
      </c>
      <c r="I1487" s="2" t="s">
        <v>18</v>
      </c>
      <c r="J1487">
        <v>0.49</v>
      </c>
      <c r="K1487" s="4">
        <v>43862</v>
      </c>
    </row>
    <row r="1488" spans="1:11" x14ac:dyDescent="0.3">
      <c r="A1488" t="s">
        <v>2998</v>
      </c>
      <c r="B1488" s="2" t="s">
        <v>2999</v>
      </c>
      <c r="C1488">
        <v>67</v>
      </c>
      <c r="D1488" s="2" t="s">
        <v>13</v>
      </c>
      <c r="E1488" s="2" t="s">
        <v>30</v>
      </c>
      <c r="F1488" s="2" t="s">
        <v>23</v>
      </c>
      <c r="G1488" s="2" t="s">
        <v>81</v>
      </c>
      <c r="H1488" s="2" t="s">
        <v>17</v>
      </c>
      <c r="I1488" s="2" t="s">
        <v>18</v>
      </c>
      <c r="J1488">
        <v>0.2</v>
      </c>
      <c r="K1488" s="4">
        <v>44314</v>
      </c>
    </row>
    <row r="1489" spans="1:11" x14ac:dyDescent="0.3">
      <c r="A1489" t="s">
        <v>3000</v>
      </c>
      <c r="B1489" s="2" t="s">
        <v>3001</v>
      </c>
      <c r="C1489">
        <v>49</v>
      </c>
      <c r="D1489" s="2" t="s">
        <v>21</v>
      </c>
      <c r="E1489" s="2" t="s">
        <v>14</v>
      </c>
      <c r="F1489" s="2" t="s">
        <v>31</v>
      </c>
      <c r="G1489" s="2" t="s">
        <v>32</v>
      </c>
      <c r="H1489" s="2" t="s">
        <v>17</v>
      </c>
      <c r="I1489" s="2" t="s">
        <v>17</v>
      </c>
      <c r="J1489">
        <v>0.69</v>
      </c>
      <c r="K1489" s="4">
        <v>43120</v>
      </c>
    </row>
    <row r="1490" spans="1:11" x14ac:dyDescent="0.3">
      <c r="A1490" t="s">
        <v>3002</v>
      </c>
      <c r="B1490" s="2" t="s">
        <v>3003</v>
      </c>
      <c r="C1490">
        <v>53</v>
      </c>
      <c r="D1490" s="2" t="s">
        <v>21</v>
      </c>
      <c r="E1490" s="2" t="s">
        <v>30</v>
      </c>
      <c r="F1490" s="2" t="s">
        <v>37</v>
      </c>
      <c r="G1490" s="2" t="s">
        <v>32</v>
      </c>
      <c r="H1490" s="2" t="s">
        <v>17</v>
      </c>
      <c r="I1490" s="2" t="s">
        <v>17</v>
      </c>
      <c r="J1490">
        <v>0.54</v>
      </c>
      <c r="K1490" s="4">
        <v>44349</v>
      </c>
    </row>
    <row r="1491" spans="1:11" x14ac:dyDescent="0.3">
      <c r="A1491" t="s">
        <v>3004</v>
      </c>
      <c r="B1491" s="2" t="s">
        <v>3005</v>
      </c>
      <c r="C1491">
        <v>67</v>
      </c>
      <c r="D1491" s="2" t="s">
        <v>21</v>
      </c>
      <c r="E1491" s="2" t="s">
        <v>14</v>
      </c>
      <c r="F1491" s="2" t="s">
        <v>23</v>
      </c>
      <c r="G1491" s="2" t="s">
        <v>81</v>
      </c>
      <c r="H1491" s="2" t="s">
        <v>18</v>
      </c>
      <c r="I1491" s="2" t="s">
        <v>18</v>
      </c>
      <c r="J1491">
        <v>0.42</v>
      </c>
      <c r="K1491" s="4">
        <v>43652</v>
      </c>
    </row>
    <row r="1492" spans="1:11" x14ac:dyDescent="0.3">
      <c r="A1492" t="s">
        <v>3006</v>
      </c>
      <c r="B1492" s="2" t="s">
        <v>3007</v>
      </c>
      <c r="C1492">
        <v>52</v>
      </c>
      <c r="D1492" s="2" t="s">
        <v>13</v>
      </c>
      <c r="E1492" s="2" t="s">
        <v>30</v>
      </c>
      <c r="F1492" s="2" t="s">
        <v>31</v>
      </c>
      <c r="G1492" s="2" t="s">
        <v>32</v>
      </c>
      <c r="H1492" s="2" t="s">
        <v>18</v>
      </c>
      <c r="I1492" s="2" t="s">
        <v>18</v>
      </c>
      <c r="J1492">
        <v>0.75</v>
      </c>
      <c r="K1492" s="4">
        <v>44178</v>
      </c>
    </row>
    <row r="1493" spans="1:11" x14ac:dyDescent="0.3">
      <c r="A1493" t="s">
        <v>3008</v>
      </c>
      <c r="B1493" s="2" t="s">
        <v>3009</v>
      </c>
      <c r="C1493">
        <v>53</v>
      </c>
      <c r="D1493" s="2" t="s">
        <v>21</v>
      </c>
      <c r="E1493" s="2" t="s">
        <v>30</v>
      </c>
      <c r="F1493" s="2" t="s">
        <v>37</v>
      </c>
      <c r="G1493" s="2" t="s">
        <v>27</v>
      </c>
      <c r="H1493" s="2" t="s">
        <v>17</v>
      </c>
      <c r="I1493" s="2" t="s">
        <v>18</v>
      </c>
      <c r="J1493">
        <v>0.53</v>
      </c>
      <c r="K1493" s="4">
        <v>44873</v>
      </c>
    </row>
    <row r="1494" spans="1:11" x14ac:dyDescent="0.3">
      <c r="A1494" t="s">
        <v>3010</v>
      </c>
      <c r="B1494" s="2" t="s">
        <v>3011</v>
      </c>
      <c r="C1494">
        <v>32</v>
      </c>
      <c r="D1494" s="2" t="s">
        <v>13</v>
      </c>
      <c r="E1494" s="2" t="s">
        <v>22</v>
      </c>
      <c r="F1494" s="2" t="s">
        <v>15</v>
      </c>
      <c r="G1494" s="2" t="s">
        <v>16</v>
      </c>
      <c r="H1494" s="2" t="s">
        <v>17</v>
      </c>
      <c r="I1494" s="2" t="s">
        <v>17</v>
      </c>
      <c r="J1494">
        <v>0.69</v>
      </c>
      <c r="K1494" s="4">
        <v>43352</v>
      </c>
    </row>
    <row r="1495" spans="1:11" x14ac:dyDescent="0.3">
      <c r="A1495" t="s">
        <v>3012</v>
      </c>
      <c r="B1495" s="2" t="s">
        <v>3013</v>
      </c>
      <c r="C1495">
        <v>18</v>
      </c>
      <c r="D1495" s="2" t="s">
        <v>13</v>
      </c>
      <c r="E1495" s="2" t="s">
        <v>14</v>
      </c>
      <c r="F1495" s="2" t="s">
        <v>31</v>
      </c>
      <c r="G1495" s="2" t="s">
        <v>16</v>
      </c>
      <c r="H1495" s="2" t="s">
        <v>17</v>
      </c>
      <c r="I1495" s="2" t="s">
        <v>17</v>
      </c>
      <c r="J1495">
        <v>0.31</v>
      </c>
      <c r="K1495" s="4">
        <v>44524</v>
      </c>
    </row>
    <row r="1496" spans="1:11" x14ac:dyDescent="0.3">
      <c r="A1496" t="s">
        <v>3014</v>
      </c>
      <c r="B1496" s="2" t="s">
        <v>3015</v>
      </c>
      <c r="C1496">
        <v>65</v>
      </c>
      <c r="D1496" s="2" t="s">
        <v>13</v>
      </c>
      <c r="E1496" s="2" t="s">
        <v>30</v>
      </c>
      <c r="F1496" s="2" t="s">
        <v>31</v>
      </c>
      <c r="G1496" s="2" t="s">
        <v>16</v>
      </c>
      <c r="H1496" s="2" t="s">
        <v>18</v>
      </c>
      <c r="I1496" s="2" t="s">
        <v>17</v>
      </c>
      <c r="J1496">
        <v>0.72</v>
      </c>
      <c r="K1496" s="4">
        <v>43908</v>
      </c>
    </row>
    <row r="1497" spans="1:11" x14ac:dyDescent="0.3">
      <c r="A1497" t="s">
        <v>3016</v>
      </c>
      <c r="B1497" s="2" t="s">
        <v>3017</v>
      </c>
      <c r="C1497">
        <v>21</v>
      </c>
      <c r="D1497" s="2" t="s">
        <v>21</v>
      </c>
      <c r="E1497" s="2" t="s">
        <v>14</v>
      </c>
      <c r="F1497" s="2" t="s">
        <v>37</v>
      </c>
      <c r="G1497" s="2" t="s">
        <v>81</v>
      </c>
      <c r="H1497" s="2" t="s">
        <v>18</v>
      </c>
      <c r="I1497" s="2" t="s">
        <v>17</v>
      </c>
      <c r="J1497">
        <v>0.49</v>
      </c>
      <c r="K1497" s="4">
        <v>43737</v>
      </c>
    </row>
    <row r="1498" spans="1:11" x14ac:dyDescent="0.3">
      <c r="A1498" t="s">
        <v>3018</v>
      </c>
      <c r="B1498" s="2" t="s">
        <v>3019</v>
      </c>
      <c r="C1498">
        <v>33</v>
      </c>
      <c r="D1498" s="2" t="s">
        <v>21</v>
      </c>
      <c r="E1498" s="2" t="s">
        <v>14</v>
      </c>
      <c r="F1498" s="2" t="s">
        <v>31</v>
      </c>
      <c r="G1498" s="2" t="s">
        <v>32</v>
      </c>
      <c r="H1498" s="2" t="s">
        <v>18</v>
      </c>
      <c r="I1498" s="2" t="s">
        <v>18</v>
      </c>
      <c r="J1498">
        <v>0.46</v>
      </c>
      <c r="K1498" s="4">
        <v>44336</v>
      </c>
    </row>
    <row r="1499" spans="1:11" x14ac:dyDescent="0.3">
      <c r="A1499" t="s">
        <v>3020</v>
      </c>
      <c r="B1499" s="2" t="s">
        <v>3021</v>
      </c>
      <c r="C1499">
        <v>47</v>
      </c>
      <c r="D1499" s="2" t="s">
        <v>13</v>
      </c>
      <c r="E1499" s="2" t="s">
        <v>22</v>
      </c>
      <c r="F1499" s="2" t="s">
        <v>37</v>
      </c>
      <c r="G1499" s="2" t="s">
        <v>27</v>
      </c>
      <c r="H1499" s="2" t="s">
        <v>18</v>
      </c>
      <c r="I1499" s="2" t="s">
        <v>18</v>
      </c>
      <c r="J1499">
        <v>0.32</v>
      </c>
      <c r="K1499" s="4">
        <v>43790</v>
      </c>
    </row>
    <row r="1500" spans="1:11" x14ac:dyDescent="0.3">
      <c r="A1500" t="s">
        <v>3022</v>
      </c>
      <c r="B1500" s="2" t="s">
        <v>3023</v>
      </c>
      <c r="C1500">
        <v>45</v>
      </c>
      <c r="D1500" s="2" t="s">
        <v>13</v>
      </c>
      <c r="E1500" s="2" t="s">
        <v>14</v>
      </c>
      <c r="F1500" s="2" t="s">
        <v>15</v>
      </c>
      <c r="G1500" s="2" t="s">
        <v>27</v>
      </c>
      <c r="H1500" s="2" t="s">
        <v>18</v>
      </c>
      <c r="I1500" s="2" t="s">
        <v>17</v>
      </c>
      <c r="J1500">
        <v>0.28999999999999998</v>
      </c>
      <c r="K1500" s="4">
        <v>44044</v>
      </c>
    </row>
    <row r="1501" spans="1:11" x14ac:dyDescent="0.3">
      <c r="A1501" t="s">
        <v>3024</v>
      </c>
      <c r="B1501" s="2" t="s">
        <v>3025</v>
      </c>
      <c r="C1501">
        <v>52</v>
      </c>
      <c r="D1501" s="2" t="s">
        <v>13</v>
      </c>
      <c r="E1501" s="2" t="s">
        <v>30</v>
      </c>
      <c r="F1501" s="2" t="s">
        <v>37</v>
      </c>
      <c r="G1501" s="2" t="s">
        <v>16</v>
      </c>
      <c r="H1501" s="2" t="s">
        <v>18</v>
      </c>
      <c r="I1501" s="2" t="s">
        <v>17</v>
      </c>
      <c r="J1501">
        <v>0.69</v>
      </c>
      <c r="K1501" s="4">
        <v>44167</v>
      </c>
    </row>
    <row r="1502" spans="1:11" x14ac:dyDescent="0.3">
      <c r="A1502" t="s">
        <v>3026</v>
      </c>
      <c r="B1502" s="2" t="s">
        <v>3027</v>
      </c>
      <c r="C1502">
        <v>24</v>
      </c>
      <c r="D1502" s="2" t="s">
        <v>13</v>
      </c>
      <c r="E1502" s="2" t="s">
        <v>22</v>
      </c>
      <c r="F1502" s="2" t="s">
        <v>37</v>
      </c>
      <c r="G1502" s="2" t="s">
        <v>24</v>
      </c>
      <c r="H1502" s="2" t="s">
        <v>18</v>
      </c>
      <c r="I1502" s="2" t="s">
        <v>18</v>
      </c>
      <c r="J1502">
        <v>0.57999999999999996</v>
      </c>
      <c r="K1502" s="4">
        <v>45199</v>
      </c>
    </row>
    <row r="1503" spans="1:11" x14ac:dyDescent="0.3">
      <c r="A1503" t="s">
        <v>3028</v>
      </c>
      <c r="B1503" s="2" t="s">
        <v>3029</v>
      </c>
      <c r="C1503">
        <v>38</v>
      </c>
      <c r="D1503" s="2" t="s">
        <v>13</v>
      </c>
      <c r="E1503" s="2" t="s">
        <v>30</v>
      </c>
      <c r="F1503" s="2" t="s">
        <v>31</v>
      </c>
      <c r="G1503" s="2" t="s">
        <v>24</v>
      </c>
      <c r="H1503" s="2" t="s">
        <v>17</v>
      </c>
      <c r="I1503" s="2" t="s">
        <v>18</v>
      </c>
      <c r="J1503">
        <v>0.09</v>
      </c>
      <c r="K1503" s="4">
        <v>43538</v>
      </c>
    </row>
    <row r="1504" spans="1:11" x14ac:dyDescent="0.3">
      <c r="A1504" t="s">
        <v>3030</v>
      </c>
      <c r="B1504" s="2" t="s">
        <v>3031</v>
      </c>
      <c r="C1504">
        <v>66</v>
      </c>
      <c r="D1504" s="2" t="s">
        <v>21</v>
      </c>
      <c r="E1504" s="2" t="s">
        <v>30</v>
      </c>
      <c r="F1504" s="2" t="s">
        <v>31</v>
      </c>
      <c r="G1504" s="2" t="s">
        <v>66</v>
      </c>
      <c r="H1504" s="2" t="s">
        <v>17</v>
      </c>
      <c r="I1504" s="2" t="s">
        <v>17</v>
      </c>
      <c r="J1504">
        <v>0.47</v>
      </c>
      <c r="K1504" s="4">
        <v>43509</v>
      </c>
    </row>
    <row r="1505" spans="1:11" x14ac:dyDescent="0.3">
      <c r="A1505" t="s">
        <v>3032</v>
      </c>
      <c r="B1505" s="2" t="s">
        <v>3033</v>
      </c>
      <c r="C1505">
        <v>62</v>
      </c>
      <c r="D1505" s="2" t="s">
        <v>13</v>
      </c>
      <c r="E1505" s="2" t="s">
        <v>14</v>
      </c>
      <c r="F1505" s="2" t="s">
        <v>15</v>
      </c>
      <c r="G1505" s="2" t="s">
        <v>27</v>
      </c>
      <c r="H1505" s="2" t="s">
        <v>18</v>
      </c>
      <c r="I1505" s="2" t="s">
        <v>17</v>
      </c>
      <c r="J1505">
        <v>0.55000000000000004</v>
      </c>
      <c r="K1505" s="4">
        <v>45009</v>
      </c>
    </row>
    <row r="1506" spans="1:11" x14ac:dyDescent="0.3">
      <c r="A1506" t="s">
        <v>3034</v>
      </c>
      <c r="B1506" s="2" t="s">
        <v>3035</v>
      </c>
      <c r="C1506">
        <v>56</v>
      </c>
      <c r="D1506" s="2" t="s">
        <v>13</v>
      </c>
      <c r="E1506" s="2" t="s">
        <v>30</v>
      </c>
      <c r="F1506" s="2" t="s">
        <v>15</v>
      </c>
      <c r="G1506" s="2" t="s">
        <v>27</v>
      </c>
      <c r="H1506" s="2" t="s">
        <v>18</v>
      </c>
      <c r="I1506" s="2" t="s">
        <v>17</v>
      </c>
      <c r="J1506">
        <v>0.23</v>
      </c>
      <c r="K1506" s="4">
        <v>44164</v>
      </c>
    </row>
    <row r="1507" spans="1:11" x14ac:dyDescent="0.3">
      <c r="A1507" t="s">
        <v>3036</v>
      </c>
      <c r="B1507" s="2" t="s">
        <v>3037</v>
      </c>
      <c r="C1507">
        <v>25</v>
      </c>
      <c r="D1507" s="2" t="s">
        <v>21</v>
      </c>
      <c r="E1507" s="2" t="s">
        <v>14</v>
      </c>
      <c r="F1507" s="2" t="s">
        <v>15</v>
      </c>
      <c r="G1507" s="2" t="s">
        <v>81</v>
      </c>
      <c r="H1507" s="2" t="s">
        <v>17</v>
      </c>
      <c r="I1507" s="2" t="s">
        <v>18</v>
      </c>
      <c r="J1507">
        <v>0.46</v>
      </c>
      <c r="K1507" s="4">
        <v>43420</v>
      </c>
    </row>
    <row r="1508" spans="1:11" x14ac:dyDescent="0.3">
      <c r="A1508" t="s">
        <v>3038</v>
      </c>
      <c r="B1508" s="2" t="s">
        <v>3039</v>
      </c>
      <c r="C1508">
        <v>67</v>
      </c>
      <c r="D1508" s="2" t="s">
        <v>13</v>
      </c>
      <c r="E1508" s="2" t="s">
        <v>14</v>
      </c>
      <c r="F1508" s="2" t="s">
        <v>15</v>
      </c>
      <c r="G1508" s="2" t="s">
        <v>81</v>
      </c>
      <c r="H1508" s="2" t="s">
        <v>17</v>
      </c>
      <c r="I1508" s="2" t="s">
        <v>18</v>
      </c>
      <c r="J1508">
        <v>0.34</v>
      </c>
      <c r="K1508" s="4">
        <v>44689</v>
      </c>
    </row>
    <row r="1509" spans="1:11" x14ac:dyDescent="0.3">
      <c r="A1509" t="s">
        <v>3040</v>
      </c>
      <c r="B1509" s="2" t="s">
        <v>3041</v>
      </c>
      <c r="C1509">
        <v>49</v>
      </c>
      <c r="D1509" s="2" t="s">
        <v>21</v>
      </c>
      <c r="E1509" s="2" t="s">
        <v>14</v>
      </c>
      <c r="F1509" s="2" t="s">
        <v>15</v>
      </c>
      <c r="G1509" s="2" t="s">
        <v>16</v>
      </c>
      <c r="H1509" s="2" t="s">
        <v>18</v>
      </c>
      <c r="I1509" s="2" t="s">
        <v>18</v>
      </c>
      <c r="J1509">
        <v>0.6</v>
      </c>
      <c r="K1509" s="4">
        <v>44218</v>
      </c>
    </row>
    <row r="1510" spans="1:11" x14ac:dyDescent="0.3">
      <c r="A1510" t="s">
        <v>3042</v>
      </c>
      <c r="B1510" s="2" t="s">
        <v>3043</v>
      </c>
      <c r="C1510">
        <v>66</v>
      </c>
      <c r="D1510" s="2" t="s">
        <v>13</v>
      </c>
      <c r="E1510" s="2" t="s">
        <v>22</v>
      </c>
      <c r="F1510" s="2" t="s">
        <v>15</v>
      </c>
      <c r="G1510" s="2" t="s">
        <v>32</v>
      </c>
      <c r="H1510" s="2" t="s">
        <v>18</v>
      </c>
      <c r="I1510" s="2" t="s">
        <v>18</v>
      </c>
      <c r="J1510">
        <v>0.39</v>
      </c>
      <c r="K1510" s="4">
        <v>43534</v>
      </c>
    </row>
    <row r="1511" spans="1:11" x14ac:dyDescent="0.3">
      <c r="A1511" t="s">
        <v>3044</v>
      </c>
      <c r="B1511" s="2" t="s">
        <v>3045</v>
      </c>
      <c r="C1511">
        <v>23</v>
      </c>
      <c r="D1511" s="2" t="s">
        <v>21</v>
      </c>
      <c r="E1511" s="2" t="s">
        <v>30</v>
      </c>
      <c r="F1511" s="2" t="s">
        <v>15</v>
      </c>
      <c r="G1511" s="2" t="s">
        <v>24</v>
      </c>
      <c r="H1511" s="2" t="s">
        <v>17</v>
      </c>
      <c r="I1511" s="2" t="s">
        <v>17</v>
      </c>
      <c r="J1511">
        <v>0.56000000000000005</v>
      </c>
      <c r="K1511" s="4">
        <v>45113</v>
      </c>
    </row>
    <row r="1512" spans="1:11" x14ac:dyDescent="0.3">
      <c r="A1512" t="s">
        <v>3046</v>
      </c>
      <c r="B1512" s="2" t="s">
        <v>3047</v>
      </c>
      <c r="C1512">
        <v>56</v>
      </c>
      <c r="D1512" s="2" t="s">
        <v>21</v>
      </c>
      <c r="E1512" s="2" t="s">
        <v>14</v>
      </c>
      <c r="F1512" s="2" t="s">
        <v>23</v>
      </c>
      <c r="G1512" s="2" t="s">
        <v>81</v>
      </c>
      <c r="H1512" s="2" t="s">
        <v>18</v>
      </c>
      <c r="I1512" s="2" t="s">
        <v>17</v>
      </c>
      <c r="J1512">
        <v>0.7</v>
      </c>
      <c r="K1512" s="4">
        <v>44512</v>
      </c>
    </row>
    <row r="1513" spans="1:11" x14ac:dyDescent="0.3">
      <c r="A1513" t="s">
        <v>3048</v>
      </c>
      <c r="B1513" s="2" t="s">
        <v>3049</v>
      </c>
      <c r="C1513">
        <v>45</v>
      </c>
      <c r="D1513" s="2" t="s">
        <v>13</v>
      </c>
      <c r="E1513" s="2" t="s">
        <v>14</v>
      </c>
      <c r="F1513" s="2" t="s">
        <v>15</v>
      </c>
      <c r="G1513" s="2" t="s">
        <v>24</v>
      </c>
      <c r="H1513" s="2" t="s">
        <v>17</v>
      </c>
      <c r="I1513" s="2" t="s">
        <v>18</v>
      </c>
      <c r="J1513">
        <v>0.82</v>
      </c>
      <c r="K1513" s="4">
        <v>44167</v>
      </c>
    </row>
    <row r="1514" spans="1:11" x14ac:dyDescent="0.3">
      <c r="A1514" t="s">
        <v>3050</v>
      </c>
      <c r="B1514" s="2" t="s">
        <v>3051</v>
      </c>
      <c r="C1514">
        <v>67</v>
      </c>
      <c r="D1514" s="2" t="s">
        <v>21</v>
      </c>
      <c r="E1514" s="2" t="s">
        <v>14</v>
      </c>
      <c r="F1514" s="2" t="s">
        <v>15</v>
      </c>
      <c r="G1514" s="2" t="s">
        <v>27</v>
      </c>
      <c r="H1514" s="2" t="s">
        <v>17</v>
      </c>
      <c r="I1514" s="2" t="s">
        <v>18</v>
      </c>
      <c r="J1514">
        <v>0.39</v>
      </c>
      <c r="K1514" s="4">
        <v>44214</v>
      </c>
    </row>
    <row r="1515" spans="1:11" x14ac:dyDescent="0.3">
      <c r="A1515" t="s">
        <v>3052</v>
      </c>
      <c r="B1515" s="2" t="s">
        <v>3053</v>
      </c>
      <c r="C1515">
        <v>21</v>
      </c>
      <c r="D1515" s="2" t="s">
        <v>21</v>
      </c>
      <c r="E1515" s="2" t="s">
        <v>30</v>
      </c>
      <c r="F1515" s="2" t="s">
        <v>15</v>
      </c>
      <c r="G1515" s="2" t="s">
        <v>16</v>
      </c>
      <c r="H1515" s="2" t="s">
        <v>18</v>
      </c>
      <c r="I1515" s="2" t="s">
        <v>17</v>
      </c>
      <c r="J1515">
        <v>0.02</v>
      </c>
      <c r="K1515" s="4">
        <v>43465</v>
      </c>
    </row>
    <row r="1516" spans="1:11" x14ac:dyDescent="0.3">
      <c r="A1516" t="s">
        <v>3054</v>
      </c>
      <c r="B1516" s="2" t="s">
        <v>3055</v>
      </c>
      <c r="C1516">
        <v>18</v>
      </c>
      <c r="D1516" s="2" t="s">
        <v>13</v>
      </c>
      <c r="E1516" s="2" t="s">
        <v>30</v>
      </c>
      <c r="F1516" s="2" t="s">
        <v>23</v>
      </c>
      <c r="G1516" s="2" t="s">
        <v>32</v>
      </c>
      <c r="H1516" s="2" t="s">
        <v>17</v>
      </c>
      <c r="I1516" s="2" t="s">
        <v>17</v>
      </c>
      <c r="J1516">
        <v>0.68</v>
      </c>
      <c r="K1516" s="4">
        <v>43758</v>
      </c>
    </row>
    <row r="1517" spans="1:11" x14ac:dyDescent="0.3">
      <c r="A1517" t="s">
        <v>3056</v>
      </c>
      <c r="B1517" s="2" t="s">
        <v>3057</v>
      </c>
      <c r="C1517">
        <v>39</v>
      </c>
      <c r="D1517" s="2" t="s">
        <v>13</v>
      </c>
      <c r="E1517" s="2" t="s">
        <v>30</v>
      </c>
      <c r="F1517" s="2" t="s">
        <v>37</v>
      </c>
      <c r="G1517" s="2" t="s">
        <v>32</v>
      </c>
      <c r="H1517" s="2" t="s">
        <v>17</v>
      </c>
      <c r="I1517" s="2" t="s">
        <v>17</v>
      </c>
      <c r="J1517">
        <v>0.61</v>
      </c>
      <c r="K1517" s="4">
        <v>43904</v>
      </c>
    </row>
    <row r="1518" spans="1:11" x14ac:dyDescent="0.3">
      <c r="A1518" t="s">
        <v>3058</v>
      </c>
      <c r="B1518" s="2" t="s">
        <v>3059</v>
      </c>
      <c r="C1518">
        <v>68</v>
      </c>
      <c r="D1518" s="2" t="s">
        <v>21</v>
      </c>
      <c r="E1518" s="2" t="s">
        <v>30</v>
      </c>
      <c r="F1518" s="2" t="s">
        <v>31</v>
      </c>
      <c r="G1518" s="2" t="s">
        <v>81</v>
      </c>
      <c r="H1518" s="2" t="s">
        <v>17</v>
      </c>
      <c r="I1518" s="2" t="s">
        <v>18</v>
      </c>
      <c r="J1518">
        <v>0.56999999999999995</v>
      </c>
      <c r="K1518" s="4">
        <v>43415</v>
      </c>
    </row>
    <row r="1519" spans="1:11" x14ac:dyDescent="0.3">
      <c r="A1519" t="s">
        <v>3060</v>
      </c>
      <c r="B1519" s="2" t="s">
        <v>3061</v>
      </c>
      <c r="C1519">
        <v>48</v>
      </c>
      <c r="D1519" s="2" t="s">
        <v>21</v>
      </c>
      <c r="E1519" s="2" t="s">
        <v>14</v>
      </c>
      <c r="F1519" s="2" t="s">
        <v>37</v>
      </c>
      <c r="G1519" s="2" t="s">
        <v>24</v>
      </c>
      <c r="H1519" s="2" t="s">
        <v>18</v>
      </c>
      <c r="I1519" s="2" t="s">
        <v>17</v>
      </c>
      <c r="J1519">
        <v>0.56000000000000005</v>
      </c>
      <c r="K1519" s="4">
        <v>45236</v>
      </c>
    </row>
    <row r="1520" spans="1:11" x14ac:dyDescent="0.3">
      <c r="A1520" t="s">
        <v>3062</v>
      </c>
      <c r="B1520" s="2" t="s">
        <v>3063</v>
      </c>
      <c r="C1520">
        <v>37</v>
      </c>
      <c r="D1520" s="2" t="s">
        <v>21</v>
      </c>
      <c r="E1520" s="2" t="s">
        <v>22</v>
      </c>
      <c r="F1520" s="2" t="s">
        <v>31</v>
      </c>
      <c r="G1520" s="2" t="s">
        <v>81</v>
      </c>
      <c r="H1520" s="2" t="s">
        <v>17</v>
      </c>
      <c r="I1520" s="2" t="s">
        <v>17</v>
      </c>
      <c r="J1520">
        <v>0.26</v>
      </c>
      <c r="K1520" s="4">
        <v>44065</v>
      </c>
    </row>
    <row r="1521" spans="1:11" x14ac:dyDescent="0.3">
      <c r="A1521" t="s">
        <v>3064</v>
      </c>
      <c r="B1521" s="2" t="s">
        <v>3065</v>
      </c>
      <c r="C1521">
        <v>42</v>
      </c>
      <c r="D1521" s="2" t="s">
        <v>13</v>
      </c>
      <c r="E1521" s="2" t="s">
        <v>22</v>
      </c>
      <c r="F1521" s="2" t="s">
        <v>15</v>
      </c>
      <c r="G1521" s="2" t="s">
        <v>66</v>
      </c>
      <c r="H1521" s="2" t="s">
        <v>18</v>
      </c>
      <c r="I1521" s="2" t="s">
        <v>17</v>
      </c>
      <c r="J1521">
        <v>0.24</v>
      </c>
      <c r="K1521" s="4">
        <v>44433</v>
      </c>
    </row>
    <row r="1522" spans="1:11" x14ac:dyDescent="0.3">
      <c r="A1522" t="s">
        <v>3066</v>
      </c>
      <c r="B1522" s="2" t="s">
        <v>3067</v>
      </c>
      <c r="C1522">
        <v>54</v>
      </c>
      <c r="D1522" s="2" t="s">
        <v>21</v>
      </c>
      <c r="E1522" s="2" t="s">
        <v>14</v>
      </c>
      <c r="F1522" s="2" t="s">
        <v>15</v>
      </c>
      <c r="G1522" s="2" t="s">
        <v>81</v>
      </c>
      <c r="H1522" s="2" t="s">
        <v>18</v>
      </c>
      <c r="I1522" s="2" t="s">
        <v>17</v>
      </c>
      <c r="J1522">
        <v>0.55000000000000004</v>
      </c>
      <c r="K1522" s="4">
        <v>43999</v>
      </c>
    </row>
    <row r="1523" spans="1:11" x14ac:dyDescent="0.3">
      <c r="A1523" t="s">
        <v>3068</v>
      </c>
      <c r="B1523" s="2" t="s">
        <v>3069</v>
      </c>
      <c r="C1523">
        <v>48</v>
      </c>
      <c r="D1523" s="2" t="s">
        <v>13</v>
      </c>
      <c r="E1523" s="2" t="s">
        <v>30</v>
      </c>
      <c r="F1523" s="2" t="s">
        <v>31</v>
      </c>
      <c r="G1523" s="2" t="s">
        <v>81</v>
      </c>
      <c r="H1523" s="2" t="s">
        <v>17</v>
      </c>
      <c r="I1523" s="2" t="s">
        <v>17</v>
      </c>
      <c r="J1523">
        <v>0.34</v>
      </c>
      <c r="K1523" s="4">
        <v>44172</v>
      </c>
    </row>
    <row r="1524" spans="1:11" x14ac:dyDescent="0.3">
      <c r="A1524" t="s">
        <v>3070</v>
      </c>
      <c r="B1524" s="2" t="s">
        <v>3071</v>
      </c>
      <c r="C1524">
        <v>40</v>
      </c>
      <c r="D1524" s="2" t="s">
        <v>13</v>
      </c>
      <c r="E1524" s="2" t="s">
        <v>30</v>
      </c>
      <c r="F1524" s="2" t="s">
        <v>23</v>
      </c>
      <c r="G1524" s="2" t="s">
        <v>24</v>
      </c>
      <c r="H1524" s="2" t="s">
        <v>18</v>
      </c>
      <c r="I1524" s="2" t="s">
        <v>17</v>
      </c>
      <c r="J1524">
        <v>0.56000000000000005</v>
      </c>
      <c r="K1524" s="4">
        <v>45006</v>
      </c>
    </row>
    <row r="1525" spans="1:11" x14ac:dyDescent="0.3">
      <c r="A1525" t="s">
        <v>3072</v>
      </c>
      <c r="B1525" s="2" t="s">
        <v>3073</v>
      </c>
      <c r="C1525">
        <v>69</v>
      </c>
      <c r="D1525" s="2" t="s">
        <v>13</v>
      </c>
      <c r="E1525" s="2" t="s">
        <v>14</v>
      </c>
      <c r="F1525" s="2" t="s">
        <v>37</v>
      </c>
      <c r="G1525" s="2" t="s">
        <v>24</v>
      </c>
      <c r="H1525" s="2" t="s">
        <v>17</v>
      </c>
      <c r="I1525" s="2" t="s">
        <v>17</v>
      </c>
      <c r="J1525">
        <v>0.86</v>
      </c>
      <c r="K1525" s="4">
        <v>44658</v>
      </c>
    </row>
    <row r="1526" spans="1:11" x14ac:dyDescent="0.3">
      <c r="A1526" t="s">
        <v>3074</v>
      </c>
      <c r="B1526" s="2" t="s">
        <v>3075</v>
      </c>
      <c r="C1526">
        <v>18</v>
      </c>
      <c r="D1526" s="2" t="s">
        <v>13</v>
      </c>
      <c r="E1526" s="2" t="s">
        <v>22</v>
      </c>
      <c r="F1526" s="2" t="s">
        <v>23</v>
      </c>
      <c r="G1526" s="2" t="s">
        <v>81</v>
      </c>
      <c r="H1526" s="2" t="s">
        <v>18</v>
      </c>
      <c r="I1526" s="2" t="s">
        <v>17</v>
      </c>
      <c r="J1526">
        <v>0.62</v>
      </c>
      <c r="K1526" s="4">
        <v>44549</v>
      </c>
    </row>
    <row r="1527" spans="1:11" x14ac:dyDescent="0.3">
      <c r="A1527" t="s">
        <v>3076</v>
      </c>
      <c r="B1527" s="2" t="s">
        <v>3077</v>
      </c>
      <c r="C1527">
        <v>21</v>
      </c>
      <c r="D1527" s="2" t="s">
        <v>13</v>
      </c>
      <c r="E1527" s="2" t="s">
        <v>22</v>
      </c>
      <c r="F1527" s="2" t="s">
        <v>37</v>
      </c>
      <c r="G1527" s="2" t="s">
        <v>27</v>
      </c>
      <c r="H1527" s="2" t="s">
        <v>17</v>
      </c>
      <c r="I1527" s="2" t="s">
        <v>18</v>
      </c>
      <c r="J1527">
        <v>0.43</v>
      </c>
      <c r="K1527" s="4">
        <v>44036</v>
      </c>
    </row>
    <row r="1528" spans="1:11" x14ac:dyDescent="0.3">
      <c r="A1528" t="s">
        <v>3078</v>
      </c>
      <c r="B1528" s="2" t="s">
        <v>3079</v>
      </c>
      <c r="C1528">
        <v>26</v>
      </c>
      <c r="D1528" s="2" t="s">
        <v>21</v>
      </c>
      <c r="E1528" s="2" t="s">
        <v>30</v>
      </c>
      <c r="F1528" s="2" t="s">
        <v>23</v>
      </c>
      <c r="G1528" s="2" t="s">
        <v>24</v>
      </c>
      <c r="H1528" s="2" t="s">
        <v>18</v>
      </c>
      <c r="I1528" s="2" t="s">
        <v>17</v>
      </c>
      <c r="J1528">
        <v>0.28000000000000003</v>
      </c>
      <c r="K1528" s="4">
        <v>43585</v>
      </c>
    </row>
    <row r="1529" spans="1:11" x14ac:dyDescent="0.3">
      <c r="A1529" t="s">
        <v>3080</v>
      </c>
      <c r="B1529" s="2" t="s">
        <v>3081</v>
      </c>
      <c r="C1529">
        <v>58</v>
      </c>
      <c r="D1529" s="2" t="s">
        <v>13</v>
      </c>
      <c r="E1529" s="2" t="s">
        <v>30</v>
      </c>
      <c r="F1529" s="2" t="s">
        <v>23</v>
      </c>
      <c r="G1529" s="2" t="s">
        <v>81</v>
      </c>
      <c r="H1529" s="2" t="s">
        <v>18</v>
      </c>
      <c r="I1529" s="2" t="s">
        <v>18</v>
      </c>
      <c r="J1529">
        <v>0.39</v>
      </c>
      <c r="K1529" s="4">
        <v>43670</v>
      </c>
    </row>
    <row r="1530" spans="1:11" x14ac:dyDescent="0.3">
      <c r="A1530" t="s">
        <v>3082</v>
      </c>
      <c r="B1530" s="2" t="s">
        <v>3083</v>
      </c>
      <c r="C1530">
        <v>36</v>
      </c>
      <c r="D1530" s="2" t="s">
        <v>13</v>
      </c>
      <c r="E1530" s="2" t="s">
        <v>22</v>
      </c>
      <c r="F1530" s="2" t="s">
        <v>31</v>
      </c>
      <c r="G1530" s="2" t="s">
        <v>24</v>
      </c>
      <c r="H1530" s="2" t="s">
        <v>18</v>
      </c>
      <c r="I1530" s="2" t="s">
        <v>18</v>
      </c>
      <c r="J1530">
        <v>1</v>
      </c>
      <c r="K1530" s="4">
        <v>43217</v>
      </c>
    </row>
    <row r="1531" spans="1:11" x14ac:dyDescent="0.3">
      <c r="A1531" t="s">
        <v>3084</v>
      </c>
      <c r="B1531" s="2" t="s">
        <v>3085</v>
      </c>
      <c r="C1531">
        <v>26</v>
      </c>
      <c r="D1531" s="2" t="s">
        <v>13</v>
      </c>
      <c r="E1531" s="2" t="s">
        <v>14</v>
      </c>
      <c r="F1531" s="2" t="s">
        <v>37</v>
      </c>
      <c r="G1531" s="2" t="s">
        <v>27</v>
      </c>
      <c r="H1531" s="2" t="s">
        <v>18</v>
      </c>
      <c r="I1531" s="2" t="s">
        <v>18</v>
      </c>
      <c r="J1531">
        <v>0.48</v>
      </c>
      <c r="K1531" s="4">
        <v>44345</v>
      </c>
    </row>
    <row r="1532" spans="1:11" x14ac:dyDescent="0.3">
      <c r="A1532" t="s">
        <v>3086</v>
      </c>
      <c r="B1532" s="2" t="s">
        <v>3087</v>
      </c>
      <c r="C1532">
        <v>51</v>
      </c>
      <c r="D1532" s="2" t="s">
        <v>21</v>
      </c>
      <c r="E1532" s="2" t="s">
        <v>14</v>
      </c>
      <c r="F1532" s="2" t="s">
        <v>31</v>
      </c>
      <c r="G1532" s="2" t="s">
        <v>16</v>
      </c>
      <c r="H1532" s="2" t="s">
        <v>18</v>
      </c>
      <c r="I1532" s="2" t="s">
        <v>18</v>
      </c>
      <c r="J1532">
        <v>0.21</v>
      </c>
      <c r="K1532" s="4">
        <v>44135</v>
      </c>
    </row>
    <row r="1533" spans="1:11" x14ac:dyDescent="0.3">
      <c r="A1533" t="s">
        <v>3088</v>
      </c>
      <c r="B1533" s="2" t="s">
        <v>3089</v>
      </c>
      <c r="C1533">
        <v>57</v>
      </c>
      <c r="D1533" s="2" t="s">
        <v>21</v>
      </c>
      <c r="E1533" s="2" t="s">
        <v>30</v>
      </c>
      <c r="F1533" s="2" t="s">
        <v>15</v>
      </c>
      <c r="G1533" s="2" t="s">
        <v>66</v>
      </c>
      <c r="H1533" s="2" t="s">
        <v>17</v>
      </c>
      <c r="I1533" s="2" t="s">
        <v>17</v>
      </c>
      <c r="J1533">
        <v>0.68</v>
      </c>
      <c r="K1533" s="4">
        <v>44644</v>
      </c>
    </row>
    <row r="1534" spans="1:11" x14ac:dyDescent="0.3">
      <c r="A1534" t="s">
        <v>3090</v>
      </c>
      <c r="B1534" s="2" t="s">
        <v>3091</v>
      </c>
      <c r="C1534">
        <v>59</v>
      </c>
      <c r="D1534" s="2" t="s">
        <v>21</v>
      </c>
      <c r="E1534" s="2" t="s">
        <v>30</v>
      </c>
      <c r="F1534" s="2" t="s">
        <v>31</v>
      </c>
      <c r="G1534" s="2" t="s">
        <v>16</v>
      </c>
      <c r="H1534" s="2" t="s">
        <v>18</v>
      </c>
      <c r="I1534" s="2" t="s">
        <v>18</v>
      </c>
      <c r="J1534">
        <v>0.66</v>
      </c>
      <c r="K1534" s="4">
        <v>43964</v>
      </c>
    </row>
    <row r="1535" spans="1:11" x14ac:dyDescent="0.3">
      <c r="A1535" t="s">
        <v>3092</v>
      </c>
      <c r="B1535" s="2" t="s">
        <v>3093</v>
      </c>
      <c r="C1535">
        <v>37</v>
      </c>
      <c r="D1535" s="2" t="s">
        <v>13</v>
      </c>
      <c r="E1535" s="2" t="s">
        <v>14</v>
      </c>
      <c r="F1535" s="2" t="s">
        <v>37</v>
      </c>
      <c r="G1535" s="2" t="s">
        <v>81</v>
      </c>
      <c r="H1535" s="2" t="s">
        <v>18</v>
      </c>
      <c r="I1535" s="2" t="s">
        <v>18</v>
      </c>
      <c r="J1535">
        <v>0.49</v>
      </c>
      <c r="K1535" s="4">
        <v>43665</v>
      </c>
    </row>
    <row r="1536" spans="1:11" x14ac:dyDescent="0.3">
      <c r="A1536" t="s">
        <v>3094</v>
      </c>
      <c r="B1536" s="2" t="s">
        <v>3095</v>
      </c>
      <c r="C1536">
        <v>56</v>
      </c>
      <c r="D1536" s="2" t="s">
        <v>21</v>
      </c>
      <c r="E1536" s="2" t="s">
        <v>14</v>
      </c>
      <c r="F1536" s="2" t="s">
        <v>31</v>
      </c>
      <c r="G1536" s="2" t="s">
        <v>27</v>
      </c>
      <c r="H1536" s="2" t="s">
        <v>18</v>
      </c>
      <c r="I1536" s="2" t="s">
        <v>17</v>
      </c>
      <c r="J1536">
        <v>0.41</v>
      </c>
      <c r="K1536" s="4">
        <v>43301</v>
      </c>
    </row>
    <row r="1537" spans="1:11" x14ac:dyDescent="0.3">
      <c r="A1537" t="s">
        <v>3096</v>
      </c>
      <c r="B1537" s="2" t="s">
        <v>3097</v>
      </c>
      <c r="C1537">
        <v>64</v>
      </c>
      <c r="D1537" s="2" t="s">
        <v>21</v>
      </c>
      <c r="E1537" s="2" t="s">
        <v>22</v>
      </c>
      <c r="F1537" s="2" t="s">
        <v>37</v>
      </c>
      <c r="G1537" s="2" t="s">
        <v>66</v>
      </c>
      <c r="H1537" s="2" t="s">
        <v>17</v>
      </c>
      <c r="I1537" s="2" t="s">
        <v>18</v>
      </c>
      <c r="J1537">
        <v>0.48</v>
      </c>
      <c r="K1537" s="4">
        <v>43925</v>
      </c>
    </row>
    <row r="1538" spans="1:11" x14ac:dyDescent="0.3">
      <c r="A1538" t="s">
        <v>3098</v>
      </c>
      <c r="B1538" s="2" t="s">
        <v>3099</v>
      </c>
      <c r="C1538">
        <v>64</v>
      </c>
      <c r="D1538" s="2" t="s">
        <v>13</v>
      </c>
      <c r="E1538" s="2" t="s">
        <v>22</v>
      </c>
      <c r="F1538" s="2" t="s">
        <v>31</v>
      </c>
      <c r="G1538" s="2" t="s">
        <v>27</v>
      </c>
      <c r="H1538" s="2" t="s">
        <v>18</v>
      </c>
      <c r="I1538" s="2" t="s">
        <v>18</v>
      </c>
      <c r="J1538">
        <v>0.3</v>
      </c>
      <c r="K1538" s="4">
        <v>44669</v>
      </c>
    </row>
    <row r="1539" spans="1:11" x14ac:dyDescent="0.3">
      <c r="A1539" t="s">
        <v>3100</v>
      </c>
      <c r="B1539" s="2" t="s">
        <v>3101</v>
      </c>
      <c r="C1539">
        <v>24</v>
      </c>
      <c r="D1539" s="2" t="s">
        <v>13</v>
      </c>
      <c r="E1539" s="2" t="s">
        <v>30</v>
      </c>
      <c r="F1539" s="2" t="s">
        <v>31</v>
      </c>
      <c r="G1539" s="2" t="s">
        <v>81</v>
      </c>
      <c r="H1539" s="2" t="s">
        <v>18</v>
      </c>
      <c r="I1539" s="2" t="s">
        <v>18</v>
      </c>
      <c r="J1539">
        <v>0.44</v>
      </c>
      <c r="K1539" s="4">
        <v>43375</v>
      </c>
    </row>
    <row r="1540" spans="1:11" x14ac:dyDescent="0.3">
      <c r="A1540" t="s">
        <v>3102</v>
      </c>
      <c r="B1540" s="2" t="s">
        <v>3103</v>
      </c>
      <c r="C1540">
        <v>21</v>
      </c>
      <c r="D1540" s="2" t="s">
        <v>21</v>
      </c>
      <c r="E1540" s="2" t="s">
        <v>30</v>
      </c>
      <c r="F1540" s="2" t="s">
        <v>23</v>
      </c>
      <c r="G1540" s="2" t="s">
        <v>66</v>
      </c>
      <c r="H1540" s="2" t="s">
        <v>18</v>
      </c>
      <c r="I1540" s="2" t="s">
        <v>18</v>
      </c>
      <c r="J1540">
        <v>0.41</v>
      </c>
      <c r="K1540" s="4">
        <v>43349</v>
      </c>
    </row>
    <row r="1541" spans="1:11" x14ac:dyDescent="0.3">
      <c r="A1541" t="s">
        <v>3104</v>
      </c>
      <c r="B1541" s="2" t="s">
        <v>3105</v>
      </c>
      <c r="C1541">
        <v>30</v>
      </c>
      <c r="D1541" s="2" t="s">
        <v>21</v>
      </c>
      <c r="E1541" s="2" t="s">
        <v>22</v>
      </c>
      <c r="F1541" s="2" t="s">
        <v>23</v>
      </c>
      <c r="G1541" s="2" t="s">
        <v>27</v>
      </c>
      <c r="H1541" s="2" t="s">
        <v>18</v>
      </c>
      <c r="I1541" s="2" t="s">
        <v>17</v>
      </c>
      <c r="J1541">
        <v>0.39</v>
      </c>
      <c r="K1541" s="4">
        <v>44296</v>
      </c>
    </row>
    <row r="1542" spans="1:11" x14ac:dyDescent="0.3">
      <c r="A1542" t="s">
        <v>3106</v>
      </c>
      <c r="B1542" s="2" t="s">
        <v>3107</v>
      </c>
      <c r="C1542">
        <v>66</v>
      </c>
      <c r="D1542" s="2" t="s">
        <v>21</v>
      </c>
      <c r="E1542" s="2" t="s">
        <v>22</v>
      </c>
      <c r="F1542" s="2" t="s">
        <v>31</v>
      </c>
      <c r="G1542" s="2" t="s">
        <v>81</v>
      </c>
      <c r="H1542" s="2" t="s">
        <v>17</v>
      </c>
      <c r="I1542" s="2" t="s">
        <v>18</v>
      </c>
      <c r="J1542">
        <v>0</v>
      </c>
      <c r="K1542" s="4">
        <v>44707</v>
      </c>
    </row>
    <row r="1543" spans="1:11" x14ac:dyDescent="0.3">
      <c r="A1543" t="s">
        <v>3108</v>
      </c>
      <c r="B1543" s="2" t="s">
        <v>3109</v>
      </c>
      <c r="C1543">
        <v>21</v>
      </c>
      <c r="D1543" s="2" t="s">
        <v>21</v>
      </c>
      <c r="E1543" s="2" t="s">
        <v>22</v>
      </c>
      <c r="F1543" s="2" t="s">
        <v>31</v>
      </c>
      <c r="G1543" s="2" t="s">
        <v>27</v>
      </c>
      <c r="H1543" s="2" t="s">
        <v>18</v>
      </c>
      <c r="I1543" s="2" t="s">
        <v>18</v>
      </c>
      <c r="J1543">
        <v>0.33</v>
      </c>
      <c r="K1543" s="4">
        <v>45046</v>
      </c>
    </row>
    <row r="1544" spans="1:11" x14ac:dyDescent="0.3">
      <c r="A1544" t="s">
        <v>3110</v>
      </c>
      <c r="B1544" s="2" t="s">
        <v>3111</v>
      </c>
      <c r="C1544">
        <v>40</v>
      </c>
      <c r="D1544" s="2" t="s">
        <v>21</v>
      </c>
      <c r="E1544" s="2" t="s">
        <v>22</v>
      </c>
      <c r="F1544" s="2" t="s">
        <v>23</v>
      </c>
      <c r="G1544" s="2" t="s">
        <v>24</v>
      </c>
      <c r="H1544" s="2" t="s">
        <v>17</v>
      </c>
      <c r="I1544" s="2" t="s">
        <v>18</v>
      </c>
      <c r="J1544">
        <v>0.78</v>
      </c>
      <c r="K1544" s="4">
        <v>43282</v>
      </c>
    </row>
    <row r="1545" spans="1:11" x14ac:dyDescent="0.3">
      <c r="A1545" t="s">
        <v>3112</v>
      </c>
      <c r="B1545" s="2" t="s">
        <v>3113</v>
      </c>
      <c r="C1545">
        <v>51</v>
      </c>
      <c r="D1545" s="2" t="s">
        <v>21</v>
      </c>
      <c r="E1545" s="2" t="s">
        <v>22</v>
      </c>
      <c r="F1545" s="2" t="s">
        <v>31</v>
      </c>
      <c r="G1545" s="2" t="s">
        <v>81</v>
      </c>
      <c r="H1545" s="2" t="s">
        <v>17</v>
      </c>
      <c r="I1545" s="2" t="s">
        <v>18</v>
      </c>
      <c r="J1545">
        <v>0.41</v>
      </c>
      <c r="K1545" s="4">
        <v>43468</v>
      </c>
    </row>
    <row r="1546" spans="1:11" x14ac:dyDescent="0.3">
      <c r="A1546" t="s">
        <v>3114</v>
      </c>
      <c r="B1546" s="2" t="s">
        <v>3115</v>
      </c>
      <c r="C1546">
        <v>52</v>
      </c>
      <c r="D1546" s="2" t="s">
        <v>13</v>
      </c>
      <c r="E1546" s="2" t="s">
        <v>30</v>
      </c>
      <c r="F1546" s="2" t="s">
        <v>15</v>
      </c>
      <c r="G1546" s="2" t="s">
        <v>32</v>
      </c>
      <c r="H1546" s="2" t="s">
        <v>18</v>
      </c>
      <c r="I1546" s="2" t="s">
        <v>18</v>
      </c>
      <c r="J1546">
        <v>0.55000000000000004</v>
      </c>
      <c r="K1546" s="4">
        <v>45229</v>
      </c>
    </row>
    <row r="1547" spans="1:11" x14ac:dyDescent="0.3">
      <c r="A1547" t="s">
        <v>3116</v>
      </c>
      <c r="B1547" s="2" t="s">
        <v>3117</v>
      </c>
      <c r="C1547">
        <v>62</v>
      </c>
      <c r="D1547" s="2" t="s">
        <v>13</v>
      </c>
      <c r="E1547" s="2" t="s">
        <v>30</v>
      </c>
      <c r="F1547" s="2" t="s">
        <v>15</v>
      </c>
      <c r="G1547" s="2" t="s">
        <v>24</v>
      </c>
      <c r="H1547" s="2" t="s">
        <v>18</v>
      </c>
      <c r="I1547" s="2" t="s">
        <v>17</v>
      </c>
      <c r="J1547">
        <v>0.39</v>
      </c>
      <c r="K1547" s="4">
        <v>43315</v>
      </c>
    </row>
    <row r="1548" spans="1:11" x14ac:dyDescent="0.3">
      <c r="A1548" t="s">
        <v>3118</v>
      </c>
      <c r="B1548" s="2" t="s">
        <v>3119</v>
      </c>
      <c r="C1548">
        <v>40</v>
      </c>
      <c r="D1548" s="2" t="s">
        <v>13</v>
      </c>
      <c r="E1548" s="2" t="s">
        <v>14</v>
      </c>
      <c r="F1548" s="2" t="s">
        <v>23</v>
      </c>
      <c r="G1548" s="2" t="s">
        <v>66</v>
      </c>
      <c r="H1548" s="2" t="s">
        <v>18</v>
      </c>
      <c r="I1548" s="2" t="s">
        <v>17</v>
      </c>
      <c r="J1548">
        <v>0.6</v>
      </c>
      <c r="K1548" s="4">
        <v>44371</v>
      </c>
    </row>
    <row r="1549" spans="1:11" x14ac:dyDescent="0.3">
      <c r="A1549" t="s">
        <v>3120</v>
      </c>
      <c r="B1549" s="2" t="s">
        <v>3121</v>
      </c>
      <c r="C1549">
        <v>58</v>
      </c>
      <c r="D1549" s="2" t="s">
        <v>13</v>
      </c>
      <c r="E1549" s="2" t="s">
        <v>14</v>
      </c>
      <c r="F1549" s="2" t="s">
        <v>23</v>
      </c>
      <c r="G1549" s="2" t="s">
        <v>66</v>
      </c>
      <c r="H1549" s="2" t="s">
        <v>17</v>
      </c>
      <c r="I1549" s="2" t="s">
        <v>17</v>
      </c>
      <c r="J1549">
        <v>0.62</v>
      </c>
      <c r="K1549" s="4">
        <v>44445</v>
      </c>
    </row>
    <row r="1550" spans="1:11" x14ac:dyDescent="0.3">
      <c r="A1550" t="s">
        <v>3122</v>
      </c>
      <c r="B1550" s="2" t="s">
        <v>3123</v>
      </c>
      <c r="C1550">
        <v>56</v>
      </c>
      <c r="D1550" s="2" t="s">
        <v>13</v>
      </c>
      <c r="E1550" s="2" t="s">
        <v>14</v>
      </c>
      <c r="F1550" s="2" t="s">
        <v>37</v>
      </c>
      <c r="G1550" s="2" t="s">
        <v>24</v>
      </c>
      <c r="H1550" s="2" t="s">
        <v>18</v>
      </c>
      <c r="I1550" s="2" t="s">
        <v>18</v>
      </c>
      <c r="J1550">
        <v>0.56999999999999995</v>
      </c>
      <c r="K1550" s="4">
        <v>43207</v>
      </c>
    </row>
    <row r="1551" spans="1:11" x14ac:dyDescent="0.3">
      <c r="A1551" t="s">
        <v>3124</v>
      </c>
      <c r="B1551" s="2" t="s">
        <v>3125</v>
      </c>
      <c r="C1551">
        <v>52</v>
      </c>
      <c r="D1551" s="2" t="s">
        <v>13</v>
      </c>
      <c r="E1551" s="2" t="s">
        <v>14</v>
      </c>
      <c r="F1551" s="2" t="s">
        <v>23</v>
      </c>
      <c r="G1551" s="2" t="s">
        <v>66</v>
      </c>
      <c r="H1551" s="2" t="s">
        <v>17</v>
      </c>
      <c r="I1551" s="2" t="s">
        <v>18</v>
      </c>
      <c r="J1551">
        <v>1</v>
      </c>
      <c r="K1551" s="4">
        <v>43314</v>
      </c>
    </row>
    <row r="1552" spans="1:11" x14ac:dyDescent="0.3">
      <c r="A1552" t="s">
        <v>3126</v>
      </c>
      <c r="B1552" s="2" t="s">
        <v>3127</v>
      </c>
      <c r="C1552">
        <v>63</v>
      </c>
      <c r="D1552" s="2" t="s">
        <v>13</v>
      </c>
      <c r="E1552" s="2" t="s">
        <v>22</v>
      </c>
      <c r="F1552" s="2" t="s">
        <v>15</v>
      </c>
      <c r="G1552" s="2" t="s">
        <v>32</v>
      </c>
      <c r="H1552" s="2" t="s">
        <v>18</v>
      </c>
      <c r="I1552" s="2" t="s">
        <v>18</v>
      </c>
      <c r="J1552">
        <v>0.65</v>
      </c>
      <c r="K1552" s="4">
        <v>43716</v>
      </c>
    </row>
    <row r="1553" spans="1:11" x14ac:dyDescent="0.3">
      <c r="A1553" t="s">
        <v>3128</v>
      </c>
      <c r="B1553" s="2" t="s">
        <v>3129</v>
      </c>
      <c r="C1553">
        <v>19</v>
      </c>
      <c r="D1553" s="2" t="s">
        <v>21</v>
      </c>
      <c r="E1553" s="2" t="s">
        <v>14</v>
      </c>
      <c r="F1553" s="2" t="s">
        <v>37</v>
      </c>
      <c r="G1553" s="2" t="s">
        <v>16</v>
      </c>
      <c r="H1553" s="2" t="s">
        <v>17</v>
      </c>
      <c r="I1553" s="2" t="s">
        <v>17</v>
      </c>
      <c r="J1553">
        <v>0.73</v>
      </c>
      <c r="K1553" s="4">
        <v>43569</v>
      </c>
    </row>
    <row r="1554" spans="1:11" x14ac:dyDescent="0.3">
      <c r="A1554" t="s">
        <v>3130</v>
      </c>
      <c r="B1554" s="2" t="s">
        <v>3131</v>
      </c>
      <c r="C1554">
        <v>66</v>
      </c>
      <c r="D1554" s="2" t="s">
        <v>21</v>
      </c>
      <c r="E1554" s="2" t="s">
        <v>22</v>
      </c>
      <c r="F1554" s="2" t="s">
        <v>31</v>
      </c>
      <c r="G1554" s="2" t="s">
        <v>32</v>
      </c>
      <c r="H1554" s="2" t="s">
        <v>18</v>
      </c>
      <c r="I1554" s="2" t="s">
        <v>18</v>
      </c>
      <c r="J1554">
        <v>0.59</v>
      </c>
      <c r="K1554" s="4">
        <v>43749</v>
      </c>
    </row>
    <row r="1555" spans="1:11" x14ac:dyDescent="0.3">
      <c r="A1555" t="s">
        <v>3132</v>
      </c>
      <c r="B1555" s="2" t="s">
        <v>3133</v>
      </c>
      <c r="C1555">
        <v>52</v>
      </c>
      <c r="D1555" s="2" t="s">
        <v>13</v>
      </c>
      <c r="E1555" s="2" t="s">
        <v>14</v>
      </c>
      <c r="F1555" s="2" t="s">
        <v>31</v>
      </c>
      <c r="G1555" s="2" t="s">
        <v>16</v>
      </c>
      <c r="H1555" s="2" t="s">
        <v>17</v>
      </c>
      <c r="I1555" s="2" t="s">
        <v>17</v>
      </c>
      <c r="J1555">
        <v>0.55000000000000004</v>
      </c>
      <c r="K1555" s="4">
        <v>43757</v>
      </c>
    </row>
    <row r="1556" spans="1:11" x14ac:dyDescent="0.3">
      <c r="A1556" t="s">
        <v>3134</v>
      </c>
      <c r="B1556" s="2" t="s">
        <v>3135</v>
      </c>
      <c r="C1556">
        <v>66</v>
      </c>
      <c r="D1556" s="2" t="s">
        <v>21</v>
      </c>
      <c r="E1556" s="2" t="s">
        <v>30</v>
      </c>
      <c r="F1556" s="2" t="s">
        <v>37</v>
      </c>
      <c r="G1556" s="2" t="s">
        <v>27</v>
      </c>
      <c r="H1556" s="2" t="s">
        <v>18</v>
      </c>
      <c r="I1556" s="2" t="s">
        <v>17</v>
      </c>
      <c r="J1556">
        <v>0.55000000000000004</v>
      </c>
      <c r="K1556" s="4">
        <v>43122</v>
      </c>
    </row>
    <row r="1557" spans="1:11" x14ac:dyDescent="0.3">
      <c r="A1557" t="s">
        <v>3136</v>
      </c>
      <c r="B1557" s="2" t="s">
        <v>3137</v>
      </c>
      <c r="C1557">
        <v>47</v>
      </c>
      <c r="D1557" s="2" t="s">
        <v>21</v>
      </c>
      <c r="E1557" s="2" t="s">
        <v>22</v>
      </c>
      <c r="F1557" s="2" t="s">
        <v>31</v>
      </c>
      <c r="G1557" s="2" t="s">
        <v>24</v>
      </c>
      <c r="H1557" s="2" t="s">
        <v>17</v>
      </c>
      <c r="I1557" s="2" t="s">
        <v>17</v>
      </c>
      <c r="J1557">
        <v>0.7</v>
      </c>
      <c r="K1557" s="4">
        <v>43112</v>
      </c>
    </row>
    <row r="1558" spans="1:11" x14ac:dyDescent="0.3">
      <c r="A1558" t="s">
        <v>3138</v>
      </c>
      <c r="B1558" s="2" t="s">
        <v>3139</v>
      </c>
      <c r="C1558">
        <v>42</v>
      </c>
      <c r="D1558" s="2" t="s">
        <v>21</v>
      </c>
      <c r="E1558" s="2" t="s">
        <v>14</v>
      </c>
      <c r="F1558" s="2" t="s">
        <v>15</v>
      </c>
      <c r="G1558" s="2" t="s">
        <v>24</v>
      </c>
      <c r="H1558" s="2" t="s">
        <v>17</v>
      </c>
      <c r="I1558" s="2" t="s">
        <v>17</v>
      </c>
      <c r="J1558">
        <v>0.41</v>
      </c>
      <c r="K1558" s="4">
        <v>44563</v>
      </c>
    </row>
    <row r="1559" spans="1:11" x14ac:dyDescent="0.3">
      <c r="A1559" t="s">
        <v>3140</v>
      </c>
      <c r="B1559" s="2" t="s">
        <v>3141</v>
      </c>
      <c r="C1559">
        <v>55</v>
      </c>
      <c r="D1559" s="2" t="s">
        <v>13</v>
      </c>
      <c r="E1559" s="2" t="s">
        <v>22</v>
      </c>
      <c r="F1559" s="2" t="s">
        <v>23</v>
      </c>
      <c r="G1559" s="2" t="s">
        <v>24</v>
      </c>
      <c r="H1559" s="2" t="s">
        <v>17</v>
      </c>
      <c r="I1559" s="2" t="s">
        <v>17</v>
      </c>
      <c r="J1559">
        <v>0.4</v>
      </c>
      <c r="K1559" s="4">
        <v>43128</v>
      </c>
    </row>
    <row r="1560" spans="1:11" x14ac:dyDescent="0.3">
      <c r="A1560" t="s">
        <v>3142</v>
      </c>
      <c r="B1560" s="2" t="s">
        <v>3143</v>
      </c>
      <c r="C1560">
        <v>43</v>
      </c>
      <c r="D1560" s="2" t="s">
        <v>21</v>
      </c>
      <c r="E1560" s="2" t="s">
        <v>14</v>
      </c>
      <c r="F1560" s="2" t="s">
        <v>31</v>
      </c>
      <c r="G1560" s="2" t="s">
        <v>81</v>
      </c>
      <c r="H1560" s="2" t="s">
        <v>17</v>
      </c>
      <c r="I1560" s="2" t="s">
        <v>18</v>
      </c>
      <c r="J1560">
        <v>0.62</v>
      </c>
      <c r="K1560" s="4">
        <v>44312</v>
      </c>
    </row>
    <row r="1561" spans="1:11" x14ac:dyDescent="0.3">
      <c r="A1561" t="s">
        <v>3144</v>
      </c>
      <c r="B1561" s="2" t="s">
        <v>3145</v>
      </c>
      <c r="C1561">
        <v>55</v>
      </c>
      <c r="D1561" s="2" t="s">
        <v>13</v>
      </c>
      <c r="E1561" s="2" t="s">
        <v>30</v>
      </c>
      <c r="F1561" s="2" t="s">
        <v>31</v>
      </c>
      <c r="G1561" s="2" t="s">
        <v>3325</v>
      </c>
      <c r="H1561" s="2" t="s">
        <v>17</v>
      </c>
      <c r="I1561" s="2" t="s">
        <v>18</v>
      </c>
      <c r="J1561">
        <v>0.43</v>
      </c>
      <c r="K1561" s="4">
        <v>43767</v>
      </c>
    </row>
    <row r="1562" spans="1:11" x14ac:dyDescent="0.3">
      <c r="A1562" t="s">
        <v>3146</v>
      </c>
      <c r="B1562" s="2" t="s">
        <v>3147</v>
      </c>
      <c r="C1562">
        <v>44</v>
      </c>
      <c r="D1562" s="2" t="s">
        <v>13</v>
      </c>
      <c r="E1562" s="2" t="s">
        <v>22</v>
      </c>
      <c r="F1562" s="2" t="s">
        <v>31</v>
      </c>
      <c r="G1562" s="2" t="s">
        <v>32</v>
      </c>
      <c r="H1562" s="2" t="s">
        <v>17</v>
      </c>
      <c r="I1562" s="2" t="s">
        <v>18</v>
      </c>
      <c r="J1562">
        <v>1</v>
      </c>
      <c r="K1562" s="4">
        <v>43551</v>
      </c>
    </row>
    <row r="1563" spans="1:11" x14ac:dyDescent="0.3">
      <c r="A1563" t="s">
        <v>3148</v>
      </c>
      <c r="B1563" s="2" t="s">
        <v>3149</v>
      </c>
      <c r="C1563">
        <v>32</v>
      </c>
      <c r="D1563" s="2" t="s">
        <v>13</v>
      </c>
      <c r="E1563" s="2" t="s">
        <v>30</v>
      </c>
      <c r="F1563" s="2" t="s">
        <v>15</v>
      </c>
      <c r="G1563" s="2" t="s">
        <v>32</v>
      </c>
      <c r="H1563" s="2" t="s">
        <v>17</v>
      </c>
      <c r="I1563" s="2" t="s">
        <v>18</v>
      </c>
      <c r="J1563">
        <v>0.63</v>
      </c>
      <c r="K1563" s="4">
        <v>44303</v>
      </c>
    </row>
    <row r="1564" spans="1:11" x14ac:dyDescent="0.3">
      <c r="A1564" t="s">
        <v>3150</v>
      </c>
      <c r="B1564" s="2" t="s">
        <v>3151</v>
      </c>
      <c r="C1564">
        <v>45</v>
      </c>
      <c r="D1564" s="2" t="s">
        <v>13</v>
      </c>
      <c r="E1564" s="2" t="s">
        <v>22</v>
      </c>
      <c r="F1564" s="2" t="s">
        <v>37</v>
      </c>
      <c r="G1564" s="2" t="s">
        <v>24</v>
      </c>
      <c r="H1564" s="2" t="s">
        <v>17</v>
      </c>
      <c r="I1564" s="2" t="s">
        <v>18</v>
      </c>
      <c r="J1564">
        <v>0.93</v>
      </c>
      <c r="K1564" s="4">
        <v>44383</v>
      </c>
    </row>
    <row r="1565" spans="1:11" x14ac:dyDescent="0.3">
      <c r="A1565" t="s">
        <v>3152</v>
      </c>
      <c r="B1565" s="2" t="s">
        <v>3153</v>
      </c>
      <c r="C1565">
        <v>42</v>
      </c>
      <c r="D1565" s="2" t="s">
        <v>13</v>
      </c>
      <c r="E1565" s="2" t="s">
        <v>22</v>
      </c>
      <c r="F1565" s="2" t="s">
        <v>31</v>
      </c>
      <c r="G1565" s="2" t="s">
        <v>24</v>
      </c>
      <c r="H1565" s="2" t="s">
        <v>17</v>
      </c>
      <c r="I1565" s="2" t="s">
        <v>18</v>
      </c>
      <c r="J1565">
        <v>0.56000000000000005</v>
      </c>
      <c r="K1565" s="4">
        <v>44875</v>
      </c>
    </row>
    <row r="1566" spans="1:11" x14ac:dyDescent="0.3">
      <c r="A1566" t="s">
        <v>3154</v>
      </c>
      <c r="B1566" s="2" t="s">
        <v>3155</v>
      </c>
      <c r="C1566">
        <v>40</v>
      </c>
      <c r="D1566" s="2" t="s">
        <v>21</v>
      </c>
      <c r="E1566" s="2" t="s">
        <v>14</v>
      </c>
      <c r="F1566" s="2" t="s">
        <v>37</v>
      </c>
      <c r="G1566" s="2" t="s">
        <v>66</v>
      </c>
      <c r="H1566" s="2" t="s">
        <v>17</v>
      </c>
      <c r="I1566" s="2" t="s">
        <v>18</v>
      </c>
      <c r="J1566">
        <v>0.56999999999999995</v>
      </c>
      <c r="K1566" s="4">
        <v>43647</v>
      </c>
    </row>
    <row r="1567" spans="1:11" x14ac:dyDescent="0.3">
      <c r="A1567" t="s">
        <v>3156</v>
      </c>
      <c r="B1567" s="2" t="s">
        <v>3157</v>
      </c>
      <c r="C1567">
        <v>23</v>
      </c>
      <c r="D1567" s="2" t="s">
        <v>21</v>
      </c>
      <c r="E1567" s="2" t="s">
        <v>22</v>
      </c>
      <c r="F1567" s="2" t="s">
        <v>37</v>
      </c>
      <c r="G1567" s="2" t="s">
        <v>27</v>
      </c>
      <c r="H1567" s="2" t="s">
        <v>18</v>
      </c>
      <c r="I1567" s="2" t="s">
        <v>18</v>
      </c>
      <c r="J1567">
        <v>0.1</v>
      </c>
      <c r="K1567" s="4">
        <v>43281</v>
      </c>
    </row>
    <row r="1568" spans="1:11" x14ac:dyDescent="0.3">
      <c r="A1568" t="s">
        <v>3158</v>
      </c>
      <c r="B1568" s="2" t="s">
        <v>3159</v>
      </c>
      <c r="C1568">
        <v>18</v>
      </c>
      <c r="D1568" s="2" t="s">
        <v>13</v>
      </c>
      <c r="E1568" s="2" t="s">
        <v>22</v>
      </c>
      <c r="F1568" s="2" t="s">
        <v>23</v>
      </c>
      <c r="G1568" s="2" t="s">
        <v>16</v>
      </c>
      <c r="H1568" s="2" t="s">
        <v>17</v>
      </c>
      <c r="I1568" s="2" t="s">
        <v>17</v>
      </c>
      <c r="J1568">
        <v>0.23</v>
      </c>
      <c r="K1568" s="4">
        <v>44122</v>
      </c>
    </row>
    <row r="1569" spans="1:11" x14ac:dyDescent="0.3">
      <c r="A1569" t="s">
        <v>3160</v>
      </c>
      <c r="B1569" s="2" t="s">
        <v>3161</v>
      </c>
      <c r="C1569">
        <v>41</v>
      </c>
      <c r="D1569" s="2" t="s">
        <v>13</v>
      </c>
      <c r="E1569" s="2" t="s">
        <v>14</v>
      </c>
      <c r="F1569" s="2" t="s">
        <v>23</v>
      </c>
      <c r="G1569" s="2" t="s">
        <v>24</v>
      </c>
      <c r="H1569" s="2" t="s">
        <v>17</v>
      </c>
      <c r="I1569" s="2" t="s">
        <v>18</v>
      </c>
      <c r="J1569">
        <v>0.33</v>
      </c>
      <c r="K1569" s="4">
        <v>43960</v>
      </c>
    </row>
    <row r="1570" spans="1:11" x14ac:dyDescent="0.3">
      <c r="A1570" t="s">
        <v>3162</v>
      </c>
      <c r="B1570" s="2" t="s">
        <v>3163</v>
      </c>
      <c r="C1570">
        <v>22</v>
      </c>
      <c r="D1570" s="2" t="s">
        <v>21</v>
      </c>
      <c r="E1570" s="2" t="s">
        <v>14</v>
      </c>
      <c r="F1570" s="2" t="s">
        <v>23</v>
      </c>
      <c r="G1570" s="2" t="s">
        <v>27</v>
      </c>
      <c r="H1570" s="2" t="s">
        <v>17</v>
      </c>
      <c r="I1570" s="2" t="s">
        <v>18</v>
      </c>
      <c r="J1570">
        <v>0.37</v>
      </c>
      <c r="K1570" s="4">
        <v>44255</v>
      </c>
    </row>
    <row r="1571" spans="1:11" x14ac:dyDescent="0.3">
      <c r="A1571" t="s">
        <v>3164</v>
      </c>
      <c r="B1571" s="2" t="s">
        <v>3165</v>
      </c>
      <c r="C1571">
        <v>48</v>
      </c>
      <c r="D1571" s="2" t="s">
        <v>21</v>
      </c>
      <c r="E1571" s="2" t="s">
        <v>22</v>
      </c>
      <c r="F1571" s="2" t="s">
        <v>15</v>
      </c>
      <c r="G1571" s="2" t="s">
        <v>66</v>
      </c>
      <c r="H1571" s="2" t="s">
        <v>18</v>
      </c>
      <c r="I1571" s="2" t="s">
        <v>17</v>
      </c>
      <c r="J1571">
        <v>0.05</v>
      </c>
      <c r="K1571" s="4">
        <v>44203</v>
      </c>
    </row>
    <row r="1572" spans="1:11" x14ac:dyDescent="0.3">
      <c r="A1572" t="s">
        <v>3166</v>
      </c>
      <c r="B1572" s="2" t="s">
        <v>3167</v>
      </c>
      <c r="C1572">
        <v>20</v>
      </c>
      <c r="D1572" s="2" t="s">
        <v>13</v>
      </c>
      <c r="E1572" s="2" t="s">
        <v>30</v>
      </c>
      <c r="F1572" s="2" t="s">
        <v>37</v>
      </c>
      <c r="G1572" s="2" t="s">
        <v>24</v>
      </c>
      <c r="H1572" s="2" t="s">
        <v>17</v>
      </c>
      <c r="I1572" s="2" t="s">
        <v>18</v>
      </c>
      <c r="J1572">
        <v>0.68</v>
      </c>
      <c r="K1572" s="4">
        <v>43465</v>
      </c>
    </row>
    <row r="1573" spans="1:11" x14ac:dyDescent="0.3">
      <c r="A1573" t="s">
        <v>3168</v>
      </c>
      <c r="B1573" s="2" t="s">
        <v>3169</v>
      </c>
      <c r="C1573">
        <v>19</v>
      </c>
      <c r="D1573" s="2" t="s">
        <v>13</v>
      </c>
      <c r="E1573" s="2" t="s">
        <v>22</v>
      </c>
      <c r="F1573" s="2" t="s">
        <v>37</v>
      </c>
      <c r="G1573" s="2" t="s">
        <v>32</v>
      </c>
      <c r="H1573" s="2" t="s">
        <v>18</v>
      </c>
      <c r="I1573" s="2" t="s">
        <v>17</v>
      </c>
      <c r="J1573">
        <v>0.39</v>
      </c>
      <c r="K1573" s="4">
        <v>43468</v>
      </c>
    </row>
    <row r="1574" spans="1:11" x14ac:dyDescent="0.3">
      <c r="A1574" t="s">
        <v>3170</v>
      </c>
      <c r="B1574" s="2" t="s">
        <v>3171</v>
      </c>
      <c r="C1574">
        <v>41</v>
      </c>
      <c r="D1574" s="2" t="s">
        <v>13</v>
      </c>
      <c r="E1574" s="2" t="s">
        <v>22</v>
      </c>
      <c r="F1574" s="2" t="s">
        <v>15</v>
      </c>
      <c r="G1574" s="2" t="s">
        <v>24</v>
      </c>
      <c r="H1574" s="2" t="s">
        <v>17</v>
      </c>
      <c r="I1574" s="2" t="s">
        <v>18</v>
      </c>
      <c r="J1574">
        <v>0.44</v>
      </c>
      <c r="K1574" s="4">
        <v>45006</v>
      </c>
    </row>
    <row r="1575" spans="1:11" x14ac:dyDescent="0.3">
      <c r="A1575" t="s">
        <v>3172</v>
      </c>
      <c r="B1575" s="2" t="s">
        <v>3173</v>
      </c>
      <c r="C1575">
        <v>69</v>
      </c>
      <c r="D1575" s="2" t="s">
        <v>21</v>
      </c>
      <c r="E1575" s="2" t="s">
        <v>14</v>
      </c>
      <c r="F1575" s="2" t="s">
        <v>37</v>
      </c>
      <c r="G1575" s="2" t="s">
        <v>24</v>
      </c>
      <c r="H1575" s="2" t="s">
        <v>18</v>
      </c>
      <c r="I1575" s="2" t="s">
        <v>17</v>
      </c>
      <c r="J1575">
        <v>0.27</v>
      </c>
      <c r="K1575" s="4">
        <v>44374</v>
      </c>
    </row>
    <row r="1576" spans="1:11" x14ac:dyDescent="0.3">
      <c r="A1576" t="s">
        <v>3174</v>
      </c>
      <c r="B1576" s="2" t="s">
        <v>3175</v>
      </c>
      <c r="C1576">
        <v>40</v>
      </c>
      <c r="D1576" s="2" t="s">
        <v>13</v>
      </c>
      <c r="E1576" s="2" t="s">
        <v>30</v>
      </c>
      <c r="F1576" s="2" t="s">
        <v>23</v>
      </c>
      <c r="G1576" s="2" t="s">
        <v>81</v>
      </c>
      <c r="H1576" s="2" t="s">
        <v>18</v>
      </c>
      <c r="I1576" s="2" t="s">
        <v>18</v>
      </c>
      <c r="J1576">
        <v>0.24</v>
      </c>
      <c r="K1576" s="4">
        <v>44976</v>
      </c>
    </row>
    <row r="1577" spans="1:11" x14ac:dyDescent="0.3">
      <c r="A1577" t="s">
        <v>3176</v>
      </c>
      <c r="B1577" s="2" t="s">
        <v>3177</v>
      </c>
      <c r="C1577">
        <v>26</v>
      </c>
      <c r="D1577" s="2" t="s">
        <v>21</v>
      </c>
      <c r="E1577" s="2" t="s">
        <v>30</v>
      </c>
      <c r="F1577" s="2" t="s">
        <v>15</v>
      </c>
      <c r="G1577" s="2" t="s">
        <v>27</v>
      </c>
      <c r="H1577" s="2" t="s">
        <v>17</v>
      </c>
      <c r="I1577" s="2" t="s">
        <v>17</v>
      </c>
      <c r="J1577">
        <v>0.35</v>
      </c>
      <c r="K1577" s="4">
        <v>43222</v>
      </c>
    </row>
    <row r="1578" spans="1:11" x14ac:dyDescent="0.3">
      <c r="A1578" t="s">
        <v>3178</v>
      </c>
      <c r="B1578" s="2" t="s">
        <v>3179</v>
      </c>
      <c r="C1578">
        <v>67</v>
      </c>
      <c r="D1578" s="2" t="s">
        <v>21</v>
      </c>
      <c r="E1578" s="2" t="s">
        <v>14</v>
      </c>
      <c r="F1578" s="2" t="s">
        <v>15</v>
      </c>
      <c r="G1578" s="2" t="s">
        <v>81</v>
      </c>
      <c r="H1578" s="2" t="s">
        <v>17</v>
      </c>
      <c r="I1578" s="2" t="s">
        <v>18</v>
      </c>
      <c r="J1578">
        <v>0.43</v>
      </c>
      <c r="K1578" s="4">
        <v>43966</v>
      </c>
    </row>
    <row r="1579" spans="1:11" x14ac:dyDescent="0.3">
      <c r="A1579" t="s">
        <v>3180</v>
      </c>
      <c r="B1579" s="2" t="s">
        <v>3181</v>
      </c>
      <c r="C1579">
        <v>26</v>
      </c>
      <c r="D1579" s="2" t="s">
        <v>21</v>
      </c>
      <c r="E1579" s="2" t="s">
        <v>14</v>
      </c>
      <c r="F1579" s="2" t="s">
        <v>31</v>
      </c>
      <c r="G1579" s="2" t="s">
        <v>81</v>
      </c>
      <c r="H1579" s="2" t="s">
        <v>17</v>
      </c>
      <c r="I1579" s="2" t="s">
        <v>18</v>
      </c>
      <c r="J1579">
        <v>0.47</v>
      </c>
      <c r="K1579" s="4">
        <v>44656</v>
      </c>
    </row>
    <row r="1580" spans="1:11" x14ac:dyDescent="0.3">
      <c r="A1580" t="s">
        <v>3182</v>
      </c>
      <c r="B1580" s="2" t="s">
        <v>3183</v>
      </c>
      <c r="C1580">
        <v>51</v>
      </c>
      <c r="D1580" s="2" t="s">
        <v>13</v>
      </c>
      <c r="E1580" s="2" t="s">
        <v>22</v>
      </c>
      <c r="F1580" s="2" t="s">
        <v>15</v>
      </c>
      <c r="G1580" s="2" t="s">
        <v>81</v>
      </c>
      <c r="H1580" s="2" t="s">
        <v>18</v>
      </c>
      <c r="I1580" s="2" t="s">
        <v>18</v>
      </c>
      <c r="J1580">
        <v>0.05</v>
      </c>
      <c r="K1580" s="4">
        <v>44804</v>
      </c>
    </row>
    <row r="1581" spans="1:11" x14ac:dyDescent="0.3">
      <c r="A1581" t="s">
        <v>3184</v>
      </c>
      <c r="B1581" s="2" t="s">
        <v>3185</v>
      </c>
      <c r="C1581">
        <v>53</v>
      </c>
      <c r="D1581" s="2" t="s">
        <v>21</v>
      </c>
      <c r="E1581" s="2" t="s">
        <v>14</v>
      </c>
      <c r="F1581" s="2" t="s">
        <v>31</v>
      </c>
      <c r="G1581" s="2" t="s">
        <v>16</v>
      </c>
      <c r="H1581" s="2" t="s">
        <v>17</v>
      </c>
      <c r="I1581" s="2" t="s">
        <v>17</v>
      </c>
      <c r="J1581">
        <v>0.56999999999999995</v>
      </c>
      <c r="K1581" s="4">
        <v>43449</v>
      </c>
    </row>
    <row r="1582" spans="1:11" x14ac:dyDescent="0.3">
      <c r="A1582" t="s">
        <v>3186</v>
      </c>
      <c r="B1582" s="2" t="s">
        <v>3187</v>
      </c>
      <c r="C1582">
        <v>36</v>
      </c>
      <c r="D1582" s="2" t="s">
        <v>13</v>
      </c>
      <c r="E1582" s="2" t="s">
        <v>22</v>
      </c>
      <c r="F1582" s="2" t="s">
        <v>15</v>
      </c>
      <c r="G1582" s="2" t="s">
        <v>66</v>
      </c>
      <c r="H1582" s="2" t="s">
        <v>17</v>
      </c>
      <c r="I1582" s="2" t="s">
        <v>18</v>
      </c>
      <c r="J1582">
        <v>0.57999999999999996</v>
      </c>
      <c r="K1582" s="4">
        <v>43563</v>
      </c>
    </row>
    <row r="1583" spans="1:11" x14ac:dyDescent="0.3">
      <c r="A1583" t="s">
        <v>3188</v>
      </c>
      <c r="B1583" s="2" t="s">
        <v>3189</v>
      </c>
      <c r="C1583">
        <v>30</v>
      </c>
      <c r="D1583" s="2" t="s">
        <v>21</v>
      </c>
      <c r="E1583" s="2" t="s">
        <v>22</v>
      </c>
      <c r="F1583" s="2" t="s">
        <v>31</v>
      </c>
      <c r="G1583" s="2" t="s">
        <v>32</v>
      </c>
      <c r="H1583" s="2" t="s">
        <v>18</v>
      </c>
      <c r="I1583" s="2" t="s">
        <v>18</v>
      </c>
      <c r="J1583">
        <v>0.52</v>
      </c>
      <c r="K1583" s="4">
        <v>44190</v>
      </c>
    </row>
    <row r="1584" spans="1:11" x14ac:dyDescent="0.3">
      <c r="A1584" t="s">
        <v>3190</v>
      </c>
      <c r="B1584" s="2" t="s">
        <v>3191</v>
      </c>
      <c r="C1584">
        <v>63</v>
      </c>
      <c r="D1584" s="2" t="s">
        <v>13</v>
      </c>
      <c r="E1584" s="2" t="s">
        <v>14</v>
      </c>
      <c r="F1584" s="2" t="s">
        <v>37</v>
      </c>
      <c r="G1584" s="2" t="s">
        <v>27</v>
      </c>
      <c r="H1584" s="2" t="s">
        <v>17</v>
      </c>
      <c r="I1584" s="2" t="s">
        <v>18</v>
      </c>
      <c r="J1584">
        <v>0.55000000000000004</v>
      </c>
      <c r="K1584" s="4">
        <v>45006</v>
      </c>
    </row>
    <row r="1585" spans="1:11" x14ac:dyDescent="0.3">
      <c r="A1585" t="s">
        <v>3192</v>
      </c>
      <c r="B1585" s="2" t="s">
        <v>3193</v>
      </c>
      <c r="C1585">
        <v>62</v>
      </c>
      <c r="D1585" s="2" t="s">
        <v>13</v>
      </c>
      <c r="E1585" s="2" t="s">
        <v>14</v>
      </c>
      <c r="F1585" s="2" t="s">
        <v>15</v>
      </c>
      <c r="G1585" s="2" t="s">
        <v>81</v>
      </c>
      <c r="H1585" s="2" t="s">
        <v>17</v>
      </c>
      <c r="I1585" s="2" t="s">
        <v>17</v>
      </c>
      <c r="J1585">
        <v>0.24</v>
      </c>
      <c r="K1585" s="4">
        <v>44083</v>
      </c>
    </row>
    <row r="1586" spans="1:11" x14ac:dyDescent="0.3">
      <c r="A1586" t="s">
        <v>3194</v>
      </c>
      <c r="B1586" s="2" t="s">
        <v>3195</v>
      </c>
      <c r="C1586">
        <v>58</v>
      </c>
      <c r="D1586" s="2" t="s">
        <v>13</v>
      </c>
      <c r="E1586" s="2" t="s">
        <v>22</v>
      </c>
      <c r="F1586" s="2" t="s">
        <v>15</v>
      </c>
      <c r="G1586" s="2" t="s">
        <v>81</v>
      </c>
      <c r="H1586" s="2" t="s">
        <v>18</v>
      </c>
      <c r="I1586" s="2" t="s">
        <v>18</v>
      </c>
      <c r="J1586">
        <v>0.36</v>
      </c>
      <c r="K1586" s="4">
        <v>43887</v>
      </c>
    </row>
    <row r="1587" spans="1:11" x14ac:dyDescent="0.3">
      <c r="A1587" t="s">
        <v>3196</v>
      </c>
      <c r="B1587" s="2" t="s">
        <v>3197</v>
      </c>
      <c r="C1587">
        <v>33</v>
      </c>
      <c r="D1587" s="2" t="s">
        <v>13</v>
      </c>
      <c r="E1587" s="2" t="s">
        <v>14</v>
      </c>
      <c r="F1587" s="2" t="s">
        <v>23</v>
      </c>
      <c r="G1587" s="2" t="s">
        <v>81</v>
      </c>
      <c r="H1587" s="2" t="s">
        <v>18</v>
      </c>
      <c r="I1587" s="2" t="s">
        <v>18</v>
      </c>
      <c r="J1587">
        <v>0.66</v>
      </c>
      <c r="K1587" s="4">
        <v>43322</v>
      </c>
    </row>
    <row r="1588" spans="1:11" x14ac:dyDescent="0.3">
      <c r="A1588" t="s">
        <v>3198</v>
      </c>
      <c r="B1588" s="2" t="s">
        <v>3199</v>
      </c>
      <c r="C1588">
        <v>58</v>
      </c>
      <c r="D1588" s="2" t="s">
        <v>13</v>
      </c>
      <c r="E1588" s="2" t="s">
        <v>14</v>
      </c>
      <c r="F1588" s="2" t="s">
        <v>37</v>
      </c>
      <c r="G1588" s="2" t="s">
        <v>32</v>
      </c>
      <c r="H1588" s="2" t="s">
        <v>17</v>
      </c>
      <c r="I1588" s="2" t="s">
        <v>18</v>
      </c>
      <c r="J1588">
        <v>0.28000000000000003</v>
      </c>
      <c r="K1588" s="4">
        <v>43161</v>
      </c>
    </row>
    <row r="1589" spans="1:11" x14ac:dyDescent="0.3">
      <c r="A1589" t="s">
        <v>3200</v>
      </c>
      <c r="B1589" s="2" t="s">
        <v>3201</v>
      </c>
      <c r="C1589">
        <v>44</v>
      </c>
      <c r="D1589" s="2" t="s">
        <v>13</v>
      </c>
      <c r="E1589" s="2" t="s">
        <v>22</v>
      </c>
      <c r="F1589" s="2" t="s">
        <v>37</v>
      </c>
      <c r="G1589" s="2" t="s">
        <v>32</v>
      </c>
      <c r="H1589" s="2" t="s">
        <v>18</v>
      </c>
      <c r="I1589" s="2" t="s">
        <v>17</v>
      </c>
      <c r="J1589">
        <v>0.4</v>
      </c>
      <c r="K1589" s="4">
        <v>43500</v>
      </c>
    </row>
    <row r="1590" spans="1:11" x14ac:dyDescent="0.3">
      <c r="A1590" t="s">
        <v>3202</v>
      </c>
      <c r="B1590" s="2" t="s">
        <v>3203</v>
      </c>
      <c r="C1590">
        <v>21</v>
      </c>
      <c r="D1590" s="2" t="s">
        <v>21</v>
      </c>
      <c r="E1590" s="2" t="s">
        <v>14</v>
      </c>
      <c r="F1590" s="2" t="s">
        <v>23</v>
      </c>
      <c r="G1590" s="2" t="s">
        <v>81</v>
      </c>
      <c r="H1590" s="2" t="s">
        <v>18</v>
      </c>
      <c r="I1590" s="2" t="s">
        <v>18</v>
      </c>
      <c r="J1590">
        <v>0.6</v>
      </c>
      <c r="K1590" s="4">
        <v>44078</v>
      </c>
    </row>
    <row r="1591" spans="1:11" x14ac:dyDescent="0.3">
      <c r="A1591" t="s">
        <v>3204</v>
      </c>
      <c r="B1591" s="2" t="s">
        <v>3205</v>
      </c>
      <c r="C1591">
        <v>21</v>
      </c>
      <c r="D1591" s="2" t="s">
        <v>21</v>
      </c>
      <c r="E1591" s="2" t="s">
        <v>30</v>
      </c>
      <c r="F1591" s="2" t="s">
        <v>37</v>
      </c>
      <c r="G1591" s="2" t="s">
        <v>32</v>
      </c>
      <c r="H1591" s="2" t="s">
        <v>17</v>
      </c>
      <c r="I1591" s="2" t="s">
        <v>18</v>
      </c>
      <c r="J1591">
        <v>0.23</v>
      </c>
      <c r="K1591" s="4">
        <v>44019</v>
      </c>
    </row>
    <row r="1592" spans="1:11" x14ac:dyDescent="0.3">
      <c r="A1592" t="s">
        <v>3206</v>
      </c>
      <c r="B1592" s="2" t="s">
        <v>3207</v>
      </c>
      <c r="C1592">
        <v>45</v>
      </c>
      <c r="D1592" s="2" t="s">
        <v>21</v>
      </c>
      <c r="E1592" s="2" t="s">
        <v>14</v>
      </c>
      <c r="F1592" s="2" t="s">
        <v>23</v>
      </c>
      <c r="G1592" s="2" t="s">
        <v>27</v>
      </c>
      <c r="H1592" s="2" t="s">
        <v>17</v>
      </c>
      <c r="I1592" s="2" t="s">
        <v>17</v>
      </c>
      <c r="J1592">
        <v>0.14000000000000001</v>
      </c>
      <c r="K1592" s="4">
        <v>43136</v>
      </c>
    </row>
    <row r="1593" spans="1:11" x14ac:dyDescent="0.3">
      <c r="A1593" t="s">
        <v>3208</v>
      </c>
      <c r="B1593" s="2" t="s">
        <v>3209</v>
      </c>
      <c r="C1593">
        <v>67</v>
      </c>
      <c r="D1593" s="2" t="s">
        <v>13</v>
      </c>
      <c r="E1593" s="2" t="s">
        <v>30</v>
      </c>
      <c r="F1593" s="2" t="s">
        <v>31</v>
      </c>
      <c r="G1593" s="2" t="s">
        <v>27</v>
      </c>
      <c r="H1593" s="2" t="s">
        <v>18</v>
      </c>
      <c r="I1593" s="2" t="s">
        <v>18</v>
      </c>
      <c r="J1593">
        <v>0.28000000000000003</v>
      </c>
      <c r="K1593" s="4">
        <v>43644</v>
      </c>
    </row>
    <row r="1594" spans="1:11" x14ac:dyDescent="0.3">
      <c r="A1594" t="s">
        <v>3210</v>
      </c>
      <c r="B1594" s="2" t="s">
        <v>3211</v>
      </c>
      <c r="C1594">
        <v>49</v>
      </c>
      <c r="D1594" s="2" t="s">
        <v>21</v>
      </c>
      <c r="E1594" s="2" t="s">
        <v>22</v>
      </c>
      <c r="F1594" s="2" t="s">
        <v>31</v>
      </c>
      <c r="G1594" s="2" t="s">
        <v>3325</v>
      </c>
      <c r="H1594" s="2" t="s">
        <v>18</v>
      </c>
      <c r="I1594" s="2" t="s">
        <v>18</v>
      </c>
      <c r="J1594">
        <v>0.45</v>
      </c>
      <c r="K1594" s="4">
        <v>43577</v>
      </c>
    </row>
    <row r="1595" spans="1:11" x14ac:dyDescent="0.3">
      <c r="A1595" t="s">
        <v>3212</v>
      </c>
      <c r="B1595" s="2" t="s">
        <v>3213</v>
      </c>
      <c r="C1595">
        <v>56</v>
      </c>
      <c r="D1595" s="2" t="s">
        <v>13</v>
      </c>
      <c r="E1595" s="2" t="s">
        <v>22</v>
      </c>
      <c r="F1595" s="2" t="s">
        <v>37</v>
      </c>
      <c r="G1595" s="2" t="s">
        <v>27</v>
      </c>
      <c r="H1595" s="2" t="s">
        <v>18</v>
      </c>
      <c r="I1595" s="2" t="s">
        <v>18</v>
      </c>
      <c r="J1595">
        <v>0.59</v>
      </c>
      <c r="K1595" s="4">
        <v>44083</v>
      </c>
    </row>
    <row r="1596" spans="1:11" x14ac:dyDescent="0.3">
      <c r="A1596" t="s">
        <v>3214</v>
      </c>
      <c r="B1596" s="2" t="s">
        <v>3215</v>
      </c>
      <c r="C1596">
        <v>64</v>
      </c>
      <c r="D1596" s="2" t="s">
        <v>21</v>
      </c>
      <c r="E1596" s="2" t="s">
        <v>30</v>
      </c>
      <c r="F1596" s="2" t="s">
        <v>15</v>
      </c>
      <c r="G1596" s="2" t="s">
        <v>81</v>
      </c>
      <c r="H1596" s="2" t="s">
        <v>17</v>
      </c>
      <c r="I1596" s="2" t="s">
        <v>18</v>
      </c>
      <c r="J1596">
        <v>0.76</v>
      </c>
      <c r="K1596" s="4">
        <v>43644</v>
      </c>
    </row>
    <row r="1597" spans="1:11" x14ac:dyDescent="0.3">
      <c r="A1597" t="s">
        <v>3216</v>
      </c>
      <c r="B1597" s="2" t="s">
        <v>3217</v>
      </c>
      <c r="C1597">
        <v>19</v>
      </c>
      <c r="D1597" s="2" t="s">
        <v>13</v>
      </c>
      <c r="E1597" s="2" t="s">
        <v>22</v>
      </c>
      <c r="F1597" s="2" t="s">
        <v>23</v>
      </c>
      <c r="G1597" s="2" t="s">
        <v>24</v>
      </c>
      <c r="H1597" s="2" t="s">
        <v>17</v>
      </c>
      <c r="I1597" s="2" t="s">
        <v>17</v>
      </c>
      <c r="J1597">
        <v>0.65</v>
      </c>
      <c r="K1597" s="4">
        <v>44356</v>
      </c>
    </row>
    <row r="1598" spans="1:11" x14ac:dyDescent="0.3">
      <c r="A1598" t="s">
        <v>3218</v>
      </c>
      <c r="B1598" s="2" t="s">
        <v>3219</v>
      </c>
      <c r="C1598">
        <v>34</v>
      </c>
      <c r="D1598" s="2" t="s">
        <v>13</v>
      </c>
      <c r="E1598" s="2" t="s">
        <v>22</v>
      </c>
      <c r="F1598" s="2" t="s">
        <v>23</v>
      </c>
      <c r="G1598" s="2" t="s">
        <v>16</v>
      </c>
      <c r="H1598" s="2" t="s">
        <v>17</v>
      </c>
      <c r="I1598" s="2" t="s">
        <v>17</v>
      </c>
      <c r="J1598">
        <v>0.71</v>
      </c>
      <c r="K1598" s="4">
        <v>44046</v>
      </c>
    </row>
    <row r="1599" spans="1:11" x14ac:dyDescent="0.3">
      <c r="A1599" t="s">
        <v>3220</v>
      </c>
      <c r="B1599" s="2" t="s">
        <v>3221</v>
      </c>
      <c r="C1599">
        <v>20</v>
      </c>
      <c r="D1599" s="2" t="s">
        <v>21</v>
      </c>
      <c r="E1599" s="2" t="s">
        <v>30</v>
      </c>
      <c r="F1599" s="2" t="s">
        <v>31</v>
      </c>
      <c r="G1599" s="2" t="s">
        <v>66</v>
      </c>
      <c r="H1599" s="2" t="s">
        <v>17</v>
      </c>
      <c r="I1599" s="2" t="s">
        <v>18</v>
      </c>
      <c r="J1599">
        <v>0.32</v>
      </c>
      <c r="K1599" s="4">
        <v>44583</v>
      </c>
    </row>
    <row r="1600" spans="1:11" x14ac:dyDescent="0.3">
      <c r="A1600" t="s">
        <v>3222</v>
      </c>
      <c r="B1600" s="2" t="s">
        <v>3223</v>
      </c>
      <c r="C1600">
        <v>39</v>
      </c>
      <c r="D1600" s="2" t="s">
        <v>21</v>
      </c>
      <c r="E1600" s="2" t="s">
        <v>14</v>
      </c>
      <c r="F1600" s="2" t="s">
        <v>31</v>
      </c>
      <c r="G1600" s="2" t="s">
        <v>24</v>
      </c>
      <c r="H1600" s="2" t="s">
        <v>18</v>
      </c>
      <c r="I1600" s="2" t="s">
        <v>18</v>
      </c>
      <c r="J1600">
        <v>0.37</v>
      </c>
      <c r="K1600" s="4">
        <v>44400</v>
      </c>
    </row>
    <row r="1601" spans="1:11" x14ac:dyDescent="0.3">
      <c r="A1601" t="s">
        <v>3224</v>
      </c>
      <c r="B1601" s="2" t="s">
        <v>3225</v>
      </c>
      <c r="C1601">
        <v>29</v>
      </c>
      <c r="D1601" s="2" t="s">
        <v>13</v>
      </c>
      <c r="E1601" s="2" t="s">
        <v>22</v>
      </c>
      <c r="F1601" s="2" t="s">
        <v>31</v>
      </c>
      <c r="G1601" s="2" t="s">
        <v>81</v>
      </c>
      <c r="H1601" s="2" t="s">
        <v>18</v>
      </c>
      <c r="I1601" s="2" t="s">
        <v>17</v>
      </c>
      <c r="J1601">
        <v>0.59</v>
      </c>
      <c r="K1601" s="4">
        <v>43502</v>
      </c>
    </row>
    <row r="1602" spans="1:11" x14ac:dyDescent="0.3">
      <c r="A1602" t="s">
        <v>3226</v>
      </c>
      <c r="B1602" s="2" t="s">
        <v>3227</v>
      </c>
      <c r="C1602">
        <v>65</v>
      </c>
      <c r="D1602" s="2" t="s">
        <v>13</v>
      </c>
      <c r="E1602" s="2" t="s">
        <v>30</v>
      </c>
      <c r="F1602" s="2" t="s">
        <v>15</v>
      </c>
      <c r="G1602" s="2" t="s">
        <v>32</v>
      </c>
      <c r="H1602" s="2" t="s">
        <v>18</v>
      </c>
      <c r="I1602" s="2" t="s">
        <v>18</v>
      </c>
      <c r="J1602">
        <v>0.19</v>
      </c>
      <c r="K1602" s="4">
        <v>44965</v>
      </c>
    </row>
    <row r="1603" spans="1:11" x14ac:dyDescent="0.3">
      <c r="A1603" t="s">
        <v>3228</v>
      </c>
      <c r="B1603" s="2" t="s">
        <v>3229</v>
      </c>
      <c r="C1603">
        <v>24</v>
      </c>
      <c r="D1603" s="2" t="s">
        <v>13</v>
      </c>
      <c r="E1603" s="2" t="s">
        <v>14</v>
      </c>
      <c r="F1603" s="2" t="s">
        <v>15</v>
      </c>
      <c r="G1603" s="2" t="s">
        <v>24</v>
      </c>
      <c r="H1603" s="2" t="s">
        <v>18</v>
      </c>
      <c r="I1603" s="2" t="s">
        <v>17</v>
      </c>
      <c r="J1603">
        <v>0.3</v>
      </c>
      <c r="K1603" s="4">
        <v>44516</v>
      </c>
    </row>
    <row r="1604" spans="1:11" x14ac:dyDescent="0.3">
      <c r="A1604" t="s">
        <v>3230</v>
      </c>
      <c r="B1604" s="2" t="s">
        <v>3231</v>
      </c>
      <c r="C1604">
        <v>27</v>
      </c>
      <c r="D1604" s="2" t="s">
        <v>13</v>
      </c>
      <c r="E1604" s="2" t="s">
        <v>30</v>
      </c>
      <c r="F1604" s="2" t="s">
        <v>23</v>
      </c>
      <c r="G1604" s="2" t="s">
        <v>66</v>
      </c>
      <c r="H1604" s="2" t="s">
        <v>18</v>
      </c>
      <c r="I1604" s="2" t="s">
        <v>17</v>
      </c>
      <c r="J1604">
        <v>0.2</v>
      </c>
      <c r="K1604" s="4">
        <v>44068</v>
      </c>
    </row>
    <row r="1605" spans="1:11" x14ac:dyDescent="0.3">
      <c r="A1605" t="s">
        <v>3232</v>
      </c>
      <c r="B1605" s="2" t="s">
        <v>3233</v>
      </c>
      <c r="C1605">
        <v>65</v>
      </c>
      <c r="D1605" s="2" t="s">
        <v>13</v>
      </c>
      <c r="E1605" s="2" t="s">
        <v>14</v>
      </c>
      <c r="F1605" s="2" t="s">
        <v>23</v>
      </c>
      <c r="G1605" s="2" t="s">
        <v>81</v>
      </c>
      <c r="H1605" s="2" t="s">
        <v>17</v>
      </c>
      <c r="I1605" s="2" t="s">
        <v>18</v>
      </c>
      <c r="J1605">
        <v>0.87</v>
      </c>
      <c r="K1605" s="4">
        <v>44985</v>
      </c>
    </row>
    <row r="1606" spans="1:11" x14ac:dyDescent="0.3">
      <c r="A1606" t="s">
        <v>3234</v>
      </c>
      <c r="B1606" s="2" t="s">
        <v>3235</v>
      </c>
      <c r="C1606">
        <v>48</v>
      </c>
      <c r="D1606" s="2" t="s">
        <v>21</v>
      </c>
      <c r="E1606" s="2" t="s">
        <v>30</v>
      </c>
      <c r="F1606" s="2" t="s">
        <v>31</v>
      </c>
      <c r="G1606" s="2" t="s">
        <v>3325</v>
      </c>
      <c r="H1606" s="2" t="s">
        <v>18</v>
      </c>
      <c r="I1606" s="2" t="s">
        <v>18</v>
      </c>
      <c r="J1606">
        <v>0.15</v>
      </c>
      <c r="K1606" s="4">
        <v>43459</v>
      </c>
    </row>
    <row r="1607" spans="1:11" x14ac:dyDescent="0.3">
      <c r="A1607" t="s">
        <v>3236</v>
      </c>
      <c r="B1607" s="2" t="s">
        <v>3237</v>
      </c>
      <c r="C1607">
        <v>37</v>
      </c>
      <c r="D1607" s="2" t="s">
        <v>13</v>
      </c>
      <c r="E1607" s="2" t="s">
        <v>22</v>
      </c>
      <c r="F1607" s="2" t="s">
        <v>23</v>
      </c>
      <c r="G1607" s="2" t="s">
        <v>27</v>
      </c>
      <c r="H1607" s="2" t="s">
        <v>17</v>
      </c>
      <c r="I1607" s="2" t="s">
        <v>18</v>
      </c>
      <c r="J1607">
        <v>0.88</v>
      </c>
      <c r="K1607" s="4">
        <v>43592</v>
      </c>
    </row>
    <row r="1608" spans="1:11" x14ac:dyDescent="0.3">
      <c r="A1608" t="s">
        <v>3238</v>
      </c>
      <c r="B1608" s="2" t="s">
        <v>3239</v>
      </c>
      <c r="C1608">
        <v>33</v>
      </c>
      <c r="D1608" s="2" t="s">
        <v>21</v>
      </c>
      <c r="E1608" s="2" t="s">
        <v>22</v>
      </c>
      <c r="F1608" s="2" t="s">
        <v>31</v>
      </c>
      <c r="G1608" s="2" t="s">
        <v>24</v>
      </c>
      <c r="H1608" s="2" t="s">
        <v>18</v>
      </c>
      <c r="I1608" s="2" t="s">
        <v>18</v>
      </c>
      <c r="J1608">
        <v>0.49</v>
      </c>
      <c r="K1608" s="4">
        <v>44787</v>
      </c>
    </row>
    <row r="1609" spans="1:11" x14ac:dyDescent="0.3">
      <c r="A1609" t="s">
        <v>3240</v>
      </c>
      <c r="B1609" s="2" t="s">
        <v>3241</v>
      </c>
      <c r="C1609">
        <v>42</v>
      </c>
      <c r="D1609" s="2" t="s">
        <v>21</v>
      </c>
      <c r="E1609" s="2" t="s">
        <v>14</v>
      </c>
      <c r="F1609" s="2" t="s">
        <v>31</v>
      </c>
      <c r="G1609" s="2" t="s">
        <v>66</v>
      </c>
      <c r="H1609" s="2" t="s">
        <v>17</v>
      </c>
      <c r="I1609" s="2" t="s">
        <v>17</v>
      </c>
      <c r="J1609">
        <v>0.44</v>
      </c>
      <c r="K1609" s="4">
        <v>43871</v>
      </c>
    </row>
    <row r="1610" spans="1:11" x14ac:dyDescent="0.3">
      <c r="A1610" t="s">
        <v>3242</v>
      </c>
      <c r="B1610" s="2" t="s">
        <v>3243</v>
      </c>
      <c r="C1610">
        <v>32</v>
      </c>
      <c r="D1610" s="2" t="s">
        <v>21</v>
      </c>
      <c r="E1610" s="2" t="s">
        <v>14</v>
      </c>
      <c r="F1610" s="2" t="s">
        <v>31</v>
      </c>
      <c r="G1610" s="2" t="s">
        <v>24</v>
      </c>
      <c r="H1610" s="2" t="s">
        <v>17</v>
      </c>
      <c r="I1610" s="2" t="s">
        <v>18</v>
      </c>
      <c r="J1610">
        <v>0.44</v>
      </c>
      <c r="K1610" s="4">
        <v>44922</v>
      </c>
    </row>
    <row r="1611" spans="1:11" x14ac:dyDescent="0.3">
      <c r="A1611" t="s">
        <v>3244</v>
      </c>
      <c r="B1611" s="2" t="s">
        <v>3245</v>
      </c>
      <c r="C1611">
        <v>22</v>
      </c>
      <c r="D1611" s="2" t="s">
        <v>21</v>
      </c>
      <c r="E1611" s="2" t="s">
        <v>14</v>
      </c>
      <c r="F1611" s="2" t="s">
        <v>37</v>
      </c>
      <c r="G1611" s="2" t="s">
        <v>32</v>
      </c>
      <c r="H1611" s="2" t="s">
        <v>18</v>
      </c>
      <c r="I1611" s="2" t="s">
        <v>18</v>
      </c>
      <c r="J1611">
        <v>0.62</v>
      </c>
      <c r="K1611" s="4">
        <v>43432</v>
      </c>
    </row>
    <row r="1612" spans="1:11" x14ac:dyDescent="0.3">
      <c r="A1612" t="s">
        <v>3246</v>
      </c>
      <c r="B1612" s="2" t="s">
        <v>3247</v>
      </c>
      <c r="C1612">
        <v>57</v>
      </c>
      <c r="D1612" s="2" t="s">
        <v>21</v>
      </c>
      <c r="E1612" s="2" t="s">
        <v>22</v>
      </c>
      <c r="F1612" s="2" t="s">
        <v>31</v>
      </c>
      <c r="G1612" s="2" t="s">
        <v>27</v>
      </c>
      <c r="H1612" s="2" t="s">
        <v>17</v>
      </c>
      <c r="I1612" s="2" t="s">
        <v>18</v>
      </c>
      <c r="J1612">
        <v>0.36</v>
      </c>
      <c r="K1612" s="4">
        <v>44353</v>
      </c>
    </row>
    <row r="1613" spans="1:11" x14ac:dyDescent="0.3">
      <c r="A1613" t="s">
        <v>3248</v>
      </c>
      <c r="B1613" s="2" t="s">
        <v>3249</v>
      </c>
      <c r="C1613">
        <v>46</v>
      </c>
      <c r="D1613" s="2" t="s">
        <v>21</v>
      </c>
      <c r="E1613" s="2" t="s">
        <v>30</v>
      </c>
      <c r="F1613" s="2" t="s">
        <v>31</v>
      </c>
      <c r="G1613" s="2" t="s">
        <v>81</v>
      </c>
      <c r="H1613" s="2" t="s">
        <v>18</v>
      </c>
      <c r="I1613" s="2" t="s">
        <v>17</v>
      </c>
      <c r="J1613">
        <v>0.39</v>
      </c>
      <c r="K1613" s="4">
        <v>43587</v>
      </c>
    </row>
    <row r="1614" spans="1:11" x14ac:dyDescent="0.3">
      <c r="A1614" t="s">
        <v>3250</v>
      </c>
      <c r="B1614" s="2" t="s">
        <v>3251</v>
      </c>
      <c r="C1614">
        <v>47</v>
      </c>
      <c r="D1614" s="2" t="s">
        <v>13</v>
      </c>
      <c r="E1614" s="2" t="s">
        <v>14</v>
      </c>
      <c r="F1614" s="2" t="s">
        <v>31</v>
      </c>
      <c r="G1614" s="2" t="s">
        <v>24</v>
      </c>
      <c r="H1614" s="2" t="s">
        <v>17</v>
      </c>
      <c r="I1614" s="2" t="s">
        <v>17</v>
      </c>
      <c r="J1614">
        <v>0.84</v>
      </c>
      <c r="K1614" s="4">
        <v>43420</v>
      </c>
    </row>
    <row r="1615" spans="1:11" x14ac:dyDescent="0.3">
      <c r="A1615" t="s">
        <v>3252</v>
      </c>
      <c r="B1615" s="2" t="s">
        <v>3253</v>
      </c>
      <c r="C1615">
        <v>65</v>
      </c>
      <c r="D1615" s="2" t="s">
        <v>13</v>
      </c>
      <c r="E1615" s="2" t="s">
        <v>14</v>
      </c>
      <c r="F1615" s="2" t="s">
        <v>37</v>
      </c>
      <c r="G1615" s="2" t="s">
        <v>27</v>
      </c>
      <c r="H1615" s="2" t="s">
        <v>18</v>
      </c>
      <c r="I1615" s="2" t="s">
        <v>17</v>
      </c>
      <c r="J1615">
        <v>0.52</v>
      </c>
      <c r="K1615" s="4">
        <v>43767</v>
      </c>
    </row>
    <row r="1616" spans="1:11" x14ac:dyDescent="0.3">
      <c r="A1616" t="s">
        <v>3254</v>
      </c>
      <c r="B1616" s="2" t="s">
        <v>3255</v>
      </c>
      <c r="C1616">
        <v>53</v>
      </c>
      <c r="D1616" s="2" t="s">
        <v>21</v>
      </c>
      <c r="E1616" s="2" t="s">
        <v>30</v>
      </c>
      <c r="F1616" s="2" t="s">
        <v>37</v>
      </c>
      <c r="G1616" s="2" t="s">
        <v>32</v>
      </c>
      <c r="H1616" s="2" t="s">
        <v>18</v>
      </c>
      <c r="I1616" s="2" t="s">
        <v>17</v>
      </c>
      <c r="J1616">
        <v>0.71</v>
      </c>
      <c r="K1616" s="4">
        <v>44673</v>
      </c>
    </row>
    <row r="1617" spans="1:11" x14ac:dyDescent="0.3">
      <c r="A1617" t="s">
        <v>3256</v>
      </c>
      <c r="B1617" s="2" t="s">
        <v>3257</v>
      </c>
      <c r="C1617">
        <v>57</v>
      </c>
      <c r="D1617" s="2" t="s">
        <v>13</v>
      </c>
      <c r="E1617" s="2" t="s">
        <v>30</v>
      </c>
      <c r="F1617" s="2" t="s">
        <v>31</v>
      </c>
      <c r="G1617" s="2" t="s">
        <v>81</v>
      </c>
      <c r="H1617" s="2" t="s">
        <v>18</v>
      </c>
      <c r="I1617" s="2" t="s">
        <v>18</v>
      </c>
      <c r="J1617">
        <v>0.55000000000000004</v>
      </c>
      <c r="K1617" s="4">
        <v>43469</v>
      </c>
    </row>
    <row r="1618" spans="1:11" x14ac:dyDescent="0.3">
      <c r="A1618" t="s">
        <v>3258</v>
      </c>
      <c r="B1618" s="2" t="s">
        <v>3259</v>
      </c>
      <c r="C1618">
        <v>19</v>
      </c>
      <c r="D1618" s="2" t="s">
        <v>13</v>
      </c>
      <c r="E1618" s="2" t="s">
        <v>14</v>
      </c>
      <c r="F1618" s="2" t="s">
        <v>23</v>
      </c>
      <c r="G1618" s="2" t="s">
        <v>27</v>
      </c>
      <c r="H1618" s="2" t="s">
        <v>17</v>
      </c>
      <c r="I1618" s="2" t="s">
        <v>17</v>
      </c>
      <c r="J1618">
        <v>0.37</v>
      </c>
      <c r="K1618" s="4">
        <v>44316</v>
      </c>
    </row>
    <row r="1619" spans="1:11" x14ac:dyDescent="0.3">
      <c r="A1619" t="s">
        <v>3260</v>
      </c>
      <c r="B1619" s="2" t="s">
        <v>3261</v>
      </c>
      <c r="C1619">
        <v>28</v>
      </c>
      <c r="D1619" s="2" t="s">
        <v>13</v>
      </c>
      <c r="E1619" s="2" t="s">
        <v>14</v>
      </c>
      <c r="F1619" s="2" t="s">
        <v>15</v>
      </c>
      <c r="G1619" s="2" t="s">
        <v>16</v>
      </c>
      <c r="H1619" s="2" t="s">
        <v>17</v>
      </c>
      <c r="I1619" s="2" t="s">
        <v>18</v>
      </c>
      <c r="J1619">
        <v>0.09</v>
      </c>
      <c r="K1619" s="4">
        <v>43580</v>
      </c>
    </row>
    <row r="1620" spans="1:11" x14ac:dyDescent="0.3">
      <c r="A1620" t="s">
        <v>3262</v>
      </c>
      <c r="B1620" s="2" t="s">
        <v>3263</v>
      </c>
      <c r="C1620">
        <v>33</v>
      </c>
      <c r="D1620" s="2" t="s">
        <v>13</v>
      </c>
      <c r="E1620" s="2" t="s">
        <v>14</v>
      </c>
      <c r="F1620" s="2" t="s">
        <v>23</v>
      </c>
      <c r="G1620" s="2" t="s">
        <v>16</v>
      </c>
      <c r="H1620" s="2" t="s">
        <v>18</v>
      </c>
      <c r="I1620" s="2" t="s">
        <v>17</v>
      </c>
      <c r="J1620">
        <v>0.42</v>
      </c>
      <c r="K1620" s="4">
        <v>45031</v>
      </c>
    </row>
    <row r="1621" spans="1:11" x14ac:dyDescent="0.3">
      <c r="A1621" t="s">
        <v>3264</v>
      </c>
      <c r="B1621" s="2" t="s">
        <v>3265</v>
      </c>
      <c r="C1621">
        <v>33</v>
      </c>
      <c r="D1621" s="2" t="s">
        <v>21</v>
      </c>
      <c r="E1621" s="2" t="s">
        <v>22</v>
      </c>
      <c r="F1621" s="2" t="s">
        <v>37</v>
      </c>
      <c r="G1621" s="2" t="s">
        <v>16</v>
      </c>
      <c r="H1621" s="2" t="s">
        <v>17</v>
      </c>
      <c r="I1621" s="2" t="s">
        <v>18</v>
      </c>
      <c r="J1621">
        <v>0.55000000000000004</v>
      </c>
      <c r="K1621" s="4">
        <v>45045</v>
      </c>
    </row>
    <row r="1622" spans="1:11" x14ac:dyDescent="0.3">
      <c r="A1622" t="s">
        <v>3266</v>
      </c>
      <c r="B1622" s="2" t="s">
        <v>3267</v>
      </c>
      <c r="C1622">
        <v>58</v>
      </c>
      <c r="D1622" s="2" t="s">
        <v>13</v>
      </c>
      <c r="E1622" s="2" t="s">
        <v>22</v>
      </c>
      <c r="F1622" s="2" t="s">
        <v>37</v>
      </c>
      <c r="G1622" s="2" t="s">
        <v>16</v>
      </c>
      <c r="H1622" s="2" t="s">
        <v>18</v>
      </c>
      <c r="I1622" s="2" t="s">
        <v>17</v>
      </c>
      <c r="J1622">
        <v>0.4</v>
      </c>
      <c r="K1622" s="4">
        <v>44600</v>
      </c>
    </row>
    <row r="1623" spans="1:11" x14ac:dyDescent="0.3">
      <c r="A1623" t="s">
        <v>3268</v>
      </c>
      <c r="B1623" s="2" t="s">
        <v>3269</v>
      </c>
      <c r="C1623">
        <v>42</v>
      </c>
      <c r="D1623" s="2" t="s">
        <v>13</v>
      </c>
      <c r="E1623" s="2" t="s">
        <v>30</v>
      </c>
      <c r="F1623" s="2" t="s">
        <v>31</v>
      </c>
      <c r="G1623" s="2" t="s">
        <v>27</v>
      </c>
      <c r="H1623" s="2" t="s">
        <v>18</v>
      </c>
      <c r="I1623" s="2" t="s">
        <v>18</v>
      </c>
      <c r="J1623">
        <v>0.77</v>
      </c>
      <c r="K1623" s="4">
        <v>43813</v>
      </c>
    </row>
    <row r="1624" spans="1:11" x14ac:dyDescent="0.3">
      <c r="A1624" t="s">
        <v>3270</v>
      </c>
      <c r="B1624" s="2" t="s">
        <v>3271</v>
      </c>
      <c r="C1624">
        <v>67</v>
      </c>
      <c r="D1624" s="2" t="s">
        <v>13</v>
      </c>
      <c r="E1624" s="2" t="s">
        <v>14</v>
      </c>
      <c r="F1624" s="2" t="s">
        <v>31</v>
      </c>
      <c r="G1624" s="2" t="s">
        <v>16</v>
      </c>
      <c r="H1624" s="2" t="s">
        <v>18</v>
      </c>
      <c r="I1624" s="2" t="s">
        <v>18</v>
      </c>
      <c r="J1624">
        <v>0.43</v>
      </c>
      <c r="K1624" s="4">
        <v>44905</v>
      </c>
    </row>
    <row r="1625" spans="1:11" x14ac:dyDescent="0.3">
      <c r="A1625" t="s">
        <v>3272</v>
      </c>
      <c r="B1625" s="2" t="s">
        <v>3273</v>
      </c>
      <c r="C1625">
        <v>36</v>
      </c>
      <c r="D1625" s="2" t="s">
        <v>13</v>
      </c>
      <c r="E1625" s="2" t="s">
        <v>30</v>
      </c>
      <c r="F1625" s="2" t="s">
        <v>23</v>
      </c>
      <c r="G1625" s="2" t="s">
        <v>16</v>
      </c>
      <c r="H1625" s="2" t="s">
        <v>17</v>
      </c>
      <c r="I1625" s="2" t="s">
        <v>17</v>
      </c>
      <c r="J1625">
        <v>0.82</v>
      </c>
      <c r="K1625" s="4">
        <v>43815</v>
      </c>
    </row>
    <row r="1626" spans="1:11" x14ac:dyDescent="0.3">
      <c r="A1626" t="s">
        <v>3274</v>
      </c>
      <c r="B1626" s="2" t="s">
        <v>3275</v>
      </c>
      <c r="C1626">
        <v>44</v>
      </c>
      <c r="D1626" s="2" t="s">
        <v>21</v>
      </c>
      <c r="E1626" s="2" t="s">
        <v>30</v>
      </c>
      <c r="F1626" s="2" t="s">
        <v>37</v>
      </c>
      <c r="G1626" s="2" t="s">
        <v>16</v>
      </c>
      <c r="H1626" s="2" t="s">
        <v>17</v>
      </c>
      <c r="I1626" s="2" t="s">
        <v>18</v>
      </c>
      <c r="J1626">
        <v>0.56999999999999995</v>
      </c>
      <c r="K1626" s="4">
        <v>43415</v>
      </c>
    </row>
    <row r="1627" spans="1:11" x14ac:dyDescent="0.3">
      <c r="A1627" t="s">
        <v>3276</v>
      </c>
      <c r="B1627" s="2" t="s">
        <v>3277</v>
      </c>
      <c r="C1627">
        <v>51</v>
      </c>
      <c r="D1627" s="2" t="s">
        <v>21</v>
      </c>
      <c r="E1627" s="2" t="s">
        <v>22</v>
      </c>
      <c r="F1627" s="2" t="s">
        <v>23</v>
      </c>
      <c r="G1627" s="2" t="s">
        <v>24</v>
      </c>
      <c r="H1627" s="2" t="s">
        <v>17</v>
      </c>
      <c r="I1627" s="2" t="s">
        <v>17</v>
      </c>
      <c r="J1627">
        <v>0.32</v>
      </c>
      <c r="K1627" s="4">
        <v>43320</v>
      </c>
    </row>
    <row r="1628" spans="1:11" x14ac:dyDescent="0.3">
      <c r="A1628" t="s">
        <v>3278</v>
      </c>
      <c r="B1628" s="2" t="s">
        <v>3279</v>
      </c>
      <c r="C1628">
        <v>43</v>
      </c>
      <c r="D1628" s="2" t="s">
        <v>13</v>
      </c>
      <c r="E1628" s="2" t="s">
        <v>30</v>
      </c>
      <c r="F1628" s="2" t="s">
        <v>37</v>
      </c>
      <c r="G1628" s="2" t="s">
        <v>32</v>
      </c>
      <c r="H1628" s="2" t="s">
        <v>17</v>
      </c>
      <c r="I1628" s="2" t="s">
        <v>17</v>
      </c>
      <c r="J1628">
        <v>0.66</v>
      </c>
      <c r="K1628" s="4">
        <v>43750</v>
      </c>
    </row>
    <row r="1629" spans="1:11" x14ac:dyDescent="0.3">
      <c r="A1629" t="s">
        <v>3280</v>
      </c>
      <c r="B1629" s="2" t="s">
        <v>3281</v>
      </c>
      <c r="C1629">
        <v>60</v>
      </c>
      <c r="D1629" s="2" t="s">
        <v>13</v>
      </c>
      <c r="E1629" s="2" t="s">
        <v>30</v>
      </c>
      <c r="F1629" s="2" t="s">
        <v>37</v>
      </c>
      <c r="G1629" s="2" t="s">
        <v>66</v>
      </c>
      <c r="H1629" s="2" t="s">
        <v>17</v>
      </c>
      <c r="I1629" s="2" t="s">
        <v>18</v>
      </c>
      <c r="J1629">
        <v>0.57999999999999996</v>
      </c>
      <c r="K1629" s="4">
        <v>44237</v>
      </c>
    </row>
    <row r="1630" spans="1:11" x14ac:dyDescent="0.3">
      <c r="A1630" t="s">
        <v>3282</v>
      </c>
      <c r="B1630" s="2" t="s">
        <v>3283</v>
      </c>
      <c r="C1630">
        <v>56</v>
      </c>
      <c r="D1630" s="2" t="s">
        <v>21</v>
      </c>
      <c r="E1630" s="2" t="s">
        <v>30</v>
      </c>
      <c r="F1630" s="2" t="s">
        <v>31</v>
      </c>
      <c r="G1630" s="2" t="s">
        <v>32</v>
      </c>
      <c r="H1630" s="2" t="s">
        <v>17</v>
      </c>
      <c r="I1630" s="2" t="s">
        <v>18</v>
      </c>
      <c r="J1630">
        <v>0.8</v>
      </c>
      <c r="K1630" s="4">
        <v>43278</v>
      </c>
    </row>
    <row r="1631" spans="1:11" x14ac:dyDescent="0.3">
      <c r="A1631" t="s">
        <v>3284</v>
      </c>
      <c r="B1631" s="2" t="s">
        <v>3285</v>
      </c>
      <c r="C1631">
        <v>58</v>
      </c>
      <c r="D1631" s="2" t="s">
        <v>21</v>
      </c>
      <c r="E1631" s="2" t="s">
        <v>14</v>
      </c>
      <c r="F1631" s="2" t="s">
        <v>23</v>
      </c>
      <c r="G1631" s="2" t="s">
        <v>27</v>
      </c>
      <c r="H1631" s="2" t="s">
        <v>17</v>
      </c>
      <c r="I1631" s="2" t="s">
        <v>18</v>
      </c>
      <c r="J1631">
        <v>0.67</v>
      </c>
      <c r="K1631" s="4">
        <v>43604</v>
      </c>
    </row>
    <row r="1632" spans="1:11" x14ac:dyDescent="0.3">
      <c r="A1632" t="s">
        <v>3286</v>
      </c>
      <c r="B1632" s="2" t="s">
        <v>3287</v>
      </c>
      <c r="C1632">
        <v>66</v>
      </c>
      <c r="D1632" s="2" t="s">
        <v>21</v>
      </c>
      <c r="E1632" s="2" t="s">
        <v>30</v>
      </c>
      <c r="F1632" s="2" t="s">
        <v>37</v>
      </c>
      <c r="G1632" s="2" t="s">
        <v>32</v>
      </c>
      <c r="H1632" s="2" t="s">
        <v>17</v>
      </c>
      <c r="I1632" s="2" t="s">
        <v>18</v>
      </c>
      <c r="J1632">
        <v>0.47</v>
      </c>
      <c r="K1632" s="4">
        <v>43477</v>
      </c>
    </row>
    <row r="1633" spans="1:11" x14ac:dyDescent="0.3">
      <c r="A1633" t="s">
        <v>3288</v>
      </c>
      <c r="B1633" s="2" t="s">
        <v>3289</v>
      </c>
      <c r="C1633">
        <v>42</v>
      </c>
      <c r="D1633" s="2" t="s">
        <v>13</v>
      </c>
      <c r="E1633" s="2" t="s">
        <v>22</v>
      </c>
      <c r="F1633" s="2" t="s">
        <v>37</v>
      </c>
      <c r="G1633" s="2" t="s">
        <v>24</v>
      </c>
      <c r="H1633" s="2" t="s">
        <v>18</v>
      </c>
      <c r="I1633" s="2" t="s">
        <v>17</v>
      </c>
      <c r="J1633">
        <v>0.41</v>
      </c>
      <c r="K1633" s="4">
        <v>43120</v>
      </c>
    </row>
    <row r="1634" spans="1:11" x14ac:dyDescent="0.3">
      <c r="A1634" t="s">
        <v>3290</v>
      </c>
      <c r="B1634" s="2" t="s">
        <v>3291</v>
      </c>
      <c r="C1634">
        <v>38</v>
      </c>
      <c r="D1634" s="2" t="s">
        <v>13</v>
      </c>
      <c r="E1634" s="2" t="s">
        <v>22</v>
      </c>
      <c r="F1634" s="2" t="s">
        <v>15</v>
      </c>
      <c r="G1634" s="2" t="s">
        <v>81</v>
      </c>
      <c r="H1634" s="2" t="s">
        <v>18</v>
      </c>
      <c r="I1634" s="2" t="s">
        <v>18</v>
      </c>
      <c r="J1634">
        <v>0.46</v>
      </c>
      <c r="K1634" s="4">
        <v>44487</v>
      </c>
    </row>
    <row r="1635" spans="1:11" x14ac:dyDescent="0.3">
      <c r="A1635" t="s">
        <v>3292</v>
      </c>
      <c r="B1635" s="2" t="s">
        <v>3293</v>
      </c>
      <c r="C1635">
        <v>67</v>
      </c>
      <c r="D1635" s="2" t="s">
        <v>21</v>
      </c>
      <c r="E1635" s="2" t="s">
        <v>30</v>
      </c>
      <c r="F1635" s="2" t="s">
        <v>31</v>
      </c>
      <c r="G1635" s="2" t="s">
        <v>16</v>
      </c>
      <c r="H1635" s="2" t="s">
        <v>17</v>
      </c>
      <c r="I1635" s="2" t="s">
        <v>17</v>
      </c>
      <c r="J1635">
        <v>0.62</v>
      </c>
      <c r="K1635" s="4">
        <v>44177</v>
      </c>
    </row>
    <row r="1636" spans="1:11" x14ac:dyDescent="0.3">
      <c r="A1636" t="s">
        <v>3294</v>
      </c>
      <c r="B1636" s="2" t="s">
        <v>3295</v>
      </c>
      <c r="C1636">
        <v>37</v>
      </c>
      <c r="D1636" s="2" t="s">
        <v>21</v>
      </c>
      <c r="E1636" s="2" t="s">
        <v>30</v>
      </c>
      <c r="F1636" s="2" t="s">
        <v>15</v>
      </c>
      <c r="G1636" s="2" t="s">
        <v>81</v>
      </c>
      <c r="H1636" s="2" t="s">
        <v>17</v>
      </c>
      <c r="I1636" s="2" t="s">
        <v>17</v>
      </c>
      <c r="J1636">
        <v>0.86</v>
      </c>
      <c r="K1636" s="4">
        <v>43645</v>
      </c>
    </row>
    <row r="1637" spans="1:11" x14ac:dyDescent="0.3">
      <c r="A1637" t="s">
        <v>3296</v>
      </c>
      <c r="B1637" s="2" t="s">
        <v>3297</v>
      </c>
      <c r="C1637">
        <v>34</v>
      </c>
      <c r="D1637" s="2" t="s">
        <v>21</v>
      </c>
      <c r="E1637" s="2" t="s">
        <v>22</v>
      </c>
      <c r="F1637" s="2" t="s">
        <v>37</v>
      </c>
      <c r="G1637" s="2" t="s">
        <v>32</v>
      </c>
      <c r="H1637" s="2" t="s">
        <v>18</v>
      </c>
      <c r="I1637" s="2" t="s">
        <v>17</v>
      </c>
      <c r="J1637">
        <v>0.65</v>
      </c>
      <c r="K1637" s="4">
        <v>43973</v>
      </c>
    </row>
    <row r="1638" spans="1:11" x14ac:dyDescent="0.3">
      <c r="A1638" t="s">
        <v>3298</v>
      </c>
      <c r="B1638" s="2" t="s">
        <v>3299</v>
      </c>
      <c r="C1638">
        <v>30</v>
      </c>
      <c r="D1638" s="2" t="s">
        <v>21</v>
      </c>
      <c r="E1638" s="2" t="s">
        <v>22</v>
      </c>
      <c r="F1638" s="2" t="s">
        <v>31</v>
      </c>
      <c r="G1638" s="2" t="s">
        <v>16</v>
      </c>
      <c r="H1638" s="2" t="s">
        <v>17</v>
      </c>
      <c r="I1638" s="2" t="s">
        <v>17</v>
      </c>
      <c r="J1638">
        <v>0.63</v>
      </c>
      <c r="K1638" s="4">
        <v>45210</v>
      </c>
    </row>
    <row r="1639" spans="1:11" x14ac:dyDescent="0.3">
      <c r="A1639" t="s">
        <v>3300</v>
      </c>
      <c r="B1639" s="2" t="s">
        <v>3301</v>
      </c>
      <c r="C1639">
        <v>25</v>
      </c>
      <c r="D1639" s="2" t="s">
        <v>21</v>
      </c>
      <c r="E1639" s="2" t="s">
        <v>30</v>
      </c>
      <c r="F1639" s="2" t="s">
        <v>23</v>
      </c>
      <c r="G1639" s="2" t="s">
        <v>27</v>
      </c>
      <c r="H1639" s="2" t="s">
        <v>18</v>
      </c>
      <c r="I1639" s="2" t="s">
        <v>18</v>
      </c>
      <c r="J1639">
        <v>0.6</v>
      </c>
      <c r="K1639" s="4">
        <v>44261</v>
      </c>
    </row>
    <row r="1640" spans="1:11" x14ac:dyDescent="0.3">
      <c r="A1640" t="s">
        <v>3302</v>
      </c>
      <c r="B1640" s="2" t="s">
        <v>3303</v>
      </c>
      <c r="C1640">
        <v>58</v>
      </c>
      <c r="D1640" s="2" t="s">
        <v>13</v>
      </c>
      <c r="E1640" s="2" t="s">
        <v>14</v>
      </c>
      <c r="F1640" s="2" t="s">
        <v>15</v>
      </c>
      <c r="G1640" s="2" t="s">
        <v>27</v>
      </c>
      <c r="H1640" s="2" t="s">
        <v>18</v>
      </c>
      <c r="I1640" s="2" t="s">
        <v>18</v>
      </c>
      <c r="J1640">
        <v>0.55000000000000004</v>
      </c>
      <c r="K1640" s="4">
        <v>43702</v>
      </c>
    </row>
    <row r="1641" spans="1:11" x14ac:dyDescent="0.3">
      <c r="A1641" t="s">
        <v>3304</v>
      </c>
      <c r="B1641" s="2" t="s">
        <v>3305</v>
      </c>
      <c r="C1641">
        <v>67</v>
      </c>
      <c r="D1641" s="2" t="s">
        <v>21</v>
      </c>
      <c r="E1641" s="2" t="s">
        <v>22</v>
      </c>
      <c r="F1641" s="2" t="s">
        <v>15</v>
      </c>
      <c r="G1641" s="2" t="s">
        <v>32</v>
      </c>
      <c r="H1641" s="2" t="s">
        <v>17</v>
      </c>
      <c r="I1641" s="2" t="s">
        <v>18</v>
      </c>
      <c r="J1641">
        <v>0.35</v>
      </c>
      <c r="K1641" s="4">
        <v>45091</v>
      </c>
    </row>
    <row r="1642" spans="1:11" x14ac:dyDescent="0.3">
      <c r="A1642" t="s">
        <v>3306</v>
      </c>
      <c r="B1642" s="2" t="s">
        <v>3307</v>
      </c>
      <c r="C1642">
        <v>56</v>
      </c>
      <c r="D1642" s="2" t="s">
        <v>13</v>
      </c>
      <c r="E1642" s="2" t="s">
        <v>30</v>
      </c>
      <c r="F1642" s="2" t="s">
        <v>23</v>
      </c>
      <c r="G1642" s="2" t="s">
        <v>32</v>
      </c>
      <c r="H1642" s="2" t="s">
        <v>18</v>
      </c>
      <c r="I1642" s="2" t="s">
        <v>18</v>
      </c>
      <c r="J1642">
        <v>0.33</v>
      </c>
      <c r="K1642" s="4">
        <v>44282</v>
      </c>
    </row>
    <row r="1643" spans="1:11" x14ac:dyDescent="0.3">
      <c r="A1643" t="s">
        <v>3308</v>
      </c>
      <c r="B1643" s="2" t="s">
        <v>3309</v>
      </c>
      <c r="C1643">
        <v>65</v>
      </c>
      <c r="D1643" s="2" t="s">
        <v>21</v>
      </c>
      <c r="E1643" s="2" t="s">
        <v>30</v>
      </c>
      <c r="F1643" s="2" t="s">
        <v>37</v>
      </c>
      <c r="G1643" s="2" t="s">
        <v>27</v>
      </c>
      <c r="H1643" s="2" t="s">
        <v>17</v>
      </c>
      <c r="I1643" s="2" t="s">
        <v>18</v>
      </c>
      <c r="J1643">
        <v>0.49</v>
      </c>
      <c r="K1643" s="4">
        <v>44284</v>
      </c>
    </row>
    <row r="1644" spans="1:11" x14ac:dyDescent="0.3">
      <c r="A1644" t="s">
        <v>3310</v>
      </c>
      <c r="B1644" s="2" t="s">
        <v>3311</v>
      </c>
      <c r="C1644">
        <v>41</v>
      </c>
      <c r="D1644" s="2" t="s">
        <v>13</v>
      </c>
      <c r="E1644" s="2" t="s">
        <v>22</v>
      </c>
      <c r="F1644" s="2" t="s">
        <v>23</v>
      </c>
      <c r="G1644" s="2" t="s">
        <v>32</v>
      </c>
      <c r="H1644" s="2" t="s">
        <v>17</v>
      </c>
      <c r="I1644" s="2" t="s">
        <v>17</v>
      </c>
      <c r="J1644">
        <v>0.08</v>
      </c>
      <c r="K1644" s="4">
        <v>44444</v>
      </c>
    </row>
    <row r="1645" spans="1:11" x14ac:dyDescent="0.3">
      <c r="A1645" t="s">
        <v>3312</v>
      </c>
      <c r="B1645" s="2" t="s">
        <v>3313</v>
      </c>
      <c r="C1645">
        <v>31</v>
      </c>
      <c r="D1645" s="2" t="s">
        <v>13</v>
      </c>
      <c r="E1645" s="2" t="s">
        <v>30</v>
      </c>
      <c r="F1645" s="2" t="s">
        <v>31</v>
      </c>
      <c r="G1645" s="2" t="s">
        <v>32</v>
      </c>
      <c r="H1645" s="2" t="s">
        <v>17</v>
      </c>
      <c r="I1645" s="2" t="s">
        <v>18</v>
      </c>
      <c r="J1645">
        <v>0.55000000000000004</v>
      </c>
      <c r="K1645" s="4">
        <v>43391</v>
      </c>
    </row>
    <row r="1646" spans="1:11" x14ac:dyDescent="0.3">
      <c r="A1646" t="s">
        <v>3314</v>
      </c>
      <c r="B1646" s="2" t="s">
        <v>3315</v>
      </c>
      <c r="C1646">
        <v>64</v>
      </c>
      <c r="D1646" s="2" t="s">
        <v>13</v>
      </c>
      <c r="E1646" s="2" t="s">
        <v>30</v>
      </c>
      <c r="F1646" s="2" t="s">
        <v>23</v>
      </c>
      <c r="G1646" s="2" t="s">
        <v>32</v>
      </c>
      <c r="H1646" s="2" t="s">
        <v>18</v>
      </c>
      <c r="I1646" s="2" t="s">
        <v>18</v>
      </c>
      <c r="J1646">
        <v>0.15</v>
      </c>
      <c r="K1646" s="4">
        <v>45085</v>
      </c>
    </row>
    <row r="1647" spans="1:11" x14ac:dyDescent="0.3">
      <c r="A1647" t="s">
        <v>3316</v>
      </c>
      <c r="B1647" s="2" t="s">
        <v>3317</v>
      </c>
      <c r="C1647">
        <v>22</v>
      </c>
      <c r="D1647" s="2" t="s">
        <v>21</v>
      </c>
      <c r="E1647" s="2" t="s">
        <v>30</v>
      </c>
      <c r="F1647" s="2" t="s">
        <v>37</v>
      </c>
      <c r="G1647" s="2" t="s">
        <v>27</v>
      </c>
      <c r="H1647" s="2" t="s">
        <v>18</v>
      </c>
      <c r="I1647" s="2" t="s">
        <v>17</v>
      </c>
      <c r="J1647">
        <v>0.66</v>
      </c>
      <c r="K1647" s="4">
        <v>43326</v>
      </c>
    </row>
    <row r="1648" spans="1:11" x14ac:dyDescent="0.3">
      <c r="A1648" t="s">
        <v>3318</v>
      </c>
      <c r="B1648" s="2" t="s">
        <v>3319</v>
      </c>
      <c r="C1648">
        <v>21</v>
      </c>
      <c r="D1648" s="2" t="s">
        <v>13</v>
      </c>
      <c r="E1648" s="2" t="s">
        <v>22</v>
      </c>
      <c r="F1648" s="2" t="s">
        <v>31</v>
      </c>
      <c r="G1648" s="2" t="s">
        <v>32</v>
      </c>
      <c r="H1648" s="2" t="s">
        <v>17</v>
      </c>
      <c r="I1648" s="2" t="s">
        <v>17</v>
      </c>
      <c r="J1648">
        <v>1</v>
      </c>
      <c r="K1648" s="4">
        <v>44662</v>
      </c>
    </row>
    <row r="1649" spans="1:11" x14ac:dyDescent="0.3">
      <c r="A1649" t="s">
        <v>3320</v>
      </c>
      <c r="B1649" s="2" t="s">
        <v>3321</v>
      </c>
      <c r="C1649">
        <v>34</v>
      </c>
      <c r="D1649" s="2" t="s">
        <v>21</v>
      </c>
      <c r="E1649" s="2" t="s">
        <v>14</v>
      </c>
      <c r="F1649" s="2" t="s">
        <v>15</v>
      </c>
      <c r="G1649" s="2" t="s">
        <v>27</v>
      </c>
      <c r="H1649" s="2" t="s">
        <v>18</v>
      </c>
      <c r="I1649" s="2" t="s">
        <v>17</v>
      </c>
      <c r="J1649">
        <v>0.47</v>
      </c>
      <c r="K1649" s="4">
        <v>43356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BEF62-67F5-4054-9CA7-E109E337F1A3}">
  <dimension ref="A1:S1649"/>
  <sheetViews>
    <sheetView tabSelected="1" topLeftCell="G1" workbookViewId="0">
      <selection activeCell="K1626" sqref="K1626"/>
    </sheetView>
  </sheetViews>
  <sheetFormatPr defaultRowHeight="14.4" x14ac:dyDescent="0.3"/>
  <cols>
    <col min="1" max="1" width="13.6640625" bestFit="1" customWidth="1"/>
    <col min="2" max="2" width="21.44140625" bestFit="1" customWidth="1"/>
    <col min="3" max="3" width="8.44140625" customWidth="1"/>
    <col min="4" max="4" width="11.88671875" customWidth="1"/>
    <col min="5" max="5" width="16.88671875" customWidth="1"/>
    <col min="6" max="6" width="14.77734375" customWidth="1"/>
    <col min="7" max="7" width="12.5546875" customWidth="1"/>
    <col min="8" max="8" width="16.44140625" bestFit="1" customWidth="1"/>
    <col min="9" max="9" width="19.5546875" bestFit="1" customWidth="1"/>
    <col min="10" max="10" width="11.5546875" bestFit="1" customWidth="1"/>
    <col min="11" max="11" width="14.21875" customWidth="1"/>
    <col min="12" max="12" width="12.109375" bestFit="1" customWidth="1"/>
    <col min="13" max="13" width="11.33203125" bestFit="1" customWidth="1"/>
    <col min="14" max="14" width="10.6640625" bestFit="1" customWidth="1"/>
    <col min="15" max="15" width="12.77734375" bestFit="1" customWidth="1"/>
    <col min="16" max="16" width="9.6640625" bestFit="1" customWidth="1"/>
    <col min="17" max="17" width="19.5546875" bestFit="1" customWidth="1"/>
    <col min="18" max="18" width="20.6640625" bestFit="1" customWidth="1"/>
    <col min="19" max="19" width="22.21875" customWidth="1"/>
  </cols>
  <sheetData>
    <row r="1" spans="1:19" x14ac:dyDescent="0.3">
      <c r="A1" t="s">
        <v>0</v>
      </c>
      <c r="B1" t="s">
        <v>1</v>
      </c>
      <c r="C1" t="s">
        <v>2</v>
      </c>
      <c r="D1" t="s">
        <v>3</v>
      </c>
      <c r="E1" t="s">
        <v>4</v>
      </c>
      <c r="F1" t="s">
        <v>5</v>
      </c>
      <c r="G1" t="s">
        <v>6</v>
      </c>
      <c r="H1" t="s">
        <v>7</v>
      </c>
      <c r="I1" t="s">
        <v>8</v>
      </c>
      <c r="J1" t="s">
        <v>9</v>
      </c>
      <c r="K1" t="s">
        <v>10</v>
      </c>
      <c r="L1" t="s">
        <v>3327</v>
      </c>
      <c r="M1" t="s">
        <v>3328</v>
      </c>
      <c r="N1" t="s">
        <v>3331</v>
      </c>
      <c r="O1" t="s">
        <v>3330</v>
      </c>
      <c r="P1" t="s">
        <v>3329</v>
      </c>
      <c r="Q1" t="s">
        <v>3332</v>
      </c>
      <c r="R1" t="s">
        <v>3333</v>
      </c>
      <c r="S1" t="s">
        <v>3334</v>
      </c>
    </row>
    <row r="2" spans="1:19" x14ac:dyDescent="0.3">
      <c r="A2" t="s">
        <v>11</v>
      </c>
      <c r="B2" t="s">
        <v>12</v>
      </c>
      <c r="C2">
        <v>18</v>
      </c>
      <c r="D2" s="2" t="s">
        <v>13</v>
      </c>
      <c r="E2" s="2" t="s">
        <v>14</v>
      </c>
      <c r="F2" s="2" t="s">
        <v>15</v>
      </c>
      <c r="G2" s="2" t="s">
        <v>16</v>
      </c>
      <c r="H2" s="2" t="s">
        <v>17</v>
      </c>
      <c r="I2" s="2" t="s">
        <v>18</v>
      </c>
      <c r="J2">
        <v>0.61</v>
      </c>
      <c r="K2" s="1">
        <v>43863</v>
      </c>
      <c r="L2" s="2" t="str">
        <f>IF(Sheet1[[#This Row],[age]]&lt;18, "Under 18",IF(Sheet1[[#This Row],[age]]&lt;=30,"18-30",IF(Sheet1[[#This Row],[age]]&lt;=45,"31-45",IF(Sheet1[[#This Row],[age]]&lt;=60,"46-60","60+"))))</f>
        <v>18-30</v>
      </c>
      <c r="M2" s="2" t="str">
        <f>IF(Sheet1[[#This Row],[risk_score]]&lt;0.3,"Low",IF(Sheet1[[#This Row],[risk_score]]&lt;0.7,"Medium","High"))</f>
        <v>Medium</v>
      </c>
      <c r="N2">
        <f>YEAR(Sheet1[[#This Row],[date_joined]])</f>
        <v>2020</v>
      </c>
      <c r="O2" s="2" t="str">
        <f>TEXT(Sheet1[[#This Row],[date_joined]],"mmm")</f>
        <v>Feb</v>
      </c>
      <c r="P2" s="2" t="str">
        <f>"Q"&amp;ROUNDUP(MONTH(Sheet1[[#This Row],[date_joined]])/3,0)</f>
        <v>Q1</v>
      </c>
      <c r="Q2" s="2" t="str">
        <f>IF(Sheet1[[#This Row],[age]]&lt;30,"Young",IF(Sheet1[[#This Row],[age]]&lt;=50,"Adult","Senior"))</f>
        <v>Young</v>
      </c>
      <c r="R2" s="2" t="str">
        <f t="shared" ref="R2:R65" si="0">IF(AND(H2="Yes",I2="Yes"),"Very High",
IF(OR(H2="Yes",I2="Yes"),"High","Low"))</f>
        <v>High</v>
      </c>
      <c r="S2" s="2" t="str">
        <f t="shared" ref="S2:S65" si="1">G2&amp;" - "&amp;F2</f>
        <v>West - Student</v>
      </c>
    </row>
    <row r="3" spans="1:19" x14ac:dyDescent="0.3">
      <c r="A3" t="s">
        <v>19</v>
      </c>
      <c r="B3" t="s">
        <v>20</v>
      </c>
      <c r="C3">
        <v>39</v>
      </c>
      <c r="D3" s="2" t="s">
        <v>21</v>
      </c>
      <c r="E3" s="2" t="s">
        <v>22</v>
      </c>
      <c r="F3" s="2" t="s">
        <v>23</v>
      </c>
      <c r="G3" s="2" t="s">
        <v>24</v>
      </c>
      <c r="H3" s="2" t="s">
        <v>18</v>
      </c>
      <c r="I3" s="2" t="s">
        <v>18</v>
      </c>
      <c r="J3">
        <v>0.56000000000000005</v>
      </c>
      <c r="K3" s="1">
        <v>43938</v>
      </c>
      <c r="L3" s="2" t="str">
        <f>IF(Sheet1[[#This Row],[age]]&lt;18, "Under 18",IF(Sheet1[[#This Row],[age]]&lt;=30,"18-30",IF(Sheet1[[#This Row],[age]]&lt;=45,"31-45",IF(Sheet1[[#This Row],[age]]&lt;=60,"46-60","60+"))))</f>
        <v>31-45</v>
      </c>
      <c r="M3" s="2" t="str">
        <f>IF(Sheet1[[#This Row],[risk_score]]&lt;0.3,"Low",IF(Sheet1[[#This Row],[risk_score]]&lt;0.7,"Medium","High"))</f>
        <v>Medium</v>
      </c>
      <c r="N3">
        <f>YEAR(Sheet1[[#This Row],[date_joined]])</f>
        <v>2020</v>
      </c>
      <c r="O3" s="2" t="str">
        <f>TEXT(Sheet1[[#This Row],[date_joined]],"mmm")</f>
        <v>Apr</v>
      </c>
      <c r="P3" s="2" t="str">
        <f>"Q"&amp;ROUNDUP(MONTH(Sheet1[[#This Row],[date_joined]])/3,0)</f>
        <v>Q2</v>
      </c>
      <c r="Q3" s="2" t="str">
        <f>IF(Sheet1[[#This Row],[age]]&lt;30,"Young",IF(Sheet1[[#This Row],[age]]&lt;=50,"Adult","Senior"))</f>
        <v>Adult</v>
      </c>
      <c r="R3" s="2" t="str">
        <f t="shared" si="0"/>
        <v>Very High</v>
      </c>
      <c r="S3" s="2" t="str">
        <f t="shared" si="1"/>
        <v>East - Salaried</v>
      </c>
    </row>
    <row r="4" spans="1:19" x14ac:dyDescent="0.3">
      <c r="A4" t="s">
        <v>25</v>
      </c>
      <c r="B4" t="s">
        <v>26</v>
      </c>
      <c r="C4">
        <v>34</v>
      </c>
      <c r="D4" s="2" t="s">
        <v>13</v>
      </c>
      <c r="E4" s="2" t="s">
        <v>14</v>
      </c>
      <c r="F4" s="2" t="s">
        <v>15</v>
      </c>
      <c r="G4" s="2" t="s">
        <v>27</v>
      </c>
      <c r="H4" s="2" t="s">
        <v>18</v>
      </c>
      <c r="I4" s="2" t="s">
        <v>17</v>
      </c>
      <c r="J4">
        <v>0.48</v>
      </c>
      <c r="K4" s="1">
        <v>43278</v>
      </c>
      <c r="L4" s="2" t="str">
        <f>IF(Sheet1[[#This Row],[age]]&lt;18, "Under 18",IF(Sheet1[[#This Row],[age]]&lt;=30,"18-30",IF(Sheet1[[#This Row],[age]]&lt;=45,"31-45",IF(Sheet1[[#This Row],[age]]&lt;=60,"46-60","60+"))))</f>
        <v>31-45</v>
      </c>
      <c r="M4" s="2" t="str">
        <f>IF(Sheet1[[#This Row],[risk_score]]&lt;0.3,"Low",IF(Sheet1[[#This Row],[risk_score]]&lt;0.7,"Medium","High"))</f>
        <v>Medium</v>
      </c>
      <c r="N4">
        <f>YEAR(Sheet1[[#This Row],[date_joined]])</f>
        <v>2018</v>
      </c>
      <c r="O4" s="2" t="str">
        <f>TEXT(Sheet1[[#This Row],[date_joined]],"mmm")</f>
        <v>Jun</v>
      </c>
      <c r="P4" s="2" t="str">
        <f>"Q"&amp;ROUNDUP(MONTH(Sheet1[[#This Row],[date_joined]])/3,0)</f>
        <v>Q2</v>
      </c>
      <c r="Q4" s="2" t="str">
        <f>IF(Sheet1[[#This Row],[age]]&lt;30,"Young",IF(Sheet1[[#This Row],[age]]&lt;=50,"Adult","Senior"))</f>
        <v>Adult</v>
      </c>
      <c r="R4" s="2" t="str">
        <f t="shared" si="0"/>
        <v>High</v>
      </c>
      <c r="S4" s="2" t="str">
        <f t="shared" si="1"/>
        <v>North - Student</v>
      </c>
    </row>
    <row r="5" spans="1:19" x14ac:dyDescent="0.3">
      <c r="A5" t="s">
        <v>28</v>
      </c>
      <c r="B5" t="s">
        <v>29</v>
      </c>
      <c r="C5">
        <v>50</v>
      </c>
      <c r="D5" s="2" t="s">
        <v>13</v>
      </c>
      <c r="E5" s="2" t="s">
        <v>30</v>
      </c>
      <c r="F5" s="2" t="s">
        <v>31</v>
      </c>
      <c r="G5" s="2" t="s">
        <v>32</v>
      </c>
      <c r="H5" s="2" t="s">
        <v>18</v>
      </c>
      <c r="I5" s="2" t="s">
        <v>17</v>
      </c>
      <c r="J5">
        <v>0.47</v>
      </c>
      <c r="K5" s="1">
        <v>44532</v>
      </c>
      <c r="L5" s="2" t="str">
        <f>IF(Sheet1[[#This Row],[age]]&lt;18, "Under 18",IF(Sheet1[[#This Row],[age]]&lt;=30,"18-30",IF(Sheet1[[#This Row],[age]]&lt;=45,"31-45",IF(Sheet1[[#This Row],[age]]&lt;=60,"46-60","60+"))))</f>
        <v>46-60</v>
      </c>
      <c r="M5" s="2" t="str">
        <f>IF(Sheet1[[#This Row],[risk_score]]&lt;0.3,"Low",IF(Sheet1[[#This Row],[risk_score]]&lt;0.7,"Medium","High"))</f>
        <v>Medium</v>
      </c>
      <c r="N5">
        <f>YEAR(Sheet1[[#This Row],[date_joined]])</f>
        <v>2021</v>
      </c>
      <c r="O5" s="2" t="str">
        <f>TEXT(Sheet1[[#This Row],[date_joined]],"mmm")</f>
        <v>Dec</v>
      </c>
      <c r="P5" s="2" t="str">
        <f>"Q"&amp;ROUNDUP(MONTH(Sheet1[[#This Row],[date_joined]])/3,0)</f>
        <v>Q4</v>
      </c>
      <c r="Q5" s="2" t="str">
        <f>IF(Sheet1[[#This Row],[age]]&lt;30,"Young",IF(Sheet1[[#This Row],[age]]&lt;=50,"Adult","Senior"))</f>
        <v>Adult</v>
      </c>
      <c r="R5" s="2" t="str">
        <f t="shared" si="0"/>
        <v>High</v>
      </c>
      <c r="S5" s="2" t="str">
        <f t="shared" si="1"/>
        <v>South - Self-employed</v>
      </c>
    </row>
    <row r="6" spans="1:19" x14ac:dyDescent="0.3">
      <c r="A6" t="s">
        <v>33</v>
      </c>
      <c r="B6" t="s">
        <v>34</v>
      </c>
      <c r="C6">
        <v>20</v>
      </c>
      <c r="D6" s="2" t="s">
        <v>21</v>
      </c>
      <c r="E6" s="2" t="s">
        <v>14</v>
      </c>
      <c r="F6" s="2" t="s">
        <v>15</v>
      </c>
      <c r="G6" s="2" t="s">
        <v>27</v>
      </c>
      <c r="H6" s="2" t="s">
        <v>18</v>
      </c>
      <c r="I6" s="2" t="s">
        <v>17</v>
      </c>
      <c r="J6">
        <v>0.55000000000000004</v>
      </c>
      <c r="K6" s="1">
        <v>44859</v>
      </c>
      <c r="L6" s="2" t="str">
        <f>IF(Sheet1[[#This Row],[age]]&lt;18, "Under 18",IF(Sheet1[[#This Row],[age]]&lt;=30,"18-30",IF(Sheet1[[#This Row],[age]]&lt;=45,"31-45",IF(Sheet1[[#This Row],[age]]&lt;=60,"46-60","60+"))))</f>
        <v>18-30</v>
      </c>
      <c r="M6" s="2" t="str">
        <f>IF(Sheet1[[#This Row],[risk_score]]&lt;0.3,"Low",IF(Sheet1[[#This Row],[risk_score]]&lt;0.7,"Medium","High"))</f>
        <v>Medium</v>
      </c>
      <c r="N6">
        <f>YEAR(Sheet1[[#This Row],[date_joined]])</f>
        <v>2022</v>
      </c>
      <c r="O6" s="2" t="str">
        <f>TEXT(Sheet1[[#This Row],[date_joined]],"mmm")</f>
        <v>Oct</v>
      </c>
      <c r="P6" s="2" t="str">
        <f>"Q"&amp;ROUNDUP(MONTH(Sheet1[[#This Row],[date_joined]])/3,0)</f>
        <v>Q4</v>
      </c>
      <c r="Q6" s="2" t="str">
        <f>IF(Sheet1[[#This Row],[age]]&lt;30,"Young",IF(Sheet1[[#This Row],[age]]&lt;=50,"Adult","Senior"))</f>
        <v>Young</v>
      </c>
      <c r="R6" s="2" t="str">
        <f t="shared" si="0"/>
        <v>High</v>
      </c>
      <c r="S6" s="2" t="str">
        <f t="shared" si="1"/>
        <v>North - Student</v>
      </c>
    </row>
    <row r="7" spans="1:19" x14ac:dyDescent="0.3">
      <c r="A7" t="s">
        <v>35</v>
      </c>
      <c r="B7" t="s">
        <v>36</v>
      </c>
      <c r="C7">
        <v>20</v>
      </c>
      <c r="D7" s="2" t="s">
        <v>13</v>
      </c>
      <c r="E7" s="2" t="s">
        <v>14</v>
      </c>
      <c r="F7" s="2" t="s">
        <v>37</v>
      </c>
      <c r="G7" s="2" t="s">
        <v>32</v>
      </c>
      <c r="H7" s="2" t="s">
        <v>17</v>
      </c>
      <c r="I7" s="2" t="s">
        <v>18</v>
      </c>
      <c r="J7">
        <v>0.28000000000000003</v>
      </c>
      <c r="K7" s="1">
        <v>43284</v>
      </c>
      <c r="L7" s="2" t="str">
        <f>IF(Sheet1[[#This Row],[age]]&lt;18, "Under 18",IF(Sheet1[[#This Row],[age]]&lt;=30,"18-30",IF(Sheet1[[#This Row],[age]]&lt;=45,"31-45",IF(Sheet1[[#This Row],[age]]&lt;=60,"46-60","60+"))))</f>
        <v>18-30</v>
      </c>
      <c r="M7" s="2" t="str">
        <f>IF(Sheet1[[#This Row],[risk_score]]&lt;0.3,"Low",IF(Sheet1[[#This Row],[risk_score]]&lt;0.7,"Medium","High"))</f>
        <v>Low</v>
      </c>
      <c r="N7">
        <f>YEAR(Sheet1[[#This Row],[date_joined]])</f>
        <v>2018</v>
      </c>
      <c r="O7" s="2" t="str">
        <f>TEXT(Sheet1[[#This Row],[date_joined]],"mmm")</f>
        <v>Jul</v>
      </c>
      <c r="P7" s="2" t="str">
        <f>"Q"&amp;ROUNDUP(MONTH(Sheet1[[#This Row],[date_joined]])/3,0)</f>
        <v>Q3</v>
      </c>
      <c r="Q7" s="2" t="str">
        <f>IF(Sheet1[[#This Row],[age]]&lt;30,"Young",IF(Sheet1[[#This Row],[age]]&lt;=50,"Adult","Senior"))</f>
        <v>Young</v>
      </c>
      <c r="R7" s="2" t="str">
        <f t="shared" si="0"/>
        <v>High</v>
      </c>
      <c r="S7" s="2" t="str">
        <f t="shared" si="1"/>
        <v>South - Retired</v>
      </c>
    </row>
    <row r="8" spans="1:19" x14ac:dyDescent="0.3">
      <c r="A8" t="s">
        <v>38</v>
      </c>
      <c r="B8" t="s">
        <v>39</v>
      </c>
      <c r="C8">
        <v>30</v>
      </c>
      <c r="D8" s="2" t="s">
        <v>21</v>
      </c>
      <c r="E8" s="2" t="s">
        <v>14</v>
      </c>
      <c r="F8" s="2" t="s">
        <v>15</v>
      </c>
      <c r="G8" s="2" t="s">
        <v>16</v>
      </c>
      <c r="H8" s="2" t="s">
        <v>17</v>
      </c>
      <c r="I8" s="2" t="s">
        <v>18</v>
      </c>
      <c r="J8">
        <v>0.11</v>
      </c>
      <c r="K8" s="1">
        <v>44005</v>
      </c>
      <c r="L8" s="2" t="str">
        <f>IF(Sheet1[[#This Row],[age]]&lt;18, "Under 18",IF(Sheet1[[#This Row],[age]]&lt;=30,"18-30",IF(Sheet1[[#This Row],[age]]&lt;=45,"31-45",IF(Sheet1[[#This Row],[age]]&lt;=60,"46-60","60+"))))</f>
        <v>18-30</v>
      </c>
      <c r="M8" s="2" t="str">
        <f>IF(Sheet1[[#This Row],[risk_score]]&lt;0.3,"Low",IF(Sheet1[[#This Row],[risk_score]]&lt;0.7,"Medium","High"))</f>
        <v>Low</v>
      </c>
      <c r="N8">
        <f>YEAR(Sheet1[[#This Row],[date_joined]])</f>
        <v>2020</v>
      </c>
      <c r="O8" s="2" t="str">
        <f>TEXT(Sheet1[[#This Row],[date_joined]],"mmm")</f>
        <v>Jun</v>
      </c>
      <c r="P8" s="2" t="str">
        <f>"Q"&amp;ROUNDUP(MONTH(Sheet1[[#This Row],[date_joined]])/3,0)</f>
        <v>Q2</v>
      </c>
      <c r="Q8" s="2" t="str">
        <f>IF(Sheet1[[#This Row],[age]]&lt;30,"Young",IF(Sheet1[[#This Row],[age]]&lt;=50,"Adult","Senior"))</f>
        <v>Adult</v>
      </c>
      <c r="R8" s="2" t="str">
        <f t="shared" si="0"/>
        <v>High</v>
      </c>
      <c r="S8" s="2" t="str">
        <f t="shared" si="1"/>
        <v>West - Student</v>
      </c>
    </row>
    <row r="9" spans="1:19" x14ac:dyDescent="0.3">
      <c r="A9" t="s">
        <v>40</v>
      </c>
      <c r="B9" t="s">
        <v>41</v>
      </c>
      <c r="C9">
        <v>27</v>
      </c>
      <c r="D9" s="2" t="s">
        <v>13</v>
      </c>
      <c r="E9" s="2" t="s">
        <v>30</v>
      </c>
      <c r="F9" s="2" t="s">
        <v>23</v>
      </c>
      <c r="G9" s="2" t="s">
        <v>27</v>
      </c>
      <c r="H9" s="2" t="s">
        <v>18</v>
      </c>
      <c r="I9" s="2" t="s">
        <v>18</v>
      </c>
      <c r="J9">
        <v>0.16</v>
      </c>
      <c r="K9" s="1">
        <v>43546</v>
      </c>
      <c r="L9" s="2" t="str">
        <f>IF(Sheet1[[#This Row],[age]]&lt;18, "Under 18",IF(Sheet1[[#This Row],[age]]&lt;=30,"18-30",IF(Sheet1[[#This Row],[age]]&lt;=45,"31-45",IF(Sheet1[[#This Row],[age]]&lt;=60,"46-60","60+"))))</f>
        <v>18-30</v>
      </c>
      <c r="M9" s="2" t="str">
        <f>IF(Sheet1[[#This Row],[risk_score]]&lt;0.3,"Low",IF(Sheet1[[#This Row],[risk_score]]&lt;0.7,"Medium","High"))</f>
        <v>Low</v>
      </c>
      <c r="N9">
        <f>YEAR(Sheet1[[#This Row],[date_joined]])</f>
        <v>2019</v>
      </c>
      <c r="O9" s="2" t="str">
        <f>TEXT(Sheet1[[#This Row],[date_joined]],"mmm")</f>
        <v>Mar</v>
      </c>
      <c r="P9" s="2" t="str">
        <f>"Q"&amp;ROUNDUP(MONTH(Sheet1[[#This Row],[date_joined]])/3,0)</f>
        <v>Q1</v>
      </c>
      <c r="Q9" s="2" t="str">
        <f>IF(Sheet1[[#This Row],[age]]&lt;30,"Young",IF(Sheet1[[#This Row],[age]]&lt;=50,"Adult","Senior"))</f>
        <v>Young</v>
      </c>
      <c r="R9" s="2" t="str">
        <f t="shared" si="0"/>
        <v>Very High</v>
      </c>
      <c r="S9" s="2" t="str">
        <f t="shared" si="1"/>
        <v>North - Salaried</v>
      </c>
    </row>
    <row r="10" spans="1:19" x14ac:dyDescent="0.3">
      <c r="A10" t="s">
        <v>42</v>
      </c>
      <c r="B10" t="s">
        <v>43</v>
      </c>
      <c r="C10">
        <v>42</v>
      </c>
      <c r="D10" s="2" t="s">
        <v>21</v>
      </c>
      <c r="E10" s="2" t="s">
        <v>22</v>
      </c>
      <c r="F10" s="2" t="s">
        <v>15</v>
      </c>
      <c r="G10" s="2" t="s">
        <v>24</v>
      </c>
      <c r="H10" s="2" t="s">
        <v>17</v>
      </c>
      <c r="I10" s="2" t="s">
        <v>18</v>
      </c>
      <c r="J10">
        <v>0.73</v>
      </c>
      <c r="K10" s="1">
        <v>44984</v>
      </c>
      <c r="L10" s="2" t="str">
        <f>IF(Sheet1[[#This Row],[age]]&lt;18, "Under 18",IF(Sheet1[[#This Row],[age]]&lt;=30,"18-30",IF(Sheet1[[#This Row],[age]]&lt;=45,"31-45",IF(Sheet1[[#This Row],[age]]&lt;=60,"46-60","60+"))))</f>
        <v>31-45</v>
      </c>
      <c r="M10" s="2" t="str">
        <f>IF(Sheet1[[#This Row],[risk_score]]&lt;0.3,"Low",IF(Sheet1[[#This Row],[risk_score]]&lt;0.7,"Medium","High"))</f>
        <v>High</v>
      </c>
      <c r="N10">
        <f>YEAR(Sheet1[[#This Row],[date_joined]])</f>
        <v>2023</v>
      </c>
      <c r="O10" s="2" t="str">
        <f>TEXT(Sheet1[[#This Row],[date_joined]],"mmm")</f>
        <v>Feb</v>
      </c>
      <c r="P10" s="2" t="str">
        <f>"Q"&amp;ROUNDUP(MONTH(Sheet1[[#This Row],[date_joined]])/3,0)</f>
        <v>Q1</v>
      </c>
      <c r="Q10" s="2" t="str">
        <f>IF(Sheet1[[#This Row],[age]]&lt;30,"Young",IF(Sheet1[[#This Row],[age]]&lt;=50,"Adult","Senior"))</f>
        <v>Adult</v>
      </c>
      <c r="R10" s="2" t="str">
        <f t="shared" si="0"/>
        <v>High</v>
      </c>
      <c r="S10" s="2" t="str">
        <f t="shared" si="1"/>
        <v>East - Student</v>
      </c>
    </row>
    <row r="11" spans="1:19" x14ac:dyDescent="0.3">
      <c r="A11" t="s">
        <v>44</v>
      </c>
      <c r="B11" t="s">
        <v>45</v>
      </c>
      <c r="C11">
        <v>28</v>
      </c>
      <c r="D11" s="2" t="s">
        <v>13</v>
      </c>
      <c r="E11" s="2" t="s">
        <v>14</v>
      </c>
      <c r="F11" s="2" t="s">
        <v>31</v>
      </c>
      <c r="G11" s="2" t="s">
        <v>16</v>
      </c>
      <c r="H11" s="2" t="s">
        <v>17</v>
      </c>
      <c r="I11" s="2" t="s">
        <v>18</v>
      </c>
      <c r="J11">
        <v>0.26</v>
      </c>
      <c r="K11" s="1">
        <v>43457</v>
      </c>
      <c r="L11" s="2" t="str">
        <f>IF(Sheet1[[#This Row],[age]]&lt;18, "Under 18",IF(Sheet1[[#This Row],[age]]&lt;=30,"18-30",IF(Sheet1[[#This Row],[age]]&lt;=45,"31-45",IF(Sheet1[[#This Row],[age]]&lt;=60,"46-60","60+"))))</f>
        <v>18-30</v>
      </c>
      <c r="M11" s="2" t="str">
        <f>IF(Sheet1[[#This Row],[risk_score]]&lt;0.3,"Low",IF(Sheet1[[#This Row],[risk_score]]&lt;0.7,"Medium","High"))</f>
        <v>Low</v>
      </c>
      <c r="N11">
        <f>YEAR(Sheet1[[#This Row],[date_joined]])</f>
        <v>2018</v>
      </c>
      <c r="O11" s="2" t="str">
        <f>TEXT(Sheet1[[#This Row],[date_joined]],"mmm")</f>
        <v>Dec</v>
      </c>
      <c r="P11" s="2" t="str">
        <f>"Q"&amp;ROUNDUP(MONTH(Sheet1[[#This Row],[date_joined]])/3,0)</f>
        <v>Q4</v>
      </c>
      <c r="Q11" s="2" t="str">
        <f>IF(Sheet1[[#This Row],[age]]&lt;30,"Young",IF(Sheet1[[#This Row],[age]]&lt;=50,"Adult","Senior"))</f>
        <v>Young</v>
      </c>
      <c r="R11" s="2" t="str">
        <f t="shared" si="0"/>
        <v>High</v>
      </c>
      <c r="S11" s="2" t="str">
        <f t="shared" si="1"/>
        <v>West - Self-employed</v>
      </c>
    </row>
    <row r="12" spans="1:19" x14ac:dyDescent="0.3">
      <c r="A12" t="s">
        <v>46</v>
      </c>
      <c r="B12" t="s">
        <v>47</v>
      </c>
      <c r="C12">
        <v>66</v>
      </c>
      <c r="D12" s="2" t="s">
        <v>13</v>
      </c>
      <c r="E12" s="2" t="s">
        <v>30</v>
      </c>
      <c r="F12" s="2" t="s">
        <v>15</v>
      </c>
      <c r="G12" s="2" t="s">
        <v>16</v>
      </c>
      <c r="H12" s="2" t="s">
        <v>17</v>
      </c>
      <c r="I12" s="2" t="s">
        <v>17</v>
      </c>
      <c r="J12">
        <v>0.44</v>
      </c>
      <c r="K12" s="1">
        <v>43278</v>
      </c>
      <c r="L12" s="2" t="str">
        <f>IF(Sheet1[[#This Row],[age]]&lt;18, "Under 18",IF(Sheet1[[#This Row],[age]]&lt;=30,"18-30",IF(Sheet1[[#This Row],[age]]&lt;=45,"31-45",IF(Sheet1[[#This Row],[age]]&lt;=60,"46-60","60+"))))</f>
        <v>60+</v>
      </c>
      <c r="M12" s="2" t="str">
        <f>IF(Sheet1[[#This Row],[risk_score]]&lt;0.3,"Low",IF(Sheet1[[#This Row],[risk_score]]&lt;0.7,"Medium","High"))</f>
        <v>Medium</v>
      </c>
      <c r="N12">
        <f>YEAR(Sheet1[[#This Row],[date_joined]])</f>
        <v>2018</v>
      </c>
      <c r="O12" s="2" t="str">
        <f>TEXT(Sheet1[[#This Row],[date_joined]],"mmm")</f>
        <v>Jun</v>
      </c>
      <c r="P12" s="2" t="str">
        <f>"Q"&amp;ROUNDUP(MONTH(Sheet1[[#This Row],[date_joined]])/3,0)</f>
        <v>Q2</v>
      </c>
      <c r="Q12" s="2" t="str">
        <f>IF(Sheet1[[#This Row],[age]]&lt;30,"Young",IF(Sheet1[[#This Row],[age]]&lt;=50,"Adult","Senior"))</f>
        <v>Senior</v>
      </c>
      <c r="R12" s="2" t="str">
        <f t="shared" si="0"/>
        <v>Low</v>
      </c>
      <c r="S12" s="2" t="str">
        <f t="shared" si="1"/>
        <v>West - Student</v>
      </c>
    </row>
    <row r="13" spans="1:19" x14ac:dyDescent="0.3">
      <c r="A13" t="s">
        <v>48</v>
      </c>
      <c r="B13" t="s">
        <v>49</v>
      </c>
      <c r="C13">
        <v>54</v>
      </c>
      <c r="D13" s="2" t="s">
        <v>13</v>
      </c>
      <c r="E13" s="2" t="s">
        <v>14</v>
      </c>
      <c r="F13" s="2" t="s">
        <v>31</v>
      </c>
      <c r="G13" s="2" t="s">
        <v>16</v>
      </c>
      <c r="H13" s="2" t="s">
        <v>18</v>
      </c>
      <c r="I13" s="2" t="s">
        <v>17</v>
      </c>
      <c r="J13">
        <v>0.71</v>
      </c>
      <c r="K13" s="1">
        <v>44558</v>
      </c>
      <c r="L13" s="2" t="str">
        <f>IF(Sheet1[[#This Row],[age]]&lt;18, "Under 18",IF(Sheet1[[#This Row],[age]]&lt;=30,"18-30",IF(Sheet1[[#This Row],[age]]&lt;=45,"31-45",IF(Sheet1[[#This Row],[age]]&lt;=60,"46-60","60+"))))</f>
        <v>46-60</v>
      </c>
      <c r="M13" s="2" t="str">
        <f>IF(Sheet1[[#This Row],[risk_score]]&lt;0.3,"Low",IF(Sheet1[[#This Row],[risk_score]]&lt;0.7,"Medium","High"))</f>
        <v>High</v>
      </c>
      <c r="N13">
        <f>YEAR(Sheet1[[#This Row],[date_joined]])</f>
        <v>2021</v>
      </c>
      <c r="O13" s="2" t="str">
        <f>TEXT(Sheet1[[#This Row],[date_joined]],"mmm")</f>
        <v>Dec</v>
      </c>
      <c r="P13" s="2" t="str">
        <f>"Q"&amp;ROUNDUP(MONTH(Sheet1[[#This Row],[date_joined]])/3,0)</f>
        <v>Q4</v>
      </c>
      <c r="Q13" s="2" t="str">
        <f>IF(Sheet1[[#This Row],[age]]&lt;30,"Young",IF(Sheet1[[#This Row],[age]]&lt;=50,"Adult","Senior"))</f>
        <v>Senior</v>
      </c>
      <c r="R13" s="2" t="str">
        <f t="shared" si="0"/>
        <v>High</v>
      </c>
      <c r="S13" s="2" t="str">
        <f t="shared" si="1"/>
        <v>West - Self-employed</v>
      </c>
    </row>
    <row r="14" spans="1:19" x14ac:dyDescent="0.3">
      <c r="A14" t="s">
        <v>50</v>
      </c>
      <c r="B14" t="s">
        <v>51</v>
      </c>
      <c r="C14">
        <v>35</v>
      </c>
      <c r="D14" s="2" t="s">
        <v>21</v>
      </c>
      <c r="E14" s="2" t="s">
        <v>22</v>
      </c>
      <c r="F14" s="2" t="s">
        <v>23</v>
      </c>
      <c r="G14" s="2" t="s">
        <v>16</v>
      </c>
      <c r="H14" s="2" t="s">
        <v>18</v>
      </c>
      <c r="I14" s="2" t="s">
        <v>17</v>
      </c>
      <c r="J14">
        <v>0.14000000000000001</v>
      </c>
      <c r="K14" s="1">
        <v>44959</v>
      </c>
      <c r="L14" s="2" t="str">
        <f>IF(Sheet1[[#This Row],[age]]&lt;18, "Under 18",IF(Sheet1[[#This Row],[age]]&lt;=30,"18-30",IF(Sheet1[[#This Row],[age]]&lt;=45,"31-45",IF(Sheet1[[#This Row],[age]]&lt;=60,"46-60","60+"))))</f>
        <v>31-45</v>
      </c>
      <c r="M14" s="2" t="str">
        <f>IF(Sheet1[[#This Row],[risk_score]]&lt;0.3,"Low",IF(Sheet1[[#This Row],[risk_score]]&lt;0.7,"Medium","High"))</f>
        <v>Low</v>
      </c>
      <c r="N14">
        <f>YEAR(Sheet1[[#This Row],[date_joined]])</f>
        <v>2023</v>
      </c>
      <c r="O14" s="2" t="str">
        <f>TEXT(Sheet1[[#This Row],[date_joined]],"mmm")</f>
        <v>Feb</v>
      </c>
      <c r="P14" s="2" t="str">
        <f>"Q"&amp;ROUNDUP(MONTH(Sheet1[[#This Row],[date_joined]])/3,0)</f>
        <v>Q1</v>
      </c>
      <c r="Q14" s="2" t="str">
        <f>IF(Sheet1[[#This Row],[age]]&lt;30,"Young",IF(Sheet1[[#This Row],[age]]&lt;=50,"Adult","Senior"))</f>
        <v>Adult</v>
      </c>
      <c r="R14" s="2" t="str">
        <f t="shared" si="0"/>
        <v>High</v>
      </c>
      <c r="S14" s="2" t="str">
        <f t="shared" si="1"/>
        <v>West - Salaried</v>
      </c>
    </row>
    <row r="15" spans="1:19" x14ac:dyDescent="0.3">
      <c r="A15" t="s">
        <v>52</v>
      </c>
      <c r="B15" t="s">
        <v>53</v>
      </c>
      <c r="C15">
        <v>19</v>
      </c>
      <c r="D15" s="2" t="s">
        <v>21</v>
      </c>
      <c r="E15" s="2" t="s">
        <v>30</v>
      </c>
      <c r="F15" s="2" t="s">
        <v>37</v>
      </c>
      <c r="G15" s="2" t="s">
        <v>32</v>
      </c>
      <c r="H15" s="2" t="s">
        <v>17</v>
      </c>
      <c r="I15" s="2" t="s">
        <v>17</v>
      </c>
      <c r="J15">
        <v>0.66</v>
      </c>
      <c r="K15" s="1">
        <v>43669</v>
      </c>
      <c r="L15" s="2" t="str">
        <f>IF(Sheet1[[#This Row],[age]]&lt;18, "Under 18",IF(Sheet1[[#This Row],[age]]&lt;=30,"18-30",IF(Sheet1[[#This Row],[age]]&lt;=45,"31-45",IF(Sheet1[[#This Row],[age]]&lt;=60,"46-60","60+"))))</f>
        <v>18-30</v>
      </c>
      <c r="M15" s="2" t="str">
        <f>IF(Sheet1[[#This Row],[risk_score]]&lt;0.3,"Low",IF(Sheet1[[#This Row],[risk_score]]&lt;0.7,"Medium","High"))</f>
        <v>Medium</v>
      </c>
      <c r="N15">
        <f>YEAR(Sheet1[[#This Row],[date_joined]])</f>
        <v>2019</v>
      </c>
      <c r="O15" s="2" t="str">
        <f>TEXT(Sheet1[[#This Row],[date_joined]],"mmm")</f>
        <v>Jul</v>
      </c>
      <c r="P15" s="2" t="str">
        <f>"Q"&amp;ROUNDUP(MONTH(Sheet1[[#This Row],[date_joined]])/3,0)</f>
        <v>Q3</v>
      </c>
      <c r="Q15" s="2" t="str">
        <f>IF(Sheet1[[#This Row],[age]]&lt;30,"Young",IF(Sheet1[[#This Row],[age]]&lt;=50,"Adult","Senior"))</f>
        <v>Young</v>
      </c>
      <c r="R15" s="2" t="str">
        <f t="shared" si="0"/>
        <v>Low</v>
      </c>
      <c r="S15" s="2" t="str">
        <f t="shared" si="1"/>
        <v>South - Retired</v>
      </c>
    </row>
    <row r="16" spans="1:19" x14ac:dyDescent="0.3">
      <c r="A16" t="s">
        <v>54</v>
      </c>
      <c r="B16" t="s">
        <v>55</v>
      </c>
      <c r="C16">
        <v>36</v>
      </c>
      <c r="D16" s="2" t="s">
        <v>13</v>
      </c>
      <c r="E16" s="2" t="s">
        <v>22</v>
      </c>
      <c r="F16" s="2" t="s">
        <v>31</v>
      </c>
      <c r="G16" s="2" t="s">
        <v>16</v>
      </c>
      <c r="H16" s="2" t="s">
        <v>17</v>
      </c>
      <c r="I16" s="2" t="s">
        <v>18</v>
      </c>
      <c r="J16">
        <v>0.83</v>
      </c>
      <c r="K16" s="1">
        <v>43690</v>
      </c>
      <c r="L16" s="2" t="str">
        <f>IF(Sheet1[[#This Row],[age]]&lt;18, "Under 18",IF(Sheet1[[#This Row],[age]]&lt;=30,"18-30",IF(Sheet1[[#This Row],[age]]&lt;=45,"31-45",IF(Sheet1[[#This Row],[age]]&lt;=60,"46-60","60+"))))</f>
        <v>31-45</v>
      </c>
      <c r="M16" s="2" t="str">
        <f>IF(Sheet1[[#This Row],[risk_score]]&lt;0.3,"Low",IF(Sheet1[[#This Row],[risk_score]]&lt;0.7,"Medium","High"))</f>
        <v>High</v>
      </c>
      <c r="N16">
        <f>YEAR(Sheet1[[#This Row],[date_joined]])</f>
        <v>2019</v>
      </c>
      <c r="O16" s="2" t="str">
        <f>TEXT(Sheet1[[#This Row],[date_joined]],"mmm")</f>
        <v>Aug</v>
      </c>
      <c r="P16" s="2" t="str">
        <f>"Q"&amp;ROUNDUP(MONTH(Sheet1[[#This Row],[date_joined]])/3,0)</f>
        <v>Q3</v>
      </c>
      <c r="Q16" s="2" t="str">
        <f>IF(Sheet1[[#This Row],[age]]&lt;30,"Young",IF(Sheet1[[#This Row],[age]]&lt;=50,"Adult","Senior"))</f>
        <v>Adult</v>
      </c>
      <c r="R16" s="2" t="str">
        <f t="shared" si="0"/>
        <v>High</v>
      </c>
      <c r="S16" s="2" t="str">
        <f t="shared" si="1"/>
        <v>West - Self-employed</v>
      </c>
    </row>
    <row r="17" spans="1:19" x14ac:dyDescent="0.3">
      <c r="A17" t="s">
        <v>56</v>
      </c>
      <c r="B17" t="s">
        <v>57</v>
      </c>
      <c r="C17">
        <v>37</v>
      </c>
      <c r="D17" s="2" t="s">
        <v>21</v>
      </c>
      <c r="E17" s="2" t="s">
        <v>22</v>
      </c>
      <c r="F17" s="2" t="s">
        <v>15</v>
      </c>
      <c r="G17" s="2" t="s">
        <v>27</v>
      </c>
      <c r="H17" s="2" t="s">
        <v>17</v>
      </c>
      <c r="I17" s="2" t="s">
        <v>18</v>
      </c>
      <c r="J17">
        <v>0.79</v>
      </c>
      <c r="K17" s="1">
        <v>44408</v>
      </c>
      <c r="L17" s="2" t="str">
        <f>IF(Sheet1[[#This Row],[age]]&lt;18, "Under 18",IF(Sheet1[[#This Row],[age]]&lt;=30,"18-30",IF(Sheet1[[#This Row],[age]]&lt;=45,"31-45",IF(Sheet1[[#This Row],[age]]&lt;=60,"46-60","60+"))))</f>
        <v>31-45</v>
      </c>
      <c r="M17" s="2" t="str">
        <f>IF(Sheet1[[#This Row],[risk_score]]&lt;0.3,"Low",IF(Sheet1[[#This Row],[risk_score]]&lt;0.7,"Medium","High"))</f>
        <v>High</v>
      </c>
      <c r="N17">
        <f>YEAR(Sheet1[[#This Row],[date_joined]])</f>
        <v>2021</v>
      </c>
      <c r="O17" s="2" t="str">
        <f>TEXT(Sheet1[[#This Row],[date_joined]],"mmm")</f>
        <v>Jul</v>
      </c>
      <c r="P17" s="2" t="str">
        <f>"Q"&amp;ROUNDUP(MONTH(Sheet1[[#This Row],[date_joined]])/3,0)</f>
        <v>Q3</v>
      </c>
      <c r="Q17" s="2" t="str">
        <f>IF(Sheet1[[#This Row],[age]]&lt;30,"Young",IF(Sheet1[[#This Row],[age]]&lt;=50,"Adult","Senior"))</f>
        <v>Adult</v>
      </c>
      <c r="R17" s="2" t="str">
        <f t="shared" si="0"/>
        <v>High</v>
      </c>
      <c r="S17" s="2" t="str">
        <f t="shared" si="1"/>
        <v>North - Student</v>
      </c>
    </row>
    <row r="18" spans="1:19" x14ac:dyDescent="0.3">
      <c r="A18" t="s">
        <v>58</v>
      </c>
      <c r="B18" t="s">
        <v>59</v>
      </c>
      <c r="C18">
        <v>25</v>
      </c>
      <c r="D18" s="2" t="s">
        <v>21</v>
      </c>
      <c r="E18" s="2" t="s">
        <v>22</v>
      </c>
      <c r="F18" s="2" t="s">
        <v>31</v>
      </c>
      <c r="G18" s="2" t="s">
        <v>32</v>
      </c>
      <c r="H18" s="2" t="s">
        <v>18</v>
      </c>
      <c r="I18" s="2" t="s">
        <v>17</v>
      </c>
      <c r="J18">
        <v>0.35</v>
      </c>
      <c r="K18" s="1">
        <v>43869</v>
      </c>
      <c r="L18" s="2" t="str">
        <f>IF(Sheet1[[#This Row],[age]]&lt;18, "Under 18",IF(Sheet1[[#This Row],[age]]&lt;=30,"18-30",IF(Sheet1[[#This Row],[age]]&lt;=45,"31-45",IF(Sheet1[[#This Row],[age]]&lt;=60,"46-60","60+"))))</f>
        <v>18-30</v>
      </c>
      <c r="M18" s="2" t="str">
        <f>IF(Sheet1[[#This Row],[risk_score]]&lt;0.3,"Low",IF(Sheet1[[#This Row],[risk_score]]&lt;0.7,"Medium","High"))</f>
        <v>Medium</v>
      </c>
      <c r="N18">
        <f>YEAR(Sheet1[[#This Row],[date_joined]])</f>
        <v>2020</v>
      </c>
      <c r="O18" s="2" t="str">
        <f>TEXT(Sheet1[[#This Row],[date_joined]],"mmm")</f>
        <v>Feb</v>
      </c>
      <c r="P18" s="2" t="str">
        <f>"Q"&amp;ROUNDUP(MONTH(Sheet1[[#This Row],[date_joined]])/3,0)</f>
        <v>Q1</v>
      </c>
      <c r="Q18" s="2" t="str">
        <f>IF(Sheet1[[#This Row],[age]]&lt;30,"Young",IF(Sheet1[[#This Row],[age]]&lt;=50,"Adult","Senior"))</f>
        <v>Young</v>
      </c>
      <c r="R18" s="2" t="str">
        <f t="shared" si="0"/>
        <v>High</v>
      </c>
      <c r="S18" s="2" t="str">
        <f t="shared" si="1"/>
        <v>South - Self-employed</v>
      </c>
    </row>
    <row r="19" spans="1:19" x14ac:dyDescent="0.3">
      <c r="A19" t="s">
        <v>60</v>
      </c>
      <c r="B19" t="s">
        <v>61</v>
      </c>
      <c r="C19">
        <v>23</v>
      </c>
      <c r="D19" s="2" t="s">
        <v>13</v>
      </c>
      <c r="E19" s="2" t="s">
        <v>22</v>
      </c>
      <c r="F19" s="2" t="s">
        <v>31</v>
      </c>
      <c r="G19" s="2" t="s">
        <v>27</v>
      </c>
      <c r="H19" s="2" t="s">
        <v>17</v>
      </c>
      <c r="I19" s="2" t="s">
        <v>17</v>
      </c>
      <c r="J19">
        <v>0.74</v>
      </c>
      <c r="K19" s="1">
        <v>45270</v>
      </c>
      <c r="L19" s="2" t="str">
        <f>IF(Sheet1[[#This Row],[age]]&lt;18, "Under 18",IF(Sheet1[[#This Row],[age]]&lt;=30,"18-30",IF(Sheet1[[#This Row],[age]]&lt;=45,"31-45",IF(Sheet1[[#This Row],[age]]&lt;=60,"46-60","60+"))))</f>
        <v>18-30</v>
      </c>
      <c r="M19" s="2" t="str">
        <f>IF(Sheet1[[#This Row],[risk_score]]&lt;0.3,"Low",IF(Sheet1[[#This Row],[risk_score]]&lt;0.7,"Medium","High"))</f>
        <v>High</v>
      </c>
      <c r="N19">
        <f>YEAR(Sheet1[[#This Row],[date_joined]])</f>
        <v>2023</v>
      </c>
      <c r="O19" s="2" t="str">
        <f>TEXT(Sheet1[[#This Row],[date_joined]],"mmm")</f>
        <v>Dec</v>
      </c>
      <c r="P19" s="2" t="str">
        <f>"Q"&amp;ROUNDUP(MONTH(Sheet1[[#This Row],[date_joined]])/3,0)</f>
        <v>Q4</v>
      </c>
      <c r="Q19" s="2" t="str">
        <f>IF(Sheet1[[#This Row],[age]]&lt;30,"Young",IF(Sheet1[[#This Row],[age]]&lt;=50,"Adult","Senior"))</f>
        <v>Young</v>
      </c>
      <c r="R19" s="2" t="str">
        <f t="shared" si="0"/>
        <v>Low</v>
      </c>
      <c r="S19" s="2" t="str">
        <f t="shared" si="1"/>
        <v>North - Self-employed</v>
      </c>
    </row>
    <row r="20" spans="1:19" x14ac:dyDescent="0.3">
      <c r="A20" t="s">
        <v>62</v>
      </c>
      <c r="B20" t="s">
        <v>63</v>
      </c>
      <c r="C20">
        <v>51</v>
      </c>
      <c r="D20" s="2" t="s">
        <v>21</v>
      </c>
      <c r="E20" s="2" t="s">
        <v>22</v>
      </c>
      <c r="F20" s="2" t="s">
        <v>37</v>
      </c>
      <c r="G20" s="2" t="s">
        <v>27</v>
      </c>
      <c r="H20" s="2" t="s">
        <v>17</v>
      </c>
      <c r="I20" s="2" t="s">
        <v>17</v>
      </c>
      <c r="J20">
        <v>0.69</v>
      </c>
      <c r="K20" s="1">
        <v>45038</v>
      </c>
      <c r="L20" s="2" t="str">
        <f>IF(Sheet1[[#This Row],[age]]&lt;18, "Under 18",IF(Sheet1[[#This Row],[age]]&lt;=30,"18-30",IF(Sheet1[[#This Row],[age]]&lt;=45,"31-45",IF(Sheet1[[#This Row],[age]]&lt;=60,"46-60","60+"))))</f>
        <v>46-60</v>
      </c>
      <c r="M20" s="2" t="str">
        <f>IF(Sheet1[[#This Row],[risk_score]]&lt;0.3,"Low",IF(Sheet1[[#This Row],[risk_score]]&lt;0.7,"Medium","High"))</f>
        <v>Medium</v>
      </c>
      <c r="N20">
        <f>YEAR(Sheet1[[#This Row],[date_joined]])</f>
        <v>2023</v>
      </c>
      <c r="O20" s="2" t="str">
        <f>TEXT(Sheet1[[#This Row],[date_joined]],"mmm")</f>
        <v>Apr</v>
      </c>
      <c r="P20" s="2" t="str">
        <f>"Q"&amp;ROUNDUP(MONTH(Sheet1[[#This Row],[date_joined]])/3,0)</f>
        <v>Q2</v>
      </c>
      <c r="Q20" s="2" t="str">
        <f>IF(Sheet1[[#This Row],[age]]&lt;30,"Young",IF(Sheet1[[#This Row],[age]]&lt;=50,"Adult","Senior"))</f>
        <v>Senior</v>
      </c>
      <c r="R20" s="2" t="str">
        <f t="shared" si="0"/>
        <v>Low</v>
      </c>
      <c r="S20" s="2" t="str">
        <f t="shared" si="1"/>
        <v>North - Retired</v>
      </c>
    </row>
    <row r="21" spans="1:19" x14ac:dyDescent="0.3">
      <c r="A21" t="s">
        <v>64</v>
      </c>
      <c r="B21" t="s">
        <v>65</v>
      </c>
      <c r="C21">
        <v>51</v>
      </c>
      <c r="D21" s="2" t="s">
        <v>21</v>
      </c>
      <c r="E21" s="2" t="s">
        <v>22</v>
      </c>
      <c r="F21" s="2" t="s">
        <v>37</v>
      </c>
      <c r="G21" s="2" t="s">
        <v>66</v>
      </c>
      <c r="H21" s="2" t="s">
        <v>17</v>
      </c>
      <c r="I21" s="2" t="s">
        <v>18</v>
      </c>
      <c r="J21">
        <v>0.56999999999999995</v>
      </c>
      <c r="K21" s="1">
        <v>43201</v>
      </c>
      <c r="L21" s="2" t="str">
        <f>IF(Sheet1[[#This Row],[age]]&lt;18, "Under 18",IF(Sheet1[[#This Row],[age]]&lt;=30,"18-30",IF(Sheet1[[#This Row],[age]]&lt;=45,"31-45",IF(Sheet1[[#This Row],[age]]&lt;=60,"46-60","60+"))))</f>
        <v>46-60</v>
      </c>
      <c r="M21" s="2" t="str">
        <f>IF(Sheet1[[#This Row],[risk_score]]&lt;0.3,"Low",IF(Sheet1[[#This Row],[risk_score]]&lt;0.7,"Medium","High"))</f>
        <v>Medium</v>
      </c>
      <c r="N21">
        <f>YEAR(Sheet1[[#This Row],[date_joined]])</f>
        <v>2018</v>
      </c>
      <c r="O21" s="2" t="str">
        <f>TEXT(Sheet1[[#This Row],[date_joined]],"mmm")</f>
        <v>Apr</v>
      </c>
      <c r="P21" s="2" t="str">
        <f>"Q"&amp;ROUNDUP(MONTH(Sheet1[[#This Row],[date_joined]])/3,0)</f>
        <v>Q2</v>
      </c>
      <c r="Q21" s="2" t="str">
        <f>IF(Sheet1[[#This Row],[age]]&lt;30,"Young",IF(Sheet1[[#This Row],[age]]&lt;=50,"Adult","Senior"))</f>
        <v>Senior</v>
      </c>
      <c r="R21" s="2" t="str">
        <f t="shared" si="0"/>
        <v>High</v>
      </c>
      <c r="S21" s="2" t="str">
        <f t="shared" si="1"/>
        <v>North-East - Retired</v>
      </c>
    </row>
    <row r="22" spans="1:19" x14ac:dyDescent="0.3">
      <c r="A22" t="s">
        <v>67</v>
      </c>
      <c r="B22" t="s">
        <v>68</v>
      </c>
      <c r="C22">
        <v>37</v>
      </c>
      <c r="D22" s="2" t="s">
        <v>13</v>
      </c>
      <c r="E22" s="2" t="s">
        <v>22</v>
      </c>
      <c r="F22" s="2" t="s">
        <v>23</v>
      </c>
      <c r="G22" s="2" t="s">
        <v>24</v>
      </c>
      <c r="H22" s="2" t="s">
        <v>18</v>
      </c>
      <c r="I22" s="2" t="s">
        <v>18</v>
      </c>
      <c r="J22">
        <v>0.27</v>
      </c>
      <c r="K22" s="1">
        <v>44423</v>
      </c>
      <c r="L22" s="2" t="str">
        <f>IF(Sheet1[[#This Row],[age]]&lt;18, "Under 18",IF(Sheet1[[#This Row],[age]]&lt;=30,"18-30",IF(Sheet1[[#This Row],[age]]&lt;=45,"31-45",IF(Sheet1[[#This Row],[age]]&lt;=60,"46-60","60+"))))</f>
        <v>31-45</v>
      </c>
      <c r="M22" s="2" t="str">
        <f>IF(Sheet1[[#This Row],[risk_score]]&lt;0.3,"Low",IF(Sheet1[[#This Row],[risk_score]]&lt;0.7,"Medium","High"))</f>
        <v>Low</v>
      </c>
      <c r="N22">
        <f>YEAR(Sheet1[[#This Row],[date_joined]])</f>
        <v>2021</v>
      </c>
      <c r="O22" s="2" t="str">
        <f>TEXT(Sheet1[[#This Row],[date_joined]],"mmm")</f>
        <v>Aug</v>
      </c>
      <c r="P22" s="2" t="str">
        <f>"Q"&amp;ROUNDUP(MONTH(Sheet1[[#This Row],[date_joined]])/3,0)</f>
        <v>Q3</v>
      </c>
      <c r="Q22" s="2" t="str">
        <f>IF(Sheet1[[#This Row],[age]]&lt;30,"Young",IF(Sheet1[[#This Row],[age]]&lt;=50,"Adult","Senior"))</f>
        <v>Adult</v>
      </c>
      <c r="R22" s="2" t="str">
        <f t="shared" si="0"/>
        <v>Very High</v>
      </c>
      <c r="S22" s="2" t="str">
        <f t="shared" si="1"/>
        <v>East - Salaried</v>
      </c>
    </row>
    <row r="23" spans="1:19" x14ac:dyDescent="0.3">
      <c r="A23" t="s">
        <v>69</v>
      </c>
      <c r="B23" t="s">
        <v>70</v>
      </c>
      <c r="C23">
        <v>55</v>
      </c>
      <c r="D23" s="2" t="s">
        <v>21</v>
      </c>
      <c r="E23" s="2" t="s">
        <v>22</v>
      </c>
      <c r="F23" s="2" t="s">
        <v>23</v>
      </c>
      <c r="G23" s="2" t="s">
        <v>24</v>
      </c>
      <c r="H23" s="2" t="s">
        <v>18</v>
      </c>
      <c r="I23" s="2" t="s">
        <v>18</v>
      </c>
      <c r="J23">
        <v>0.37</v>
      </c>
      <c r="K23" s="1">
        <v>44007</v>
      </c>
      <c r="L23" s="2" t="str">
        <f>IF(Sheet1[[#This Row],[age]]&lt;18, "Under 18",IF(Sheet1[[#This Row],[age]]&lt;=30,"18-30",IF(Sheet1[[#This Row],[age]]&lt;=45,"31-45",IF(Sheet1[[#This Row],[age]]&lt;=60,"46-60","60+"))))</f>
        <v>46-60</v>
      </c>
      <c r="M23" s="2" t="str">
        <f>IF(Sheet1[[#This Row],[risk_score]]&lt;0.3,"Low",IF(Sheet1[[#This Row],[risk_score]]&lt;0.7,"Medium","High"))</f>
        <v>Medium</v>
      </c>
      <c r="N23">
        <f>YEAR(Sheet1[[#This Row],[date_joined]])</f>
        <v>2020</v>
      </c>
      <c r="O23" s="2" t="str">
        <f>TEXT(Sheet1[[#This Row],[date_joined]],"mmm")</f>
        <v>Jun</v>
      </c>
      <c r="P23" s="2" t="str">
        <f>"Q"&amp;ROUNDUP(MONTH(Sheet1[[#This Row],[date_joined]])/3,0)</f>
        <v>Q2</v>
      </c>
      <c r="Q23" s="2" t="str">
        <f>IF(Sheet1[[#This Row],[age]]&lt;30,"Young",IF(Sheet1[[#This Row],[age]]&lt;=50,"Adult","Senior"))</f>
        <v>Senior</v>
      </c>
      <c r="R23" s="2" t="str">
        <f t="shared" si="0"/>
        <v>Very High</v>
      </c>
      <c r="S23" s="2" t="str">
        <f t="shared" si="1"/>
        <v>East - Salaried</v>
      </c>
    </row>
    <row r="24" spans="1:19" x14ac:dyDescent="0.3">
      <c r="A24" t="s">
        <v>71</v>
      </c>
      <c r="B24" t="s">
        <v>72</v>
      </c>
      <c r="C24">
        <v>32</v>
      </c>
      <c r="D24" s="2" t="s">
        <v>13</v>
      </c>
      <c r="E24" s="2" t="s">
        <v>14</v>
      </c>
      <c r="F24" s="2" t="s">
        <v>23</v>
      </c>
      <c r="G24" s="2" t="s">
        <v>24</v>
      </c>
      <c r="H24" s="2" t="s">
        <v>17</v>
      </c>
      <c r="I24" s="2" t="s">
        <v>17</v>
      </c>
      <c r="J24">
        <v>0.74</v>
      </c>
      <c r="K24" s="1">
        <v>44340</v>
      </c>
      <c r="L24" s="2" t="str">
        <f>IF(Sheet1[[#This Row],[age]]&lt;18, "Under 18",IF(Sheet1[[#This Row],[age]]&lt;=30,"18-30",IF(Sheet1[[#This Row],[age]]&lt;=45,"31-45",IF(Sheet1[[#This Row],[age]]&lt;=60,"46-60","60+"))))</f>
        <v>31-45</v>
      </c>
      <c r="M24" s="2" t="str">
        <f>IF(Sheet1[[#This Row],[risk_score]]&lt;0.3,"Low",IF(Sheet1[[#This Row],[risk_score]]&lt;0.7,"Medium","High"))</f>
        <v>High</v>
      </c>
      <c r="N24">
        <f>YEAR(Sheet1[[#This Row],[date_joined]])</f>
        <v>2021</v>
      </c>
      <c r="O24" s="2" t="str">
        <f>TEXT(Sheet1[[#This Row],[date_joined]],"mmm")</f>
        <v>May</v>
      </c>
      <c r="P24" s="2" t="str">
        <f>"Q"&amp;ROUNDUP(MONTH(Sheet1[[#This Row],[date_joined]])/3,0)</f>
        <v>Q2</v>
      </c>
      <c r="Q24" s="2" t="str">
        <f>IF(Sheet1[[#This Row],[age]]&lt;30,"Young",IF(Sheet1[[#This Row],[age]]&lt;=50,"Adult","Senior"))</f>
        <v>Adult</v>
      </c>
      <c r="R24" s="2" t="str">
        <f t="shared" si="0"/>
        <v>Low</v>
      </c>
      <c r="S24" s="2" t="str">
        <f t="shared" si="1"/>
        <v>East - Salaried</v>
      </c>
    </row>
    <row r="25" spans="1:19" x14ac:dyDescent="0.3">
      <c r="A25" t="s">
        <v>73</v>
      </c>
      <c r="B25" t="s">
        <v>74</v>
      </c>
      <c r="C25">
        <v>34</v>
      </c>
      <c r="D25" s="2" t="s">
        <v>13</v>
      </c>
      <c r="E25" s="2" t="s">
        <v>30</v>
      </c>
      <c r="F25" s="2" t="s">
        <v>23</v>
      </c>
      <c r="G25" s="2" t="s">
        <v>27</v>
      </c>
      <c r="H25" s="2" t="s">
        <v>17</v>
      </c>
      <c r="I25" s="2" t="s">
        <v>18</v>
      </c>
      <c r="J25">
        <v>0.03</v>
      </c>
      <c r="K25" s="1">
        <v>44762</v>
      </c>
      <c r="L25" s="2" t="str">
        <f>IF(Sheet1[[#This Row],[age]]&lt;18, "Under 18",IF(Sheet1[[#This Row],[age]]&lt;=30,"18-30",IF(Sheet1[[#This Row],[age]]&lt;=45,"31-45",IF(Sheet1[[#This Row],[age]]&lt;=60,"46-60","60+"))))</f>
        <v>31-45</v>
      </c>
      <c r="M25" s="2" t="str">
        <f>IF(Sheet1[[#This Row],[risk_score]]&lt;0.3,"Low",IF(Sheet1[[#This Row],[risk_score]]&lt;0.7,"Medium","High"))</f>
        <v>Low</v>
      </c>
      <c r="N25">
        <f>YEAR(Sheet1[[#This Row],[date_joined]])</f>
        <v>2022</v>
      </c>
      <c r="O25" s="2" t="str">
        <f>TEXT(Sheet1[[#This Row],[date_joined]],"mmm")</f>
        <v>Jul</v>
      </c>
      <c r="P25" s="2" t="str">
        <f>"Q"&amp;ROUNDUP(MONTH(Sheet1[[#This Row],[date_joined]])/3,0)</f>
        <v>Q3</v>
      </c>
      <c r="Q25" s="2" t="str">
        <f>IF(Sheet1[[#This Row],[age]]&lt;30,"Young",IF(Sheet1[[#This Row],[age]]&lt;=50,"Adult","Senior"))</f>
        <v>Adult</v>
      </c>
      <c r="R25" s="2" t="str">
        <f t="shared" si="0"/>
        <v>High</v>
      </c>
      <c r="S25" s="2" t="str">
        <f t="shared" si="1"/>
        <v>North - Salaried</v>
      </c>
    </row>
    <row r="26" spans="1:19" x14ac:dyDescent="0.3">
      <c r="A26" t="s">
        <v>75</v>
      </c>
      <c r="B26" t="s">
        <v>76</v>
      </c>
      <c r="C26">
        <v>55</v>
      </c>
      <c r="D26" s="2" t="s">
        <v>21</v>
      </c>
      <c r="E26" s="2" t="s">
        <v>14</v>
      </c>
      <c r="F26" s="2" t="s">
        <v>15</v>
      </c>
      <c r="G26" s="2" t="s">
        <v>16</v>
      </c>
      <c r="H26" s="2" t="s">
        <v>18</v>
      </c>
      <c r="I26" s="2" t="s">
        <v>18</v>
      </c>
      <c r="J26">
        <v>0.36</v>
      </c>
      <c r="K26" s="1">
        <v>43493</v>
      </c>
      <c r="L26" s="2" t="str">
        <f>IF(Sheet1[[#This Row],[age]]&lt;18, "Under 18",IF(Sheet1[[#This Row],[age]]&lt;=30,"18-30",IF(Sheet1[[#This Row],[age]]&lt;=45,"31-45",IF(Sheet1[[#This Row],[age]]&lt;=60,"46-60","60+"))))</f>
        <v>46-60</v>
      </c>
      <c r="M26" s="2" t="str">
        <f>IF(Sheet1[[#This Row],[risk_score]]&lt;0.3,"Low",IF(Sheet1[[#This Row],[risk_score]]&lt;0.7,"Medium","High"))</f>
        <v>Medium</v>
      </c>
      <c r="N26">
        <f>YEAR(Sheet1[[#This Row],[date_joined]])</f>
        <v>2019</v>
      </c>
      <c r="O26" s="2" t="str">
        <f>TEXT(Sheet1[[#This Row],[date_joined]],"mmm")</f>
        <v>Jan</v>
      </c>
      <c r="P26" s="2" t="str">
        <f>"Q"&amp;ROUNDUP(MONTH(Sheet1[[#This Row],[date_joined]])/3,0)</f>
        <v>Q1</v>
      </c>
      <c r="Q26" s="2" t="str">
        <f>IF(Sheet1[[#This Row],[age]]&lt;30,"Young",IF(Sheet1[[#This Row],[age]]&lt;=50,"Adult","Senior"))</f>
        <v>Senior</v>
      </c>
      <c r="R26" s="2" t="str">
        <f t="shared" si="0"/>
        <v>Very High</v>
      </c>
      <c r="S26" s="2" t="str">
        <f t="shared" si="1"/>
        <v>West - Student</v>
      </c>
    </row>
    <row r="27" spans="1:19" x14ac:dyDescent="0.3">
      <c r="A27" t="s">
        <v>77</v>
      </c>
      <c r="B27" t="s">
        <v>78</v>
      </c>
      <c r="C27">
        <v>69</v>
      </c>
      <c r="D27" s="2" t="s">
        <v>21</v>
      </c>
      <c r="E27" s="2" t="s">
        <v>14</v>
      </c>
      <c r="F27" s="2" t="s">
        <v>37</v>
      </c>
      <c r="G27" s="2" t="s">
        <v>16</v>
      </c>
      <c r="H27" s="2" t="s">
        <v>18</v>
      </c>
      <c r="I27" s="2" t="s">
        <v>18</v>
      </c>
      <c r="J27">
        <v>0.31</v>
      </c>
      <c r="K27" s="1">
        <v>43854</v>
      </c>
      <c r="L27" s="2" t="str">
        <f>IF(Sheet1[[#This Row],[age]]&lt;18, "Under 18",IF(Sheet1[[#This Row],[age]]&lt;=30,"18-30",IF(Sheet1[[#This Row],[age]]&lt;=45,"31-45",IF(Sheet1[[#This Row],[age]]&lt;=60,"46-60","60+"))))</f>
        <v>60+</v>
      </c>
      <c r="M27" s="2" t="str">
        <f>IF(Sheet1[[#This Row],[risk_score]]&lt;0.3,"Low",IF(Sheet1[[#This Row],[risk_score]]&lt;0.7,"Medium","High"))</f>
        <v>Medium</v>
      </c>
      <c r="N27">
        <f>YEAR(Sheet1[[#This Row],[date_joined]])</f>
        <v>2020</v>
      </c>
      <c r="O27" s="2" t="str">
        <f>TEXT(Sheet1[[#This Row],[date_joined]],"mmm")</f>
        <v>Jan</v>
      </c>
      <c r="P27" s="2" t="str">
        <f>"Q"&amp;ROUNDUP(MONTH(Sheet1[[#This Row],[date_joined]])/3,0)</f>
        <v>Q1</v>
      </c>
      <c r="Q27" s="2" t="str">
        <f>IF(Sheet1[[#This Row],[age]]&lt;30,"Young",IF(Sheet1[[#This Row],[age]]&lt;=50,"Adult","Senior"))</f>
        <v>Senior</v>
      </c>
      <c r="R27" s="2" t="str">
        <f t="shared" si="0"/>
        <v>Very High</v>
      </c>
      <c r="S27" s="2" t="str">
        <f t="shared" si="1"/>
        <v>West - Retired</v>
      </c>
    </row>
    <row r="28" spans="1:19" x14ac:dyDescent="0.3">
      <c r="A28" t="s">
        <v>79</v>
      </c>
      <c r="B28" t="s">
        <v>80</v>
      </c>
      <c r="C28">
        <v>46</v>
      </c>
      <c r="D28" s="2" t="s">
        <v>21</v>
      </c>
      <c r="E28" s="2" t="s">
        <v>22</v>
      </c>
      <c r="F28" s="2" t="s">
        <v>31</v>
      </c>
      <c r="G28" s="2" t="s">
        <v>81</v>
      </c>
      <c r="H28" s="2" t="s">
        <v>18</v>
      </c>
      <c r="I28" s="2" t="s">
        <v>18</v>
      </c>
      <c r="J28">
        <v>0.42</v>
      </c>
      <c r="K28" s="1">
        <v>45028</v>
      </c>
      <c r="L28" s="2" t="str">
        <f>IF(Sheet1[[#This Row],[age]]&lt;18, "Under 18",IF(Sheet1[[#This Row],[age]]&lt;=30,"18-30",IF(Sheet1[[#This Row],[age]]&lt;=45,"31-45",IF(Sheet1[[#This Row],[age]]&lt;=60,"46-60","60+"))))</f>
        <v>46-60</v>
      </c>
      <c r="M28" s="2" t="str">
        <f>IF(Sheet1[[#This Row],[risk_score]]&lt;0.3,"Low",IF(Sheet1[[#This Row],[risk_score]]&lt;0.7,"Medium","High"))</f>
        <v>Medium</v>
      </c>
      <c r="N28">
        <f>YEAR(Sheet1[[#This Row],[date_joined]])</f>
        <v>2023</v>
      </c>
      <c r="O28" s="2" t="str">
        <f>TEXT(Sheet1[[#This Row],[date_joined]],"mmm")</f>
        <v>Apr</v>
      </c>
      <c r="P28" s="2" t="str">
        <f>"Q"&amp;ROUNDUP(MONTH(Sheet1[[#This Row],[date_joined]])/3,0)</f>
        <v>Q2</v>
      </c>
      <c r="Q28" s="2" t="str">
        <f>IF(Sheet1[[#This Row],[age]]&lt;30,"Young",IF(Sheet1[[#This Row],[age]]&lt;=50,"Adult","Senior"))</f>
        <v>Adult</v>
      </c>
      <c r="R28" s="2" t="str">
        <f t="shared" si="0"/>
        <v>Very High</v>
      </c>
      <c r="S28" s="2" t="str">
        <f t="shared" si="1"/>
        <v>Central - Self-employed</v>
      </c>
    </row>
    <row r="29" spans="1:19" x14ac:dyDescent="0.3">
      <c r="A29" t="s">
        <v>82</v>
      </c>
      <c r="B29" t="s">
        <v>83</v>
      </c>
      <c r="C29">
        <v>55</v>
      </c>
      <c r="D29" s="2" t="s">
        <v>21</v>
      </c>
      <c r="E29" s="2" t="s">
        <v>30</v>
      </c>
      <c r="F29" s="2" t="s">
        <v>23</v>
      </c>
      <c r="G29" s="2" t="s">
        <v>24</v>
      </c>
      <c r="H29" s="2" t="s">
        <v>18</v>
      </c>
      <c r="I29" s="2" t="s">
        <v>17</v>
      </c>
      <c r="J29">
        <v>0.39</v>
      </c>
      <c r="K29" s="1">
        <v>44070</v>
      </c>
      <c r="L29" s="2" t="str">
        <f>IF(Sheet1[[#This Row],[age]]&lt;18, "Under 18",IF(Sheet1[[#This Row],[age]]&lt;=30,"18-30",IF(Sheet1[[#This Row],[age]]&lt;=45,"31-45",IF(Sheet1[[#This Row],[age]]&lt;=60,"46-60","60+"))))</f>
        <v>46-60</v>
      </c>
      <c r="M29" s="2" t="str">
        <f>IF(Sheet1[[#This Row],[risk_score]]&lt;0.3,"Low",IF(Sheet1[[#This Row],[risk_score]]&lt;0.7,"Medium","High"))</f>
        <v>Medium</v>
      </c>
      <c r="N29">
        <f>YEAR(Sheet1[[#This Row],[date_joined]])</f>
        <v>2020</v>
      </c>
      <c r="O29" s="2" t="str">
        <f>TEXT(Sheet1[[#This Row],[date_joined]],"mmm")</f>
        <v>Aug</v>
      </c>
      <c r="P29" s="2" t="str">
        <f>"Q"&amp;ROUNDUP(MONTH(Sheet1[[#This Row],[date_joined]])/3,0)</f>
        <v>Q3</v>
      </c>
      <c r="Q29" s="2" t="str">
        <f>IF(Sheet1[[#This Row],[age]]&lt;30,"Young",IF(Sheet1[[#This Row],[age]]&lt;=50,"Adult","Senior"))</f>
        <v>Senior</v>
      </c>
      <c r="R29" s="2" t="str">
        <f t="shared" si="0"/>
        <v>High</v>
      </c>
      <c r="S29" s="2" t="str">
        <f t="shared" si="1"/>
        <v>East - Salaried</v>
      </c>
    </row>
    <row r="30" spans="1:19" x14ac:dyDescent="0.3">
      <c r="A30" t="s">
        <v>84</v>
      </c>
      <c r="B30" t="s">
        <v>85</v>
      </c>
      <c r="C30">
        <v>66</v>
      </c>
      <c r="D30" s="2" t="s">
        <v>13</v>
      </c>
      <c r="E30" s="2" t="s">
        <v>14</v>
      </c>
      <c r="F30" s="2" t="s">
        <v>23</v>
      </c>
      <c r="G30" s="2" t="s">
        <v>27</v>
      </c>
      <c r="H30" s="2" t="s">
        <v>17</v>
      </c>
      <c r="I30" s="2" t="s">
        <v>17</v>
      </c>
      <c r="J30">
        <v>0.31</v>
      </c>
      <c r="K30" s="1">
        <v>43444</v>
      </c>
      <c r="L30" s="2" t="str">
        <f>IF(Sheet1[[#This Row],[age]]&lt;18, "Under 18",IF(Sheet1[[#This Row],[age]]&lt;=30,"18-30",IF(Sheet1[[#This Row],[age]]&lt;=45,"31-45",IF(Sheet1[[#This Row],[age]]&lt;=60,"46-60","60+"))))</f>
        <v>60+</v>
      </c>
      <c r="M30" s="2" t="str">
        <f>IF(Sheet1[[#This Row],[risk_score]]&lt;0.3,"Low",IF(Sheet1[[#This Row],[risk_score]]&lt;0.7,"Medium","High"))</f>
        <v>Medium</v>
      </c>
      <c r="N30">
        <f>YEAR(Sheet1[[#This Row],[date_joined]])</f>
        <v>2018</v>
      </c>
      <c r="O30" s="2" t="str">
        <f>TEXT(Sheet1[[#This Row],[date_joined]],"mmm")</f>
        <v>Dec</v>
      </c>
      <c r="P30" s="2" t="str">
        <f>"Q"&amp;ROUNDUP(MONTH(Sheet1[[#This Row],[date_joined]])/3,0)</f>
        <v>Q4</v>
      </c>
      <c r="Q30" s="2" t="str">
        <f>IF(Sheet1[[#This Row],[age]]&lt;30,"Young",IF(Sheet1[[#This Row],[age]]&lt;=50,"Adult","Senior"))</f>
        <v>Senior</v>
      </c>
      <c r="R30" s="2" t="str">
        <f t="shared" si="0"/>
        <v>Low</v>
      </c>
      <c r="S30" s="2" t="str">
        <f t="shared" si="1"/>
        <v>North - Salaried</v>
      </c>
    </row>
    <row r="31" spans="1:19" x14ac:dyDescent="0.3">
      <c r="A31" t="s">
        <v>86</v>
      </c>
      <c r="B31" t="s">
        <v>87</v>
      </c>
      <c r="C31">
        <v>52</v>
      </c>
      <c r="D31" s="2" t="s">
        <v>21</v>
      </c>
      <c r="E31" s="2" t="s">
        <v>22</v>
      </c>
      <c r="F31" s="2" t="s">
        <v>31</v>
      </c>
      <c r="G31" s="2" t="s">
        <v>32</v>
      </c>
      <c r="H31" s="2" t="s">
        <v>18</v>
      </c>
      <c r="I31" s="2" t="s">
        <v>17</v>
      </c>
      <c r="J31">
        <v>0.28000000000000003</v>
      </c>
      <c r="K31" s="1">
        <v>43968</v>
      </c>
      <c r="L31" s="2" t="str">
        <f>IF(Sheet1[[#This Row],[age]]&lt;18, "Under 18",IF(Sheet1[[#This Row],[age]]&lt;=30,"18-30",IF(Sheet1[[#This Row],[age]]&lt;=45,"31-45",IF(Sheet1[[#This Row],[age]]&lt;=60,"46-60","60+"))))</f>
        <v>46-60</v>
      </c>
      <c r="M31" s="2" t="str">
        <f>IF(Sheet1[[#This Row],[risk_score]]&lt;0.3,"Low",IF(Sheet1[[#This Row],[risk_score]]&lt;0.7,"Medium","High"))</f>
        <v>Low</v>
      </c>
      <c r="N31">
        <f>YEAR(Sheet1[[#This Row],[date_joined]])</f>
        <v>2020</v>
      </c>
      <c r="O31" s="2" t="str">
        <f>TEXT(Sheet1[[#This Row],[date_joined]],"mmm")</f>
        <v>May</v>
      </c>
      <c r="P31" s="2" t="str">
        <f>"Q"&amp;ROUNDUP(MONTH(Sheet1[[#This Row],[date_joined]])/3,0)</f>
        <v>Q2</v>
      </c>
      <c r="Q31" s="2" t="str">
        <f>IF(Sheet1[[#This Row],[age]]&lt;30,"Young",IF(Sheet1[[#This Row],[age]]&lt;=50,"Adult","Senior"))</f>
        <v>Senior</v>
      </c>
      <c r="R31" s="2" t="str">
        <f t="shared" si="0"/>
        <v>High</v>
      </c>
      <c r="S31" s="2" t="str">
        <f t="shared" si="1"/>
        <v>South - Self-employed</v>
      </c>
    </row>
    <row r="32" spans="1:19" x14ac:dyDescent="0.3">
      <c r="A32" t="s">
        <v>88</v>
      </c>
      <c r="B32" t="s">
        <v>89</v>
      </c>
      <c r="C32">
        <v>54</v>
      </c>
      <c r="D32" s="2" t="s">
        <v>21</v>
      </c>
      <c r="E32" s="2" t="s">
        <v>30</v>
      </c>
      <c r="F32" s="2" t="s">
        <v>15</v>
      </c>
      <c r="G32" s="2" t="s">
        <v>27</v>
      </c>
      <c r="H32" s="2" t="s">
        <v>17</v>
      </c>
      <c r="I32" s="2" t="s">
        <v>17</v>
      </c>
      <c r="J32">
        <v>0.7</v>
      </c>
      <c r="K32" s="1">
        <v>43277</v>
      </c>
      <c r="L32" s="2" t="str">
        <f>IF(Sheet1[[#This Row],[age]]&lt;18, "Under 18",IF(Sheet1[[#This Row],[age]]&lt;=30,"18-30",IF(Sheet1[[#This Row],[age]]&lt;=45,"31-45",IF(Sheet1[[#This Row],[age]]&lt;=60,"46-60","60+"))))</f>
        <v>46-60</v>
      </c>
      <c r="M32" s="2" t="str">
        <f>IF(Sheet1[[#This Row],[risk_score]]&lt;0.3,"Low",IF(Sheet1[[#This Row],[risk_score]]&lt;0.7,"Medium","High"))</f>
        <v>High</v>
      </c>
      <c r="N32">
        <f>YEAR(Sheet1[[#This Row],[date_joined]])</f>
        <v>2018</v>
      </c>
      <c r="O32" s="2" t="str">
        <f>TEXT(Sheet1[[#This Row],[date_joined]],"mmm")</f>
        <v>Jun</v>
      </c>
      <c r="P32" s="2" t="str">
        <f>"Q"&amp;ROUNDUP(MONTH(Sheet1[[#This Row],[date_joined]])/3,0)</f>
        <v>Q2</v>
      </c>
      <c r="Q32" s="2" t="str">
        <f>IF(Sheet1[[#This Row],[age]]&lt;30,"Young",IF(Sheet1[[#This Row],[age]]&lt;=50,"Adult","Senior"))</f>
        <v>Senior</v>
      </c>
      <c r="R32" s="2" t="str">
        <f t="shared" si="0"/>
        <v>Low</v>
      </c>
      <c r="S32" s="2" t="str">
        <f t="shared" si="1"/>
        <v>North - Student</v>
      </c>
    </row>
    <row r="33" spans="1:19" x14ac:dyDescent="0.3">
      <c r="A33" t="s">
        <v>90</v>
      </c>
      <c r="B33" t="s">
        <v>91</v>
      </c>
      <c r="C33">
        <v>36</v>
      </c>
      <c r="D33" s="2" t="s">
        <v>21</v>
      </c>
      <c r="E33" s="2" t="s">
        <v>30</v>
      </c>
      <c r="F33" s="2" t="s">
        <v>37</v>
      </c>
      <c r="G33" s="2" t="s">
        <v>24</v>
      </c>
      <c r="H33" s="2" t="s">
        <v>18</v>
      </c>
      <c r="I33" s="2" t="s">
        <v>17</v>
      </c>
      <c r="J33">
        <v>0.47</v>
      </c>
      <c r="K33" s="1">
        <v>43930</v>
      </c>
      <c r="L33" s="2" t="str">
        <f>IF(Sheet1[[#This Row],[age]]&lt;18, "Under 18",IF(Sheet1[[#This Row],[age]]&lt;=30,"18-30",IF(Sheet1[[#This Row],[age]]&lt;=45,"31-45",IF(Sheet1[[#This Row],[age]]&lt;=60,"46-60","60+"))))</f>
        <v>31-45</v>
      </c>
      <c r="M33" s="2" t="str">
        <f>IF(Sheet1[[#This Row],[risk_score]]&lt;0.3,"Low",IF(Sheet1[[#This Row],[risk_score]]&lt;0.7,"Medium","High"))</f>
        <v>Medium</v>
      </c>
      <c r="N33">
        <f>YEAR(Sheet1[[#This Row],[date_joined]])</f>
        <v>2020</v>
      </c>
      <c r="O33" s="2" t="str">
        <f>TEXT(Sheet1[[#This Row],[date_joined]],"mmm")</f>
        <v>Apr</v>
      </c>
      <c r="P33" s="2" t="str">
        <f>"Q"&amp;ROUNDUP(MONTH(Sheet1[[#This Row],[date_joined]])/3,0)</f>
        <v>Q2</v>
      </c>
      <c r="Q33" s="2" t="str">
        <f>IF(Sheet1[[#This Row],[age]]&lt;30,"Young",IF(Sheet1[[#This Row],[age]]&lt;=50,"Adult","Senior"))</f>
        <v>Adult</v>
      </c>
      <c r="R33" s="2" t="str">
        <f t="shared" si="0"/>
        <v>High</v>
      </c>
      <c r="S33" s="2" t="str">
        <f t="shared" si="1"/>
        <v>East - Retired</v>
      </c>
    </row>
    <row r="34" spans="1:19" x14ac:dyDescent="0.3">
      <c r="A34" t="s">
        <v>92</v>
      </c>
      <c r="B34" t="s">
        <v>93</v>
      </c>
      <c r="C34">
        <v>43</v>
      </c>
      <c r="D34" s="2" t="s">
        <v>21</v>
      </c>
      <c r="E34" s="2" t="s">
        <v>30</v>
      </c>
      <c r="F34" s="2" t="s">
        <v>23</v>
      </c>
      <c r="G34" s="2" t="s">
        <v>66</v>
      </c>
      <c r="H34" s="2" t="s">
        <v>17</v>
      </c>
      <c r="I34" s="2" t="s">
        <v>17</v>
      </c>
      <c r="J34">
        <v>0.28000000000000003</v>
      </c>
      <c r="K34" s="1">
        <v>44611</v>
      </c>
      <c r="L34" s="2" t="str">
        <f>IF(Sheet1[[#This Row],[age]]&lt;18, "Under 18",IF(Sheet1[[#This Row],[age]]&lt;=30,"18-30",IF(Sheet1[[#This Row],[age]]&lt;=45,"31-45",IF(Sheet1[[#This Row],[age]]&lt;=60,"46-60","60+"))))</f>
        <v>31-45</v>
      </c>
      <c r="M34" s="2" t="str">
        <f>IF(Sheet1[[#This Row],[risk_score]]&lt;0.3,"Low",IF(Sheet1[[#This Row],[risk_score]]&lt;0.7,"Medium","High"))</f>
        <v>Low</v>
      </c>
      <c r="N34">
        <f>YEAR(Sheet1[[#This Row],[date_joined]])</f>
        <v>2022</v>
      </c>
      <c r="O34" s="2" t="str">
        <f>TEXT(Sheet1[[#This Row],[date_joined]],"mmm")</f>
        <v>Feb</v>
      </c>
      <c r="P34" s="2" t="str">
        <f>"Q"&amp;ROUNDUP(MONTH(Sheet1[[#This Row],[date_joined]])/3,0)</f>
        <v>Q1</v>
      </c>
      <c r="Q34" s="2" t="str">
        <f>IF(Sheet1[[#This Row],[age]]&lt;30,"Young",IF(Sheet1[[#This Row],[age]]&lt;=50,"Adult","Senior"))</f>
        <v>Adult</v>
      </c>
      <c r="R34" s="2" t="str">
        <f t="shared" si="0"/>
        <v>Low</v>
      </c>
      <c r="S34" s="2" t="str">
        <f t="shared" si="1"/>
        <v>North-East - Salaried</v>
      </c>
    </row>
    <row r="35" spans="1:19" x14ac:dyDescent="0.3">
      <c r="A35" t="s">
        <v>94</v>
      </c>
      <c r="B35" t="s">
        <v>95</v>
      </c>
      <c r="C35">
        <v>37</v>
      </c>
      <c r="D35" s="2" t="s">
        <v>13</v>
      </c>
      <c r="E35" s="2" t="s">
        <v>22</v>
      </c>
      <c r="F35" s="2" t="s">
        <v>37</v>
      </c>
      <c r="G35" s="2" t="s">
        <v>16</v>
      </c>
      <c r="H35" s="2" t="s">
        <v>18</v>
      </c>
      <c r="I35" s="2" t="s">
        <v>18</v>
      </c>
      <c r="J35">
        <v>0.38</v>
      </c>
      <c r="K35" s="1">
        <v>45021</v>
      </c>
      <c r="L35" s="2" t="str">
        <f>IF(Sheet1[[#This Row],[age]]&lt;18, "Under 18",IF(Sheet1[[#This Row],[age]]&lt;=30,"18-30",IF(Sheet1[[#This Row],[age]]&lt;=45,"31-45",IF(Sheet1[[#This Row],[age]]&lt;=60,"46-60","60+"))))</f>
        <v>31-45</v>
      </c>
      <c r="M35" s="2" t="str">
        <f>IF(Sheet1[[#This Row],[risk_score]]&lt;0.3,"Low",IF(Sheet1[[#This Row],[risk_score]]&lt;0.7,"Medium","High"))</f>
        <v>Medium</v>
      </c>
      <c r="N35">
        <f>YEAR(Sheet1[[#This Row],[date_joined]])</f>
        <v>2023</v>
      </c>
      <c r="O35" s="2" t="str">
        <f>TEXT(Sheet1[[#This Row],[date_joined]],"mmm")</f>
        <v>Apr</v>
      </c>
      <c r="P35" s="2" t="str">
        <f>"Q"&amp;ROUNDUP(MONTH(Sheet1[[#This Row],[date_joined]])/3,0)</f>
        <v>Q2</v>
      </c>
      <c r="Q35" s="2" t="str">
        <f>IF(Sheet1[[#This Row],[age]]&lt;30,"Young",IF(Sheet1[[#This Row],[age]]&lt;=50,"Adult","Senior"))</f>
        <v>Adult</v>
      </c>
      <c r="R35" s="2" t="str">
        <f t="shared" si="0"/>
        <v>Very High</v>
      </c>
      <c r="S35" s="2" t="str">
        <f t="shared" si="1"/>
        <v>West - Retired</v>
      </c>
    </row>
    <row r="36" spans="1:19" x14ac:dyDescent="0.3">
      <c r="A36" t="s">
        <v>96</v>
      </c>
      <c r="B36" t="s">
        <v>97</v>
      </c>
      <c r="C36">
        <v>26</v>
      </c>
      <c r="D36" s="2" t="s">
        <v>21</v>
      </c>
      <c r="E36" s="2" t="s">
        <v>30</v>
      </c>
      <c r="F36" s="2" t="s">
        <v>31</v>
      </c>
      <c r="G36" s="2" t="s">
        <v>66</v>
      </c>
      <c r="H36" s="2" t="s">
        <v>18</v>
      </c>
      <c r="I36" s="2" t="s">
        <v>17</v>
      </c>
      <c r="J36">
        <v>0.45</v>
      </c>
      <c r="K36" s="1">
        <v>43554</v>
      </c>
      <c r="L36" s="2" t="str">
        <f>IF(Sheet1[[#This Row],[age]]&lt;18, "Under 18",IF(Sheet1[[#This Row],[age]]&lt;=30,"18-30",IF(Sheet1[[#This Row],[age]]&lt;=45,"31-45",IF(Sheet1[[#This Row],[age]]&lt;=60,"46-60","60+"))))</f>
        <v>18-30</v>
      </c>
      <c r="M36" s="2" t="str">
        <f>IF(Sheet1[[#This Row],[risk_score]]&lt;0.3,"Low",IF(Sheet1[[#This Row],[risk_score]]&lt;0.7,"Medium","High"))</f>
        <v>Medium</v>
      </c>
      <c r="N36">
        <f>YEAR(Sheet1[[#This Row],[date_joined]])</f>
        <v>2019</v>
      </c>
      <c r="O36" s="2" t="str">
        <f>TEXT(Sheet1[[#This Row],[date_joined]],"mmm")</f>
        <v>Mar</v>
      </c>
      <c r="P36" s="2" t="str">
        <f>"Q"&amp;ROUNDUP(MONTH(Sheet1[[#This Row],[date_joined]])/3,0)</f>
        <v>Q1</v>
      </c>
      <c r="Q36" s="2" t="str">
        <f>IF(Sheet1[[#This Row],[age]]&lt;30,"Young",IF(Sheet1[[#This Row],[age]]&lt;=50,"Adult","Senior"))</f>
        <v>Young</v>
      </c>
      <c r="R36" s="2" t="str">
        <f t="shared" si="0"/>
        <v>High</v>
      </c>
      <c r="S36" s="2" t="str">
        <f t="shared" si="1"/>
        <v>North-East - Self-employed</v>
      </c>
    </row>
    <row r="37" spans="1:19" x14ac:dyDescent="0.3">
      <c r="A37" t="s">
        <v>98</v>
      </c>
      <c r="B37" t="s">
        <v>99</v>
      </c>
      <c r="C37">
        <v>27</v>
      </c>
      <c r="D37" s="2" t="s">
        <v>13</v>
      </c>
      <c r="E37" s="2" t="s">
        <v>30</v>
      </c>
      <c r="F37" s="2" t="s">
        <v>23</v>
      </c>
      <c r="G37" s="2" t="s">
        <v>32</v>
      </c>
      <c r="H37" s="2" t="s">
        <v>17</v>
      </c>
      <c r="I37" s="2" t="s">
        <v>18</v>
      </c>
      <c r="J37">
        <v>0.47</v>
      </c>
      <c r="K37" s="1">
        <v>43597</v>
      </c>
      <c r="L37" s="2" t="str">
        <f>IF(Sheet1[[#This Row],[age]]&lt;18, "Under 18",IF(Sheet1[[#This Row],[age]]&lt;=30,"18-30",IF(Sheet1[[#This Row],[age]]&lt;=45,"31-45",IF(Sheet1[[#This Row],[age]]&lt;=60,"46-60","60+"))))</f>
        <v>18-30</v>
      </c>
      <c r="M37" s="2" t="str">
        <f>IF(Sheet1[[#This Row],[risk_score]]&lt;0.3,"Low",IF(Sheet1[[#This Row],[risk_score]]&lt;0.7,"Medium","High"))</f>
        <v>Medium</v>
      </c>
      <c r="N37">
        <f>YEAR(Sheet1[[#This Row],[date_joined]])</f>
        <v>2019</v>
      </c>
      <c r="O37" s="2" t="str">
        <f>TEXT(Sheet1[[#This Row],[date_joined]],"mmm")</f>
        <v>May</v>
      </c>
      <c r="P37" s="2" t="str">
        <f>"Q"&amp;ROUNDUP(MONTH(Sheet1[[#This Row],[date_joined]])/3,0)</f>
        <v>Q2</v>
      </c>
      <c r="Q37" s="2" t="str">
        <f>IF(Sheet1[[#This Row],[age]]&lt;30,"Young",IF(Sheet1[[#This Row],[age]]&lt;=50,"Adult","Senior"))</f>
        <v>Young</v>
      </c>
      <c r="R37" s="2" t="str">
        <f t="shared" si="0"/>
        <v>High</v>
      </c>
      <c r="S37" s="2" t="str">
        <f t="shared" si="1"/>
        <v>South - Salaried</v>
      </c>
    </row>
    <row r="38" spans="1:19" x14ac:dyDescent="0.3">
      <c r="A38" t="s">
        <v>100</v>
      </c>
      <c r="B38" t="s">
        <v>101</v>
      </c>
      <c r="C38">
        <v>64</v>
      </c>
      <c r="D38" s="2" t="s">
        <v>21</v>
      </c>
      <c r="E38" s="2" t="s">
        <v>22</v>
      </c>
      <c r="F38" s="2" t="s">
        <v>23</v>
      </c>
      <c r="G38" s="2" t="s">
        <v>66</v>
      </c>
      <c r="H38" s="2" t="s">
        <v>18</v>
      </c>
      <c r="I38" s="2" t="s">
        <v>18</v>
      </c>
      <c r="J38">
        <v>0.28000000000000003</v>
      </c>
      <c r="K38" s="1">
        <v>44003</v>
      </c>
      <c r="L38" s="2" t="str">
        <f>IF(Sheet1[[#This Row],[age]]&lt;18, "Under 18",IF(Sheet1[[#This Row],[age]]&lt;=30,"18-30",IF(Sheet1[[#This Row],[age]]&lt;=45,"31-45",IF(Sheet1[[#This Row],[age]]&lt;=60,"46-60","60+"))))</f>
        <v>60+</v>
      </c>
      <c r="M38" s="2" t="str">
        <f>IF(Sheet1[[#This Row],[risk_score]]&lt;0.3,"Low",IF(Sheet1[[#This Row],[risk_score]]&lt;0.7,"Medium","High"))</f>
        <v>Low</v>
      </c>
      <c r="N38">
        <f>YEAR(Sheet1[[#This Row],[date_joined]])</f>
        <v>2020</v>
      </c>
      <c r="O38" s="2" t="str">
        <f>TEXT(Sheet1[[#This Row],[date_joined]],"mmm")</f>
        <v>Jun</v>
      </c>
      <c r="P38" s="2" t="str">
        <f>"Q"&amp;ROUNDUP(MONTH(Sheet1[[#This Row],[date_joined]])/3,0)</f>
        <v>Q2</v>
      </c>
      <c r="Q38" s="2" t="str">
        <f>IF(Sheet1[[#This Row],[age]]&lt;30,"Young",IF(Sheet1[[#This Row],[age]]&lt;=50,"Adult","Senior"))</f>
        <v>Senior</v>
      </c>
      <c r="R38" s="2" t="str">
        <f t="shared" si="0"/>
        <v>Very High</v>
      </c>
      <c r="S38" s="2" t="str">
        <f t="shared" si="1"/>
        <v>North-East - Salaried</v>
      </c>
    </row>
    <row r="39" spans="1:19" x14ac:dyDescent="0.3">
      <c r="A39" t="s">
        <v>102</v>
      </c>
      <c r="B39" t="s">
        <v>103</v>
      </c>
      <c r="C39">
        <v>58</v>
      </c>
      <c r="D39" s="2" t="s">
        <v>21</v>
      </c>
      <c r="E39" s="2" t="s">
        <v>14</v>
      </c>
      <c r="F39" s="2" t="s">
        <v>23</v>
      </c>
      <c r="G39" s="2" t="s">
        <v>81</v>
      </c>
      <c r="H39" s="2" t="s">
        <v>17</v>
      </c>
      <c r="I39" s="2" t="s">
        <v>18</v>
      </c>
      <c r="J39">
        <v>0.3</v>
      </c>
      <c r="K39" s="1">
        <v>43376</v>
      </c>
      <c r="L39" s="2" t="str">
        <f>IF(Sheet1[[#This Row],[age]]&lt;18, "Under 18",IF(Sheet1[[#This Row],[age]]&lt;=30,"18-30",IF(Sheet1[[#This Row],[age]]&lt;=45,"31-45",IF(Sheet1[[#This Row],[age]]&lt;=60,"46-60","60+"))))</f>
        <v>46-60</v>
      </c>
      <c r="M39" s="2" t="str">
        <f>IF(Sheet1[[#This Row],[risk_score]]&lt;0.3,"Low",IF(Sheet1[[#This Row],[risk_score]]&lt;0.7,"Medium","High"))</f>
        <v>Medium</v>
      </c>
      <c r="N39">
        <f>YEAR(Sheet1[[#This Row],[date_joined]])</f>
        <v>2018</v>
      </c>
      <c r="O39" s="2" t="str">
        <f>TEXT(Sheet1[[#This Row],[date_joined]],"mmm")</f>
        <v>Oct</v>
      </c>
      <c r="P39" s="2" t="str">
        <f>"Q"&amp;ROUNDUP(MONTH(Sheet1[[#This Row],[date_joined]])/3,0)</f>
        <v>Q4</v>
      </c>
      <c r="Q39" s="2" t="str">
        <f>IF(Sheet1[[#This Row],[age]]&lt;30,"Young",IF(Sheet1[[#This Row],[age]]&lt;=50,"Adult","Senior"))</f>
        <v>Senior</v>
      </c>
      <c r="R39" s="2" t="str">
        <f t="shared" si="0"/>
        <v>High</v>
      </c>
      <c r="S39" s="2" t="str">
        <f t="shared" si="1"/>
        <v>Central - Salaried</v>
      </c>
    </row>
    <row r="40" spans="1:19" x14ac:dyDescent="0.3">
      <c r="A40" t="s">
        <v>104</v>
      </c>
      <c r="B40" t="s">
        <v>105</v>
      </c>
      <c r="C40">
        <v>32</v>
      </c>
      <c r="D40" s="2" t="s">
        <v>21</v>
      </c>
      <c r="E40" s="2" t="s">
        <v>14</v>
      </c>
      <c r="F40" s="2" t="s">
        <v>23</v>
      </c>
      <c r="G40" s="2" t="s">
        <v>24</v>
      </c>
      <c r="H40" s="2" t="s">
        <v>17</v>
      </c>
      <c r="I40" s="2" t="s">
        <v>18</v>
      </c>
      <c r="J40">
        <v>0.86</v>
      </c>
      <c r="K40" s="1">
        <v>44680</v>
      </c>
      <c r="L40" s="2" t="str">
        <f>IF(Sheet1[[#This Row],[age]]&lt;18, "Under 18",IF(Sheet1[[#This Row],[age]]&lt;=30,"18-30",IF(Sheet1[[#This Row],[age]]&lt;=45,"31-45",IF(Sheet1[[#This Row],[age]]&lt;=60,"46-60","60+"))))</f>
        <v>31-45</v>
      </c>
      <c r="M40" s="2" t="str">
        <f>IF(Sheet1[[#This Row],[risk_score]]&lt;0.3,"Low",IF(Sheet1[[#This Row],[risk_score]]&lt;0.7,"Medium","High"))</f>
        <v>High</v>
      </c>
      <c r="N40">
        <f>YEAR(Sheet1[[#This Row],[date_joined]])</f>
        <v>2022</v>
      </c>
      <c r="O40" s="2" t="str">
        <f>TEXT(Sheet1[[#This Row],[date_joined]],"mmm")</f>
        <v>Apr</v>
      </c>
      <c r="P40" s="2" t="str">
        <f>"Q"&amp;ROUNDUP(MONTH(Sheet1[[#This Row],[date_joined]])/3,0)</f>
        <v>Q2</v>
      </c>
      <c r="Q40" s="2" t="str">
        <f>IF(Sheet1[[#This Row],[age]]&lt;30,"Young",IF(Sheet1[[#This Row],[age]]&lt;=50,"Adult","Senior"))</f>
        <v>Adult</v>
      </c>
      <c r="R40" s="2" t="str">
        <f t="shared" si="0"/>
        <v>High</v>
      </c>
      <c r="S40" s="2" t="str">
        <f t="shared" si="1"/>
        <v>East - Salaried</v>
      </c>
    </row>
    <row r="41" spans="1:19" x14ac:dyDescent="0.3">
      <c r="A41" t="s">
        <v>106</v>
      </c>
      <c r="B41" t="s">
        <v>107</v>
      </c>
      <c r="C41">
        <v>54</v>
      </c>
      <c r="D41" s="2" t="s">
        <v>13</v>
      </c>
      <c r="E41" s="2" t="s">
        <v>14</v>
      </c>
      <c r="F41" s="2" t="s">
        <v>23</v>
      </c>
      <c r="G41" s="2" t="s">
        <v>81</v>
      </c>
      <c r="H41" s="2" t="s">
        <v>17</v>
      </c>
      <c r="I41" s="2" t="s">
        <v>17</v>
      </c>
      <c r="J41">
        <v>0.83</v>
      </c>
      <c r="K41" s="1">
        <v>44744</v>
      </c>
      <c r="L41" s="2" t="str">
        <f>IF(Sheet1[[#This Row],[age]]&lt;18, "Under 18",IF(Sheet1[[#This Row],[age]]&lt;=30,"18-30",IF(Sheet1[[#This Row],[age]]&lt;=45,"31-45",IF(Sheet1[[#This Row],[age]]&lt;=60,"46-60","60+"))))</f>
        <v>46-60</v>
      </c>
      <c r="M41" s="2" t="str">
        <f>IF(Sheet1[[#This Row],[risk_score]]&lt;0.3,"Low",IF(Sheet1[[#This Row],[risk_score]]&lt;0.7,"Medium","High"))</f>
        <v>High</v>
      </c>
      <c r="N41">
        <f>YEAR(Sheet1[[#This Row],[date_joined]])</f>
        <v>2022</v>
      </c>
      <c r="O41" s="2" t="str">
        <f>TEXT(Sheet1[[#This Row],[date_joined]],"mmm")</f>
        <v>Jul</v>
      </c>
      <c r="P41" s="2" t="str">
        <f>"Q"&amp;ROUNDUP(MONTH(Sheet1[[#This Row],[date_joined]])/3,0)</f>
        <v>Q3</v>
      </c>
      <c r="Q41" s="2" t="str">
        <f>IF(Sheet1[[#This Row],[age]]&lt;30,"Young",IF(Sheet1[[#This Row],[age]]&lt;=50,"Adult","Senior"))</f>
        <v>Senior</v>
      </c>
      <c r="R41" s="2" t="str">
        <f t="shared" si="0"/>
        <v>Low</v>
      </c>
      <c r="S41" s="2" t="str">
        <f t="shared" si="1"/>
        <v>Central - Salaried</v>
      </c>
    </row>
    <row r="42" spans="1:19" x14ac:dyDescent="0.3">
      <c r="A42" t="s">
        <v>108</v>
      </c>
      <c r="B42" t="s">
        <v>109</v>
      </c>
      <c r="C42">
        <v>38</v>
      </c>
      <c r="D42" s="2" t="s">
        <v>21</v>
      </c>
      <c r="E42" s="2" t="s">
        <v>30</v>
      </c>
      <c r="F42" s="2" t="s">
        <v>23</v>
      </c>
      <c r="G42" s="2" t="s">
        <v>16</v>
      </c>
      <c r="H42" s="2" t="s">
        <v>17</v>
      </c>
      <c r="I42" s="2" t="s">
        <v>18</v>
      </c>
      <c r="J42">
        <v>0.2</v>
      </c>
      <c r="K42" s="1">
        <v>44403</v>
      </c>
      <c r="L42" s="2" t="str">
        <f>IF(Sheet1[[#This Row],[age]]&lt;18, "Under 18",IF(Sheet1[[#This Row],[age]]&lt;=30,"18-30",IF(Sheet1[[#This Row],[age]]&lt;=45,"31-45",IF(Sheet1[[#This Row],[age]]&lt;=60,"46-60","60+"))))</f>
        <v>31-45</v>
      </c>
      <c r="M42" s="2" t="str">
        <f>IF(Sheet1[[#This Row],[risk_score]]&lt;0.3,"Low",IF(Sheet1[[#This Row],[risk_score]]&lt;0.7,"Medium","High"))</f>
        <v>Low</v>
      </c>
      <c r="N42">
        <f>YEAR(Sheet1[[#This Row],[date_joined]])</f>
        <v>2021</v>
      </c>
      <c r="O42" s="2" t="str">
        <f>TEXT(Sheet1[[#This Row],[date_joined]],"mmm")</f>
        <v>Jul</v>
      </c>
      <c r="P42" s="2" t="str">
        <f>"Q"&amp;ROUNDUP(MONTH(Sheet1[[#This Row],[date_joined]])/3,0)</f>
        <v>Q3</v>
      </c>
      <c r="Q42" s="2" t="str">
        <f>IF(Sheet1[[#This Row],[age]]&lt;30,"Young",IF(Sheet1[[#This Row],[age]]&lt;=50,"Adult","Senior"))</f>
        <v>Adult</v>
      </c>
      <c r="R42" s="2" t="str">
        <f t="shared" si="0"/>
        <v>High</v>
      </c>
      <c r="S42" s="2" t="str">
        <f t="shared" si="1"/>
        <v>West - Salaried</v>
      </c>
    </row>
    <row r="43" spans="1:19" x14ac:dyDescent="0.3">
      <c r="A43" t="s">
        <v>110</v>
      </c>
      <c r="B43" t="s">
        <v>111</v>
      </c>
      <c r="C43">
        <v>57</v>
      </c>
      <c r="D43" s="2" t="s">
        <v>21</v>
      </c>
      <c r="E43" s="2" t="s">
        <v>22</v>
      </c>
      <c r="F43" s="2" t="s">
        <v>37</v>
      </c>
      <c r="G43" s="2" t="s">
        <v>66</v>
      </c>
      <c r="H43" s="2" t="s">
        <v>17</v>
      </c>
      <c r="I43" s="2" t="s">
        <v>18</v>
      </c>
      <c r="J43">
        <v>0.56000000000000005</v>
      </c>
      <c r="K43" s="1">
        <v>44064</v>
      </c>
      <c r="L43" s="2" t="str">
        <f>IF(Sheet1[[#This Row],[age]]&lt;18, "Under 18",IF(Sheet1[[#This Row],[age]]&lt;=30,"18-30",IF(Sheet1[[#This Row],[age]]&lt;=45,"31-45",IF(Sheet1[[#This Row],[age]]&lt;=60,"46-60","60+"))))</f>
        <v>46-60</v>
      </c>
      <c r="M43" s="2" t="str">
        <f>IF(Sheet1[[#This Row],[risk_score]]&lt;0.3,"Low",IF(Sheet1[[#This Row],[risk_score]]&lt;0.7,"Medium","High"))</f>
        <v>Medium</v>
      </c>
      <c r="N43">
        <f>YEAR(Sheet1[[#This Row],[date_joined]])</f>
        <v>2020</v>
      </c>
      <c r="O43" s="2" t="str">
        <f>TEXT(Sheet1[[#This Row],[date_joined]],"mmm")</f>
        <v>Aug</v>
      </c>
      <c r="P43" s="2" t="str">
        <f>"Q"&amp;ROUNDUP(MONTH(Sheet1[[#This Row],[date_joined]])/3,0)</f>
        <v>Q3</v>
      </c>
      <c r="Q43" s="2" t="str">
        <f>IF(Sheet1[[#This Row],[age]]&lt;30,"Young",IF(Sheet1[[#This Row],[age]]&lt;=50,"Adult","Senior"))</f>
        <v>Senior</v>
      </c>
      <c r="R43" s="2" t="str">
        <f t="shared" si="0"/>
        <v>High</v>
      </c>
      <c r="S43" s="2" t="str">
        <f t="shared" si="1"/>
        <v>North-East - Retired</v>
      </c>
    </row>
    <row r="44" spans="1:19" x14ac:dyDescent="0.3">
      <c r="A44" t="s">
        <v>112</v>
      </c>
      <c r="B44" t="s">
        <v>113</v>
      </c>
      <c r="C44">
        <v>25</v>
      </c>
      <c r="D44" s="2" t="s">
        <v>13</v>
      </c>
      <c r="E44" s="2" t="s">
        <v>14</v>
      </c>
      <c r="F44" s="2" t="s">
        <v>31</v>
      </c>
      <c r="G44" s="2" t="s">
        <v>27</v>
      </c>
      <c r="H44" s="2" t="s">
        <v>17</v>
      </c>
      <c r="I44" s="2" t="s">
        <v>17</v>
      </c>
      <c r="J44">
        <v>0.49</v>
      </c>
      <c r="K44" s="1">
        <v>44845</v>
      </c>
      <c r="L44" s="2" t="str">
        <f>IF(Sheet1[[#This Row],[age]]&lt;18, "Under 18",IF(Sheet1[[#This Row],[age]]&lt;=30,"18-30",IF(Sheet1[[#This Row],[age]]&lt;=45,"31-45",IF(Sheet1[[#This Row],[age]]&lt;=60,"46-60","60+"))))</f>
        <v>18-30</v>
      </c>
      <c r="M44" s="2" t="str">
        <f>IF(Sheet1[[#This Row],[risk_score]]&lt;0.3,"Low",IF(Sheet1[[#This Row],[risk_score]]&lt;0.7,"Medium","High"))</f>
        <v>Medium</v>
      </c>
      <c r="N44">
        <f>YEAR(Sheet1[[#This Row],[date_joined]])</f>
        <v>2022</v>
      </c>
      <c r="O44" s="2" t="str">
        <f>TEXT(Sheet1[[#This Row],[date_joined]],"mmm")</f>
        <v>Oct</v>
      </c>
      <c r="P44" s="2" t="str">
        <f>"Q"&amp;ROUNDUP(MONTH(Sheet1[[#This Row],[date_joined]])/3,0)</f>
        <v>Q4</v>
      </c>
      <c r="Q44" s="2" t="str">
        <f>IF(Sheet1[[#This Row],[age]]&lt;30,"Young",IF(Sheet1[[#This Row],[age]]&lt;=50,"Adult","Senior"))</f>
        <v>Young</v>
      </c>
      <c r="R44" s="2" t="str">
        <f t="shared" si="0"/>
        <v>Low</v>
      </c>
      <c r="S44" s="2" t="str">
        <f t="shared" si="1"/>
        <v>North - Self-employed</v>
      </c>
    </row>
    <row r="45" spans="1:19" x14ac:dyDescent="0.3">
      <c r="A45" t="s">
        <v>114</v>
      </c>
      <c r="B45" t="s">
        <v>115</v>
      </c>
      <c r="C45">
        <v>55</v>
      </c>
      <c r="D45" s="2" t="s">
        <v>13</v>
      </c>
      <c r="E45" s="2" t="s">
        <v>14</v>
      </c>
      <c r="F45" s="2" t="s">
        <v>37</v>
      </c>
      <c r="G45" s="2" t="s">
        <v>32</v>
      </c>
      <c r="H45" s="2" t="s">
        <v>18</v>
      </c>
      <c r="I45" s="2" t="s">
        <v>18</v>
      </c>
      <c r="J45">
        <v>0.5</v>
      </c>
      <c r="K45" s="1">
        <v>43413</v>
      </c>
      <c r="L45" s="2" t="str">
        <f>IF(Sheet1[[#This Row],[age]]&lt;18, "Under 18",IF(Sheet1[[#This Row],[age]]&lt;=30,"18-30",IF(Sheet1[[#This Row],[age]]&lt;=45,"31-45",IF(Sheet1[[#This Row],[age]]&lt;=60,"46-60","60+"))))</f>
        <v>46-60</v>
      </c>
      <c r="M45" s="2" t="str">
        <f>IF(Sheet1[[#This Row],[risk_score]]&lt;0.3,"Low",IF(Sheet1[[#This Row],[risk_score]]&lt;0.7,"Medium","High"))</f>
        <v>Medium</v>
      </c>
      <c r="N45">
        <f>YEAR(Sheet1[[#This Row],[date_joined]])</f>
        <v>2018</v>
      </c>
      <c r="O45" s="2" t="str">
        <f>TEXT(Sheet1[[#This Row],[date_joined]],"mmm")</f>
        <v>Nov</v>
      </c>
      <c r="P45" s="2" t="str">
        <f>"Q"&amp;ROUNDUP(MONTH(Sheet1[[#This Row],[date_joined]])/3,0)</f>
        <v>Q4</v>
      </c>
      <c r="Q45" s="2" t="str">
        <f>IF(Sheet1[[#This Row],[age]]&lt;30,"Young",IF(Sheet1[[#This Row],[age]]&lt;=50,"Adult","Senior"))</f>
        <v>Senior</v>
      </c>
      <c r="R45" s="2" t="str">
        <f t="shared" si="0"/>
        <v>Very High</v>
      </c>
      <c r="S45" s="2" t="str">
        <f t="shared" si="1"/>
        <v>South - Retired</v>
      </c>
    </row>
    <row r="46" spans="1:19" x14ac:dyDescent="0.3">
      <c r="A46" t="s">
        <v>116</v>
      </c>
      <c r="B46" t="s">
        <v>117</v>
      </c>
      <c r="C46">
        <v>34</v>
      </c>
      <c r="D46" s="2" t="s">
        <v>21</v>
      </c>
      <c r="E46" s="2" t="s">
        <v>22</v>
      </c>
      <c r="F46" s="2" t="s">
        <v>31</v>
      </c>
      <c r="G46" s="2" t="s">
        <v>81</v>
      </c>
      <c r="H46" s="2" t="s">
        <v>17</v>
      </c>
      <c r="I46" s="2" t="s">
        <v>17</v>
      </c>
      <c r="J46">
        <v>0.43</v>
      </c>
      <c r="K46" s="1">
        <v>44051</v>
      </c>
      <c r="L46" s="2" t="str">
        <f>IF(Sheet1[[#This Row],[age]]&lt;18, "Under 18",IF(Sheet1[[#This Row],[age]]&lt;=30,"18-30",IF(Sheet1[[#This Row],[age]]&lt;=45,"31-45",IF(Sheet1[[#This Row],[age]]&lt;=60,"46-60","60+"))))</f>
        <v>31-45</v>
      </c>
      <c r="M46" s="2" t="str">
        <f>IF(Sheet1[[#This Row],[risk_score]]&lt;0.3,"Low",IF(Sheet1[[#This Row],[risk_score]]&lt;0.7,"Medium","High"))</f>
        <v>Medium</v>
      </c>
      <c r="N46">
        <f>YEAR(Sheet1[[#This Row],[date_joined]])</f>
        <v>2020</v>
      </c>
      <c r="O46" s="2" t="str">
        <f>TEXT(Sheet1[[#This Row],[date_joined]],"mmm")</f>
        <v>Aug</v>
      </c>
      <c r="P46" s="2" t="str">
        <f>"Q"&amp;ROUNDUP(MONTH(Sheet1[[#This Row],[date_joined]])/3,0)</f>
        <v>Q3</v>
      </c>
      <c r="Q46" s="2" t="str">
        <f>IF(Sheet1[[#This Row],[age]]&lt;30,"Young",IF(Sheet1[[#This Row],[age]]&lt;=50,"Adult","Senior"))</f>
        <v>Adult</v>
      </c>
      <c r="R46" s="2" t="str">
        <f t="shared" si="0"/>
        <v>Low</v>
      </c>
      <c r="S46" s="2" t="str">
        <f t="shared" si="1"/>
        <v>Central - Self-employed</v>
      </c>
    </row>
    <row r="47" spans="1:19" x14ac:dyDescent="0.3">
      <c r="A47" t="s">
        <v>118</v>
      </c>
      <c r="B47" t="s">
        <v>119</v>
      </c>
      <c r="C47">
        <v>45</v>
      </c>
      <c r="D47" s="2" t="s">
        <v>13</v>
      </c>
      <c r="E47" s="2" t="s">
        <v>30</v>
      </c>
      <c r="F47" s="2" t="s">
        <v>37</v>
      </c>
      <c r="G47" s="2" t="s">
        <v>32</v>
      </c>
      <c r="H47" s="2" t="s">
        <v>17</v>
      </c>
      <c r="I47" s="2" t="s">
        <v>18</v>
      </c>
      <c r="J47">
        <v>0.78</v>
      </c>
      <c r="K47" s="1">
        <v>43319</v>
      </c>
      <c r="L47" s="2" t="str">
        <f>IF(Sheet1[[#This Row],[age]]&lt;18, "Under 18",IF(Sheet1[[#This Row],[age]]&lt;=30,"18-30",IF(Sheet1[[#This Row],[age]]&lt;=45,"31-45",IF(Sheet1[[#This Row],[age]]&lt;=60,"46-60","60+"))))</f>
        <v>31-45</v>
      </c>
      <c r="M47" s="2" t="str">
        <f>IF(Sheet1[[#This Row],[risk_score]]&lt;0.3,"Low",IF(Sheet1[[#This Row],[risk_score]]&lt;0.7,"Medium","High"))</f>
        <v>High</v>
      </c>
      <c r="N47">
        <f>YEAR(Sheet1[[#This Row],[date_joined]])</f>
        <v>2018</v>
      </c>
      <c r="O47" s="2" t="str">
        <f>TEXT(Sheet1[[#This Row],[date_joined]],"mmm")</f>
        <v>Aug</v>
      </c>
      <c r="P47" s="2" t="str">
        <f>"Q"&amp;ROUNDUP(MONTH(Sheet1[[#This Row],[date_joined]])/3,0)</f>
        <v>Q3</v>
      </c>
      <c r="Q47" s="2" t="str">
        <f>IF(Sheet1[[#This Row],[age]]&lt;30,"Young",IF(Sheet1[[#This Row],[age]]&lt;=50,"Adult","Senior"))</f>
        <v>Adult</v>
      </c>
      <c r="R47" s="2" t="str">
        <f t="shared" si="0"/>
        <v>High</v>
      </c>
      <c r="S47" s="2" t="str">
        <f t="shared" si="1"/>
        <v>South - Retired</v>
      </c>
    </row>
    <row r="48" spans="1:19" x14ac:dyDescent="0.3">
      <c r="A48" t="s">
        <v>120</v>
      </c>
      <c r="B48" t="s">
        <v>121</v>
      </c>
      <c r="C48">
        <v>56</v>
      </c>
      <c r="D48" s="2" t="s">
        <v>13</v>
      </c>
      <c r="E48" s="2" t="s">
        <v>22</v>
      </c>
      <c r="F48" s="2" t="s">
        <v>37</v>
      </c>
      <c r="G48" s="2" t="s">
        <v>81</v>
      </c>
      <c r="H48" s="2" t="s">
        <v>17</v>
      </c>
      <c r="I48" s="2" t="s">
        <v>17</v>
      </c>
      <c r="J48">
        <v>0.62</v>
      </c>
      <c r="K48" s="1">
        <v>45067</v>
      </c>
      <c r="L48" s="2" t="str">
        <f>IF(Sheet1[[#This Row],[age]]&lt;18, "Under 18",IF(Sheet1[[#This Row],[age]]&lt;=30,"18-30",IF(Sheet1[[#This Row],[age]]&lt;=45,"31-45",IF(Sheet1[[#This Row],[age]]&lt;=60,"46-60","60+"))))</f>
        <v>46-60</v>
      </c>
      <c r="M48" s="2" t="str">
        <f>IF(Sheet1[[#This Row],[risk_score]]&lt;0.3,"Low",IF(Sheet1[[#This Row],[risk_score]]&lt;0.7,"Medium","High"))</f>
        <v>Medium</v>
      </c>
      <c r="N48">
        <f>YEAR(Sheet1[[#This Row],[date_joined]])</f>
        <v>2023</v>
      </c>
      <c r="O48" s="2" t="str">
        <f>TEXT(Sheet1[[#This Row],[date_joined]],"mmm")</f>
        <v>May</v>
      </c>
      <c r="P48" s="2" t="str">
        <f>"Q"&amp;ROUNDUP(MONTH(Sheet1[[#This Row],[date_joined]])/3,0)</f>
        <v>Q2</v>
      </c>
      <c r="Q48" s="2" t="str">
        <f>IF(Sheet1[[#This Row],[age]]&lt;30,"Young",IF(Sheet1[[#This Row],[age]]&lt;=50,"Adult","Senior"))</f>
        <v>Senior</v>
      </c>
      <c r="R48" s="2" t="str">
        <f t="shared" si="0"/>
        <v>Low</v>
      </c>
      <c r="S48" s="2" t="str">
        <f t="shared" si="1"/>
        <v>Central - Retired</v>
      </c>
    </row>
    <row r="49" spans="1:19" x14ac:dyDescent="0.3">
      <c r="A49" t="s">
        <v>122</v>
      </c>
      <c r="B49" t="s">
        <v>123</v>
      </c>
      <c r="C49">
        <v>60</v>
      </c>
      <c r="D49" s="2" t="s">
        <v>13</v>
      </c>
      <c r="E49" s="2" t="s">
        <v>14</v>
      </c>
      <c r="F49" s="2" t="s">
        <v>31</v>
      </c>
      <c r="G49" s="2" t="s">
        <v>81</v>
      </c>
      <c r="H49" s="2" t="s">
        <v>18</v>
      </c>
      <c r="I49" s="2" t="s">
        <v>17</v>
      </c>
      <c r="J49">
        <v>0.61</v>
      </c>
      <c r="K49" s="1">
        <v>43907</v>
      </c>
      <c r="L49" s="2" t="str">
        <f>IF(Sheet1[[#This Row],[age]]&lt;18, "Under 18",IF(Sheet1[[#This Row],[age]]&lt;=30,"18-30",IF(Sheet1[[#This Row],[age]]&lt;=45,"31-45",IF(Sheet1[[#This Row],[age]]&lt;=60,"46-60","60+"))))</f>
        <v>46-60</v>
      </c>
      <c r="M49" s="2" t="str">
        <f>IF(Sheet1[[#This Row],[risk_score]]&lt;0.3,"Low",IF(Sheet1[[#This Row],[risk_score]]&lt;0.7,"Medium","High"))</f>
        <v>Medium</v>
      </c>
      <c r="N49">
        <f>YEAR(Sheet1[[#This Row],[date_joined]])</f>
        <v>2020</v>
      </c>
      <c r="O49" s="2" t="str">
        <f>TEXT(Sheet1[[#This Row],[date_joined]],"mmm")</f>
        <v>Mar</v>
      </c>
      <c r="P49" s="2" t="str">
        <f>"Q"&amp;ROUNDUP(MONTH(Sheet1[[#This Row],[date_joined]])/3,0)</f>
        <v>Q1</v>
      </c>
      <c r="Q49" s="2" t="str">
        <f>IF(Sheet1[[#This Row],[age]]&lt;30,"Young",IF(Sheet1[[#This Row],[age]]&lt;=50,"Adult","Senior"))</f>
        <v>Senior</v>
      </c>
      <c r="R49" s="2" t="str">
        <f t="shared" si="0"/>
        <v>High</v>
      </c>
      <c r="S49" s="2" t="str">
        <f t="shared" si="1"/>
        <v>Central - Self-employed</v>
      </c>
    </row>
    <row r="50" spans="1:19" x14ac:dyDescent="0.3">
      <c r="A50" t="s">
        <v>124</v>
      </c>
      <c r="B50" t="s">
        <v>125</v>
      </c>
      <c r="C50">
        <v>65</v>
      </c>
      <c r="D50" s="2" t="s">
        <v>21</v>
      </c>
      <c r="E50" s="2" t="s">
        <v>30</v>
      </c>
      <c r="F50" s="2" t="s">
        <v>23</v>
      </c>
      <c r="G50" s="2" t="s">
        <v>32</v>
      </c>
      <c r="H50" s="2" t="s">
        <v>17</v>
      </c>
      <c r="I50" s="2" t="s">
        <v>17</v>
      </c>
      <c r="J50">
        <v>0.45</v>
      </c>
      <c r="K50" s="1">
        <v>44630</v>
      </c>
      <c r="L50" s="2" t="str">
        <f>IF(Sheet1[[#This Row],[age]]&lt;18, "Under 18",IF(Sheet1[[#This Row],[age]]&lt;=30,"18-30",IF(Sheet1[[#This Row],[age]]&lt;=45,"31-45",IF(Sheet1[[#This Row],[age]]&lt;=60,"46-60","60+"))))</f>
        <v>60+</v>
      </c>
      <c r="M50" s="2" t="str">
        <f>IF(Sheet1[[#This Row],[risk_score]]&lt;0.3,"Low",IF(Sheet1[[#This Row],[risk_score]]&lt;0.7,"Medium","High"))</f>
        <v>Medium</v>
      </c>
      <c r="N50">
        <f>YEAR(Sheet1[[#This Row],[date_joined]])</f>
        <v>2022</v>
      </c>
      <c r="O50" s="2" t="str">
        <f>TEXT(Sheet1[[#This Row],[date_joined]],"mmm")</f>
        <v>Mar</v>
      </c>
      <c r="P50" s="2" t="str">
        <f>"Q"&amp;ROUNDUP(MONTH(Sheet1[[#This Row],[date_joined]])/3,0)</f>
        <v>Q1</v>
      </c>
      <c r="Q50" s="2" t="str">
        <f>IF(Sheet1[[#This Row],[age]]&lt;30,"Young",IF(Sheet1[[#This Row],[age]]&lt;=50,"Adult","Senior"))</f>
        <v>Senior</v>
      </c>
      <c r="R50" s="2" t="str">
        <f t="shared" si="0"/>
        <v>Low</v>
      </c>
      <c r="S50" s="2" t="str">
        <f t="shared" si="1"/>
        <v>South - Salaried</v>
      </c>
    </row>
    <row r="51" spans="1:19" x14ac:dyDescent="0.3">
      <c r="A51" t="s">
        <v>126</v>
      </c>
      <c r="B51" t="s">
        <v>127</v>
      </c>
      <c r="C51">
        <v>50</v>
      </c>
      <c r="D51" s="2" t="s">
        <v>13</v>
      </c>
      <c r="E51" s="2" t="s">
        <v>30</v>
      </c>
      <c r="F51" s="2" t="s">
        <v>37</v>
      </c>
      <c r="G51" s="2" t="s">
        <v>16</v>
      </c>
      <c r="H51" s="2" t="s">
        <v>17</v>
      </c>
      <c r="I51" s="2" t="s">
        <v>17</v>
      </c>
      <c r="J51">
        <v>0.54</v>
      </c>
      <c r="K51" s="1">
        <v>43424</v>
      </c>
      <c r="L51" s="2" t="str">
        <f>IF(Sheet1[[#This Row],[age]]&lt;18, "Under 18",IF(Sheet1[[#This Row],[age]]&lt;=30,"18-30",IF(Sheet1[[#This Row],[age]]&lt;=45,"31-45",IF(Sheet1[[#This Row],[age]]&lt;=60,"46-60","60+"))))</f>
        <v>46-60</v>
      </c>
      <c r="M51" s="2" t="str">
        <f>IF(Sheet1[[#This Row],[risk_score]]&lt;0.3,"Low",IF(Sheet1[[#This Row],[risk_score]]&lt;0.7,"Medium","High"))</f>
        <v>Medium</v>
      </c>
      <c r="N51">
        <f>YEAR(Sheet1[[#This Row],[date_joined]])</f>
        <v>2018</v>
      </c>
      <c r="O51" s="2" t="str">
        <f>TEXT(Sheet1[[#This Row],[date_joined]],"mmm")</f>
        <v>Nov</v>
      </c>
      <c r="P51" s="2" t="str">
        <f>"Q"&amp;ROUNDUP(MONTH(Sheet1[[#This Row],[date_joined]])/3,0)</f>
        <v>Q4</v>
      </c>
      <c r="Q51" s="2" t="str">
        <f>IF(Sheet1[[#This Row],[age]]&lt;30,"Young",IF(Sheet1[[#This Row],[age]]&lt;=50,"Adult","Senior"))</f>
        <v>Adult</v>
      </c>
      <c r="R51" s="2" t="str">
        <f t="shared" si="0"/>
        <v>Low</v>
      </c>
      <c r="S51" s="2" t="str">
        <f t="shared" si="1"/>
        <v>West - Retired</v>
      </c>
    </row>
    <row r="52" spans="1:19" x14ac:dyDescent="0.3">
      <c r="A52" t="s">
        <v>128</v>
      </c>
      <c r="B52" t="s">
        <v>129</v>
      </c>
      <c r="C52">
        <v>30</v>
      </c>
      <c r="D52" s="2" t="s">
        <v>13</v>
      </c>
      <c r="E52" s="2" t="s">
        <v>14</v>
      </c>
      <c r="F52" s="2" t="s">
        <v>37</v>
      </c>
      <c r="G52" s="2" t="s">
        <v>16</v>
      </c>
      <c r="H52" s="2" t="s">
        <v>17</v>
      </c>
      <c r="I52" s="2" t="s">
        <v>18</v>
      </c>
      <c r="J52">
        <v>0.15</v>
      </c>
      <c r="K52" s="1">
        <v>43677</v>
      </c>
      <c r="L52" s="2" t="str">
        <f>IF(Sheet1[[#This Row],[age]]&lt;18, "Under 18",IF(Sheet1[[#This Row],[age]]&lt;=30,"18-30",IF(Sheet1[[#This Row],[age]]&lt;=45,"31-45",IF(Sheet1[[#This Row],[age]]&lt;=60,"46-60","60+"))))</f>
        <v>18-30</v>
      </c>
      <c r="M52" s="2" t="str">
        <f>IF(Sheet1[[#This Row],[risk_score]]&lt;0.3,"Low",IF(Sheet1[[#This Row],[risk_score]]&lt;0.7,"Medium","High"))</f>
        <v>Low</v>
      </c>
      <c r="N52">
        <f>YEAR(Sheet1[[#This Row],[date_joined]])</f>
        <v>2019</v>
      </c>
      <c r="O52" s="2" t="str">
        <f>TEXT(Sheet1[[#This Row],[date_joined]],"mmm")</f>
        <v>Jul</v>
      </c>
      <c r="P52" s="2" t="str">
        <f>"Q"&amp;ROUNDUP(MONTH(Sheet1[[#This Row],[date_joined]])/3,0)</f>
        <v>Q3</v>
      </c>
      <c r="Q52" s="2" t="str">
        <f>IF(Sheet1[[#This Row],[age]]&lt;30,"Young",IF(Sheet1[[#This Row],[age]]&lt;=50,"Adult","Senior"))</f>
        <v>Adult</v>
      </c>
      <c r="R52" s="2" t="str">
        <f t="shared" si="0"/>
        <v>High</v>
      </c>
      <c r="S52" s="2" t="str">
        <f t="shared" si="1"/>
        <v>West - Retired</v>
      </c>
    </row>
    <row r="53" spans="1:19" x14ac:dyDescent="0.3">
      <c r="A53" t="s">
        <v>130</v>
      </c>
      <c r="B53" t="s">
        <v>131</v>
      </c>
      <c r="C53">
        <v>69</v>
      </c>
      <c r="D53" s="2" t="s">
        <v>21</v>
      </c>
      <c r="E53" s="2" t="s">
        <v>14</v>
      </c>
      <c r="F53" s="2" t="s">
        <v>23</v>
      </c>
      <c r="G53" s="2" t="s">
        <v>81</v>
      </c>
      <c r="H53" s="2" t="s">
        <v>17</v>
      </c>
      <c r="I53" s="2" t="s">
        <v>18</v>
      </c>
      <c r="J53">
        <v>0.51</v>
      </c>
      <c r="K53" s="1">
        <v>43871</v>
      </c>
      <c r="L53" s="2" t="str">
        <f>IF(Sheet1[[#This Row],[age]]&lt;18, "Under 18",IF(Sheet1[[#This Row],[age]]&lt;=30,"18-30",IF(Sheet1[[#This Row],[age]]&lt;=45,"31-45",IF(Sheet1[[#This Row],[age]]&lt;=60,"46-60","60+"))))</f>
        <v>60+</v>
      </c>
      <c r="M53" s="2" t="str">
        <f>IF(Sheet1[[#This Row],[risk_score]]&lt;0.3,"Low",IF(Sheet1[[#This Row],[risk_score]]&lt;0.7,"Medium","High"))</f>
        <v>Medium</v>
      </c>
      <c r="N53">
        <f>YEAR(Sheet1[[#This Row],[date_joined]])</f>
        <v>2020</v>
      </c>
      <c r="O53" s="2" t="str">
        <f>TEXT(Sheet1[[#This Row],[date_joined]],"mmm")</f>
        <v>Feb</v>
      </c>
      <c r="P53" s="2" t="str">
        <f>"Q"&amp;ROUNDUP(MONTH(Sheet1[[#This Row],[date_joined]])/3,0)</f>
        <v>Q1</v>
      </c>
      <c r="Q53" s="2" t="str">
        <f>IF(Sheet1[[#This Row],[age]]&lt;30,"Young",IF(Sheet1[[#This Row],[age]]&lt;=50,"Adult","Senior"))</f>
        <v>Senior</v>
      </c>
      <c r="R53" s="2" t="str">
        <f t="shared" si="0"/>
        <v>High</v>
      </c>
      <c r="S53" s="2" t="str">
        <f t="shared" si="1"/>
        <v>Central - Salaried</v>
      </c>
    </row>
    <row r="54" spans="1:19" x14ac:dyDescent="0.3">
      <c r="A54" t="s">
        <v>132</v>
      </c>
      <c r="B54" t="s">
        <v>133</v>
      </c>
      <c r="C54">
        <v>31</v>
      </c>
      <c r="D54" s="2" t="s">
        <v>21</v>
      </c>
      <c r="E54" s="2" t="s">
        <v>22</v>
      </c>
      <c r="F54" s="2" t="s">
        <v>37</v>
      </c>
      <c r="G54" s="2" t="s">
        <v>16</v>
      </c>
      <c r="H54" s="2" t="s">
        <v>17</v>
      </c>
      <c r="I54" s="2" t="s">
        <v>17</v>
      </c>
      <c r="J54">
        <v>0.71</v>
      </c>
      <c r="K54" s="1">
        <v>43864</v>
      </c>
      <c r="L54" s="2" t="str">
        <f>IF(Sheet1[[#This Row],[age]]&lt;18, "Under 18",IF(Sheet1[[#This Row],[age]]&lt;=30,"18-30",IF(Sheet1[[#This Row],[age]]&lt;=45,"31-45",IF(Sheet1[[#This Row],[age]]&lt;=60,"46-60","60+"))))</f>
        <v>31-45</v>
      </c>
      <c r="M54" s="2" t="str">
        <f>IF(Sheet1[[#This Row],[risk_score]]&lt;0.3,"Low",IF(Sheet1[[#This Row],[risk_score]]&lt;0.7,"Medium","High"))</f>
        <v>High</v>
      </c>
      <c r="N54">
        <f>YEAR(Sheet1[[#This Row],[date_joined]])</f>
        <v>2020</v>
      </c>
      <c r="O54" s="2" t="str">
        <f>TEXT(Sheet1[[#This Row],[date_joined]],"mmm")</f>
        <v>Feb</v>
      </c>
      <c r="P54" s="2" t="str">
        <f>"Q"&amp;ROUNDUP(MONTH(Sheet1[[#This Row],[date_joined]])/3,0)</f>
        <v>Q1</v>
      </c>
      <c r="Q54" s="2" t="str">
        <f>IF(Sheet1[[#This Row],[age]]&lt;30,"Young",IF(Sheet1[[#This Row],[age]]&lt;=50,"Adult","Senior"))</f>
        <v>Adult</v>
      </c>
      <c r="R54" s="2" t="str">
        <f t="shared" si="0"/>
        <v>Low</v>
      </c>
      <c r="S54" s="2" t="str">
        <f t="shared" si="1"/>
        <v>West - Retired</v>
      </c>
    </row>
    <row r="55" spans="1:19" x14ac:dyDescent="0.3">
      <c r="A55" t="s">
        <v>134</v>
      </c>
      <c r="B55" t="s">
        <v>135</v>
      </c>
      <c r="C55">
        <v>57</v>
      </c>
      <c r="D55" s="2" t="s">
        <v>21</v>
      </c>
      <c r="E55" s="2" t="s">
        <v>14</v>
      </c>
      <c r="F55" s="2" t="s">
        <v>31</v>
      </c>
      <c r="G55" s="2" t="s">
        <v>81</v>
      </c>
      <c r="H55" s="2" t="s">
        <v>18</v>
      </c>
      <c r="I55" s="2" t="s">
        <v>17</v>
      </c>
      <c r="J55">
        <v>0.25</v>
      </c>
      <c r="K55" s="1">
        <v>44647</v>
      </c>
      <c r="L55" s="2" t="str">
        <f>IF(Sheet1[[#This Row],[age]]&lt;18, "Under 18",IF(Sheet1[[#This Row],[age]]&lt;=30,"18-30",IF(Sheet1[[#This Row],[age]]&lt;=45,"31-45",IF(Sheet1[[#This Row],[age]]&lt;=60,"46-60","60+"))))</f>
        <v>46-60</v>
      </c>
      <c r="M55" s="2" t="str">
        <f>IF(Sheet1[[#This Row],[risk_score]]&lt;0.3,"Low",IF(Sheet1[[#This Row],[risk_score]]&lt;0.7,"Medium","High"))</f>
        <v>Low</v>
      </c>
      <c r="N55">
        <f>YEAR(Sheet1[[#This Row],[date_joined]])</f>
        <v>2022</v>
      </c>
      <c r="O55" s="2" t="str">
        <f>TEXT(Sheet1[[#This Row],[date_joined]],"mmm")</f>
        <v>Mar</v>
      </c>
      <c r="P55" s="2" t="str">
        <f>"Q"&amp;ROUNDUP(MONTH(Sheet1[[#This Row],[date_joined]])/3,0)</f>
        <v>Q1</v>
      </c>
      <c r="Q55" s="2" t="str">
        <f>IF(Sheet1[[#This Row],[age]]&lt;30,"Young",IF(Sheet1[[#This Row],[age]]&lt;=50,"Adult","Senior"))</f>
        <v>Senior</v>
      </c>
      <c r="R55" s="2" t="str">
        <f t="shared" si="0"/>
        <v>High</v>
      </c>
      <c r="S55" s="2" t="str">
        <f t="shared" si="1"/>
        <v>Central - Self-employed</v>
      </c>
    </row>
    <row r="56" spans="1:19" x14ac:dyDescent="0.3">
      <c r="A56" t="s">
        <v>136</v>
      </c>
      <c r="B56" t="s">
        <v>137</v>
      </c>
      <c r="C56">
        <v>50</v>
      </c>
      <c r="D56" s="2" t="s">
        <v>21</v>
      </c>
      <c r="E56" s="2" t="s">
        <v>14</v>
      </c>
      <c r="F56" s="2" t="s">
        <v>37</v>
      </c>
      <c r="G56" s="2" t="s">
        <v>24</v>
      </c>
      <c r="H56" s="2" t="s">
        <v>18</v>
      </c>
      <c r="I56" s="2" t="s">
        <v>17</v>
      </c>
      <c r="J56">
        <v>0.32</v>
      </c>
      <c r="K56" s="1">
        <v>44216</v>
      </c>
      <c r="L56" s="2" t="str">
        <f>IF(Sheet1[[#This Row],[age]]&lt;18, "Under 18",IF(Sheet1[[#This Row],[age]]&lt;=30,"18-30",IF(Sheet1[[#This Row],[age]]&lt;=45,"31-45",IF(Sheet1[[#This Row],[age]]&lt;=60,"46-60","60+"))))</f>
        <v>46-60</v>
      </c>
      <c r="M56" s="2" t="str">
        <f>IF(Sheet1[[#This Row],[risk_score]]&lt;0.3,"Low",IF(Sheet1[[#This Row],[risk_score]]&lt;0.7,"Medium","High"))</f>
        <v>Medium</v>
      </c>
      <c r="N56">
        <f>YEAR(Sheet1[[#This Row],[date_joined]])</f>
        <v>2021</v>
      </c>
      <c r="O56" s="2" t="str">
        <f>TEXT(Sheet1[[#This Row],[date_joined]],"mmm")</f>
        <v>Jan</v>
      </c>
      <c r="P56" s="2" t="str">
        <f>"Q"&amp;ROUNDUP(MONTH(Sheet1[[#This Row],[date_joined]])/3,0)</f>
        <v>Q1</v>
      </c>
      <c r="Q56" s="2" t="str">
        <f>IF(Sheet1[[#This Row],[age]]&lt;30,"Young",IF(Sheet1[[#This Row],[age]]&lt;=50,"Adult","Senior"))</f>
        <v>Adult</v>
      </c>
      <c r="R56" s="2" t="str">
        <f t="shared" si="0"/>
        <v>High</v>
      </c>
      <c r="S56" s="2" t="str">
        <f t="shared" si="1"/>
        <v>East - Retired</v>
      </c>
    </row>
    <row r="57" spans="1:19" x14ac:dyDescent="0.3">
      <c r="A57" t="s">
        <v>138</v>
      </c>
      <c r="B57" t="s">
        <v>139</v>
      </c>
      <c r="C57">
        <v>62</v>
      </c>
      <c r="D57" s="2" t="s">
        <v>13</v>
      </c>
      <c r="E57" s="2" t="s">
        <v>30</v>
      </c>
      <c r="F57" s="2" t="s">
        <v>31</v>
      </c>
      <c r="G57" s="2" t="s">
        <v>16</v>
      </c>
      <c r="H57" s="2" t="s">
        <v>17</v>
      </c>
      <c r="I57" s="2" t="s">
        <v>17</v>
      </c>
      <c r="J57">
        <v>0.47</v>
      </c>
      <c r="K57" s="1">
        <v>43891</v>
      </c>
      <c r="L57" s="2" t="str">
        <f>IF(Sheet1[[#This Row],[age]]&lt;18, "Under 18",IF(Sheet1[[#This Row],[age]]&lt;=30,"18-30",IF(Sheet1[[#This Row],[age]]&lt;=45,"31-45",IF(Sheet1[[#This Row],[age]]&lt;=60,"46-60","60+"))))</f>
        <v>60+</v>
      </c>
      <c r="M57" s="2" t="str">
        <f>IF(Sheet1[[#This Row],[risk_score]]&lt;0.3,"Low",IF(Sheet1[[#This Row],[risk_score]]&lt;0.7,"Medium","High"))</f>
        <v>Medium</v>
      </c>
      <c r="N57">
        <f>YEAR(Sheet1[[#This Row],[date_joined]])</f>
        <v>2020</v>
      </c>
      <c r="O57" s="2" t="str">
        <f>TEXT(Sheet1[[#This Row],[date_joined]],"mmm")</f>
        <v>Mar</v>
      </c>
      <c r="P57" s="2" t="str">
        <f>"Q"&amp;ROUNDUP(MONTH(Sheet1[[#This Row],[date_joined]])/3,0)</f>
        <v>Q1</v>
      </c>
      <c r="Q57" s="2" t="str">
        <f>IF(Sheet1[[#This Row],[age]]&lt;30,"Young",IF(Sheet1[[#This Row],[age]]&lt;=50,"Adult","Senior"))</f>
        <v>Senior</v>
      </c>
      <c r="R57" s="2" t="str">
        <f t="shared" si="0"/>
        <v>Low</v>
      </c>
      <c r="S57" s="2" t="str">
        <f t="shared" si="1"/>
        <v>West - Self-employed</v>
      </c>
    </row>
    <row r="58" spans="1:19" x14ac:dyDescent="0.3">
      <c r="A58" t="s">
        <v>140</v>
      </c>
      <c r="B58" t="s">
        <v>141</v>
      </c>
      <c r="C58">
        <v>68</v>
      </c>
      <c r="D58" s="2" t="s">
        <v>21</v>
      </c>
      <c r="E58" s="2" t="s">
        <v>30</v>
      </c>
      <c r="F58" s="2" t="s">
        <v>31</v>
      </c>
      <c r="G58" s="2" t="s">
        <v>27</v>
      </c>
      <c r="H58" s="2" t="s">
        <v>18</v>
      </c>
      <c r="I58" s="2" t="s">
        <v>18</v>
      </c>
      <c r="J58">
        <v>0.01</v>
      </c>
      <c r="K58" s="1">
        <v>45249</v>
      </c>
      <c r="L58" s="2" t="str">
        <f>IF(Sheet1[[#This Row],[age]]&lt;18, "Under 18",IF(Sheet1[[#This Row],[age]]&lt;=30,"18-30",IF(Sheet1[[#This Row],[age]]&lt;=45,"31-45",IF(Sheet1[[#This Row],[age]]&lt;=60,"46-60","60+"))))</f>
        <v>60+</v>
      </c>
      <c r="M58" s="2" t="str">
        <f>IF(Sheet1[[#This Row],[risk_score]]&lt;0.3,"Low",IF(Sheet1[[#This Row],[risk_score]]&lt;0.7,"Medium","High"))</f>
        <v>Low</v>
      </c>
      <c r="N58">
        <f>YEAR(Sheet1[[#This Row],[date_joined]])</f>
        <v>2023</v>
      </c>
      <c r="O58" s="2" t="str">
        <f>TEXT(Sheet1[[#This Row],[date_joined]],"mmm")</f>
        <v>Nov</v>
      </c>
      <c r="P58" s="2" t="str">
        <f>"Q"&amp;ROUNDUP(MONTH(Sheet1[[#This Row],[date_joined]])/3,0)</f>
        <v>Q4</v>
      </c>
      <c r="Q58" s="2" t="str">
        <f>IF(Sheet1[[#This Row],[age]]&lt;30,"Young",IF(Sheet1[[#This Row],[age]]&lt;=50,"Adult","Senior"))</f>
        <v>Senior</v>
      </c>
      <c r="R58" s="2" t="str">
        <f t="shared" si="0"/>
        <v>Very High</v>
      </c>
      <c r="S58" s="2" t="str">
        <f t="shared" si="1"/>
        <v>North - Self-employed</v>
      </c>
    </row>
    <row r="59" spans="1:19" x14ac:dyDescent="0.3">
      <c r="A59" t="s">
        <v>142</v>
      </c>
      <c r="B59" t="s">
        <v>143</v>
      </c>
      <c r="C59">
        <v>30</v>
      </c>
      <c r="D59" s="2" t="s">
        <v>13</v>
      </c>
      <c r="E59" s="2" t="s">
        <v>30</v>
      </c>
      <c r="F59" s="2" t="s">
        <v>15</v>
      </c>
      <c r="G59" s="2" t="s">
        <v>24</v>
      </c>
      <c r="H59" s="2" t="s">
        <v>18</v>
      </c>
      <c r="I59" s="2" t="s">
        <v>17</v>
      </c>
      <c r="J59">
        <v>0.55000000000000004</v>
      </c>
      <c r="K59" s="1">
        <v>45160</v>
      </c>
      <c r="L59" s="2" t="str">
        <f>IF(Sheet1[[#This Row],[age]]&lt;18, "Under 18",IF(Sheet1[[#This Row],[age]]&lt;=30,"18-30",IF(Sheet1[[#This Row],[age]]&lt;=45,"31-45",IF(Sheet1[[#This Row],[age]]&lt;=60,"46-60","60+"))))</f>
        <v>18-30</v>
      </c>
      <c r="M59" s="2" t="str">
        <f>IF(Sheet1[[#This Row],[risk_score]]&lt;0.3,"Low",IF(Sheet1[[#This Row],[risk_score]]&lt;0.7,"Medium","High"))</f>
        <v>Medium</v>
      </c>
      <c r="N59">
        <f>YEAR(Sheet1[[#This Row],[date_joined]])</f>
        <v>2023</v>
      </c>
      <c r="O59" s="2" t="str">
        <f>TEXT(Sheet1[[#This Row],[date_joined]],"mmm")</f>
        <v>Aug</v>
      </c>
      <c r="P59" s="2" t="str">
        <f>"Q"&amp;ROUNDUP(MONTH(Sheet1[[#This Row],[date_joined]])/3,0)</f>
        <v>Q3</v>
      </c>
      <c r="Q59" s="2" t="str">
        <f>IF(Sheet1[[#This Row],[age]]&lt;30,"Young",IF(Sheet1[[#This Row],[age]]&lt;=50,"Adult","Senior"))</f>
        <v>Adult</v>
      </c>
      <c r="R59" s="2" t="str">
        <f t="shared" si="0"/>
        <v>High</v>
      </c>
      <c r="S59" s="2" t="str">
        <f t="shared" si="1"/>
        <v>East - Student</v>
      </c>
    </row>
    <row r="60" spans="1:19" x14ac:dyDescent="0.3">
      <c r="A60" t="s">
        <v>144</v>
      </c>
      <c r="B60" t="s">
        <v>145</v>
      </c>
      <c r="C60">
        <v>26</v>
      </c>
      <c r="D60" s="2" t="s">
        <v>21</v>
      </c>
      <c r="E60" s="2" t="s">
        <v>22</v>
      </c>
      <c r="F60" s="2" t="s">
        <v>31</v>
      </c>
      <c r="G60" s="2" t="s">
        <v>16</v>
      </c>
      <c r="H60" s="2" t="s">
        <v>18</v>
      </c>
      <c r="I60" s="2" t="s">
        <v>17</v>
      </c>
      <c r="J60">
        <v>0.37</v>
      </c>
      <c r="K60" s="1">
        <v>44470</v>
      </c>
      <c r="L60" s="2" t="str">
        <f>IF(Sheet1[[#This Row],[age]]&lt;18, "Under 18",IF(Sheet1[[#This Row],[age]]&lt;=30,"18-30",IF(Sheet1[[#This Row],[age]]&lt;=45,"31-45",IF(Sheet1[[#This Row],[age]]&lt;=60,"46-60","60+"))))</f>
        <v>18-30</v>
      </c>
      <c r="M60" s="2" t="str">
        <f>IF(Sheet1[[#This Row],[risk_score]]&lt;0.3,"Low",IF(Sheet1[[#This Row],[risk_score]]&lt;0.7,"Medium","High"))</f>
        <v>Medium</v>
      </c>
      <c r="N60">
        <f>YEAR(Sheet1[[#This Row],[date_joined]])</f>
        <v>2021</v>
      </c>
      <c r="O60" s="2" t="str">
        <f>TEXT(Sheet1[[#This Row],[date_joined]],"mmm")</f>
        <v>Oct</v>
      </c>
      <c r="P60" s="2" t="str">
        <f>"Q"&amp;ROUNDUP(MONTH(Sheet1[[#This Row],[date_joined]])/3,0)</f>
        <v>Q4</v>
      </c>
      <c r="Q60" s="2" t="str">
        <f>IF(Sheet1[[#This Row],[age]]&lt;30,"Young",IF(Sheet1[[#This Row],[age]]&lt;=50,"Adult","Senior"))</f>
        <v>Young</v>
      </c>
      <c r="R60" s="2" t="str">
        <f t="shared" si="0"/>
        <v>High</v>
      </c>
      <c r="S60" s="2" t="str">
        <f t="shared" si="1"/>
        <v>West - Self-employed</v>
      </c>
    </row>
    <row r="61" spans="1:19" x14ac:dyDescent="0.3">
      <c r="A61" t="s">
        <v>146</v>
      </c>
      <c r="B61" t="s">
        <v>147</v>
      </c>
      <c r="C61">
        <v>38</v>
      </c>
      <c r="D61" s="2" t="s">
        <v>21</v>
      </c>
      <c r="E61" s="2" t="s">
        <v>30</v>
      </c>
      <c r="F61" s="2" t="s">
        <v>15</v>
      </c>
      <c r="G61" s="2" t="s">
        <v>32</v>
      </c>
      <c r="H61" s="2" t="s">
        <v>18</v>
      </c>
      <c r="I61" s="2" t="s">
        <v>18</v>
      </c>
      <c r="J61">
        <v>0.46</v>
      </c>
      <c r="K61" s="1">
        <v>43606</v>
      </c>
      <c r="L61" s="2" t="str">
        <f>IF(Sheet1[[#This Row],[age]]&lt;18, "Under 18",IF(Sheet1[[#This Row],[age]]&lt;=30,"18-30",IF(Sheet1[[#This Row],[age]]&lt;=45,"31-45",IF(Sheet1[[#This Row],[age]]&lt;=60,"46-60","60+"))))</f>
        <v>31-45</v>
      </c>
      <c r="M61" s="2" t="str">
        <f>IF(Sheet1[[#This Row],[risk_score]]&lt;0.3,"Low",IF(Sheet1[[#This Row],[risk_score]]&lt;0.7,"Medium","High"))</f>
        <v>Medium</v>
      </c>
      <c r="N61">
        <f>YEAR(Sheet1[[#This Row],[date_joined]])</f>
        <v>2019</v>
      </c>
      <c r="O61" s="2" t="str">
        <f>TEXT(Sheet1[[#This Row],[date_joined]],"mmm")</f>
        <v>May</v>
      </c>
      <c r="P61" s="2" t="str">
        <f>"Q"&amp;ROUNDUP(MONTH(Sheet1[[#This Row],[date_joined]])/3,0)</f>
        <v>Q2</v>
      </c>
      <c r="Q61" s="2" t="str">
        <f>IF(Sheet1[[#This Row],[age]]&lt;30,"Young",IF(Sheet1[[#This Row],[age]]&lt;=50,"Adult","Senior"))</f>
        <v>Adult</v>
      </c>
      <c r="R61" s="2" t="str">
        <f t="shared" si="0"/>
        <v>Very High</v>
      </c>
      <c r="S61" s="2" t="str">
        <f t="shared" si="1"/>
        <v>South - Student</v>
      </c>
    </row>
    <row r="62" spans="1:19" x14ac:dyDescent="0.3">
      <c r="A62" t="s">
        <v>148</v>
      </c>
      <c r="B62" t="s">
        <v>149</v>
      </c>
      <c r="C62">
        <v>68</v>
      </c>
      <c r="D62" s="2" t="s">
        <v>21</v>
      </c>
      <c r="E62" s="2" t="s">
        <v>14</v>
      </c>
      <c r="F62" s="2" t="s">
        <v>15</v>
      </c>
      <c r="G62" s="2" t="s">
        <v>27</v>
      </c>
      <c r="H62" s="2" t="s">
        <v>17</v>
      </c>
      <c r="I62" s="2" t="s">
        <v>18</v>
      </c>
      <c r="J62">
        <v>0.34</v>
      </c>
      <c r="K62" s="1">
        <v>44309</v>
      </c>
      <c r="L62" s="2" t="str">
        <f>IF(Sheet1[[#This Row],[age]]&lt;18, "Under 18",IF(Sheet1[[#This Row],[age]]&lt;=30,"18-30",IF(Sheet1[[#This Row],[age]]&lt;=45,"31-45",IF(Sheet1[[#This Row],[age]]&lt;=60,"46-60","60+"))))</f>
        <v>60+</v>
      </c>
      <c r="M62" s="2" t="str">
        <f>IF(Sheet1[[#This Row],[risk_score]]&lt;0.3,"Low",IF(Sheet1[[#This Row],[risk_score]]&lt;0.7,"Medium","High"))</f>
        <v>Medium</v>
      </c>
      <c r="N62">
        <f>YEAR(Sheet1[[#This Row],[date_joined]])</f>
        <v>2021</v>
      </c>
      <c r="O62" s="2" t="str">
        <f>TEXT(Sheet1[[#This Row],[date_joined]],"mmm")</f>
        <v>Apr</v>
      </c>
      <c r="P62" s="2" t="str">
        <f>"Q"&amp;ROUNDUP(MONTH(Sheet1[[#This Row],[date_joined]])/3,0)</f>
        <v>Q2</v>
      </c>
      <c r="Q62" s="2" t="str">
        <f>IF(Sheet1[[#This Row],[age]]&lt;30,"Young",IF(Sheet1[[#This Row],[age]]&lt;=50,"Adult","Senior"))</f>
        <v>Senior</v>
      </c>
      <c r="R62" s="2" t="str">
        <f t="shared" si="0"/>
        <v>High</v>
      </c>
      <c r="S62" s="2" t="str">
        <f t="shared" si="1"/>
        <v>North - Student</v>
      </c>
    </row>
    <row r="63" spans="1:19" x14ac:dyDescent="0.3">
      <c r="A63" t="s">
        <v>150</v>
      </c>
      <c r="B63" t="s">
        <v>151</v>
      </c>
      <c r="C63">
        <v>20</v>
      </c>
      <c r="D63" s="2" t="s">
        <v>13</v>
      </c>
      <c r="E63" s="2" t="s">
        <v>30</v>
      </c>
      <c r="F63" s="2" t="s">
        <v>15</v>
      </c>
      <c r="G63" s="2" t="s">
        <v>16</v>
      </c>
      <c r="H63" s="2" t="s">
        <v>18</v>
      </c>
      <c r="I63" s="2" t="s">
        <v>17</v>
      </c>
      <c r="J63">
        <v>0.35</v>
      </c>
      <c r="K63" s="1">
        <v>44162</v>
      </c>
      <c r="L63" s="2" t="str">
        <f>IF(Sheet1[[#This Row],[age]]&lt;18, "Under 18",IF(Sheet1[[#This Row],[age]]&lt;=30,"18-30",IF(Sheet1[[#This Row],[age]]&lt;=45,"31-45",IF(Sheet1[[#This Row],[age]]&lt;=60,"46-60","60+"))))</f>
        <v>18-30</v>
      </c>
      <c r="M63" s="2" t="str">
        <f>IF(Sheet1[[#This Row],[risk_score]]&lt;0.3,"Low",IF(Sheet1[[#This Row],[risk_score]]&lt;0.7,"Medium","High"))</f>
        <v>Medium</v>
      </c>
      <c r="N63">
        <f>YEAR(Sheet1[[#This Row],[date_joined]])</f>
        <v>2020</v>
      </c>
      <c r="O63" s="2" t="str">
        <f>TEXT(Sheet1[[#This Row],[date_joined]],"mmm")</f>
        <v>Nov</v>
      </c>
      <c r="P63" s="2" t="str">
        <f>"Q"&amp;ROUNDUP(MONTH(Sheet1[[#This Row],[date_joined]])/3,0)</f>
        <v>Q4</v>
      </c>
      <c r="Q63" s="2" t="str">
        <f>IF(Sheet1[[#This Row],[age]]&lt;30,"Young",IF(Sheet1[[#This Row],[age]]&lt;=50,"Adult","Senior"))</f>
        <v>Young</v>
      </c>
      <c r="R63" s="2" t="str">
        <f t="shared" si="0"/>
        <v>High</v>
      </c>
      <c r="S63" s="2" t="str">
        <f t="shared" si="1"/>
        <v>West - Student</v>
      </c>
    </row>
    <row r="64" spans="1:19" x14ac:dyDescent="0.3">
      <c r="A64" t="s">
        <v>152</v>
      </c>
      <c r="B64" t="s">
        <v>153</v>
      </c>
      <c r="C64">
        <v>40</v>
      </c>
      <c r="D64" s="2" t="s">
        <v>21</v>
      </c>
      <c r="E64" s="2" t="s">
        <v>22</v>
      </c>
      <c r="F64" s="2" t="s">
        <v>23</v>
      </c>
      <c r="G64" s="2" t="s">
        <v>66</v>
      </c>
      <c r="H64" s="2" t="s">
        <v>18</v>
      </c>
      <c r="I64" s="2" t="s">
        <v>17</v>
      </c>
      <c r="J64">
        <v>0.63</v>
      </c>
      <c r="K64" s="1">
        <v>43308</v>
      </c>
      <c r="L64" s="2" t="str">
        <f>IF(Sheet1[[#This Row],[age]]&lt;18, "Under 18",IF(Sheet1[[#This Row],[age]]&lt;=30,"18-30",IF(Sheet1[[#This Row],[age]]&lt;=45,"31-45",IF(Sheet1[[#This Row],[age]]&lt;=60,"46-60","60+"))))</f>
        <v>31-45</v>
      </c>
      <c r="M64" s="2" t="str">
        <f>IF(Sheet1[[#This Row],[risk_score]]&lt;0.3,"Low",IF(Sheet1[[#This Row],[risk_score]]&lt;0.7,"Medium","High"))</f>
        <v>Medium</v>
      </c>
      <c r="N64">
        <f>YEAR(Sheet1[[#This Row],[date_joined]])</f>
        <v>2018</v>
      </c>
      <c r="O64" s="2" t="str">
        <f>TEXT(Sheet1[[#This Row],[date_joined]],"mmm")</f>
        <v>Jul</v>
      </c>
      <c r="P64" s="2" t="str">
        <f>"Q"&amp;ROUNDUP(MONTH(Sheet1[[#This Row],[date_joined]])/3,0)</f>
        <v>Q3</v>
      </c>
      <c r="Q64" s="2" t="str">
        <f>IF(Sheet1[[#This Row],[age]]&lt;30,"Young",IF(Sheet1[[#This Row],[age]]&lt;=50,"Adult","Senior"))</f>
        <v>Adult</v>
      </c>
      <c r="R64" s="2" t="str">
        <f t="shared" si="0"/>
        <v>High</v>
      </c>
      <c r="S64" s="2" t="str">
        <f t="shared" si="1"/>
        <v>North-East - Salaried</v>
      </c>
    </row>
    <row r="65" spans="1:19" x14ac:dyDescent="0.3">
      <c r="A65" t="s">
        <v>154</v>
      </c>
      <c r="B65" t="s">
        <v>155</v>
      </c>
      <c r="C65">
        <v>21</v>
      </c>
      <c r="D65" s="2" t="s">
        <v>21</v>
      </c>
      <c r="E65" s="2" t="s">
        <v>14</v>
      </c>
      <c r="F65" s="2" t="s">
        <v>37</v>
      </c>
      <c r="G65" s="2" t="s">
        <v>32</v>
      </c>
      <c r="H65" s="2" t="s">
        <v>18</v>
      </c>
      <c r="I65" s="2" t="s">
        <v>17</v>
      </c>
      <c r="J65">
        <v>0.5</v>
      </c>
      <c r="K65" s="1">
        <v>43450</v>
      </c>
      <c r="L65" s="2" t="str">
        <f>IF(Sheet1[[#This Row],[age]]&lt;18, "Under 18",IF(Sheet1[[#This Row],[age]]&lt;=30,"18-30",IF(Sheet1[[#This Row],[age]]&lt;=45,"31-45",IF(Sheet1[[#This Row],[age]]&lt;=60,"46-60","60+"))))</f>
        <v>18-30</v>
      </c>
      <c r="M65" s="2" t="str">
        <f>IF(Sheet1[[#This Row],[risk_score]]&lt;0.3,"Low",IF(Sheet1[[#This Row],[risk_score]]&lt;0.7,"Medium","High"))</f>
        <v>Medium</v>
      </c>
      <c r="N65">
        <f>YEAR(Sheet1[[#This Row],[date_joined]])</f>
        <v>2018</v>
      </c>
      <c r="O65" s="2" t="str">
        <f>TEXT(Sheet1[[#This Row],[date_joined]],"mmm")</f>
        <v>Dec</v>
      </c>
      <c r="P65" s="2" t="str">
        <f>"Q"&amp;ROUNDUP(MONTH(Sheet1[[#This Row],[date_joined]])/3,0)</f>
        <v>Q4</v>
      </c>
      <c r="Q65" s="2" t="str">
        <f>IF(Sheet1[[#This Row],[age]]&lt;30,"Young",IF(Sheet1[[#This Row],[age]]&lt;=50,"Adult","Senior"))</f>
        <v>Young</v>
      </c>
      <c r="R65" s="2" t="str">
        <f t="shared" si="0"/>
        <v>High</v>
      </c>
      <c r="S65" s="2" t="str">
        <f t="shared" si="1"/>
        <v>South - Retired</v>
      </c>
    </row>
    <row r="66" spans="1:19" x14ac:dyDescent="0.3">
      <c r="A66" t="s">
        <v>156</v>
      </c>
      <c r="B66" t="s">
        <v>157</v>
      </c>
      <c r="C66">
        <v>22</v>
      </c>
      <c r="D66" s="2" t="s">
        <v>13</v>
      </c>
      <c r="E66" s="2" t="s">
        <v>22</v>
      </c>
      <c r="F66" s="2" t="s">
        <v>37</v>
      </c>
      <c r="G66" s="2" t="s">
        <v>81</v>
      </c>
      <c r="H66" s="2" t="s">
        <v>18</v>
      </c>
      <c r="I66" s="2" t="s">
        <v>17</v>
      </c>
      <c r="J66">
        <v>0.87</v>
      </c>
      <c r="K66" s="1">
        <v>44866</v>
      </c>
      <c r="L66" s="2" t="str">
        <f>IF(Sheet1[[#This Row],[age]]&lt;18, "Under 18",IF(Sheet1[[#This Row],[age]]&lt;=30,"18-30",IF(Sheet1[[#This Row],[age]]&lt;=45,"31-45",IF(Sheet1[[#This Row],[age]]&lt;=60,"46-60","60+"))))</f>
        <v>18-30</v>
      </c>
      <c r="M66" s="2" t="str">
        <f>IF(Sheet1[[#This Row],[risk_score]]&lt;0.3,"Low",IF(Sheet1[[#This Row],[risk_score]]&lt;0.7,"Medium","High"))</f>
        <v>High</v>
      </c>
      <c r="N66">
        <f>YEAR(Sheet1[[#This Row],[date_joined]])</f>
        <v>2022</v>
      </c>
      <c r="O66" s="2" t="str">
        <f>TEXT(Sheet1[[#This Row],[date_joined]],"mmm")</f>
        <v>Nov</v>
      </c>
      <c r="P66" s="2" t="str">
        <f>"Q"&amp;ROUNDUP(MONTH(Sheet1[[#This Row],[date_joined]])/3,0)</f>
        <v>Q4</v>
      </c>
      <c r="Q66" s="2" t="str">
        <f>IF(Sheet1[[#This Row],[age]]&lt;30,"Young",IF(Sheet1[[#This Row],[age]]&lt;=50,"Adult","Senior"))</f>
        <v>Young</v>
      </c>
      <c r="R66" s="2" t="str">
        <f t="shared" ref="R66:R129" si="2">IF(AND(H66="Yes",I66="Yes"),"Very High",
IF(OR(H66="Yes",I66="Yes"),"High","Low"))</f>
        <v>High</v>
      </c>
      <c r="S66" s="2" t="str">
        <f t="shared" ref="S66:S129" si="3">G66&amp;" - "&amp;F66</f>
        <v>Central - Retired</v>
      </c>
    </row>
    <row r="67" spans="1:19" x14ac:dyDescent="0.3">
      <c r="A67" t="s">
        <v>158</v>
      </c>
      <c r="B67" t="s">
        <v>159</v>
      </c>
      <c r="C67">
        <v>33</v>
      </c>
      <c r="D67" s="2" t="s">
        <v>21</v>
      </c>
      <c r="E67" s="2" t="s">
        <v>22</v>
      </c>
      <c r="F67" s="2" t="s">
        <v>23</v>
      </c>
      <c r="G67" s="2" t="s">
        <v>16</v>
      </c>
      <c r="H67" s="2" t="s">
        <v>18</v>
      </c>
      <c r="I67" s="2" t="s">
        <v>17</v>
      </c>
      <c r="J67">
        <v>0.56999999999999995</v>
      </c>
      <c r="K67" s="1">
        <v>45040</v>
      </c>
      <c r="L67" s="2" t="str">
        <f>IF(Sheet1[[#This Row],[age]]&lt;18, "Under 18",IF(Sheet1[[#This Row],[age]]&lt;=30,"18-30",IF(Sheet1[[#This Row],[age]]&lt;=45,"31-45",IF(Sheet1[[#This Row],[age]]&lt;=60,"46-60","60+"))))</f>
        <v>31-45</v>
      </c>
      <c r="M67" s="2" t="str">
        <f>IF(Sheet1[[#This Row],[risk_score]]&lt;0.3,"Low",IF(Sheet1[[#This Row],[risk_score]]&lt;0.7,"Medium","High"))</f>
        <v>Medium</v>
      </c>
      <c r="N67">
        <f>YEAR(Sheet1[[#This Row],[date_joined]])</f>
        <v>2023</v>
      </c>
      <c r="O67" s="2" t="str">
        <f>TEXT(Sheet1[[#This Row],[date_joined]],"mmm")</f>
        <v>Apr</v>
      </c>
      <c r="P67" s="2" t="str">
        <f>"Q"&amp;ROUNDUP(MONTH(Sheet1[[#This Row],[date_joined]])/3,0)</f>
        <v>Q2</v>
      </c>
      <c r="Q67" s="2" t="str">
        <f>IF(Sheet1[[#This Row],[age]]&lt;30,"Young",IF(Sheet1[[#This Row],[age]]&lt;=50,"Adult","Senior"))</f>
        <v>Adult</v>
      </c>
      <c r="R67" s="2" t="str">
        <f t="shared" si="2"/>
        <v>High</v>
      </c>
      <c r="S67" s="2" t="str">
        <f t="shared" si="3"/>
        <v>West - Salaried</v>
      </c>
    </row>
    <row r="68" spans="1:19" x14ac:dyDescent="0.3">
      <c r="A68" t="s">
        <v>160</v>
      </c>
      <c r="B68" t="s">
        <v>161</v>
      </c>
      <c r="C68">
        <v>56</v>
      </c>
      <c r="D68" s="2" t="s">
        <v>13</v>
      </c>
      <c r="E68" s="2" t="s">
        <v>22</v>
      </c>
      <c r="F68" s="2" t="s">
        <v>23</v>
      </c>
      <c r="G68" s="2" t="s">
        <v>66</v>
      </c>
      <c r="H68" s="2" t="s">
        <v>17</v>
      </c>
      <c r="I68" s="2" t="s">
        <v>18</v>
      </c>
      <c r="J68">
        <v>0.67</v>
      </c>
      <c r="K68" s="1">
        <v>44346</v>
      </c>
      <c r="L68" s="2" t="str">
        <f>IF(Sheet1[[#This Row],[age]]&lt;18, "Under 18",IF(Sheet1[[#This Row],[age]]&lt;=30,"18-30",IF(Sheet1[[#This Row],[age]]&lt;=45,"31-45",IF(Sheet1[[#This Row],[age]]&lt;=60,"46-60","60+"))))</f>
        <v>46-60</v>
      </c>
      <c r="M68" s="2" t="str">
        <f>IF(Sheet1[[#This Row],[risk_score]]&lt;0.3,"Low",IF(Sheet1[[#This Row],[risk_score]]&lt;0.7,"Medium","High"))</f>
        <v>Medium</v>
      </c>
      <c r="N68">
        <f>YEAR(Sheet1[[#This Row],[date_joined]])</f>
        <v>2021</v>
      </c>
      <c r="O68" s="2" t="str">
        <f>TEXT(Sheet1[[#This Row],[date_joined]],"mmm")</f>
        <v>May</v>
      </c>
      <c r="P68" s="2" t="str">
        <f>"Q"&amp;ROUNDUP(MONTH(Sheet1[[#This Row],[date_joined]])/3,0)</f>
        <v>Q2</v>
      </c>
      <c r="Q68" s="2" t="str">
        <f>IF(Sheet1[[#This Row],[age]]&lt;30,"Young",IF(Sheet1[[#This Row],[age]]&lt;=50,"Adult","Senior"))</f>
        <v>Senior</v>
      </c>
      <c r="R68" s="2" t="str">
        <f t="shared" si="2"/>
        <v>High</v>
      </c>
      <c r="S68" s="2" t="str">
        <f t="shared" si="3"/>
        <v>North-East - Salaried</v>
      </c>
    </row>
    <row r="69" spans="1:19" x14ac:dyDescent="0.3">
      <c r="A69" t="s">
        <v>162</v>
      </c>
      <c r="B69" t="s">
        <v>163</v>
      </c>
      <c r="C69">
        <v>37</v>
      </c>
      <c r="D69" s="2" t="s">
        <v>13</v>
      </c>
      <c r="E69" s="2" t="s">
        <v>14</v>
      </c>
      <c r="F69" s="2" t="s">
        <v>23</v>
      </c>
      <c r="G69" s="2" t="s">
        <v>81</v>
      </c>
      <c r="H69" s="2" t="s">
        <v>18</v>
      </c>
      <c r="I69" s="2" t="s">
        <v>18</v>
      </c>
      <c r="J69">
        <v>0.51</v>
      </c>
      <c r="K69" s="1">
        <v>44260</v>
      </c>
      <c r="L69" s="2" t="str">
        <f>IF(Sheet1[[#This Row],[age]]&lt;18, "Under 18",IF(Sheet1[[#This Row],[age]]&lt;=30,"18-30",IF(Sheet1[[#This Row],[age]]&lt;=45,"31-45",IF(Sheet1[[#This Row],[age]]&lt;=60,"46-60","60+"))))</f>
        <v>31-45</v>
      </c>
      <c r="M69" s="2" t="str">
        <f>IF(Sheet1[[#This Row],[risk_score]]&lt;0.3,"Low",IF(Sheet1[[#This Row],[risk_score]]&lt;0.7,"Medium","High"))</f>
        <v>Medium</v>
      </c>
      <c r="N69">
        <f>YEAR(Sheet1[[#This Row],[date_joined]])</f>
        <v>2021</v>
      </c>
      <c r="O69" s="2" t="str">
        <f>TEXT(Sheet1[[#This Row],[date_joined]],"mmm")</f>
        <v>Mar</v>
      </c>
      <c r="P69" s="2" t="str">
        <f>"Q"&amp;ROUNDUP(MONTH(Sheet1[[#This Row],[date_joined]])/3,0)</f>
        <v>Q1</v>
      </c>
      <c r="Q69" s="2" t="str">
        <f>IF(Sheet1[[#This Row],[age]]&lt;30,"Young",IF(Sheet1[[#This Row],[age]]&lt;=50,"Adult","Senior"))</f>
        <v>Adult</v>
      </c>
      <c r="R69" s="2" t="str">
        <f t="shared" si="2"/>
        <v>Very High</v>
      </c>
      <c r="S69" s="2" t="str">
        <f t="shared" si="3"/>
        <v>Central - Salaried</v>
      </c>
    </row>
    <row r="70" spans="1:19" x14ac:dyDescent="0.3">
      <c r="A70" t="s">
        <v>164</v>
      </c>
      <c r="B70" t="s">
        <v>165</v>
      </c>
      <c r="C70">
        <v>63</v>
      </c>
      <c r="D70" s="2" t="s">
        <v>13</v>
      </c>
      <c r="E70" s="2" t="s">
        <v>22</v>
      </c>
      <c r="F70" s="2" t="s">
        <v>37</v>
      </c>
      <c r="G70" s="2" t="s">
        <v>81</v>
      </c>
      <c r="H70" s="2" t="s">
        <v>18</v>
      </c>
      <c r="I70" s="2" t="s">
        <v>17</v>
      </c>
      <c r="J70">
        <v>0.59</v>
      </c>
      <c r="K70" s="1">
        <v>43552</v>
      </c>
      <c r="L70" s="2" t="str">
        <f>IF(Sheet1[[#This Row],[age]]&lt;18, "Under 18",IF(Sheet1[[#This Row],[age]]&lt;=30,"18-30",IF(Sheet1[[#This Row],[age]]&lt;=45,"31-45",IF(Sheet1[[#This Row],[age]]&lt;=60,"46-60","60+"))))</f>
        <v>60+</v>
      </c>
      <c r="M70" s="2" t="str">
        <f>IF(Sheet1[[#This Row],[risk_score]]&lt;0.3,"Low",IF(Sheet1[[#This Row],[risk_score]]&lt;0.7,"Medium","High"))</f>
        <v>Medium</v>
      </c>
      <c r="N70">
        <f>YEAR(Sheet1[[#This Row],[date_joined]])</f>
        <v>2019</v>
      </c>
      <c r="O70" s="2" t="str">
        <f>TEXT(Sheet1[[#This Row],[date_joined]],"mmm")</f>
        <v>Mar</v>
      </c>
      <c r="P70" s="2" t="str">
        <f>"Q"&amp;ROUNDUP(MONTH(Sheet1[[#This Row],[date_joined]])/3,0)</f>
        <v>Q1</v>
      </c>
      <c r="Q70" s="2" t="str">
        <f>IF(Sheet1[[#This Row],[age]]&lt;30,"Young",IF(Sheet1[[#This Row],[age]]&lt;=50,"Adult","Senior"))</f>
        <v>Senior</v>
      </c>
      <c r="R70" s="2" t="str">
        <f t="shared" si="2"/>
        <v>High</v>
      </c>
      <c r="S70" s="2" t="str">
        <f t="shared" si="3"/>
        <v>Central - Retired</v>
      </c>
    </row>
    <row r="71" spans="1:19" x14ac:dyDescent="0.3">
      <c r="A71" t="s">
        <v>166</v>
      </c>
      <c r="B71" t="s">
        <v>167</v>
      </c>
      <c r="C71">
        <v>66</v>
      </c>
      <c r="D71" s="2" t="s">
        <v>21</v>
      </c>
      <c r="E71" s="2" t="s">
        <v>14</v>
      </c>
      <c r="F71" s="2" t="s">
        <v>23</v>
      </c>
      <c r="G71" s="2" t="s">
        <v>32</v>
      </c>
      <c r="H71" s="2" t="s">
        <v>17</v>
      </c>
      <c r="I71" s="2" t="s">
        <v>17</v>
      </c>
      <c r="J71">
        <v>0.63</v>
      </c>
      <c r="K71" s="1">
        <v>43877</v>
      </c>
      <c r="L71" s="2" t="str">
        <f>IF(Sheet1[[#This Row],[age]]&lt;18, "Under 18",IF(Sheet1[[#This Row],[age]]&lt;=30,"18-30",IF(Sheet1[[#This Row],[age]]&lt;=45,"31-45",IF(Sheet1[[#This Row],[age]]&lt;=60,"46-60","60+"))))</f>
        <v>60+</v>
      </c>
      <c r="M71" s="2" t="str">
        <f>IF(Sheet1[[#This Row],[risk_score]]&lt;0.3,"Low",IF(Sheet1[[#This Row],[risk_score]]&lt;0.7,"Medium","High"))</f>
        <v>Medium</v>
      </c>
      <c r="N71">
        <f>YEAR(Sheet1[[#This Row],[date_joined]])</f>
        <v>2020</v>
      </c>
      <c r="O71" s="2" t="str">
        <f>TEXT(Sheet1[[#This Row],[date_joined]],"mmm")</f>
        <v>Feb</v>
      </c>
      <c r="P71" s="2" t="str">
        <f>"Q"&amp;ROUNDUP(MONTH(Sheet1[[#This Row],[date_joined]])/3,0)</f>
        <v>Q1</v>
      </c>
      <c r="Q71" s="2" t="str">
        <f>IF(Sheet1[[#This Row],[age]]&lt;30,"Young",IF(Sheet1[[#This Row],[age]]&lt;=50,"Adult","Senior"))</f>
        <v>Senior</v>
      </c>
      <c r="R71" s="2" t="str">
        <f t="shared" si="2"/>
        <v>Low</v>
      </c>
      <c r="S71" s="2" t="str">
        <f t="shared" si="3"/>
        <v>South - Salaried</v>
      </c>
    </row>
    <row r="72" spans="1:19" x14ac:dyDescent="0.3">
      <c r="A72" t="s">
        <v>168</v>
      </c>
      <c r="B72" t="s">
        <v>169</v>
      </c>
      <c r="C72">
        <v>68</v>
      </c>
      <c r="D72" s="2" t="s">
        <v>13</v>
      </c>
      <c r="E72" s="2" t="s">
        <v>14</v>
      </c>
      <c r="F72" s="2" t="s">
        <v>23</v>
      </c>
      <c r="G72" s="2" t="s">
        <v>27</v>
      </c>
      <c r="H72" s="2" t="s">
        <v>17</v>
      </c>
      <c r="I72" s="2" t="s">
        <v>17</v>
      </c>
      <c r="J72">
        <v>0.74</v>
      </c>
      <c r="K72" s="1">
        <v>43276</v>
      </c>
      <c r="L72" s="2" t="str">
        <f>IF(Sheet1[[#This Row],[age]]&lt;18, "Under 18",IF(Sheet1[[#This Row],[age]]&lt;=30,"18-30",IF(Sheet1[[#This Row],[age]]&lt;=45,"31-45",IF(Sheet1[[#This Row],[age]]&lt;=60,"46-60","60+"))))</f>
        <v>60+</v>
      </c>
      <c r="M72" s="2" t="str">
        <f>IF(Sheet1[[#This Row],[risk_score]]&lt;0.3,"Low",IF(Sheet1[[#This Row],[risk_score]]&lt;0.7,"Medium","High"))</f>
        <v>High</v>
      </c>
      <c r="N72">
        <f>YEAR(Sheet1[[#This Row],[date_joined]])</f>
        <v>2018</v>
      </c>
      <c r="O72" s="2" t="str">
        <f>TEXT(Sheet1[[#This Row],[date_joined]],"mmm")</f>
        <v>Jun</v>
      </c>
      <c r="P72" s="2" t="str">
        <f>"Q"&amp;ROUNDUP(MONTH(Sheet1[[#This Row],[date_joined]])/3,0)</f>
        <v>Q2</v>
      </c>
      <c r="Q72" s="2" t="str">
        <f>IF(Sheet1[[#This Row],[age]]&lt;30,"Young",IF(Sheet1[[#This Row],[age]]&lt;=50,"Adult","Senior"))</f>
        <v>Senior</v>
      </c>
      <c r="R72" s="2" t="str">
        <f t="shared" si="2"/>
        <v>Low</v>
      </c>
      <c r="S72" s="2" t="str">
        <f t="shared" si="3"/>
        <v>North - Salaried</v>
      </c>
    </row>
    <row r="73" spans="1:19" x14ac:dyDescent="0.3">
      <c r="A73" t="s">
        <v>170</v>
      </c>
      <c r="B73" t="s">
        <v>171</v>
      </c>
      <c r="C73">
        <v>32</v>
      </c>
      <c r="D73" s="2" t="s">
        <v>13</v>
      </c>
      <c r="E73" s="2" t="s">
        <v>14</v>
      </c>
      <c r="F73" s="2" t="s">
        <v>37</v>
      </c>
      <c r="G73" s="2" t="s">
        <v>66</v>
      </c>
      <c r="H73" s="2" t="s">
        <v>17</v>
      </c>
      <c r="I73" s="2" t="s">
        <v>17</v>
      </c>
      <c r="J73">
        <v>0.47</v>
      </c>
      <c r="K73" s="1">
        <v>45162</v>
      </c>
      <c r="L73" s="2" t="str">
        <f>IF(Sheet1[[#This Row],[age]]&lt;18, "Under 18",IF(Sheet1[[#This Row],[age]]&lt;=30,"18-30",IF(Sheet1[[#This Row],[age]]&lt;=45,"31-45",IF(Sheet1[[#This Row],[age]]&lt;=60,"46-60","60+"))))</f>
        <v>31-45</v>
      </c>
      <c r="M73" s="2" t="str">
        <f>IF(Sheet1[[#This Row],[risk_score]]&lt;0.3,"Low",IF(Sheet1[[#This Row],[risk_score]]&lt;0.7,"Medium","High"))</f>
        <v>Medium</v>
      </c>
      <c r="N73">
        <f>YEAR(Sheet1[[#This Row],[date_joined]])</f>
        <v>2023</v>
      </c>
      <c r="O73" s="2" t="str">
        <f>TEXT(Sheet1[[#This Row],[date_joined]],"mmm")</f>
        <v>Aug</v>
      </c>
      <c r="P73" s="2" t="str">
        <f>"Q"&amp;ROUNDUP(MONTH(Sheet1[[#This Row],[date_joined]])/3,0)</f>
        <v>Q3</v>
      </c>
      <c r="Q73" s="2" t="str">
        <f>IF(Sheet1[[#This Row],[age]]&lt;30,"Young",IF(Sheet1[[#This Row],[age]]&lt;=50,"Adult","Senior"))</f>
        <v>Adult</v>
      </c>
      <c r="R73" s="2" t="str">
        <f t="shared" si="2"/>
        <v>Low</v>
      </c>
      <c r="S73" s="2" t="str">
        <f t="shared" si="3"/>
        <v>North-East - Retired</v>
      </c>
    </row>
    <row r="74" spans="1:19" x14ac:dyDescent="0.3">
      <c r="A74" t="s">
        <v>172</v>
      </c>
      <c r="B74" t="s">
        <v>173</v>
      </c>
      <c r="C74">
        <v>68</v>
      </c>
      <c r="D74" s="2" t="s">
        <v>13</v>
      </c>
      <c r="E74" s="2" t="s">
        <v>30</v>
      </c>
      <c r="F74" s="2" t="s">
        <v>37</v>
      </c>
      <c r="G74" s="2" t="s">
        <v>24</v>
      </c>
      <c r="H74" s="2" t="s">
        <v>18</v>
      </c>
      <c r="I74" s="2" t="s">
        <v>17</v>
      </c>
      <c r="J74">
        <v>0.49</v>
      </c>
      <c r="K74" s="1">
        <v>43884</v>
      </c>
      <c r="L74" s="2" t="str">
        <f>IF(Sheet1[[#This Row],[age]]&lt;18, "Under 18",IF(Sheet1[[#This Row],[age]]&lt;=30,"18-30",IF(Sheet1[[#This Row],[age]]&lt;=45,"31-45",IF(Sheet1[[#This Row],[age]]&lt;=60,"46-60","60+"))))</f>
        <v>60+</v>
      </c>
      <c r="M74" s="2" t="str">
        <f>IF(Sheet1[[#This Row],[risk_score]]&lt;0.3,"Low",IF(Sheet1[[#This Row],[risk_score]]&lt;0.7,"Medium","High"))</f>
        <v>Medium</v>
      </c>
      <c r="N74">
        <f>YEAR(Sheet1[[#This Row],[date_joined]])</f>
        <v>2020</v>
      </c>
      <c r="O74" s="2" t="str">
        <f>TEXT(Sheet1[[#This Row],[date_joined]],"mmm")</f>
        <v>Feb</v>
      </c>
      <c r="P74" s="2" t="str">
        <f>"Q"&amp;ROUNDUP(MONTH(Sheet1[[#This Row],[date_joined]])/3,0)</f>
        <v>Q1</v>
      </c>
      <c r="Q74" s="2" t="str">
        <f>IF(Sheet1[[#This Row],[age]]&lt;30,"Young",IF(Sheet1[[#This Row],[age]]&lt;=50,"Adult","Senior"))</f>
        <v>Senior</v>
      </c>
      <c r="R74" s="2" t="str">
        <f t="shared" si="2"/>
        <v>High</v>
      </c>
      <c r="S74" s="2" t="str">
        <f t="shared" si="3"/>
        <v>East - Retired</v>
      </c>
    </row>
    <row r="75" spans="1:19" x14ac:dyDescent="0.3">
      <c r="A75" t="s">
        <v>174</v>
      </c>
      <c r="B75" t="s">
        <v>175</v>
      </c>
      <c r="C75">
        <v>62</v>
      </c>
      <c r="D75" s="2" t="s">
        <v>13</v>
      </c>
      <c r="E75" s="2" t="s">
        <v>14</v>
      </c>
      <c r="F75" s="2" t="s">
        <v>37</v>
      </c>
      <c r="G75" s="2" t="s">
        <v>32</v>
      </c>
      <c r="H75" s="2" t="s">
        <v>18</v>
      </c>
      <c r="I75" s="2" t="s">
        <v>18</v>
      </c>
      <c r="J75">
        <v>0.33</v>
      </c>
      <c r="K75" s="1">
        <v>44572</v>
      </c>
      <c r="L75" s="2" t="str">
        <f>IF(Sheet1[[#This Row],[age]]&lt;18, "Under 18",IF(Sheet1[[#This Row],[age]]&lt;=30,"18-30",IF(Sheet1[[#This Row],[age]]&lt;=45,"31-45",IF(Sheet1[[#This Row],[age]]&lt;=60,"46-60","60+"))))</f>
        <v>60+</v>
      </c>
      <c r="M75" s="2" t="str">
        <f>IF(Sheet1[[#This Row],[risk_score]]&lt;0.3,"Low",IF(Sheet1[[#This Row],[risk_score]]&lt;0.7,"Medium","High"))</f>
        <v>Medium</v>
      </c>
      <c r="N75">
        <f>YEAR(Sheet1[[#This Row],[date_joined]])</f>
        <v>2022</v>
      </c>
      <c r="O75" s="2" t="str">
        <f>TEXT(Sheet1[[#This Row],[date_joined]],"mmm")</f>
        <v>Jan</v>
      </c>
      <c r="P75" s="2" t="str">
        <f>"Q"&amp;ROUNDUP(MONTH(Sheet1[[#This Row],[date_joined]])/3,0)</f>
        <v>Q1</v>
      </c>
      <c r="Q75" s="2" t="str">
        <f>IF(Sheet1[[#This Row],[age]]&lt;30,"Young",IF(Sheet1[[#This Row],[age]]&lt;=50,"Adult","Senior"))</f>
        <v>Senior</v>
      </c>
      <c r="R75" s="2" t="str">
        <f t="shared" si="2"/>
        <v>Very High</v>
      </c>
      <c r="S75" s="2" t="str">
        <f t="shared" si="3"/>
        <v>South - Retired</v>
      </c>
    </row>
    <row r="76" spans="1:19" x14ac:dyDescent="0.3">
      <c r="A76" t="s">
        <v>176</v>
      </c>
      <c r="B76" t="s">
        <v>177</v>
      </c>
      <c r="C76">
        <v>59</v>
      </c>
      <c r="D76" s="2" t="s">
        <v>13</v>
      </c>
      <c r="E76" s="2" t="s">
        <v>22</v>
      </c>
      <c r="F76" s="2" t="s">
        <v>31</v>
      </c>
      <c r="G76" s="2" t="s">
        <v>32</v>
      </c>
      <c r="H76" s="2" t="s">
        <v>17</v>
      </c>
      <c r="I76" s="2" t="s">
        <v>17</v>
      </c>
      <c r="J76">
        <v>0.22</v>
      </c>
      <c r="K76" s="1">
        <v>43814</v>
      </c>
      <c r="L76" s="2" t="str">
        <f>IF(Sheet1[[#This Row],[age]]&lt;18, "Under 18",IF(Sheet1[[#This Row],[age]]&lt;=30,"18-30",IF(Sheet1[[#This Row],[age]]&lt;=45,"31-45",IF(Sheet1[[#This Row],[age]]&lt;=60,"46-60","60+"))))</f>
        <v>46-60</v>
      </c>
      <c r="M76" s="2" t="str">
        <f>IF(Sheet1[[#This Row],[risk_score]]&lt;0.3,"Low",IF(Sheet1[[#This Row],[risk_score]]&lt;0.7,"Medium","High"))</f>
        <v>Low</v>
      </c>
      <c r="N76">
        <f>YEAR(Sheet1[[#This Row],[date_joined]])</f>
        <v>2019</v>
      </c>
      <c r="O76" s="2" t="str">
        <f>TEXT(Sheet1[[#This Row],[date_joined]],"mmm")</f>
        <v>Dec</v>
      </c>
      <c r="P76" s="2" t="str">
        <f>"Q"&amp;ROUNDUP(MONTH(Sheet1[[#This Row],[date_joined]])/3,0)</f>
        <v>Q4</v>
      </c>
      <c r="Q76" s="2" t="str">
        <f>IF(Sheet1[[#This Row],[age]]&lt;30,"Young",IF(Sheet1[[#This Row],[age]]&lt;=50,"Adult","Senior"))</f>
        <v>Senior</v>
      </c>
      <c r="R76" s="2" t="str">
        <f t="shared" si="2"/>
        <v>Low</v>
      </c>
      <c r="S76" s="2" t="str">
        <f t="shared" si="3"/>
        <v>South - Self-employed</v>
      </c>
    </row>
    <row r="77" spans="1:19" x14ac:dyDescent="0.3">
      <c r="A77" t="s">
        <v>178</v>
      </c>
      <c r="B77" t="s">
        <v>179</v>
      </c>
      <c r="C77">
        <v>28</v>
      </c>
      <c r="D77" s="2" t="s">
        <v>21</v>
      </c>
      <c r="E77" s="2" t="s">
        <v>30</v>
      </c>
      <c r="F77" s="2" t="s">
        <v>23</v>
      </c>
      <c r="G77" s="2" t="s">
        <v>66</v>
      </c>
      <c r="H77" s="2" t="s">
        <v>18</v>
      </c>
      <c r="I77" s="2" t="s">
        <v>18</v>
      </c>
      <c r="J77">
        <v>0.62</v>
      </c>
      <c r="K77" s="1">
        <v>43142</v>
      </c>
      <c r="L77" s="2" t="str">
        <f>IF(Sheet1[[#This Row],[age]]&lt;18, "Under 18",IF(Sheet1[[#This Row],[age]]&lt;=30,"18-30",IF(Sheet1[[#This Row],[age]]&lt;=45,"31-45",IF(Sheet1[[#This Row],[age]]&lt;=60,"46-60","60+"))))</f>
        <v>18-30</v>
      </c>
      <c r="M77" s="2" t="str">
        <f>IF(Sheet1[[#This Row],[risk_score]]&lt;0.3,"Low",IF(Sheet1[[#This Row],[risk_score]]&lt;0.7,"Medium","High"))</f>
        <v>Medium</v>
      </c>
      <c r="N77">
        <f>YEAR(Sheet1[[#This Row],[date_joined]])</f>
        <v>2018</v>
      </c>
      <c r="O77" s="2" t="str">
        <f>TEXT(Sheet1[[#This Row],[date_joined]],"mmm")</f>
        <v>Feb</v>
      </c>
      <c r="P77" s="2" t="str">
        <f>"Q"&amp;ROUNDUP(MONTH(Sheet1[[#This Row],[date_joined]])/3,0)</f>
        <v>Q1</v>
      </c>
      <c r="Q77" s="2" t="str">
        <f>IF(Sheet1[[#This Row],[age]]&lt;30,"Young",IF(Sheet1[[#This Row],[age]]&lt;=50,"Adult","Senior"))</f>
        <v>Young</v>
      </c>
      <c r="R77" s="2" t="str">
        <f t="shared" si="2"/>
        <v>Very High</v>
      </c>
      <c r="S77" s="2" t="str">
        <f t="shared" si="3"/>
        <v>North-East - Salaried</v>
      </c>
    </row>
    <row r="78" spans="1:19" x14ac:dyDescent="0.3">
      <c r="A78" t="s">
        <v>180</v>
      </c>
      <c r="B78" t="s">
        <v>181</v>
      </c>
      <c r="C78">
        <v>63</v>
      </c>
      <c r="D78" s="2" t="s">
        <v>21</v>
      </c>
      <c r="E78" s="2" t="s">
        <v>14</v>
      </c>
      <c r="F78" s="2" t="s">
        <v>15</v>
      </c>
      <c r="G78" s="2" t="s">
        <v>16</v>
      </c>
      <c r="H78" s="2" t="s">
        <v>17</v>
      </c>
      <c r="I78" s="2" t="s">
        <v>18</v>
      </c>
      <c r="J78">
        <v>0.63</v>
      </c>
      <c r="K78" s="1">
        <v>44374</v>
      </c>
      <c r="L78" s="2" t="str">
        <f>IF(Sheet1[[#This Row],[age]]&lt;18, "Under 18",IF(Sheet1[[#This Row],[age]]&lt;=30,"18-30",IF(Sheet1[[#This Row],[age]]&lt;=45,"31-45",IF(Sheet1[[#This Row],[age]]&lt;=60,"46-60","60+"))))</f>
        <v>60+</v>
      </c>
      <c r="M78" s="2" t="str">
        <f>IF(Sheet1[[#This Row],[risk_score]]&lt;0.3,"Low",IF(Sheet1[[#This Row],[risk_score]]&lt;0.7,"Medium","High"))</f>
        <v>Medium</v>
      </c>
      <c r="N78">
        <f>YEAR(Sheet1[[#This Row],[date_joined]])</f>
        <v>2021</v>
      </c>
      <c r="O78" s="2" t="str">
        <f>TEXT(Sheet1[[#This Row],[date_joined]],"mmm")</f>
        <v>Jun</v>
      </c>
      <c r="P78" s="2" t="str">
        <f>"Q"&amp;ROUNDUP(MONTH(Sheet1[[#This Row],[date_joined]])/3,0)</f>
        <v>Q2</v>
      </c>
      <c r="Q78" s="2" t="str">
        <f>IF(Sheet1[[#This Row],[age]]&lt;30,"Young",IF(Sheet1[[#This Row],[age]]&lt;=50,"Adult","Senior"))</f>
        <v>Senior</v>
      </c>
      <c r="R78" s="2" t="str">
        <f t="shared" si="2"/>
        <v>High</v>
      </c>
      <c r="S78" s="2" t="str">
        <f t="shared" si="3"/>
        <v>West - Student</v>
      </c>
    </row>
    <row r="79" spans="1:19" x14ac:dyDescent="0.3">
      <c r="A79" t="s">
        <v>182</v>
      </c>
      <c r="B79" t="s">
        <v>183</v>
      </c>
      <c r="C79">
        <v>23</v>
      </c>
      <c r="D79" s="2" t="s">
        <v>21</v>
      </c>
      <c r="E79" s="2" t="s">
        <v>30</v>
      </c>
      <c r="F79" s="2" t="s">
        <v>23</v>
      </c>
      <c r="G79" s="2" t="s">
        <v>81</v>
      </c>
      <c r="H79" s="2" t="s">
        <v>17</v>
      </c>
      <c r="I79" s="2" t="s">
        <v>17</v>
      </c>
      <c r="J79">
        <v>0.6</v>
      </c>
      <c r="K79" s="1">
        <v>43650</v>
      </c>
      <c r="L79" s="2" t="str">
        <f>IF(Sheet1[[#This Row],[age]]&lt;18, "Under 18",IF(Sheet1[[#This Row],[age]]&lt;=30,"18-30",IF(Sheet1[[#This Row],[age]]&lt;=45,"31-45",IF(Sheet1[[#This Row],[age]]&lt;=60,"46-60","60+"))))</f>
        <v>18-30</v>
      </c>
      <c r="M79" s="2" t="str">
        <f>IF(Sheet1[[#This Row],[risk_score]]&lt;0.3,"Low",IF(Sheet1[[#This Row],[risk_score]]&lt;0.7,"Medium","High"))</f>
        <v>Medium</v>
      </c>
      <c r="N79">
        <f>YEAR(Sheet1[[#This Row],[date_joined]])</f>
        <v>2019</v>
      </c>
      <c r="O79" s="2" t="str">
        <f>TEXT(Sheet1[[#This Row],[date_joined]],"mmm")</f>
        <v>Jul</v>
      </c>
      <c r="P79" s="2" t="str">
        <f>"Q"&amp;ROUNDUP(MONTH(Sheet1[[#This Row],[date_joined]])/3,0)</f>
        <v>Q3</v>
      </c>
      <c r="Q79" s="2" t="str">
        <f>IF(Sheet1[[#This Row],[age]]&lt;30,"Young",IF(Sheet1[[#This Row],[age]]&lt;=50,"Adult","Senior"))</f>
        <v>Young</v>
      </c>
      <c r="R79" s="2" t="str">
        <f t="shared" si="2"/>
        <v>Low</v>
      </c>
      <c r="S79" s="2" t="str">
        <f t="shared" si="3"/>
        <v>Central - Salaried</v>
      </c>
    </row>
    <row r="80" spans="1:19" x14ac:dyDescent="0.3">
      <c r="A80" t="s">
        <v>184</v>
      </c>
      <c r="B80" t="s">
        <v>185</v>
      </c>
      <c r="C80">
        <v>52</v>
      </c>
      <c r="D80" s="2" t="s">
        <v>13</v>
      </c>
      <c r="E80" s="2" t="s">
        <v>14</v>
      </c>
      <c r="F80" s="2" t="s">
        <v>31</v>
      </c>
      <c r="G80" s="2" t="s">
        <v>32</v>
      </c>
      <c r="H80" s="2" t="s">
        <v>18</v>
      </c>
      <c r="I80" s="2" t="s">
        <v>17</v>
      </c>
      <c r="J80">
        <v>0.35</v>
      </c>
      <c r="K80" s="1">
        <v>43400</v>
      </c>
      <c r="L80" s="2" t="str">
        <f>IF(Sheet1[[#This Row],[age]]&lt;18, "Under 18",IF(Sheet1[[#This Row],[age]]&lt;=30,"18-30",IF(Sheet1[[#This Row],[age]]&lt;=45,"31-45",IF(Sheet1[[#This Row],[age]]&lt;=60,"46-60","60+"))))</f>
        <v>46-60</v>
      </c>
      <c r="M80" s="2" t="str">
        <f>IF(Sheet1[[#This Row],[risk_score]]&lt;0.3,"Low",IF(Sheet1[[#This Row],[risk_score]]&lt;0.7,"Medium","High"))</f>
        <v>Medium</v>
      </c>
      <c r="N80">
        <f>YEAR(Sheet1[[#This Row],[date_joined]])</f>
        <v>2018</v>
      </c>
      <c r="O80" s="2" t="str">
        <f>TEXT(Sheet1[[#This Row],[date_joined]],"mmm")</f>
        <v>Oct</v>
      </c>
      <c r="P80" s="2" t="str">
        <f>"Q"&amp;ROUNDUP(MONTH(Sheet1[[#This Row],[date_joined]])/3,0)</f>
        <v>Q4</v>
      </c>
      <c r="Q80" s="2" t="str">
        <f>IF(Sheet1[[#This Row],[age]]&lt;30,"Young",IF(Sheet1[[#This Row],[age]]&lt;=50,"Adult","Senior"))</f>
        <v>Senior</v>
      </c>
      <c r="R80" s="2" t="str">
        <f t="shared" si="2"/>
        <v>High</v>
      </c>
      <c r="S80" s="2" t="str">
        <f t="shared" si="3"/>
        <v>South - Self-employed</v>
      </c>
    </row>
    <row r="81" spans="1:19" x14ac:dyDescent="0.3">
      <c r="A81" t="s">
        <v>186</v>
      </c>
      <c r="B81" t="s">
        <v>187</v>
      </c>
      <c r="C81">
        <v>21</v>
      </c>
      <c r="D81" s="2" t="s">
        <v>13</v>
      </c>
      <c r="E81" s="2" t="s">
        <v>22</v>
      </c>
      <c r="F81" s="2" t="s">
        <v>15</v>
      </c>
      <c r="G81" s="2" t="s">
        <v>32</v>
      </c>
      <c r="H81" s="2" t="s">
        <v>17</v>
      </c>
      <c r="I81" s="2" t="s">
        <v>17</v>
      </c>
      <c r="J81">
        <v>0.7</v>
      </c>
      <c r="K81" s="1">
        <v>43664</v>
      </c>
      <c r="L81" s="2" t="str">
        <f>IF(Sheet1[[#This Row],[age]]&lt;18, "Under 18",IF(Sheet1[[#This Row],[age]]&lt;=30,"18-30",IF(Sheet1[[#This Row],[age]]&lt;=45,"31-45",IF(Sheet1[[#This Row],[age]]&lt;=60,"46-60","60+"))))</f>
        <v>18-30</v>
      </c>
      <c r="M81" s="2" t="str">
        <f>IF(Sheet1[[#This Row],[risk_score]]&lt;0.3,"Low",IF(Sheet1[[#This Row],[risk_score]]&lt;0.7,"Medium","High"))</f>
        <v>High</v>
      </c>
      <c r="N81">
        <f>YEAR(Sheet1[[#This Row],[date_joined]])</f>
        <v>2019</v>
      </c>
      <c r="O81" s="2" t="str">
        <f>TEXT(Sheet1[[#This Row],[date_joined]],"mmm")</f>
        <v>Jul</v>
      </c>
      <c r="P81" s="2" t="str">
        <f>"Q"&amp;ROUNDUP(MONTH(Sheet1[[#This Row],[date_joined]])/3,0)</f>
        <v>Q3</v>
      </c>
      <c r="Q81" s="2" t="str">
        <f>IF(Sheet1[[#This Row],[age]]&lt;30,"Young",IF(Sheet1[[#This Row],[age]]&lt;=50,"Adult","Senior"))</f>
        <v>Young</v>
      </c>
      <c r="R81" s="2" t="str">
        <f t="shared" si="2"/>
        <v>Low</v>
      </c>
      <c r="S81" s="2" t="str">
        <f t="shared" si="3"/>
        <v>South - Student</v>
      </c>
    </row>
    <row r="82" spans="1:19" x14ac:dyDescent="0.3">
      <c r="A82" t="s">
        <v>188</v>
      </c>
      <c r="B82" t="s">
        <v>189</v>
      </c>
      <c r="C82">
        <v>56</v>
      </c>
      <c r="D82" s="2" t="s">
        <v>21</v>
      </c>
      <c r="E82" s="2" t="s">
        <v>30</v>
      </c>
      <c r="F82" s="2" t="s">
        <v>31</v>
      </c>
      <c r="G82" s="2" t="s">
        <v>16</v>
      </c>
      <c r="H82" s="2" t="s">
        <v>17</v>
      </c>
      <c r="I82" s="2" t="s">
        <v>17</v>
      </c>
      <c r="J82">
        <v>0.54</v>
      </c>
      <c r="K82" s="1">
        <v>43366</v>
      </c>
      <c r="L82" s="2" t="str">
        <f>IF(Sheet1[[#This Row],[age]]&lt;18, "Under 18",IF(Sheet1[[#This Row],[age]]&lt;=30,"18-30",IF(Sheet1[[#This Row],[age]]&lt;=45,"31-45",IF(Sheet1[[#This Row],[age]]&lt;=60,"46-60","60+"))))</f>
        <v>46-60</v>
      </c>
      <c r="M82" s="2" t="str">
        <f>IF(Sheet1[[#This Row],[risk_score]]&lt;0.3,"Low",IF(Sheet1[[#This Row],[risk_score]]&lt;0.7,"Medium","High"))</f>
        <v>Medium</v>
      </c>
      <c r="N82">
        <f>YEAR(Sheet1[[#This Row],[date_joined]])</f>
        <v>2018</v>
      </c>
      <c r="O82" s="2" t="str">
        <f>TEXT(Sheet1[[#This Row],[date_joined]],"mmm")</f>
        <v>Sep</v>
      </c>
      <c r="P82" s="2" t="str">
        <f>"Q"&amp;ROUNDUP(MONTH(Sheet1[[#This Row],[date_joined]])/3,0)</f>
        <v>Q3</v>
      </c>
      <c r="Q82" s="2" t="str">
        <f>IF(Sheet1[[#This Row],[age]]&lt;30,"Young",IF(Sheet1[[#This Row],[age]]&lt;=50,"Adult","Senior"))</f>
        <v>Senior</v>
      </c>
      <c r="R82" s="2" t="str">
        <f t="shared" si="2"/>
        <v>Low</v>
      </c>
      <c r="S82" s="2" t="str">
        <f t="shared" si="3"/>
        <v>West - Self-employed</v>
      </c>
    </row>
    <row r="83" spans="1:19" x14ac:dyDescent="0.3">
      <c r="A83" t="s">
        <v>190</v>
      </c>
      <c r="B83" t="s">
        <v>191</v>
      </c>
      <c r="C83">
        <v>61</v>
      </c>
      <c r="D83" s="2" t="s">
        <v>13</v>
      </c>
      <c r="E83" s="2" t="s">
        <v>22</v>
      </c>
      <c r="F83" s="2" t="s">
        <v>37</v>
      </c>
      <c r="G83" s="2" t="s">
        <v>66</v>
      </c>
      <c r="H83" s="2" t="s">
        <v>18</v>
      </c>
      <c r="I83" s="2" t="s">
        <v>18</v>
      </c>
      <c r="J83">
        <v>0.42</v>
      </c>
      <c r="K83" s="1">
        <v>43524</v>
      </c>
      <c r="L83" s="2" t="str">
        <f>IF(Sheet1[[#This Row],[age]]&lt;18, "Under 18",IF(Sheet1[[#This Row],[age]]&lt;=30,"18-30",IF(Sheet1[[#This Row],[age]]&lt;=45,"31-45",IF(Sheet1[[#This Row],[age]]&lt;=60,"46-60","60+"))))</f>
        <v>60+</v>
      </c>
      <c r="M83" s="2" t="str">
        <f>IF(Sheet1[[#This Row],[risk_score]]&lt;0.3,"Low",IF(Sheet1[[#This Row],[risk_score]]&lt;0.7,"Medium","High"))</f>
        <v>Medium</v>
      </c>
      <c r="N83">
        <f>YEAR(Sheet1[[#This Row],[date_joined]])</f>
        <v>2019</v>
      </c>
      <c r="O83" s="2" t="str">
        <f>TEXT(Sheet1[[#This Row],[date_joined]],"mmm")</f>
        <v>Feb</v>
      </c>
      <c r="P83" s="2" t="str">
        <f>"Q"&amp;ROUNDUP(MONTH(Sheet1[[#This Row],[date_joined]])/3,0)</f>
        <v>Q1</v>
      </c>
      <c r="Q83" s="2" t="str">
        <f>IF(Sheet1[[#This Row],[age]]&lt;30,"Young",IF(Sheet1[[#This Row],[age]]&lt;=50,"Adult","Senior"))</f>
        <v>Senior</v>
      </c>
      <c r="R83" s="2" t="str">
        <f t="shared" si="2"/>
        <v>Very High</v>
      </c>
      <c r="S83" s="2" t="str">
        <f t="shared" si="3"/>
        <v>North-East - Retired</v>
      </c>
    </row>
    <row r="84" spans="1:19" x14ac:dyDescent="0.3">
      <c r="A84" t="s">
        <v>192</v>
      </c>
      <c r="B84" t="s">
        <v>193</v>
      </c>
      <c r="C84">
        <v>29</v>
      </c>
      <c r="D84" s="2" t="s">
        <v>21</v>
      </c>
      <c r="E84" s="2" t="s">
        <v>14</v>
      </c>
      <c r="F84" s="2" t="s">
        <v>37</v>
      </c>
      <c r="G84" s="2" t="s">
        <v>81</v>
      </c>
      <c r="H84" s="2" t="s">
        <v>17</v>
      </c>
      <c r="I84" s="2" t="s">
        <v>17</v>
      </c>
      <c r="J84">
        <v>0.44</v>
      </c>
      <c r="K84" s="1">
        <v>43911</v>
      </c>
      <c r="L84" s="2" t="str">
        <f>IF(Sheet1[[#This Row],[age]]&lt;18, "Under 18",IF(Sheet1[[#This Row],[age]]&lt;=30,"18-30",IF(Sheet1[[#This Row],[age]]&lt;=45,"31-45",IF(Sheet1[[#This Row],[age]]&lt;=60,"46-60","60+"))))</f>
        <v>18-30</v>
      </c>
      <c r="M84" s="2" t="str">
        <f>IF(Sheet1[[#This Row],[risk_score]]&lt;0.3,"Low",IF(Sheet1[[#This Row],[risk_score]]&lt;0.7,"Medium","High"))</f>
        <v>Medium</v>
      </c>
      <c r="N84">
        <f>YEAR(Sheet1[[#This Row],[date_joined]])</f>
        <v>2020</v>
      </c>
      <c r="O84" s="2" t="str">
        <f>TEXT(Sheet1[[#This Row],[date_joined]],"mmm")</f>
        <v>Mar</v>
      </c>
      <c r="P84" s="2" t="str">
        <f>"Q"&amp;ROUNDUP(MONTH(Sheet1[[#This Row],[date_joined]])/3,0)</f>
        <v>Q1</v>
      </c>
      <c r="Q84" s="2" t="str">
        <f>IF(Sheet1[[#This Row],[age]]&lt;30,"Young",IF(Sheet1[[#This Row],[age]]&lt;=50,"Adult","Senior"))</f>
        <v>Young</v>
      </c>
      <c r="R84" s="2" t="str">
        <f t="shared" si="2"/>
        <v>Low</v>
      </c>
      <c r="S84" s="2" t="str">
        <f t="shared" si="3"/>
        <v>Central - Retired</v>
      </c>
    </row>
    <row r="85" spans="1:19" x14ac:dyDescent="0.3">
      <c r="A85" t="s">
        <v>194</v>
      </c>
      <c r="B85" t="s">
        <v>195</v>
      </c>
      <c r="C85">
        <v>40</v>
      </c>
      <c r="D85" s="2" t="s">
        <v>21</v>
      </c>
      <c r="E85" s="2" t="s">
        <v>30</v>
      </c>
      <c r="F85" s="2" t="s">
        <v>15</v>
      </c>
      <c r="G85" s="2" t="s">
        <v>81</v>
      </c>
      <c r="H85" s="2" t="s">
        <v>17</v>
      </c>
      <c r="I85" s="2" t="s">
        <v>17</v>
      </c>
      <c r="J85">
        <v>0.62</v>
      </c>
      <c r="K85" s="1">
        <v>43614</v>
      </c>
      <c r="L85" s="2" t="str">
        <f>IF(Sheet1[[#This Row],[age]]&lt;18, "Under 18",IF(Sheet1[[#This Row],[age]]&lt;=30,"18-30",IF(Sheet1[[#This Row],[age]]&lt;=45,"31-45",IF(Sheet1[[#This Row],[age]]&lt;=60,"46-60","60+"))))</f>
        <v>31-45</v>
      </c>
      <c r="M85" s="2" t="str">
        <f>IF(Sheet1[[#This Row],[risk_score]]&lt;0.3,"Low",IF(Sheet1[[#This Row],[risk_score]]&lt;0.7,"Medium","High"))</f>
        <v>Medium</v>
      </c>
      <c r="N85">
        <f>YEAR(Sheet1[[#This Row],[date_joined]])</f>
        <v>2019</v>
      </c>
      <c r="O85" s="2" t="str">
        <f>TEXT(Sheet1[[#This Row],[date_joined]],"mmm")</f>
        <v>May</v>
      </c>
      <c r="P85" s="2" t="str">
        <f>"Q"&amp;ROUNDUP(MONTH(Sheet1[[#This Row],[date_joined]])/3,0)</f>
        <v>Q2</v>
      </c>
      <c r="Q85" s="2" t="str">
        <f>IF(Sheet1[[#This Row],[age]]&lt;30,"Young",IF(Sheet1[[#This Row],[age]]&lt;=50,"Adult","Senior"))</f>
        <v>Adult</v>
      </c>
      <c r="R85" s="2" t="str">
        <f t="shared" si="2"/>
        <v>Low</v>
      </c>
      <c r="S85" s="2" t="str">
        <f t="shared" si="3"/>
        <v>Central - Student</v>
      </c>
    </row>
    <row r="86" spans="1:19" x14ac:dyDescent="0.3">
      <c r="A86" t="s">
        <v>196</v>
      </c>
      <c r="B86" t="s">
        <v>197</v>
      </c>
      <c r="C86">
        <v>39</v>
      </c>
      <c r="D86" s="2" t="s">
        <v>13</v>
      </c>
      <c r="E86" s="2" t="s">
        <v>14</v>
      </c>
      <c r="F86" s="2" t="s">
        <v>23</v>
      </c>
      <c r="G86" s="2" t="s">
        <v>24</v>
      </c>
      <c r="H86" s="2" t="s">
        <v>17</v>
      </c>
      <c r="I86" s="2" t="s">
        <v>18</v>
      </c>
      <c r="J86">
        <v>0.76</v>
      </c>
      <c r="K86" s="1">
        <v>44154</v>
      </c>
      <c r="L86" s="2" t="str">
        <f>IF(Sheet1[[#This Row],[age]]&lt;18, "Under 18",IF(Sheet1[[#This Row],[age]]&lt;=30,"18-30",IF(Sheet1[[#This Row],[age]]&lt;=45,"31-45",IF(Sheet1[[#This Row],[age]]&lt;=60,"46-60","60+"))))</f>
        <v>31-45</v>
      </c>
      <c r="M86" s="2" t="str">
        <f>IF(Sheet1[[#This Row],[risk_score]]&lt;0.3,"Low",IF(Sheet1[[#This Row],[risk_score]]&lt;0.7,"Medium","High"))</f>
        <v>High</v>
      </c>
      <c r="N86">
        <f>YEAR(Sheet1[[#This Row],[date_joined]])</f>
        <v>2020</v>
      </c>
      <c r="O86" s="2" t="str">
        <f>TEXT(Sheet1[[#This Row],[date_joined]],"mmm")</f>
        <v>Nov</v>
      </c>
      <c r="P86" s="2" t="str">
        <f>"Q"&amp;ROUNDUP(MONTH(Sheet1[[#This Row],[date_joined]])/3,0)</f>
        <v>Q4</v>
      </c>
      <c r="Q86" s="2" t="str">
        <f>IF(Sheet1[[#This Row],[age]]&lt;30,"Young",IF(Sheet1[[#This Row],[age]]&lt;=50,"Adult","Senior"))</f>
        <v>Adult</v>
      </c>
      <c r="R86" s="2" t="str">
        <f t="shared" si="2"/>
        <v>High</v>
      </c>
      <c r="S86" s="2" t="str">
        <f t="shared" si="3"/>
        <v>East - Salaried</v>
      </c>
    </row>
    <row r="87" spans="1:19" x14ac:dyDescent="0.3">
      <c r="A87" t="s">
        <v>198</v>
      </c>
      <c r="B87" t="s">
        <v>199</v>
      </c>
      <c r="C87">
        <v>44</v>
      </c>
      <c r="D87" s="2" t="s">
        <v>21</v>
      </c>
      <c r="E87" s="2" t="s">
        <v>22</v>
      </c>
      <c r="F87" s="2" t="s">
        <v>37</v>
      </c>
      <c r="G87" s="2" t="s">
        <v>24</v>
      </c>
      <c r="H87" s="2" t="s">
        <v>18</v>
      </c>
      <c r="I87" s="2" t="s">
        <v>18</v>
      </c>
      <c r="J87">
        <v>0.52</v>
      </c>
      <c r="K87" s="1">
        <v>44619</v>
      </c>
      <c r="L87" s="2" t="str">
        <f>IF(Sheet1[[#This Row],[age]]&lt;18, "Under 18",IF(Sheet1[[#This Row],[age]]&lt;=30,"18-30",IF(Sheet1[[#This Row],[age]]&lt;=45,"31-45",IF(Sheet1[[#This Row],[age]]&lt;=60,"46-60","60+"))))</f>
        <v>31-45</v>
      </c>
      <c r="M87" s="2" t="str">
        <f>IF(Sheet1[[#This Row],[risk_score]]&lt;0.3,"Low",IF(Sheet1[[#This Row],[risk_score]]&lt;0.7,"Medium","High"))</f>
        <v>Medium</v>
      </c>
      <c r="N87">
        <f>YEAR(Sheet1[[#This Row],[date_joined]])</f>
        <v>2022</v>
      </c>
      <c r="O87" s="2" t="str">
        <f>TEXT(Sheet1[[#This Row],[date_joined]],"mmm")</f>
        <v>Feb</v>
      </c>
      <c r="P87" s="2" t="str">
        <f>"Q"&amp;ROUNDUP(MONTH(Sheet1[[#This Row],[date_joined]])/3,0)</f>
        <v>Q1</v>
      </c>
      <c r="Q87" s="2" t="str">
        <f>IF(Sheet1[[#This Row],[age]]&lt;30,"Young",IF(Sheet1[[#This Row],[age]]&lt;=50,"Adult","Senior"))</f>
        <v>Adult</v>
      </c>
      <c r="R87" s="2" t="str">
        <f t="shared" si="2"/>
        <v>Very High</v>
      </c>
      <c r="S87" s="2" t="str">
        <f t="shared" si="3"/>
        <v>East - Retired</v>
      </c>
    </row>
    <row r="88" spans="1:19" x14ac:dyDescent="0.3">
      <c r="A88" t="s">
        <v>200</v>
      </c>
      <c r="B88" t="s">
        <v>201</v>
      </c>
      <c r="C88">
        <v>44</v>
      </c>
      <c r="D88" s="2" t="s">
        <v>13</v>
      </c>
      <c r="E88" s="2" t="s">
        <v>30</v>
      </c>
      <c r="F88" s="2" t="s">
        <v>37</v>
      </c>
      <c r="G88" s="2" t="s">
        <v>27</v>
      </c>
      <c r="H88" s="2" t="s">
        <v>17</v>
      </c>
      <c r="I88" s="2" t="s">
        <v>18</v>
      </c>
      <c r="J88">
        <v>0.82</v>
      </c>
      <c r="K88" s="1">
        <v>44552</v>
      </c>
      <c r="L88" s="2" t="str">
        <f>IF(Sheet1[[#This Row],[age]]&lt;18, "Under 18",IF(Sheet1[[#This Row],[age]]&lt;=30,"18-30",IF(Sheet1[[#This Row],[age]]&lt;=45,"31-45",IF(Sheet1[[#This Row],[age]]&lt;=60,"46-60","60+"))))</f>
        <v>31-45</v>
      </c>
      <c r="M88" s="2" t="str">
        <f>IF(Sheet1[[#This Row],[risk_score]]&lt;0.3,"Low",IF(Sheet1[[#This Row],[risk_score]]&lt;0.7,"Medium","High"))</f>
        <v>High</v>
      </c>
      <c r="N88">
        <f>YEAR(Sheet1[[#This Row],[date_joined]])</f>
        <v>2021</v>
      </c>
      <c r="O88" s="2" t="str">
        <f>TEXT(Sheet1[[#This Row],[date_joined]],"mmm")</f>
        <v>Dec</v>
      </c>
      <c r="P88" s="2" t="str">
        <f>"Q"&amp;ROUNDUP(MONTH(Sheet1[[#This Row],[date_joined]])/3,0)</f>
        <v>Q4</v>
      </c>
      <c r="Q88" s="2" t="str">
        <f>IF(Sheet1[[#This Row],[age]]&lt;30,"Young",IF(Sheet1[[#This Row],[age]]&lt;=50,"Adult","Senior"))</f>
        <v>Adult</v>
      </c>
      <c r="R88" s="2" t="str">
        <f t="shared" si="2"/>
        <v>High</v>
      </c>
      <c r="S88" s="2" t="str">
        <f t="shared" si="3"/>
        <v>North - Retired</v>
      </c>
    </row>
    <row r="89" spans="1:19" x14ac:dyDescent="0.3">
      <c r="A89" t="s">
        <v>202</v>
      </c>
      <c r="B89" t="s">
        <v>203</v>
      </c>
      <c r="C89">
        <v>34</v>
      </c>
      <c r="D89" s="2" t="s">
        <v>13</v>
      </c>
      <c r="E89" s="2" t="s">
        <v>22</v>
      </c>
      <c r="F89" s="2" t="s">
        <v>23</v>
      </c>
      <c r="G89" s="2" t="s">
        <v>27</v>
      </c>
      <c r="H89" s="2" t="s">
        <v>17</v>
      </c>
      <c r="I89" s="2" t="s">
        <v>17</v>
      </c>
      <c r="J89">
        <v>0.49</v>
      </c>
      <c r="K89" s="1">
        <v>44365</v>
      </c>
      <c r="L89" s="2" t="str">
        <f>IF(Sheet1[[#This Row],[age]]&lt;18, "Under 18",IF(Sheet1[[#This Row],[age]]&lt;=30,"18-30",IF(Sheet1[[#This Row],[age]]&lt;=45,"31-45",IF(Sheet1[[#This Row],[age]]&lt;=60,"46-60","60+"))))</f>
        <v>31-45</v>
      </c>
      <c r="M89" s="2" t="str">
        <f>IF(Sheet1[[#This Row],[risk_score]]&lt;0.3,"Low",IF(Sheet1[[#This Row],[risk_score]]&lt;0.7,"Medium","High"))</f>
        <v>Medium</v>
      </c>
      <c r="N89">
        <f>YEAR(Sheet1[[#This Row],[date_joined]])</f>
        <v>2021</v>
      </c>
      <c r="O89" s="2" t="str">
        <f>TEXT(Sheet1[[#This Row],[date_joined]],"mmm")</f>
        <v>Jun</v>
      </c>
      <c r="P89" s="2" t="str">
        <f>"Q"&amp;ROUNDUP(MONTH(Sheet1[[#This Row],[date_joined]])/3,0)</f>
        <v>Q2</v>
      </c>
      <c r="Q89" s="2" t="str">
        <f>IF(Sheet1[[#This Row],[age]]&lt;30,"Young",IF(Sheet1[[#This Row],[age]]&lt;=50,"Adult","Senior"))</f>
        <v>Adult</v>
      </c>
      <c r="R89" s="2" t="str">
        <f t="shared" si="2"/>
        <v>Low</v>
      </c>
      <c r="S89" s="2" t="str">
        <f t="shared" si="3"/>
        <v>North - Salaried</v>
      </c>
    </row>
    <row r="90" spans="1:19" x14ac:dyDescent="0.3">
      <c r="A90" t="s">
        <v>204</v>
      </c>
      <c r="B90" t="s">
        <v>205</v>
      </c>
      <c r="C90">
        <v>51</v>
      </c>
      <c r="D90" s="2" t="s">
        <v>21</v>
      </c>
      <c r="E90" s="2" t="s">
        <v>14</v>
      </c>
      <c r="F90" s="2" t="s">
        <v>31</v>
      </c>
      <c r="G90" s="2" t="s">
        <v>16</v>
      </c>
      <c r="H90" s="2" t="s">
        <v>18</v>
      </c>
      <c r="I90" s="2" t="s">
        <v>17</v>
      </c>
      <c r="J90">
        <v>0.33</v>
      </c>
      <c r="K90" s="1">
        <v>44557</v>
      </c>
      <c r="L90" s="2" t="str">
        <f>IF(Sheet1[[#This Row],[age]]&lt;18, "Under 18",IF(Sheet1[[#This Row],[age]]&lt;=30,"18-30",IF(Sheet1[[#This Row],[age]]&lt;=45,"31-45",IF(Sheet1[[#This Row],[age]]&lt;=60,"46-60","60+"))))</f>
        <v>46-60</v>
      </c>
      <c r="M90" s="2" t="str">
        <f>IF(Sheet1[[#This Row],[risk_score]]&lt;0.3,"Low",IF(Sheet1[[#This Row],[risk_score]]&lt;0.7,"Medium","High"))</f>
        <v>Medium</v>
      </c>
      <c r="N90">
        <f>YEAR(Sheet1[[#This Row],[date_joined]])</f>
        <v>2021</v>
      </c>
      <c r="O90" s="2" t="str">
        <f>TEXT(Sheet1[[#This Row],[date_joined]],"mmm")</f>
        <v>Dec</v>
      </c>
      <c r="P90" s="2" t="str">
        <f>"Q"&amp;ROUNDUP(MONTH(Sheet1[[#This Row],[date_joined]])/3,0)</f>
        <v>Q4</v>
      </c>
      <c r="Q90" s="2" t="str">
        <f>IF(Sheet1[[#This Row],[age]]&lt;30,"Young",IF(Sheet1[[#This Row],[age]]&lt;=50,"Adult","Senior"))</f>
        <v>Senior</v>
      </c>
      <c r="R90" s="2" t="str">
        <f t="shared" si="2"/>
        <v>High</v>
      </c>
      <c r="S90" s="2" t="str">
        <f t="shared" si="3"/>
        <v>West - Self-employed</v>
      </c>
    </row>
    <row r="91" spans="1:19" x14ac:dyDescent="0.3">
      <c r="A91" t="s">
        <v>206</v>
      </c>
      <c r="B91" t="s">
        <v>207</v>
      </c>
      <c r="C91">
        <v>52</v>
      </c>
      <c r="D91" s="2" t="s">
        <v>13</v>
      </c>
      <c r="E91" s="2" t="s">
        <v>30</v>
      </c>
      <c r="F91" s="2" t="s">
        <v>23</v>
      </c>
      <c r="G91" s="2" t="s">
        <v>24</v>
      </c>
      <c r="H91" s="2" t="s">
        <v>18</v>
      </c>
      <c r="I91" s="2" t="s">
        <v>17</v>
      </c>
      <c r="J91">
        <v>0.53</v>
      </c>
      <c r="K91" s="1">
        <v>44073</v>
      </c>
      <c r="L91" s="2" t="str">
        <f>IF(Sheet1[[#This Row],[age]]&lt;18, "Under 18",IF(Sheet1[[#This Row],[age]]&lt;=30,"18-30",IF(Sheet1[[#This Row],[age]]&lt;=45,"31-45",IF(Sheet1[[#This Row],[age]]&lt;=60,"46-60","60+"))))</f>
        <v>46-60</v>
      </c>
      <c r="M91" s="2" t="str">
        <f>IF(Sheet1[[#This Row],[risk_score]]&lt;0.3,"Low",IF(Sheet1[[#This Row],[risk_score]]&lt;0.7,"Medium","High"))</f>
        <v>Medium</v>
      </c>
      <c r="N91">
        <f>YEAR(Sheet1[[#This Row],[date_joined]])</f>
        <v>2020</v>
      </c>
      <c r="O91" s="2" t="str">
        <f>TEXT(Sheet1[[#This Row],[date_joined]],"mmm")</f>
        <v>Aug</v>
      </c>
      <c r="P91" s="2" t="str">
        <f>"Q"&amp;ROUNDUP(MONTH(Sheet1[[#This Row],[date_joined]])/3,0)</f>
        <v>Q3</v>
      </c>
      <c r="Q91" s="2" t="str">
        <f>IF(Sheet1[[#This Row],[age]]&lt;30,"Young",IF(Sheet1[[#This Row],[age]]&lt;=50,"Adult","Senior"))</f>
        <v>Senior</v>
      </c>
      <c r="R91" s="2" t="str">
        <f t="shared" si="2"/>
        <v>High</v>
      </c>
      <c r="S91" s="2" t="str">
        <f t="shared" si="3"/>
        <v>East - Salaried</v>
      </c>
    </row>
    <row r="92" spans="1:19" x14ac:dyDescent="0.3">
      <c r="A92" t="s">
        <v>208</v>
      </c>
      <c r="B92" t="s">
        <v>209</v>
      </c>
      <c r="C92">
        <v>48</v>
      </c>
      <c r="D92" s="2" t="s">
        <v>21</v>
      </c>
      <c r="E92" s="2" t="s">
        <v>22</v>
      </c>
      <c r="F92" s="2" t="s">
        <v>15</v>
      </c>
      <c r="G92" s="2" t="s">
        <v>27</v>
      </c>
      <c r="H92" s="2" t="s">
        <v>18</v>
      </c>
      <c r="I92" s="2" t="s">
        <v>18</v>
      </c>
      <c r="J92">
        <v>0.3</v>
      </c>
      <c r="K92" s="1">
        <v>43987</v>
      </c>
      <c r="L92" s="2" t="str">
        <f>IF(Sheet1[[#This Row],[age]]&lt;18, "Under 18",IF(Sheet1[[#This Row],[age]]&lt;=30,"18-30",IF(Sheet1[[#This Row],[age]]&lt;=45,"31-45",IF(Sheet1[[#This Row],[age]]&lt;=60,"46-60","60+"))))</f>
        <v>46-60</v>
      </c>
      <c r="M92" s="2" t="str">
        <f>IF(Sheet1[[#This Row],[risk_score]]&lt;0.3,"Low",IF(Sheet1[[#This Row],[risk_score]]&lt;0.7,"Medium","High"))</f>
        <v>Medium</v>
      </c>
      <c r="N92">
        <f>YEAR(Sheet1[[#This Row],[date_joined]])</f>
        <v>2020</v>
      </c>
      <c r="O92" s="2" t="str">
        <f>TEXT(Sheet1[[#This Row],[date_joined]],"mmm")</f>
        <v>Jun</v>
      </c>
      <c r="P92" s="2" t="str">
        <f>"Q"&amp;ROUNDUP(MONTH(Sheet1[[#This Row],[date_joined]])/3,0)</f>
        <v>Q2</v>
      </c>
      <c r="Q92" s="2" t="str">
        <f>IF(Sheet1[[#This Row],[age]]&lt;30,"Young",IF(Sheet1[[#This Row],[age]]&lt;=50,"Adult","Senior"))</f>
        <v>Adult</v>
      </c>
      <c r="R92" s="2" t="str">
        <f t="shared" si="2"/>
        <v>Very High</v>
      </c>
      <c r="S92" s="2" t="str">
        <f t="shared" si="3"/>
        <v>North - Student</v>
      </c>
    </row>
    <row r="93" spans="1:19" x14ac:dyDescent="0.3">
      <c r="A93" t="s">
        <v>210</v>
      </c>
      <c r="B93" t="s">
        <v>211</v>
      </c>
      <c r="C93">
        <v>29</v>
      </c>
      <c r="D93" s="2" t="s">
        <v>13</v>
      </c>
      <c r="E93" s="2" t="s">
        <v>14</v>
      </c>
      <c r="F93" s="2" t="s">
        <v>23</v>
      </c>
      <c r="G93" s="2" t="s">
        <v>16</v>
      </c>
      <c r="H93" s="2" t="s">
        <v>18</v>
      </c>
      <c r="I93" s="2" t="s">
        <v>18</v>
      </c>
      <c r="J93">
        <v>0.34</v>
      </c>
      <c r="K93" s="1">
        <v>44548</v>
      </c>
      <c r="L93" s="2" t="str">
        <f>IF(Sheet1[[#This Row],[age]]&lt;18, "Under 18",IF(Sheet1[[#This Row],[age]]&lt;=30,"18-30",IF(Sheet1[[#This Row],[age]]&lt;=45,"31-45",IF(Sheet1[[#This Row],[age]]&lt;=60,"46-60","60+"))))</f>
        <v>18-30</v>
      </c>
      <c r="M93" s="2" t="str">
        <f>IF(Sheet1[[#This Row],[risk_score]]&lt;0.3,"Low",IF(Sheet1[[#This Row],[risk_score]]&lt;0.7,"Medium","High"))</f>
        <v>Medium</v>
      </c>
      <c r="N93">
        <f>YEAR(Sheet1[[#This Row],[date_joined]])</f>
        <v>2021</v>
      </c>
      <c r="O93" s="2" t="str">
        <f>TEXT(Sheet1[[#This Row],[date_joined]],"mmm")</f>
        <v>Dec</v>
      </c>
      <c r="P93" s="2" t="str">
        <f>"Q"&amp;ROUNDUP(MONTH(Sheet1[[#This Row],[date_joined]])/3,0)</f>
        <v>Q4</v>
      </c>
      <c r="Q93" s="2" t="str">
        <f>IF(Sheet1[[#This Row],[age]]&lt;30,"Young",IF(Sheet1[[#This Row],[age]]&lt;=50,"Adult","Senior"))</f>
        <v>Young</v>
      </c>
      <c r="R93" s="2" t="str">
        <f t="shared" si="2"/>
        <v>Very High</v>
      </c>
      <c r="S93" s="2" t="str">
        <f t="shared" si="3"/>
        <v>West - Salaried</v>
      </c>
    </row>
    <row r="94" spans="1:19" x14ac:dyDescent="0.3">
      <c r="A94" t="s">
        <v>212</v>
      </c>
      <c r="B94" t="s">
        <v>213</v>
      </c>
      <c r="C94">
        <v>68</v>
      </c>
      <c r="D94" s="2" t="s">
        <v>21</v>
      </c>
      <c r="E94" s="2" t="s">
        <v>22</v>
      </c>
      <c r="F94" s="2" t="s">
        <v>15</v>
      </c>
      <c r="G94" s="2" t="s">
        <v>66</v>
      </c>
      <c r="H94" s="2" t="s">
        <v>17</v>
      </c>
      <c r="I94" s="2" t="s">
        <v>18</v>
      </c>
      <c r="J94">
        <v>0.55000000000000004</v>
      </c>
      <c r="K94" s="1">
        <v>43592</v>
      </c>
      <c r="L94" s="2" t="str">
        <f>IF(Sheet1[[#This Row],[age]]&lt;18, "Under 18",IF(Sheet1[[#This Row],[age]]&lt;=30,"18-30",IF(Sheet1[[#This Row],[age]]&lt;=45,"31-45",IF(Sheet1[[#This Row],[age]]&lt;=60,"46-60","60+"))))</f>
        <v>60+</v>
      </c>
      <c r="M94" s="2" t="str">
        <f>IF(Sheet1[[#This Row],[risk_score]]&lt;0.3,"Low",IF(Sheet1[[#This Row],[risk_score]]&lt;0.7,"Medium","High"))</f>
        <v>Medium</v>
      </c>
      <c r="N94">
        <f>YEAR(Sheet1[[#This Row],[date_joined]])</f>
        <v>2019</v>
      </c>
      <c r="O94" s="2" t="str">
        <f>TEXT(Sheet1[[#This Row],[date_joined]],"mmm")</f>
        <v>May</v>
      </c>
      <c r="P94" s="2" t="str">
        <f>"Q"&amp;ROUNDUP(MONTH(Sheet1[[#This Row],[date_joined]])/3,0)</f>
        <v>Q2</v>
      </c>
      <c r="Q94" s="2" t="str">
        <f>IF(Sheet1[[#This Row],[age]]&lt;30,"Young",IF(Sheet1[[#This Row],[age]]&lt;=50,"Adult","Senior"))</f>
        <v>Senior</v>
      </c>
      <c r="R94" s="2" t="str">
        <f t="shared" si="2"/>
        <v>High</v>
      </c>
      <c r="S94" s="2" t="str">
        <f t="shared" si="3"/>
        <v>North-East - Student</v>
      </c>
    </row>
    <row r="95" spans="1:19" x14ac:dyDescent="0.3">
      <c r="A95" t="s">
        <v>214</v>
      </c>
      <c r="B95" t="s">
        <v>215</v>
      </c>
      <c r="C95">
        <v>32</v>
      </c>
      <c r="D95" s="2" t="s">
        <v>13</v>
      </c>
      <c r="E95" s="2" t="s">
        <v>14</v>
      </c>
      <c r="F95" s="2" t="s">
        <v>15</v>
      </c>
      <c r="G95" s="2" t="s">
        <v>66</v>
      </c>
      <c r="H95" s="2" t="s">
        <v>17</v>
      </c>
      <c r="I95" s="2" t="s">
        <v>17</v>
      </c>
      <c r="J95">
        <v>0.39</v>
      </c>
      <c r="K95" s="1">
        <v>44101</v>
      </c>
      <c r="L95" s="2" t="str">
        <f>IF(Sheet1[[#This Row],[age]]&lt;18, "Under 18",IF(Sheet1[[#This Row],[age]]&lt;=30,"18-30",IF(Sheet1[[#This Row],[age]]&lt;=45,"31-45",IF(Sheet1[[#This Row],[age]]&lt;=60,"46-60","60+"))))</f>
        <v>31-45</v>
      </c>
      <c r="M95" s="2" t="str">
        <f>IF(Sheet1[[#This Row],[risk_score]]&lt;0.3,"Low",IF(Sheet1[[#This Row],[risk_score]]&lt;0.7,"Medium","High"))</f>
        <v>Medium</v>
      </c>
      <c r="N95">
        <f>YEAR(Sheet1[[#This Row],[date_joined]])</f>
        <v>2020</v>
      </c>
      <c r="O95" s="2" t="str">
        <f>TEXT(Sheet1[[#This Row],[date_joined]],"mmm")</f>
        <v>Sep</v>
      </c>
      <c r="P95" s="2" t="str">
        <f>"Q"&amp;ROUNDUP(MONTH(Sheet1[[#This Row],[date_joined]])/3,0)</f>
        <v>Q3</v>
      </c>
      <c r="Q95" s="2" t="str">
        <f>IF(Sheet1[[#This Row],[age]]&lt;30,"Young",IF(Sheet1[[#This Row],[age]]&lt;=50,"Adult","Senior"))</f>
        <v>Adult</v>
      </c>
      <c r="R95" s="2" t="str">
        <f t="shared" si="2"/>
        <v>Low</v>
      </c>
      <c r="S95" s="2" t="str">
        <f t="shared" si="3"/>
        <v>North-East - Student</v>
      </c>
    </row>
    <row r="96" spans="1:19" x14ac:dyDescent="0.3">
      <c r="A96" t="s">
        <v>216</v>
      </c>
      <c r="B96" t="s">
        <v>217</v>
      </c>
      <c r="C96">
        <v>66</v>
      </c>
      <c r="D96" s="2" t="s">
        <v>21</v>
      </c>
      <c r="E96" s="2" t="s">
        <v>14</v>
      </c>
      <c r="F96" s="2" t="s">
        <v>23</v>
      </c>
      <c r="G96" s="2" t="s">
        <v>27</v>
      </c>
      <c r="H96" s="2" t="s">
        <v>17</v>
      </c>
      <c r="I96" s="2" t="s">
        <v>18</v>
      </c>
      <c r="J96">
        <v>0.99</v>
      </c>
      <c r="K96" s="1">
        <v>44078</v>
      </c>
      <c r="L96" s="2" t="str">
        <f>IF(Sheet1[[#This Row],[age]]&lt;18, "Under 18",IF(Sheet1[[#This Row],[age]]&lt;=30,"18-30",IF(Sheet1[[#This Row],[age]]&lt;=45,"31-45",IF(Sheet1[[#This Row],[age]]&lt;=60,"46-60","60+"))))</f>
        <v>60+</v>
      </c>
      <c r="M96" s="2" t="str">
        <f>IF(Sheet1[[#This Row],[risk_score]]&lt;0.3,"Low",IF(Sheet1[[#This Row],[risk_score]]&lt;0.7,"Medium","High"))</f>
        <v>High</v>
      </c>
      <c r="N96">
        <f>YEAR(Sheet1[[#This Row],[date_joined]])</f>
        <v>2020</v>
      </c>
      <c r="O96" s="2" t="str">
        <f>TEXT(Sheet1[[#This Row],[date_joined]],"mmm")</f>
        <v>Sep</v>
      </c>
      <c r="P96" s="2" t="str">
        <f>"Q"&amp;ROUNDUP(MONTH(Sheet1[[#This Row],[date_joined]])/3,0)</f>
        <v>Q3</v>
      </c>
      <c r="Q96" s="2" t="str">
        <f>IF(Sheet1[[#This Row],[age]]&lt;30,"Young",IF(Sheet1[[#This Row],[age]]&lt;=50,"Adult","Senior"))</f>
        <v>Senior</v>
      </c>
      <c r="R96" s="2" t="str">
        <f t="shared" si="2"/>
        <v>High</v>
      </c>
      <c r="S96" s="2" t="str">
        <f t="shared" si="3"/>
        <v>North - Salaried</v>
      </c>
    </row>
    <row r="97" spans="1:19" x14ac:dyDescent="0.3">
      <c r="A97" t="s">
        <v>218</v>
      </c>
      <c r="B97" t="s">
        <v>219</v>
      </c>
      <c r="C97">
        <v>48</v>
      </c>
      <c r="D97" s="2" t="s">
        <v>13</v>
      </c>
      <c r="E97" s="2" t="s">
        <v>14</v>
      </c>
      <c r="F97" s="2" t="s">
        <v>15</v>
      </c>
      <c r="G97" s="2" t="s">
        <v>32</v>
      </c>
      <c r="H97" s="2" t="s">
        <v>18</v>
      </c>
      <c r="I97" s="2" t="s">
        <v>18</v>
      </c>
      <c r="J97">
        <v>0.44</v>
      </c>
      <c r="K97" s="1">
        <v>44870</v>
      </c>
      <c r="L97" s="2" t="str">
        <f>IF(Sheet1[[#This Row],[age]]&lt;18, "Under 18",IF(Sheet1[[#This Row],[age]]&lt;=30,"18-30",IF(Sheet1[[#This Row],[age]]&lt;=45,"31-45",IF(Sheet1[[#This Row],[age]]&lt;=60,"46-60","60+"))))</f>
        <v>46-60</v>
      </c>
      <c r="M97" s="2" t="str">
        <f>IF(Sheet1[[#This Row],[risk_score]]&lt;0.3,"Low",IF(Sheet1[[#This Row],[risk_score]]&lt;0.7,"Medium","High"))</f>
        <v>Medium</v>
      </c>
      <c r="N97">
        <f>YEAR(Sheet1[[#This Row],[date_joined]])</f>
        <v>2022</v>
      </c>
      <c r="O97" s="2" t="str">
        <f>TEXT(Sheet1[[#This Row],[date_joined]],"mmm")</f>
        <v>Nov</v>
      </c>
      <c r="P97" s="2" t="str">
        <f>"Q"&amp;ROUNDUP(MONTH(Sheet1[[#This Row],[date_joined]])/3,0)</f>
        <v>Q4</v>
      </c>
      <c r="Q97" s="2" t="str">
        <f>IF(Sheet1[[#This Row],[age]]&lt;30,"Young",IF(Sheet1[[#This Row],[age]]&lt;=50,"Adult","Senior"))</f>
        <v>Adult</v>
      </c>
      <c r="R97" s="2" t="str">
        <f t="shared" si="2"/>
        <v>Very High</v>
      </c>
      <c r="S97" s="2" t="str">
        <f t="shared" si="3"/>
        <v>South - Student</v>
      </c>
    </row>
    <row r="98" spans="1:19" x14ac:dyDescent="0.3">
      <c r="A98" t="s">
        <v>220</v>
      </c>
      <c r="B98" t="s">
        <v>221</v>
      </c>
      <c r="C98">
        <v>36</v>
      </c>
      <c r="D98" s="2" t="s">
        <v>13</v>
      </c>
      <c r="E98" s="2" t="s">
        <v>22</v>
      </c>
      <c r="F98" s="2" t="s">
        <v>23</v>
      </c>
      <c r="G98" s="2" t="s">
        <v>32</v>
      </c>
      <c r="H98" s="2" t="s">
        <v>17</v>
      </c>
      <c r="I98" s="2" t="s">
        <v>17</v>
      </c>
      <c r="J98">
        <v>0.33</v>
      </c>
      <c r="K98" s="1">
        <v>44625</v>
      </c>
      <c r="L98" s="2" t="str">
        <f>IF(Sheet1[[#This Row],[age]]&lt;18, "Under 18",IF(Sheet1[[#This Row],[age]]&lt;=30,"18-30",IF(Sheet1[[#This Row],[age]]&lt;=45,"31-45",IF(Sheet1[[#This Row],[age]]&lt;=60,"46-60","60+"))))</f>
        <v>31-45</v>
      </c>
      <c r="M98" s="2" t="str">
        <f>IF(Sheet1[[#This Row],[risk_score]]&lt;0.3,"Low",IF(Sheet1[[#This Row],[risk_score]]&lt;0.7,"Medium","High"))</f>
        <v>Medium</v>
      </c>
      <c r="N98">
        <f>YEAR(Sheet1[[#This Row],[date_joined]])</f>
        <v>2022</v>
      </c>
      <c r="O98" s="2" t="str">
        <f>TEXT(Sheet1[[#This Row],[date_joined]],"mmm")</f>
        <v>Mar</v>
      </c>
      <c r="P98" s="2" t="str">
        <f>"Q"&amp;ROUNDUP(MONTH(Sheet1[[#This Row],[date_joined]])/3,0)</f>
        <v>Q1</v>
      </c>
      <c r="Q98" s="2" t="str">
        <f>IF(Sheet1[[#This Row],[age]]&lt;30,"Young",IF(Sheet1[[#This Row],[age]]&lt;=50,"Adult","Senior"))</f>
        <v>Adult</v>
      </c>
      <c r="R98" s="2" t="str">
        <f t="shared" si="2"/>
        <v>Low</v>
      </c>
      <c r="S98" s="2" t="str">
        <f t="shared" si="3"/>
        <v>South - Salaried</v>
      </c>
    </row>
    <row r="99" spans="1:19" x14ac:dyDescent="0.3">
      <c r="A99" t="s">
        <v>222</v>
      </c>
      <c r="B99" t="s">
        <v>223</v>
      </c>
      <c r="C99">
        <v>56</v>
      </c>
      <c r="D99" s="2" t="s">
        <v>13</v>
      </c>
      <c r="E99" s="2" t="s">
        <v>30</v>
      </c>
      <c r="F99" s="2" t="s">
        <v>23</v>
      </c>
      <c r="G99" s="2" t="s">
        <v>66</v>
      </c>
      <c r="H99" s="2" t="s">
        <v>17</v>
      </c>
      <c r="I99" s="2" t="s">
        <v>18</v>
      </c>
      <c r="J99">
        <v>0.47</v>
      </c>
      <c r="K99" s="1">
        <v>43458</v>
      </c>
      <c r="L99" s="2" t="str">
        <f>IF(Sheet1[[#This Row],[age]]&lt;18, "Under 18",IF(Sheet1[[#This Row],[age]]&lt;=30,"18-30",IF(Sheet1[[#This Row],[age]]&lt;=45,"31-45",IF(Sheet1[[#This Row],[age]]&lt;=60,"46-60","60+"))))</f>
        <v>46-60</v>
      </c>
      <c r="M99" s="2" t="str">
        <f>IF(Sheet1[[#This Row],[risk_score]]&lt;0.3,"Low",IF(Sheet1[[#This Row],[risk_score]]&lt;0.7,"Medium","High"))</f>
        <v>Medium</v>
      </c>
      <c r="N99">
        <f>YEAR(Sheet1[[#This Row],[date_joined]])</f>
        <v>2018</v>
      </c>
      <c r="O99" s="2" t="str">
        <f>TEXT(Sheet1[[#This Row],[date_joined]],"mmm")</f>
        <v>Dec</v>
      </c>
      <c r="P99" s="2" t="str">
        <f>"Q"&amp;ROUNDUP(MONTH(Sheet1[[#This Row],[date_joined]])/3,0)</f>
        <v>Q4</v>
      </c>
      <c r="Q99" s="2" t="str">
        <f>IF(Sheet1[[#This Row],[age]]&lt;30,"Young",IF(Sheet1[[#This Row],[age]]&lt;=50,"Adult","Senior"))</f>
        <v>Senior</v>
      </c>
      <c r="R99" s="2" t="str">
        <f t="shared" si="2"/>
        <v>High</v>
      </c>
      <c r="S99" s="2" t="str">
        <f t="shared" si="3"/>
        <v>North-East - Salaried</v>
      </c>
    </row>
    <row r="100" spans="1:19" x14ac:dyDescent="0.3">
      <c r="A100" t="s">
        <v>224</v>
      </c>
      <c r="B100" t="s">
        <v>225</v>
      </c>
      <c r="C100">
        <v>61</v>
      </c>
      <c r="D100" s="2" t="s">
        <v>21</v>
      </c>
      <c r="E100" s="2" t="s">
        <v>14</v>
      </c>
      <c r="F100" s="2" t="s">
        <v>31</v>
      </c>
      <c r="G100" s="2" t="s">
        <v>81</v>
      </c>
      <c r="H100" s="2" t="s">
        <v>17</v>
      </c>
      <c r="I100" s="2" t="s">
        <v>17</v>
      </c>
      <c r="J100">
        <v>0.45</v>
      </c>
      <c r="K100" s="1">
        <v>43357</v>
      </c>
      <c r="L100" s="2" t="str">
        <f>IF(Sheet1[[#This Row],[age]]&lt;18, "Under 18",IF(Sheet1[[#This Row],[age]]&lt;=30,"18-30",IF(Sheet1[[#This Row],[age]]&lt;=45,"31-45",IF(Sheet1[[#This Row],[age]]&lt;=60,"46-60","60+"))))</f>
        <v>60+</v>
      </c>
      <c r="M100" s="2" t="str">
        <f>IF(Sheet1[[#This Row],[risk_score]]&lt;0.3,"Low",IF(Sheet1[[#This Row],[risk_score]]&lt;0.7,"Medium","High"))</f>
        <v>Medium</v>
      </c>
      <c r="N100">
        <f>YEAR(Sheet1[[#This Row],[date_joined]])</f>
        <v>2018</v>
      </c>
      <c r="O100" s="2" t="str">
        <f>TEXT(Sheet1[[#This Row],[date_joined]],"mmm")</f>
        <v>Sep</v>
      </c>
      <c r="P100" s="2" t="str">
        <f>"Q"&amp;ROUNDUP(MONTH(Sheet1[[#This Row],[date_joined]])/3,0)</f>
        <v>Q3</v>
      </c>
      <c r="Q100" s="2" t="str">
        <f>IF(Sheet1[[#This Row],[age]]&lt;30,"Young",IF(Sheet1[[#This Row],[age]]&lt;=50,"Adult","Senior"))</f>
        <v>Senior</v>
      </c>
      <c r="R100" s="2" t="str">
        <f t="shared" si="2"/>
        <v>Low</v>
      </c>
      <c r="S100" s="2" t="str">
        <f t="shared" si="3"/>
        <v>Central - Self-employed</v>
      </c>
    </row>
    <row r="101" spans="1:19" x14ac:dyDescent="0.3">
      <c r="A101" t="s">
        <v>226</v>
      </c>
      <c r="B101" t="s">
        <v>227</v>
      </c>
      <c r="C101">
        <v>37</v>
      </c>
      <c r="D101" s="2" t="s">
        <v>21</v>
      </c>
      <c r="E101" s="2" t="s">
        <v>22</v>
      </c>
      <c r="F101" s="2" t="s">
        <v>15</v>
      </c>
      <c r="G101" s="2" t="s">
        <v>81</v>
      </c>
      <c r="H101" s="2" t="s">
        <v>17</v>
      </c>
      <c r="I101" s="2" t="s">
        <v>18</v>
      </c>
      <c r="J101">
        <v>0.35</v>
      </c>
      <c r="K101" s="1">
        <v>43853</v>
      </c>
      <c r="L101" s="2" t="str">
        <f>IF(Sheet1[[#This Row],[age]]&lt;18, "Under 18",IF(Sheet1[[#This Row],[age]]&lt;=30,"18-30",IF(Sheet1[[#This Row],[age]]&lt;=45,"31-45",IF(Sheet1[[#This Row],[age]]&lt;=60,"46-60","60+"))))</f>
        <v>31-45</v>
      </c>
      <c r="M101" s="2" t="str">
        <f>IF(Sheet1[[#This Row],[risk_score]]&lt;0.3,"Low",IF(Sheet1[[#This Row],[risk_score]]&lt;0.7,"Medium","High"))</f>
        <v>Medium</v>
      </c>
      <c r="N101">
        <f>YEAR(Sheet1[[#This Row],[date_joined]])</f>
        <v>2020</v>
      </c>
      <c r="O101" s="2" t="str">
        <f>TEXT(Sheet1[[#This Row],[date_joined]],"mmm")</f>
        <v>Jan</v>
      </c>
      <c r="P101" s="2" t="str">
        <f>"Q"&amp;ROUNDUP(MONTH(Sheet1[[#This Row],[date_joined]])/3,0)</f>
        <v>Q1</v>
      </c>
      <c r="Q101" s="2" t="str">
        <f>IF(Sheet1[[#This Row],[age]]&lt;30,"Young",IF(Sheet1[[#This Row],[age]]&lt;=50,"Adult","Senior"))</f>
        <v>Adult</v>
      </c>
      <c r="R101" s="2" t="str">
        <f t="shared" si="2"/>
        <v>High</v>
      </c>
      <c r="S101" s="2" t="str">
        <f t="shared" si="3"/>
        <v>Central - Student</v>
      </c>
    </row>
    <row r="102" spans="1:19" x14ac:dyDescent="0.3">
      <c r="A102" t="s">
        <v>228</v>
      </c>
      <c r="B102" t="s">
        <v>229</v>
      </c>
      <c r="C102">
        <v>20</v>
      </c>
      <c r="D102" s="2" t="s">
        <v>13</v>
      </c>
      <c r="E102" s="2" t="s">
        <v>30</v>
      </c>
      <c r="F102" s="2" t="s">
        <v>15</v>
      </c>
      <c r="G102" s="2" t="s">
        <v>27</v>
      </c>
      <c r="H102" s="2" t="s">
        <v>18</v>
      </c>
      <c r="I102" s="2" t="s">
        <v>18</v>
      </c>
      <c r="J102">
        <v>0.47</v>
      </c>
      <c r="K102" s="1">
        <v>43185</v>
      </c>
      <c r="L102" s="2" t="str">
        <f>IF(Sheet1[[#This Row],[age]]&lt;18, "Under 18",IF(Sheet1[[#This Row],[age]]&lt;=30,"18-30",IF(Sheet1[[#This Row],[age]]&lt;=45,"31-45",IF(Sheet1[[#This Row],[age]]&lt;=60,"46-60","60+"))))</f>
        <v>18-30</v>
      </c>
      <c r="M102" s="2" t="str">
        <f>IF(Sheet1[[#This Row],[risk_score]]&lt;0.3,"Low",IF(Sheet1[[#This Row],[risk_score]]&lt;0.7,"Medium","High"))</f>
        <v>Medium</v>
      </c>
      <c r="N102">
        <f>YEAR(Sheet1[[#This Row],[date_joined]])</f>
        <v>2018</v>
      </c>
      <c r="O102" s="2" t="str">
        <f>TEXT(Sheet1[[#This Row],[date_joined]],"mmm")</f>
        <v>Mar</v>
      </c>
      <c r="P102" s="2" t="str">
        <f>"Q"&amp;ROUNDUP(MONTH(Sheet1[[#This Row],[date_joined]])/3,0)</f>
        <v>Q1</v>
      </c>
      <c r="Q102" s="2" t="str">
        <f>IF(Sheet1[[#This Row],[age]]&lt;30,"Young",IF(Sheet1[[#This Row],[age]]&lt;=50,"Adult","Senior"))</f>
        <v>Young</v>
      </c>
      <c r="R102" s="2" t="str">
        <f t="shared" si="2"/>
        <v>Very High</v>
      </c>
      <c r="S102" s="2" t="str">
        <f t="shared" si="3"/>
        <v>North - Student</v>
      </c>
    </row>
    <row r="103" spans="1:19" x14ac:dyDescent="0.3">
      <c r="A103" t="s">
        <v>230</v>
      </c>
      <c r="B103" t="s">
        <v>231</v>
      </c>
      <c r="C103">
        <v>68</v>
      </c>
      <c r="D103" s="2" t="s">
        <v>21</v>
      </c>
      <c r="E103" s="2" t="s">
        <v>14</v>
      </c>
      <c r="F103" s="2" t="s">
        <v>37</v>
      </c>
      <c r="G103" s="2" t="s">
        <v>66</v>
      </c>
      <c r="H103" s="2" t="s">
        <v>17</v>
      </c>
      <c r="I103" s="2" t="s">
        <v>17</v>
      </c>
      <c r="J103">
        <v>0.54</v>
      </c>
      <c r="K103" s="1">
        <v>43973</v>
      </c>
      <c r="L103" s="2" t="str">
        <f>IF(Sheet1[[#This Row],[age]]&lt;18, "Under 18",IF(Sheet1[[#This Row],[age]]&lt;=30,"18-30",IF(Sheet1[[#This Row],[age]]&lt;=45,"31-45",IF(Sheet1[[#This Row],[age]]&lt;=60,"46-60","60+"))))</f>
        <v>60+</v>
      </c>
      <c r="M103" s="2" t="str">
        <f>IF(Sheet1[[#This Row],[risk_score]]&lt;0.3,"Low",IF(Sheet1[[#This Row],[risk_score]]&lt;0.7,"Medium","High"))</f>
        <v>Medium</v>
      </c>
      <c r="N103">
        <f>YEAR(Sheet1[[#This Row],[date_joined]])</f>
        <v>2020</v>
      </c>
      <c r="O103" s="2" t="str">
        <f>TEXT(Sheet1[[#This Row],[date_joined]],"mmm")</f>
        <v>May</v>
      </c>
      <c r="P103" s="2" t="str">
        <f>"Q"&amp;ROUNDUP(MONTH(Sheet1[[#This Row],[date_joined]])/3,0)</f>
        <v>Q2</v>
      </c>
      <c r="Q103" s="2" t="str">
        <f>IF(Sheet1[[#This Row],[age]]&lt;30,"Young",IF(Sheet1[[#This Row],[age]]&lt;=50,"Adult","Senior"))</f>
        <v>Senior</v>
      </c>
      <c r="R103" s="2" t="str">
        <f t="shared" si="2"/>
        <v>Low</v>
      </c>
      <c r="S103" s="2" t="str">
        <f t="shared" si="3"/>
        <v>North-East - Retired</v>
      </c>
    </row>
    <row r="104" spans="1:19" x14ac:dyDescent="0.3">
      <c r="A104" t="s">
        <v>232</v>
      </c>
      <c r="B104" t="s">
        <v>233</v>
      </c>
      <c r="C104">
        <v>38</v>
      </c>
      <c r="D104" s="2" t="s">
        <v>13</v>
      </c>
      <c r="E104" s="2" t="s">
        <v>30</v>
      </c>
      <c r="F104" s="2" t="s">
        <v>37</v>
      </c>
      <c r="G104" s="2" t="s">
        <v>32</v>
      </c>
      <c r="H104" s="2" t="s">
        <v>18</v>
      </c>
      <c r="I104" s="2" t="s">
        <v>18</v>
      </c>
      <c r="J104">
        <v>0.43</v>
      </c>
      <c r="K104" s="1">
        <v>44785</v>
      </c>
      <c r="L104" s="2" t="str">
        <f>IF(Sheet1[[#This Row],[age]]&lt;18, "Under 18",IF(Sheet1[[#This Row],[age]]&lt;=30,"18-30",IF(Sheet1[[#This Row],[age]]&lt;=45,"31-45",IF(Sheet1[[#This Row],[age]]&lt;=60,"46-60","60+"))))</f>
        <v>31-45</v>
      </c>
      <c r="M104" s="2" t="str">
        <f>IF(Sheet1[[#This Row],[risk_score]]&lt;0.3,"Low",IF(Sheet1[[#This Row],[risk_score]]&lt;0.7,"Medium","High"))</f>
        <v>Medium</v>
      </c>
      <c r="N104">
        <f>YEAR(Sheet1[[#This Row],[date_joined]])</f>
        <v>2022</v>
      </c>
      <c r="O104" s="2" t="str">
        <f>TEXT(Sheet1[[#This Row],[date_joined]],"mmm")</f>
        <v>Aug</v>
      </c>
      <c r="P104" s="2" t="str">
        <f>"Q"&amp;ROUNDUP(MONTH(Sheet1[[#This Row],[date_joined]])/3,0)</f>
        <v>Q3</v>
      </c>
      <c r="Q104" s="2" t="str">
        <f>IF(Sheet1[[#This Row],[age]]&lt;30,"Young",IF(Sheet1[[#This Row],[age]]&lt;=50,"Adult","Senior"))</f>
        <v>Adult</v>
      </c>
      <c r="R104" s="2" t="str">
        <f t="shared" si="2"/>
        <v>Very High</v>
      </c>
      <c r="S104" s="2" t="str">
        <f t="shared" si="3"/>
        <v>South - Retired</v>
      </c>
    </row>
    <row r="105" spans="1:19" x14ac:dyDescent="0.3">
      <c r="A105" t="s">
        <v>234</v>
      </c>
      <c r="B105" t="s">
        <v>235</v>
      </c>
      <c r="C105">
        <v>60</v>
      </c>
      <c r="D105" s="2" t="s">
        <v>21</v>
      </c>
      <c r="E105" s="2" t="s">
        <v>14</v>
      </c>
      <c r="F105" s="2" t="s">
        <v>23</v>
      </c>
      <c r="G105" s="2" t="s">
        <v>27</v>
      </c>
      <c r="H105" s="2" t="s">
        <v>17</v>
      </c>
      <c r="I105" s="2" t="s">
        <v>17</v>
      </c>
      <c r="J105">
        <v>0.6</v>
      </c>
      <c r="K105" s="1">
        <v>43108</v>
      </c>
      <c r="L105" s="2" t="str">
        <f>IF(Sheet1[[#This Row],[age]]&lt;18, "Under 18",IF(Sheet1[[#This Row],[age]]&lt;=30,"18-30",IF(Sheet1[[#This Row],[age]]&lt;=45,"31-45",IF(Sheet1[[#This Row],[age]]&lt;=60,"46-60","60+"))))</f>
        <v>46-60</v>
      </c>
      <c r="M105" s="2" t="str">
        <f>IF(Sheet1[[#This Row],[risk_score]]&lt;0.3,"Low",IF(Sheet1[[#This Row],[risk_score]]&lt;0.7,"Medium","High"))</f>
        <v>Medium</v>
      </c>
      <c r="N105">
        <f>YEAR(Sheet1[[#This Row],[date_joined]])</f>
        <v>2018</v>
      </c>
      <c r="O105" s="2" t="str">
        <f>TEXT(Sheet1[[#This Row],[date_joined]],"mmm")</f>
        <v>Jan</v>
      </c>
      <c r="P105" s="2" t="str">
        <f>"Q"&amp;ROUNDUP(MONTH(Sheet1[[#This Row],[date_joined]])/3,0)</f>
        <v>Q1</v>
      </c>
      <c r="Q105" s="2" t="str">
        <f>IF(Sheet1[[#This Row],[age]]&lt;30,"Young",IF(Sheet1[[#This Row],[age]]&lt;=50,"Adult","Senior"))</f>
        <v>Senior</v>
      </c>
      <c r="R105" s="2" t="str">
        <f t="shared" si="2"/>
        <v>Low</v>
      </c>
      <c r="S105" s="2" t="str">
        <f t="shared" si="3"/>
        <v>North - Salaried</v>
      </c>
    </row>
    <row r="106" spans="1:19" x14ac:dyDescent="0.3">
      <c r="A106" t="s">
        <v>236</v>
      </c>
      <c r="B106" t="s">
        <v>237</v>
      </c>
      <c r="C106">
        <v>44</v>
      </c>
      <c r="D106" s="2" t="s">
        <v>13</v>
      </c>
      <c r="E106" s="2" t="s">
        <v>14</v>
      </c>
      <c r="F106" s="2" t="s">
        <v>37</v>
      </c>
      <c r="G106" s="2" t="s">
        <v>27</v>
      </c>
      <c r="H106" s="2" t="s">
        <v>18</v>
      </c>
      <c r="I106" s="2" t="s">
        <v>18</v>
      </c>
      <c r="J106">
        <v>0.5</v>
      </c>
      <c r="K106" s="1">
        <v>44061</v>
      </c>
      <c r="L106" s="2" t="str">
        <f>IF(Sheet1[[#This Row],[age]]&lt;18, "Under 18",IF(Sheet1[[#This Row],[age]]&lt;=30,"18-30",IF(Sheet1[[#This Row],[age]]&lt;=45,"31-45",IF(Sheet1[[#This Row],[age]]&lt;=60,"46-60","60+"))))</f>
        <v>31-45</v>
      </c>
      <c r="M106" s="2" t="str">
        <f>IF(Sheet1[[#This Row],[risk_score]]&lt;0.3,"Low",IF(Sheet1[[#This Row],[risk_score]]&lt;0.7,"Medium","High"))</f>
        <v>Medium</v>
      </c>
      <c r="N106">
        <f>YEAR(Sheet1[[#This Row],[date_joined]])</f>
        <v>2020</v>
      </c>
      <c r="O106" s="2" t="str">
        <f>TEXT(Sheet1[[#This Row],[date_joined]],"mmm")</f>
        <v>Aug</v>
      </c>
      <c r="P106" s="2" t="str">
        <f>"Q"&amp;ROUNDUP(MONTH(Sheet1[[#This Row],[date_joined]])/3,0)</f>
        <v>Q3</v>
      </c>
      <c r="Q106" s="2" t="str">
        <f>IF(Sheet1[[#This Row],[age]]&lt;30,"Young",IF(Sheet1[[#This Row],[age]]&lt;=50,"Adult","Senior"))</f>
        <v>Adult</v>
      </c>
      <c r="R106" s="2" t="str">
        <f t="shared" si="2"/>
        <v>Very High</v>
      </c>
      <c r="S106" s="2" t="str">
        <f t="shared" si="3"/>
        <v>North - Retired</v>
      </c>
    </row>
    <row r="107" spans="1:19" x14ac:dyDescent="0.3">
      <c r="A107" t="s">
        <v>238</v>
      </c>
      <c r="B107" t="s">
        <v>239</v>
      </c>
      <c r="C107">
        <v>23</v>
      </c>
      <c r="D107" s="2" t="s">
        <v>13</v>
      </c>
      <c r="E107" s="2" t="s">
        <v>22</v>
      </c>
      <c r="F107" s="2" t="s">
        <v>15</v>
      </c>
      <c r="G107" s="2" t="s">
        <v>66</v>
      </c>
      <c r="H107" s="2" t="s">
        <v>17</v>
      </c>
      <c r="I107" s="2" t="s">
        <v>17</v>
      </c>
      <c r="J107">
        <v>0.68</v>
      </c>
      <c r="K107" s="1">
        <v>44835</v>
      </c>
      <c r="L107" s="2" t="str">
        <f>IF(Sheet1[[#This Row],[age]]&lt;18, "Under 18",IF(Sheet1[[#This Row],[age]]&lt;=30,"18-30",IF(Sheet1[[#This Row],[age]]&lt;=45,"31-45",IF(Sheet1[[#This Row],[age]]&lt;=60,"46-60","60+"))))</f>
        <v>18-30</v>
      </c>
      <c r="M107" s="2" t="str">
        <f>IF(Sheet1[[#This Row],[risk_score]]&lt;0.3,"Low",IF(Sheet1[[#This Row],[risk_score]]&lt;0.7,"Medium","High"))</f>
        <v>Medium</v>
      </c>
      <c r="N107">
        <f>YEAR(Sheet1[[#This Row],[date_joined]])</f>
        <v>2022</v>
      </c>
      <c r="O107" s="2" t="str">
        <f>TEXT(Sheet1[[#This Row],[date_joined]],"mmm")</f>
        <v>Oct</v>
      </c>
      <c r="P107" s="2" t="str">
        <f>"Q"&amp;ROUNDUP(MONTH(Sheet1[[#This Row],[date_joined]])/3,0)</f>
        <v>Q4</v>
      </c>
      <c r="Q107" s="2" t="str">
        <f>IF(Sheet1[[#This Row],[age]]&lt;30,"Young",IF(Sheet1[[#This Row],[age]]&lt;=50,"Adult","Senior"))</f>
        <v>Young</v>
      </c>
      <c r="R107" s="2" t="str">
        <f t="shared" si="2"/>
        <v>Low</v>
      </c>
      <c r="S107" s="2" t="str">
        <f t="shared" si="3"/>
        <v>North-East - Student</v>
      </c>
    </row>
    <row r="108" spans="1:19" x14ac:dyDescent="0.3">
      <c r="A108" t="s">
        <v>240</v>
      </c>
      <c r="B108" t="s">
        <v>241</v>
      </c>
      <c r="C108">
        <v>26</v>
      </c>
      <c r="D108" s="2" t="s">
        <v>21</v>
      </c>
      <c r="E108" s="2" t="s">
        <v>22</v>
      </c>
      <c r="F108" s="2" t="s">
        <v>15</v>
      </c>
      <c r="G108" s="2" t="s">
        <v>24</v>
      </c>
      <c r="H108" s="2" t="s">
        <v>18</v>
      </c>
      <c r="I108" s="2" t="s">
        <v>18</v>
      </c>
      <c r="J108">
        <v>0.17</v>
      </c>
      <c r="K108" s="1">
        <v>45149</v>
      </c>
      <c r="L108" s="2" t="str">
        <f>IF(Sheet1[[#This Row],[age]]&lt;18, "Under 18",IF(Sheet1[[#This Row],[age]]&lt;=30,"18-30",IF(Sheet1[[#This Row],[age]]&lt;=45,"31-45",IF(Sheet1[[#This Row],[age]]&lt;=60,"46-60","60+"))))</f>
        <v>18-30</v>
      </c>
      <c r="M108" s="2" t="str">
        <f>IF(Sheet1[[#This Row],[risk_score]]&lt;0.3,"Low",IF(Sheet1[[#This Row],[risk_score]]&lt;0.7,"Medium","High"))</f>
        <v>Low</v>
      </c>
      <c r="N108">
        <f>YEAR(Sheet1[[#This Row],[date_joined]])</f>
        <v>2023</v>
      </c>
      <c r="O108" s="2" t="str">
        <f>TEXT(Sheet1[[#This Row],[date_joined]],"mmm")</f>
        <v>Aug</v>
      </c>
      <c r="P108" s="2" t="str">
        <f>"Q"&amp;ROUNDUP(MONTH(Sheet1[[#This Row],[date_joined]])/3,0)</f>
        <v>Q3</v>
      </c>
      <c r="Q108" s="2" t="str">
        <f>IF(Sheet1[[#This Row],[age]]&lt;30,"Young",IF(Sheet1[[#This Row],[age]]&lt;=50,"Adult","Senior"))</f>
        <v>Young</v>
      </c>
      <c r="R108" s="2" t="str">
        <f t="shared" si="2"/>
        <v>Very High</v>
      </c>
      <c r="S108" s="2" t="str">
        <f t="shared" si="3"/>
        <v>East - Student</v>
      </c>
    </row>
    <row r="109" spans="1:19" x14ac:dyDescent="0.3">
      <c r="A109" t="s">
        <v>242</v>
      </c>
      <c r="B109" t="s">
        <v>243</v>
      </c>
      <c r="C109">
        <v>57</v>
      </c>
      <c r="D109" s="2" t="s">
        <v>21</v>
      </c>
      <c r="E109" s="2" t="s">
        <v>30</v>
      </c>
      <c r="F109" s="2" t="s">
        <v>15</v>
      </c>
      <c r="G109" s="2" t="s">
        <v>81</v>
      </c>
      <c r="H109" s="2" t="s">
        <v>18</v>
      </c>
      <c r="I109" s="2" t="s">
        <v>17</v>
      </c>
      <c r="J109">
        <v>0.47</v>
      </c>
      <c r="K109" s="1">
        <v>44015</v>
      </c>
      <c r="L109" s="2" t="str">
        <f>IF(Sheet1[[#This Row],[age]]&lt;18, "Under 18",IF(Sheet1[[#This Row],[age]]&lt;=30,"18-30",IF(Sheet1[[#This Row],[age]]&lt;=45,"31-45",IF(Sheet1[[#This Row],[age]]&lt;=60,"46-60","60+"))))</f>
        <v>46-60</v>
      </c>
      <c r="M109" s="2" t="str">
        <f>IF(Sheet1[[#This Row],[risk_score]]&lt;0.3,"Low",IF(Sheet1[[#This Row],[risk_score]]&lt;0.7,"Medium","High"))</f>
        <v>Medium</v>
      </c>
      <c r="N109">
        <f>YEAR(Sheet1[[#This Row],[date_joined]])</f>
        <v>2020</v>
      </c>
      <c r="O109" s="2" t="str">
        <f>TEXT(Sheet1[[#This Row],[date_joined]],"mmm")</f>
        <v>Jul</v>
      </c>
      <c r="P109" s="2" t="str">
        <f>"Q"&amp;ROUNDUP(MONTH(Sheet1[[#This Row],[date_joined]])/3,0)</f>
        <v>Q3</v>
      </c>
      <c r="Q109" s="2" t="str">
        <f>IF(Sheet1[[#This Row],[age]]&lt;30,"Young",IF(Sheet1[[#This Row],[age]]&lt;=50,"Adult","Senior"))</f>
        <v>Senior</v>
      </c>
      <c r="R109" s="2" t="str">
        <f t="shared" si="2"/>
        <v>High</v>
      </c>
      <c r="S109" s="2" t="str">
        <f t="shared" si="3"/>
        <v>Central - Student</v>
      </c>
    </row>
    <row r="110" spans="1:19" x14ac:dyDescent="0.3">
      <c r="A110" t="s">
        <v>244</v>
      </c>
      <c r="B110" t="s">
        <v>245</v>
      </c>
      <c r="C110">
        <v>50</v>
      </c>
      <c r="D110" s="2" t="s">
        <v>21</v>
      </c>
      <c r="E110" s="2" t="s">
        <v>22</v>
      </c>
      <c r="F110" s="2" t="s">
        <v>31</v>
      </c>
      <c r="G110" s="2" t="s">
        <v>27</v>
      </c>
      <c r="H110" s="2" t="s">
        <v>17</v>
      </c>
      <c r="I110" s="2" t="s">
        <v>17</v>
      </c>
      <c r="J110">
        <v>0.51</v>
      </c>
      <c r="K110" s="1">
        <v>44353</v>
      </c>
      <c r="L110" s="2" t="str">
        <f>IF(Sheet1[[#This Row],[age]]&lt;18, "Under 18",IF(Sheet1[[#This Row],[age]]&lt;=30,"18-30",IF(Sheet1[[#This Row],[age]]&lt;=45,"31-45",IF(Sheet1[[#This Row],[age]]&lt;=60,"46-60","60+"))))</f>
        <v>46-60</v>
      </c>
      <c r="M110" s="2" t="str">
        <f>IF(Sheet1[[#This Row],[risk_score]]&lt;0.3,"Low",IF(Sheet1[[#This Row],[risk_score]]&lt;0.7,"Medium","High"))</f>
        <v>Medium</v>
      </c>
      <c r="N110">
        <f>YEAR(Sheet1[[#This Row],[date_joined]])</f>
        <v>2021</v>
      </c>
      <c r="O110" s="2" t="str">
        <f>TEXT(Sheet1[[#This Row],[date_joined]],"mmm")</f>
        <v>Jun</v>
      </c>
      <c r="P110" s="2" t="str">
        <f>"Q"&amp;ROUNDUP(MONTH(Sheet1[[#This Row],[date_joined]])/3,0)</f>
        <v>Q2</v>
      </c>
      <c r="Q110" s="2" t="str">
        <f>IF(Sheet1[[#This Row],[age]]&lt;30,"Young",IF(Sheet1[[#This Row],[age]]&lt;=50,"Adult","Senior"))</f>
        <v>Adult</v>
      </c>
      <c r="R110" s="2" t="str">
        <f t="shared" si="2"/>
        <v>Low</v>
      </c>
      <c r="S110" s="2" t="str">
        <f t="shared" si="3"/>
        <v>North - Self-employed</v>
      </c>
    </row>
    <row r="111" spans="1:19" x14ac:dyDescent="0.3">
      <c r="A111" t="s">
        <v>246</v>
      </c>
      <c r="B111" t="s">
        <v>247</v>
      </c>
      <c r="C111">
        <v>36</v>
      </c>
      <c r="D111" s="2" t="s">
        <v>13</v>
      </c>
      <c r="E111" s="2" t="s">
        <v>14</v>
      </c>
      <c r="F111" s="2" t="s">
        <v>31</v>
      </c>
      <c r="G111" s="2" t="s">
        <v>16</v>
      </c>
      <c r="H111" s="2" t="s">
        <v>18</v>
      </c>
      <c r="I111" s="2" t="s">
        <v>17</v>
      </c>
      <c r="J111">
        <v>0.22</v>
      </c>
      <c r="K111" s="1">
        <v>44131</v>
      </c>
      <c r="L111" s="2" t="str">
        <f>IF(Sheet1[[#This Row],[age]]&lt;18, "Under 18",IF(Sheet1[[#This Row],[age]]&lt;=30,"18-30",IF(Sheet1[[#This Row],[age]]&lt;=45,"31-45",IF(Sheet1[[#This Row],[age]]&lt;=60,"46-60","60+"))))</f>
        <v>31-45</v>
      </c>
      <c r="M111" s="2" t="str">
        <f>IF(Sheet1[[#This Row],[risk_score]]&lt;0.3,"Low",IF(Sheet1[[#This Row],[risk_score]]&lt;0.7,"Medium","High"))</f>
        <v>Low</v>
      </c>
      <c r="N111">
        <f>YEAR(Sheet1[[#This Row],[date_joined]])</f>
        <v>2020</v>
      </c>
      <c r="O111" s="2" t="str">
        <f>TEXT(Sheet1[[#This Row],[date_joined]],"mmm")</f>
        <v>Oct</v>
      </c>
      <c r="P111" s="2" t="str">
        <f>"Q"&amp;ROUNDUP(MONTH(Sheet1[[#This Row],[date_joined]])/3,0)</f>
        <v>Q4</v>
      </c>
      <c r="Q111" s="2" t="str">
        <f>IF(Sheet1[[#This Row],[age]]&lt;30,"Young",IF(Sheet1[[#This Row],[age]]&lt;=50,"Adult","Senior"))</f>
        <v>Adult</v>
      </c>
      <c r="R111" s="2" t="str">
        <f t="shared" si="2"/>
        <v>High</v>
      </c>
      <c r="S111" s="2" t="str">
        <f t="shared" si="3"/>
        <v>West - Self-employed</v>
      </c>
    </row>
    <row r="112" spans="1:19" x14ac:dyDescent="0.3">
      <c r="A112" t="s">
        <v>248</v>
      </c>
      <c r="B112" t="s">
        <v>249</v>
      </c>
      <c r="C112">
        <v>60</v>
      </c>
      <c r="D112" s="2" t="s">
        <v>13</v>
      </c>
      <c r="E112" s="2" t="s">
        <v>30</v>
      </c>
      <c r="F112" s="2" t="s">
        <v>37</v>
      </c>
      <c r="G112" s="2" t="s">
        <v>32</v>
      </c>
      <c r="H112" s="2" t="s">
        <v>18</v>
      </c>
      <c r="I112" s="2" t="s">
        <v>17</v>
      </c>
      <c r="J112">
        <v>0.38</v>
      </c>
      <c r="K112" s="1">
        <v>44571</v>
      </c>
      <c r="L112" s="2" t="str">
        <f>IF(Sheet1[[#This Row],[age]]&lt;18, "Under 18",IF(Sheet1[[#This Row],[age]]&lt;=30,"18-30",IF(Sheet1[[#This Row],[age]]&lt;=45,"31-45",IF(Sheet1[[#This Row],[age]]&lt;=60,"46-60","60+"))))</f>
        <v>46-60</v>
      </c>
      <c r="M112" s="2" t="str">
        <f>IF(Sheet1[[#This Row],[risk_score]]&lt;0.3,"Low",IF(Sheet1[[#This Row],[risk_score]]&lt;0.7,"Medium","High"))</f>
        <v>Medium</v>
      </c>
      <c r="N112">
        <f>YEAR(Sheet1[[#This Row],[date_joined]])</f>
        <v>2022</v>
      </c>
      <c r="O112" s="2" t="str">
        <f>TEXT(Sheet1[[#This Row],[date_joined]],"mmm")</f>
        <v>Jan</v>
      </c>
      <c r="P112" s="2" t="str">
        <f>"Q"&amp;ROUNDUP(MONTH(Sheet1[[#This Row],[date_joined]])/3,0)</f>
        <v>Q1</v>
      </c>
      <c r="Q112" s="2" t="str">
        <f>IF(Sheet1[[#This Row],[age]]&lt;30,"Young",IF(Sheet1[[#This Row],[age]]&lt;=50,"Adult","Senior"))</f>
        <v>Senior</v>
      </c>
      <c r="R112" s="2" t="str">
        <f t="shared" si="2"/>
        <v>High</v>
      </c>
      <c r="S112" s="2" t="str">
        <f t="shared" si="3"/>
        <v>South - Retired</v>
      </c>
    </row>
    <row r="113" spans="1:19" x14ac:dyDescent="0.3">
      <c r="A113" t="s">
        <v>250</v>
      </c>
      <c r="B113" t="s">
        <v>251</v>
      </c>
      <c r="C113">
        <v>34</v>
      </c>
      <c r="D113" s="2" t="s">
        <v>21</v>
      </c>
      <c r="E113" s="2" t="s">
        <v>22</v>
      </c>
      <c r="F113" s="2" t="s">
        <v>37</v>
      </c>
      <c r="G113" s="2" t="s">
        <v>32</v>
      </c>
      <c r="H113" s="2" t="s">
        <v>17</v>
      </c>
      <c r="I113" s="2" t="s">
        <v>17</v>
      </c>
      <c r="J113">
        <v>0.47</v>
      </c>
      <c r="K113" s="1">
        <v>44257</v>
      </c>
      <c r="L113" s="2" t="str">
        <f>IF(Sheet1[[#This Row],[age]]&lt;18, "Under 18",IF(Sheet1[[#This Row],[age]]&lt;=30,"18-30",IF(Sheet1[[#This Row],[age]]&lt;=45,"31-45",IF(Sheet1[[#This Row],[age]]&lt;=60,"46-60","60+"))))</f>
        <v>31-45</v>
      </c>
      <c r="M113" s="2" t="str">
        <f>IF(Sheet1[[#This Row],[risk_score]]&lt;0.3,"Low",IF(Sheet1[[#This Row],[risk_score]]&lt;0.7,"Medium","High"))</f>
        <v>Medium</v>
      </c>
      <c r="N113">
        <f>YEAR(Sheet1[[#This Row],[date_joined]])</f>
        <v>2021</v>
      </c>
      <c r="O113" s="2" t="str">
        <f>TEXT(Sheet1[[#This Row],[date_joined]],"mmm")</f>
        <v>Mar</v>
      </c>
      <c r="P113" s="2" t="str">
        <f>"Q"&amp;ROUNDUP(MONTH(Sheet1[[#This Row],[date_joined]])/3,0)</f>
        <v>Q1</v>
      </c>
      <c r="Q113" s="2" t="str">
        <f>IF(Sheet1[[#This Row],[age]]&lt;30,"Young",IF(Sheet1[[#This Row],[age]]&lt;=50,"Adult","Senior"))</f>
        <v>Adult</v>
      </c>
      <c r="R113" s="2" t="str">
        <f t="shared" si="2"/>
        <v>Low</v>
      </c>
      <c r="S113" s="2" t="str">
        <f t="shared" si="3"/>
        <v>South - Retired</v>
      </c>
    </row>
    <row r="114" spans="1:19" x14ac:dyDescent="0.3">
      <c r="A114" t="s">
        <v>252</v>
      </c>
      <c r="B114" t="s">
        <v>253</v>
      </c>
      <c r="C114">
        <v>22</v>
      </c>
      <c r="D114" s="2" t="s">
        <v>13</v>
      </c>
      <c r="E114" s="2" t="s">
        <v>22</v>
      </c>
      <c r="F114" s="2" t="s">
        <v>37</v>
      </c>
      <c r="G114" s="2" t="s">
        <v>16</v>
      </c>
      <c r="H114" s="2" t="s">
        <v>18</v>
      </c>
      <c r="I114" s="2" t="s">
        <v>18</v>
      </c>
      <c r="J114">
        <v>0.6</v>
      </c>
      <c r="K114" s="1">
        <v>43812</v>
      </c>
      <c r="L114" s="2" t="str">
        <f>IF(Sheet1[[#This Row],[age]]&lt;18, "Under 18",IF(Sheet1[[#This Row],[age]]&lt;=30,"18-30",IF(Sheet1[[#This Row],[age]]&lt;=45,"31-45",IF(Sheet1[[#This Row],[age]]&lt;=60,"46-60","60+"))))</f>
        <v>18-30</v>
      </c>
      <c r="M114" s="2" t="str">
        <f>IF(Sheet1[[#This Row],[risk_score]]&lt;0.3,"Low",IF(Sheet1[[#This Row],[risk_score]]&lt;0.7,"Medium","High"))</f>
        <v>Medium</v>
      </c>
      <c r="N114">
        <f>YEAR(Sheet1[[#This Row],[date_joined]])</f>
        <v>2019</v>
      </c>
      <c r="O114" s="2" t="str">
        <f>TEXT(Sheet1[[#This Row],[date_joined]],"mmm")</f>
        <v>Dec</v>
      </c>
      <c r="P114" s="2" t="str">
        <f>"Q"&amp;ROUNDUP(MONTH(Sheet1[[#This Row],[date_joined]])/3,0)</f>
        <v>Q4</v>
      </c>
      <c r="Q114" s="2" t="str">
        <f>IF(Sheet1[[#This Row],[age]]&lt;30,"Young",IF(Sheet1[[#This Row],[age]]&lt;=50,"Adult","Senior"))</f>
        <v>Young</v>
      </c>
      <c r="R114" s="2" t="str">
        <f t="shared" si="2"/>
        <v>Very High</v>
      </c>
      <c r="S114" s="2" t="str">
        <f t="shared" si="3"/>
        <v>West - Retired</v>
      </c>
    </row>
    <row r="115" spans="1:19" x14ac:dyDescent="0.3">
      <c r="A115" t="s">
        <v>254</v>
      </c>
      <c r="B115" t="s">
        <v>255</v>
      </c>
      <c r="C115">
        <v>36</v>
      </c>
      <c r="D115" s="2" t="s">
        <v>21</v>
      </c>
      <c r="E115" s="2" t="s">
        <v>30</v>
      </c>
      <c r="F115" s="2" t="s">
        <v>23</v>
      </c>
      <c r="G115" s="2" t="s">
        <v>66</v>
      </c>
      <c r="H115" s="2" t="s">
        <v>17</v>
      </c>
      <c r="I115" s="2" t="s">
        <v>17</v>
      </c>
      <c r="J115">
        <v>0.4</v>
      </c>
      <c r="K115" s="1">
        <v>45115</v>
      </c>
      <c r="L115" s="2" t="str">
        <f>IF(Sheet1[[#This Row],[age]]&lt;18, "Under 18",IF(Sheet1[[#This Row],[age]]&lt;=30,"18-30",IF(Sheet1[[#This Row],[age]]&lt;=45,"31-45",IF(Sheet1[[#This Row],[age]]&lt;=60,"46-60","60+"))))</f>
        <v>31-45</v>
      </c>
      <c r="M115" s="2" t="str">
        <f>IF(Sheet1[[#This Row],[risk_score]]&lt;0.3,"Low",IF(Sheet1[[#This Row],[risk_score]]&lt;0.7,"Medium","High"))</f>
        <v>Medium</v>
      </c>
      <c r="N115">
        <f>YEAR(Sheet1[[#This Row],[date_joined]])</f>
        <v>2023</v>
      </c>
      <c r="O115" s="2" t="str">
        <f>TEXT(Sheet1[[#This Row],[date_joined]],"mmm")</f>
        <v>Jul</v>
      </c>
      <c r="P115" s="2" t="str">
        <f>"Q"&amp;ROUNDUP(MONTH(Sheet1[[#This Row],[date_joined]])/3,0)</f>
        <v>Q3</v>
      </c>
      <c r="Q115" s="2" t="str">
        <f>IF(Sheet1[[#This Row],[age]]&lt;30,"Young",IF(Sheet1[[#This Row],[age]]&lt;=50,"Adult","Senior"))</f>
        <v>Adult</v>
      </c>
      <c r="R115" s="2" t="str">
        <f t="shared" si="2"/>
        <v>Low</v>
      </c>
      <c r="S115" s="2" t="str">
        <f t="shared" si="3"/>
        <v>North-East - Salaried</v>
      </c>
    </row>
    <row r="116" spans="1:19" x14ac:dyDescent="0.3">
      <c r="A116" t="s">
        <v>256</v>
      </c>
      <c r="B116" t="s">
        <v>257</v>
      </c>
      <c r="C116">
        <v>50</v>
      </c>
      <c r="D116" s="2" t="s">
        <v>21</v>
      </c>
      <c r="E116" s="2" t="s">
        <v>14</v>
      </c>
      <c r="F116" s="2" t="s">
        <v>15</v>
      </c>
      <c r="G116" s="2" t="s">
        <v>24</v>
      </c>
      <c r="H116" s="2" t="s">
        <v>17</v>
      </c>
      <c r="I116" s="2" t="s">
        <v>18</v>
      </c>
      <c r="J116">
        <v>0.33</v>
      </c>
      <c r="K116" s="1">
        <v>44876</v>
      </c>
      <c r="L116" s="2" t="str">
        <f>IF(Sheet1[[#This Row],[age]]&lt;18, "Under 18",IF(Sheet1[[#This Row],[age]]&lt;=30,"18-30",IF(Sheet1[[#This Row],[age]]&lt;=45,"31-45",IF(Sheet1[[#This Row],[age]]&lt;=60,"46-60","60+"))))</f>
        <v>46-60</v>
      </c>
      <c r="M116" s="2" t="str">
        <f>IF(Sheet1[[#This Row],[risk_score]]&lt;0.3,"Low",IF(Sheet1[[#This Row],[risk_score]]&lt;0.7,"Medium","High"))</f>
        <v>Medium</v>
      </c>
      <c r="N116">
        <f>YEAR(Sheet1[[#This Row],[date_joined]])</f>
        <v>2022</v>
      </c>
      <c r="O116" s="2" t="str">
        <f>TEXT(Sheet1[[#This Row],[date_joined]],"mmm")</f>
        <v>Nov</v>
      </c>
      <c r="P116" s="2" t="str">
        <f>"Q"&amp;ROUNDUP(MONTH(Sheet1[[#This Row],[date_joined]])/3,0)</f>
        <v>Q4</v>
      </c>
      <c r="Q116" s="2" t="str">
        <f>IF(Sheet1[[#This Row],[age]]&lt;30,"Young",IF(Sheet1[[#This Row],[age]]&lt;=50,"Adult","Senior"))</f>
        <v>Adult</v>
      </c>
      <c r="R116" s="2" t="str">
        <f t="shared" si="2"/>
        <v>High</v>
      </c>
      <c r="S116" s="2" t="str">
        <f t="shared" si="3"/>
        <v>East - Student</v>
      </c>
    </row>
    <row r="117" spans="1:19" x14ac:dyDescent="0.3">
      <c r="A117" t="s">
        <v>258</v>
      </c>
      <c r="B117" t="s">
        <v>259</v>
      </c>
      <c r="C117">
        <v>48</v>
      </c>
      <c r="D117" s="2" t="s">
        <v>13</v>
      </c>
      <c r="E117" s="2" t="s">
        <v>30</v>
      </c>
      <c r="F117" s="2" t="s">
        <v>37</v>
      </c>
      <c r="G117" s="2" t="s">
        <v>16</v>
      </c>
      <c r="H117" s="2" t="s">
        <v>18</v>
      </c>
      <c r="I117" s="2" t="s">
        <v>17</v>
      </c>
      <c r="J117">
        <v>0.57999999999999996</v>
      </c>
      <c r="K117" s="1">
        <v>44798</v>
      </c>
      <c r="L117" s="2" t="str">
        <f>IF(Sheet1[[#This Row],[age]]&lt;18, "Under 18",IF(Sheet1[[#This Row],[age]]&lt;=30,"18-30",IF(Sheet1[[#This Row],[age]]&lt;=45,"31-45",IF(Sheet1[[#This Row],[age]]&lt;=60,"46-60","60+"))))</f>
        <v>46-60</v>
      </c>
      <c r="M117" s="2" t="str">
        <f>IF(Sheet1[[#This Row],[risk_score]]&lt;0.3,"Low",IF(Sheet1[[#This Row],[risk_score]]&lt;0.7,"Medium","High"))</f>
        <v>Medium</v>
      </c>
      <c r="N117">
        <f>YEAR(Sheet1[[#This Row],[date_joined]])</f>
        <v>2022</v>
      </c>
      <c r="O117" s="2" t="str">
        <f>TEXT(Sheet1[[#This Row],[date_joined]],"mmm")</f>
        <v>Aug</v>
      </c>
      <c r="P117" s="2" t="str">
        <f>"Q"&amp;ROUNDUP(MONTH(Sheet1[[#This Row],[date_joined]])/3,0)</f>
        <v>Q3</v>
      </c>
      <c r="Q117" s="2" t="str">
        <f>IF(Sheet1[[#This Row],[age]]&lt;30,"Young",IF(Sheet1[[#This Row],[age]]&lt;=50,"Adult","Senior"))</f>
        <v>Adult</v>
      </c>
      <c r="R117" s="2" t="str">
        <f t="shared" si="2"/>
        <v>High</v>
      </c>
      <c r="S117" s="2" t="str">
        <f t="shared" si="3"/>
        <v>West - Retired</v>
      </c>
    </row>
    <row r="118" spans="1:19" x14ac:dyDescent="0.3">
      <c r="A118" t="s">
        <v>260</v>
      </c>
      <c r="B118" t="s">
        <v>261</v>
      </c>
      <c r="C118">
        <v>50</v>
      </c>
      <c r="D118" s="2" t="s">
        <v>21</v>
      </c>
      <c r="E118" s="2" t="s">
        <v>22</v>
      </c>
      <c r="F118" s="2" t="s">
        <v>37</v>
      </c>
      <c r="G118" s="2" t="s">
        <v>32</v>
      </c>
      <c r="H118" s="2" t="s">
        <v>18</v>
      </c>
      <c r="I118" s="2" t="s">
        <v>17</v>
      </c>
      <c r="J118">
        <v>0.43</v>
      </c>
      <c r="K118" s="1">
        <v>44101</v>
      </c>
      <c r="L118" s="2" t="str">
        <f>IF(Sheet1[[#This Row],[age]]&lt;18, "Under 18",IF(Sheet1[[#This Row],[age]]&lt;=30,"18-30",IF(Sheet1[[#This Row],[age]]&lt;=45,"31-45",IF(Sheet1[[#This Row],[age]]&lt;=60,"46-60","60+"))))</f>
        <v>46-60</v>
      </c>
      <c r="M118" s="2" t="str">
        <f>IF(Sheet1[[#This Row],[risk_score]]&lt;0.3,"Low",IF(Sheet1[[#This Row],[risk_score]]&lt;0.7,"Medium","High"))</f>
        <v>Medium</v>
      </c>
      <c r="N118">
        <f>YEAR(Sheet1[[#This Row],[date_joined]])</f>
        <v>2020</v>
      </c>
      <c r="O118" s="2" t="str">
        <f>TEXT(Sheet1[[#This Row],[date_joined]],"mmm")</f>
        <v>Sep</v>
      </c>
      <c r="P118" s="2" t="str">
        <f>"Q"&amp;ROUNDUP(MONTH(Sheet1[[#This Row],[date_joined]])/3,0)</f>
        <v>Q3</v>
      </c>
      <c r="Q118" s="2" t="str">
        <f>IF(Sheet1[[#This Row],[age]]&lt;30,"Young",IF(Sheet1[[#This Row],[age]]&lt;=50,"Adult","Senior"))</f>
        <v>Adult</v>
      </c>
      <c r="R118" s="2" t="str">
        <f t="shared" si="2"/>
        <v>High</v>
      </c>
      <c r="S118" s="2" t="str">
        <f t="shared" si="3"/>
        <v>South - Retired</v>
      </c>
    </row>
    <row r="119" spans="1:19" x14ac:dyDescent="0.3">
      <c r="A119" t="s">
        <v>262</v>
      </c>
      <c r="B119" t="s">
        <v>263</v>
      </c>
      <c r="C119">
        <v>39</v>
      </c>
      <c r="D119" s="2" t="s">
        <v>13</v>
      </c>
      <c r="E119" s="2" t="s">
        <v>14</v>
      </c>
      <c r="F119" s="2" t="s">
        <v>23</v>
      </c>
      <c r="G119" s="2" t="s">
        <v>24</v>
      </c>
      <c r="H119" s="2" t="s">
        <v>18</v>
      </c>
      <c r="I119" s="2" t="s">
        <v>18</v>
      </c>
      <c r="J119">
        <v>0.45</v>
      </c>
      <c r="K119" s="1">
        <v>45001</v>
      </c>
      <c r="L119" s="2" t="str">
        <f>IF(Sheet1[[#This Row],[age]]&lt;18, "Under 18",IF(Sheet1[[#This Row],[age]]&lt;=30,"18-30",IF(Sheet1[[#This Row],[age]]&lt;=45,"31-45",IF(Sheet1[[#This Row],[age]]&lt;=60,"46-60","60+"))))</f>
        <v>31-45</v>
      </c>
      <c r="M119" s="2" t="str">
        <f>IF(Sheet1[[#This Row],[risk_score]]&lt;0.3,"Low",IF(Sheet1[[#This Row],[risk_score]]&lt;0.7,"Medium","High"))</f>
        <v>Medium</v>
      </c>
      <c r="N119">
        <f>YEAR(Sheet1[[#This Row],[date_joined]])</f>
        <v>2023</v>
      </c>
      <c r="O119" s="2" t="str">
        <f>TEXT(Sheet1[[#This Row],[date_joined]],"mmm")</f>
        <v>Mar</v>
      </c>
      <c r="P119" s="2" t="str">
        <f>"Q"&amp;ROUNDUP(MONTH(Sheet1[[#This Row],[date_joined]])/3,0)</f>
        <v>Q1</v>
      </c>
      <c r="Q119" s="2" t="str">
        <f>IF(Sheet1[[#This Row],[age]]&lt;30,"Young",IF(Sheet1[[#This Row],[age]]&lt;=50,"Adult","Senior"))</f>
        <v>Adult</v>
      </c>
      <c r="R119" s="2" t="str">
        <f t="shared" si="2"/>
        <v>Very High</v>
      </c>
      <c r="S119" s="2" t="str">
        <f t="shared" si="3"/>
        <v>East - Salaried</v>
      </c>
    </row>
    <row r="120" spans="1:19" x14ac:dyDescent="0.3">
      <c r="A120" t="s">
        <v>264</v>
      </c>
      <c r="B120" t="s">
        <v>265</v>
      </c>
      <c r="C120">
        <v>20</v>
      </c>
      <c r="D120" s="2" t="s">
        <v>13</v>
      </c>
      <c r="E120" s="2" t="s">
        <v>14</v>
      </c>
      <c r="F120" s="2" t="s">
        <v>15</v>
      </c>
      <c r="G120" s="2" t="s">
        <v>24</v>
      </c>
      <c r="H120" s="2" t="s">
        <v>18</v>
      </c>
      <c r="I120" s="2" t="s">
        <v>18</v>
      </c>
      <c r="J120">
        <v>0.14000000000000001</v>
      </c>
      <c r="K120" s="1">
        <v>44114</v>
      </c>
      <c r="L120" s="2" t="str">
        <f>IF(Sheet1[[#This Row],[age]]&lt;18, "Under 18",IF(Sheet1[[#This Row],[age]]&lt;=30,"18-30",IF(Sheet1[[#This Row],[age]]&lt;=45,"31-45",IF(Sheet1[[#This Row],[age]]&lt;=60,"46-60","60+"))))</f>
        <v>18-30</v>
      </c>
      <c r="M120" s="2" t="str">
        <f>IF(Sheet1[[#This Row],[risk_score]]&lt;0.3,"Low",IF(Sheet1[[#This Row],[risk_score]]&lt;0.7,"Medium","High"))</f>
        <v>Low</v>
      </c>
      <c r="N120">
        <f>YEAR(Sheet1[[#This Row],[date_joined]])</f>
        <v>2020</v>
      </c>
      <c r="O120" s="2" t="str">
        <f>TEXT(Sheet1[[#This Row],[date_joined]],"mmm")</f>
        <v>Oct</v>
      </c>
      <c r="P120" s="2" t="str">
        <f>"Q"&amp;ROUNDUP(MONTH(Sheet1[[#This Row],[date_joined]])/3,0)</f>
        <v>Q4</v>
      </c>
      <c r="Q120" s="2" t="str">
        <f>IF(Sheet1[[#This Row],[age]]&lt;30,"Young",IF(Sheet1[[#This Row],[age]]&lt;=50,"Adult","Senior"))</f>
        <v>Young</v>
      </c>
      <c r="R120" s="2" t="str">
        <f t="shared" si="2"/>
        <v>Very High</v>
      </c>
      <c r="S120" s="2" t="str">
        <f t="shared" si="3"/>
        <v>East - Student</v>
      </c>
    </row>
    <row r="121" spans="1:19" x14ac:dyDescent="0.3">
      <c r="A121" t="s">
        <v>266</v>
      </c>
      <c r="B121" t="s">
        <v>267</v>
      </c>
      <c r="C121">
        <v>46</v>
      </c>
      <c r="D121" s="2" t="s">
        <v>13</v>
      </c>
      <c r="E121" s="2" t="s">
        <v>30</v>
      </c>
      <c r="F121" s="2" t="s">
        <v>37</v>
      </c>
      <c r="G121" s="2" t="s">
        <v>66</v>
      </c>
      <c r="H121" s="2" t="s">
        <v>17</v>
      </c>
      <c r="I121" s="2" t="s">
        <v>17</v>
      </c>
      <c r="J121">
        <v>0.61</v>
      </c>
      <c r="K121" s="1">
        <v>43497</v>
      </c>
      <c r="L121" s="2" t="str">
        <f>IF(Sheet1[[#This Row],[age]]&lt;18, "Under 18",IF(Sheet1[[#This Row],[age]]&lt;=30,"18-30",IF(Sheet1[[#This Row],[age]]&lt;=45,"31-45",IF(Sheet1[[#This Row],[age]]&lt;=60,"46-60","60+"))))</f>
        <v>46-60</v>
      </c>
      <c r="M121" s="2" t="str">
        <f>IF(Sheet1[[#This Row],[risk_score]]&lt;0.3,"Low",IF(Sheet1[[#This Row],[risk_score]]&lt;0.7,"Medium","High"))</f>
        <v>Medium</v>
      </c>
      <c r="N121">
        <f>YEAR(Sheet1[[#This Row],[date_joined]])</f>
        <v>2019</v>
      </c>
      <c r="O121" s="2" t="str">
        <f>TEXT(Sheet1[[#This Row],[date_joined]],"mmm")</f>
        <v>Feb</v>
      </c>
      <c r="P121" s="2" t="str">
        <f>"Q"&amp;ROUNDUP(MONTH(Sheet1[[#This Row],[date_joined]])/3,0)</f>
        <v>Q1</v>
      </c>
      <c r="Q121" s="2" t="str">
        <f>IF(Sheet1[[#This Row],[age]]&lt;30,"Young",IF(Sheet1[[#This Row],[age]]&lt;=50,"Adult","Senior"))</f>
        <v>Adult</v>
      </c>
      <c r="R121" s="2" t="str">
        <f t="shared" si="2"/>
        <v>Low</v>
      </c>
      <c r="S121" s="2" t="str">
        <f t="shared" si="3"/>
        <v>North-East - Retired</v>
      </c>
    </row>
    <row r="122" spans="1:19" x14ac:dyDescent="0.3">
      <c r="A122" t="s">
        <v>268</v>
      </c>
      <c r="B122" t="s">
        <v>269</v>
      </c>
      <c r="C122">
        <v>34</v>
      </c>
      <c r="D122" s="2" t="s">
        <v>13</v>
      </c>
      <c r="E122" s="2" t="s">
        <v>14</v>
      </c>
      <c r="F122" s="2" t="s">
        <v>15</v>
      </c>
      <c r="G122" s="2" t="s">
        <v>24</v>
      </c>
      <c r="H122" s="2" t="s">
        <v>18</v>
      </c>
      <c r="I122" s="2" t="s">
        <v>17</v>
      </c>
      <c r="J122">
        <v>0.4</v>
      </c>
      <c r="K122" s="1">
        <v>43333</v>
      </c>
      <c r="L122" s="2" t="str">
        <f>IF(Sheet1[[#This Row],[age]]&lt;18, "Under 18",IF(Sheet1[[#This Row],[age]]&lt;=30,"18-30",IF(Sheet1[[#This Row],[age]]&lt;=45,"31-45",IF(Sheet1[[#This Row],[age]]&lt;=60,"46-60","60+"))))</f>
        <v>31-45</v>
      </c>
      <c r="M122" s="2" t="str">
        <f>IF(Sheet1[[#This Row],[risk_score]]&lt;0.3,"Low",IF(Sheet1[[#This Row],[risk_score]]&lt;0.7,"Medium","High"))</f>
        <v>Medium</v>
      </c>
      <c r="N122">
        <f>YEAR(Sheet1[[#This Row],[date_joined]])</f>
        <v>2018</v>
      </c>
      <c r="O122" s="2" t="str">
        <f>TEXT(Sheet1[[#This Row],[date_joined]],"mmm")</f>
        <v>Aug</v>
      </c>
      <c r="P122" s="2" t="str">
        <f>"Q"&amp;ROUNDUP(MONTH(Sheet1[[#This Row],[date_joined]])/3,0)</f>
        <v>Q3</v>
      </c>
      <c r="Q122" s="2" t="str">
        <f>IF(Sheet1[[#This Row],[age]]&lt;30,"Young",IF(Sheet1[[#This Row],[age]]&lt;=50,"Adult","Senior"))</f>
        <v>Adult</v>
      </c>
      <c r="R122" s="2" t="str">
        <f t="shared" si="2"/>
        <v>High</v>
      </c>
      <c r="S122" s="2" t="str">
        <f t="shared" si="3"/>
        <v>East - Student</v>
      </c>
    </row>
    <row r="123" spans="1:19" x14ac:dyDescent="0.3">
      <c r="A123" t="s">
        <v>270</v>
      </c>
      <c r="B123" t="s">
        <v>271</v>
      </c>
      <c r="C123">
        <v>60</v>
      </c>
      <c r="D123" s="2" t="s">
        <v>13</v>
      </c>
      <c r="E123" s="2" t="s">
        <v>14</v>
      </c>
      <c r="F123" s="2" t="s">
        <v>37</v>
      </c>
      <c r="G123" s="2" t="s">
        <v>32</v>
      </c>
      <c r="H123" s="2" t="s">
        <v>17</v>
      </c>
      <c r="I123" s="2" t="s">
        <v>17</v>
      </c>
      <c r="J123">
        <v>0.98</v>
      </c>
      <c r="K123" s="1">
        <v>43911</v>
      </c>
      <c r="L123" s="2" t="str">
        <f>IF(Sheet1[[#This Row],[age]]&lt;18, "Under 18",IF(Sheet1[[#This Row],[age]]&lt;=30,"18-30",IF(Sheet1[[#This Row],[age]]&lt;=45,"31-45",IF(Sheet1[[#This Row],[age]]&lt;=60,"46-60","60+"))))</f>
        <v>46-60</v>
      </c>
      <c r="M123" s="2" t="str">
        <f>IF(Sheet1[[#This Row],[risk_score]]&lt;0.3,"Low",IF(Sheet1[[#This Row],[risk_score]]&lt;0.7,"Medium","High"))</f>
        <v>High</v>
      </c>
      <c r="N123">
        <f>YEAR(Sheet1[[#This Row],[date_joined]])</f>
        <v>2020</v>
      </c>
      <c r="O123" s="2" t="str">
        <f>TEXT(Sheet1[[#This Row],[date_joined]],"mmm")</f>
        <v>Mar</v>
      </c>
      <c r="P123" s="2" t="str">
        <f>"Q"&amp;ROUNDUP(MONTH(Sheet1[[#This Row],[date_joined]])/3,0)</f>
        <v>Q1</v>
      </c>
      <c r="Q123" s="2" t="str">
        <f>IF(Sheet1[[#This Row],[age]]&lt;30,"Young",IF(Sheet1[[#This Row],[age]]&lt;=50,"Adult","Senior"))</f>
        <v>Senior</v>
      </c>
      <c r="R123" s="2" t="str">
        <f t="shared" si="2"/>
        <v>Low</v>
      </c>
      <c r="S123" s="2" t="str">
        <f t="shared" si="3"/>
        <v>South - Retired</v>
      </c>
    </row>
    <row r="124" spans="1:19" x14ac:dyDescent="0.3">
      <c r="A124" t="s">
        <v>272</v>
      </c>
      <c r="B124" t="s">
        <v>273</v>
      </c>
      <c r="C124">
        <v>33</v>
      </c>
      <c r="D124" s="2" t="s">
        <v>21</v>
      </c>
      <c r="E124" s="2" t="s">
        <v>14</v>
      </c>
      <c r="F124" s="2" t="s">
        <v>15</v>
      </c>
      <c r="G124" s="2" t="s">
        <v>32</v>
      </c>
      <c r="H124" s="2" t="s">
        <v>17</v>
      </c>
      <c r="I124" s="2" t="s">
        <v>18</v>
      </c>
      <c r="J124">
        <v>0.33</v>
      </c>
      <c r="K124" s="1">
        <v>43735</v>
      </c>
      <c r="L124" s="2" t="str">
        <f>IF(Sheet1[[#This Row],[age]]&lt;18, "Under 18",IF(Sheet1[[#This Row],[age]]&lt;=30,"18-30",IF(Sheet1[[#This Row],[age]]&lt;=45,"31-45",IF(Sheet1[[#This Row],[age]]&lt;=60,"46-60","60+"))))</f>
        <v>31-45</v>
      </c>
      <c r="M124" s="2" t="str">
        <f>IF(Sheet1[[#This Row],[risk_score]]&lt;0.3,"Low",IF(Sheet1[[#This Row],[risk_score]]&lt;0.7,"Medium","High"))</f>
        <v>Medium</v>
      </c>
      <c r="N124">
        <f>YEAR(Sheet1[[#This Row],[date_joined]])</f>
        <v>2019</v>
      </c>
      <c r="O124" s="2" t="str">
        <f>TEXT(Sheet1[[#This Row],[date_joined]],"mmm")</f>
        <v>Sep</v>
      </c>
      <c r="P124" s="2" t="str">
        <f>"Q"&amp;ROUNDUP(MONTH(Sheet1[[#This Row],[date_joined]])/3,0)</f>
        <v>Q3</v>
      </c>
      <c r="Q124" s="2" t="str">
        <f>IF(Sheet1[[#This Row],[age]]&lt;30,"Young",IF(Sheet1[[#This Row],[age]]&lt;=50,"Adult","Senior"))</f>
        <v>Adult</v>
      </c>
      <c r="R124" s="2" t="str">
        <f t="shared" si="2"/>
        <v>High</v>
      </c>
      <c r="S124" s="2" t="str">
        <f t="shared" si="3"/>
        <v>South - Student</v>
      </c>
    </row>
    <row r="125" spans="1:19" x14ac:dyDescent="0.3">
      <c r="A125" t="s">
        <v>274</v>
      </c>
      <c r="B125" t="s">
        <v>275</v>
      </c>
      <c r="C125">
        <v>21</v>
      </c>
      <c r="D125" s="2" t="s">
        <v>13</v>
      </c>
      <c r="E125" s="2" t="s">
        <v>14</v>
      </c>
      <c r="F125" s="2" t="s">
        <v>23</v>
      </c>
      <c r="G125" s="2" t="s">
        <v>24</v>
      </c>
      <c r="H125" s="2" t="s">
        <v>17</v>
      </c>
      <c r="I125" s="2" t="s">
        <v>18</v>
      </c>
      <c r="J125">
        <v>0.54</v>
      </c>
      <c r="K125" s="1">
        <v>43373</v>
      </c>
      <c r="L125" s="2" t="str">
        <f>IF(Sheet1[[#This Row],[age]]&lt;18, "Under 18",IF(Sheet1[[#This Row],[age]]&lt;=30,"18-30",IF(Sheet1[[#This Row],[age]]&lt;=45,"31-45",IF(Sheet1[[#This Row],[age]]&lt;=60,"46-60","60+"))))</f>
        <v>18-30</v>
      </c>
      <c r="M125" s="2" t="str">
        <f>IF(Sheet1[[#This Row],[risk_score]]&lt;0.3,"Low",IF(Sheet1[[#This Row],[risk_score]]&lt;0.7,"Medium","High"))</f>
        <v>Medium</v>
      </c>
      <c r="N125">
        <f>YEAR(Sheet1[[#This Row],[date_joined]])</f>
        <v>2018</v>
      </c>
      <c r="O125" s="2" t="str">
        <f>TEXT(Sheet1[[#This Row],[date_joined]],"mmm")</f>
        <v>Sep</v>
      </c>
      <c r="P125" s="2" t="str">
        <f>"Q"&amp;ROUNDUP(MONTH(Sheet1[[#This Row],[date_joined]])/3,0)</f>
        <v>Q3</v>
      </c>
      <c r="Q125" s="2" t="str">
        <f>IF(Sheet1[[#This Row],[age]]&lt;30,"Young",IF(Sheet1[[#This Row],[age]]&lt;=50,"Adult","Senior"))</f>
        <v>Young</v>
      </c>
      <c r="R125" s="2" t="str">
        <f t="shared" si="2"/>
        <v>High</v>
      </c>
      <c r="S125" s="2" t="str">
        <f t="shared" si="3"/>
        <v>East - Salaried</v>
      </c>
    </row>
    <row r="126" spans="1:19" x14ac:dyDescent="0.3">
      <c r="A126" t="s">
        <v>276</v>
      </c>
      <c r="B126" t="s">
        <v>277</v>
      </c>
      <c r="C126">
        <v>47</v>
      </c>
      <c r="D126" s="2" t="s">
        <v>13</v>
      </c>
      <c r="E126" s="2" t="s">
        <v>30</v>
      </c>
      <c r="F126" s="2" t="s">
        <v>31</v>
      </c>
      <c r="G126" s="2" t="s">
        <v>32</v>
      </c>
      <c r="H126" s="2" t="s">
        <v>18</v>
      </c>
      <c r="I126" s="2" t="s">
        <v>17</v>
      </c>
      <c r="J126">
        <v>0.39</v>
      </c>
      <c r="K126" s="1">
        <v>44185</v>
      </c>
      <c r="L126" s="2" t="str">
        <f>IF(Sheet1[[#This Row],[age]]&lt;18, "Under 18",IF(Sheet1[[#This Row],[age]]&lt;=30,"18-30",IF(Sheet1[[#This Row],[age]]&lt;=45,"31-45",IF(Sheet1[[#This Row],[age]]&lt;=60,"46-60","60+"))))</f>
        <v>46-60</v>
      </c>
      <c r="M126" s="2" t="str">
        <f>IF(Sheet1[[#This Row],[risk_score]]&lt;0.3,"Low",IF(Sheet1[[#This Row],[risk_score]]&lt;0.7,"Medium","High"))</f>
        <v>Medium</v>
      </c>
      <c r="N126">
        <f>YEAR(Sheet1[[#This Row],[date_joined]])</f>
        <v>2020</v>
      </c>
      <c r="O126" s="2" t="str">
        <f>TEXT(Sheet1[[#This Row],[date_joined]],"mmm")</f>
        <v>Dec</v>
      </c>
      <c r="P126" s="2" t="str">
        <f>"Q"&amp;ROUNDUP(MONTH(Sheet1[[#This Row],[date_joined]])/3,0)</f>
        <v>Q4</v>
      </c>
      <c r="Q126" s="2" t="str">
        <f>IF(Sheet1[[#This Row],[age]]&lt;30,"Young",IF(Sheet1[[#This Row],[age]]&lt;=50,"Adult","Senior"))</f>
        <v>Adult</v>
      </c>
      <c r="R126" s="2" t="str">
        <f t="shared" si="2"/>
        <v>High</v>
      </c>
      <c r="S126" s="2" t="str">
        <f t="shared" si="3"/>
        <v>South - Self-employed</v>
      </c>
    </row>
    <row r="127" spans="1:19" x14ac:dyDescent="0.3">
      <c r="A127" t="s">
        <v>278</v>
      </c>
      <c r="B127" t="s">
        <v>279</v>
      </c>
      <c r="C127">
        <v>40</v>
      </c>
      <c r="D127" s="2" t="s">
        <v>21</v>
      </c>
      <c r="E127" s="2" t="s">
        <v>22</v>
      </c>
      <c r="F127" s="2" t="s">
        <v>31</v>
      </c>
      <c r="G127" s="2" t="s">
        <v>24</v>
      </c>
      <c r="H127" s="2" t="s">
        <v>17</v>
      </c>
      <c r="I127" s="2" t="s">
        <v>18</v>
      </c>
      <c r="J127">
        <v>0.53</v>
      </c>
      <c r="K127" s="1">
        <v>43607</v>
      </c>
      <c r="L127" s="2" t="str">
        <f>IF(Sheet1[[#This Row],[age]]&lt;18, "Under 18",IF(Sheet1[[#This Row],[age]]&lt;=30,"18-30",IF(Sheet1[[#This Row],[age]]&lt;=45,"31-45",IF(Sheet1[[#This Row],[age]]&lt;=60,"46-60","60+"))))</f>
        <v>31-45</v>
      </c>
      <c r="M127" s="2" t="str">
        <f>IF(Sheet1[[#This Row],[risk_score]]&lt;0.3,"Low",IF(Sheet1[[#This Row],[risk_score]]&lt;0.7,"Medium","High"))</f>
        <v>Medium</v>
      </c>
      <c r="N127">
        <f>YEAR(Sheet1[[#This Row],[date_joined]])</f>
        <v>2019</v>
      </c>
      <c r="O127" s="2" t="str">
        <f>TEXT(Sheet1[[#This Row],[date_joined]],"mmm")</f>
        <v>May</v>
      </c>
      <c r="P127" s="2" t="str">
        <f>"Q"&amp;ROUNDUP(MONTH(Sheet1[[#This Row],[date_joined]])/3,0)</f>
        <v>Q2</v>
      </c>
      <c r="Q127" s="2" t="str">
        <f>IF(Sheet1[[#This Row],[age]]&lt;30,"Young",IF(Sheet1[[#This Row],[age]]&lt;=50,"Adult","Senior"))</f>
        <v>Adult</v>
      </c>
      <c r="R127" s="2" t="str">
        <f t="shared" si="2"/>
        <v>High</v>
      </c>
      <c r="S127" s="2" t="str">
        <f t="shared" si="3"/>
        <v>East - Self-employed</v>
      </c>
    </row>
    <row r="128" spans="1:19" x14ac:dyDescent="0.3">
      <c r="A128" t="s">
        <v>280</v>
      </c>
      <c r="B128" t="s">
        <v>281</v>
      </c>
      <c r="C128">
        <v>32</v>
      </c>
      <c r="D128" s="2" t="s">
        <v>21</v>
      </c>
      <c r="E128" s="2" t="s">
        <v>22</v>
      </c>
      <c r="F128" s="2" t="s">
        <v>23</v>
      </c>
      <c r="G128" s="2" t="s">
        <v>81</v>
      </c>
      <c r="H128" s="2" t="s">
        <v>17</v>
      </c>
      <c r="I128" s="2" t="s">
        <v>17</v>
      </c>
      <c r="J128">
        <v>0.6</v>
      </c>
      <c r="K128" s="1">
        <v>44389</v>
      </c>
      <c r="L128" s="2" t="str">
        <f>IF(Sheet1[[#This Row],[age]]&lt;18, "Under 18",IF(Sheet1[[#This Row],[age]]&lt;=30,"18-30",IF(Sheet1[[#This Row],[age]]&lt;=45,"31-45",IF(Sheet1[[#This Row],[age]]&lt;=60,"46-60","60+"))))</f>
        <v>31-45</v>
      </c>
      <c r="M128" s="2" t="str">
        <f>IF(Sheet1[[#This Row],[risk_score]]&lt;0.3,"Low",IF(Sheet1[[#This Row],[risk_score]]&lt;0.7,"Medium","High"))</f>
        <v>Medium</v>
      </c>
      <c r="N128">
        <f>YEAR(Sheet1[[#This Row],[date_joined]])</f>
        <v>2021</v>
      </c>
      <c r="O128" s="2" t="str">
        <f>TEXT(Sheet1[[#This Row],[date_joined]],"mmm")</f>
        <v>Jul</v>
      </c>
      <c r="P128" s="2" t="str">
        <f>"Q"&amp;ROUNDUP(MONTH(Sheet1[[#This Row],[date_joined]])/3,0)</f>
        <v>Q3</v>
      </c>
      <c r="Q128" s="2" t="str">
        <f>IF(Sheet1[[#This Row],[age]]&lt;30,"Young",IF(Sheet1[[#This Row],[age]]&lt;=50,"Adult","Senior"))</f>
        <v>Adult</v>
      </c>
      <c r="R128" s="2" t="str">
        <f t="shared" si="2"/>
        <v>Low</v>
      </c>
      <c r="S128" s="2" t="str">
        <f t="shared" si="3"/>
        <v>Central - Salaried</v>
      </c>
    </row>
    <row r="129" spans="1:19" x14ac:dyDescent="0.3">
      <c r="A129" t="s">
        <v>282</v>
      </c>
      <c r="B129" t="s">
        <v>283</v>
      </c>
      <c r="C129">
        <v>54</v>
      </c>
      <c r="D129" s="2" t="s">
        <v>13</v>
      </c>
      <c r="E129" s="2" t="s">
        <v>22</v>
      </c>
      <c r="F129" s="2" t="s">
        <v>37</v>
      </c>
      <c r="G129" s="2" t="s">
        <v>27</v>
      </c>
      <c r="H129" s="2" t="s">
        <v>18</v>
      </c>
      <c r="I129" s="2" t="s">
        <v>17</v>
      </c>
      <c r="J129">
        <v>0.24</v>
      </c>
      <c r="K129" s="1">
        <v>44374</v>
      </c>
      <c r="L129" s="2" t="str">
        <f>IF(Sheet1[[#This Row],[age]]&lt;18, "Under 18",IF(Sheet1[[#This Row],[age]]&lt;=30,"18-30",IF(Sheet1[[#This Row],[age]]&lt;=45,"31-45",IF(Sheet1[[#This Row],[age]]&lt;=60,"46-60","60+"))))</f>
        <v>46-60</v>
      </c>
      <c r="M129" s="2" t="str">
        <f>IF(Sheet1[[#This Row],[risk_score]]&lt;0.3,"Low",IF(Sheet1[[#This Row],[risk_score]]&lt;0.7,"Medium","High"))</f>
        <v>Low</v>
      </c>
      <c r="N129">
        <f>YEAR(Sheet1[[#This Row],[date_joined]])</f>
        <v>2021</v>
      </c>
      <c r="O129" s="2" t="str">
        <f>TEXT(Sheet1[[#This Row],[date_joined]],"mmm")</f>
        <v>Jun</v>
      </c>
      <c r="P129" s="2" t="str">
        <f>"Q"&amp;ROUNDUP(MONTH(Sheet1[[#This Row],[date_joined]])/3,0)</f>
        <v>Q2</v>
      </c>
      <c r="Q129" s="2" t="str">
        <f>IF(Sheet1[[#This Row],[age]]&lt;30,"Young",IF(Sheet1[[#This Row],[age]]&lt;=50,"Adult","Senior"))</f>
        <v>Senior</v>
      </c>
      <c r="R129" s="2" t="str">
        <f t="shared" si="2"/>
        <v>High</v>
      </c>
      <c r="S129" s="2" t="str">
        <f t="shared" si="3"/>
        <v>North - Retired</v>
      </c>
    </row>
    <row r="130" spans="1:19" x14ac:dyDescent="0.3">
      <c r="A130" t="s">
        <v>284</v>
      </c>
      <c r="B130" t="s">
        <v>285</v>
      </c>
      <c r="C130">
        <v>41</v>
      </c>
      <c r="D130" s="2" t="s">
        <v>13</v>
      </c>
      <c r="E130" s="2" t="s">
        <v>14</v>
      </c>
      <c r="F130" s="2" t="s">
        <v>31</v>
      </c>
      <c r="G130" s="2" t="s">
        <v>32</v>
      </c>
      <c r="H130" s="2" t="s">
        <v>18</v>
      </c>
      <c r="I130" s="2" t="s">
        <v>17</v>
      </c>
      <c r="J130">
        <v>0.72</v>
      </c>
      <c r="K130" s="1">
        <v>44618</v>
      </c>
      <c r="L130" s="2" t="str">
        <f>IF(Sheet1[[#This Row],[age]]&lt;18, "Under 18",IF(Sheet1[[#This Row],[age]]&lt;=30,"18-30",IF(Sheet1[[#This Row],[age]]&lt;=45,"31-45",IF(Sheet1[[#This Row],[age]]&lt;=60,"46-60","60+"))))</f>
        <v>31-45</v>
      </c>
      <c r="M130" s="2" t="str">
        <f>IF(Sheet1[[#This Row],[risk_score]]&lt;0.3,"Low",IF(Sheet1[[#This Row],[risk_score]]&lt;0.7,"Medium","High"))</f>
        <v>High</v>
      </c>
      <c r="N130">
        <f>YEAR(Sheet1[[#This Row],[date_joined]])</f>
        <v>2022</v>
      </c>
      <c r="O130" s="2" t="str">
        <f>TEXT(Sheet1[[#This Row],[date_joined]],"mmm")</f>
        <v>Feb</v>
      </c>
      <c r="P130" s="2" t="str">
        <f>"Q"&amp;ROUNDUP(MONTH(Sheet1[[#This Row],[date_joined]])/3,0)</f>
        <v>Q1</v>
      </c>
      <c r="Q130" s="2" t="str">
        <f>IF(Sheet1[[#This Row],[age]]&lt;30,"Young",IF(Sheet1[[#This Row],[age]]&lt;=50,"Adult","Senior"))</f>
        <v>Adult</v>
      </c>
      <c r="R130" s="2" t="str">
        <f t="shared" ref="R130:R193" si="4">IF(AND(H130="Yes",I130="Yes"),"Very High",
IF(OR(H130="Yes",I130="Yes"),"High","Low"))</f>
        <v>High</v>
      </c>
      <c r="S130" s="2" t="str">
        <f t="shared" ref="S130:S193" si="5">G130&amp;" - "&amp;F130</f>
        <v>South - Self-employed</v>
      </c>
    </row>
    <row r="131" spans="1:19" x14ac:dyDescent="0.3">
      <c r="A131" t="s">
        <v>286</v>
      </c>
      <c r="B131" t="s">
        <v>287</v>
      </c>
      <c r="C131">
        <v>45</v>
      </c>
      <c r="D131" s="2" t="s">
        <v>13</v>
      </c>
      <c r="E131" s="2" t="s">
        <v>30</v>
      </c>
      <c r="F131" s="2" t="s">
        <v>23</v>
      </c>
      <c r="G131" s="2" t="s">
        <v>66</v>
      </c>
      <c r="H131" s="2" t="s">
        <v>18</v>
      </c>
      <c r="I131" s="2" t="s">
        <v>17</v>
      </c>
      <c r="J131">
        <v>0.78</v>
      </c>
      <c r="K131" s="1">
        <v>43803</v>
      </c>
      <c r="L131" s="2" t="str">
        <f>IF(Sheet1[[#This Row],[age]]&lt;18, "Under 18",IF(Sheet1[[#This Row],[age]]&lt;=30,"18-30",IF(Sheet1[[#This Row],[age]]&lt;=45,"31-45",IF(Sheet1[[#This Row],[age]]&lt;=60,"46-60","60+"))))</f>
        <v>31-45</v>
      </c>
      <c r="M131" s="2" t="str">
        <f>IF(Sheet1[[#This Row],[risk_score]]&lt;0.3,"Low",IF(Sheet1[[#This Row],[risk_score]]&lt;0.7,"Medium","High"))</f>
        <v>High</v>
      </c>
      <c r="N131">
        <f>YEAR(Sheet1[[#This Row],[date_joined]])</f>
        <v>2019</v>
      </c>
      <c r="O131" s="2" t="str">
        <f>TEXT(Sheet1[[#This Row],[date_joined]],"mmm")</f>
        <v>Dec</v>
      </c>
      <c r="P131" s="2" t="str">
        <f>"Q"&amp;ROUNDUP(MONTH(Sheet1[[#This Row],[date_joined]])/3,0)</f>
        <v>Q4</v>
      </c>
      <c r="Q131" s="2" t="str">
        <f>IF(Sheet1[[#This Row],[age]]&lt;30,"Young",IF(Sheet1[[#This Row],[age]]&lt;=50,"Adult","Senior"))</f>
        <v>Adult</v>
      </c>
      <c r="R131" s="2" t="str">
        <f t="shared" si="4"/>
        <v>High</v>
      </c>
      <c r="S131" s="2" t="str">
        <f t="shared" si="5"/>
        <v>North-East - Salaried</v>
      </c>
    </row>
    <row r="132" spans="1:19" x14ac:dyDescent="0.3">
      <c r="A132" t="s">
        <v>288</v>
      </c>
      <c r="B132" t="s">
        <v>289</v>
      </c>
      <c r="C132">
        <v>38</v>
      </c>
      <c r="D132" s="2" t="s">
        <v>13</v>
      </c>
      <c r="E132" s="2" t="s">
        <v>30</v>
      </c>
      <c r="F132" s="2" t="s">
        <v>23</v>
      </c>
      <c r="G132" s="2" t="s">
        <v>16</v>
      </c>
      <c r="H132" s="2" t="s">
        <v>17</v>
      </c>
      <c r="I132" s="2" t="s">
        <v>18</v>
      </c>
      <c r="J132">
        <v>0.42</v>
      </c>
      <c r="K132" s="1">
        <v>45137</v>
      </c>
      <c r="L132" s="2" t="str">
        <f>IF(Sheet1[[#This Row],[age]]&lt;18, "Under 18",IF(Sheet1[[#This Row],[age]]&lt;=30,"18-30",IF(Sheet1[[#This Row],[age]]&lt;=45,"31-45",IF(Sheet1[[#This Row],[age]]&lt;=60,"46-60","60+"))))</f>
        <v>31-45</v>
      </c>
      <c r="M132" s="2" t="str">
        <f>IF(Sheet1[[#This Row],[risk_score]]&lt;0.3,"Low",IF(Sheet1[[#This Row],[risk_score]]&lt;0.7,"Medium","High"))</f>
        <v>Medium</v>
      </c>
      <c r="N132">
        <f>YEAR(Sheet1[[#This Row],[date_joined]])</f>
        <v>2023</v>
      </c>
      <c r="O132" s="2" t="str">
        <f>TEXT(Sheet1[[#This Row],[date_joined]],"mmm")</f>
        <v>Jul</v>
      </c>
      <c r="P132" s="2" t="str">
        <f>"Q"&amp;ROUNDUP(MONTH(Sheet1[[#This Row],[date_joined]])/3,0)</f>
        <v>Q3</v>
      </c>
      <c r="Q132" s="2" t="str">
        <f>IF(Sheet1[[#This Row],[age]]&lt;30,"Young",IF(Sheet1[[#This Row],[age]]&lt;=50,"Adult","Senior"))</f>
        <v>Adult</v>
      </c>
      <c r="R132" s="2" t="str">
        <f t="shared" si="4"/>
        <v>High</v>
      </c>
      <c r="S132" s="2" t="str">
        <f t="shared" si="5"/>
        <v>West - Salaried</v>
      </c>
    </row>
    <row r="133" spans="1:19" x14ac:dyDescent="0.3">
      <c r="A133" t="s">
        <v>290</v>
      </c>
      <c r="B133" t="s">
        <v>291</v>
      </c>
      <c r="C133">
        <v>63</v>
      </c>
      <c r="D133" s="2" t="s">
        <v>13</v>
      </c>
      <c r="E133" s="2" t="s">
        <v>22</v>
      </c>
      <c r="F133" s="2" t="s">
        <v>15</v>
      </c>
      <c r="G133" s="2" t="s">
        <v>32</v>
      </c>
      <c r="H133" s="2" t="s">
        <v>17</v>
      </c>
      <c r="I133" s="2" t="s">
        <v>17</v>
      </c>
      <c r="J133">
        <v>0.31</v>
      </c>
      <c r="K133" s="1">
        <v>44308</v>
      </c>
      <c r="L133" s="2" t="str">
        <f>IF(Sheet1[[#This Row],[age]]&lt;18, "Under 18",IF(Sheet1[[#This Row],[age]]&lt;=30,"18-30",IF(Sheet1[[#This Row],[age]]&lt;=45,"31-45",IF(Sheet1[[#This Row],[age]]&lt;=60,"46-60","60+"))))</f>
        <v>60+</v>
      </c>
      <c r="M133" s="2" t="str">
        <f>IF(Sheet1[[#This Row],[risk_score]]&lt;0.3,"Low",IF(Sheet1[[#This Row],[risk_score]]&lt;0.7,"Medium","High"))</f>
        <v>Medium</v>
      </c>
      <c r="N133">
        <f>YEAR(Sheet1[[#This Row],[date_joined]])</f>
        <v>2021</v>
      </c>
      <c r="O133" s="2" t="str">
        <f>TEXT(Sheet1[[#This Row],[date_joined]],"mmm")</f>
        <v>Apr</v>
      </c>
      <c r="P133" s="2" t="str">
        <f>"Q"&amp;ROUNDUP(MONTH(Sheet1[[#This Row],[date_joined]])/3,0)</f>
        <v>Q2</v>
      </c>
      <c r="Q133" s="2" t="str">
        <f>IF(Sheet1[[#This Row],[age]]&lt;30,"Young",IF(Sheet1[[#This Row],[age]]&lt;=50,"Adult","Senior"))</f>
        <v>Senior</v>
      </c>
      <c r="R133" s="2" t="str">
        <f t="shared" si="4"/>
        <v>Low</v>
      </c>
      <c r="S133" s="2" t="str">
        <f t="shared" si="5"/>
        <v>South - Student</v>
      </c>
    </row>
    <row r="134" spans="1:19" x14ac:dyDescent="0.3">
      <c r="A134" t="s">
        <v>292</v>
      </c>
      <c r="B134" t="s">
        <v>293</v>
      </c>
      <c r="C134">
        <v>40</v>
      </c>
      <c r="D134" s="2" t="s">
        <v>13</v>
      </c>
      <c r="E134" s="2" t="s">
        <v>30</v>
      </c>
      <c r="F134" s="2" t="s">
        <v>31</v>
      </c>
      <c r="G134" s="2" t="s">
        <v>24</v>
      </c>
      <c r="H134" s="2" t="s">
        <v>17</v>
      </c>
      <c r="I134" s="2" t="s">
        <v>17</v>
      </c>
      <c r="J134">
        <v>0.27</v>
      </c>
      <c r="K134" s="1">
        <v>45102</v>
      </c>
      <c r="L134" s="2" t="str">
        <f>IF(Sheet1[[#This Row],[age]]&lt;18, "Under 18",IF(Sheet1[[#This Row],[age]]&lt;=30,"18-30",IF(Sheet1[[#This Row],[age]]&lt;=45,"31-45",IF(Sheet1[[#This Row],[age]]&lt;=60,"46-60","60+"))))</f>
        <v>31-45</v>
      </c>
      <c r="M134" s="2" t="str">
        <f>IF(Sheet1[[#This Row],[risk_score]]&lt;0.3,"Low",IF(Sheet1[[#This Row],[risk_score]]&lt;0.7,"Medium","High"))</f>
        <v>Low</v>
      </c>
      <c r="N134">
        <f>YEAR(Sheet1[[#This Row],[date_joined]])</f>
        <v>2023</v>
      </c>
      <c r="O134" s="2" t="str">
        <f>TEXT(Sheet1[[#This Row],[date_joined]],"mmm")</f>
        <v>Jun</v>
      </c>
      <c r="P134" s="2" t="str">
        <f>"Q"&amp;ROUNDUP(MONTH(Sheet1[[#This Row],[date_joined]])/3,0)</f>
        <v>Q2</v>
      </c>
      <c r="Q134" s="2" t="str">
        <f>IF(Sheet1[[#This Row],[age]]&lt;30,"Young",IF(Sheet1[[#This Row],[age]]&lt;=50,"Adult","Senior"))</f>
        <v>Adult</v>
      </c>
      <c r="R134" s="2" t="str">
        <f t="shared" si="4"/>
        <v>Low</v>
      </c>
      <c r="S134" s="2" t="str">
        <f t="shared" si="5"/>
        <v>East - Self-employed</v>
      </c>
    </row>
    <row r="135" spans="1:19" x14ac:dyDescent="0.3">
      <c r="A135" t="s">
        <v>294</v>
      </c>
      <c r="B135" t="s">
        <v>295</v>
      </c>
      <c r="C135">
        <v>41</v>
      </c>
      <c r="D135" s="2" t="s">
        <v>21</v>
      </c>
      <c r="E135" s="2" t="s">
        <v>30</v>
      </c>
      <c r="F135" s="2" t="s">
        <v>37</v>
      </c>
      <c r="G135" s="2" t="s">
        <v>24</v>
      </c>
      <c r="H135" s="2" t="s">
        <v>17</v>
      </c>
      <c r="I135" s="2" t="s">
        <v>17</v>
      </c>
      <c r="J135">
        <v>0.43</v>
      </c>
      <c r="K135" s="1">
        <v>44105</v>
      </c>
      <c r="L135" s="2" t="str">
        <f>IF(Sheet1[[#This Row],[age]]&lt;18, "Under 18",IF(Sheet1[[#This Row],[age]]&lt;=30,"18-30",IF(Sheet1[[#This Row],[age]]&lt;=45,"31-45",IF(Sheet1[[#This Row],[age]]&lt;=60,"46-60","60+"))))</f>
        <v>31-45</v>
      </c>
      <c r="M135" s="2" t="str">
        <f>IF(Sheet1[[#This Row],[risk_score]]&lt;0.3,"Low",IF(Sheet1[[#This Row],[risk_score]]&lt;0.7,"Medium","High"))</f>
        <v>Medium</v>
      </c>
      <c r="N135">
        <f>YEAR(Sheet1[[#This Row],[date_joined]])</f>
        <v>2020</v>
      </c>
      <c r="O135" s="2" t="str">
        <f>TEXT(Sheet1[[#This Row],[date_joined]],"mmm")</f>
        <v>Oct</v>
      </c>
      <c r="P135" s="2" t="str">
        <f>"Q"&amp;ROUNDUP(MONTH(Sheet1[[#This Row],[date_joined]])/3,0)</f>
        <v>Q4</v>
      </c>
      <c r="Q135" s="2" t="str">
        <f>IF(Sheet1[[#This Row],[age]]&lt;30,"Young",IF(Sheet1[[#This Row],[age]]&lt;=50,"Adult","Senior"))</f>
        <v>Adult</v>
      </c>
      <c r="R135" s="2" t="str">
        <f t="shared" si="4"/>
        <v>Low</v>
      </c>
      <c r="S135" s="2" t="str">
        <f t="shared" si="5"/>
        <v>East - Retired</v>
      </c>
    </row>
    <row r="136" spans="1:19" x14ac:dyDescent="0.3">
      <c r="A136" t="s">
        <v>296</v>
      </c>
      <c r="B136" t="s">
        <v>297</v>
      </c>
      <c r="C136">
        <v>29</v>
      </c>
      <c r="D136" s="2" t="s">
        <v>13</v>
      </c>
      <c r="E136" s="2" t="s">
        <v>30</v>
      </c>
      <c r="F136" s="2" t="s">
        <v>31</v>
      </c>
      <c r="G136" s="2" t="s">
        <v>16</v>
      </c>
      <c r="H136" s="2" t="s">
        <v>17</v>
      </c>
      <c r="I136" s="2" t="s">
        <v>17</v>
      </c>
      <c r="J136">
        <v>0.21</v>
      </c>
      <c r="K136" s="1">
        <v>43616</v>
      </c>
      <c r="L136" s="2" t="str">
        <f>IF(Sheet1[[#This Row],[age]]&lt;18, "Under 18",IF(Sheet1[[#This Row],[age]]&lt;=30,"18-30",IF(Sheet1[[#This Row],[age]]&lt;=45,"31-45",IF(Sheet1[[#This Row],[age]]&lt;=60,"46-60","60+"))))</f>
        <v>18-30</v>
      </c>
      <c r="M136" s="2" t="str">
        <f>IF(Sheet1[[#This Row],[risk_score]]&lt;0.3,"Low",IF(Sheet1[[#This Row],[risk_score]]&lt;0.7,"Medium","High"))</f>
        <v>Low</v>
      </c>
      <c r="N136">
        <f>YEAR(Sheet1[[#This Row],[date_joined]])</f>
        <v>2019</v>
      </c>
      <c r="O136" s="2" t="str">
        <f>TEXT(Sheet1[[#This Row],[date_joined]],"mmm")</f>
        <v>May</v>
      </c>
      <c r="P136" s="2" t="str">
        <f>"Q"&amp;ROUNDUP(MONTH(Sheet1[[#This Row],[date_joined]])/3,0)</f>
        <v>Q2</v>
      </c>
      <c r="Q136" s="2" t="str">
        <f>IF(Sheet1[[#This Row],[age]]&lt;30,"Young",IF(Sheet1[[#This Row],[age]]&lt;=50,"Adult","Senior"))</f>
        <v>Young</v>
      </c>
      <c r="R136" s="2" t="str">
        <f t="shared" si="4"/>
        <v>Low</v>
      </c>
      <c r="S136" s="2" t="str">
        <f t="shared" si="5"/>
        <v>West - Self-employed</v>
      </c>
    </row>
    <row r="137" spans="1:19" x14ac:dyDescent="0.3">
      <c r="A137" t="s">
        <v>298</v>
      </c>
      <c r="B137" t="s">
        <v>299</v>
      </c>
      <c r="C137">
        <v>36</v>
      </c>
      <c r="D137" s="2" t="s">
        <v>21</v>
      </c>
      <c r="E137" s="2" t="s">
        <v>22</v>
      </c>
      <c r="F137" s="2" t="s">
        <v>37</v>
      </c>
      <c r="G137" s="2" t="s">
        <v>66</v>
      </c>
      <c r="H137" s="2" t="s">
        <v>17</v>
      </c>
      <c r="I137" s="2" t="s">
        <v>18</v>
      </c>
      <c r="J137">
        <v>0.83</v>
      </c>
      <c r="K137" s="1">
        <v>43513</v>
      </c>
      <c r="L137" s="2" t="str">
        <f>IF(Sheet1[[#This Row],[age]]&lt;18, "Under 18",IF(Sheet1[[#This Row],[age]]&lt;=30,"18-30",IF(Sheet1[[#This Row],[age]]&lt;=45,"31-45",IF(Sheet1[[#This Row],[age]]&lt;=60,"46-60","60+"))))</f>
        <v>31-45</v>
      </c>
      <c r="M137" s="2" t="str">
        <f>IF(Sheet1[[#This Row],[risk_score]]&lt;0.3,"Low",IF(Sheet1[[#This Row],[risk_score]]&lt;0.7,"Medium","High"))</f>
        <v>High</v>
      </c>
      <c r="N137">
        <f>YEAR(Sheet1[[#This Row],[date_joined]])</f>
        <v>2019</v>
      </c>
      <c r="O137" s="2" t="str">
        <f>TEXT(Sheet1[[#This Row],[date_joined]],"mmm")</f>
        <v>Feb</v>
      </c>
      <c r="P137" s="2" t="str">
        <f>"Q"&amp;ROUNDUP(MONTH(Sheet1[[#This Row],[date_joined]])/3,0)</f>
        <v>Q1</v>
      </c>
      <c r="Q137" s="2" t="str">
        <f>IF(Sheet1[[#This Row],[age]]&lt;30,"Young",IF(Sheet1[[#This Row],[age]]&lt;=50,"Adult","Senior"))</f>
        <v>Adult</v>
      </c>
      <c r="R137" s="2" t="str">
        <f t="shared" si="4"/>
        <v>High</v>
      </c>
      <c r="S137" s="2" t="str">
        <f t="shared" si="5"/>
        <v>North-East - Retired</v>
      </c>
    </row>
    <row r="138" spans="1:19" x14ac:dyDescent="0.3">
      <c r="A138" t="s">
        <v>300</v>
      </c>
      <c r="B138" t="s">
        <v>301</v>
      </c>
      <c r="C138">
        <v>19</v>
      </c>
      <c r="D138" s="2" t="s">
        <v>21</v>
      </c>
      <c r="E138" s="2" t="s">
        <v>30</v>
      </c>
      <c r="F138" s="2" t="s">
        <v>37</v>
      </c>
      <c r="G138" s="2" t="s">
        <v>66</v>
      </c>
      <c r="H138" s="2" t="s">
        <v>18</v>
      </c>
      <c r="I138" s="2" t="s">
        <v>17</v>
      </c>
      <c r="J138">
        <v>0.69</v>
      </c>
      <c r="K138" s="1">
        <v>43279</v>
      </c>
      <c r="L138" s="2" t="str">
        <f>IF(Sheet1[[#This Row],[age]]&lt;18, "Under 18",IF(Sheet1[[#This Row],[age]]&lt;=30,"18-30",IF(Sheet1[[#This Row],[age]]&lt;=45,"31-45",IF(Sheet1[[#This Row],[age]]&lt;=60,"46-60","60+"))))</f>
        <v>18-30</v>
      </c>
      <c r="M138" s="2" t="str">
        <f>IF(Sheet1[[#This Row],[risk_score]]&lt;0.3,"Low",IF(Sheet1[[#This Row],[risk_score]]&lt;0.7,"Medium","High"))</f>
        <v>Medium</v>
      </c>
      <c r="N138">
        <f>YEAR(Sheet1[[#This Row],[date_joined]])</f>
        <v>2018</v>
      </c>
      <c r="O138" s="2" t="str">
        <f>TEXT(Sheet1[[#This Row],[date_joined]],"mmm")</f>
        <v>Jun</v>
      </c>
      <c r="P138" s="2" t="str">
        <f>"Q"&amp;ROUNDUP(MONTH(Sheet1[[#This Row],[date_joined]])/3,0)</f>
        <v>Q2</v>
      </c>
      <c r="Q138" s="2" t="str">
        <f>IF(Sheet1[[#This Row],[age]]&lt;30,"Young",IF(Sheet1[[#This Row],[age]]&lt;=50,"Adult","Senior"))</f>
        <v>Young</v>
      </c>
      <c r="R138" s="2" t="str">
        <f t="shared" si="4"/>
        <v>High</v>
      </c>
      <c r="S138" s="2" t="str">
        <f t="shared" si="5"/>
        <v>North-East - Retired</v>
      </c>
    </row>
    <row r="139" spans="1:19" x14ac:dyDescent="0.3">
      <c r="A139" t="s">
        <v>302</v>
      </c>
      <c r="B139" t="s">
        <v>303</v>
      </c>
      <c r="C139">
        <v>38</v>
      </c>
      <c r="D139" s="2" t="s">
        <v>13</v>
      </c>
      <c r="E139" s="2" t="s">
        <v>30</v>
      </c>
      <c r="F139" s="2" t="s">
        <v>23</v>
      </c>
      <c r="G139" s="2" t="s">
        <v>81</v>
      </c>
      <c r="H139" s="2" t="s">
        <v>18</v>
      </c>
      <c r="I139" s="2" t="s">
        <v>18</v>
      </c>
      <c r="J139">
        <v>0.62</v>
      </c>
      <c r="K139" s="1">
        <v>44136</v>
      </c>
      <c r="L139" s="2" t="str">
        <f>IF(Sheet1[[#This Row],[age]]&lt;18, "Under 18",IF(Sheet1[[#This Row],[age]]&lt;=30,"18-30",IF(Sheet1[[#This Row],[age]]&lt;=45,"31-45",IF(Sheet1[[#This Row],[age]]&lt;=60,"46-60","60+"))))</f>
        <v>31-45</v>
      </c>
      <c r="M139" s="2" t="str">
        <f>IF(Sheet1[[#This Row],[risk_score]]&lt;0.3,"Low",IF(Sheet1[[#This Row],[risk_score]]&lt;0.7,"Medium","High"))</f>
        <v>Medium</v>
      </c>
      <c r="N139">
        <f>YEAR(Sheet1[[#This Row],[date_joined]])</f>
        <v>2020</v>
      </c>
      <c r="O139" s="2" t="str">
        <f>TEXT(Sheet1[[#This Row],[date_joined]],"mmm")</f>
        <v>Nov</v>
      </c>
      <c r="P139" s="2" t="str">
        <f>"Q"&amp;ROUNDUP(MONTH(Sheet1[[#This Row],[date_joined]])/3,0)</f>
        <v>Q4</v>
      </c>
      <c r="Q139" s="2" t="str">
        <f>IF(Sheet1[[#This Row],[age]]&lt;30,"Young",IF(Sheet1[[#This Row],[age]]&lt;=50,"Adult","Senior"))</f>
        <v>Adult</v>
      </c>
      <c r="R139" s="2" t="str">
        <f t="shared" si="4"/>
        <v>Very High</v>
      </c>
      <c r="S139" s="2" t="str">
        <f t="shared" si="5"/>
        <v>Central - Salaried</v>
      </c>
    </row>
    <row r="140" spans="1:19" x14ac:dyDescent="0.3">
      <c r="A140" t="s">
        <v>304</v>
      </c>
      <c r="B140" t="s">
        <v>305</v>
      </c>
      <c r="C140">
        <v>67</v>
      </c>
      <c r="D140" s="2" t="s">
        <v>21</v>
      </c>
      <c r="E140" s="2" t="s">
        <v>14</v>
      </c>
      <c r="F140" s="2" t="s">
        <v>15</v>
      </c>
      <c r="G140" s="2" t="s">
        <v>81</v>
      </c>
      <c r="H140" s="2" t="s">
        <v>18</v>
      </c>
      <c r="I140" s="2" t="s">
        <v>17</v>
      </c>
      <c r="J140">
        <v>0.39</v>
      </c>
      <c r="K140" s="1">
        <v>43658</v>
      </c>
      <c r="L140" s="2" t="str">
        <f>IF(Sheet1[[#This Row],[age]]&lt;18, "Under 18",IF(Sheet1[[#This Row],[age]]&lt;=30,"18-30",IF(Sheet1[[#This Row],[age]]&lt;=45,"31-45",IF(Sheet1[[#This Row],[age]]&lt;=60,"46-60","60+"))))</f>
        <v>60+</v>
      </c>
      <c r="M140" s="2" t="str">
        <f>IF(Sheet1[[#This Row],[risk_score]]&lt;0.3,"Low",IF(Sheet1[[#This Row],[risk_score]]&lt;0.7,"Medium","High"))</f>
        <v>Medium</v>
      </c>
      <c r="N140">
        <f>YEAR(Sheet1[[#This Row],[date_joined]])</f>
        <v>2019</v>
      </c>
      <c r="O140" s="2" t="str">
        <f>TEXT(Sheet1[[#This Row],[date_joined]],"mmm")</f>
        <v>Jul</v>
      </c>
      <c r="P140" s="2" t="str">
        <f>"Q"&amp;ROUNDUP(MONTH(Sheet1[[#This Row],[date_joined]])/3,0)</f>
        <v>Q3</v>
      </c>
      <c r="Q140" s="2" t="str">
        <f>IF(Sheet1[[#This Row],[age]]&lt;30,"Young",IF(Sheet1[[#This Row],[age]]&lt;=50,"Adult","Senior"))</f>
        <v>Senior</v>
      </c>
      <c r="R140" s="2" t="str">
        <f t="shared" si="4"/>
        <v>High</v>
      </c>
      <c r="S140" s="2" t="str">
        <f t="shared" si="5"/>
        <v>Central - Student</v>
      </c>
    </row>
    <row r="141" spans="1:19" x14ac:dyDescent="0.3">
      <c r="A141" t="s">
        <v>306</v>
      </c>
      <c r="B141" t="s">
        <v>307</v>
      </c>
      <c r="C141">
        <v>36</v>
      </c>
      <c r="D141" s="2" t="s">
        <v>21</v>
      </c>
      <c r="E141" s="2" t="s">
        <v>22</v>
      </c>
      <c r="F141" s="2" t="s">
        <v>23</v>
      </c>
      <c r="G141" s="2" t="s">
        <v>66</v>
      </c>
      <c r="H141" s="2" t="s">
        <v>17</v>
      </c>
      <c r="I141" s="2" t="s">
        <v>17</v>
      </c>
      <c r="J141">
        <v>0.56000000000000005</v>
      </c>
      <c r="K141" s="1">
        <v>43925</v>
      </c>
      <c r="L141" s="2" t="str">
        <f>IF(Sheet1[[#This Row],[age]]&lt;18, "Under 18",IF(Sheet1[[#This Row],[age]]&lt;=30,"18-30",IF(Sheet1[[#This Row],[age]]&lt;=45,"31-45",IF(Sheet1[[#This Row],[age]]&lt;=60,"46-60","60+"))))</f>
        <v>31-45</v>
      </c>
      <c r="M141" s="2" t="str">
        <f>IF(Sheet1[[#This Row],[risk_score]]&lt;0.3,"Low",IF(Sheet1[[#This Row],[risk_score]]&lt;0.7,"Medium","High"))</f>
        <v>Medium</v>
      </c>
      <c r="N141">
        <f>YEAR(Sheet1[[#This Row],[date_joined]])</f>
        <v>2020</v>
      </c>
      <c r="O141" s="2" t="str">
        <f>TEXT(Sheet1[[#This Row],[date_joined]],"mmm")</f>
        <v>Apr</v>
      </c>
      <c r="P141" s="2" t="str">
        <f>"Q"&amp;ROUNDUP(MONTH(Sheet1[[#This Row],[date_joined]])/3,0)</f>
        <v>Q2</v>
      </c>
      <c r="Q141" s="2" t="str">
        <f>IF(Sheet1[[#This Row],[age]]&lt;30,"Young",IF(Sheet1[[#This Row],[age]]&lt;=50,"Adult","Senior"))</f>
        <v>Adult</v>
      </c>
      <c r="R141" s="2" t="str">
        <f t="shared" si="4"/>
        <v>Low</v>
      </c>
      <c r="S141" s="2" t="str">
        <f t="shared" si="5"/>
        <v>North-East - Salaried</v>
      </c>
    </row>
    <row r="142" spans="1:19" x14ac:dyDescent="0.3">
      <c r="A142" t="s">
        <v>308</v>
      </c>
      <c r="B142" t="s">
        <v>309</v>
      </c>
      <c r="C142">
        <v>49</v>
      </c>
      <c r="D142" s="2" t="s">
        <v>13</v>
      </c>
      <c r="E142" s="2" t="s">
        <v>22</v>
      </c>
      <c r="F142" s="2" t="s">
        <v>15</v>
      </c>
      <c r="G142" s="2" t="s">
        <v>27</v>
      </c>
      <c r="H142" s="2" t="s">
        <v>18</v>
      </c>
      <c r="I142" s="2" t="s">
        <v>18</v>
      </c>
      <c r="J142">
        <v>0.57999999999999996</v>
      </c>
      <c r="K142" s="1">
        <v>44623</v>
      </c>
      <c r="L142" s="2" t="str">
        <f>IF(Sheet1[[#This Row],[age]]&lt;18, "Under 18",IF(Sheet1[[#This Row],[age]]&lt;=30,"18-30",IF(Sheet1[[#This Row],[age]]&lt;=45,"31-45",IF(Sheet1[[#This Row],[age]]&lt;=60,"46-60","60+"))))</f>
        <v>46-60</v>
      </c>
      <c r="M142" s="2" t="str">
        <f>IF(Sheet1[[#This Row],[risk_score]]&lt;0.3,"Low",IF(Sheet1[[#This Row],[risk_score]]&lt;0.7,"Medium","High"))</f>
        <v>Medium</v>
      </c>
      <c r="N142">
        <f>YEAR(Sheet1[[#This Row],[date_joined]])</f>
        <v>2022</v>
      </c>
      <c r="O142" s="2" t="str">
        <f>TEXT(Sheet1[[#This Row],[date_joined]],"mmm")</f>
        <v>Mar</v>
      </c>
      <c r="P142" s="2" t="str">
        <f>"Q"&amp;ROUNDUP(MONTH(Sheet1[[#This Row],[date_joined]])/3,0)</f>
        <v>Q1</v>
      </c>
      <c r="Q142" s="2" t="str">
        <f>IF(Sheet1[[#This Row],[age]]&lt;30,"Young",IF(Sheet1[[#This Row],[age]]&lt;=50,"Adult","Senior"))</f>
        <v>Adult</v>
      </c>
      <c r="R142" s="2" t="str">
        <f t="shared" si="4"/>
        <v>Very High</v>
      </c>
      <c r="S142" s="2" t="str">
        <f t="shared" si="5"/>
        <v>North - Student</v>
      </c>
    </row>
    <row r="143" spans="1:19" x14ac:dyDescent="0.3">
      <c r="A143" t="s">
        <v>310</v>
      </c>
      <c r="B143" t="s">
        <v>311</v>
      </c>
      <c r="C143">
        <v>45</v>
      </c>
      <c r="D143" s="2" t="s">
        <v>21</v>
      </c>
      <c r="E143" s="2" t="s">
        <v>30</v>
      </c>
      <c r="F143" s="2" t="s">
        <v>31</v>
      </c>
      <c r="G143" s="2" t="s">
        <v>16</v>
      </c>
      <c r="H143" s="2" t="s">
        <v>17</v>
      </c>
      <c r="I143" s="2" t="s">
        <v>18</v>
      </c>
      <c r="J143">
        <v>0.49</v>
      </c>
      <c r="K143" s="1">
        <v>44095</v>
      </c>
      <c r="L143" s="2" t="str">
        <f>IF(Sheet1[[#This Row],[age]]&lt;18, "Under 18",IF(Sheet1[[#This Row],[age]]&lt;=30,"18-30",IF(Sheet1[[#This Row],[age]]&lt;=45,"31-45",IF(Sheet1[[#This Row],[age]]&lt;=60,"46-60","60+"))))</f>
        <v>31-45</v>
      </c>
      <c r="M143" s="2" t="str">
        <f>IF(Sheet1[[#This Row],[risk_score]]&lt;0.3,"Low",IF(Sheet1[[#This Row],[risk_score]]&lt;0.7,"Medium","High"))</f>
        <v>Medium</v>
      </c>
      <c r="N143">
        <f>YEAR(Sheet1[[#This Row],[date_joined]])</f>
        <v>2020</v>
      </c>
      <c r="O143" s="2" t="str">
        <f>TEXT(Sheet1[[#This Row],[date_joined]],"mmm")</f>
        <v>Sep</v>
      </c>
      <c r="P143" s="2" t="str">
        <f>"Q"&amp;ROUNDUP(MONTH(Sheet1[[#This Row],[date_joined]])/3,0)</f>
        <v>Q3</v>
      </c>
      <c r="Q143" s="2" t="str">
        <f>IF(Sheet1[[#This Row],[age]]&lt;30,"Young",IF(Sheet1[[#This Row],[age]]&lt;=50,"Adult","Senior"))</f>
        <v>Adult</v>
      </c>
      <c r="R143" s="2" t="str">
        <f t="shared" si="4"/>
        <v>High</v>
      </c>
      <c r="S143" s="2" t="str">
        <f t="shared" si="5"/>
        <v>West - Self-employed</v>
      </c>
    </row>
    <row r="144" spans="1:19" x14ac:dyDescent="0.3">
      <c r="A144" t="s">
        <v>312</v>
      </c>
      <c r="B144" t="s">
        <v>313</v>
      </c>
      <c r="C144">
        <v>41</v>
      </c>
      <c r="D144" s="2" t="s">
        <v>21</v>
      </c>
      <c r="E144" s="2" t="s">
        <v>14</v>
      </c>
      <c r="F144" s="2" t="s">
        <v>15</v>
      </c>
      <c r="G144" s="2" t="s">
        <v>81</v>
      </c>
      <c r="H144" s="2" t="s">
        <v>17</v>
      </c>
      <c r="I144" s="2" t="s">
        <v>17</v>
      </c>
      <c r="J144">
        <v>0.28999999999999998</v>
      </c>
      <c r="K144" s="1">
        <v>44176</v>
      </c>
      <c r="L144" s="2" t="str">
        <f>IF(Sheet1[[#This Row],[age]]&lt;18, "Under 18",IF(Sheet1[[#This Row],[age]]&lt;=30,"18-30",IF(Sheet1[[#This Row],[age]]&lt;=45,"31-45",IF(Sheet1[[#This Row],[age]]&lt;=60,"46-60","60+"))))</f>
        <v>31-45</v>
      </c>
      <c r="M144" s="2" t="str">
        <f>IF(Sheet1[[#This Row],[risk_score]]&lt;0.3,"Low",IF(Sheet1[[#This Row],[risk_score]]&lt;0.7,"Medium","High"))</f>
        <v>Low</v>
      </c>
      <c r="N144">
        <f>YEAR(Sheet1[[#This Row],[date_joined]])</f>
        <v>2020</v>
      </c>
      <c r="O144" s="2" t="str">
        <f>TEXT(Sheet1[[#This Row],[date_joined]],"mmm")</f>
        <v>Dec</v>
      </c>
      <c r="P144" s="2" t="str">
        <f>"Q"&amp;ROUNDUP(MONTH(Sheet1[[#This Row],[date_joined]])/3,0)</f>
        <v>Q4</v>
      </c>
      <c r="Q144" s="2" t="str">
        <f>IF(Sheet1[[#This Row],[age]]&lt;30,"Young",IF(Sheet1[[#This Row],[age]]&lt;=50,"Adult","Senior"))</f>
        <v>Adult</v>
      </c>
      <c r="R144" s="2" t="str">
        <f t="shared" si="4"/>
        <v>Low</v>
      </c>
      <c r="S144" s="2" t="str">
        <f t="shared" si="5"/>
        <v>Central - Student</v>
      </c>
    </row>
    <row r="145" spans="1:19" x14ac:dyDescent="0.3">
      <c r="A145" t="s">
        <v>314</v>
      </c>
      <c r="B145" t="s">
        <v>315</v>
      </c>
      <c r="C145">
        <v>21</v>
      </c>
      <c r="D145" s="2" t="s">
        <v>21</v>
      </c>
      <c r="E145" s="2" t="s">
        <v>22</v>
      </c>
      <c r="F145" s="2" t="s">
        <v>31</v>
      </c>
      <c r="G145" s="2" t="s">
        <v>16</v>
      </c>
      <c r="H145" s="2" t="s">
        <v>18</v>
      </c>
      <c r="I145" s="2" t="s">
        <v>18</v>
      </c>
      <c r="J145">
        <v>0.41</v>
      </c>
      <c r="K145" s="1">
        <v>43644</v>
      </c>
      <c r="L145" s="2" t="str">
        <f>IF(Sheet1[[#This Row],[age]]&lt;18, "Under 18",IF(Sheet1[[#This Row],[age]]&lt;=30,"18-30",IF(Sheet1[[#This Row],[age]]&lt;=45,"31-45",IF(Sheet1[[#This Row],[age]]&lt;=60,"46-60","60+"))))</f>
        <v>18-30</v>
      </c>
      <c r="M145" s="2" t="str">
        <f>IF(Sheet1[[#This Row],[risk_score]]&lt;0.3,"Low",IF(Sheet1[[#This Row],[risk_score]]&lt;0.7,"Medium","High"))</f>
        <v>Medium</v>
      </c>
      <c r="N145">
        <f>YEAR(Sheet1[[#This Row],[date_joined]])</f>
        <v>2019</v>
      </c>
      <c r="O145" s="2" t="str">
        <f>TEXT(Sheet1[[#This Row],[date_joined]],"mmm")</f>
        <v>Jun</v>
      </c>
      <c r="P145" s="2" t="str">
        <f>"Q"&amp;ROUNDUP(MONTH(Sheet1[[#This Row],[date_joined]])/3,0)</f>
        <v>Q2</v>
      </c>
      <c r="Q145" s="2" t="str">
        <f>IF(Sheet1[[#This Row],[age]]&lt;30,"Young",IF(Sheet1[[#This Row],[age]]&lt;=50,"Adult","Senior"))</f>
        <v>Young</v>
      </c>
      <c r="R145" s="2" t="str">
        <f t="shared" si="4"/>
        <v>Very High</v>
      </c>
      <c r="S145" s="2" t="str">
        <f t="shared" si="5"/>
        <v>West - Self-employed</v>
      </c>
    </row>
    <row r="146" spans="1:19" x14ac:dyDescent="0.3">
      <c r="A146" t="s">
        <v>316</v>
      </c>
      <c r="B146" t="s">
        <v>317</v>
      </c>
      <c r="C146">
        <v>19</v>
      </c>
      <c r="D146" s="2" t="s">
        <v>13</v>
      </c>
      <c r="E146" s="2" t="s">
        <v>22</v>
      </c>
      <c r="F146" s="2" t="s">
        <v>37</v>
      </c>
      <c r="G146" s="2" t="s">
        <v>27</v>
      </c>
      <c r="H146" s="2" t="s">
        <v>18</v>
      </c>
      <c r="I146" s="2" t="s">
        <v>18</v>
      </c>
      <c r="J146">
        <v>0.61</v>
      </c>
      <c r="K146" s="1">
        <v>43955</v>
      </c>
      <c r="L146" s="2" t="str">
        <f>IF(Sheet1[[#This Row],[age]]&lt;18, "Under 18",IF(Sheet1[[#This Row],[age]]&lt;=30,"18-30",IF(Sheet1[[#This Row],[age]]&lt;=45,"31-45",IF(Sheet1[[#This Row],[age]]&lt;=60,"46-60","60+"))))</f>
        <v>18-30</v>
      </c>
      <c r="M146" s="2" t="str">
        <f>IF(Sheet1[[#This Row],[risk_score]]&lt;0.3,"Low",IF(Sheet1[[#This Row],[risk_score]]&lt;0.7,"Medium","High"))</f>
        <v>Medium</v>
      </c>
      <c r="N146">
        <f>YEAR(Sheet1[[#This Row],[date_joined]])</f>
        <v>2020</v>
      </c>
      <c r="O146" s="2" t="str">
        <f>TEXT(Sheet1[[#This Row],[date_joined]],"mmm")</f>
        <v>May</v>
      </c>
      <c r="P146" s="2" t="str">
        <f>"Q"&amp;ROUNDUP(MONTH(Sheet1[[#This Row],[date_joined]])/3,0)</f>
        <v>Q2</v>
      </c>
      <c r="Q146" s="2" t="str">
        <f>IF(Sheet1[[#This Row],[age]]&lt;30,"Young",IF(Sheet1[[#This Row],[age]]&lt;=50,"Adult","Senior"))</f>
        <v>Young</v>
      </c>
      <c r="R146" s="2" t="str">
        <f t="shared" si="4"/>
        <v>Very High</v>
      </c>
      <c r="S146" s="2" t="str">
        <f t="shared" si="5"/>
        <v>North - Retired</v>
      </c>
    </row>
    <row r="147" spans="1:19" x14ac:dyDescent="0.3">
      <c r="A147" t="s">
        <v>318</v>
      </c>
      <c r="B147" t="s">
        <v>319</v>
      </c>
      <c r="C147">
        <v>42</v>
      </c>
      <c r="D147" s="2" t="s">
        <v>21</v>
      </c>
      <c r="E147" s="2" t="s">
        <v>22</v>
      </c>
      <c r="F147" s="2" t="s">
        <v>31</v>
      </c>
      <c r="G147" s="2" t="s">
        <v>16</v>
      </c>
      <c r="H147" s="2" t="s">
        <v>17</v>
      </c>
      <c r="I147" s="2" t="s">
        <v>18</v>
      </c>
      <c r="J147">
        <v>0.56999999999999995</v>
      </c>
      <c r="K147" s="1">
        <v>44991</v>
      </c>
      <c r="L147" s="2" t="str">
        <f>IF(Sheet1[[#This Row],[age]]&lt;18, "Under 18",IF(Sheet1[[#This Row],[age]]&lt;=30,"18-30",IF(Sheet1[[#This Row],[age]]&lt;=45,"31-45",IF(Sheet1[[#This Row],[age]]&lt;=60,"46-60","60+"))))</f>
        <v>31-45</v>
      </c>
      <c r="M147" s="2" t="str">
        <f>IF(Sheet1[[#This Row],[risk_score]]&lt;0.3,"Low",IF(Sheet1[[#This Row],[risk_score]]&lt;0.7,"Medium","High"))</f>
        <v>Medium</v>
      </c>
      <c r="N147">
        <f>YEAR(Sheet1[[#This Row],[date_joined]])</f>
        <v>2023</v>
      </c>
      <c r="O147" s="2" t="str">
        <f>TEXT(Sheet1[[#This Row],[date_joined]],"mmm")</f>
        <v>Mar</v>
      </c>
      <c r="P147" s="2" t="str">
        <f>"Q"&amp;ROUNDUP(MONTH(Sheet1[[#This Row],[date_joined]])/3,0)</f>
        <v>Q1</v>
      </c>
      <c r="Q147" s="2" t="str">
        <f>IF(Sheet1[[#This Row],[age]]&lt;30,"Young",IF(Sheet1[[#This Row],[age]]&lt;=50,"Adult","Senior"))</f>
        <v>Adult</v>
      </c>
      <c r="R147" s="2" t="str">
        <f t="shared" si="4"/>
        <v>High</v>
      </c>
      <c r="S147" s="2" t="str">
        <f t="shared" si="5"/>
        <v>West - Self-employed</v>
      </c>
    </row>
    <row r="148" spans="1:19" x14ac:dyDescent="0.3">
      <c r="A148" t="s">
        <v>320</v>
      </c>
      <c r="B148" t="s">
        <v>321</v>
      </c>
      <c r="C148">
        <v>33</v>
      </c>
      <c r="D148" s="2" t="s">
        <v>21</v>
      </c>
      <c r="E148" s="2" t="s">
        <v>30</v>
      </c>
      <c r="F148" s="2" t="s">
        <v>23</v>
      </c>
      <c r="G148" s="2" t="s">
        <v>66</v>
      </c>
      <c r="H148" s="2" t="s">
        <v>17</v>
      </c>
      <c r="I148" s="2" t="s">
        <v>18</v>
      </c>
      <c r="J148">
        <v>0.63</v>
      </c>
      <c r="K148" s="1">
        <v>44240</v>
      </c>
      <c r="L148" s="2" t="str">
        <f>IF(Sheet1[[#This Row],[age]]&lt;18, "Under 18",IF(Sheet1[[#This Row],[age]]&lt;=30,"18-30",IF(Sheet1[[#This Row],[age]]&lt;=45,"31-45",IF(Sheet1[[#This Row],[age]]&lt;=60,"46-60","60+"))))</f>
        <v>31-45</v>
      </c>
      <c r="M148" s="2" t="str">
        <f>IF(Sheet1[[#This Row],[risk_score]]&lt;0.3,"Low",IF(Sheet1[[#This Row],[risk_score]]&lt;0.7,"Medium","High"))</f>
        <v>Medium</v>
      </c>
      <c r="N148">
        <f>YEAR(Sheet1[[#This Row],[date_joined]])</f>
        <v>2021</v>
      </c>
      <c r="O148" s="2" t="str">
        <f>TEXT(Sheet1[[#This Row],[date_joined]],"mmm")</f>
        <v>Feb</v>
      </c>
      <c r="P148" s="2" t="str">
        <f>"Q"&amp;ROUNDUP(MONTH(Sheet1[[#This Row],[date_joined]])/3,0)</f>
        <v>Q1</v>
      </c>
      <c r="Q148" s="2" t="str">
        <f>IF(Sheet1[[#This Row],[age]]&lt;30,"Young",IF(Sheet1[[#This Row],[age]]&lt;=50,"Adult","Senior"))</f>
        <v>Adult</v>
      </c>
      <c r="R148" s="2" t="str">
        <f t="shared" si="4"/>
        <v>High</v>
      </c>
      <c r="S148" s="2" t="str">
        <f t="shared" si="5"/>
        <v>North-East - Salaried</v>
      </c>
    </row>
    <row r="149" spans="1:19" x14ac:dyDescent="0.3">
      <c r="A149" t="s">
        <v>322</v>
      </c>
      <c r="B149" t="s">
        <v>323</v>
      </c>
      <c r="C149">
        <v>58</v>
      </c>
      <c r="D149" s="2" t="s">
        <v>21</v>
      </c>
      <c r="E149" s="2" t="s">
        <v>30</v>
      </c>
      <c r="F149" s="2" t="s">
        <v>37</v>
      </c>
      <c r="G149" s="2" t="s">
        <v>27</v>
      </c>
      <c r="H149" s="2" t="s">
        <v>18</v>
      </c>
      <c r="I149" s="2" t="s">
        <v>18</v>
      </c>
      <c r="J149">
        <v>0.35</v>
      </c>
      <c r="K149" s="1">
        <v>44648</v>
      </c>
      <c r="L149" s="2" t="str">
        <f>IF(Sheet1[[#This Row],[age]]&lt;18, "Under 18",IF(Sheet1[[#This Row],[age]]&lt;=30,"18-30",IF(Sheet1[[#This Row],[age]]&lt;=45,"31-45",IF(Sheet1[[#This Row],[age]]&lt;=60,"46-60","60+"))))</f>
        <v>46-60</v>
      </c>
      <c r="M149" s="2" t="str">
        <f>IF(Sheet1[[#This Row],[risk_score]]&lt;0.3,"Low",IF(Sheet1[[#This Row],[risk_score]]&lt;0.7,"Medium","High"))</f>
        <v>Medium</v>
      </c>
      <c r="N149">
        <f>YEAR(Sheet1[[#This Row],[date_joined]])</f>
        <v>2022</v>
      </c>
      <c r="O149" s="2" t="str">
        <f>TEXT(Sheet1[[#This Row],[date_joined]],"mmm")</f>
        <v>Mar</v>
      </c>
      <c r="P149" s="2" t="str">
        <f>"Q"&amp;ROUNDUP(MONTH(Sheet1[[#This Row],[date_joined]])/3,0)</f>
        <v>Q1</v>
      </c>
      <c r="Q149" s="2" t="str">
        <f>IF(Sheet1[[#This Row],[age]]&lt;30,"Young",IF(Sheet1[[#This Row],[age]]&lt;=50,"Adult","Senior"))</f>
        <v>Senior</v>
      </c>
      <c r="R149" s="2" t="str">
        <f t="shared" si="4"/>
        <v>Very High</v>
      </c>
      <c r="S149" s="2" t="str">
        <f t="shared" si="5"/>
        <v>North - Retired</v>
      </c>
    </row>
    <row r="150" spans="1:19" x14ac:dyDescent="0.3">
      <c r="A150" t="s">
        <v>324</v>
      </c>
      <c r="B150" t="s">
        <v>325</v>
      </c>
      <c r="C150">
        <v>66</v>
      </c>
      <c r="D150" s="2" t="s">
        <v>13</v>
      </c>
      <c r="E150" s="2" t="s">
        <v>22</v>
      </c>
      <c r="F150" s="2" t="s">
        <v>23</v>
      </c>
      <c r="G150" s="2" t="s">
        <v>27</v>
      </c>
      <c r="H150" s="2" t="s">
        <v>18</v>
      </c>
      <c r="I150" s="2" t="s">
        <v>17</v>
      </c>
      <c r="J150">
        <v>0.63</v>
      </c>
      <c r="K150" s="1">
        <v>43127</v>
      </c>
      <c r="L150" s="2" t="str">
        <f>IF(Sheet1[[#This Row],[age]]&lt;18, "Under 18",IF(Sheet1[[#This Row],[age]]&lt;=30,"18-30",IF(Sheet1[[#This Row],[age]]&lt;=45,"31-45",IF(Sheet1[[#This Row],[age]]&lt;=60,"46-60","60+"))))</f>
        <v>60+</v>
      </c>
      <c r="M150" s="2" t="str">
        <f>IF(Sheet1[[#This Row],[risk_score]]&lt;0.3,"Low",IF(Sheet1[[#This Row],[risk_score]]&lt;0.7,"Medium","High"))</f>
        <v>Medium</v>
      </c>
      <c r="N150">
        <f>YEAR(Sheet1[[#This Row],[date_joined]])</f>
        <v>2018</v>
      </c>
      <c r="O150" s="2" t="str">
        <f>TEXT(Sheet1[[#This Row],[date_joined]],"mmm")</f>
        <v>Jan</v>
      </c>
      <c r="P150" s="2" t="str">
        <f>"Q"&amp;ROUNDUP(MONTH(Sheet1[[#This Row],[date_joined]])/3,0)</f>
        <v>Q1</v>
      </c>
      <c r="Q150" s="2" t="str">
        <f>IF(Sheet1[[#This Row],[age]]&lt;30,"Young",IF(Sheet1[[#This Row],[age]]&lt;=50,"Adult","Senior"))</f>
        <v>Senior</v>
      </c>
      <c r="R150" s="2" t="str">
        <f t="shared" si="4"/>
        <v>High</v>
      </c>
      <c r="S150" s="2" t="str">
        <f t="shared" si="5"/>
        <v>North - Salaried</v>
      </c>
    </row>
    <row r="151" spans="1:19" x14ac:dyDescent="0.3">
      <c r="A151" t="s">
        <v>326</v>
      </c>
      <c r="B151" t="s">
        <v>327</v>
      </c>
      <c r="C151">
        <v>46</v>
      </c>
      <c r="D151" s="2" t="s">
        <v>13</v>
      </c>
      <c r="E151" s="2" t="s">
        <v>22</v>
      </c>
      <c r="F151" s="2" t="s">
        <v>31</v>
      </c>
      <c r="G151" s="2" t="s">
        <v>81</v>
      </c>
      <c r="H151" s="2" t="s">
        <v>18</v>
      </c>
      <c r="I151" s="2" t="s">
        <v>18</v>
      </c>
      <c r="J151">
        <v>0.25</v>
      </c>
      <c r="K151" s="1">
        <v>45054</v>
      </c>
      <c r="L151" s="2" t="str">
        <f>IF(Sheet1[[#This Row],[age]]&lt;18, "Under 18",IF(Sheet1[[#This Row],[age]]&lt;=30,"18-30",IF(Sheet1[[#This Row],[age]]&lt;=45,"31-45",IF(Sheet1[[#This Row],[age]]&lt;=60,"46-60","60+"))))</f>
        <v>46-60</v>
      </c>
      <c r="M151" s="2" t="str">
        <f>IF(Sheet1[[#This Row],[risk_score]]&lt;0.3,"Low",IF(Sheet1[[#This Row],[risk_score]]&lt;0.7,"Medium","High"))</f>
        <v>Low</v>
      </c>
      <c r="N151">
        <f>YEAR(Sheet1[[#This Row],[date_joined]])</f>
        <v>2023</v>
      </c>
      <c r="O151" s="2" t="str">
        <f>TEXT(Sheet1[[#This Row],[date_joined]],"mmm")</f>
        <v>May</v>
      </c>
      <c r="P151" s="2" t="str">
        <f>"Q"&amp;ROUNDUP(MONTH(Sheet1[[#This Row],[date_joined]])/3,0)</f>
        <v>Q2</v>
      </c>
      <c r="Q151" s="2" t="str">
        <f>IF(Sheet1[[#This Row],[age]]&lt;30,"Young",IF(Sheet1[[#This Row],[age]]&lt;=50,"Adult","Senior"))</f>
        <v>Adult</v>
      </c>
      <c r="R151" s="2" t="str">
        <f t="shared" si="4"/>
        <v>Very High</v>
      </c>
      <c r="S151" s="2" t="str">
        <f t="shared" si="5"/>
        <v>Central - Self-employed</v>
      </c>
    </row>
    <row r="152" spans="1:19" x14ac:dyDescent="0.3">
      <c r="A152" t="s">
        <v>328</v>
      </c>
      <c r="B152" t="s">
        <v>329</v>
      </c>
      <c r="C152">
        <v>69</v>
      </c>
      <c r="D152" s="2" t="s">
        <v>21</v>
      </c>
      <c r="E152" s="2" t="s">
        <v>22</v>
      </c>
      <c r="F152" s="2" t="s">
        <v>37</v>
      </c>
      <c r="G152" s="2" t="s">
        <v>81</v>
      </c>
      <c r="H152" s="2" t="s">
        <v>17</v>
      </c>
      <c r="I152" s="2" t="s">
        <v>18</v>
      </c>
      <c r="J152">
        <v>0.92</v>
      </c>
      <c r="K152" s="1">
        <v>45255</v>
      </c>
      <c r="L152" s="2" t="str">
        <f>IF(Sheet1[[#This Row],[age]]&lt;18, "Under 18",IF(Sheet1[[#This Row],[age]]&lt;=30,"18-30",IF(Sheet1[[#This Row],[age]]&lt;=45,"31-45",IF(Sheet1[[#This Row],[age]]&lt;=60,"46-60","60+"))))</f>
        <v>60+</v>
      </c>
      <c r="M152" s="2" t="str">
        <f>IF(Sheet1[[#This Row],[risk_score]]&lt;0.3,"Low",IF(Sheet1[[#This Row],[risk_score]]&lt;0.7,"Medium","High"))</f>
        <v>High</v>
      </c>
      <c r="N152">
        <f>YEAR(Sheet1[[#This Row],[date_joined]])</f>
        <v>2023</v>
      </c>
      <c r="O152" s="2" t="str">
        <f>TEXT(Sheet1[[#This Row],[date_joined]],"mmm")</f>
        <v>Nov</v>
      </c>
      <c r="P152" s="2" t="str">
        <f>"Q"&amp;ROUNDUP(MONTH(Sheet1[[#This Row],[date_joined]])/3,0)</f>
        <v>Q4</v>
      </c>
      <c r="Q152" s="2" t="str">
        <f>IF(Sheet1[[#This Row],[age]]&lt;30,"Young",IF(Sheet1[[#This Row],[age]]&lt;=50,"Adult","Senior"))</f>
        <v>Senior</v>
      </c>
      <c r="R152" s="2" t="str">
        <f t="shared" si="4"/>
        <v>High</v>
      </c>
      <c r="S152" s="2" t="str">
        <f t="shared" si="5"/>
        <v>Central - Retired</v>
      </c>
    </row>
    <row r="153" spans="1:19" x14ac:dyDescent="0.3">
      <c r="A153" t="s">
        <v>330</v>
      </c>
      <c r="B153" t="s">
        <v>331</v>
      </c>
      <c r="C153">
        <v>28</v>
      </c>
      <c r="D153" s="2" t="s">
        <v>13</v>
      </c>
      <c r="E153" s="2" t="s">
        <v>30</v>
      </c>
      <c r="F153" s="2" t="s">
        <v>15</v>
      </c>
      <c r="G153" s="2" t="s">
        <v>16</v>
      </c>
      <c r="H153" s="2" t="s">
        <v>17</v>
      </c>
      <c r="I153" s="2" t="s">
        <v>17</v>
      </c>
      <c r="J153">
        <v>0.45</v>
      </c>
      <c r="K153" s="1">
        <v>43848</v>
      </c>
      <c r="L153" s="2" t="str">
        <f>IF(Sheet1[[#This Row],[age]]&lt;18, "Under 18",IF(Sheet1[[#This Row],[age]]&lt;=30,"18-30",IF(Sheet1[[#This Row],[age]]&lt;=45,"31-45",IF(Sheet1[[#This Row],[age]]&lt;=60,"46-60","60+"))))</f>
        <v>18-30</v>
      </c>
      <c r="M153" s="2" t="str">
        <f>IF(Sheet1[[#This Row],[risk_score]]&lt;0.3,"Low",IF(Sheet1[[#This Row],[risk_score]]&lt;0.7,"Medium","High"))</f>
        <v>Medium</v>
      </c>
      <c r="N153">
        <f>YEAR(Sheet1[[#This Row],[date_joined]])</f>
        <v>2020</v>
      </c>
      <c r="O153" s="2" t="str">
        <f>TEXT(Sheet1[[#This Row],[date_joined]],"mmm")</f>
        <v>Jan</v>
      </c>
      <c r="P153" s="2" t="str">
        <f>"Q"&amp;ROUNDUP(MONTH(Sheet1[[#This Row],[date_joined]])/3,0)</f>
        <v>Q1</v>
      </c>
      <c r="Q153" s="2" t="str">
        <f>IF(Sheet1[[#This Row],[age]]&lt;30,"Young",IF(Sheet1[[#This Row],[age]]&lt;=50,"Adult","Senior"))</f>
        <v>Young</v>
      </c>
      <c r="R153" s="2" t="str">
        <f t="shared" si="4"/>
        <v>Low</v>
      </c>
      <c r="S153" s="2" t="str">
        <f t="shared" si="5"/>
        <v>West - Student</v>
      </c>
    </row>
    <row r="154" spans="1:19" x14ac:dyDescent="0.3">
      <c r="A154" t="s">
        <v>332</v>
      </c>
      <c r="B154" t="s">
        <v>333</v>
      </c>
      <c r="C154">
        <v>66</v>
      </c>
      <c r="D154" s="2" t="s">
        <v>13</v>
      </c>
      <c r="E154" s="2" t="s">
        <v>22</v>
      </c>
      <c r="F154" s="2" t="s">
        <v>31</v>
      </c>
      <c r="G154" s="2" t="s">
        <v>24</v>
      </c>
      <c r="H154" s="2" t="s">
        <v>17</v>
      </c>
      <c r="I154" s="2" t="s">
        <v>18</v>
      </c>
      <c r="J154">
        <v>0.53</v>
      </c>
      <c r="K154" s="1">
        <v>44039</v>
      </c>
      <c r="L154" s="2" t="str">
        <f>IF(Sheet1[[#This Row],[age]]&lt;18, "Under 18",IF(Sheet1[[#This Row],[age]]&lt;=30,"18-30",IF(Sheet1[[#This Row],[age]]&lt;=45,"31-45",IF(Sheet1[[#This Row],[age]]&lt;=60,"46-60","60+"))))</f>
        <v>60+</v>
      </c>
      <c r="M154" s="2" t="str">
        <f>IF(Sheet1[[#This Row],[risk_score]]&lt;0.3,"Low",IF(Sheet1[[#This Row],[risk_score]]&lt;0.7,"Medium","High"))</f>
        <v>Medium</v>
      </c>
      <c r="N154">
        <f>YEAR(Sheet1[[#This Row],[date_joined]])</f>
        <v>2020</v>
      </c>
      <c r="O154" s="2" t="str">
        <f>TEXT(Sheet1[[#This Row],[date_joined]],"mmm")</f>
        <v>Jul</v>
      </c>
      <c r="P154" s="2" t="str">
        <f>"Q"&amp;ROUNDUP(MONTH(Sheet1[[#This Row],[date_joined]])/3,0)</f>
        <v>Q3</v>
      </c>
      <c r="Q154" s="2" t="str">
        <f>IF(Sheet1[[#This Row],[age]]&lt;30,"Young",IF(Sheet1[[#This Row],[age]]&lt;=50,"Adult","Senior"))</f>
        <v>Senior</v>
      </c>
      <c r="R154" s="2" t="str">
        <f t="shared" si="4"/>
        <v>High</v>
      </c>
      <c r="S154" s="2" t="str">
        <f t="shared" si="5"/>
        <v>East - Self-employed</v>
      </c>
    </row>
    <row r="155" spans="1:19" x14ac:dyDescent="0.3">
      <c r="A155" t="s">
        <v>334</v>
      </c>
      <c r="B155" t="s">
        <v>335</v>
      </c>
      <c r="C155">
        <v>55</v>
      </c>
      <c r="D155" s="2" t="s">
        <v>21</v>
      </c>
      <c r="E155" s="2" t="s">
        <v>14</v>
      </c>
      <c r="F155" s="2" t="s">
        <v>31</v>
      </c>
      <c r="G155" s="2" t="s">
        <v>66</v>
      </c>
      <c r="H155" s="2" t="s">
        <v>17</v>
      </c>
      <c r="I155" s="2" t="s">
        <v>18</v>
      </c>
      <c r="J155">
        <v>0.72</v>
      </c>
      <c r="K155" s="1">
        <v>44814</v>
      </c>
      <c r="L155" s="2" t="str">
        <f>IF(Sheet1[[#This Row],[age]]&lt;18, "Under 18",IF(Sheet1[[#This Row],[age]]&lt;=30,"18-30",IF(Sheet1[[#This Row],[age]]&lt;=45,"31-45",IF(Sheet1[[#This Row],[age]]&lt;=60,"46-60","60+"))))</f>
        <v>46-60</v>
      </c>
      <c r="M155" s="2" t="str">
        <f>IF(Sheet1[[#This Row],[risk_score]]&lt;0.3,"Low",IF(Sheet1[[#This Row],[risk_score]]&lt;0.7,"Medium","High"))</f>
        <v>High</v>
      </c>
      <c r="N155">
        <f>YEAR(Sheet1[[#This Row],[date_joined]])</f>
        <v>2022</v>
      </c>
      <c r="O155" s="2" t="str">
        <f>TEXT(Sheet1[[#This Row],[date_joined]],"mmm")</f>
        <v>Sep</v>
      </c>
      <c r="P155" s="2" t="str">
        <f>"Q"&amp;ROUNDUP(MONTH(Sheet1[[#This Row],[date_joined]])/3,0)</f>
        <v>Q3</v>
      </c>
      <c r="Q155" s="2" t="str">
        <f>IF(Sheet1[[#This Row],[age]]&lt;30,"Young",IF(Sheet1[[#This Row],[age]]&lt;=50,"Adult","Senior"))</f>
        <v>Senior</v>
      </c>
      <c r="R155" s="2" t="str">
        <f t="shared" si="4"/>
        <v>High</v>
      </c>
      <c r="S155" s="2" t="str">
        <f t="shared" si="5"/>
        <v>North-East - Self-employed</v>
      </c>
    </row>
    <row r="156" spans="1:19" x14ac:dyDescent="0.3">
      <c r="A156" t="s">
        <v>336</v>
      </c>
      <c r="B156" t="s">
        <v>337</v>
      </c>
      <c r="C156">
        <v>29</v>
      </c>
      <c r="D156" s="2" t="s">
        <v>21</v>
      </c>
      <c r="E156" s="2" t="s">
        <v>14</v>
      </c>
      <c r="F156" s="2" t="s">
        <v>15</v>
      </c>
      <c r="G156" s="2" t="s">
        <v>16</v>
      </c>
      <c r="H156" s="2" t="s">
        <v>18</v>
      </c>
      <c r="I156" s="2" t="s">
        <v>18</v>
      </c>
      <c r="J156">
        <v>0.56000000000000005</v>
      </c>
      <c r="K156" s="1">
        <v>44155</v>
      </c>
      <c r="L156" s="2" t="str">
        <f>IF(Sheet1[[#This Row],[age]]&lt;18, "Under 18",IF(Sheet1[[#This Row],[age]]&lt;=30,"18-30",IF(Sheet1[[#This Row],[age]]&lt;=45,"31-45",IF(Sheet1[[#This Row],[age]]&lt;=60,"46-60","60+"))))</f>
        <v>18-30</v>
      </c>
      <c r="M156" s="2" t="str">
        <f>IF(Sheet1[[#This Row],[risk_score]]&lt;0.3,"Low",IF(Sheet1[[#This Row],[risk_score]]&lt;0.7,"Medium","High"))</f>
        <v>Medium</v>
      </c>
      <c r="N156">
        <f>YEAR(Sheet1[[#This Row],[date_joined]])</f>
        <v>2020</v>
      </c>
      <c r="O156" s="2" t="str">
        <f>TEXT(Sheet1[[#This Row],[date_joined]],"mmm")</f>
        <v>Nov</v>
      </c>
      <c r="P156" s="2" t="str">
        <f>"Q"&amp;ROUNDUP(MONTH(Sheet1[[#This Row],[date_joined]])/3,0)</f>
        <v>Q4</v>
      </c>
      <c r="Q156" s="2" t="str">
        <f>IF(Sheet1[[#This Row],[age]]&lt;30,"Young",IF(Sheet1[[#This Row],[age]]&lt;=50,"Adult","Senior"))</f>
        <v>Young</v>
      </c>
      <c r="R156" s="2" t="str">
        <f t="shared" si="4"/>
        <v>Very High</v>
      </c>
      <c r="S156" s="2" t="str">
        <f t="shared" si="5"/>
        <v>West - Student</v>
      </c>
    </row>
    <row r="157" spans="1:19" x14ac:dyDescent="0.3">
      <c r="A157" t="s">
        <v>338</v>
      </c>
      <c r="B157" t="s">
        <v>339</v>
      </c>
      <c r="C157">
        <v>28</v>
      </c>
      <c r="D157" s="2" t="s">
        <v>13</v>
      </c>
      <c r="E157" s="2" t="s">
        <v>22</v>
      </c>
      <c r="F157" s="2" t="s">
        <v>37</v>
      </c>
      <c r="G157" s="2" t="s">
        <v>66</v>
      </c>
      <c r="H157" s="2" t="s">
        <v>17</v>
      </c>
      <c r="I157" s="2" t="s">
        <v>17</v>
      </c>
      <c r="J157">
        <v>0.3</v>
      </c>
      <c r="K157" s="1">
        <v>44507</v>
      </c>
      <c r="L157" s="2" t="str">
        <f>IF(Sheet1[[#This Row],[age]]&lt;18, "Under 18",IF(Sheet1[[#This Row],[age]]&lt;=30,"18-30",IF(Sheet1[[#This Row],[age]]&lt;=45,"31-45",IF(Sheet1[[#This Row],[age]]&lt;=60,"46-60","60+"))))</f>
        <v>18-30</v>
      </c>
      <c r="M157" s="2" t="str">
        <f>IF(Sheet1[[#This Row],[risk_score]]&lt;0.3,"Low",IF(Sheet1[[#This Row],[risk_score]]&lt;0.7,"Medium","High"))</f>
        <v>Medium</v>
      </c>
      <c r="N157">
        <f>YEAR(Sheet1[[#This Row],[date_joined]])</f>
        <v>2021</v>
      </c>
      <c r="O157" s="2" t="str">
        <f>TEXT(Sheet1[[#This Row],[date_joined]],"mmm")</f>
        <v>Nov</v>
      </c>
      <c r="P157" s="2" t="str">
        <f>"Q"&amp;ROUNDUP(MONTH(Sheet1[[#This Row],[date_joined]])/3,0)</f>
        <v>Q4</v>
      </c>
      <c r="Q157" s="2" t="str">
        <f>IF(Sheet1[[#This Row],[age]]&lt;30,"Young",IF(Sheet1[[#This Row],[age]]&lt;=50,"Adult","Senior"))</f>
        <v>Young</v>
      </c>
      <c r="R157" s="2" t="str">
        <f t="shared" si="4"/>
        <v>Low</v>
      </c>
      <c r="S157" s="2" t="str">
        <f t="shared" si="5"/>
        <v>North-East - Retired</v>
      </c>
    </row>
    <row r="158" spans="1:19" x14ac:dyDescent="0.3">
      <c r="A158" t="s">
        <v>340</v>
      </c>
      <c r="B158" t="s">
        <v>341</v>
      </c>
      <c r="C158">
        <v>41</v>
      </c>
      <c r="D158" s="2" t="s">
        <v>13</v>
      </c>
      <c r="E158" s="2" t="s">
        <v>14</v>
      </c>
      <c r="F158" s="2" t="s">
        <v>37</v>
      </c>
      <c r="G158" s="2" t="s">
        <v>32</v>
      </c>
      <c r="H158" s="2" t="s">
        <v>18</v>
      </c>
      <c r="I158" s="2" t="s">
        <v>18</v>
      </c>
      <c r="J158">
        <v>0.8</v>
      </c>
      <c r="K158" s="1">
        <v>43369</v>
      </c>
      <c r="L158" s="2" t="str">
        <f>IF(Sheet1[[#This Row],[age]]&lt;18, "Under 18",IF(Sheet1[[#This Row],[age]]&lt;=30,"18-30",IF(Sheet1[[#This Row],[age]]&lt;=45,"31-45",IF(Sheet1[[#This Row],[age]]&lt;=60,"46-60","60+"))))</f>
        <v>31-45</v>
      </c>
      <c r="M158" s="2" t="str">
        <f>IF(Sheet1[[#This Row],[risk_score]]&lt;0.3,"Low",IF(Sheet1[[#This Row],[risk_score]]&lt;0.7,"Medium","High"))</f>
        <v>High</v>
      </c>
      <c r="N158">
        <f>YEAR(Sheet1[[#This Row],[date_joined]])</f>
        <v>2018</v>
      </c>
      <c r="O158" s="2" t="str">
        <f>TEXT(Sheet1[[#This Row],[date_joined]],"mmm")</f>
        <v>Sep</v>
      </c>
      <c r="P158" s="2" t="str">
        <f>"Q"&amp;ROUNDUP(MONTH(Sheet1[[#This Row],[date_joined]])/3,0)</f>
        <v>Q3</v>
      </c>
      <c r="Q158" s="2" t="str">
        <f>IF(Sheet1[[#This Row],[age]]&lt;30,"Young",IF(Sheet1[[#This Row],[age]]&lt;=50,"Adult","Senior"))</f>
        <v>Adult</v>
      </c>
      <c r="R158" s="2" t="str">
        <f t="shared" si="4"/>
        <v>Very High</v>
      </c>
      <c r="S158" s="2" t="str">
        <f t="shared" si="5"/>
        <v>South - Retired</v>
      </c>
    </row>
    <row r="159" spans="1:19" x14ac:dyDescent="0.3">
      <c r="A159" t="s">
        <v>342</v>
      </c>
      <c r="B159" t="s">
        <v>343</v>
      </c>
      <c r="C159">
        <v>21</v>
      </c>
      <c r="D159" s="2" t="s">
        <v>21</v>
      </c>
      <c r="E159" s="2" t="s">
        <v>14</v>
      </c>
      <c r="F159" s="2" t="s">
        <v>23</v>
      </c>
      <c r="G159" s="2" t="s">
        <v>66</v>
      </c>
      <c r="H159" s="2" t="s">
        <v>17</v>
      </c>
      <c r="I159" s="2" t="s">
        <v>18</v>
      </c>
      <c r="J159">
        <v>0.6</v>
      </c>
      <c r="K159" s="1">
        <v>45051</v>
      </c>
      <c r="L159" s="2" t="str">
        <f>IF(Sheet1[[#This Row],[age]]&lt;18, "Under 18",IF(Sheet1[[#This Row],[age]]&lt;=30,"18-30",IF(Sheet1[[#This Row],[age]]&lt;=45,"31-45",IF(Sheet1[[#This Row],[age]]&lt;=60,"46-60","60+"))))</f>
        <v>18-30</v>
      </c>
      <c r="M159" s="2" t="str">
        <f>IF(Sheet1[[#This Row],[risk_score]]&lt;0.3,"Low",IF(Sheet1[[#This Row],[risk_score]]&lt;0.7,"Medium","High"))</f>
        <v>Medium</v>
      </c>
      <c r="N159">
        <f>YEAR(Sheet1[[#This Row],[date_joined]])</f>
        <v>2023</v>
      </c>
      <c r="O159" s="2" t="str">
        <f>TEXT(Sheet1[[#This Row],[date_joined]],"mmm")</f>
        <v>May</v>
      </c>
      <c r="P159" s="2" t="str">
        <f>"Q"&amp;ROUNDUP(MONTH(Sheet1[[#This Row],[date_joined]])/3,0)</f>
        <v>Q2</v>
      </c>
      <c r="Q159" s="2" t="str">
        <f>IF(Sheet1[[#This Row],[age]]&lt;30,"Young",IF(Sheet1[[#This Row],[age]]&lt;=50,"Adult","Senior"))</f>
        <v>Young</v>
      </c>
      <c r="R159" s="2" t="str">
        <f t="shared" si="4"/>
        <v>High</v>
      </c>
      <c r="S159" s="2" t="str">
        <f t="shared" si="5"/>
        <v>North-East - Salaried</v>
      </c>
    </row>
    <row r="160" spans="1:19" x14ac:dyDescent="0.3">
      <c r="A160" t="s">
        <v>344</v>
      </c>
      <c r="B160" t="s">
        <v>345</v>
      </c>
      <c r="C160">
        <v>19</v>
      </c>
      <c r="D160" s="2" t="s">
        <v>13</v>
      </c>
      <c r="E160" s="2" t="s">
        <v>14</v>
      </c>
      <c r="F160" s="2" t="s">
        <v>15</v>
      </c>
      <c r="G160" s="2" t="s">
        <v>16</v>
      </c>
      <c r="H160" s="2" t="s">
        <v>18</v>
      </c>
      <c r="I160" s="2" t="s">
        <v>18</v>
      </c>
      <c r="J160">
        <v>0.55000000000000004</v>
      </c>
      <c r="K160" s="1">
        <v>43634</v>
      </c>
      <c r="L160" s="2" t="str">
        <f>IF(Sheet1[[#This Row],[age]]&lt;18, "Under 18",IF(Sheet1[[#This Row],[age]]&lt;=30,"18-30",IF(Sheet1[[#This Row],[age]]&lt;=45,"31-45",IF(Sheet1[[#This Row],[age]]&lt;=60,"46-60","60+"))))</f>
        <v>18-30</v>
      </c>
      <c r="M160" s="2" t="str">
        <f>IF(Sheet1[[#This Row],[risk_score]]&lt;0.3,"Low",IF(Sheet1[[#This Row],[risk_score]]&lt;0.7,"Medium","High"))</f>
        <v>Medium</v>
      </c>
      <c r="N160">
        <f>YEAR(Sheet1[[#This Row],[date_joined]])</f>
        <v>2019</v>
      </c>
      <c r="O160" s="2" t="str">
        <f>TEXT(Sheet1[[#This Row],[date_joined]],"mmm")</f>
        <v>Jun</v>
      </c>
      <c r="P160" s="2" t="str">
        <f>"Q"&amp;ROUNDUP(MONTH(Sheet1[[#This Row],[date_joined]])/3,0)</f>
        <v>Q2</v>
      </c>
      <c r="Q160" s="2" t="str">
        <f>IF(Sheet1[[#This Row],[age]]&lt;30,"Young",IF(Sheet1[[#This Row],[age]]&lt;=50,"Adult","Senior"))</f>
        <v>Young</v>
      </c>
      <c r="R160" s="2" t="str">
        <f t="shared" si="4"/>
        <v>Very High</v>
      </c>
      <c r="S160" s="2" t="str">
        <f t="shared" si="5"/>
        <v>West - Student</v>
      </c>
    </row>
    <row r="161" spans="1:19" x14ac:dyDescent="0.3">
      <c r="A161" t="s">
        <v>346</v>
      </c>
      <c r="B161" t="s">
        <v>347</v>
      </c>
      <c r="C161">
        <v>41</v>
      </c>
      <c r="D161" s="2" t="s">
        <v>21</v>
      </c>
      <c r="E161" s="2" t="s">
        <v>14</v>
      </c>
      <c r="F161" s="2" t="s">
        <v>37</v>
      </c>
      <c r="G161" s="2" t="s">
        <v>27</v>
      </c>
      <c r="H161" s="2" t="s">
        <v>17</v>
      </c>
      <c r="I161" s="2" t="s">
        <v>17</v>
      </c>
      <c r="J161">
        <v>0.28999999999999998</v>
      </c>
      <c r="K161" s="1">
        <v>43312</v>
      </c>
      <c r="L161" s="2" t="str">
        <f>IF(Sheet1[[#This Row],[age]]&lt;18, "Under 18",IF(Sheet1[[#This Row],[age]]&lt;=30,"18-30",IF(Sheet1[[#This Row],[age]]&lt;=45,"31-45",IF(Sheet1[[#This Row],[age]]&lt;=60,"46-60","60+"))))</f>
        <v>31-45</v>
      </c>
      <c r="M161" s="2" t="str">
        <f>IF(Sheet1[[#This Row],[risk_score]]&lt;0.3,"Low",IF(Sheet1[[#This Row],[risk_score]]&lt;0.7,"Medium","High"))</f>
        <v>Low</v>
      </c>
      <c r="N161">
        <f>YEAR(Sheet1[[#This Row],[date_joined]])</f>
        <v>2018</v>
      </c>
      <c r="O161" s="2" t="str">
        <f>TEXT(Sheet1[[#This Row],[date_joined]],"mmm")</f>
        <v>Jul</v>
      </c>
      <c r="P161" s="2" t="str">
        <f>"Q"&amp;ROUNDUP(MONTH(Sheet1[[#This Row],[date_joined]])/3,0)</f>
        <v>Q3</v>
      </c>
      <c r="Q161" s="2" t="str">
        <f>IF(Sheet1[[#This Row],[age]]&lt;30,"Young",IF(Sheet1[[#This Row],[age]]&lt;=50,"Adult","Senior"))</f>
        <v>Adult</v>
      </c>
      <c r="R161" s="2" t="str">
        <f t="shared" si="4"/>
        <v>Low</v>
      </c>
      <c r="S161" s="2" t="str">
        <f t="shared" si="5"/>
        <v>North - Retired</v>
      </c>
    </row>
    <row r="162" spans="1:19" x14ac:dyDescent="0.3">
      <c r="A162" t="s">
        <v>348</v>
      </c>
      <c r="B162" t="s">
        <v>349</v>
      </c>
      <c r="C162">
        <v>56</v>
      </c>
      <c r="D162" s="2" t="s">
        <v>13</v>
      </c>
      <c r="E162" s="2" t="s">
        <v>30</v>
      </c>
      <c r="F162" s="2" t="s">
        <v>23</v>
      </c>
      <c r="G162" s="2" t="s">
        <v>27</v>
      </c>
      <c r="H162" s="2" t="s">
        <v>18</v>
      </c>
      <c r="I162" s="2" t="s">
        <v>17</v>
      </c>
      <c r="J162">
        <v>0.28999999999999998</v>
      </c>
      <c r="K162" s="1">
        <v>43718</v>
      </c>
      <c r="L162" s="2" t="str">
        <f>IF(Sheet1[[#This Row],[age]]&lt;18, "Under 18",IF(Sheet1[[#This Row],[age]]&lt;=30,"18-30",IF(Sheet1[[#This Row],[age]]&lt;=45,"31-45",IF(Sheet1[[#This Row],[age]]&lt;=60,"46-60","60+"))))</f>
        <v>46-60</v>
      </c>
      <c r="M162" s="2" t="str">
        <f>IF(Sheet1[[#This Row],[risk_score]]&lt;0.3,"Low",IF(Sheet1[[#This Row],[risk_score]]&lt;0.7,"Medium","High"))</f>
        <v>Low</v>
      </c>
      <c r="N162">
        <f>YEAR(Sheet1[[#This Row],[date_joined]])</f>
        <v>2019</v>
      </c>
      <c r="O162" s="2" t="str">
        <f>TEXT(Sheet1[[#This Row],[date_joined]],"mmm")</f>
        <v>Sep</v>
      </c>
      <c r="P162" s="2" t="str">
        <f>"Q"&amp;ROUNDUP(MONTH(Sheet1[[#This Row],[date_joined]])/3,0)</f>
        <v>Q3</v>
      </c>
      <c r="Q162" s="2" t="str">
        <f>IF(Sheet1[[#This Row],[age]]&lt;30,"Young",IF(Sheet1[[#This Row],[age]]&lt;=50,"Adult","Senior"))</f>
        <v>Senior</v>
      </c>
      <c r="R162" s="2" t="str">
        <f t="shared" si="4"/>
        <v>High</v>
      </c>
      <c r="S162" s="2" t="str">
        <f t="shared" si="5"/>
        <v>North - Salaried</v>
      </c>
    </row>
    <row r="163" spans="1:19" x14ac:dyDescent="0.3">
      <c r="A163" t="s">
        <v>350</v>
      </c>
      <c r="B163" t="s">
        <v>351</v>
      </c>
      <c r="C163">
        <v>51</v>
      </c>
      <c r="D163" s="2" t="s">
        <v>21</v>
      </c>
      <c r="E163" s="2" t="s">
        <v>30</v>
      </c>
      <c r="F163" s="2" t="s">
        <v>31</v>
      </c>
      <c r="G163" s="2" t="s">
        <v>32</v>
      </c>
      <c r="H163" s="2" t="s">
        <v>17</v>
      </c>
      <c r="I163" s="2" t="s">
        <v>17</v>
      </c>
      <c r="J163">
        <v>0.34</v>
      </c>
      <c r="K163" s="1">
        <v>43255</v>
      </c>
      <c r="L163" s="2" t="str">
        <f>IF(Sheet1[[#This Row],[age]]&lt;18, "Under 18",IF(Sheet1[[#This Row],[age]]&lt;=30,"18-30",IF(Sheet1[[#This Row],[age]]&lt;=45,"31-45",IF(Sheet1[[#This Row],[age]]&lt;=60,"46-60","60+"))))</f>
        <v>46-60</v>
      </c>
      <c r="M163" s="2" t="str">
        <f>IF(Sheet1[[#This Row],[risk_score]]&lt;0.3,"Low",IF(Sheet1[[#This Row],[risk_score]]&lt;0.7,"Medium","High"))</f>
        <v>Medium</v>
      </c>
      <c r="N163">
        <f>YEAR(Sheet1[[#This Row],[date_joined]])</f>
        <v>2018</v>
      </c>
      <c r="O163" s="2" t="str">
        <f>TEXT(Sheet1[[#This Row],[date_joined]],"mmm")</f>
        <v>Jun</v>
      </c>
      <c r="P163" s="2" t="str">
        <f>"Q"&amp;ROUNDUP(MONTH(Sheet1[[#This Row],[date_joined]])/3,0)</f>
        <v>Q2</v>
      </c>
      <c r="Q163" s="2" t="str">
        <f>IF(Sheet1[[#This Row],[age]]&lt;30,"Young",IF(Sheet1[[#This Row],[age]]&lt;=50,"Adult","Senior"))</f>
        <v>Senior</v>
      </c>
      <c r="R163" s="2" t="str">
        <f t="shared" si="4"/>
        <v>Low</v>
      </c>
      <c r="S163" s="2" t="str">
        <f t="shared" si="5"/>
        <v>South - Self-employed</v>
      </c>
    </row>
    <row r="164" spans="1:19" x14ac:dyDescent="0.3">
      <c r="A164" t="s">
        <v>352</v>
      </c>
      <c r="B164" t="s">
        <v>353</v>
      </c>
      <c r="C164">
        <v>67</v>
      </c>
      <c r="D164" s="2" t="s">
        <v>13</v>
      </c>
      <c r="E164" s="2" t="s">
        <v>30</v>
      </c>
      <c r="F164" s="2" t="s">
        <v>37</v>
      </c>
      <c r="G164" s="2" t="s">
        <v>16</v>
      </c>
      <c r="H164" s="2" t="s">
        <v>18</v>
      </c>
      <c r="I164" s="2" t="s">
        <v>18</v>
      </c>
      <c r="J164">
        <v>0.68</v>
      </c>
      <c r="K164" s="1">
        <v>43786</v>
      </c>
      <c r="L164" s="2" t="str">
        <f>IF(Sheet1[[#This Row],[age]]&lt;18, "Under 18",IF(Sheet1[[#This Row],[age]]&lt;=30,"18-30",IF(Sheet1[[#This Row],[age]]&lt;=45,"31-45",IF(Sheet1[[#This Row],[age]]&lt;=60,"46-60","60+"))))</f>
        <v>60+</v>
      </c>
      <c r="M164" s="2" t="str">
        <f>IF(Sheet1[[#This Row],[risk_score]]&lt;0.3,"Low",IF(Sheet1[[#This Row],[risk_score]]&lt;0.7,"Medium","High"))</f>
        <v>Medium</v>
      </c>
      <c r="N164">
        <f>YEAR(Sheet1[[#This Row],[date_joined]])</f>
        <v>2019</v>
      </c>
      <c r="O164" s="2" t="str">
        <f>TEXT(Sheet1[[#This Row],[date_joined]],"mmm")</f>
        <v>Nov</v>
      </c>
      <c r="P164" s="2" t="str">
        <f>"Q"&amp;ROUNDUP(MONTH(Sheet1[[#This Row],[date_joined]])/3,0)</f>
        <v>Q4</v>
      </c>
      <c r="Q164" s="2" t="str">
        <f>IF(Sheet1[[#This Row],[age]]&lt;30,"Young",IF(Sheet1[[#This Row],[age]]&lt;=50,"Adult","Senior"))</f>
        <v>Senior</v>
      </c>
      <c r="R164" s="2" t="str">
        <f t="shared" si="4"/>
        <v>Very High</v>
      </c>
      <c r="S164" s="2" t="str">
        <f t="shared" si="5"/>
        <v>West - Retired</v>
      </c>
    </row>
    <row r="165" spans="1:19" x14ac:dyDescent="0.3">
      <c r="A165" t="s">
        <v>354</v>
      </c>
      <c r="B165" t="s">
        <v>355</v>
      </c>
      <c r="C165">
        <v>37</v>
      </c>
      <c r="D165" s="2" t="s">
        <v>13</v>
      </c>
      <c r="E165" s="2" t="s">
        <v>14</v>
      </c>
      <c r="F165" s="2" t="s">
        <v>23</v>
      </c>
      <c r="G165" s="2" t="s">
        <v>16</v>
      </c>
      <c r="H165" s="2" t="s">
        <v>18</v>
      </c>
      <c r="I165" s="2" t="s">
        <v>17</v>
      </c>
      <c r="J165">
        <v>0.88</v>
      </c>
      <c r="K165" s="1">
        <v>43375</v>
      </c>
      <c r="L165" s="2" t="str">
        <f>IF(Sheet1[[#This Row],[age]]&lt;18, "Under 18",IF(Sheet1[[#This Row],[age]]&lt;=30,"18-30",IF(Sheet1[[#This Row],[age]]&lt;=45,"31-45",IF(Sheet1[[#This Row],[age]]&lt;=60,"46-60","60+"))))</f>
        <v>31-45</v>
      </c>
      <c r="M165" s="2" t="str">
        <f>IF(Sheet1[[#This Row],[risk_score]]&lt;0.3,"Low",IF(Sheet1[[#This Row],[risk_score]]&lt;0.7,"Medium","High"))</f>
        <v>High</v>
      </c>
      <c r="N165">
        <f>YEAR(Sheet1[[#This Row],[date_joined]])</f>
        <v>2018</v>
      </c>
      <c r="O165" s="2" t="str">
        <f>TEXT(Sheet1[[#This Row],[date_joined]],"mmm")</f>
        <v>Oct</v>
      </c>
      <c r="P165" s="2" t="str">
        <f>"Q"&amp;ROUNDUP(MONTH(Sheet1[[#This Row],[date_joined]])/3,0)</f>
        <v>Q4</v>
      </c>
      <c r="Q165" s="2" t="str">
        <f>IF(Sheet1[[#This Row],[age]]&lt;30,"Young",IF(Sheet1[[#This Row],[age]]&lt;=50,"Adult","Senior"))</f>
        <v>Adult</v>
      </c>
      <c r="R165" s="2" t="str">
        <f t="shared" si="4"/>
        <v>High</v>
      </c>
      <c r="S165" s="2" t="str">
        <f t="shared" si="5"/>
        <v>West - Salaried</v>
      </c>
    </row>
    <row r="166" spans="1:19" x14ac:dyDescent="0.3">
      <c r="A166" t="s">
        <v>356</v>
      </c>
      <c r="B166" t="s">
        <v>357</v>
      </c>
      <c r="C166">
        <v>58</v>
      </c>
      <c r="D166" s="2" t="s">
        <v>21</v>
      </c>
      <c r="E166" s="2" t="s">
        <v>30</v>
      </c>
      <c r="F166" s="2" t="s">
        <v>23</v>
      </c>
      <c r="G166" s="2" t="s">
        <v>32</v>
      </c>
      <c r="H166" s="2" t="s">
        <v>17</v>
      </c>
      <c r="I166" s="2" t="s">
        <v>18</v>
      </c>
      <c r="J166">
        <v>0.28999999999999998</v>
      </c>
      <c r="K166" s="1">
        <v>44006</v>
      </c>
      <c r="L166" s="2" t="str">
        <f>IF(Sheet1[[#This Row],[age]]&lt;18, "Under 18",IF(Sheet1[[#This Row],[age]]&lt;=30,"18-30",IF(Sheet1[[#This Row],[age]]&lt;=45,"31-45",IF(Sheet1[[#This Row],[age]]&lt;=60,"46-60","60+"))))</f>
        <v>46-60</v>
      </c>
      <c r="M166" s="2" t="str">
        <f>IF(Sheet1[[#This Row],[risk_score]]&lt;0.3,"Low",IF(Sheet1[[#This Row],[risk_score]]&lt;0.7,"Medium","High"))</f>
        <v>Low</v>
      </c>
      <c r="N166">
        <f>YEAR(Sheet1[[#This Row],[date_joined]])</f>
        <v>2020</v>
      </c>
      <c r="O166" s="2" t="str">
        <f>TEXT(Sheet1[[#This Row],[date_joined]],"mmm")</f>
        <v>Jun</v>
      </c>
      <c r="P166" s="2" t="str">
        <f>"Q"&amp;ROUNDUP(MONTH(Sheet1[[#This Row],[date_joined]])/3,0)</f>
        <v>Q2</v>
      </c>
      <c r="Q166" s="2" t="str">
        <f>IF(Sheet1[[#This Row],[age]]&lt;30,"Young",IF(Sheet1[[#This Row],[age]]&lt;=50,"Adult","Senior"))</f>
        <v>Senior</v>
      </c>
      <c r="R166" s="2" t="str">
        <f t="shared" si="4"/>
        <v>High</v>
      </c>
      <c r="S166" s="2" t="str">
        <f t="shared" si="5"/>
        <v>South - Salaried</v>
      </c>
    </row>
    <row r="167" spans="1:19" x14ac:dyDescent="0.3">
      <c r="A167" t="s">
        <v>358</v>
      </c>
      <c r="B167" t="s">
        <v>359</v>
      </c>
      <c r="C167">
        <v>56</v>
      </c>
      <c r="D167" s="2" t="s">
        <v>13</v>
      </c>
      <c r="E167" s="2" t="s">
        <v>30</v>
      </c>
      <c r="F167" s="2" t="s">
        <v>37</v>
      </c>
      <c r="G167" s="2" t="s">
        <v>27</v>
      </c>
      <c r="H167" s="2" t="s">
        <v>17</v>
      </c>
      <c r="I167" s="2" t="s">
        <v>17</v>
      </c>
      <c r="J167">
        <v>0.1</v>
      </c>
      <c r="K167" s="1">
        <v>43821</v>
      </c>
      <c r="L167" s="2" t="str">
        <f>IF(Sheet1[[#This Row],[age]]&lt;18, "Under 18",IF(Sheet1[[#This Row],[age]]&lt;=30,"18-30",IF(Sheet1[[#This Row],[age]]&lt;=45,"31-45",IF(Sheet1[[#This Row],[age]]&lt;=60,"46-60","60+"))))</f>
        <v>46-60</v>
      </c>
      <c r="M167" s="2" t="str">
        <f>IF(Sheet1[[#This Row],[risk_score]]&lt;0.3,"Low",IF(Sheet1[[#This Row],[risk_score]]&lt;0.7,"Medium","High"))</f>
        <v>Low</v>
      </c>
      <c r="N167">
        <f>YEAR(Sheet1[[#This Row],[date_joined]])</f>
        <v>2019</v>
      </c>
      <c r="O167" s="2" t="str">
        <f>TEXT(Sheet1[[#This Row],[date_joined]],"mmm")</f>
        <v>Dec</v>
      </c>
      <c r="P167" s="2" t="str">
        <f>"Q"&amp;ROUNDUP(MONTH(Sheet1[[#This Row],[date_joined]])/3,0)</f>
        <v>Q4</v>
      </c>
      <c r="Q167" s="2" t="str">
        <f>IF(Sheet1[[#This Row],[age]]&lt;30,"Young",IF(Sheet1[[#This Row],[age]]&lt;=50,"Adult","Senior"))</f>
        <v>Senior</v>
      </c>
      <c r="R167" s="2" t="str">
        <f t="shared" si="4"/>
        <v>Low</v>
      </c>
      <c r="S167" s="2" t="str">
        <f t="shared" si="5"/>
        <v>North - Retired</v>
      </c>
    </row>
    <row r="168" spans="1:19" x14ac:dyDescent="0.3">
      <c r="A168" t="s">
        <v>360</v>
      </c>
      <c r="B168" t="s">
        <v>361</v>
      </c>
      <c r="C168">
        <v>45</v>
      </c>
      <c r="D168" s="2" t="s">
        <v>13</v>
      </c>
      <c r="E168" s="2" t="s">
        <v>30</v>
      </c>
      <c r="F168" s="2" t="s">
        <v>15</v>
      </c>
      <c r="G168" s="2" t="s">
        <v>81</v>
      </c>
      <c r="H168" s="2" t="s">
        <v>17</v>
      </c>
      <c r="I168" s="2" t="s">
        <v>17</v>
      </c>
      <c r="J168">
        <v>0.65</v>
      </c>
      <c r="K168" s="1">
        <v>43625</v>
      </c>
      <c r="L168" s="2" t="str">
        <f>IF(Sheet1[[#This Row],[age]]&lt;18, "Under 18",IF(Sheet1[[#This Row],[age]]&lt;=30,"18-30",IF(Sheet1[[#This Row],[age]]&lt;=45,"31-45",IF(Sheet1[[#This Row],[age]]&lt;=60,"46-60","60+"))))</f>
        <v>31-45</v>
      </c>
      <c r="M168" s="2" t="str">
        <f>IF(Sheet1[[#This Row],[risk_score]]&lt;0.3,"Low",IF(Sheet1[[#This Row],[risk_score]]&lt;0.7,"Medium","High"))</f>
        <v>Medium</v>
      </c>
      <c r="N168">
        <f>YEAR(Sheet1[[#This Row],[date_joined]])</f>
        <v>2019</v>
      </c>
      <c r="O168" s="2" t="str">
        <f>TEXT(Sheet1[[#This Row],[date_joined]],"mmm")</f>
        <v>Jun</v>
      </c>
      <c r="P168" s="2" t="str">
        <f>"Q"&amp;ROUNDUP(MONTH(Sheet1[[#This Row],[date_joined]])/3,0)</f>
        <v>Q2</v>
      </c>
      <c r="Q168" s="2" t="str">
        <f>IF(Sheet1[[#This Row],[age]]&lt;30,"Young",IF(Sheet1[[#This Row],[age]]&lt;=50,"Adult","Senior"))</f>
        <v>Adult</v>
      </c>
      <c r="R168" s="2" t="str">
        <f t="shared" si="4"/>
        <v>Low</v>
      </c>
      <c r="S168" s="2" t="str">
        <f t="shared" si="5"/>
        <v>Central - Student</v>
      </c>
    </row>
    <row r="169" spans="1:19" x14ac:dyDescent="0.3">
      <c r="A169" t="s">
        <v>362</v>
      </c>
      <c r="B169" t="s">
        <v>363</v>
      </c>
      <c r="C169">
        <v>45</v>
      </c>
      <c r="D169" s="2" t="s">
        <v>21</v>
      </c>
      <c r="E169" s="2" t="s">
        <v>14</v>
      </c>
      <c r="F169" s="2" t="s">
        <v>15</v>
      </c>
      <c r="G169" s="2" t="s">
        <v>24</v>
      </c>
      <c r="H169" s="2" t="s">
        <v>18</v>
      </c>
      <c r="I169" s="2" t="s">
        <v>18</v>
      </c>
      <c r="J169">
        <v>0.55000000000000004</v>
      </c>
      <c r="K169" s="1">
        <v>44280</v>
      </c>
      <c r="L169" s="2" t="str">
        <f>IF(Sheet1[[#This Row],[age]]&lt;18, "Under 18",IF(Sheet1[[#This Row],[age]]&lt;=30,"18-30",IF(Sheet1[[#This Row],[age]]&lt;=45,"31-45",IF(Sheet1[[#This Row],[age]]&lt;=60,"46-60","60+"))))</f>
        <v>31-45</v>
      </c>
      <c r="M169" s="2" t="str">
        <f>IF(Sheet1[[#This Row],[risk_score]]&lt;0.3,"Low",IF(Sheet1[[#This Row],[risk_score]]&lt;0.7,"Medium","High"))</f>
        <v>Medium</v>
      </c>
      <c r="N169">
        <f>YEAR(Sheet1[[#This Row],[date_joined]])</f>
        <v>2021</v>
      </c>
      <c r="O169" s="2" t="str">
        <f>TEXT(Sheet1[[#This Row],[date_joined]],"mmm")</f>
        <v>Mar</v>
      </c>
      <c r="P169" s="2" t="str">
        <f>"Q"&amp;ROUNDUP(MONTH(Sheet1[[#This Row],[date_joined]])/3,0)</f>
        <v>Q1</v>
      </c>
      <c r="Q169" s="2" t="str">
        <f>IF(Sheet1[[#This Row],[age]]&lt;30,"Young",IF(Sheet1[[#This Row],[age]]&lt;=50,"Adult","Senior"))</f>
        <v>Adult</v>
      </c>
      <c r="R169" s="2" t="str">
        <f t="shared" si="4"/>
        <v>Very High</v>
      </c>
      <c r="S169" s="2" t="str">
        <f t="shared" si="5"/>
        <v>East - Student</v>
      </c>
    </row>
    <row r="170" spans="1:19" x14ac:dyDescent="0.3">
      <c r="A170" t="s">
        <v>364</v>
      </c>
      <c r="B170" t="s">
        <v>365</v>
      </c>
      <c r="C170">
        <v>48</v>
      </c>
      <c r="D170" s="2" t="s">
        <v>13</v>
      </c>
      <c r="E170" s="2" t="s">
        <v>14</v>
      </c>
      <c r="F170" s="2" t="s">
        <v>37</v>
      </c>
      <c r="G170" s="2" t="s">
        <v>32</v>
      </c>
      <c r="H170" s="2" t="s">
        <v>17</v>
      </c>
      <c r="I170" s="2" t="s">
        <v>17</v>
      </c>
      <c r="J170">
        <v>0.04</v>
      </c>
      <c r="K170" s="1">
        <v>43289</v>
      </c>
      <c r="L170" s="2" t="str">
        <f>IF(Sheet1[[#This Row],[age]]&lt;18, "Under 18",IF(Sheet1[[#This Row],[age]]&lt;=30,"18-30",IF(Sheet1[[#This Row],[age]]&lt;=45,"31-45",IF(Sheet1[[#This Row],[age]]&lt;=60,"46-60","60+"))))</f>
        <v>46-60</v>
      </c>
      <c r="M170" s="2" t="str">
        <f>IF(Sheet1[[#This Row],[risk_score]]&lt;0.3,"Low",IF(Sheet1[[#This Row],[risk_score]]&lt;0.7,"Medium","High"))</f>
        <v>Low</v>
      </c>
      <c r="N170">
        <f>YEAR(Sheet1[[#This Row],[date_joined]])</f>
        <v>2018</v>
      </c>
      <c r="O170" s="2" t="str">
        <f>TEXT(Sheet1[[#This Row],[date_joined]],"mmm")</f>
        <v>Jul</v>
      </c>
      <c r="P170" s="2" t="str">
        <f>"Q"&amp;ROUNDUP(MONTH(Sheet1[[#This Row],[date_joined]])/3,0)</f>
        <v>Q3</v>
      </c>
      <c r="Q170" s="2" t="str">
        <f>IF(Sheet1[[#This Row],[age]]&lt;30,"Young",IF(Sheet1[[#This Row],[age]]&lt;=50,"Adult","Senior"))</f>
        <v>Adult</v>
      </c>
      <c r="R170" s="2" t="str">
        <f t="shared" si="4"/>
        <v>Low</v>
      </c>
      <c r="S170" s="2" t="str">
        <f t="shared" si="5"/>
        <v>South - Retired</v>
      </c>
    </row>
    <row r="171" spans="1:19" x14ac:dyDescent="0.3">
      <c r="A171" t="s">
        <v>366</v>
      </c>
      <c r="B171" t="s">
        <v>367</v>
      </c>
      <c r="C171">
        <v>64</v>
      </c>
      <c r="D171" s="2" t="s">
        <v>21</v>
      </c>
      <c r="E171" s="2" t="s">
        <v>30</v>
      </c>
      <c r="F171" s="2" t="s">
        <v>31</v>
      </c>
      <c r="G171" s="2" t="s">
        <v>27</v>
      </c>
      <c r="H171" s="2" t="s">
        <v>17</v>
      </c>
      <c r="I171" s="2" t="s">
        <v>17</v>
      </c>
      <c r="J171">
        <v>0.61</v>
      </c>
      <c r="K171" s="1">
        <v>44169</v>
      </c>
      <c r="L171" s="2" t="str">
        <f>IF(Sheet1[[#This Row],[age]]&lt;18, "Under 18",IF(Sheet1[[#This Row],[age]]&lt;=30,"18-30",IF(Sheet1[[#This Row],[age]]&lt;=45,"31-45",IF(Sheet1[[#This Row],[age]]&lt;=60,"46-60","60+"))))</f>
        <v>60+</v>
      </c>
      <c r="M171" s="2" t="str">
        <f>IF(Sheet1[[#This Row],[risk_score]]&lt;0.3,"Low",IF(Sheet1[[#This Row],[risk_score]]&lt;0.7,"Medium","High"))</f>
        <v>Medium</v>
      </c>
      <c r="N171">
        <f>YEAR(Sheet1[[#This Row],[date_joined]])</f>
        <v>2020</v>
      </c>
      <c r="O171" s="2" t="str">
        <f>TEXT(Sheet1[[#This Row],[date_joined]],"mmm")</f>
        <v>Dec</v>
      </c>
      <c r="P171" s="2" t="str">
        <f>"Q"&amp;ROUNDUP(MONTH(Sheet1[[#This Row],[date_joined]])/3,0)</f>
        <v>Q4</v>
      </c>
      <c r="Q171" s="2" t="str">
        <f>IF(Sheet1[[#This Row],[age]]&lt;30,"Young",IF(Sheet1[[#This Row],[age]]&lt;=50,"Adult","Senior"))</f>
        <v>Senior</v>
      </c>
      <c r="R171" s="2" t="str">
        <f t="shared" si="4"/>
        <v>Low</v>
      </c>
      <c r="S171" s="2" t="str">
        <f t="shared" si="5"/>
        <v>North - Self-employed</v>
      </c>
    </row>
    <row r="172" spans="1:19" x14ac:dyDescent="0.3">
      <c r="A172" t="s">
        <v>368</v>
      </c>
      <c r="B172" t="s">
        <v>369</v>
      </c>
      <c r="C172">
        <v>20</v>
      </c>
      <c r="D172" s="2" t="s">
        <v>13</v>
      </c>
      <c r="E172" s="2" t="s">
        <v>30</v>
      </c>
      <c r="F172" s="2" t="s">
        <v>31</v>
      </c>
      <c r="G172" s="2" t="s">
        <v>81</v>
      </c>
      <c r="H172" s="2" t="s">
        <v>17</v>
      </c>
      <c r="I172" s="2" t="s">
        <v>18</v>
      </c>
      <c r="J172">
        <v>0.4</v>
      </c>
      <c r="K172" s="1">
        <v>44844</v>
      </c>
      <c r="L172" s="2" t="str">
        <f>IF(Sheet1[[#This Row],[age]]&lt;18, "Under 18",IF(Sheet1[[#This Row],[age]]&lt;=30,"18-30",IF(Sheet1[[#This Row],[age]]&lt;=45,"31-45",IF(Sheet1[[#This Row],[age]]&lt;=60,"46-60","60+"))))</f>
        <v>18-30</v>
      </c>
      <c r="M172" s="2" t="str">
        <f>IF(Sheet1[[#This Row],[risk_score]]&lt;0.3,"Low",IF(Sheet1[[#This Row],[risk_score]]&lt;0.7,"Medium","High"))</f>
        <v>Medium</v>
      </c>
      <c r="N172">
        <f>YEAR(Sheet1[[#This Row],[date_joined]])</f>
        <v>2022</v>
      </c>
      <c r="O172" s="2" t="str">
        <f>TEXT(Sheet1[[#This Row],[date_joined]],"mmm")</f>
        <v>Oct</v>
      </c>
      <c r="P172" s="2" t="str">
        <f>"Q"&amp;ROUNDUP(MONTH(Sheet1[[#This Row],[date_joined]])/3,0)</f>
        <v>Q4</v>
      </c>
      <c r="Q172" s="2" t="str">
        <f>IF(Sheet1[[#This Row],[age]]&lt;30,"Young",IF(Sheet1[[#This Row],[age]]&lt;=50,"Adult","Senior"))</f>
        <v>Young</v>
      </c>
      <c r="R172" s="2" t="str">
        <f t="shared" si="4"/>
        <v>High</v>
      </c>
      <c r="S172" s="2" t="str">
        <f t="shared" si="5"/>
        <v>Central - Self-employed</v>
      </c>
    </row>
    <row r="173" spans="1:19" x14ac:dyDescent="0.3">
      <c r="A173" t="s">
        <v>370</v>
      </c>
      <c r="B173" t="s">
        <v>371</v>
      </c>
      <c r="C173">
        <v>22</v>
      </c>
      <c r="D173" s="2" t="s">
        <v>13</v>
      </c>
      <c r="E173" s="2" t="s">
        <v>22</v>
      </c>
      <c r="F173" s="2" t="s">
        <v>15</v>
      </c>
      <c r="G173" s="2" t="s">
        <v>81</v>
      </c>
      <c r="H173" s="2" t="s">
        <v>18</v>
      </c>
      <c r="I173" s="2" t="s">
        <v>17</v>
      </c>
      <c r="J173">
        <v>0.37</v>
      </c>
      <c r="K173" s="1">
        <v>44399</v>
      </c>
      <c r="L173" s="2" t="str">
        <f>IF(Sheet1[[#This Row],[age]]&lt;18, "Under 18",IF(Sheet1[[#This Row],[age]]&lt;=30,"18-30",IF(Sheet1[[#This Row],[age]]&lt;=45,"31-45",IF(Sheet1[[#This Row],[age]]&lt;=60,"46-60","60+"))))</f>
        <v>18-30</v>
      </c>
      <c r="M173" s="2" t="str">
        <f>IF(Sheet1[[#This Row],[risk_score]]&lt;0.3,"Low",IF(Sheet1[[#This Row],[risk_score]]&lt;0.7,"Medium","High"))</f>
        <v>Medium</v>
      </c>
      <c r="N173">
        <f>YEAR(Sheet1[[#This Row],[date_joined]])</f>
        <v>2021</v>
      </c>
      <c r="O173" s="2" t="str">
        <f>TEXT(Sheet1[[#This Row],[date_joined]],"mmm")</f>
        <v>Jul</v>
      </c>
      <c r="P173" s="2" t="str">
        <f>"Q"&amp;ROUNDUP(MONTH(Sheet1[[#This Row],[date_joined]])/3,0)</f>
        <v>Q3</v>
      </c>
      <c r="Q173" s="2" t="str">
        <f>IF(Sheet1[[#This Row],[age]]&lt;30,"Young",IF(Sheet1[[#This Row],[age]]&lt;=50,"Adult","Senior"))</f>
        <v>Young</v>
      </c>
      <c r="R173" s="2" t="str">
        <f t="shared" si="4"/>
        <v>High</v>
      </c>
      <c r="S173" s="2" t="str">
        <f t="shared" si="5"/>
        <v>Central - Student</v>
      </c>
    </row>
    <row r="174" spans="1:19" x14ac:dyDescent="0.3">
      <c r="A174" t="s">
        <v>372</v>
      </c>
      <c r="B174" t="s">
        <v>373</v>
      </c>
      <c r="C174">
        <v>34</v>
      </c>
      <c r="D174" s="2" t="s">
        <v>13</v>
      </c>
      <c r="E174" s="2" t="s">
        <v>30</v>
      </c>
      <c r="F174" s="2" t="s">
        <v>15</v>
      </c>
      <c r="G174" s="2" t="s">
        <v>27</v>
      </c>
      <c r="H174" s="2" t="s">
        <v>18</v>
      </c>
      <c r="I174" s="2" t="s">
        <v>18</v>
      </c>
      <c r="J174">
        <v>0.61</v>
      </c>
      <c r="K174" s="1">
        <v>44242</v>
      </c>
      <c r="L174" s="2" t="str">
        <f>IF(Sheet1[[#This Row],[age]]&lt;18, "Under 18",IF(Sheet1[[#This Row],[age]]&lt;=30,"18-30",IF(Sheet1[[#This Row],[age]]&lt;=45,"31-45",IF(Sheet1[[#This Row],[age]]&lt;=60,"46-60","60+"))))</f>
        <v>31-45</v>
      </c>
      <c r="M174" s="2" t="str">
        <f>IF(Sheet1[[#This Row],[risk_score]]&lt;0.3,"Low",IF(Sheet1[[#This Row],[risk_score]]&lt;0.7,"Medium","High"))</f>
        <v>Medium</v>
      </c>
      <c r="N174">
        <f>YEAR(Sheet1[[#This Row],[date_joined]])</f>
        <v>2021</v>
      </c>
      <c r="O174" s="2" t="str">
        <f>TEXT(Sheet1[[#This Row],[date_joined]],"mmm")</f>
        <v>Feb</v>
      </c>
      <c r="P174" s="2" t="str">
        <f>"Q"&amp;ROUNDUP(MONTH(Sheet1[[#This Row],[date_joined]])/3,0)</f>
        <v>Q1</v>
      </c>
      <c r="Q174" s="2" t="str">
        <f>IF(Sheet1[[#This Row],[age]]&lt;30,"Young",IF(Sheet1[[#This Row],[age]]&lt;=50,"Adult","Senior"))</f>
        <v>Adult</v>
      </c>
      <c r="R174" s="2" t="str">
        <f t="shared" si="4"/>
        <v>Very High</v>
      </c>
      <c r="S174" s="2" t="str">
        <f t="shared" si="5"/>
        <v>North - Student</v>
      </c>
    </row>
    <row r="175" spans="1:19" x14ac:dyDescent="0.3">
      <c r="A175" t="s">
        <v>374</v>
      </c>
      <c r="B175" t="s">
        <v>375</v>
      </c>
      <c r="C175">
        <v>30</v>
      </c>
      <c r="D175" s="2" t="s">
        <v>13</v>
      </c>
      <c r="E175" s="2" t="s">
        <v>30</v>
      </c>
      <c r="F175" s="2" t="s">
        <v>23</v>
      </c>
      <c r="G175" s="2" t="s">
        <v>16</v>
      </c>
      <c r="H175" s="2" t="s">
        <v>18</v>
      </c>
      <c r="I175" s="2" t="s">
        <v>17</v>
      </c>
      <c r="J175">
        <v>0.57999999999999996</v>
      </c>
      <c r="K175" s="1">
        <v>44512</v>
      </c>
      <c r="L175" s="2" t="str">
        <f>IF(Sheet1[[#This Row],[age]]&lt;18, "Under 18",IF(Sheet1[[#This Row],[age]]&lt;=30,"18-30",IF(Sheet1[[#This Row],[age]]&lt;=45,"31-45",IF(Sheet1[[#This Row],[age]]&lt;=60,"46-60","60+"))))</f>
        <v>18-30</v>
      </c>
      <c r="M175" s="2" t="str">
        <f>IF(Sheet1[[#This Row],[risk_score]]&lt;0.3,"Low",IF(Sheet1[[#This Row],[risk_score]]&lt;0.7,"Medium","High"))</f>
        <v>Medium</v>
      </c>
      <c r="N175">
        <f>YEAR(Sheet1[[#This Row],[date_joined]])</f>
        <v>2021</v>
      </c>
      <c r="O175" s="2" t="str">
        <f>TEXT(Sheet1[[#This Row],[date_joined]],"mmm")</f>
        <v>Nov</v>
      </c>
      <c r="P175" s="2" t="str">
        <f>"Q"&amp;ROUNDUP(MONTH(Sheet1[[#This Row],[date_joined]])/3,0)</f>
        <v>Q4</v>
      </c>
      <c r="Q175" s="2" t="str">
        <f>IF(Sheet1[[#This Row],[age]]&lt;30,"Young",IF(Sheet1[[#This Row],[age]]&lt;=50,"Adult","Senior"))</f>
        <v>Adult</v>
      </c>
      <c r="R175" s="2" t="str">
        <f t="shared" si="4"/>
        <v>High</v>
      </c>
      <c r="S175" s="2" t="str">
        <f t="shared" si="5"/>
        <v>West - Salaried</v>
      </c>
    </row>
    <row r="176" spans="1:19" x14ac:dyDescent="0.3">
      <c r="A176" t="s">
        <v>376</v>
      </c>
      <c r="B176" t="s">
        <v>377</v>
      </c>
      <c r="C176">
        <v>33</v>
      </c>
      <c r="D176" s="2" t="s">
        <v>13</v>
      </c>
      <c r="E176" s="2" t="s">
        <v>22</v>
      </c>
      <c r="F176" s="2" t="s">
        <v>15</v>
      </c>
      <c r="G176" s="2" t="s">
        <v>24</v>
      </c>
      <c r="H176" s="2" t="s">
        <v>17</v>
      </c>
      <c r="I176" s="2" t="s">
        <v>18</v>
      </c>
      <c r="J176">
        <v>0.33</v>
      </c>
      <c r="K176" s="1">
        <v>44870</v>
      </c>
      <c r="L176" s="2" t="str">
        <f>IF(Sheet1[[#This Row],[age]]&lt;18, "Under 18",IF(Sheet1[[#This Row],[age]]&lt;=30,"18-30",IF(Sheet1[[#This Row],[age]]&lt;=45,"31-45",IF(Sheet1[[#This Row],[age]]&lt;=60,"46-60","60+"))))</f>
        <v>31-45</v>
      </c>
      <c r="M176" s="2" t="str">
        <f>IF(Sheet1[[#This Row],[risk_score]]&lt;0.3,"Low",IF(Sheet1[[#This Row],[risk_score]]&lt;0.7,"Medium","High"))</f>
        <v>Medium</v>
      </c>
      <c r="N176">
        <f>YEAR(Sheet1[[#This Row],[date_joined]])</f>
        <v>2022</v>
      </c>
      <c r="O176" s="2" t="str">
        <f>TEXT(Sheet1[[#This Row],[date_joined]],"mmm")</f>
        <v>Nov</v>
      </c>
      <c r="P176" s="2" t="str">
        <f>"Q"&amp;ROUNDUP(MONTH(Sheet1[[#This Row],[date_joined]])/3,0)</f>
        <v>Q4</v>
      </c>
      <c r="Q176" s="2" t="str">
        <f>IF(Sheet1[[#This Row],[age]]&lt;30,"Young",IF(Sheet1[[#This Row],[age]]&lt;=50,"Adult","Senior"))</f>
        <v>Adult</v>
      </c>
      <c r="R176" s="2" t="str">
        <f t="shared" si="4"/>
        <v>High</v>
      </c>
      <c r="S176" s="2" t="str">
        <f t="shared" si="5"/>
        <v>East - Student</v>
      </c>
    </row>
    <row r="177" spans="1:19" x14ac:dyDescent="0.3">
      <c r="A177" t="s">
        <v>378</v>
      </c>
      <c r="B177" t="s">
        <v>379</v>
      </c>
      <c r="C177">
        <v>54</v>
      </c>
      <c r="D177" s="2" t="s">
        <v>13</v>
      </c>
      <c r="E177" s="2" t="s">
        <v>14</v>
      </c>
      <c r="F177" s="2" t="s">
        <v>31</v>
      </c>
      <c r="G177" s="2" t="s">
        <v>66</v>
      </c>
      <c r="H177" s="2" t="s">
        <v>18</v>
      </c>
      <c r="I177" s="2" t="s">
        <v>17</v>
      </c>
      <c r="J177">
        <v>0.11</v>
      </c>
      <c r="K177" s="1">
        <v>43954</v>
      </c>
      <c r="L177" s="2" t="str">
        <f>IF(Sheet1[[#This Row],[age]]&lt;18, "Under 18",IF(Sheet1[[#This Row],[age]]&lt;=30,"18-30",IF(Sheet1[[#This Row],[age]]&lt;=45,"31-45",IF(Sheet1[[#This Row],[age]]&lt;=60,"46-60","60+"))))</f>
        <v>46-60</v>
      </c>
      <c r="M177" s="2" t="str">
        <f>IF(Sheet1[[#This Row],[risk_score]]&lt;0.3,"Low",IF(Sheet1[[#This Row],[risk_score]]&lt;0.7,"Medium","High"))</f>
        <v>Low</v>
      </c>
      <c r="N177">
        <f>YEAR(Sheet1[[#This Row],[date_joined]])</f>
        <v>2020</v>
      </c>
      <c r="O177" s="2" t="str">
        <f>TEXT(Sheet1[[#This Row],[date_joined]],"mmm")</f>
        <v>May</v>
      </c>
      <c r="P177" s="2" t="str">
        <f>"Q"&amp;ROUNDUP(MONTH(Sheet1[[#This Row],[date_joined]])/3,0)</f>
        <v>Q2</v>
      </c>
      <c r="Q177" s="2" t="str">
        <f>IF(Sheet1[[#This Row],[age]]&lt;30,"Young",IF(Sheet1[[#This Row],[age]]&lt;=50,"Adult","Senior"))</f>
        <v>Senior</v>
      </c>
      <c r="R177" s="2" t="str">
        <f t="shared" si="4"/>
        <v>High</v>
      </c>
      <c r="S177" s="2" t="str">
        <f t="shared" si="5"/>
        <v>North-East - Self-employed</v>
      </c>
    </row>
    <row r="178" spans="1:19" x14ac:dyDescent="0.3">
      <c r="A178" t="s">
        <v>380</v>
      </c>
      <c r="B178" t="s">
        <v>381</v>
      </c>
      <c r="C178">
        <v>34</v>
      </c>
      <c r="D178" s="2" t="s">
        <v>13</v>
      </c>
      <c r="E178" s="2" t="s">
        <v>14</v>
      </c>
      <c r="F178" s="2" t="s">
        <v>31</v>
      </c>
      <c r="G178" s="2" t="s">
        <v>32</v>
      </c>
      <c r="H178" s="2" t="s">
        <v>18</v>
      </c>
      <c r="I178" s="2" t="s">
        <v>18</v>
      </c>
      <c r="J178">
        <v>0.59</v>
      </c>
      <c r="K178" s="1">
        <v>44499</v>
      </c>
      <c r="L178" s="2" t="str">
        <f>IF(Sheet1[[#This Row],[age]]&lt;18, "Under 18",IF(Sheet1[[#This Row],[age]]&lt;=30,"18-30",IF(Sheet1[[#This Row],[age]]&lt;=45,"31-45",IF(Sheet1[[#This Row],[age]]&lt;=60,"46-60","60+"))))</f>
        <v>31-45</v>
      </c>
      <c r="M178" s="2" t="str">
        <f>IF(Sheet1[[#This Row],[risk_score]]&lt;0.3,"Low",IF(Sheet1[[#This Row],[risk_score]]&lt;0.7,"Medium","High"))</f>
        <v>Medium</v>
      </c>
      <c r="N178">
        <f>YEAR(Sheet1[[#This Row],[date_joined]])</f>
        <v>2021</v>
      </c>
      <c r="O178" s="2" t="str">
        <f>TEXT(Sheet1[[#This Row],[date_joined]],"mmm")</f>
        <v>Oct</v>
      </c>
      <c r="P178" s="2" t="str">
        <f>"Q"&amp;ROUNDUP(MONTH(Sheet1[[#This Row],[date_joined]])/3,0)</f>
        <v>Q4</v>
      </c>
      <c r="Q178" s="2" t="str">
        <f>IF(Sheet1[[#This Row],[age]]&lt;30,"Young",IF(Sheet1[[#This Row],[age]]&lt;=50,"Adult","Senior"))</f>
        <v>Adult</v>
      </c>
      <c r="R178" s="2" t="str">
        <f t="shared" si="4"/>
        <v>Very High</v>
      </c>
      <c r="S178" s="2" t="str">
        <f t="shared" si="5"/>
        <v>South - Self-employed</v>
      </c>
    </row>
    <row r="179" spans="1:19" x14ac:dyDescent="0.3">
      <c r="A179" t="s">
        <v>382</v>
      </c>
      <c r="B179" t="s">
        <v>383</v>
      </c>
      <c r="C179">
        <v>21</v>
      </c>
      <c r="D179" s="2" t="s">
        <v>21</v>
      </c>
      <c r="E179" s="2" t="s">
        <v>22</v>
      </c>
      <c r="F179" s="2" t="s">
        <v>37</v>
      </c>
      <c r="G179" s="2" t="s">
        <v>81</v>
      </c>
      <c r="H179" s="2" t="s">
        <v>18</v>
      </c>
      <c r="I179" s="2" t="s">
        <v>17</v>
      </c>
      <c r="J179">
        <v>0.18</v>
      </c>
      <c r="K179" s="1">
        <v>44059</v>
      </c>
      <c r="L179" s="2" t="str">
        <f>IF(Sheet1[[#This Row],[age]]&lt;18, "Under 18",IF(Sheet1[[#This Row],[age]]&lt;=30,"18-30",IF(Sheet1[[#This Row],[age]]&lt;=45,"31-45",IF(Sheet1[[#This Row],[age]]&lt;=60,"46-60","60+"))))</f>
        <v>18-30</v>
      </c>
      <c r="M179" s="2" t="str">
        <f>IF(Sheet1[[#This Row],[risk_score]]&lt;0.3,"Low",IF(Sheet1[[#This Row],[risk_score]]&lt;0.7,"Medium","High"))</f>
        <v>Low</v>
      </c>
      <c r="N179">
        <f>YEAR(Sheet1[[#This Row],[date_joined]])</f>
        <v>2020</v>
      </c>
      <c r="O179" s="2" t="str">
        <f>TEXT(Sheet1[[#This Row],[date_joined]],"mmm")</f>
        <v>Aug</v>
      </c>
      <c r="P179" s="2" t="str">
        <f>"Q"&amp;ROUNDUP(MONTH(Sheet1[[#This Row],[date_joined]])/3,0)</f>
        <v>Q3</v>
      </c>
      <c r="Q179" s="2" t="str">
        <f>IF(Sheet1[[#This Row],[age]]&lt;30,"Young",IF(Sheet1[[#This Row],[age]]&lt;=50,"Adult","Senior"))</f>
        <v>Young</v>
      </c>
      <c r="R179" s="2" t="str">
        <f t="shared" si="4"/>
        <v>High</v>
      </c>
      <c r="S179" s="2" t="str">
        <f t="shared" si="5"/>
        <v>Central - Retired</v>
      </c>
    </row>
    <row r="180" spans="1:19" x14ac:dyDescent="0.3">
      <c r="A180" t="s">
        <v>384</v>
      </c>
      <c r="B180" t="s">
        <v>385</v>
      </c>
      <c r="C180">
        <v>38</v>
      </c>
      <c r="D180" s="2" t="s">
        <v>13</v>
      </c>
      <c r="E180" s="2" t="s">
        <v>22</v>
      </c>
      <c r="F180" s="2" t="s">
        <v>37</v>
      </c>
      <c r="G180" s="2" t="s">
        <v>32</v>
      </c>
      <c r="H180" s="2" t="s">
        <v>17</v>
      </c>
      <c r="I180" s="2" t="s">
        <v>17</v>
      </c>
      <c r="J180">
        <v>0.68</v>
      </c>
      <c r="K180" s="1">
        <v>44660</v>
      </c>
      <c r="L180" s="2" t="str">
        <f>IF(Sheet1[[#This Row],[age]]&lt;18, "Under 18",IF(Sheet1[[#This Row],[age]]&lt;=30,"18-30",IF(Sheet1[[#This Row],[age]]&lt;=45,"31-45",IF(Sheet1[[#This Row],[age]]&lt;=60,"46-60","60+"))))</f>
        <v>31-45</v>
      </c>
      <c r="M180" s="2" t="str">
        <f>IF(Sheet1[[#This Row],[risk_score]]&lt;0.3,"Low",IF(Sheet1[[#This Row],[risk_score]]&lt;0.7,"Medium","High"))</f>
        <v>Medium</v>
      </c>
      <c r="N180">
        <f>YEAR(Sheet1[[#This Row],[date_joined]])</f>
        <v>2022</v>
      </c>
      <c r="O180" s="2" t="str">
        <f>TEXT(Sheet1[[#This Row],[date_joined]],"mmm")</f>
        <v>Apr</v>
      </c>
      <c r="P180" s="2" t="str">
        <f>"Q"&amp;ROUNDUP(MONTH(Sheet1[[#This Row],[date_joined]])/3,0)</f>
        <v>Q2</v>
      </c>
      <c r="Q180" s="2" t="str">
        <f>IF(Sheet1[[#This Row],[age]]&lt;30,"Young",IF(Sheet1[[#This Row],[age]]&lt;=50,"Adult","Senior"))</f>
        <v>Adult</v>
      </c>
      <c r="R180" s="2" t="str">
        <f t="shared" si="4"/>
        <v>Low</v>
      </c>
      <c r="S180" s="2" t="str">
        <f t="shared" si="5"/>
        <v>South - Retired</v>
      </c>
    </row>
    <row r="181" spans="1:19" x14ac:dyDescent="0.3">
      <c r="A181" t="s">
        <v>386</v>
      </c>
      <c r="B181" t="s">
        <v>387</v>
      </c>
      <c r="C181">
        <v>37</v>
      </c>
      <c r="D181" s="2" t="s">
        <v>13</v>
      </c>
      <c r="E181" s="2" t="s">
        <v>14</v>
      </c>
      <c r="F181" s="2" t="s">
        <v>23</v>
      </c>
      <c r="G181" s="2" t="s">
        <v>24</v>
      </c>
      <c r="H181" s="2" t="s">
        <v>17</v>
      </c>
      <c r="I181" s="2" t="s">
        <v>18</v>
      </c>
      <c r="J181">
        <v>0.56999999999999995</v>
      </c>
      <c r="K181" s="1">
        <v>44769</v>
      </c>
      <c r="L181" s="2" t="str">
        <f>IF(Sheet1[[#This Row],[age]]&lt;18, "Under 18",IF(Sheet1[[#This Row],[age]]&lt;=30,"18-30",IF(Sheet1[[#This Row],[age]]&lt;=45,"31-45",IF(Sheet1[[#This Row],[age]]&lt;=60,"46-60","60+"))))</f>
        <v>31-45</v>
      </c>
      <c r="M181" s="2" t="str">
        <f>IF(Sheet1[[#This Row],[risk_score]]&lt;0.3,"Low",IF(Sheet1[[#This Row],[risk_score]]&lt;0.7,"Medium","High"))</f>
        <v>Medium</v>
      </c>
      <c r="N181">
        <f>YEAR(Sheet1[[#This Row],[date_joined]])</f>
        <v>2022</v>
      </c>
      <c r="O181" s="2" t="str">
        <f>TEXT(Sheet1[[#This Row],[date_joined]],"mmm")</f>
        <v>Jul</v>
      </c>
      <c r="P181" s="2" t="str">
        <f>"Q"&amp;ROUNDUP(MONTH(Sheet1[[#This Row],[date_joined]])/3,0)</f>
        <v>Q3</v>
      </c>
      <c r="Q181" s="2" t="str">
        <f>IF(Sheet1[[#This Row],[age]]&lt;30,"Young",IF(Sheet1[[#This Row],[age]]&lt;=50,"Adult","Senior"))</f>
        <v>Adult</v>
      </c>
      <c r="R181" s="2" t="str">
        <f t="shared" si="4"/>
        <v>High</v>
      </c>
      <c r="S181" s="2" t="str">
        <f t="shared" si="5"/>
        <v>East - Salaried</v>
      </c>
    </row>
    <row r="182" spans="1:19" x14ac:dyDescent="0.3">
      <c r="A182" t="s">
        <v>388</v>
      </c>
      <c r="B182" t="s">
        <v>389</v>
      </c>
      <c r="C182">
        <v>40</v>
      </c>
      <c r="D182" s="2" t="s">
        <v>13</v>
      </c>
      <c r="E182" s="2" t="s">
        <v>22</v>
      </c>
      <c r="F182" s="2" t="s">
        <v>31</v>
      </c>
      <c r="G182" s="2" t="s">
        <v>27</v>
      </c>
      <c r="H182" s="2" t="s">
        <v>18</v>
      </c>
      <c r="I182" s="2" t="s">
        <v>17</v>
      </c>
      <c r="J182">
        <v>0.9</v>
      </c>
      <c r="K182" s="1">
        <v>43400</v>
      </c>
      <c r="L182" s="2" t="str">
        <f>IF(Sheet1[[#This Row],[age]]&lt;18, "Under 18",IF(Sheet1[[#This Row],[age]]&lt;=30,"18-30",IF(Sheet1[[#This Row],[age]]&lt;=45,"31-45",IF(Sheet1[[#This Row],[age]]&lt;=60,"46-60","60+"))))</f>
        <v>31-45</v>
      </c>
      <c r="M182" s="2" t="str">
        <f>IF(Sheet1[[#This Row],[risk_score]]&lt;0.3,"Low",IF(Sheet1[[#This Row],[risk_score]]&lt;0.7,"Medium","High"))</f>
        <v>High</v>
      </c>
      <c r="N182">
        <f>YEAR(Sheet1[[#This Row],[date_joined]])</f>
        <v>2018</v>
      </c>
      <c r="O182" s="2" t="str">
        <f>TEXT(Sheet1[[#This Row],[date_joined]],"mmm")</f>
        <v>Oct</v>
      </c>
      <c r="P182" s="2" t="str">
        <f>"Q"&amp;ROUNDUP(MONTH(Sheet1[[#This Row],[date_joined]])/3,0)</f>
        <v>Q4</v>
      </c>
      <c r="Q182" s="2" t="str">
        <f>IF(Sheet1[[#This Row],[age]]&lt;30,"Young",IF(Sheet1[[#This Row],[age]]&lt;=50,"Adult","Senior"))</f>
        <v>Adult</v>
      </c>
      <c r="R182" s="2" t="str">
        <f t="shared" si="4"/>
        <v>High</v>
      </c>
      <c r="S182" s="2" t="str">
        <f t="shared" si="5"/>
        <v>North - Self-employed</v>
      </c>
    </row>
    <row r="183" spans="1:19" x14ac:dyDescent="0.3">
      <c r="A183" t="s">
        <v>390</v>
      </c>
      <c r="B183" t="s">
        <v>391</v>
      </c>
      <c r="C183">
        <v>18</v>
      </c>
      <c r="D183" s="2" t="s">
        <v>21</v>
      </c>
      <c r="E183" s="2" t="s">
        <v>30</v>
      </c>
      <c r="F183" s="2" t="s">
        <v>37</v>
      </c>
      <c r="G183" s="2" t="s">
        <v>81</v>
      </c>
      <c r="H183" s="2" t="s">
        <v>17</v>
      </c>
      <c r="I183" s="2" t="s">
        <v>17</v>
      </c>
      <c r="J183">
        <v>0.44</v>
      </c>
      <c r="K183" s="1">
        <v>43214</v>
      </c>
      <c r="L183" s="2" t="str">
        <f>IF(Sheet1[[#This Row],[age]]&lt;18, "Under 18",IF(Sheet1[[#This Row],[age]]&lt;=30,"18-30",IF(Sheet1[[#This Row],[age]]&lt;=45,"31-45",IF(Sheet1[[#This Row],[age]]&lt;=60,"46-60","60+"))))</f>
        <v>18-30</v>
      </c>
      <c r="M183" s="2" t="str">
        <f>IF(Sheet1[[#This Row],[risk_score]]&lt;0.3,"Low",IF(Sheet1[[#This Row],[risk_score]]&lt;0.7,"Medium","High"))</f>
        <v>Medium</v>
      </c>
      <c r="N183">
        <f>YEAR(Sheet1[[#This Row],[date_joined]])</f>
        <v>2018</v>
      </c>
      <c r="O183" s="2" t="str">
        <f>TEXT(Sheet1[[#This Row],[date_joined]],"mmm")</f>
        <v>Apr</v>
      </c>
      <c r="P183" s="2" t="str">
        <f>"Q"&amp;ROUNDUP(MONTH(Sheet1[[#This Row],[date_joined]])/3,0)</f>
        <v>Q2</v>
      </c>
      <c r="Q183" s="2" t="str">
        <f>IF(Sheet1[[#This Row],[age]]&lt;30,"Young",IF(Sheet1[[#This Row],[age]]&lt;=50,"Adult","Senior"))</f>
        <v>Young</v>
      </c>
      <c r="R183" s="2" t="str">
        <f t="shared" si="4"/>
        <v>Low</v>
      </c>
      <c r="S183" s="2" t="str">
        <f t="shared" si="5"/>
        <v>Central - Retired</v>
      </c>
    </row>
    <row r="184" spans="1:19" x14ac:dyDescent="0.3">
      <c r="A184" t="s">
        <v>392</v>
      </c>
      <c r="B184" t="s">
        <v>393</v>
      </c>
      <c r="C184">
        <v>63</v>
      </c>
      <c r="D184" s="2" t="s">
        <v>21</v>
      </c>
      <c r="E184" s="2" t="s">
        <v>30</v>
      </c>
      <c r="F184" s="2" t="s">
        <v>31</v>
      </c>
      <c r="G184" s="2" t="s">
        <v>27</v>
      </c>
      <c r="H184" s="2" t="s">
        <v>17</v>
      </c>
      <c r="I184" s="2" t="s">
        <v>17</v>
      </c>
      <c r="J184">
        <v>0.25</v>
      </c>
      <c r="K184" s="1">
        <v>45107</v>
      </c>
      <c r="L184" s="2" t="str">
        <f>IF(Sheet1[[#This Row],[age]]&lt;18, "Under 18",IF(Sheet1[[#This Row],[age]]&lt;=30,"18-30",IF(Sheet1[[#This Row],[age]]&lt;=45,"31-45",IF(Sheet1[[#This Row],[age]]&lt;=60,"46-60","60+"))))</f>
        <v>60+</v>
      </c>
      <c r="M184" s="2" t="str">
        <f>IF(Sheet1[[#This Row],[risk_score]]&lt;0.3,"Low",IF(Sheet1[[#This Row],[risk_score]]&lt;0.7,"Medium","High"))</f>
        <v>Low</v>
      </c>
      <c r="N184">
        <f>YEAR(Sheet1[[#This Row],[date_joined]])</f>
        <v>2023</v>
      </c>
      <c r="O184" s="2" t="str">
        <f>TEXT(Sheet1[[#This Row],[date_joined]],"mmm")</f>
        <v>Jun</v>
      </c>
      <c r="P184" s="2" t="str">
        <f>"Q"&amp;ROUNDUP(MONTH(Sheet1[[#This Row],[date_joined]])/3,0)</f>
        <v>Q2</v>
      </c>
      <c r="Q184" s="2" t="str">
        <f>IF(Sheet1[[#This Row],[age]]&lt;30,"Young",IF(Sheet1[[#This Row],[age]]&lt;=50,"Adult","Senior"))</f>
        <v>Senior</v>
      </c>
      <c r="R184" s="2" t="str">
        <f t="shared" si="4"/>
        <v>Low</v>
      </c>
      <c r="S184" s="2" t="str">
        <f t="shared" si="5"/>
        <v>North - Self-employed</v>
      </c>
    </row>
    <row r="185" spans="1:19" x14ac:dyDescent="0.3">
      <c r="A185" t="s">
        <v>394</v>
      </c>
      <c r="B185" t="s">
        <v>395</v>
      </c>
      <c r="C185">
        <v>50</v>
      </c>
      <c r="D185" s="2" t="s">
        <v>13</v>
      </c>
      <c r="E185" s="2" t="s">
        <v>22</v>
      </c>
      <c r="F185" s="2" t="s">
        <v>31</v>
      </c>
      <c r="G185" s="2" t="s">
        <v>24</v>
      </c>
      <c r="H185" s="2" t="s">
        <v>17</v>
      </c>
      <c r="I185" s="2" t="s">
        <v>17</v>
      </c>
      <c r="J185">
        <v>0.67</v>
      </c>
      <c r="K185" s="1">
        <v>43375</v>
      </c>
      <c r="L185" s="2" t="str">
        <f>IF(Sheet1[[#This Row],[age]]&lt;18, "Under 18",IF(Sheet1[[#This Row],[age]]&lt;=30,"18-30",IF(Sheet1[[#This Row],[age]]&lt;=45,"31-45",IF(Sheet1[[#This Row],[age]]&lt;=60,"46-60","60+"))))</f>
        <v>46-60</v>
      </c>
      <c r="M185" s="2" t="str">
        <f>IF(Sheet1[[#This Row],[risk_score]]&lt;0.3,"Low",IF(Sheet1[[#This Row],[risk_score]]&lt;0.7,"Medium","High"))</f>
        <v>Medium</v>
      </c>
      <c r="N185">
        <f>YEAR(Sheet1[[#This Row],[date_joined]])</f>
        <v>2018</v>
      </c>
      <c r="O185" s="2" t="str">
        <f>TEXT(Sheet1[[#This Row],[date_joined]],"mmm")</f>
        <v>Oct</v>
      </c>
      <c r="P185" s="2" t="str">
        <f>"Q"&amp;ROUNDUP(MONTH(Sheet1[[#This Row],[date_joined]])/3,0)</f>
        <v>Q4</v>
      </c>
      <c r="Q185" s="2" t="str">
        <f>IF(Sheet1[[#This Row],[age]]&lt;30,"Young",IF(Sheet1[[#This Row],[age]]&lt;=50,"Adult","Senior"))</f>
        <v>Adult</v>
      </c>
      <c r="R185" s="2" t="str">
        <f t="shared" si="4"/>
        <v>Low</v>
      </c>
      <c r="S185" s="2" t="str">
        <f t="shared" si="5"/>
        <v>East - Self-employed</v>
      </c>
    </row>
    <row r="186" spans="1:19" x14ac:dyDescent="0.3">
      <c r="A186" t="s">
        <v>396</v>
      </c>
      <c r="B186" t="s">
        <v>397</v>
      </c>
      <c r="C186">
        <v>37</v>
      </c>
      <c r="D186" s="2" t="s">
        <v>21</v>
      </c>
      <c r="E186" s="2" t="s">
        <v>14</v>
      </c>
      <c r="F186" s="2" t="s">
        <v>15</v>
      </c>
      <c r="G186" s="2" t="s">
        <v>81</v>
      </c>
      <c r="H186" s="2" t="s">
        <v>17</v>
      </c>
      <c r="I186" s="2" t="s">
        <v>18</v>
      </c>
      <c r="J186">
        <v>0.68</v>
      </c>
      <c r="K186" s="1">
        <v>43361</v>
      </c>
      <c r="L186" s="2" t="str">
        <f>IF(Sheet1[[#This Row],[age]]&lt;18, "Under 18",IF(Sheet1[[#This Row],[age]]&lt;=30,"18-30",IF(Sheet1[[#This Row],[age]]&lt;=45,"31-45",IF(Sheet1[[#This Row],[age]]&lt;=60,"46-60","60+"))))</f>
        <v>31-45</v>
      </c>
      <c r="M186" s="2" t="str">
        <f>IF(Sheet1[[#This Row],[risk_score]]&lt;0.3,"Low",IF(Sheet1[[#This Row],[risk_score]]&lt;0.7,"Medium","High"))</f>
        <v>Medium</v>
      </c>
      <c r="N186">
        <f>YEAR(Sheet1[[#This Row],[date_joined]])</f>
        <v>2018</v>
      </c>
      <c r="O186" s="2" t="str">
        <f>TEXT(Sheet1[[#This Row],[date_joined]],"mmm")</f>
        <v>Sep</v>
      </c>
      <c r="P186" s="2" t="str">
        <f>"Q"&amp;ROUNDUP(MONTH(Sheet1[[#This Row],[date_joined]])/3,0)</f>
        <v>Q3</v>
      </c>
      <c r="Q186" s="2" t="str">
        <f>IF(Sheet1[[#This Row],[age]]&lt;30,"Young",IF(Sheet1[[#This Row],[age]]&lt;=50,"Adult","Senior"))</f>
        <v>Adult</v>
      </c>
      <c r="R186" s="2" t="str">
        <f t="shared" si="4"/>
        <v>High</v>
      </c>
      <c r="S186" s="2" t="str">
        <f t="shared" si="5"/>
        <v>Central - Student</v>
      </c>
    </row>
    <row r="187" spans="1:19" x14ac:dyDescent="0.3">
      <c r="A187" t="s">
        <v>398</v>
      </c>
      <c r="B187" t="s">
        <v>399</v>
      </c>
      <c r="C187">
        <v>53</v>
      </c>
      <c r="D187" s="2" t="s">
        <v>21</v>
      </c>
      <c r="E187" s="2" t="s">
        <v>30</v>
      </c>
      <c r="F187" s="2" t="s">
        <v>15</v>
      </c>
      <c r="G187" s="2" t="s">
        <v>16</v>
      </c>
      <c r="H187" s="2" t="s">
        <v>17</v>
      </c>
      <c r="I187" s="2" t="s">
        <v>18</v>
      </c>
      <c r="J187">
        <v>0.47</v>
      </c>
      <c r="K187" s="1">
        <v>44589</v>
      </c>
      <c r="L187" s="2" t="str">
        <f>IF(Sheet1[[#This Row],[age]]&lt;18, "Under 18",IF(Sheet1[[#This Row],[age]]&lt;=30,"18-30",IF(Sheet1[[#This Row],[age]]&lt;=45,"31-45",IF(Sheet1[[#This Row],[age]]&lt;=60,"46-60","60+"))))</f>
        <v>46-60</v>
      </c>
      <c r="M187" s="2" t="str">
        <f>IF(Sheet1[[#This Row],[risk_score]]&lt;0.3,"Low",IF(Sheet1[[#This Row],[risk_score]]&lt;0.7,"Medium","High"))</f>
        <v>Medium</v>
      </c>
      <c r="N187">
        <f>YEAR(Sheet1[[#This Row],[date_joined]])</f>
        <v>2022</v>
      </c>
      <c r="O187" s="2" t="str">
        <f>TEXT(Sheet1[[#This Row],[date_joined]],"mmm")</f>
        <v>Jan</v>
      </c>
      <c r="P187" s="2" t="str">
        <f>"Q"&amp;ROUNDUP(MONTH(Sheet1[[#This Row],[date_joined]])/3,0)</f>
        <v>Q1</v>
      </c>
      <c r="Q187" s="2" t="str">
        <f>IF(Sheet1[[#This Row],[age]]&lt;30,"Young",IF(Sheet1[[#This Row],[age]]&lt;=50,"Adult","Senior"))</f>
        <v>Senior</v>
      </c>
      <c r="R187" s="2" t="str">
        <f t="shared" si="4"/>
        <v>High</v>
      </c>
      <c r="S187" s="2" t="str">
        <f t="shared" si="5"/>
        <v>West - Student</v>
      </c>
    </row>
    <row r="188" spans="1:19" x14ac:dyDescent="0.3">
      <c r="A188" t="s">
        <v>400</v>
      </c>
      <c r="B188" t="s">
        <v>401</v>
      </c>
      <c r="C188">
        <v>46</v>
      </c>
      <c r="D188" s="2" t="s">
        <v>21</v>
      </c>
      <c r="E188" s="2" t="s">
        <v>30</v>
      </c>
      <c r="F188" s="2" t="s">
        <v>15</v>
      </c>
      <c r="G188" s="2" t="s">
        <v>81</v>
      </c>
      <c r="H188" s="2" t="s">
        <v>18</v>
      </c>
      <c r="I188" s="2" t="s">
        <v>18</v>
      </c>
      <c r="J188">
        <v>0.63</v>
      </c>
      <c r="K188" s="1">
        <v>43505</v>
      </c>
      <c r="L188" s="2" t="str">
        <f>IF(Sheet1[[#This Row],[age]]&lt;18, "Under 18",IF(Sheet1[[#This Row],[age]]&lt;=30,"18-30",IF(Sheet1[[#This Row],[age]]&lt;=45,"31-45",IF(Sheet1[[#This Row],[age]]&lt;=60,"46-60","60+"))))</f>
        <v>46-60</v>
      </c>
      <c r="M188" s="2" t="str">
        <f>IF(Sheet1[[#This Row],[risk_score]]&lt;0.3,"Low",IF(Sheet1[[#This Row],[risk_score]]&lt;0.7,"Medium","High"))</f>
        <v>Medium</v>
      </c>
      <c r="N188">
        <f>YEAR(Sheet1[[#This Row],[date_joined]])</f>
        <v>2019</v>
      </c>
      <c r="O188" s="2" t="str">
        <f>TEXT(Sheet1[[#This Row],[date_joined]],"mmm")</f>
        <v>Feb</v>
      </c>
      <c r="P188" s="2" t="str">
        <f>"Q"&amp;ROUNDUP(MONTH(Sheet1[[#This Row],[date_joined]])/3,0)</f>
        <v>Q1</v>
      </c>
      <c r="Q188" s="2" t="str">
        <f>IF(Sheet1[[#This Row],[age]]&lt;30,"Young",IF(Sheet1[[#This Row],[age]]&lt;=50,"Adult","Senior"))</f>
        <v>Adult</v>
      </c>
      <c r="R188" s="2" t="str">
        <f t="shared" si="4"/>
        <v>Very High</v>
      </c>
      <c r="S188" s="2" t="str">
        <f t="shared" si="5"/>
        <v>Central - Student</v>
      </c>
    </row>
    <row r="189" spans="1:19" x14ac:dyDescent="0.3">
      <c r="A189" t="s">
        <v>402</v>
      </c>
      <c r="B189" t="s">
        <v>403</v>
      </c>
      <c r="C189">
        <v>36</v>
      </c>
      <c r="D189" s="2" t="s">
        <v>21</v>
      </c>
      <c r="E189" s="2" t="s">
        <v>22</v>
      </c>
      <c r="F189" s="2" t="s">
        <v>37</v>
      </c>
      <c r="G189" s="2" t="s">
        <v>24</v>
      </c>
      <c r="H189" s="2" t="s">
        <v>17</v>
      </c>
      <c r="I189" s="2" t="s">
        <v>17</v>
      </c>
      <c r="J189">
        <v>0.7</v>
      </c>
      <c r="K189" s="1">
        <v>45114</v>
      </c>
      <c r="L189" s="2" t="str">
        <f>IF(Sheet1[[#This Row],[age]]&lt;18, "Under 18",IF(Sheet1[[#This Row],[age]]&lt;=30,"18-30",IF(Sheet1[[#This Row],[age]]&lt;=45,"31-45",IF(Sheet1[[#This Row],[age]]&lt;=60,"46-60","60+"))))</f>
        <v>31-45</v>
      </c>
      <c r="M189" s="2" t="str">
        <f>IF(Sheet1[[#This Row],[risk_score]]&lt;0.3,"Low",IF(Sheet1[[#This Row],[risk_score]]&lt;0.7,"Medium","High"))</f>
        <v>High</v>
      </c>
      <c r="N189">
        <f>YEAR(Sheet1[[#This Row],[date_joined]])</f>
        <v>2023</v>
      </c>
      <c r="O189" s="2" t="str">
        <f>TEXT(Sheet1[[#This Row],[date_joined]],"mmm")</f>
        <v>Jul</v>
      </c>
      <c r="P189" s="2" t="str">
        <f>"Q"&amp;ROUNDUP(MONTH(Sheet1[[#This Row],[date_joined]])/3,0)</f>
        <v>Q3</v>
      </c>
      <c r="Q189" s="2" t="str">
        <f>IF(Sheet1[[#This Row],[age]]&lt;30,"Young",IF(Sheet1[[#This Row],[age]]&lt;=50,"Adult","Senior"))</f>
        <v>Adult</v>
      </c>
      <c r="R189" s="2" t="str">
        <f t="shared" si="4"/>
        <v>Low</v>
      </c>
      <c r="S189" s="2" t="str">
        <f t="shared" si="5"/>
        <v>East - Retired</v>
      </c>
    </row>
    <row r="190" spans="1:19" x14ac:dyDescent="0.3">
      <c r="A190" t="s">
        <v>404</v>
      </c>
      <c r="B190" t="s">
        <v>405</v>
      </c>
      <c r="C190">
        <v>31</v>
      </c>
      <c r="D190" s="2" t="s">
        <v>21</v>
      </c>
      <c r="E190" s="2" t="s">
        <v>30</v>
      </c>
      <c r="F190" s="2" t="s">
        <v>15</v>
      </c>
      <c r="G190" s="2" t="s">
        <v>27</v>
      </c>
      <c r="H190" s="2" t="s">
        <v>17</v>
      </c>
      <c r="I190" s="2" t="s">
        <v>18</v>
      </c>
      <c r="J190">
        <v>0.52</v>
      </c>
      <c r="K190" s="1">
        <v>43135</v>
      </c>
      <c r="L190" s="2" t="str">
        <f>IF(Sheet1[[#This Row],[age]]&lt;18, "Under 18",IF(Sheet1[[#This Row],[age]]&lt;=30,"18-30",IF(Sheet1[[#This Row],[age]]&lt;=45,"31-45",IF(Sheet1[[#This Row],[age]]&lt;=60,"46-60","60+"))))</f>
        <v>31-45</v>
      </c>
      <c r="M190" s="2" t="str">
        <f>IF(Sheet1[[#This Row],[risk_score]]&lt;0.3,"Low",IF(Sheet1[[#This Row],[risk_score]]&lt;0.7,"Medium","High"))</f>
        <v>Medium</v>
      </c>
      <c r="N190">
        <f>YEAR(Sheet1[[#This Row],[date_joined]])</f>
        <v>2018</v>
      </c>
      <c r="O190" s="2" t="str">
        <f>TEXT(Sheet1[[#This Row],[date_joined]],"mmm")</f>
        <v>Feb</v>
      </c>
      <c r="P190" s="2" t="str">
        <f>"Q"&amp;ROUNDUP(MONTH(Sheet1[[#This Row],[date_joined]])/3,0)</f>
        <v>Q1</v>
      </c>
      <c r="Q190" s="2" t="str">
        <f>IF(Sheet1[[#This Row],[age]]&lt;30,"Young",IF(Sheet1[[#This Row],[age]]&lt;=50,"Adult","Senior"))</f>
        <v>Adult</v>
      </c>
      <c r="R190" s="2" t="str">
        <f t="shared" si="4"/>
        <v>High</v>
      </c>
      <c r="S190" s="2" t="str">
        <f t="shared" si="5"/>
        <v>North - Student</v>
      </c>
    </row>
    <row r="191" spans="1:19" x14ac:dyDescent="0.3">
      <c r="A191" t="s">
        <v>406</v>
      </c>
      <c r="B191" t="s">
        <v>407</v>
      </c>
      <c r="C191">
        <v>41</v>
      </c>
      <c r="D191" s="2" t="s">
        <v>21</v>
      </c>
      <c r="E191" s="2" t="s">
        <v>22</v>
      </c>
      <c r="F191" s="2" t="s">
        <v>31</v>
      </c>
      <c r="G191" s="2" t="s">
        <v>81</v>
      </c>
      <c r="H191" s="2" t="s">
        <v>17</v>
      </c>
      <c r="I191" s="2" t="s">
        <v>17</v>
      </c>
      <c r="J191">
        <v>0.46</v>
      </c>
      <c r="K191" s="1">
        <v>44450</v>
      </c>
      <c r="L191" s="2" t="str">
        <f>IF(Sheet1[[#This Row],[age]]&lt;18, "Under 18",IF(Sheet1[[#This Row],[age]]&lt;=30,"18-30",IF(Sheet1[[#This Row],[age]]&lt;=45,"31-45",IF(Sheet1[[#This Row],[age]]&lt;=60,"46-60","60+"))))</f>
        <v>31-45</v>
      </c>
      <c r="M191" s="2" t="str">
        <f>IF(Sheet1[[#This Row],[risk_score]]&lt;0.3,"Low",IF(Sheet1[[#This Row],[risk_score]]&lt;0.7,"Medium","High"))</f>
        <v>Medium</v>
      </c>
      <c r="N191">
        <f>YEAR(Sheet1[[#This Row],[date_joined]])</f>
        <v>2021</v>
      </c>
      <c r="O191" s="2" t="str">
        <f>TEXT(Sheet1[[#This Row],[date_joined]],"mmm")</f>
        <v>Sep</v>
      </c>
      <c r="P191" s="2" t="str">
        <f>"Q"&amp;ROUNDUP(MONTH(Sheet1[[#This Row],[date_joined]])/3,0)</f>
        <v>Q3</v>
      </c>
      <c r="Q191" s="2" t="str">
        <f>IF(Sheet1[[#This Row],[age]]&lt;30,"Young",IF(Sheet1[[#This Row],[age]]&lt;=50,"Adult","Senior"))</f>
        <v>Adult</v>
      </c>
      <c r="R191" s="2" t="str">
        <f t="shared" si="4"/>
        <v>Low</v>
      </c>
      <c r="S191" s="2" t="str">
        <f t="shared" si="5"/>
        <v>Central - Self-employed</v>
      </c>
    </row>
    <row r="192" spans="1:19" x14ac:dyDescent="0.3">
      <c r="A192" t="s">
        <v>408</v>
      </c>
      <c r="B192" t="s">
        <v>409</v>
      </c>
      <c r="C192">
        <v>55</v>
      </c>
      <c r="D192" s="2" t="s">
        <v>21</v>
      </c>
      <c r="E192" s="2" t="s">
        <v>22</v>
      </c>
      <c r="F192" s="2" t="s">
        <v>31</v>
      </c>
      <c r="G192" s="2" t="s">
        <v>81</v>
      </c>
      <c r="H192" s="2" t="s">
        <v>17</v>
      </c>
      <c r="I192" s="2" t="s">
        <v>18</v>
      </c>
      <c r="J192">
        <v>0.39</v>
      </c>
      <c r="K192" s="1">
        <v>45018</v>
      </c>
      <c r="L192" s="2" t="str">
        <f>IF(Sheet1[[#This Row],[age]]&lt;18, "Under 18",IF(Sheet1[[#This Row],[age]]&lt;=30,"18-30",IF(Sheet1[[#This Row],[age]]&lt;=45,"31-45",IF(Sheet1[[#This Row],[age]]&lt;=60,"46-60","60+"))))</f>
        <v>46-60</v>
      </c>
      <c r="M192" s="2" t="str">
        <f>IF(Sheet1[[#This Row],[risk_score]]&lt;0.3,"Low",IF(Sheet1[[#This Row],[risk_score]]&lt;0.7,"Medium","High"))</f>
        <v>Medium</v>
      </c>
      <c r="N192">
        <f>YEAR(Sheet1[[#This Row],[date_joined]])</f>
        <v>2023</v>
      </c>
      <c r="O192" s="2" t="str">
        <f>TEXT(Sheet1[[#This Row],[date_joined]],"mmm")</f>
        <v>Apr</v>
      </c>
      <c r="P192" s="2" t="str">
        <f>"Q"&amp;ROUNDUP(MONTH(Sheet1[[#This Row],[date_joined]])/3,0)</f>
        <v>Q2</v>
      </c>
      <c r="Q192" s="2" t="str">
        <f>IF(Sheet1[[#This Row],[age]]&lt;30,"Young",IF(Sheet1[[#This Row],[age]]&lt;=50,"Adult","Senior"))</f>
        <v>Senior</v>
      </c>
      <c r="R192" s="2" t="str">
        <f t="shared" si="4"/>
        <v>High</v>
      </c>
      <c r="S192" s="2" t="str">
        <f t="shared" si="5"/>
        <v>Central - Self-employed</v>
      </c>
    </row>
    <row r="193" spans="1:19" x14ac:dyDescent="0.3">
      <c r="A193" t="s">
        <v>410</v>
      </c>
      <c r="B193" t="s">
        <v>411</v>
      </c>
      <c r="C193">
        <v>55</v>
      </c>
      <c r="D193" s="2" t="s">
        <v>21</v>
      </c>
      <c r="E193" s="2" t="s">
        <v>30</v>
      </c>
      <c r="F193" s="2" t="s">
        <v>37</v>
      </c>
      <c r="G193" s="2" t="s">
        <v>32</v>
      </c>
      <c r="H193" s="2" t="s">
        <v>18</v>
      </c>
      <c r="I193" s="2" t="s">
        <v>18</v>
      </c>
      <c r="J193">
        <v>0.4</v>
      </c>
      <c r="K193" s="1">
        <v>44866</v>
      </c>
      <c r="L193" s="2" t="str">
        <f>IF(Sheet1[[#This Row],[age]]&lt;18, "Under 18",IF(Sheet1[[#This Row],[age]]&lt;=30,"18-30",IF(Sheet1[[#This Row],[age]]&lt;=45,"31-45",IF(Sheet1[[#This Row],[age]]&lt;=60,"46-60","60+"))))</f>
        <v>46-60</v>
      </c>
      <c r="M193" s="2" t="str">
        <f>IF(Sheet1[[#This Row],[risk_score]]&lt;0.3,"Low",IF(Sheet1[[#This Row],[risk_score]]&lt;0.7,"Medium","High"))</f>
        <v>Medium</v>
      </c>
      <c r="N193">
        <f>YEAR(Sheet1[[#This Row],[date_joined]])</f>
        <v>2022</v>
      </c>
      <c r="O193" s="2" t="str">
        <f>TEXT(Sheet1[[#This Row],[date_joined]],"mmm")</f>
        <v>Nov</v>
      </c>
      <c r="P193" s="2" t="str">
        <f>"Q"&amp;ROUNDUP(MONTH(Sheet1[[#This Row],[date_joined]])/3,0)</f>
        <v>Q4</v>
      </c>
      <c r="Q193" s="2" t="str">
        <f>IF(Sheet1[[#This Row],[age]]&lt;30,"Young",IF(Sheet1[[#This Row],[age]]&lt;=50,"Adult","Senior"))</f>
        <v>Senior</v>
      </c>
      <c r="R193" s="2" t="str">
        <f t="shared" si="4"/>
        <v>Very High</v>
      </c>
      <c r="S193" s="2" t="str">
        <f t="shared" si="5"/>
        <v>South - Retired</v>
      </c>
    </row>
    <row r="194" spans="1:19" x14ac:dyDescent="0.3">
      <c r="A194" t="s">
        <v>412</v>
      </c>
      <c r="B194" t="s">
        <v>413</v>
      </c>
      <c r="C194">
        <v>40</v>
      </c>
      <c r="D194" s="2" t="s">
        <v>21</v>
      </c>
      <c r="E194" s="2" t="s">
        <v>22</v>
      </c>
      <c r="F194" s="2" t="s">
        <v>31</v>
      </c>
      <c r="G194" s="2" t="s">
        <v>66</v>
      </c>
      <c r="H194" s="2" t="s">
        <v>17</v>
      </c>
      <c r="I194" s="2" t="s">
        <v>17</v>
      </c>
      <c r="J194">
        <v>0.49</v>
      </c>
      <c r="K194" s="1">
        <v>43243</v>
      </c>
      <c r="L194" s="2" t="str">
        <f>IF(Sheet1[[#This Row],[age]]&lt;18, "Under 18",IF(Sheet1[[#This Row],[age]]&lt;=30,"18-30",IF(Sheet1[[#This Row],[age]]&lt;=45,"31-45",IF(Sheet1[[#This Row],[age]]&lt;=60,"46-60","60+"))))</f>
        <v>31-45</v>
      </c>
      <c r="M194" s="2" t="str">
        <f>IF(Sheet1[[#This Row],[risk_score]]&lt;0.3,"Low",IF(Sheet1[[#This Row],[risk_score]]&lt;0.7,"Medium","High"))</f>
        <v>Medium</v>
      </c>
      <c r="N194">
        <f>YEAR(Sheet1[[#This Row],[date_joined]])</f>
        <v>2018</v>
      </c>
      <c r="O194" s="2" t="str">
        <f>TEXT(Sheet1[[#This Row],[date_joined]],"mmm")</f>
        <v>May</v>
      </c>
      <c r="P194" s="2" t="str">
        <f>"Q"&amp;ROUNDUP(MONTH(Sheet1[[#This Row],[date_joined]])/3,0)</f>
        <v>Q2</v>
      </c>
      <c r="Q194" s="2" t="str">
        <f>IF(Sheet1[[#This Row],[age]]&lt;30,"Young",IF(Sheet1[[#This Row],[age]]&lt;=50,"Adult","Senior"))</f>
        <v>Adult</v>
      </c>
      <c r="R194" s="2" t="str">
        <f t="shared" ref="R194:R257" si="6">IF(AND(H194="Yes",I194="Yes"),"Very High",
IF(OR(H194="Yes",I194="Yes"),"High","Low"))</f>
        <v>Low</v>
      </c>
      <c r="S194" s="2" t="str">
        <f t="shared" ref="S194:S257" si="7">G194&amp;" - "&amp;F194</f>
        <v>North-East - Self-employed</v>
      </c>
    </row>
    <row r="195" spans="1:19" x14ac:dyDescent="0.3">
      <c r="A195" t="s">
        <v>414</v>
      </c>
      <c r="B195" t="s">
        <v>415</v>
      </c>
      <c r="C195">
        <v>40</v>
      </c>
      <c r="D195" s="2" t="s">
        <v>13</v>
      </c>
      <c r="E195" s="2" t="s">
        <v>30</v>
      </c>
      <c r="F195" s="2" t="s">
        <v>15</v>
      </c>
      <c r="G195" s="2" t="s">
        <v>32</v>
      </c>
      <c r="H195" s="2" t="s">
        <v>17</v>
      </c>
      <c r="I195" s="2" t="s">
        <v>17</v>
      </c>
      <c r="J195">
        <v>0.57999999999999996</v>
      </c>
      <c r="K195" s="1">
        <v>44869</v>
      </c>
      <c r="L195" s="2" t="str">
        <f>IF(Sheet1[[#This Row],[age]]&lt;18, "Under 18",IF(Sheet1[[#This Row],[age]]&lt;=30,"18-30",IF(Sheet1[[#This Row],[age]]&lt;=45,"31-45",IF(Sheet1[[#This Row],[age]]&lt;=60,"46-60","60+"))))</f>
        <v>31-45</v>
      </c>
      <c r="M195" s="2" t="str">
        <f>IF(Sheet1[[#This Row],[risk_score]]&lt;0.3,"Low",IF(Sheet1[[#This Row],[risk_score]]&lt;0.7,"Medium","High"))</f>
        <v>Medium</v>
      </c>
      <c r="N195">
        <f>YEAR(Sheet1[[#This Row],[date_joined]])</f>
        <v>2022</v>
      </c>
      <c r="O195" s="2" t="str">
        <f>TEXT(Sheet1[[#This Row],[date_joined]],"mmm")</f>
        <v>Nov</v>
      </c>
      <c r="P195" s="2" t="str">
        <f>"Q"&amp;ROUNDUP(MONTH(Sheet1[[#This Row],[date_joined]])/3,0)</f>
        <v>Q4</v>
      </c>
      <c r="Q195" s="2" t="str">
        <f>IF(Sheet1[[#This Row],[age]]&lt;30,"Young",IF(Sheet1[[#This Row],[age]]&lt;=50,"Adult","Senior"))</f>
        <v>Adult</v>
      </c>
      <c r="R195" s="2" t="str">
        <f t="shared" si="6"/>
        <v>Low</v>
      </c>
      <c r="S195" s="2" t="str">
        <f t="shared" si="7"/>
        <v>South - Student</v>
      </c>
    </row>
    <row r="196" spans="1:19" x14ac:dyDescent="0.3">
      <c r="A196" t="s">
        <v>416</v>
      </c>
      <c r="B196" t="s">
        <v>417</v>
      </c>
      <c r="C196">
        <v>48</v>
      </c>
      <c r="D196" s="2" t="s">
        <v>13</v>
      </c>
      <c r="E196" s="2" t="s">
        <v>22</v>
      </c>
      <c r="F196" s="2" t="s">
        <v>23</v>
      </c>
      <c r="G196" s="2" t="s">
        <v>32</v>
      </c>
      <c r="H196" s="2" t="s">
        <v>18</v>
      </c>
      <c r="I196" s="2" t="s">
        <v>18</v>
      </c>
      <c r="J196">
        <v>0.44</v>
      </c>
      <c r="K196" s="1">
        <v>44153</v>
      </c>
      <c r="L196" s="2" t="str">
        <f>IF(Sheet1[[#This Row],[age]]&lt;18, "Under 18",IF(Sheet1[[#This Row],[age]]&lt;=30,"18-30",IF(Sheet1[[#This Row],[age]]&lt;=45,"31-45",IF(Sheet1[[#This Row],[age]]&lt;=60,"46-60","60+"))))</f>
        <v>46-60</v>
      </c>
      <c r="M196" s="2" t="str">
        <f>IF(Sheet1[[#This Row],[risk_score]]&lt;0.3,"Low",IF(Sheet1[[#This Row],[risk_score]]&lt;0.7,"Medium","High"))</f>
        <v>Medium</v>
      </c>
      <c r="N196">
        <f>YEAR(Sheet1[[#This Row],[date_joined]])</f>
        <v>2020</v>
      </c>
      <c r="O196" s="2" t="str">
        <f>TEXT(Sheet1[[#This Row],[date_joined]],"mmm")</f>
        <v>Nov</v>
      </c>
      <c r="P196" s="2" t="str">
        <f>"Q"&amp;ROUNDUP(MONTH(Sheet1[[#This Row],[date_joined]])/3,0)</f>
        <v>Q4</v>
      </c>
      <c r="Q196" s="2" t="str">
        <f>IF(Sheet1[[#This Row],[age]]&lt;30,"Young",IF(Sheet1[[#This Row],[age]]&lt;=50,"Adult","Senior"))</f>
        <v>Adult</v>
      </c>
      <c r="R196" s="2" t="str">
        <f t="shared" si="6"/>
        <v>Very High</v>
      </c>
      <c r="S196" s="2" t="str">
        <f t="shared" si="7"/>
        <v>South - Salaried</v>
      </c>
    </row>
    <row r="197" spans="1:19" x14ac:dyDescent="0.3">
      <c r="A197" t="s">
        <v>418</v>
      </c>
      <c r="B197" t="s">
        <v>419</v>
      </c>
      <c r="C197">
        <v>29</v>
      </c>
      <c r="D197" s="2" t="s">
        <v>13</v>
      </c>
      <c r="E197" s="2" t="s">
        <v>14</v>
      </c>
      <c r="F197" s="2" t="s">
        <v>31</v>
      </c>
      <c r="G197" s="2" t="s">
        <v>27</v>
      </c>
      <c r="H197" s="2" t="s">
        <v>18</v>
      </c>
      <c r="I197" s="2" t="s">
        <v>18</v>
      </c>
      <c r="J197">
        <v>0.5</v>
      </c>
      <c r="K197" s="1">
        <v>44091</v>
      </c>
      <c r="L197" s="2" t="str">
        <f>IF(Sheet1[[#This Row],[age]]&lt;18, "Under 18",IF(Sheet1[[#This Row],[age]]&lt;=30,"18-30",IF(Sheet1[[#This Row],[age]]&lt;=45,"31-45",IF(Sheet1[[#This Row],[age]]&lt;=60,"46-60","60+"))))</f>
        <v>18-30</v>
      </c>
      <c r="M197" s="2" t="str">
        <f>IF(Sheet1[[#This Row],[risk_score]]&lt;0.3,"Low",IF(Sheet1[[#This Row],[risk_score]]&lt;0.7,"Medium","High"))</f>
        <v>Medium</v>
      </c>
      <c r="N197">
        <f>YEAR(Sheet1[[#This Row],[date_joined]])</f>
        <v>2020</v>
      </c>
      <c r="O197" s="2" t="str">
        <f>TEXT(Sheet1[[#This Row],[date_joined]],"mmm")</f>
        <v>Sep</v>
      </c>
      <c r="P197" s="2" t="str">
        <f>"Q"&amp;ROUNDUP(MONTH(Sheet1[[#This Row],[date_joined]])/3,0)</f>
        <v>Q3</v>
      </c>
      <c r="Q197" s="2" t="str">
        <f>IF(Sheet1[[#This Row],[age]]&lt;30,"Young",IF(Sheet1[[#This Row],[age]]&lt;=50,"Adult","Senior"))</f>
        <v>Young</v>
      </c>
      <c r="R197" s="2" t="str">
        <f t="shared" si="6"/>
        <v>Very High</v>
      </c>
      <c r="S197" s="2" t="str">
        <f t="shared" si="7"/>
        <v>North - Self-employed</v>
      </c>
    </row>
    <row r="198" spans="1:19" x14ac:dyDescent="0.3">
      <c r="A198" t="s">
        <v>420</v>
      </c>
      <c r="B198" t="s">
        <v>421</v>
      </c>
      <c r="C198">
        <v>23</v>
      </c>
      <c r="D198" s="2" t="s">
        <v>21</v>
      </c>
      <c r="E198" s="2" t="s">
        <v>30</v>
      </c>
      <c r="F198" s="2" t="s">
        <v>37</v>
      </c>
      <c r="G198" s="2" t="s">
        <v>24</v>
      </c>
      <c r="H198" s="2" t="s">
        <v>17</v>
      </c>
      <c r="I198" s="2" t="s">
        <v>17</v>
      </c>
      <c r="J198">
        <v>0.56999999999999995</v>
      </c>
      <c r="K198" s="1">
        <v>44622</v>
      </c>
      <c r="L198" s="2" t="str">
        <f>IF(Sheet1[[#This Row],[age]]&lt;18, "Under 18",IF(Sheet1[[#This Row],[age]]&lt;=30,"18-30",IF(Sheet1[[#This Row],[age]]&lt;=45,"31-45",IF(Sheet1[[#This Row],[age]]&lt;=60,"46-60","60+"))))</f>
        <v>18-30</v>
      </c>
      <c r="M198" s="2" t="str">
        <f>IF(Sheet1[[#This Row],[risk_score]]&lt;0.3,"Low",IF(Sheet1[[#This Row],[risk_score]]&lt;0.7,"Medium","High"))</f>
        <v>Medium</v>
      </c>
      <c r="N198">
        <f>YEAR(Sheet1[[#This Row],[date_joined]])</f>
        <v>2022</v>
      </c>
      <c r="O198" s="2" t="str">
        <f>TEXT(Sheet1[[#This Row],[date_joined]],"mmm")</f>
        <v>Mar</v>
      </c>
      <c r="P198" s="2" t="str">
        <f>"Q"&amp;ROUNDUP(MONTH(Sheet1[[#This Row],[date_joined]])/3,0)</f>
        <v>Q1</v>
      </c>
      <c r="Q198" s="2" t="str">
        <f>IF(Sheet1[[#This Row],[age]]&lt;30,"Young",IF(Sheet1[[#This Row],[age]]&lt;=50,"Adult","Senior"))</f>
        <v>Young</v>
      </c>
      <c r="R198" s="2" t="str">
        <f t="shared" si="6"/>
        <v>Low</v>
      </c>
      <c r="S198" s="2" t="str">
        <f t="shared" si="7"/>
        <v>East - Retired</v>
      </c>
    </row>
    <row r="199" spans="1:19" x14ac:dyDescent="0.3">
      <c r="A199" t="s">
        <v>422</v>
      </c>
      <c r="B199" t="s">
        <v>423</v>
      </c>
      <c r="C199">
        <v>19</v>
      </c>
      <c r="D199" s="2" t="s">
        <v>21</v>
      </c>
      <c r="E199" s="2" t="s">
        <v>14</v>
      </c>
      <c r="F199" s="2" t="s">
        <v>37</v>
      </c>
      <c r="G199" s="2" t="s">
        <v>32</v>
      </c>
      <c r="H199" s="2" t="s">
        <v>17</v>
      </c>
      <c r="I199" s="2" t="s">
        <v>17</v>
      </c>
      <c r="J199">
        <v>0.53</v>
      </c>
      <c r="K199" s="1">
        <v>44137</v>
      </c>
      <c r="L199" s="2" t="str">
        <f>IF(Sheet1[[#This Row],[age]]&lt;18, "Under 18",IF(Sheet1[[#This Row],[age]]&lt;=30,"18-30",IF(Sheet1[[#This Row],[age]]&lt;=45,"31-45",IF(Sheet1[[#This Row],[age]]&lt;=60,"46-60","60+"))))</f>
        <v>18-30</v>
      </c>
      <c r="M199" s="2" t="str">
        <f>IF(Sheet1[[#This Row],[risk_score]]&lt;0.3,"Low",IF(Sheet1[[#This Row],[risk_score]]&lt;0.7,"Medium","High"))</f>
        <v>Medium</v>
      </c>
      <c r="N199">
        <f>YEAR(Sheet1[[#This Row],[date_joined]])</f>
        <v>2020</v>
      </c>
      <c r="O199" s="2" t="str">
        <f>TEXT(Sheet1[[#This Row],[date_joined]],"mmm")</f>
        <v>Nov</v>
      </c>
      <c r="P199" s="2" t="str">
        <f>"Q"&amp;ROUNDUP(MONTH(Sheet1[[#This Row],[date_joined]])/3,0)</f>
        <v>Q4</v>
      </c>
      <c r="Q199" s="2" t="str">
        <f>IF(Sheet1[[#This Row],[age]]&lt;30,"Young",IF(Sheet1[[#This Row],[age]]&lt;=50,"Adult","Senior"))</f>
        <v>Young</v>
      </c>
      <c r="R199" s="2" t="str">
        <f t="shared" si="6"/>
        <v>Low</v>
      </c>
      <c r="S199" s="2" t="str">
        <f t="shared" si="7"/>
        <v>South - Retired</v>
      </c>
    </row>
    <row r="200" spans="1:19" x14ac:dyDescent="0.3">
      <c r="A200" t="s">
        <v>424</v>
      </c>
      <c r="B200" t="s">
        <v>425</v>
      </c>
      <c r="C200">
        <v>52</v>
      </c>
      <c r="D200" s="2" t="s">
        <v>21</v>
      </c>
      <c r="E200" s="2" t="s">
        <v>30</v>
      </c>
      <c r="F200" s="2" t="s">
        <v>31</v>
      </c>
      <c r="G200" s="2" t="s">
        <v>24</v>
      </c>
      <c r="H200" s="2" t="s">
        <v>18</v>
      </c>
      <c r="I200" s="2" t="s">
        <v>17</v>
      </c>
      <c r="J200">
        <v>0.14000000000000001</v>
      </c>
      <c r="K200" s="1">
        <v>43919</v>
      </c>
      <c r="L200" s="2" t="str">
        <f>IF(Sheet1[[#This Row],[age]]&lt;18, "Under 18",IF(Sheet1[[#This Row],[age]]&lt;=30,"18-30",IF(Sheet1[[#This Row],[age]]&lt;=45,"31-45",IF(Sheet1[[#This Row],[age]]&lt;=60,"46-60","60+"))))</f>
        <v>46-60</v>
      </c>
      <c r="M200" s="2" t="str">
        <f>IF(Sheet1[[#This Row],[risk_score]]&lt;0.3,"Low",IF(Sheet1[[#This Row],[risk_score]]&lt;0.7,"Medium","High"))</f>
        <v>Low</v>
      </c>
      <c r="N200">
        <f>YEAR(Sheet1[[#This Row],[date_joined]])</f>
        <v>2020</v>
      </c>
      <c r="O200" s="2" t="str">
        <f>TEXT(Sheet1[[#This Row],[date_joined]],"mmm")</f>
        <v>Mar</v>
      </c>
      <c r="P200" s="2" t="str">
        <f>"Q"&amp;ROUNDUP(MONTH(Sheet1[[#This Row],[date_joined]])/3,0)</f>
        <v>Q1</v>
      </c>
      <c r="Q200" s="2" t="str">
        <f>IF(Sheet1[[#This Row],[age]]&lt;30,"Young",IF(Sheet1[[#This Row],[age]]&lt;=50,"Adult","Senior"))</f>
        <v>Senior</v>
      </c>
      <c r="R200" s="2" t="str">
        <f t="shared" si="6"/>
        <v>High</v>
      </c>
      <c r="S200" s="2" t="str">
        <f t="shared" si="7"/>
        <v>East - Self-employed</v>
      </c>
    </row>
    <row r="201" spans="1:19" x14ac:dyDescent="0.3">
      <c r="A201" t="s">
        <v>426</v>
      </c>
      <c r="B201" t="s">
        <v>427</v>
      </c>
      <c r="C201">
        <v>51</v>
      </c>
      <c r="D201" s="2" t="s">
        <v>21</v>
      </c>
      <c r="E201" s="2" t="s">
        <v>22</v>
      </c>
      <c r="F201" s="2" t="s">
        <v>23</v>
      </c>
      <c r="G201" s="2" t="s">
        <v>66</v>
      </c>
      <c r="H201" s="2" t="s">
        <v>18</v>
      </c>
      <c r="I201" s="2" t="s">
        <v>17</v>
      </c>
      <c r="J201">
        <v>0.4</v>
      </c>
      <c r="K201" s="1">
        <v>44530</v>
      </c>
      <c r="L201" s="2" t="str">
        <f>IF(Sheet1[[#This Row],[age]]&lt;18, "Under 18",IF(Sheet1[[#This Row],[age]]&lt;=30,"18-30",IF(Sheet1[[#This Row],[age]]&lt;=45,"31-45",IF(Sheet1[[#This Row],[age]]&lt;=60,"46-60","60+"))))</f>
        <v>46-60</v>
      </c>
      <c r="M201" s="2" t="str">
        <f>IF(Sheet1[[#This Row],[risk_score]]&lt;0.3,"Low",IF(Sheet1[[#This Row],[risk_score]]&lt;0.7,"Medium","High"))</f>
        <v>Medium</v>
      </c>
      <c r="N201">
        <f>YEAR(Sheet1[[#This Row],[date_joined]])</f>
        <v>2021</v>
      </c>
      <c r="O201" s="2" t="str">
        <f>TEXT(Sheet1[[#This Row],[date_joined]],"mmm")</f>
        <v>Nov</v>
      </c>
      <c r="P201" s="2" t="str">
        <f>"Q"&amp;ROUNDUP(MONTH(Sheet1[[#This Row],[date_joined]])/3,0)</f>
        <v>Q4</v>
      </c>
      <c r="Q201" s="2" t="str">
        <f>IF(Sheet1[[#This Row],[age]]&lt;30,"Young",IF(Sheet1[[#This Row],[age]]&lt;=50,"Adult","Senior"))</f>
        <v>Senior</v>
      </c>
      <c r="R201" s="2" t="str">
        <f t="shared" si="6"/>
        <v>High</v>
      </c>
      <c r="S201" s="2" t="str">
        <f t="shared" si="7"/>
        <v>North-East - Salaried</v>
      </c>
    </row>
    <row r="202" spans="1:19" x14ac:dyDescent="0.3">
      <c r="A202" t="s">
        <v>428</v>
      </c>
      <c r="B202" t="s">
        <v>429</v>
      </c>
      <c r="C202">
        <v>22</v>
      </c>
      <c r="D202" s="2" t="s">
        <v>21</v>
      </c>
      <c r="E202" s="2" t="s">
        <v>30</v>
      </c>
      <c r="F202" s="2" t="s">
        <v>15</v>
      </c>
      <c r="G202" s="2" t="s">
        <v>32</v>
      </c>
      <c r="H202" s="2" t="s">
        <v>18</v>
      </c>
      <c r="I202" s="2" t="s">
        <v>17</v>
      </c>
      <c r="J202">
        <v>0.69</v>
      </c>
      <c r="K202" s="1">
        <v>44892</v>
      </c>
      <c r="L202" s="2" t="str">
        <f>IF(Sheet1[[#This Row],[age]]&lt;18, "Under 18",IF(Sheet1[[#This Row],[age]]&lt;=30,"18-30",IF(Sheet1[[#This Row],[age]]&lt;=45,"31-45",IF(Sheet1[[#This Row],[age]]&lt;=60,"46-60","60+"))))</f>
        <v>18-30</v>
      </c>
      <c r="M202" s="2" t="str">
        <f>IF(Sheet1[[#This Row],[risk_score]]&lt;0.3,"Low",IF(Sheet1[[#This Row],[risk_score]]&lt;0.7,"Medium","High"))</f>
        <v>Medium</v>
      </c>
      <c r="N202">
        <f>YEAR(Sheet1[[#This Row],[date_joined]])</f>
        <v>2022</v>
      </c>
      <c r="O202" s="2" t="str">
        <f>TEXT(Sheet1[[#This Row],[date_joined]],"mmm")</f>
        <v>Nov</v>
      </c>
      <c r="P202" s="2" t="str">
        <f>"Q"&amp;ROUNDUP(MONTH(Sheet1[[#This Row],[date_joined]])/3,0)</f>
        <v>Q4</v>
      </c>
      <c r="Q202" s="2" t="str">
        <f>IF(Sheet1[[#This Row],[age]]&lt;30,"Young",IF(Sheet1[[#This Row],[age]]&lt;=50,"Adult","Senior"))</f>
        <v>Young</v>
      </c>
      <c r="R202" s="2" t="str">
        <f t="shared" si="6"/>
        <v>High</v>
      </c>
      <c r="S202" s="2" t="str">
        <f t="shared" si="7"/>
        <v>South - Student</v>
      </c>
    </row>
    <row r="203" spans="1:19" x14ac:dyDescent="0.3">
      <c r="A203" t="s">
        <v>430</v>
      </c>
      <c r="B203" t="s">
        <v>431</v>
      </c>
      <c r="C203">
        <v>32</v>
      </c>
      <c r="D203" s="2" t="s">
        <v>13</v>
      </c>
      <c r="E203" s="2" t="s">
        <v>22</v>
      </c>
      <c r="F203" s="2" t="s">
        <v>23</v>
      </c>
      <c r="G203" s="2" t="s">
        <v>81</v>
      </c>
      <c r="H203" s="2" t="s">
        <v>18</v>
      </c>
      <c r="I203" s="2" t="s">
        <v>17</v>
      </c>
      <c r="J203">
        <v>0.65</v>
      </c>
      <c r="K203" s="1">
        <v>43629</v>
      </c>
      <c r="L203" s="2" t="str">
        <f>IF(Sheet1[[#This Row],[age]]&lt;18, "Under 18",IF(Sheet1[[#This Row],[age]]&lt;=30,"18-30",IF(Sheet1[[#This Row],[age]]&lt;=45,"31-45",IF(Sheet1[[#This Row],[age]]&lt;=60,"46-60","60+"))))</f>
        <v>31-45</v>
      </c>
      <c r="M203" s="2" t="str">
        <f>IF(Sheet1[[#This Row],[risk_score]]&lt;0.3,"Low",IF(Sheet1[[#This Row],[risk_score]]&lt;0.7,"Medium","High"))</f>
        <v>Medium</v>
      </c>
      <c r="N203">
        <f>YEAR(Sheet1[[#This Row],[date_joined]])</f>
        <v>2019</v>
      </c>
      <c r="O203" s="2" t="str">
        <f>TEXT(Sheet1[[#This Row],[date_joined]],"mmm")</f>
        <v>Jun</v>
      </c>
      <c r="P203" s="2" t="str">
        <f>"Q"&amp;ROUNDUP(MONTH(Sheet1[[#This Row],[date_joined]])/3,0)</f>
        <v>Q2</v>
      </c>
      <c r="Q203" s="2" t="str">
        <f>IF(Sheet1[[#This Row],[age]]&lt;30,"Young",IF(Sheet1[[#This Row],[age]]&lt;=50,"Adult","Senior"))</f>
        <v>Adult</v>
      </c>
      <c r="R203" s="2" t="str">
        <f t="shared" si="6"/>
        <v>High</v>
      </c>
      <c r="S203" s="2" t="str">
        <f t="shared" si="7"/>
        <v>Central - Salaried</v>
      </c>
    </row>
    <row r="204" spans="1:19" x14ac:dyDescent="0.3">
      <c r="A204" t="s">
        <v>432</v>
      </c>
      <c r="B204" t="s">
        <v>433</v>
      </c>
      <c r="C204">
        <v>60</v>
      </c>
      <c r="D204" s="2" t="s">
        <v>21</v>
      </c>
      <c r="E204" s="2" t="s">
        <v>30</v>
      </c>
      <c r="F204" s="2" t="s">
        <v>37</v>
      </c>
      <c r="G204" s="2" t="s">
        <v>66</v>
      </c>
      <c r="H204" s="2" t="s">
        <v>17</v>
      </c>
      <c r="I204" s="2" t="s">
        <v>17</v>
      </c>
      <c r="J204">
        <v>0.46</v>
      </c>
      <c r="K204" s="1">
        <v>43789</v>
      </c>
      <c r="L204" s="2" t="str">
        <f>IF(Sheet1[[#This Row],[age]]&lt;18, "Under 18",IF(Sheet1[[#This Row],[age]]&lt;=30,"18-30",IF(Sheet1[[#This Row],[age]]&lt;=45,"31-45",IF(Sheet1[[#This Row],[age]]&lt;=60,"46-60","60+"))))</f>
        <v>46-60</v>
      </c>
      <c r="M204" s="2" t="str">
        <f>IF(Sheet1[[#This Row],[risk_score]]&lt;0.3,"Low",IF(Sheet1[[#This Row],[risk_score]]&lt;0.7,"Medium","High"))</f>
        <v>Medium</v>
      </c>
      <c r="N204">
        <f>YEAR(Sheet1[[#This Row],[date_joined]])</f>
        <v>2019</v>
      </c>
      <c r="O204" s="2" t="str">
        <f>TEXT(Sheet1[[#This Row],[date_joined]],"mmm")</f>
        <v>Nov</v>
      </c>
      <c r="P204" s="2" t="str">
        <f>"Q"&amp;ROUNDUP(MONTH(Sheet1[[#This Row],[date_joined]])/3,0)</f>
        <v>Q4</v>
      </c>
      <c r="Q204" s="2" t="str">
        <f>IF(Sheet1[[#This Row],[age]]&lt;30,"Young",IF(Sheet1[[#This Row],[age]]&lt;=50,"Adult","Senior"))</f>
        <v>Senior</v>
      </c>
      <c r="R204" s="2" t="str">
        <f t="shared" si="6"/>
        <v>Low</v>
      </c>
      <c r="S204" s="2" t="str">
        <f t="shared" si="7"/>
        <v>North-East - Retired</v>
      </c>
    </row>
    <row r="205" spans="1:19" x14ac:dyDescent="0.3">
      <c r="A205" t="s">
        <v>434</v>
      </c>
      <c r="B205" t="s">
        <v>435</v>
      </c>
      <c r="C205">
        <v>56</v>
      </c>
      <c r="D205" s="2" t="s">
        <v>13</v>
      </c>
      <c r="E205" s="2" t="s">
        <v>30</v>
      </c>
      <c r="F205" s="2" t="s">
        <v>37</v>
      </c>
      <c r="G205" s="2" t="s">
        <v>32</v>
      </c>
      <c r="H205" s="2" t="s">
        <v>17</v>
      </c>
      <c r="I205" s="2" t="s">
        <v>17</v>
      </c>
      <c r="J205">
        <v>0.13</v>
      </c>
      <c r="K205" s="1">
        <v>43579</v>
      </c>
      <c r="L205" s="2" t="str">
        <f>IF(Sheet1[[#This Row],[age]]&lt;18, "Under 18",IF(Sheet1[[#This Row],[age]]&lt;=30,"18-30",IF(Sheet1[[#This Row],[age]]&lt;=45,"31-45",IF(Sheet1[[#This Row],[age]]&lt;=60,"46-60","60+"))))</f>
        <v>46-60</v>
      </c>
      <c r="M205" s="2" t="str">
        <f>IF(Sheet1[[#This Row],[risk_score]]&lt;0.3,"Low",IF(Sheet1[[#This Row],[risk_score]]&lt;0.7,"Medium","High"))</f>
        <v>Low</v>
      </c>
      <c r="N205">
        <f>YEAR(Sheet1[[#This Row],[date_joined]])</f>
        <v>2019</v>
      </c>
      <c r="O205" s="2" t="str">
        <f>TEXT(Sheet1[[#This Row],[date_joined]],"mmm")</f>
        <v>Apr</v>
      </c>
      <c r="P205" s="2" t="str">
        <f>"Q"&amp;ROUNDUP(MONTH(Sheet1[[#This Row],[date_joined]])/3,0)</f>
        <v>Q2</v>
      </c>
      <c r="Q205" s="2" t="str">
        <f>IF(Sheet1[[#This Row],[age]]&lt;30,"Young",IF(Sheet1[[#This Row],[age]]&lt;=50,"Adult","Senior"))</f>
        <v>Senior</v>
      </c>
      <c r="R205" s="2" t="str">
        <f t="shared" si="6"/>
        <v>Low</v>
      </c>
      <c r="S205" s="2" t="str">
        <f t="shared" si="7"/>
        <v>South - Retired</v>
      </c>
    </row>
    <row r="206" spans="1:19" x14ac:dyDescent="0.3">
      <c r="A206" t="s">
        <v>436</v>
      </c>
      <c r="B206" t="s">
        <v>437</v>
      </c>
      <c r="C206">
        <v>67</v>
      </c>
      <c r="D206" s="2" t="s">
        <v>21</v>
      </c>
      <c r="E206" s="2" t="s">
        <v>22</v>
      </c>
      <c r="F206" s="2" t="s">
        <v>15</v>
      </c>
      <c r="G206" s="2" t="s">
        <v>32</v>
      </c>
      <c r="H206" s="2" t="s">
        <v>17</v>
      </c>
      <c r="I206" s="2" t="s">
        <v>17</v>
      </c>
      <c r="J206">
        <v>0.77</v>
      </c>
      <c r="K206" s="1">
        <v>43300</v>
      </c>
      <c r="L206" s="2" t="str">
        <f>IF(Sheet1[[#This Row],[age]]&lt;18, "Under 18",IF(Sheet1[[#This Row],[age]]&lt;=30,"18-30",IF(Sheet1[[#This Row],[age]]&lt;=45,"31-45",IF(Sheet1[[#This Row],[age]]&lt;=60,"46-60","60+"))))</f>
        <v>60+</v>
      </c>
      <c r="M206" s="2" t="str">
        <f>IF(Sheet1[[#This Row],[risk_score]]&lt;0.3,"Low",IF(Sheet1[[#This Row],[risk_score]]&lt;0.7,"Medium","High"))</f>
        <v>High</v>
      </c>
      <c r="N206">
        <f>YEAR(Sheet1[[#This Row],[date_joined]])</f>
        <v>2018</v>
      </c>
      <c r="O206" s="2" t="str">
        <f>TEXT(Sheet1[[#This Row],[date_joined]],"mmm")</f>
        <v>Jul</v>
      </c>
      <c r="P206" s="2" t="str">
        <f>"Q"&amp;ROUNDUP(MONTH(Sheet1[[#This Row],[date_joined]])/3,0)</f>
        <v>Q3</v>
      </c>
      <c r="Q206" s="2" t="str">
        <f>IF(Sheet1[[#This Row],[age]]&lt;30,"Young",IF(Sheet1[[#This Row],[age]]&lt;=50,"Adult","Senior"))</f>
        <v>Senior</v>
      </c>
      <c r="R206" s="2" t="str">
        <f t="shared" si="6"/>
        <v>Low</v>
      </c>
      <c r="S206" s="2" t="str">
        <f t="shared" si="7"/>
        <v>South - Student</v>
      </c>
    </row>
    <row r="207" spans="1:19" x14ac:dyDescent="0.3">
      <c r="A207" t="s">
        <v>438</v>
      </c>
      <c r="B207" t="s">
        <v>439</v>
      </c>
      <c r="C207">
        <v>65</v>
      </c>
      <c r="D207" s="2" t="s">
        <v>13</v>
      </c>
      <c r="E207" s="2" t="s">
        <v>14</v>
      </c>
      <c r="F207" s="2" t="s">
        <v>31</v>
      </c>
      <c r="G207" s="2" t="s">
        <v>66</v>
      </c>
      <c r="H207" s="2" t="s">
        <v>17</v>
      </c>
      <c r="I207" s="2" t="s">
        <v>18</v>
      </c>
      <c r="J207">
        <v>0.7</v>
      </c>
      <c r="K207" s="1">
        <v>43339</v>
      </c>
      <c r="L207" s="2" t="str">
        <f>IF(Sheet1[[#This Row],[age]]&lt;18, "Under 18",IF(Sheet1[[#This Row],[age]]&lt;=30,"18-30",IF(Sheet1[[#This Row],[age]]&lt;=45,"31-45",IF(Sheet1[[#This Row],[age]]&lt;=60,"46-60","60+"))))</f>
        <v>60+</v>
      </c>
      <c r="M207" s="2" t="str">
        <f>IF(Sheet1[[#This Row],[risk_score]]&lt;0.3,"Low",IF(Sheet1[[#This Row],[risk_score]]&lt;0.7,"Medium","High"))</f>
        <v>High</v>
      </c>
      <c r="N207">
        <f>YEAR(Sheet1[[#This Row],[date_joined]])</f>
        <v>2018</v>
      </c>
      <c r="O207" s="2" t="str">
        <f>TEXT(Sheet1[[#This Row],[date_joined]],"mmm")</f>
        <v>Aug</v>
      </c>
      <c r="P207" s="2" t="str">
        <f>"Q"&amp;ROUNDUP(MONTH(Sheet1[[#This Row],[date_joined]])/3,0)</f>
        <v>Q3</v>
      </c>
      <c r="Q207" s="2" t="str">
        <f>IF(Sheet1[[#This Row],[age]]&lt;30,"Young",IF(Sheet1[[#This Row],[age]]&lt;=50,"Adult","Senior"))</f>
        <v>Senior</v>
      </c>
      <c r="R207" s="2" t="str">
        <f t="shared" si="6"/>
        <v>High</v>
      </c>
      <c r="S207" s="2" t="str">
        <f t="shared" si="7"/>
        <v>North-East - Self-employed</v>
      </c>
    </row>
    <row r="208" spans="1:19" x14ac:dyDescent="0.3">
      <c r="A208" t="s">
        <v>440</v>
      </c>
      <c r="B208" t="s">
        <v>441</v>
      </c>
      <c r="C208">
        <v>46</v>
      </c>
      <c r="D208" s="2" t="s">
        <v>21</v>
      </c>
      <c r="E208" s="2" t="s">
        <v>22</v>
      </c>
      <c r="F208" s="2" t="s">
        <v>31</v>
      </c>
      <c r="G208" s="2" t="s">
        <v>27</v>
      </c>
      <c r="H208" s="2" t="s">
        <v>18</v>
      </c>
      <c r="I208" s="2" t="s">
        <v>17</v>
      </c>
      <c r="J208">
        <v>0.98</v>
      </c>
      <c r="K208" s="1">
        <v>43751</v>
      </c>
      <c r="L208" s="2" t="str">
        <f>IF(Sheet1[[#This Row],[age]]&lt;18, "Under 18",IF(Sheet1[[#This Row],[age]]&lt;=30,"18-30",IF(Sheet1[[#This Row],[age]]&lt;=45,"31-45",IF(Sheet1[[#This Row],[age]]&lt;=60,"46-60","60+"))))</f>
        <v>46-60</v>
      </c>
      <c r="M208" s="2" t="str">
        <f>IF(Sheet1[[#This Row],[risk_score]]&lt;0.3,"Low",IF(Sheet1[[#This Row],[risk_score]]&lt;0.7,"Medium","High"))</f>
        <v>High</v>
      </c>
      <c r="N208">
        <f>YEAR(Sheet1[[#This Row],[date_joined]])</f>
        <v>2019</v>
      </c>
      <c r="O208" s="2" t="str">
        <f>TEXT(Sheet1[[#This Row],[date_joined]],"mmm")</f>
        <v>Oct</v>
      </c>
      <c r="P208" s="2" t="str">
        <f>"Q"&amp;ROUNDUP(MONTH(Sheet1[[#This Row],[date_joined]])/3,0)</f>
        <v>Q4</v>
      </c>
      <c r="Q208" s="2" t="str">
        <f>IF(Sheet1[[#This Row],[age]]&lt;30,"Young",IF(Sheet1[[#This Row],[age]]&lt;=50,"Adult","Senior"))</f>
        <v>Adult</v>
      </c>
      <c r="R208" s="2" t="str">
        <f t="shared" si="6"/>
        <v>High</v>
      </c>
      <c r="S208" s="2" t="str">
        <f t="shared" si="7"/>
        <v>North - Self-employed</v>
      </c>
    </row>
    <row r="209" spans="1:19" x14ac:dyDescent="0.3">
      <c r="A209" t="s">
        <v>442</v>
      </c>
      <c r="B209" t="s">
        <v>443</v>
      </c>
      <c r="C209">
        <v>66</v>
      </c>
      <c r="D209" s="2" t="s">
        <v>21</v>
      </c>
      <c r="E209" s="2" t="s">
        <v>30</v>
      </c>
      <c r="F209" s="2" t="s">
        <v>37</v>
      </c>
      <c r="G209" s="2" t="s">
        <v>81</v>
      </c>
      <c r="H209" s="2" t="s">
        <v>17</v>
      </c>
      <c r="I209" s="2" t="s">
        <v>18</v>
      </c>
      <c r="J209">
        <v>0.57999999999999996</v>
      </c>
      <c r="K209" s="1">
        <v>44221</v>
      </c>
      <c r="L209" s="2" t="str">
        <f>IF(Sheet1[[#This Row],[age]]&lt;18, "Under 18",IF(Sheet1[[#This Row],[age]]&lt;=30,"18-30",IF(Sheet1[[#This Row],[age]]&lt;=45,"31-45",IF(Sheet1[[#This Row],[age]]&lt;=60,"46-60","60+"))))</f>
        <v>60+</v>
      </c>
      <c r="M209" s="2" t="str">
        <f>IF(Sheet1[[#This Row],[risk_score]]&lt;0.3,"Low",IF(Sheet1[[#This Row],[risk_score]]&lt;0.7,"Medium","High"))</f>
        <v>Medium</v>
      </c>
      <c r="N209">
        <f>YEAR(Sheet1[[#This Row],[date_joined]])</f>
        <v>2021</v>
      </c>
      <c r="O209" s="2" t="str">
        <f>TEXT(Sheet1[[#This Row],[date_joined]],"mmm")</f>
        <v>Jan</v>
      </c>
      <c r="P209" s="2" t="str">
        <f>"Q"&amp;ROUNDUP(MONTH(Sheet1[[#This Row],[date_joined]])/3,0)</f>
        <v>Q1</v>
      </c>
      <c r="Q209" s="2" t="str">
        <f>IF(Sheet1[[#This Row],[age]]&lt;30,"Young",IF(Sheet1[[#This Row],[age]]&lt;=50,"Adult","Senior"))</f>
        <v>Senior</v>
      </c>
      <c r="R209" s="2" t="str">
        <f t="shared" si="6"/>
        <v>High</v>
      </c>
      <c r="S209" s="2" t="str">
        <f t="shared" si="7"/>
        <v>Central - Retired</v>
      </c>
    </row>
    <row r="210" spans="1:19" x14ac:dyDescent="0.3">
      <c r="A210" t="s">
        <v>444</v>
      </c>
      <c r="B210" t="s">
        <v>445</v>
      </c>
      <c r="C210">
        <v>46</v>
      </c>
      <c r="D210" s="2" t="s">
        <v>13</v>
      </c>
      <c r="E210" s="2" t="s">
        <v>14</v>
      </c>
      <c r="F210" s="2" t="s">
        <v>31</v>
      </c>
      <c r="G210" s="2" t="s">
        <v>24</v>
      </c>
      <c r="H210" s="2" t="s">
        <v>17</v>
      </c>
      <c r="I210" s="2" t="s">
        <v>18</v>
      </c>
      <c r="J210">
        <v>0.62</v>
      </c>
      <c r="K210" s="1">
        <v>44520</v>
      </c>
      <c r="L210" s="2" t="str">
        <f>IF(Sheet1[[#This Row],[age]]&lt;18, "Under 18",IF(Sheet1[[#This Row],[age]]&lt;=30,"18-30",IF(Sheet1[[#This Row],[age]]&lt;=45,"31-45",IF(Sheet1[[#This Row],[age]]&lt;=60,"46-60","60+"))))</f>
        <v>46-60</v>
      </c>
      <c r="M210" s="2" t="str">
        <f>IF(Sheet1[[#This Row],[risk_score]]&lt;0.3,"Low",IF(Sheet1[[#This Row],[risk_score]]&lt;0.7,"Medium","High"))</f>
        <v>Medium</v>
      </c>
      <c r="N210">
        <f>YEAR(Sheet1[[#This Row],[date_joined]])</f>
        <v>2021</v>
      </c>
      <c r="O210" s="2" t="str">
        <f>TEXT(Sheet1[[#This Row],[date_joined]],"mmm")</f>
        <v>Nov</v>
      </c>
      <c r="P210" s="2" t="str">
        <f>"Q"&amp;ROUNDUP(MONTH(Sheet1[[#This Row],[date_joined]])/3,0)</f>
        <v>Q4</v>
      </c>
      <c r="Q210" s="2" t="str">
        <f>IF(Sheet1[[#This Row],[age]]&lt;30,"Young",IF(Sheet1[[#This Row],[age]]&lt;=50,"Adult","Senior"))</f>
        <v>Adult</v>
      </c>
      <c r="R210" s="2" t="str">
        <f t="shared" si="6"/>
        <v>High</v>
      </c>
      <c r="S210" s="2" t="str">
        <f t="shared" si="7"/>
        <v>East - Self-employed</v>
      </c>
    </row>
    <row r="211" spans="1:19" x14ac:dyDescent="0.3">
      <c r="A211" t="s">
        <v>446</v>
      </c>
      <c r="B211" t="s">
        <v>447</v>
      </c>
      <c r="C211">
        <v>49</v>
      </c>
      <c r="D211" s="2" t="s">
        <v>13</v>
      </c>
      <c r="E211" s="2" t="s">
        <v>30</v>
      </c>
      <c r="F211" s="2" t="s">
        <v>37</v>
      </c>
      <c r="G211" s="2" t="s">
        <v>24</v>
      </c>
      <c r="H211" s="2" t="s">
        <v>18</v>
      </c>
      <c r="I211" s="2" t="s">
        <v>18</v>
      </c>
      <c r="J211">
        <v>0.34</v>
      </c>
      <c r="K211" s="1">
        <v>44111</v>
      </c>
      <c r="L211" s="2" t="str">
        <f>IF(Sheet1[[#This Row],[age]]&lt;18, "Under 18",IF(Sheet1[[#This Row],[age]]&lt;=30,"18-30",IF(Sheet1[[#This Row],[age]]&lt;=45,"31-45",IF(Sheet1[[#This Row],[age]]&lt;=60,"46-60","60+"))))</f>
        <v>46-60</v>
      </c>
      <c r="M211" s="2" t="str">
        <f>IF(Sheet1[[#This Row],[risk_score]]&lt;0.3,"Low",IF(Sheet1[[#This Row],[risk_score]]&lt;0.7,"Medium","High"))</f>
        <v>Medium</v>
      </c>
      <c r="N211">
        <f>YEAR(Sheet1[[#This Row],[date_joined]])</f>
        <v>2020</v>
      </c>
      <c r="O211" s="2" t="str">
        <f>TEXT(Sheet1[[#This Row],[date_joined]],"mmm")</f>
        <v>Oct</v>
      </c>
      <c r="P211" s="2" t="str">
        <f>"Q"&amp;ROUNDUP(MONTH(Sheet1[[#This Row],[date_joined]])/3,0)</f>
        <v>Q4</v>
      </c>
      <c r="Q211" s="2" t="str">
        <f>IF(Sheet1[[#This Row],[age]]&lt;30,"Young",IF(Sheet1[[#This Row],[age]]&lt;=50,"Adult","Senior"))</f>
        <v>Adult</v>
      </c>
      <c r="R211" s="2" t="str">
        <f t="shared" si="6"/>
        <v>Very High</v>
      </c>
      <c r="S211" s="2" t="str">
        <f t="shared" si="7"/>
        <v>East - Retired</v>
      </c>
    </row>
    <row r="212" spans="1:19" x14ac:dyDescent="0.3">
      <c r="A212" t="s">
        <v>448</v>
      </c>
      <c r="B212" t="s">
        <v>449</v>
      </c>
      <c r="C212">
        <v>23</v>
      </c>
      <c r="D212" s="2" t="s">
        <v>13</v>
      </c>
      <c r="E212" s="2" t="s">
        <v>22</v>
      </c>
      <c r="F212" s="2" t="s">
        <v>23</v>
      </c>
      <c r="G212" s="2" t="s">
        <v>81</v>
      </c>
      <c r="H212" s="2" t="s">
        <v>17</v>
      </c>
      <c r="I212" s="2" t="s">
        <v>18</v>
      </c>
      <c r="J212">
        <v>0.62</v>
      </c>
      <c r="K212" s="1">
        <v>43673</v>
      </c>
      <c r="L212" s="2" t="str">
        <f>IF(Sheet1[[#This Row],[age]]&lt;18, "Under 18",IF(Sheet1[[#This Row],[age]]&lt;=30,"18-30",IF(Sheet1[[#This Row],[age]]&lt;=45,"31-45",IF(Sheet1[[#This Row],[age]]&lt;=60,"46-60","60+"))))</f>
        <v>18-30</v>
      </c>
      <c r="M212" s="2" t="str">
        <f>IF(Sheet1[[#This Row],[risk_score]]&lt;0.3,"Low",IF(Sheet1[[#This Row],[risk_score]]&lt;0.7,"Medium","High"))</f>
        <v>Medium</v>
      </c>
      <c r="N212">
        <f>YEAR(Sheet1[[#This Row],[date_joined]])</f>
        <v>2019</v>
      </c>
      <c r="O212" s="2" t="str">
        <f>TEXT(Sheet1[[#This Row],[date_joined]],"mmm")</f>
        <v>Jul</v>
      </c>
      <c r="P212" s="2" t="str">
        <f>"Q"&amp;ROUNDUP(MONTH(Sheet1[[#This Row],[date_joined]])/3,0)</f>
        <v>Q3</v>
      </c>
      <c r="Q212" s="2" t="str">
        <f>IF(Sheet1[[#This Row],[age]]&lt;30,"Young",IF(Sheet1[[#This Row],[age]]&lt;=50,"Adult","Senior"))</f>
        <v>Young</v>
      </c>
      <c r="R212" s="2" t="str">
        <f t="shared" si="6"/>
        <v>High</v>
      </c>
      <c r="S212" s="2" t="str">
        <f t="shared" si="7"/>
        <v>Central - Salaried</v>
      </c>
    </row>
    <row r="213" spans="1:19" x14ac:dyDescent="0.3">
      <c r="A213" t="s">
        <v>450</v>
      </c>
      <c r="B213" t="s">
        <v>451</v>
      </c>
      <c r="C213">
        <v>20</v>
      </c>
      <c r="D213" s="2" t="s">
        <v>21</v>
      </c>
      <c r="E213" s="2" t="s">
        <v>30</v>
      </c>
      <c r="F213" s="2" t="s">
        <v>23</v>
      </c>
      <c r="G213" s="2" t="s">
        <v>24</v>
      </c>
      <c r="H213" s="2" t="s">
        <v>18</v>
      </c>
      <c r="I213" s="2" t="s">
        <v>18</v>
      </c>
      <c r="J213">
        <v>0.55000000000000004</v>
      </c>
      <c r="K213" s="1">
        <v>43199</v>
      </c>
      <c r="L213" s="2" t="str">
        <f>IF(Sheet1[[#This Row],[age]]&lt;18, "Under 18",IF(Sheet1[[#This Row],[age]]&lt;=30,"18-30",IF(Sheet1[[#This Row],[age]]&lt;=45,"31-45",IF(Sheet1[[#This Row],[age]]&lt;=60,"46-60","60+"))))</f>
        <v>18-30</v>
      </c>
      <c r="M213" s="2" t="str">
        <f>IF(Sheet1[[#This Row],[risk_score]]&lt;0.3,"Low",IF(Sheet1[[#This Row],[risk_score]]&lt;0.7,"Medium","High"))</f>
        <v>Medium</v>
      </c>
      <c r="N213">
        <f>YEAR(Sheet1[[#This Row],[date_joined]])</f>
        <v>2018</v>
      </c>
      <c r="O213" s="2" t="str">
        <f>TEXT(Sheet1[[#This Row],[date_joined]],"mmm")</f>
        <v>Apr</v>
      </c>
      <c r="P213" s="2" t="str">
        <f>"Q"&amp;ROUNDUP(MONTH(Sheet1[[#This Row],[date_joined]])/3,0)</f>
        <v>Q2</v>
      </c>
      <c r="Q213" s="2" t="str">
        <f>IF(Sheet1[[#This Row],[age]]&lt;30,"Young",IF(Sheet1[[#This Row],[age]]&lt;=50,"Adult","Senior"))</f>
        <v>Young</v>
      </c>
      <c r="R213" s="2" t="str">
        <f t="shared" si="6"/>
        <v>Very High</v>
      </c>
      <c r="S213" s="2" t="str">
        <f t="shared" si="7"/>
        <v>East - Salaried</v>
      </c>
    </row>
    <row r="214" spans="1:19" x14ac:dyDescent="0.3">
      <c r="A214" t="s">
        <v>452</v>
      </c>
      <c r="B214" t="s">
        <v>453</v>
      </c>
      <c r="C214">
        <v>51</v>
      </c>
      <c r="D214" s="2" t="s">
        <v>21</v>
      </c>
      <c r="E214" s="2" t="s">
        <v>30</v>
      </c>
      <c r="F214" s="2" t="s">
        <v>37</v>
      </c>
      <c r="G214" s="2" t="s">
        <v>16</v>
      </c>
      <c r="H214" s="2" t="s">
        <v>17</v>
      </c>
      <c r="I214" s="2" t="s">
        <v>18</v>
      </c>
      <c r="J214">
        <v>0.76</v>
      </c>
      <c r="K214" s="1">
        <v>44893</v>
      </c>
      <c r="L214" s="2" t="str">
        <f>IF(Sheet1[[#This Row],[age]]&lt;18, "Under 18",IF(Sheet1[[#This Row],[age]]&lt;=30,"18-30",IF(Sheet1[[#This Row],[age]]&lt;=45,"31-45",IF(Sheet1[[#This Row],[age]]&lt;=60,"46-60","60+"))))</f>
        <v>46-60</v>
      </c>
      <c r="M214" s="2" t="str">
        <f>IF(Sheet1[[#This Row],[risk_score]]&lt;0.3,"Low",IF(Sheet1[[#This Row],[risk_score]]&lt;0.7,"Medium","High"))</f>
        <v>High</v>
      </c>
      <c r="N214">
        <f>YEAR(Sheet1[[#This Row],[date_joined]])</f>
        <v>2022</v>
      </c>
      <c r="O214" s="2" t="str">
        <f>TEXT(Sheet1[[#This Row],[date_joined]],"mmm")</f>
        <v>Nov</v>
      </c>
      <c r="P214" s="2" t="str">
        <f>"Q"&amp;ROUNDUP(MONTH(Sheet1[[#This Row],[date_joined]])/3,0)</f>
        <v>Q4</v>
      </c>
      <c r="Q214" s="2" t="str">
        <f>IF(Sheet1[[#This Row],[age]]&lt;30,"Young",IF(Sheet1[[#This Row],[age]]&lt;=50,"Adult","Senior"))</f>
        <v>Senior</v>
      </c>
      <c r="R214" s="2" t="str">
        <f t="shared" si="6"/>
        <v>High</v>
      </c>
      <c r="S214" s="2" t="str">
        <f t="shared" si="7"/>
        <v>West - Retired</v>
      </c>
    </row>
    <row r="215" spans="1:19" x14ac:dyDescent="0.3">
      <c r="A215" t="s">
        <v>454</v>
      </c>
      <c r="B215" t="s">
        <v>455</v>
      </c>
      <c r="C215">
        <v>59</v>
      </c>
      <c r="D215" s="2" t="s">
        <v>21</v>
      </c>
      <c r="E215" s="2" t="s">
        <v>22</v>
      </c>
      <c r="F215" s="2" t="s">
        <v>23</v>
      </c>
      <c r="G215" s="2" t="s">
        <v>24</v>
      </c>
      <c r="H215" s="2" t="s">
        <v>17</v>
      </c>
      <c r="I215" s="2" t="s">
        <v>18</v>
      </c>
      <c r="J215">
        <v>0.37</v>
      </c>
      <c r="K215" s="1">
        <v>43837</v>
      </c>
      <c r="L215" s="2" t="str">
        <f>IF(Sheet1[[#This Row],[age]]&lt;18, "Under 18",IF(Sheet1[[#This Row],[age]]&lt;=30,"18-30",IF(Sheet1[[#This Row],[age]]&lt;=45,"31-45",IF(Sheet1[[#This Row],[age]]&lt;=60,"46-60","60+"))))</f>
        <v>46-60</v>
      </c>
      <c r="M215" s="2" t="str">
        <f>IF(Sheet1[[#This Row],[risk_score]]&lt;0.3,"Low",IF(Sheet1[[#This Row],[risk_score]]&lt;0.7,"Medium","High"))</f>
        <v>Medium</v>
      </c>
      <c r="N215">
        <f>YEAR(Sheet1[[#This Row],[date_joined]])</f>
        <v>2020</v>
      </c>
      <c r="O215" s="2" t="str">
        <f>TEXT(Sheet1[[#This Row],[date_joined]],"mmm")</f>
        <v>Jan</v>
      </c>
      <c r="P215" s="2" t="str">
        <f>"Q"&amp;ROUNDUP(MONTH(Sheet1[[#This Row],[date_joined]])/3,0)</f>
        <v>Q1</v>
      </c>
      <c r="Q215" s="2" t="str">
        <f>IF(Sheet1[[#This Row],[age]]&lt;30,"Young",IF(Sheet1[[#This Row],[age]]&lt;=50,"Adult","Senior"))</f>
        <v>Senior</v>
      </c>
      <c r="R215" s="2" t="str">
        <f t="shared" si="6"/>
        <v>High</v>
      </c>
      <c r="S215" s="2" t="str">
        <f t="shared" si="7"/>
        <v>East - Salaried</v>
      </c>
    </row>
    <row r="216" spans="1:19" x14ac:dyDescent="0.3">
      <c r="A216" t="s">
        <v>456</v>
      </c>
      <c r="B216" t="s">
        <v>457</v>
      </c>
      <c r="C216">
        <v>33</v>
      </c>
      <c r="D216" s="2" t="s">
        <v>21</v>
      </c>
      <c r="E216" s="2" t="s">
        <v>30</v>
      </c>
      <c r="F216" s="2" t="s">
        <v>15</v>
      </c>
      <c r="G216" s="2" t="s">
        <v>27</v>
      </c>
      <c r="H216" s="2" t="s">
        <v>17</v>
      </c>
      <c r="I216" s="2" t="s">
        <v>18</v>
      </c>
      <c r="J216">
        <v>0.2</v>
      </c>
      <c r="K216" s="1">
        <v>43990</v>
      </c>
      <c r="L216" s="2" t="str">
        <f>IF(Sheet1[[#This Row],[age]]&lt;18, "Under 18",IF(Sheet1[[#This Row],[age]]&lt;=30,"18-30",IF(Sheet1[[#This Row],[age]]&lt;=45,"31-45",IF(Sheet1[[#This Row],[age]]&lt;=60,"46-60","60+"))))</f>
        <v>31-45</v>
      </c>
      <c r="M216" s="2" t="str">
        <f>IF(Sheet1[[#This Row],[risk_score]]&lt;0.3,"Low",IF(Sheet1[[#This Row],[risk_score]]&lt;0.7,"Medium","High"))</f>
        <v>Low</v>
      </c>
      <c r="N216">
        <f>YEAR(Sheet1[[#This Row],[date_joined]])</f>
        <v>2020</v>
      </c>
      <c r="O216" s="2" t="str">
        <f>TEXT(Sheet1[[#This Row],[date_joined]],"mmm")</f>
        <v>Jun</v>
      </c>
      <c r="P216" s="2" t="str">
        <f>"Q"&amp;ROUNDUP(MONTH(Sheet1[[#This Row],[date_joined]])/3,0)</f>
        <v>Q2</v>
      </c>
      <c r="Q216" s="2" t="str">
        <f>IF(Sheet1[[#This Row],[age]]&lt;30,"Young",IF(Sheet1[[#This Row],[age]]&lt;=50,"Adult","Senior"))</f>
        <v>Adult</v>
      </c>
      <c r="R216" s="2" t="str">
        <f t="shared" si="6"/>
        <v>High</v>
      </c>
      <c r="S216" s="2" t="str">
        <f t="shared" si="7"/>
        <v>North - Student</v>
      </c>
    </row>
    <row r="217" spans="1:19" x14ac:dyDescent="0.3">
      <c r="A217" t="s">
        <v>458</v>
      </c>
      <c r="B217" t="s">
        <v>459</v>
      </c>
      <c r="C217">
        <v>45</v>
      </c>
      <c r="D217" s="2" t="s">
        <v>13</v>
      </c>
      <c r="E217" s="2" t="s">
        <v>22</v>
      </c>
      <c r="F217" s="2" t="s">
        <v>31</v>
      </c>
      <c r="G217" s="2" t="s">
        <v>81</v>
      </c>
      <c r="H217" s="2" t="s">
        <v>18</v>
      </c>
      <c r="I217" s="2" t="s">
        <v>17</v>
      </c>
      <c r="J217">
        <v>0.52</v>
      </c>
      <c r="K217" s="1">
        <v>43746</v>
      </c>
      <c r="L217" s="2" t="str">
        <f>IF(Sheet1[[#This Row],[age]]&lt;18, "Under 18",IF(Sheet1[[#This Row],[age]]&lt;=30,"18-30",IF(Sheet1[[#This Row],[age]]&lt;=45,"31-45",IF(Sheet1[[#This Row],[age]]&lt;=60,"46-60","60+"))))</f>
        <v>31-45</v>
      </c>
      <c r="M217" s="2" t="str">
        <f>IF(Sheet1[[#This Row],[risk_score]]&lt;0.3,"Low",IF(Sheet1[[#This Row],[risk_score]]&lt;0.7,"Medium","High"))</f>
        <v>Medium</v>
      </c>
      <c r="N217">
        <f>YEAR(Sheet1[[#This Row],[date_joined]])</f>
        <v>2019</v>
      </c>
      <c r="O217" s="2" t="str">
        <f>TEXT(Sheet1[[#This Row],[date_joined]],"mmm")</f>
        <v>Oct</v>
      </c>
      <c r="P217" s="2" t="str">
        <f>"Q"&amp;ROUNDUP(MONTH(Sheet1[[#This Row],[date_joined]])/3,0)</f>
        <v>Q4</v>
      </c>
      <c r="Q217" s="2" t="str">
        <f>IF(Sheet1[[#This Row],[age]]&lt;30,"Young",IF(Sheet1[[#This Row],[age]]&lt;=50,"Adult","Senior"))</f>
        <v>Adult</v>
      </c>
      <c r="R217" s="2" t="str">
        <f t="shared" si="6"/>
        <v>High</v>
      </c>
      <c r="S217" s="2" t="str">
        <f t="shared" si="7"/>
        <v>Central - Self-employed</v>
      </c>
    </row>
    <row r="218" spans="1:19" x14ac:dyDescent="0.3">
      <c r="A218" t="s">
        <v>460</v>
      </c>
      <c r="B218" t="s">
        <v>461</v>
      </c>
      <c r="C218">
        <v>34</v>
      </c>
      <c r="D218" s="2" t="s">
        <v>21</v>
      </c>
      <c r="E218" s="2" t="s">
        <v>14</v>
      </c>
      <c r="F218" s="2" t="s">
        <v>31</v>
      </c>
      <c r="G218" s="2" t="s">
        <v>66</v>
      </c>
      <c r="H218" s="2" t="s">
        <v>18</v>
      </c>
      <c r="I218" s="2" t="s">
        <v>18</v>
      </c>
      <c r="J218">
        <v>0.59</v>
      </c>
      <c r="K218" s="1">
        <v>43278</v>
      </c>
      <c r="L218" s="2" t="str">
        <f>IF(Sheet1[[#This Row],[age]]&lt;18, "Under 18",IF(Sheet1[[#This Row],[age]]&lt;=30,"18-30",IF(Sheet1[[#This Row],[age]]&lt;=45,"31-45",IF(Sheet1[[#This Row],[age]]&lt;=60,"46-60","60+"))))</f>
        <v>31-45</v>
      </c>
      <c r="M218" s="2" t="str">
        <f>IF(Sheet1[[#This Row],[risk_score]]&lt;0.3,"Low",IF(Sheet1[[#This Row],[risk_score]]&lt;0.7,"Medium","High"))</f>
        <v>Medium</v>
      </c>
      <c r="N218">
        <f>YEAR(Sheet1[[#This Row],[date_joined]])</f>
        <v>2018</v>
      </c>
      <c r="O218" s="2" t="str">
        <f>TEXT(Sheet1[[#This Row],[date_joined]],"mmm")</f>
        <v>Jun</v>
      </c>
      <c r="P218" s="2" t="str">
        <f>"Q"&amp;ROUNDUP(MONTH(Sheet1[[#This Row],[date_joined]])/3,0)</f>
        <v>Q2</v>
      </c>
      <c r="Q218" s="2" t="str">
        <f>IF(Sheet1[[#This Row],[age]]&lt;30,"Young",IF(Sheet1[[#This Row],[age]]&lt;=50,"Adult","Senior"))</f>
        <v>Adult</v>
      </c>
      <c r="R218" s="2" t="str">
        <f t="shared" si="6"/>
        <v>Very High</v>
      </c>
      <c r="S218" s="2" t="str">
        <f t="shared" si="7"/>
        <v>North-East - Self-employed</v>
      </c>
    </row>
    <row r="219" spans="1:19" x14ac:dyDescent="0.3">
      <c r="A219" t="s">
        <v>462</v>
      </c>
      <c r="B219" t="s">
        <v>463</v>
      </c>
      <c r="C219">
        <v>57</v>
      </c>
      <c r="D219" s="2" t="s">
        <v>13</v>
      </c>
      <c r="E219" s="2" t="s">
        <v>14</v>
      </c>
      <c r="F219" s="2" t="s">
        <v>15</v>
      </c>
      <c r="G219" s="2" t="s">
        <v>66</v>
      </c>
      <c r="H219" s="2" t="s">
        <v>17</v>
      </c>
      <c r="I219" s="2" t="s">
        <v>18</v>
      </c>
      <c r="J219">
        <v>0.76</v>
      </c>
      <c r="K219" s="1">
        <v>43288</v>
      </c>
      <c r="L219" s="2" t="str">
        <f>IF(Sheet1[[#This Row],[age]]&lt;18, "Under 18",IF(Sheet1[[#This Row],[age]]&lt;=30,"18-30",IF(Sheet1[[#This Row],[age]]&lt;=45,"31-45",IF(Sheet1[[#This Row],[age]]&lt;=60,"46-60","60+"))))</f>
        <v>46-60</v>
      </c>
      <c r="M219" s="2" t="str">
        <f>IF(Sheet1[[#This Row],[risk_score]]&lt;0.3,"Low",IF(Sheet1[[#This Row],[risk_score]]&lt;0.7,"Medium","High"))</f>
        <v>High</v>
      </c>
      <c r="N219">
        <f>YEAR(Sheet1[[#This Row],[date_joined]])</f>
        <v>2018</v>
      </c>
      <c r="O219" s="2" t="str">
        <f>TEXT(Sheet1[[#This Row],[date_joined]],"mmm")</f>
        <v>Jul</v>
      </c>
      <c r="P219" s="2" t="str">
        <f>"Q"&amp;ROUNDUP(MONTH(Sheet1[[#This Row],[date_joined]])/3,0)</f>
        <v>Q3</v>
      </c>
      <c r="Q219" s="2" t="str">
        <f>IF(Sheet1[[#This Row],[age]]&lt;30,"Young",IF(Sheet1[[#This Row],[age]]&lt;=50,"Adult","Senior"))</f>
        <v>Senior</v>
      </c>
      <c r="R219" s="2" t="str">
        <f t="shared" si="6"/>
        <v>High</v>
      </c>
      <c r="S219" s="2" t="str">
        <f t="shared" si="7"/>
        <v>North-East - Student</v>
      </c>
    </row>
    <row r="220" spans="1:19" x14ac:dyDescent="0.3">
      <c r="A220" t="s">
        <v>464</v>
      </c>
      <c r="B220" t="s">
        <v>465</v>
      </c>
      <c r="C220">
        <v>57</v>
      </c>
      <c r="D220" s="2" t="s">
        <v>13</v>
      </c>
      <c r="E220" s="2" t="s">
        <v>22</v>
      </c>
      <c r="F220" s="2" t="s">
        <v>37</v>
      </c>
      <c r="G220" s="2" t="s">
        <v>24</v>
      </c>
      <c r="H220" s="2" t="s">
        <v>18</v>
      </c>
      <c r="I220" s="2" t="s">
        <v>17</v>
      </c>
      <c r="J220">
        <v>0.63</v>
      </c>
      <c r="K220" s="1">
        <v>44129</v>
      </c>
      <c r="L220" s="2" t="str">
        <f>IF(Sheet1[[#This Row],[age]]&lt;18, "Under 18",IF(Sheet1[[#This Row],[age]]&lt;=30,"18-30",IF(Sheet1[[#This Row],[age]]&lt;=45,"31-45",IF(Sheet1[[#This Row],[age]]&lt;=60,"46-60","60+"))))</f>
        <v>46-60</v>
      </c>
      <c r="M220" s="2" t="str">
        <f>IF(Sheet1[[#This Row],[risk_score]]&lt;0.3,"Low",IF(Sheet1[[#This Row],[risk_score]]&lt;0.7,"Medium","High"))</f>
        <v>Medium</v>
      </c>
      <c r="N220">
        <f>YEAR(Sheet1[[#This Row],[date_joined]])</f>
        <v>2020</v>
      </c>
      <c r="O220" s="2" t="str">
        <f>TEXT(Sheet1[[#This Row],[date_joined]],"mmm")</f>
        <v>Oct</v>
      </c>
      <c r="P220" s="2" t="str">
        <f>"Q"&amp;ROUNDUP(MONTH(Sheet1[[#This Row],[date_joined]])/3,0)</f>
        <v>Q4</v>
      </c>
      <c r="Q220" s="2" t="str">
        <f>IF(Sheet1[[#This Row],[age]]&lt;30,"Young",IF(Sheet1[[#This Row],[age]]&lt;=50,"Adult","Senior"))</f>
        <v>Senior</v>
      </c>
      <c r="R220" s="2" t="str">
        <f t="shared" si="6"/>
        <v>High</v>
      </c>
      <c r="S220" s="2" t="str">
        <f t="shared" si="7"/>
        <v>East - Retired</v>
      </c>
    </row>
    <row r="221" spans="1:19" x14ac:dyDescent="0.3">
      <c r="A221" t="s">
        <v>466</v>
      </c>
      <c r="B221" t="s">
        <v>467</v>
      </c>
      <c r="C221">
        <v>46</v>
      </c>
      <c r="D221" s="2" t="s">
        <v>13</v>
      </c>
      <c r="E221" s="2" t="s">
        <v>30</v>
      </c>
      <c r="F221" s="2" t="s">
        <v>37</v>
      </c>
      <c r="G221" s="2" t="s">
        <v>24</v>
      </c>
      <c r="H221" s="2" t="s">
        <v>17</v>
      </c>
      <c r="I221" s="2" t="s">
        <v>18</v>
      </c>
      <c r="J221">
        <v>0.67</v>
      </c>
      <c r="K221" s="1">
        <v>43757</v>
      </c>
      <c r="L221" s="2" t="str">
        <f>IF(Sheet1[[#This Row],[age]]&lt;18, "Under 18",IF(Sheet1[[#This Row],[age]]&lt;=30,"18-30",IF(Sheet1[[#This Row],[age]]&lt;=45,"31-45",IF(Sheet1[[#This Row],[age]]&lt;=60,"46-60","60+"))))</f>
        <v>46-60</v>
      </c>
      <c r="M221" s="2" t="str">
        <f>IF(Sheet1[[#This Row],[risk_score]]&lt;0.3,"Low",IF(Sheet1[[#This Row],[risk_score]]&lt;0.7,"Medium","High"))</f>
        <v>Medium</v>
      </c>
      <c r="N221">
        <f>YEAR(Sheet1[[#This Row],[date_joined]])</f>
        <v>2019</v>
      </c>
      <c r="O221" s="2" t="str">
        <f>TEXT(Sheet1[[#This Row],[date_joined]],"mmm")</f>
        <v>Oct</v>
      </c>
      <c r="P221" s="2" t="str">
        <f>"Q"&amp;ROUNDUP(MONTH(Sheet1[[#This Row],[date_joined]])/3,0)</f>
        <v>Q4</v>
      </c>
      <c r="Q221" s="2" t="str">
        <f>IF(Sheet1[[#This Row],[age]]&lt;30,"Young",IF(Sheet1[[#This Row],[age]]&lt;=50,"Adult","Senior"))</f>
        <v>Adult</v>
      </c>
      <c r="R221" s="2" t="str">
        <f t="shared" si="6"/>
        <v>High</v>
      </c>
      <c r="S221" s="2" t="str">
        <f t="shared" si="7"/>
        <v>East - Retired</v>
      </c>
    </row>
    <row r="222" spans="1:19" x14ac:dyDescent="0.3">
      <c r="A222" t="s">
        <v>468</v>
      </c>
      <c r="B222" t="s">
        <v>469</v>
      </c>
      <c r="C222">
        <v>59</v>
      </c>
      <c r="D222" s="2" t="s">
        <v>21</v>
      </c>
      <c r="E222" s="2" t="s">
        <v>22</v>
      </c>
      <c r="F222" s="2" t="s">
        <v>23</v>
      </c>
      <c r="G222" s="2" t="s">
        <v>24</v>
      </c>
      <c r="H222" s="2" t="s">
        <v>18</v>
      </c>
      <c r="I222" s="2" t="s">
        <v>18</v>
      </c>
      <c r="J222">
        <v>0.44</v>
      </c>
      <c r="K222" s="1">
        <v>43131</v>
      </c>
      <c r="L222" s="2" t="str">
        <f>IF(Sheet1[[#This Row],[age]]&lt;18, "Under 18",IF(Sheet1[[#This Row],[age]]&lt;=30,"18-30",IF(Sheet1[[#This Row],[age]]&lt;=45,"31-45",IF(Sheet1[[#This Row],[age]]&lt;=60,"46-60","60+"))))</f>
        <v>46-60</v>
      </c>
      <c r="M222" s="2" t="str">
        <f>IF(Sheet1[[#This Row],[risk_score]]&lt;0.3,"Low",IF(Sheet1[[#This Row],[risk_score]]&lt;0.7,"Medium","High"))</f>
        <v>Medium</v>
      </c>
      <c r="N222">
        <f>YEAR(Sheet1[[#This Row],[date_joined]])</f>
        <v>2018</v>
      </c>
      <c r="O222" s="2" t="str">
        <f>TEXT(Sheet1[[#This Row],[date_joined]],"mmm")</f>
        <v>Jan</v>
      </c>
      <c r="P222" s="2" t="str">
        <f>"Q"&amp;ROUNDUP(MONTH(Sheet1[[#This Row],[date_joined]])/3,0)</f>
        <v>Q1</v>
      </c>
      <c r="Q222" s="2" t="str">
        <f>IF(Sheet1[[#This Row],[age]]&lt;30,"Young",IF(Sheet1[[#This Row],[age]]&lt;=50,"Adult","Senior"))</f>
        <v>Senior</v>
      </c>
      <c r="R222" s="2" t="str">
        <f t="shared" si="6"/>
        <v>Very High</v>
      </c>
      <c r="S222" s="2" t="str">
        <f t="shared" si="7"/>
        <v>East - Salaried</v>
      </c>
    </row>
    <row r="223" spans="1:19" x14ac:dyDescent="0.3">
      <c r="A223" t="s">
        <v>470</v>
      </c>
      <c r="B223" t="s">
        <v>471</v>
      </c>
      <c r="C223">
        <v>39</v>
      </c>
      <c r="D223" s="2" t="s">
        <v>13</v>
      </c>
      <c r="E223" s="2" t="s">
        <v>30</v>
      </c>
      <c r="F223" s="2" t="s">
        <v>31</v>
      </c>
      <c r="G223" s="2" t="s">
        <v>32</v>
      </c>
      <c r="H223" s="2" t="s">
        <v>17</v>
      </c>
      <c r="I223" s="2" t="s">
        <v>17</v>
      </c>
      <c r="J223">
        <v>0.6</v>
      </c>
      <c r="K223" s="1">
        <v>45149</v>
      </c>
      <c r="L223" s="2" t="str">
        <f>IF(Sheet1[[#This Row],[age]]&lt;18, "Under 18",IF(Sheet1[[#This Row],[age]]&lt;=30,"18-30",IF(Sheet1[[#This Row],[age]]&lt;=45,"31-45",IF(Sheet1[[#This Row],[age]]&lt;=60,"46-60","60+"))))</f>
        <v>31-45</v>
      </c>
      <c r="M223" s="2" t="str">
        <f>IF(Sheet1[[#This Row],[risk_score]]&lt;0.3,"Low",IF(Sheet1[[#This Row],[risk_score]]&lt;0.7,"Medium","High"))</f>
        <v>Medium</v>
      </c>
      <c r="N223">
        <f>YEAR(Sheet1[[#This Row],[date_joined]])</f>
        <v>2023</v>
      </c>
      <c r="O223" s="2" t="str">
        <f>TEXT(Sheet1[[#This Row],[date_joined]],"mmm")</f>
        <v>Aug</v>
      </c>
      <c r="P223" s="2" t="str">
        <f>"Q"&amp;ROUNDUP(MONTH(Sheet1[[#This Row],[date_joined]])/3,0)</f>
        <v>Q3</v>
      </c>
      <c r="Q223" s="2" t="str">
        <f>IF(Sheet1[[#This Row],[age]]&lt;30,"Young",IF(Sheet1[[#This Row],[age]]&lt;=50,"Adult","Senior"))</f>
        <v>Adult</v>
      </c>
      <c r="R223" s="2" t="str">
        <f t="shared" si="6"/>
        <v>Low</v>
      </c>
      <c r="S223" s="2" t="str">
        <f t="shared" si="7"/>
        <v>South - Self-employed</v>
      </c>
    </row>
    <row r="224" spans="1:19" x14ac:dyDescent="0.3">
      <c r="A224" t="s">
        <v>472</v>
      </c>
      <c r="B224" t="s">
        <v>473</v>
      </c>
      <c r="C224">
        <v>29</v>
      </c>
      <c r="D224" s="2" t="s">
        <v>13</v>
      </c>
      <c r="E224" s="2" t="s">
        <v>30</v>
      </c>
      <c r="F224" s="2" t="s">
        <v>31</v>
      </c>
      <c r="G224" s="2" t="s">
        <v>16</v>
      </c>
      <c r="H224" s="2" t="s">
        <v>18</v>
      </c>
      <c r="I224" s="2" t="s">
        <v>17</v>
      </c>
      <c r="J224">
        <v>0.45</v>
      </c>
      <c r="K224" s="1">
        <v>44410</v>
      </c>
      <c r="L224" s="2" t="str">
        <f>IF(Sheet1[[#This Row],[age]]&lt;18, "Under 18",IF(Sheet1[[#This Row],[age]]&lt;=30,"18-30",IF(Sheet1[[#This Row],[age]]&lt;=45,"31-45",IF(Sheet1[[#This Row],[age]]&lt;=60,"46-60","60+"))))</f>
        <v>18-30</v>
      </c>
      <c r="M224" s="2" t="str">
        <f>IF(Sheet1[[#This Row],[risk_score]]&lt;0.3,"Low",IF(Sheet1[[#This Row],[risk_score]]&lt;0.7,"Medium","High"))</f>
        <v>Medium</v>
      </c>
      <c r="N224">
        <f>YEAR(Sheet1[[#This Row],[date_joined]])</f>
        <v>2021</v>
      </c>
      <c r="O224" s="2" t="str">
        <f>TEXT(Sheet1[[#This Row],[date_joined]],"mmm")</f>
        <v>Aug</v>
      </c>
      <c r="P224" s="2" t="str">
        <f>"Q"&amp;ROUNDUP(MONTH(Sheet1[[#This Row],[date_joined]])/3,0)</f>
        <v>Q3</v>
      </c>
      <c r="Q224" s="2" t="str">
        <f>IF(Sheet1[[#This Row],[age]]&lt;30,"Young",IF(Sheet1[[#This Row],[age]]&lt;=50,"Adult","Senior"))</f>
        <v>Young</v>
      </c>
      <c r="R224" s="2" t="str">
        <f t="shared" si="6"/>
        <v>High</v>
      </c>
      <c r="S224" s="2" t="str">
        <f t="shared" si="7"/>
        <v>West - Self-employed</v>
      </c>
    </row>
    <row r="225" spans="1:19" x14ac:dyDescent="0.3">
      <c r="A225" t="s">
        <v>474</v>
      </c>
      <c r="B225" t="s">
        <v>475</v>
      </c>
      <c r="C225">
        <v>46</v>
      </c>
      <c r="D225" s="2" t="s">
        <v>13</v>
      </c>
      <c r="E225" s="2" t="s">
        <v>14</v>
      </c>
      <c r="F225" s="2" t="s">
        <v>23</v>
      </c>
      <c r="G225" s="2" t="s">
        <v>27</v>
      </c>
      <c r="H225" s="2" t="s">
        <v>18</v>
      </c>
      <c r="I225" s="2" t="s">
        <v>18</v>
      </c>
      <c r="J225">
        <v>0.6</v>
      </c>
      <c r="K225" s="1">
        <v>44833</v>
      </c>
      <c r="L225" s="2" t="str">
        <f>IF(Sheet1[[#This Row],[age]]&lt;18, "Under 18",IF(Sheet1[[#This Row],[age]]&lt;=30,"18-30",IF(Sheet1[[#This Row],[age]]&lt;=45,"31-45",IF(Sheet1[[#This Row],[age]]&lt;=60,"46-60","60+"))))</f>
        <v>46-60</v>
      </c>
      <c r="M225" s="2" t="str">
        <f>IF(Sheet1[[#This Row],[risk_score]]&lt;0.3,"Low",IF(Sheet1[[#This Row],[risk_score]]&lt;0.7,"Medium","High"))</f>
        <v>Medium</v>
      </c>
      <c r="N225">
        <f>YEAR(Sheet1[[#This Row],[date_joined]])</f>
        <v>2022</v>
      </c>
      <c r="O225" s="2" t="str">
        <f>TEXT(Sheet1[[#This Row],[date_joined]],"mmm")</f>
        <v>Sep</v>
      </c>
      <c r="P225" s="2" t="str">
        <f>"Q"&amp;ROUNDUP(MONTH(Sheet1[[#This Row],[date_joined]])/3,0)</f>
        <v>Q3</v>
      </c>
      <c r="Q225" s="2" t="str">
        <f>IF(Sheet1[[#This Row],[age]]&lt;30,"Young",IF(Sheet1[[#This Row],[age]]&lt;=50,"Adult","Senior"))</f>
        <v>Adult</v>
      </c>
      <c r="R225" s="2" t="str">
        <f t="shared" si="6"/>
        <v>Very High</v>
      </c>
      <c r="S225" s="2" t="str">
        <f t="shared" si="7"/>
        <v>North - Salaried</v>
      </c>
    </row>
    <row r="226" spans="1:19" x14ac:dyDescent="0.3">
      <c r="A226" t="s">
        <v>476</v>
      </c>
      <c r="B226" t="s">
        <v>477</v>
      </c>
      <c r="C226">
        <v>26</v>
      </c>
      <c r="D226" s="2" t="s">
        <v>13</v>
      </c>
      <c r="E226" s="2" t="s">
        <v>22</v>
      </c>
      <c r="F226" s="2" t="s">
        <v>31</v>
      </c>
      <c r="G226" s="2" t="s">
        <v>24</v>
      </c>
      <c r="H226" s="2" t="s">
        <v>17</v>
      </c>
      <c r="I226" s="2" t="s">
        <v>17</v>
      </c>
      <c r="J226">
        <v>0.26</v>
      </c>
      <c r="K226" s="1">
        <v>44927</v>
      </c>
      <c r="L226" s="2" t="str">
        <f>IF(Sheet1[[#This Row],[age]]&lt;18, "Under 18",IF(Sheet1[[#This Row],[age]]&lt;=30,"18-30",IF(Sheet1[[#This Row],[age]]&lt;=45,"31-45",IF(Sheet1[[#This Row],[age]]&lt;=60,"46-60","60+"))))</f>
        <v>18-30</v>
      </c>
      <c r="M226" s="2" t="str">
        <f>IF(Sheet1[[#This Row],[risk_score]]&lt;0.3,"Low",IF(Sheet1[[#This Row],[risk_score]]&lt;0.7,"Medium","High"))</f>
        <v>Low</v>
      </c>
      <c r="N226">
        <f>YEAR(Sheet1[[#This Row],[date_joined]])</f>
        <v>2023</v>
      </c>
      <c r="O226" s="2" t="str">
        <f>TEXT(Sheet1[[#This Row],[date_joined]],"mmm")</f>
        <v>Jan</v>
      </c>
      <c r="P226" s="2" t="str">
        <f>"Q"&amp;ROUNDUP(MONTH(Sheet1[[#This Row],[date_joined]])/3,0)</f>
        <v>Q1</v>
      </c>
      <c r="Q226" s="2" t="str">
        <f>IF(Sheet1[[#This Row],[age]]&lt;30,"Young",IF(Sheet1[[#This Row],[age]]&lt;=50,"Adult","Senior"))</f>
        <v>Young</v>
      </c>
      <c r="R226" s="2" t="str">
        <f t="shared" si="6"/>
        <v>Low</v>
      </c>
      <c r="S226" s="2" t="str">
        <f t="shared" si="7"/>
        <v>East - Self-employed</v>
      </c>
    </row>
    <row r="227" spans="1:19" x14ac:dyDescent="0.3">
      <c r="A227" t="s">
        <v>478</v>
      </c>
      <c r="B227" t="s">
        <v>479</v>
      </c>
      <c r="C227">
        <v>63</v>
      </c>
      <c r="D227" s="2" t="s">
        <v>21</v>
      </c>
      <c r="E227" s="2" t="s">
        <v>22</v>
      </c>
      <c r="F227" s="2" t="s">
        <v>15</v>
      </c>
      <c r="G227" s="2" t="s">
        <v>81</v>
      </c>
      <c r="H227" s="2" t="s">
        <v>17</v>
      </c>
      <c r="I227" s="2" t="s">
        <v>18</v>
      </c>
      <c r="J227">
        <v>0.75</v>
      </c>
      <c r="K227" s="1">
        <v>44469</v>
      </c>
      <c r="L227" s="2" t="str">
        <f>IF(Sheet1[[#This Row],[age]]&lt;18, "Under 18",IF(Sheet1[[#This Row],[age]]&lt;=30,"18-30",IF(Sheet1[[#This Row],[age]]&lt;=45,"31-45",IF(Sheet1[[#This Row],[age]]&lt;=60,"46-60","60+"))))</f>
        <v>60+</v>
      </c>
      <c r="M227" s="2" t="str">
        <f>IF(Sheet1[[#This Row],[risk_score]]&lt;0.3,"Low",IF(Sheet1[[#This Row],[risk_score]]&lt;0.7,"Medium","High"))</f>
        <v>High</v>
      </c>
      <c r="N227">
        <f>YEAR(Sheet1[[#This Row],[date_joined]])</f>
        <v>2021</v>
      </c>
      <c r="O227" s="2" t="str">
        <f>TEXT(Sheet1[[#This Row],[date_joined]],"mmm")</f>
        <v>Sep</v>
      </c>
      <c r="P227" s="2" t="str">
        <f>"Q"&amp;ROUNDUP(MONTH(Sheet1[[#This Row],[date_joined]])/3,0)</f>
        <v>Q3</v>
      </c>
      <c r="Q227" s="2" t="str">
        <f>IF(Sheet1[[#This Row],[age]]&lt;30,"Young",IF(Sheet1[[#This Row],[age]]&lt;=50,"Adult","Senior"))</f>
        <v>Senior</v>
      </c>
      <c r="R227" s="2" t="str">
        <f t="shared" si="6"/>
        <v>High</v>
      </c>
      <c r="S227" s="2" t="str">
        <f t="shared" si="7"/>
        <v>Central - Student</v>
      </c>
    </row>
    <row r="228" spans="1:19" x14ac:dyDescent="0.3">
      <c r="A228" t="s">
        <v>480</v>
      </c>
      <c r="B228" t="s">
        <v>481</v>
      </c>
      <c r="C228">
        <v>34</v>
      </c>
      <c r="D228" s="2" t="s">
        <v>21</v>
      </c>
      <c r="E228" s="2" t="s">
        <v>22</v>
      </c>
      <c r="F228" s="2" t="s">
        <v>15</v>
      </c>
      <c r="G228" s="2" t="s">
        <v>66</v>
      </c>
      <c r="H228" s="2" t="s">
        <v>18</v>
      </c>
      <c r="I228" s="2" t="s">
        <v>17</v>
      </c>
      <c r="J228">
        <v>0.71</v>
      </c>
      <c r="K228" s="1">
        <v>43596</v>
      </c>
      <c r="L228" s="2" t="str">
        <f>IF(Sheet1[[#This Row],[age]]&lt;18, "Under 18",IF(Sheet1[[#This Row],[age]]&lt;=30,"18-30",IF(Sheet1[[#This Row],[age]]&lt;=45,"31-45",IF(Sheet1[[#This Row],[age]]&lt;=60,"46-60","60+"))))</f>
        <v>31-45</v>
      </c>
      <c r="M228" s="2" t="str">
        <f>IF(Sheet1[[#This Row],[risk_score]]&lt;0.3,"Low",IF(Sheet1[[#This Row],[risk_score]]&lt;0.7,"Medium","High"))</f>
        <v>High</v>
      </c>
      <c r="N228">
        <f>YEAR(Sheet1[[#This Row],[date_joined]])</f>
        <v>2019</v>
      </c>
      <c r="O228" s="2" t="str">
        <f>TEXT(Sheet1[[#This Row],[date_joined]],"mmm")</f>
        <v>May</v>
      </c>
      <c r="P228" s="2" t="str">
        <f>"Q"&amp;ROUNDUP(MONTH(Sheet1[[#This Row],[date_joined]])/3,0)</f>
        <v>Q2</v>
      </c>
      <c r="Q228" s="2" t="str">
        <f>IF(Sheet1[[#This Row],[age]]&lt;30,"Young",IF(Sheet1[[#This Row],[age]]&lt;=50,"Adult","Senior"))</f>
        <v>Adult</v>
      </c>
      <c r="R228" s="2" t="str">
        <f t="shared" si="6"/>
        <v>High</v>
      </c>
      <c r="S228" s="2" t="str">
        <f t="shared" si="7"/>
        <v>North-East - Student</v>
      </c>
    </row>
    <row r="229" spans="1:19" x14ac:dyDescent="0.3">
      <c r="A229" t="s">
        <v>482</v>
      </c>
      <c r="B229" t="s">
        <v>483</v>
      </c>
      <c r="C229">
        <v>69</v>
      </c>
      <c r="D229" s="2" t="s">
        <v>21</v>
      </c>
      <c r="E229" s="2" t="s">
        <v>30</v>
      </c>
      <c r="F229" s="2" t="s">
        <v>15</v>
      </c>
      <c r="G229" s="2" t="s">
        <v>32</v>
      </c>
      <c r="H229" s="2" t="s">
        <v>17</v>
      </c>
      <c r="I229" s="2" t="s">
        <v>18</v>
      </c>
      <c r="J229">
        <v>0.74</v>
      </c>
      <c r="K229" s="1">
        <v>45209</v>
      </c>
      <c r="L229" s="2" t="str">
        <f>IF(Sheet1[[#This Row],[age]]&lt;18, "Under 18",IF(Sheet1[[#This Row],[age]]&lt;=30,"18-30",IF(Sheet1[[#This Row],[age]]&lt;=45,"31-45",IF(Sheet1[[#This Row],[age]]&lt;=60,"46-60","60+"))))</f>
        <v>60+</v>
      </c>
      <c r="M229" s="2" t="str">
        <f>IF(Sheet1[[#This Row],[risk_score]]&lt;0.3,"Low",IF(Sheet1[[#This Row],[risk_score]]&lt;0.7,"Medium","High"))</f>
        <v>High</v>
      </c>
      <c r="N229">
        <f>YEAR(Sheet1[[#This Row],[date_joined]])</f>
        <v>2023</v>
      </c>
      <c r="O229" s="2" t="str">
        <f>TEXT(Sheet1[[#This Row],[date_joined]],"mmm")</f>
        <v>Oct</v>
      </c>
      <c r="P229" s="2" t="str">
        <f>"Q"&amp;ROUNDUP(MONTH(Sheet1[[#This Row],[date_joined]])/3,0)</f>
        <v>Q4</v>
      </c>
      <c r="Q229" s="2" t="str">
        <f>IF(Sheet1[[#This Row],[age]]&lt;30,"Young",IF(Sheet1[[#This Row],[age]]&lt;=50,"Adult","Senior"))</f>
        <v>Senior</v>
      </c>
      <c r="R229" s="2" t="str">
        <f t="shared" si="6"/>
        <v>High</v>
      </c>
      <c r="S229" s="2" t="str">
        <f t="shared" si="7"/>
        <v>South - Student</v>
      </c>
    </row>
    <row r="230" spans="1:19" x14ac:dyDescent="0.3">
      <c r="A230" t="s">
        <v>484</v>
      </c>
      <c r="B230" t="s">
        <v>485</v>
      </c>
      <c r="C230">
        <v>52</v>
      </c>
      <c r="D230" s="2" t="s">
        <v>21</v>
      </c>
      <c r="E230" s="2" t="s">
        <v>14</v>
      </c>
      <c r="F230" s="2" t="s">
        <v>15</v>
      </c>
      <c r="G230" s="2" t="s">
        <v>16</v>
      </c>
      <c r="H230" s="2" t="s">
        <v>17</v>
      </c>
      <c r="I230" s="2" t="s">
        <v>17</v>
      </c>
      <c r="J230">
        <v>0.57999999999999996</v>
      </c>
      <c r="K230" s="1">
        <v>44579</v>
      </c>
      <c r="L230" s="2" t="str">
        <f>IF(Sheet1[[#This Row],[age]]&lt;18, "Under 18",IF(Sheet1[[#This Row],[age]]&lt;=30,"18-30",IF(Sheet1[[#This Row],[age]]&lt;=45,"31-45",IF(Sheet1[[#This Row],[age]]&lt;=60,"46-60","60+"))))</f>
        <v>46-60</v>
      </c>
      <c r="M230" s="2" t="str">
        <f>IF(Sheet1[[#This Row],[risk_score]]&lt;0.3,"Low",IF(Sheet1[[#This Row],[risk_score]]&lt;0.7,"Medium","High"))</f>
        <v>Medium</v>
      </c>
      <c r="N230">
        <f>YEAR(Sheet1[[#This Row],[date_joined]])</f>
        <v>2022</v>
      </c>
      <c r="O230" s="2" t="str">
        <f>TEXT(Sheet1[[#This Row],[date_joined]],"mmm")</f>
        <v>Jan</v>
      </c>
      <c r="P230" s="2" t="str">
        <f>"Q"&amp;ROUNDUP(MONTH(Sheet1[[#This Row],[date_joined]])/3,0)</f>
        <v>Q1</v>
      </c>
      <c r="Q230" s="2" t="str">
        <f>IF(Sheet1[[#This Row],[age]]&lt;30,"Young",IF(Sheet1[[#This Row],[age]]&lt;=50,"Adult","Senior"))</f>
        <v>Senior</v>
      </c>
      <c r="R230" s="2" t="str">
        <f t="shared" si="6"/>
        <v>Low</v>
      </c>
      <c r="S230" s="2" t="str">
        <f t="shared" si="7"/>
        <v>West - Student</v>
      </c>
    </row>
    <row r="231" spans="1:19" x14ac:dyDescent="0.3">
      <c r="A231" t="s">
        <v>486</v>
      </c>
      <c r="B231" t="s">
        <v>487</v>
      </c>
      <c r="C231">
        <v>27</v>
      </c>
      <c r="D231" s="2" t="s">
        <v>21</v>
      </c>
      <c r="E231" s="2" t="s">
        <v>22</v>
      </c>
      <c r="F231" s="2" t="s">
        <v>37</v>
      </c>
      <c r="G231" s="2" t="s">
        <v>32</v>
      </c>
      <c r="H231" s="2" t="s">
        <v>18</v>
      </c>
      <c r="I231" s="2" t="s">
        <v>17</v>
      </c>
      <c r="J231">
        <v>0.34</v>
      </c>
      <c r="K231" s="1">
        <v>44215</v>
      </c>
      <c r="L231" s="2" t="str">
        <f>IF(Sheet1[[#This Row],[age]]&lt;18, "Under 18",IF(Sheet1[[#This Row],[age]]&lt;=30,"18-30",IF(Sheet1[[#This Row],[age]]&lt;=45,"31-45",IF(Sheet1[[#This Row],[age]]&lt;=60,"46-60","60+"))))</f>
        <v>18-30</v>
      </c>
      <c r="M231" s="2" t="str">
        <f>IF(Sheet1[[#This Row],[risk_score]]&lt;0.3,"Low",IF(Sheet1[[#This Row],[risk_score]]&lt;0.7,"Medium","High"))</f>
        <v>Medium</v>
      </c>
      <c r="N231">
        <f>YEAR(Sheet1[[#This Row],[date_joined]])</f>
        <v>2021</v>
      </c>
      <c r="O231" s="2" t="str">
        <f>TEXT(Sheet1[[#This Row],[date_joined]],"mmm")</f>
        <v>Jan</v>
      </c>
      <c r="P231" s="2" t="str">
        <f>"Q"&amp;ROUNDUP(MONTH(Sheet1[[#This Row],[date_joined]])/3,0)</f>
        <v>Q1</v>
      </c>
      <c r="Q231" s="2" t="str">
        <f>IF(Sheet1[[#This Row],[age]]&lt;30,"Young",IF(Sheet1[[#This Row],[age]]&lt;=50,"Adult","Senior"))</f>
        <v>Young</v>
      </c>
      <c r="R231" s="2" t="str">
        <f t="shared" si="6"/>
        <v>High</v>
      </c>
      <c r="S231" s="2" t="str">
        <f t="shared" si="7"/>
        <v>South - Retired</v>
      </c>
    </row>
    <row r="232" spans="1:19" x14ac:dyDescent="0.3">
      <c r="A232" t="s">
        <v>488</v>
      </c>
      <c r="B232" t="s">
        <v>489</v>
      </c>
      <c r="C232">
        <v>67</v>
      </c>
      <c r="D232" s="2" t="s">
        <v>21</v>
      </c>
      <c r="E232" s="2" t="s">
        <v>22</v>
      </c>
      <c r="F232" s="2" t="s">
        <v>31</v>
      </c>
      <c r="G232" s="2" t="s">
        <v>27</v>
      </c>
      <c r="H232" s="2" t="s">
        <v>18</v>
      </c>
      <c r="I232" s="2" t="s">
        <v>18</v>
      </c>
      <c r="J232">
        <v>0.8</v>
      </c>
      <c r="K232" s="1">
        <v>43854</v>
      </c>
      <c r="L232" s="2" t="str">
        <f>IF(Sheet1[[#This Row],[age]]&lt;18, "Under 18",IF(Sheet1[[#This Row],[age]]&lt;=30,"18-30",IF(Sheet1[[#This Row],[age]]&lt;=45,"31-45",IF(Sheet1[[#This Row],[age]]&lt;=60,"46-60","60+"))))</f>
        <v>60+</v>
      </c>
      <c r="M232" s="2" t="str">
        <f>IF(Sheet1[[#This Row],[risk_score]]&lt;0.3,"Low",IF(Sheet1[[#This Row],[risk_score]]&lt;0.7,"Medium","High"))</f>
        <v>High</v>
      </c>
      <c r="N232">
        <f>YEAR(Sheet1[[#This Row],[date_joined]])</f>
        <v>2020</v>
      </c>
      <c r="O232" s="2" t="str">
        <f>TEXT(Sheet1[[#This Row],[date_joined]],"mmm")</f>
        <v>Jan</v>
      </c>
      <c r="P232" s="2" t="str">
        <f>"Q"&amp;ROUNDUP(MONTH(Sheet1[[#This Row],[date_joined]])/3,0)</f>
        <v>Q1</v>
      </c>
      <c r="Q232" s="2" t="str">
        <f>IF(Sheet1[[#This Row],[age]]&lt;30,"Young",IF(Sheet1[[#This Row],[age]]&lt;=50,"Adult","Senior"))</f>
        <v>Senior</v>
      </c>
      <c r="R232" s="2" t="str">
        <f t="shared" si="6"/>
        <v>Very High</v>
      </c>
      <c r="S232" s="2" t="str">
        <f t="shared" si="7"/>
        <v>North - Self-employed</v>
      </c>
    </row>
    <row r="233" spans="1:19" x14ac:dyDescent="0.3">
      <c r="A233" t="s">
        <v>490</v>
      </c>
      <c r="B233" t="s">
        <v>491</v>
      </c>
      <c r="C233">
        <v>25</v>
      </c>
      <c r="D233" s="2" t="s">
        <v>21</v>
      </c>
      <c r="E233" s="2" t="s">
        <v>22</v>
      </c>
      <c r="F233" s="2" t="s">
        <v>37</v>
      </c>
      <c r="G233" s="2" t="s">
        <v>66</v>
      </c>
      <c r="H233" s="2" t="s">
        <v>18</v>
      </c>
      <c r="I233" s="2" t="s">
        <v>17</v>
      </c>
      <c r="J233">
        <v>0.75</v>
      </c>
      <c r="K233" s="1">
        <v>43635</v>
      </c>
      <c r="L233" s="2" t="str">
        <f>IF(Sheet1[[#This Row],[age]]&lt;18, "Under 18",IF(Sheet1[[#This Row],[age]]&lt;=30,"18-30",IF(Sheet1[[#This Row],[age]]&lt;=45,"31-45",IF(Sheet1[[#This Row],[age]]&lt;=60,"46-60","60+"))))</f>
        <v>18-30</v>
      </c>
      <c r="M233" s="2" t="str">
        <f>IF(Sheet1[[#This Row],[risk_score]]&lt;0.3,"Low",IF(Sheet1[[#This Row],[risk_score]]&lt;0.7,"Medium","High"))</f>
        <v>High</v>
      </c>
      <c r="N233">
        <f>YEAR(Sheet1[[#This Row],[date_joined]])</f>
        <v>2019</v>
      </c>
      <c r="O233" s="2" t="str">
        <f>TEXT(Sheet1[[#This Row],[date_joined]],"mmm")</f>
        <v>Jun</v>
      </c>
      <c r="P233" s="2" t="str">
        <f>"Q"&amp;ROUNDUP(MONTH(Sheet1[[#This Row],[date_joined]])/3,0)</f>
        <v>Q2</v>
      </c>
      <c r="Q233" s="2" t="str">
        <f>IF(Sheet1[[#This Row],[age]]&lt;30,"Young",IF(Sheet1[[#This Row],[age]]&lt;=50,"Adult","Senior"))</f>
        <v>Young</v>
      </c>
      <c r="R233" s="2" t="str">
        <f t="shared" si="6"/>
        <v>High</v>
      </c>
      <c r="S233" s="2" t="str">
        <f t="shared" si="7"/>
        <v>North-East - Retired</v>
      </c>
    </row>
    <row r="234" spans="1:19" x14ac:dyDescent="0.3">
      <c r="A234" t="s">
        <v>492</v>
      </c>
      <c r="B234" t="s">
        <v>493</v>
      </c>
      <c r="C234">
        <v>43</v>
      </c>
      <c r="D234" s="2" t="s">
        <v>13</v>
      </c>
      <c r="E234" s="2" t="s">
        <v>30</v>
      </c>
      <c r="F234" s="2" t="s">
        <v>15</v>
      </c>
      <c r="G234" s="2" t="s">
        <v>16</v>
      </c>
      <c r="H234" s="2" t="s">
        <v>18</v>
      </c>
      <c r="I234" s="2" t="s">
        <v>17</v>
      </c>
      <c r="J234">
        <v>0.36</v>
      </c>
      <c r="K234" s="1">
        <v>43388</v>
      </c>
      <c r="L234" s="2" t="str">
        <f>IF(Sheet1[[#This Row],[age]]&lt;18, "Under 18",IF(Sheet1[[#This Row],[age]]&lt;=30,"18-30",IF(Sheet1[[#This Row],[age]]&lt;=45,"31-45",IF(Sheet1[[#This Row],[age]]&lt;=60,"46-60","60+"))))</f>
        <v>31-45</v>
      </c>
      <c r="M234" s="2" t="str">
        <f>IF(Sheet1[[#This Row],[risk_score]]&lt;0.3,"Low",IF(Sheet1[[#This Row],[risk_score]]&lt;0.7,"Medium","High"))</f>
        <v>Medium</v>
      </c>
      <c r="N234">
        <f>YEAR(Sheet1[[#This Row],[date_joined]])</f>
        <v>2018</v>
      </c>
      <c r="O234" s="2" t="str">
        <f>TEXT(Sheet1[[#This Row],[date_joined]],"mmm")</f>
        <v>Oct</v>
      </c>
      <c r="P234" s="2" t="str">
        <f>"Q"&amp;ROUNDUP(MONTH(Sheet1[[#This Row],[date_joined]])/3,0)</f>
        <v>Q4</v>
      </c>
      <c r="Q234" s="2" t="str">
        <f>IF(Sheet1[[#This Row],[age]]&lt;30,"Young",IF(Sheet1[[#This Row],[age]]&lt;=50,"Adult","Senior"))</f>
        <v>Adult</v>
      </c>
      <c r="R234" s="2" t="str">
        <f t="shared" si="6"/>
        <v>High</v>
      </c>
      <c r="S234" s="2" t="str">
        <f t="shared" si="7"/>
        <v>West - Student</v>
      </c>
    </row>
    <row r="235" spans="1:19" x14ac:dyDescent="0.3">
      <c r="A235" t="s">
        <v>494</v>
      </c>
      <c r="B235" t="s">
        <v>495</v>
      </c>
      <c r="C235">
        <v>48</v>
      </c>
      <c r="D235" s="2" t="s">
        <v>21</v>
      </c>
      <c r="E235" s="2" t="s">
        <v>14</v>
      </c>
      <c r="F235" s="2" t="s">
        <v>15</v>
      </c>
      <c r="G235" s="2" t="s">
        <v>24</v>
      </c>
      <c r="H235" s="2" t="s">
        <v>18</v>
      </c>
      <c r="I235" s="2" t="s">
        <v>18</v>
      </c>
      <c r="J235">
        <v>0.01</v>
      </c>
      <c r="K235" s="1">
        <v>43858</v>
      </c>
      <c r="L235" s="2" t="str">
        <f>IF(Sheet1[[#This Row],[age]]&lt;18, "Under 18",IF(Sheet1[[#This Row],[age]]&lt;=30,"18-30",IF(Sheet1[[#This Row],[age]]&lt;=45,"31-45",IF(Sheet1[[#This Row],[age]]&lt;=60,"46-60","60+"))))</f>
        <v>46-60</v>
      </c>
      <c r="M235" s="2" t="str">
        <f>IF(Sheet1[[#This Row],[risk_score]]&lt;0.3,"Low",IF(Sheet1[[#This Row],[risk_score]]&lt;0.7,"Medium","High"))</f>
        <v>Low</v>
      </c>
      <c r="N235">
        <f>YEAR(Sheet1[[#This Row],[date_joined]])</f>
        <v>2020</v>
      </c>
      <c r="O235" s="2" t="str">
        <f>TEXT(Sheet1[[#This Row],[date_joined]],"mmm")</f>
        <v>Jan</v>
      </c>
      <c r="P235" s="2" t="str">
        <f>"Q"&amp;ROUNDUP(MONTH(Sheet1[[#This Row],[date_joined]])/3,0)</f>
        <v>Q1</v>
      </c>
      <c r="Q235" s="2" t="str">
        <f>IF(Sheet1[[#This Row],[age]]&lt;30,"Young",IF(Sheet1[[#This Row],[age]]&lt;=50,"Adult","Senior"))</f>
        <v>Adult</v>
      </c>
      <c r="R235" s="2" t="str">
        <f t="shared" si="6"/>
        <v>Very High</v>
      </c>
      <c r="S235" s="2" t="str">
        <f t="shared" si="7"/>
        <v>East - Student</v>
      </c>
    </row>
    <row r="236" spans="1:19" x14ac:dyDescent="0.3">
      <c r="A236" t="s">
        <v>496</v>
      </c>
      <c r="B236" t="s">
        <v>497</v>
      </c>
      <c r="C236">
        <v>25</v>
      </c>
      <c r="D236" s="2" t="s">
        <v>13</v>
      </c>
      <c r="E236" s="2" t="s">
        <v>14</v>
      </c>
      <c r="F236" s="2" t="s">
        <v>23</v>
      </c>
      <c r="G236" s="2" t="s">
        <v>81</v>
      </c>
      <c r="H236" s="2" t="s">
        <v>18</v>
      </c>
      <c r="I236" s="2" t="s">
        <v>17</v>
      </c>
      <c r="J236">
        <v>0.55000000000000004</v>
      </c>
      <c r="K236" s="1">
        <v>43709</v>
      </c>
      <c r="L236" s="2" t="str">
        <f>IF(Sheet1[[#This Row],[age]]&lt;18, "Under 18",IF(Sheet1[[#This Row],[age]]&lt;=30,"18-30",IF(Sheet1[[#This Row],[age]]&lt;=45,"31-45",IF(Sheet1[[#This Row],[age]]&lt;=60,"46-60","60+"))))</f>
        <v>18-30</v>
      </c>
      <c r="M236" s="2" t="str">
        <f>IF(Sheet1[[#This Row],[risk_score]]&lt;0.3,"Low",IF(Sheet1[[#This Row],[risk_score]]&lt;0.7,"Medium","High"))</f>
        <v>Medium</v>
      </c>
      <c r="N236">
        <f>YEAR(Sheet1[[#This Row],[date_joined]])</f>
        <v>2019</v>
      </c>
      <c r="O236" s="2" t="str">
        <f>TEXT(Sheet1[[#This Row],[date_joined]],"mmm")</f>
        <v>Sep</v>
      </c>
      <c r="P236" s="2" t="str">
        <f>"Q"&amp;ROUNDUP(MONTH(Sheet1[[#This Row],[date_joined]])/3,0)</f>
        <v>Q3</v>
      </c>
      <c r="Q236" s="2" t="str">
        <f>IF(Sheet1[[#This Row],[age]]&lt;30,"Young",IF(Sheet1[[#This Row],[age]]&lt;=50,"Adult","Senior"))</f>
        <v>Young</v>
      </c>
      <c r="R236" s="2" t="str">
        <f t="shared" si="6"/>
        <v>High</v>
      </c>
      <c r="S236" s="2" t="str">
        <f t="shared" si="7"/>
        <v>Central - Salaried</v>
      </c>
    </row>
    <row r="237" spans="1:19" x14ac:dyDescent="0.3">
      <c r="A237" t="s">
        <v>498</v>
      </c>
      <c r="B237" t="s">
        <v>467</v>
      </c>
      <c r="C237">
        <v>39</v>
      </c>
      <c r="D237" s="2" t="s">
        <v>21</v>
      </c>
      <c r="E237" s="2" t="s">
        <v>22</v>
      </c>
      <c r="F237" s="2" t="s">
        <v>31</v>
      </c>
      <c r="G237" s="2" t="s">
        <v>81</v>
      </c>
      <c r="H237" s="2" t="s">
        <v>18</v>
      </c>
      <c r="I237" s="2" t="s">
        <v>18</v>
      </c>
      <c r="J237">
        <v>0.35</v>
      </c>
      <c r="K237" s="1">
        <v>44613</v>
      </c>
      <c r="L237" s="2" t="str">
        <f>IF(Sheet1[[#This Row],[age]]&lt;18, "Under 18",IF(Sheet1[[#This Row],[age]]&lt;=30,"18-30",IF(Sheet1[[#This Row],[age]]&lt;=45,"31-45",IF(Sheet1[[#This Row],[age]]&lt;=60,"46-60","60+"))))</f>
        <v>31-45</v>
      </c>
      <c r="M237" s="2" t="str">
        <f>IF(Sheet1[[#This Row],[risk_score]]&lt;0.3,"Low",IF(Sheet1[[#This Row],[risk_score]]&lt;0.7,"Medium","High"))</f>
        <v>Medium</v>
      </c>
      <c r="N237">
        <f>YEAR(Sheet1[[#This Row],[date_joined]])</f>
        <v>2022</v>
      </c>
      <c r="O237" s="2" t="str">
        <f>TEXT(Sheet1[[#This Row],[date_joined]],"mmm")</f>
        <v>Feb</v>
      </c>
      <c r="P237" s="2" t="str">
        <f>"Q"&amp;ROUNDUP(MONTH(Sheet1[[#This Row],[date_joined]])/3,0)</f>
        <v>Q1</v>
      </c>
      <c r="Q237" s="2" t="str">
        <f>IF(Sheet1[[#This Row],[age]]&lt;30,"Young",IF(Sheet1[[#This Row],[age]]&lt;=50,"Adult","Senior"))</f>
        <v>Adult</v>
      </c>
      <c r="R237" s="2" t="str">
        <f t="shared" si="6"/>
        <v>Very High</v>
      </c>
      <c r="S237" s="2" t="str">
        <f t="shared" si="7"/>
        <v>Central - Self-employed</v>
      </c>
    </row>
    <row r="238" spans="1:19" x14ac:dyDescent="0.3">
      <c r="A238" t="s">
        <v>499</v>
      </c>
      <c r="B238" t="s">
        <v>500</v>
      </c>
      <c r="C238">
        <v>26</v>
      </c>
      <c r="D238" s="2" t="s">
        <v>13</v>
      </c>
      <c r="E238" s="2" t="s">
        <v>14</v>
      </c>
      <c r="F238" s="2" t="s">
        <v>37</v>
      </c>
      <c r="G238" s="2" t="s">
        <v>81</v>
      </c>
      <c r="H238" s="2" t="s">
        <v>17</v>
      </c>
      <c r="I238" s="2" t="s">
        <v>18</v>
      </c>
      <c r="J238">
        <v>0.81</v>
      </c>
      <c r="K238" s="1">
        <v>44167</v>
      </c>
      <c r="L238" s="2" t="str">
        <f>IF(Sheet1[[#This Row],[age]]&lt;18, "Under 18",IF(Sheet1[[#This Row],[age]]&lt;=30,"18-30",IF(Sheet1[[#This Row],[age]]&lt;=45,"31-45",IF(Sheet1[[#This Row],[age]]&lt;=60,"46-60","60+"))))</f>
        <v>18-30</v>
      </c>
      <c r="M238" s="2" t="str">
        <f>IF(Sheet1[[#This Row],[risk_score]]&lt;0.3,"Low",IF(Sheet1[[#This Row],[risk_score]]&lt;0.7,"Medium","High"))</f>
        <v>High</v>
      </c>
      <c r="N238">
        <f>YEAR(Sheet1[[#This Row],[date_joined]])</f>
        <v>2020</v>
      </c>
      <c r="O238" s="2" t="str">
        <f>TEXT(Sheet1[[#This Row],[date_joined]],"mmm")</f>
        <v>Dec</v>
      </c>
      <c r="P238" s="2" t="str">
        <f>"Q"&amp;ROUNDUP(MONTH(Sheet1[[#This Row],[date_joined]])/3,0)</f>
        <v>Q4</v>
      </c>
      <c r="Q238" s="2" t="str">
        <f>IF(Sheet1[[#This Row],[age]]&lt;30,"Young",IF(Sheet1[[#This Row],[age]]&lt;=50,"Adult","Senior"))</f>
        <v>Young</v>
      </c>
      <c r="R238" s="2" t="str">
        <f t="shared" si="6"/>
        <v>High</v>
      </c>
      <c r="S238" s="2" t="str">
        <f t="shared" si="7"/>
        <v>Central - Retired</v>
      </c>
    </row>
    <row r="239" spans="1:19" x14ac:dyDescent="0.3">
      <c r="A239" t="s">
        <v>501</v>
      </c>
      <c r="B239" t="s">
        <v>502</v>
      </c>
      <c r="C239">
        <v>56</v>
      </c>
      <c r="D239" s="2" t="s">
        <v>13</v>
      </c>
      <c r="E239" s="2" t="s">
        <v>30</v>
      </c>
      <c r="F239" s="2" t="s">
        <v>15</v>
      </c>
      <c r="G239" s="2" t="s">
        <v>66</v>
      </c>
      <c r="H239" s="2" t="s">
        <v>17</v>
      </c>
      <c r="I239" s="2" t="s">
        <v>18</v>
      </c>
      <c r="J239">
        <v>0.56999999999999995</v>
      </c>
      <c r="K239" s="1">
        <v>43323</v>
      </c>
      <c r="L239" s="2" t="str">
        <f>IF(Sheet1[[#This Row],[age]]&lt;18, "Under 18",IF(Sheet1[[#This Row],[age]]&lt;=30,"18-30",IF(Sheet1[[#This Row],[age]]&lt;=45,"31-45",IF(Sheet1[[#This Row],[age]]&lt;=60,"46-60","60+"))))</f>
        <v>46-60</v>
      </c>
      <c r="M239" s="2" t="str">
        <f>IF(Sheet1[[#This Row],[risk_score]]&lt;0.3,"Low",IF(Sheet1[[#This Row],[risk_score]]&lt;0.7,"Medium","High"))</f>
        <v>Medium</v>
      </c>
      <c r="N239">
        <f>YEAR(Sheet1[[#This Row],[date_joined]])</f>
        <v>2018</v>
      </c>
      <c r="O239" s="2" t="str">
        <f>TEXT(Sheet1[[#This Row],[date_joined]],"mmm")</f>
        <v>Aug</v>
      </c>
      <c r="P239" s="2" t="str">
        <f>"Q"&amp;ROUNDUP(MONTH(Sheet1[[#This Row],[date_joined]])/3,0)</f>
        <v>Q3</v>
      </c>
      <c r="Q239" s="2" t="str">
        <f>IF(Sheet1[[#This Row],[age]]&lt;30,"Young",IF(Sheet1[[#This Row],[age]]&lt;=50,"Adult","Senior"))</f>
        <v>Senior</v>
      </c>
      <c r="R239" s="2" t="str">
        <f t="shared" si="6"/>
        <v>High</v>
      </c>
      <c r="S239" s="2" t="str">
        <f t="shared" si="7"/>
        <v>North-East - Student</v>
      </c>
    </row>
    <row r="240" spans="1:19" x14ac:dyDescent="0.3">
      <c r="A240" t="s">
        <v>503</v>
      </c>
      <c r="B240" t="s">
        <v>504</v>
      </c>
      <c r="C240">
        <v>34</v>
      </c>
      <c r="D240" s="2" t="s">
        <v>21</v>
      </c>
      <c r="E240" s="2" t="s">
        <v>22</v>
      </c>
      <c r="F240" s="2" t="s">
        <v>23</v>
      </c>
      <c r="G240" s="2" t="s">
        <v>27</v>
      </c>
      <c r="H240" s="2" t="s">
        <v>17</v>
      </c>
      <c r="I240" s="2" t="s">
        <v>18</v>
      </c>
      <c r="J240">
        <v>0.68</v>
      </c>
      <c r="K240" s="1">
        <v>44373</v>
      </c>
      <c r="L240" s="2" t="str">
        <f>IF(Sheet1[[#This Row],[age]]&lt;18, "Under 18",IF(Sheet1[[#This Row],[age]]&lt;=30,"18-30",IF(Sheet1[[#This Row],[age]]&lt;=45,"31-45",IF(Sheet1[[#This Row],[age]]&lt;=60,"46-60","60+"))))</f>
        <v>31-45</v>
      </c>
      <c r="M240" s="2" t="str">
        <f>IF(Sheet1[[#This Row],[risk_score]]&lt;0.3,"Low",IF(Sheet1[[#This Row],[risk_score]]&lt;0.7,"Medium","High"))</f>
        <v>Medium</v>
      </c>
      <c r="N240">
        <f>YEAR(Sheet1[[#This Row],[date_joined]])</f>
        <v>2021</v>
      </c>
      <c r="O240" s="2" t="str">
        <f>TEXT(Sheet1[[#This Row],[date_joined]],"mmm")</f>
        <v>Jun</v>
      </c>
      <c r="P240" s="2" t="str">
        <f>"Q"&amp;ROUNDUP(MONTH(Sheet1[[#This Row],[date_joined]])/3,0)</f>
        <v>Q2</v>
      </c>
      <c r="Q240" s="2" t="str">
        <f>IF(Sheet1[[#This Row],[age]]&lt;30,"Young",IF(Sheet1[[#This Row],[age]]&lt;=50,"Adult","Senior"))</f>
        <v>Adult</v>
      </c>
      <c r="R240" s="2" t="str">
        <f t="shared" si="6"/>
        <v>High</v>
      </c>
      <c r="S240" s="2" t="str">
        <f t="shared" si="7"/>
        <v>North - Salaried</v>
      </c>
    </row>
    <row r="241" spans="1:19" x14ac:dyDescent="0.3">
      <c r="A241" t="s">
        <v>505</v>
      </c>
      <c r="B241" t="s">
        <v>506</v>
      </c>
      <c r="C241">
        <v>69</v>
      </c>
      <c r="D241" s="2" t="s">
        <v>21</v>
      </c>
      <c r="E241" s="2" t="s">
        <v>30</v>
      </c>
      <c r="F241" s="2" t="s">
        <v>15</v>
      </c>
      <c r="G241" s="2" t="s">
        <v>16</v>
      </c>
      <c r="H241" s="2" t="s">
        <v>17</v>
      </c>
      <c r="I241" s="2" t="s">
        <v>17</v>
      </c>
      <c r="J241">
        <v>0.53</v>
      </c>
      <c r="K241" s="1">
        <v>44010</v>
      </c>
      <c r="L241" s="2" t="str">
        <f>IF(Sheet1[[#This Row],[age]]&lt;18, "Under 18",IF(Sheet1[[#This Row],[age]]&lt;=30,"18-30",IF(Sheet1[[#This Row],[age]]&lt;=45,"31-45",IF(Sheet1[[#This Row],[age]]&lt;=60,"46-60","60+"))))</f>
        <v>60+</v>
      </c>
      <c r="M241" s="2" t="str">
        <f>IF(Sheet1[[#This Row],[risk_score]]&lt;0.3,"Low",IF(Sheet1[[#This Row],[risk_score]]&lt;0.7,"Medium","High"))</f>
        <v>Medium</v>
      </c>
      <c r="N241">
        <f>YEAR(Sheet1[[#This Row],[date_joined]])</f>
        <v>2020</v>
      </c>
      <c r="O241" s="2" t="str">
        <f>TEXT(Sheet1[[#This Row],[date_joined]],"mmm")</f>
        <v>Jun</v>
      </c>
      <c r="P241" s="2" t="str">
        <f>"Q"&amp;ROUNDUP(MONTH(Sheet1[[#This Row],[date_joined]])/3,0)</f>
        <v>Q2</v>
      </c>
      <c r="Q241" s="2" t="str">
        <f>IF(Sheet1[[#This Row],[age]]&lt;30,"Young",IF(Sheet1[[#This Row],[age]]&lt;=50,"Adult","Senior"))</f>
        <v>Senior</v>
      </c>
      <c r="R241" s="2" t="str">
        <f t="shared" si="6"/>
        <v>Low</v>
      </c>
      <c r="S241" s="2" t="str">
        <f t="shared" si="7"/>
        <v>West - Student</v>
      </c>
    </row>
    <row r="242" spans="1:19" x14ac:dyDescent="0.3">
      <c r="A242" t="s">
        <v>507</v>
      </c>
      <c r="B242" t="s">
        <v>508</v>
      </c>
      <c r="C242">
        <v>23</v>
      </c>
      <c r="D242" s="2" t="s">
        <v>21</v>
      </c>
      <c r="E242" s="2" t="s">
        <v>30</v>
      </c>
      <c r="F242" s="2" t="s">
        <v>31</v>
      </c>
      <c r="G242" s="2" t="s">
        <v>24</v>
      </c>
      <c r="H242" s="2" t="s">
        <v>17</v>
      </c>
      <c r="I242" s="2" t="s">
        <v>18</v>
      </c>
      <c r="J242">
        <v>0.41</v>
      </c>
      <c r="K242" s="1">
        <v>45053</v>
      </c>
      <c r="L242" s="2" t="str">
        <f>IF(Sheet1[[#This Row],[age]]&lt;18, "Under 18",IF(Sheet1[[#This Row],[age]]&lt;=30,"18-30",IF(Sheet1[[#This Row],[age]]&lt;=45,"31-45",IF(Sheet1[[#This Row],[age]]&lt;=60,"46-60","60+"))))</f>
        <v>18-30</v>
      </c>
      <c r="M242" s="2" t="str">
        <f>IF(Sheet1[[#This Row],[risk_score]]&lt;0.3,"Low",IF(Sheet1[[#This Row],[risk_score]]&lt;0.7,"Medium","High"))</f>
        <v>Medium</v>
      </c>
      <c r="N242">
        <f>YEAR(Sheet1[[#This Row],[date_joined]])</f>
        <v>2023</v>
      </c>
      <c r="O242" s="2" t="str">
        <f>TEXT(Sheet1[[#This Row],[date_joined]],"mmm")</f>
        <v>May</v>
      </c>
      <c r="P242" s="2" t="str">
        <f>"Q"&amp;ROUNDUP(MONTH(Sheet1[[#This Row],[date_joined]])/3,0)</f>
        <v>Q2</v>
      </c>
      <c r="Q242" s="2" t="str">
        <f>IF(Sheet1[[#This Row],[age]]&lt;30,"Young",IF(Sheet1[[#This Row],[age]]&lt;=50,"Adult","Senior"))</f>
        <v>Young</v>
      </c>
      <c r="R242" s="2" t="str">
        <f t="shared" si="6"/>
        <v>High</v>
      </c>
      <c r="S242" s="2" t="str">
        <f t="shared" si="7"/>
        <v>East - Self-employed</v>
      </c>
    </row>
    <row r="243" spans="1:19" x14ac:dyDescent="0.3">
      <c r="A243" t="s">
        <v>509</v>
      </c>
      <c r="B243" t="s">
        <v>510</v>
      </c>
      <c r="C243">
        <v>48</v>
      </c>
      <c r="D243" s="2" t="s">
        <v>13</v>
      </c>
      <c r="E243" s="2" t="s">
        <v>30</v>
      </c>
      <c r="F243" s="2" t="s">
        <v>15</v>
      </c>
      <c r="G243" s="2" t="s">
        <v>81</v>
      </c>
      <c r="H243" s="2" t="s">
        <v>18</v>
      </c>
      <c r="I243" s="2" t="s">
        <v>18</v>
      </c>
      <c r="J243">
        <v>0.54</v>
      </c>
      <c r="K243" s="1">
        <v>43685</v>
      </c>
      <c r="L243" s="2" t="str">
        <f>IF(Sheet1[[#This Row],[age]]&lt;18, "Under 18",IF(Sheet1[[#This Row],[age]]&lt;=30,"18-30",IF(Sheet1[[#This Row],[age]]&lt;=45,"31-45",IF(Sheet1[[#This Row],[age]]&lt;=60,"46-60","60+"))))</f>
        <v>46-60</v>
      </c>
      <c r="M243" s="2" t="str">
        <f>IF(Sheet1[[#This Row],[risk_score]]&lt;0.3,"Low",IF(Sheet1[[#This Row],[risk_score]]&lt;0.7,"Medium","High"))</f>
        <v>Medium</v>
      </c>
      <c r="N243">
        <f>YEAR(Sheet1[[#This Row],[date_joined]])</f>
        <v>2019</v>
      </c>
      <c r="O243" s="2" t="str">
        <f>TEXT(Sheet1[[#This Row],[date_joined]],"mmm")</f>
        <v>Aug</v>
      </c>
      <c r="P243" s="2" t="str">
        <f>"Q"&amp;ROUNDUP(MONTH(Sheet1[[#This Row],[date_joined]])/3,0)</f>
        <v>Q3</v>
      </c>
      <c r="Q243" s="2" t="str">
        <f>IF(Sheet1[[#This Row],[age]]&lt;30,"Young",IF(Sheet1[[#This Row],[age]]&lt;=50,"Adult","Senior"))</f>
        <v>Adult</v>
      </c>
      <c r="R243" s="2" t="str">
        <f t="shared" si="6"/>
        <v>Very High</v>
      </c>
      <c r="S243" s="2" t="str">
        <f t="shared" si="7"/>
        <v>Central - Student</v>
      </c>
    </row>
    <row r="244" spans="1:19" x14ac:dyDescent="0.3">
      <c r="A244" t="s">
        <v>511</v>
      </c>
      <c r="B244" t="s">
        <v>512</v>
      </c>
      <c r="C244">
        <v>64</v>
      </c>
      <c r="D244" s="2" t="s">
        <v>21</v>
      </c>
      <c r="E244" s="2" t="s">
        <v>30</v>
      </c>
      <c r="F244" s="2" t="s">
        <v>31</v>
      </c>
      <c r="G244" s="2" t="s">
        <v>16</v>
      </c>
      <c r="H244" s="2" t="s">
        <v>18</v>
      </c>
      <c r="I244" s="2" t="s">
        <v>17</v>
      </c>
      <c r="J244">
        <v>0.51</v>
      </c>
      <c r="K244" s="1">
        <v>44792</v>
      </c>
      <c r="L244" s="2" t="str">
        <f>IF(Sheet1[[#This Row],[age]]&lt;18, "Under 18",IF(Sheet1[[#This Row],[age]]&lt;=30,"18-30",IF(Sheet1[[#This Row],[age]]&lt;=45,"31-45",IF(Sheet1[[#This Row],[age]]&lt;=60,"46-60","60+"))))</f>
        <v>60+</v>
      </c>
      <c r="M244" s="2" t="str">
        <f>IF(Sheet1[[#This Row],[risk_score]]&lt;0.3,"Low",IF(Sheet1[[#This Row],[risk_score]]&lt;0.7,"Medium","High"))</f>
        <v>Medium</v>
      </c>
      <c r="N244">
        <f>YEAR(Sheet1[[#This Row],[date_joined]])</f>
        <v>2022</v>
      </c>
      <c r="O244" s="2" t="str">
        <f>TEXT(Sheet1[[#This Row],[date_joined]],"mmm")</f>
        <v>Aug</v>
      </c>
      <c r="P244" s="2" t="str">
        <f>"Q"&amp;ROUNDUP(MONTH(Sheet1[[#This Row],[date_joined]])/3,0)</f>
        <v>Q3</v>
      </c>
      <c r="Q244" s="2" t="str">
        <f>IF(Sheet1[[#This Row],[age]]&lt;30,"Young",IF(Sheet1[[#This Row],[age]]&lt;=50,"Adult","Senior"))</f>
        <v>Senior</v>
      </c>
      <c r="R244" s="2" t="str">
        <f t="shared" si="6"/>
        <v>High</v>
      </c>
      <c r="S244" s="2" t="str">
        <f t="shared" si="7"/>
        <v>West - Self-employed</v>
      </c>
    </row>
    <row r="245" spans="1:19" x14ac:dyDescent="0.3">
      <c r="A245" t="s">
        <v>513</v>
      </c>
      <c r="B245" t="s">
        <v>514</v>
      </c>
      <c r="C245">
        <v>59</v>
      </c>
      <c r="D245" s="2" t="s">
        <v>13</v>
      </c>
      <c r="E245" s="2" t="s">
        <v>30</v>
      </c>
      <c r="F245" s="2" t="s">
        <v>23</v>
      </c>
      <c r="G245" s="2" t="s">
        <v>66</v>
      </c>
      <c r="H245" s="2" t="s">
        <v>17</v>
      </c>
      <c r="I245" s="2" t="s">
        <v>17</v>
      </c>
      <c r="J245">
        <v>0.34</v>
      </c>
      <c r="K245" s="1">
        <v>43825</v>
      </c>
      <c r="L245" s="2" t="str">
        <f>IF(Sheet1[[#This Row],[age]]&lt;18, "Under 18",IF(Sheet1[[#This Row],[age]]&lt;=30,"18-30",IF(Sheet1[[#This Row],[age]]&lt;=45,"31-45",IF(Sheet1[[#This Row],[age]]&lt;=60,"46-60","60+"))))</f>
        <v>46-60</v>
      </c>
      <c r="M245" s="2" t="str">
        <f>IF(Sheet1[[#This Row],[risk_score]]&lt;0.3,"Low",IF(Sheet1[[#This Row],[risk_score]]&lt;0.7,"Medium","High"))</f>
        <v>Medium</v>
      </c>
      <c r="N245">
        <f>YEAR(Sheet1[[#This Row],[date_joined]])</f>
        <v>2019</v>
      </c>
      <c r="O245" s="2" t="str">
        <f>TEXT(Sheet1[[#This Row],[date_joined]],"mmm")</f>
        <v>Dec</v>
      </c>
      <c r="P245" s="2" t="str">
        <f>"Q"&amp;ROUNDUP(MONTH(Sheet1[[#This Row],[date_joined]])/3,0)</f>
        <v>Q4</v>
      </c>
      <c r="Q245" s="2" t="str">
        <f>IF(Sheet1[[#This Row],[age]]&lt;30,"Young",IF(Sheet1[[#This Row],[age]]&lt;=50,"Adult","Senior"))</f>
        <v>Senior</v>
      </c>
      <c r="R245" s="2" t="str">
        <f t="shared" si="6"/>
        <v>Low</v>
      </c>
      <c r="S245" s="2" t="str">
        <f t="shared" si="7"/>
        <v>North-East - Salaried</v>
      </c>
    </row>
    <row r="246" spans="1:19" x14ac:dyDescent="0.3">
      <c r="A246" t="s">
        <v>515</v>
      </c>
      <c r="B246" t="s">
        <v>516</v>
      </c>
      <c r="C246">
        <v>68</v>
      </c>
      <c r="D246" s="2" t="s">
        <v>21</v>
      </c>
      <c r="E246" s="2" t="s">
        <v>14</v>
      </c>
      <c r="F246" s="2" t="s">
        <v>23</v>
      </c>
      <c r="G246" s="2" t="s">
        <v>24</v>
      </c>
      <c r="H246" s="2" t="s">
        <v>18</v>
      </c>
      <c r="I246" s="2" t="s">
        <v>17</v>
      </c>
      <c r="J246">
        <v>0.81</v>
      </c>
      <c r="K246" s="1">
        <v>44683</v>
      </c>
      <c r="L246" s="2" t="str">
        <f>IF(Sheet1[[#This Row],[age]]&lt;18, "Under 18",IF(Sheet1[[#This Row],[age]]&lt;=30,"18-30",IF(Sheet1[[#This Row],[age]]&lt;=45,"31-45",IF(Sheet1[[#This Row],[age]]&lt;=60,"46-60","60+"))))</f>
        <v>60+</v>
      </c>
      <c r="M246" s="2" t="str">
        <f>IF(Sheet1[[#This Row],[risk_score]]&lt;0.3,"Low",IF(Sheet1[[#This Row],[risk_score]]&lt;0.7,"Medium","High"))</f>
        <v>High</v>
      </c>
      <c r="N246">
        <f>YEAR(Sheet1[[#This Row],[date_joined]])</f>
        <v>2022</v>
      </c>
      <c r="O246" s="2" t="str">
        <f>TEXT(Sheet1[[#This Row],[date_joined]],"mmm")</f>
        <v>May</v>
      </c>
      <c r="P246" s="2" t="str">
        <f>"Q"&amp;ROUNDUP(MONTH(Sheet1[[#This Row],[date_joined]])/3,0)</f>
        <v>Q2</v>
      </c>
      <c r="Q246" s="2" t="str">
        <f>IF(Sheet1[[#This Row],[age]]&lt;30,"Young",IF(Sheet1[[#This Row],[age]]&lt;=50,"Adult","Senior"))</f>
        <v>Senior</v>
      </c>
      <c r="R246" s="2" t="str">
        <f t="shared" si="6"/>
        <v>High</v>
      </c>
      <c r="S246" s="2" t="str">
        <f t="shared" si="7"/>
        <v>East - Salaried</v>
      </c>
    </row>
    <row r="247" spans="1:19" x14ac:dyDescent="0.3">
      <c r="A247" t="s">
        <v>517</v>
      </c>
      <c r="B247" t="s">
        <v>518</v>
      </c>
      <c r="C247">
        <v>42</v>
      </c>
      <c r="D247" s="2" t="s">
        <v>21</v>
      </c>
      <c r="E247" s="2" t="s">
        <v>14</v>
      </c>
      <c r="F247" s="2" t="s">
        <v>31</v>
      </c>
      <c r="G247" s="2" t="s">
        <v>66</v>
      </c>
      <c r="H247" s="2" t="s">
        <v>17</v>
      </c>
      <c r="I247" s="2" t="s">
        <v>18</v>
      </c>
      <c r="J247">
        <v>0.23</v>
      </c>
      <c r="K247" s="1">
        <v>45231</v>
      </c>
      <c r="L247" s="2" t="str">
        <f>IF(Sheet1[[#This Row],[age]]&lt;18, "Under 18",IF(Sheet1[[#This Row],[age]]&lt;=30,"18-30",IF(Sheet1[[#This Row],[age]]&lt;=45,"31-45",IF(Sheet1[[#This Row],[age]]&lt;=60,"46-60","60+"))))</f>
        <v>31-45</v>
      </c>
      <c r="M247" s="2" t="str">
        <f>IF(Sheet1[[#This Row],[risk_score]]&lt;0.3,"Low",IF(Sheet1[[#This Row],[risk_score]]&lt;0.7,"Medium","High"))</f>
        <v>Low</v>
      </c>
      <c r="N247">
        <f>YEAR(Sheet1[[#This Row],[date_joined]])</f>
        <v>2023</v>
      </c>
      <c r="O247" s="2" t="str">
        <f>TEXT(Sheet1[[#This Row],[date_joined]],"mmm")</f>
        <v>Nov</v>
      </c>
      <c r="P247" s="2" t="str">
        <f>"Q"&amp;ROUNDUP(MONTH(Sheet1[[#This Row],[date_joined]])/3,0)</f>
        <v>Q4</v>
      </c>
      <c r="Q247" s="2" t="str">
        <f>IF(Sheet1[[#This Row],[age]]&lt;30,"Young",IF(Sheet1[[#This Row],[age]]&lt;=50,"Adult","Senior"))</f>
        <v>Adult</v>
      </c>
      <c r="R247" s="2" t="str">
        <f t="shared" si="6"/>
        <v>High</v>
      </c>
      <c r="S247" s="2" t="str">
        <f t="shared" si="7"/>
        <v>North-East - Self-employed</v>
      </c>
    </row>
    <row r="248" spans="1:19" x14ac:dyDescent="0.3">
      <c r="A248" t="s">
        <v>519</v>
      </c>
      <c r="B248" t="s">
        <v>520</v>
      </c>
      <c r="C248">
        <v>49</v>
      </c>
      <c r="D248" s="2" t="s">
        <v>21</v>
      </c>
      <c r="E248" s="2" t="s">
        <v>14</v>
      </c>
      <c r="F248" s="2" t="s">
        <v>31</v>
      </c>
      <c r="G248" s="2" t="s">
        <v>66</v>
      </c>
      <c r="H248" s="2" t="s">
        <v>18</v>
      </c>
      <c r="I248" s="2" t="s">
        <v>18</v>
      </c>
      <c r="J248">
        <v>0.73</v>
      </c>
      <c r="K248" s="1">
        <v>44115</v>
      </c>
      <c r="L248" s="2" t="str">
        <f>IF(Sheet1[[#This Row],[age]]&lt;18, "Under 18",IF(Sheet1[[#This Row],[age]]&lt;=30,"18-30",IF(Sheet1[[#This Row],[age]]&lt;=45,"31-45",IF(Sheet1[[#This Row],[age]]&lt;=60,"46-60","60+"))))</f>
        <v>46-60</v>
      </c>
      <c r="M248" s="2" t="str">
        <f>IF(Sheet1[[#This Row],[risk_score]]&lt;0.3,"Low",IF(Sheet1[[#This Row],[risk_score]]&lt;0.7,"Medium","High"))</f>
        <v>High</v>
      </c>
      <c r="N248">
        <f>YEAR(Sheet1[[#This Row],[date_joined]])</f>
        <v>2020</v>
      </c>
      <c r="O248" s="2" t="str">
        <f>TEXT(Sheet1[[#This Row],[date_joined]],"mmm")</f>
        <v>Oct</v>
      </c>
      <c r="P248" s="2" t="str">
        <f>"Q"&amp;ROUNDUP(MONTH(Sheet1[[#This Row],[date_joined]])/3,0)</f>
        <v>Q4</v>
      </c>
      <c r="Q248" s="2" t="str">
        <f>IF(Sheet1[[#This Row],[age]]&lt;30,"Young",IF(Sheet1[[#This Row],[age]]&lt;=50,"Adult","Senior"))</f>
        <v>Adult</v>
      </c>
      <c r="R248" s="2" t="str">
        <f t="shared" si="6"/>
        <v>Very High</v>
      </c>
      <c r="S248" s="2" t="str">
        <f t="shared" si="7"/>
        <v>North-East - Self-employed</v>
      </c>
    </row>
    <row r="249" spans="1:19" x14ac:dyDescent="0.3">
      <c r="A249" t="s">
        <v>521</v>
      </c>
      <c r="B249" t="s">
        <v>522</v>
      </c>
      <c r="C249">
        <v>62</v>
      </c>
      <c r="D249" s="2" t="s">
        <v>21</v>
      </c>
      <c r="E249" s="2" t="s">
        <v>22</v>
      </c>
      <c r="F249" s="2" t="s">
        <v>23</v>
      </c>
      <c r="G249" s="2" t="s">
        <v>32</v>
      </c>
      <c r="H249" s="2" t="s">
        <v>18</v>
      </c>
      <c r="I249" s="2" t="s">
        <v>17</v>
      </c>
      <c r="J249">
        <v>0.57999999999999996</v>
      </c>
      <c r="K249" s="1">
        <v>45123</v>
      </c>
      <c r="L249" s="2" t="str">
        <f>IF(Sheet1[[#This Row],[age]]&lt;18, "Under 18",IF(Sheet1[[#This Row],[age]]&lt;=30,"18-30",IF(Sheet1[[#This Row],[age]]&lt;=45,"31-45",IF(Sheet1[[#This Row],[age]]&lt;=60,"46-60","60+"))))</f>
        <v>60+</v>
      </c>
      <c r="M249" s="2" t="str">
        <f>IF(Sheet1[[#This Row],[risk_score]]&lt;0.3,"Low",IF(Sheet1[[#This Row],[risk_score]]&lt;0.7,"Medium","High"))</f>
        <v>Medium</v>
      </c>
      <c r="N249">
        <f>YEAR(Sheet1[[#This Row],[date_joined]])</f>
        <v>2023</v>
      </c>
      <c r="O249" s="2" t="str">
        <f>TEXT(Sheet1[[#This Row],[date_joined]],"mmm")</f>
        <v>Jul</v>
      </c>
      <c r="P249" s="2" t="str">
        <f>"Q"&amp;ROUNDUP(MONTH(Sheet1[[#This Row],[date_joined]])/3,0)</f>
        <v>Q3</v>
      </c>
      <c r="Q249" s="2" t="str">
        <f>IF(Sheet1[[#This Row],[age]]&lt;30,"Young",IF(Sheet1[[#This Row],[age]]&lt;=50,"Adult","Senior"))</f>
        <v>Senior</v>
      </c>
      <c r="R249" s="2" t="str">
        <f t="shared" si="6"/>
        <v>High</v>
      </c>
      <c r="S249" s="2" t="str">
        <f t="shared" si="7"/>
        <v>South - Salaried</v>
      </c>
    </row>
    <row r="250" spans="1:19" x14ac:dyDescent="0.3">
      <c r="A250" t="s">
        <v>523</v>
      </c>
      <c r="B250" t="s">
        <v>524</v>
      </c>
      <c r="C250">
        <v>45</v>
      </c>
      <c r="D250" s="2" t="s">
        <v>13</v>
      </c>
      <c r="E250" s="2" t="s">
        <v>22</v>
      </c>
      <c r="F250" s="2" t="s">
        <v>31</v>
      </c>
      <c r="G250" s="2" t="s">
        <v>32</v>
      </c>
      <c r="H250" s="2" t="s">
        <v>18</v>
      </c>
      <c r="I250" s="2" t="s">
        <v>17</v>
      </c>
      <c r="J250">
        <v>0.76</v>
      </c>
      <c r="K250" s="1">
        <v>43723</v>
      </c>
      <c r="L250" s="2" t="str">
        <f>IF(Sheet1[[#This Row],[age]]&lt;18, "Under 18",IF(Sheet1[[#This Row],[age]]&lt;=30,"18-30",IF(Sheet1[[#This Row],[age]]&lt;=45,"31-45",IF(Sheet1[[#This Row],[age]]&lt;=60,"46-60","60+"))))</f>
        <v>31-45</v>
      </c>
      <c r="M250" s="2" t="str">
        <f>IF(Sheet1[[#This Row],[risk_score]]&lt;0.3,"Low",IF(Sheet1[[#This Row],[risk_score]]&lt;0.7,"Medium","High"))</f>
        <v>High</v>
      </c>
      <c r="N250">
        <f>YEAR(Sheet1[[#This Row],[date_joined]])</f>
        <v>2019</v>
      </c>
      <c r="O250" s="2" t="str">
        <f>TEXT(Sheet1[[#This Row],[date_joined]],"mmm")</f>
        <v>Sep</v>
      </c>
      <c r="P250" s="2" t="str">
        <f>"Q"&amp;ROUNDUP(MONTH(Sheet1[[#This Row],[date_joined]])/3,0)</f>
        <v>Q3</v>
      </c>
      <c r="Q250" s="2" t="str">
        <f>IF(Sheet1[[#This Row],[age]]&lt;30,"Young",IF(Sheet1[[#This Row],[age]]&lt;=50,"Adult","Senior"))</f>
        <v>Adult</v>
      </c>
      <c r="R250" s="2" t="str">
        <f t="shared" si="6"/>
        <v>High</v>
      </c>
      <c r="S250" s="2" t="str">
        <f t="shared" si="7"/>
        <v>South - Self-employed</v>
      </c>
    </row>
    <row r="251" spans="1:19" x14ac:dyDescent="0.3">
      <c r="A251" t="s">
        <v>525</v>
      </c>
      <c r="B251" t="s">
        <v>526</v>
      </c>
      <c r="C251">
        <v>49</v>
      </c>
      <c r="D251" s="2" t="s">
        <v>13</v>
      </c>
      <c r="E251" s="2" t="s">
        <v>14</v>
      </c>
      <c r="F251" s="2" t="s">
        <v>31</v>
      </c>
      <c r="G251" s="2" t="s">
        <v>32</v>
      </c>
      <c r="H251" s="2" t="s">
        <v>17</v>
      </c>
      <c r="I251" s="2" t="s">
        <v>18</v>
      </c>
      <c r="J251">
        <v>0.43</v>
      </c>
      <c r="K251" s="1">
        <v>43373</v>
      </c>
      <c r="L251" s="2" t="str">
        <f>IF(Sheet1[[#This Row],[age]]&lt;18, "Under 18",IF(Sheet1[[#This Row],[age]]&lt;=30,"18-30",IF(Sheet1[[#This Row],[age]]&lt;=45,"31-45",IF(Sheet1[[#This Row],[age]]&lt;=60,"46-60","60+"))))</f>
        <v>46-60</v>
      </c>
      <c r="M251" s="2" t="str">
        <f>IF(Sheet1[[#This Row],[risk_score]]&lt;0.3,"Low",IF(Sheet1[[#This Row],[risk_score]]&lt;0.7,"Medium","High"))</f>
        <v>Medium</v>
      </c>
      <c r="N251">
        <f>YEAR(Sheet1[[#This Row],[date_joined]])</f>
        <v>2018</v>
      </c>
      <c r="O251" s="2" t="str">
        <f>TEXT(Sheet1[[#This Row],[date_joined]],"mmm")</f>
        <v>Sep</v>
      </c>
      <c r="P251" s="2" t="str">
        <f>"Q"&amp;ROUNDUP(MONTH(Sheet1[[#This Row],[date_joined]])/3,0)</f>
        <v>Q3</v>
      </c>
      <c r="Q251" s="2" t="str">
        <f>IF(Sheet1[[#This Row],[age]]&lt;30,"Young",IF(Sheet1[[#This Row],[age]]&lt;=50,"Adult","Senior"))</f>
        <v>Adult</v>
      </c>
      <c r="R251" s="2" t="str">
        <f t="shared" si="6"/>
        <v>High</v>
      </c>
      <c r="S251" s="2" t="str">
        <f t="shared" si="7"/>
        <v>South - Self-employed</v>
      </c>
    </row>
    <row r="252" spans="1:19" x14ac:dyDescent="0.3">
      <c r="A252" t="s">
        <v>527</v>
      </c>
      <c r="B252" t="s">
        <v>528</v>
      </c>
      <c r="C252">
        <v>29</v>
      </c>
      <c r="D252" s="2" t="s">
        <v>21</v>
      </c>
      <c r="E252" s="2" t="s">
        <v>14</v>
      </c>
      <c r="F252" s="2" t="s">
        <v>31</v>
      </c>
      <c r="G252" s="2" t="s">
        <v>27</v>
      </c>
      <c r="H252" s="2" t="s">
        <v>18</v>
      </c>
      <c r="I252" s="2" t="s">
        <v>17</v>
      </c>
      <c r="J252">
        <v>0.51</v>
      </c>
      <c r="K252" s="1">
        <v>43287</v>
      </c>
      <c r="L252" s="2" t="str">
        <f>IF(Sheet1[[#This Row],[age]]&lt;18, "Under 18",IF(Sheet1[[#This Row],[age]]&lt;=30,"18-30",IF(Sheet1[[#This Row],[age]]&lt;=45,"31-45",IF(Sheet1[[#This Row],[age]]&lt;=60,"46-60","60+"))))</f>
        <v>18-30</v>
      </c>
      <c r="M252" s="2" t="str">
        <f>IF(Sheet1[[#This Row],[risk_score]]&lt;0.3,"Low",IF(Sheet1[[#This Row],[risk_score]]&lt;0.7,"Medium","High"))</f>
        <v>Medium</v>
      </c>
      <c r="N252">
        <f>YEAR(Sheet1[[#This Row],[date_joined]])</f>
        <v>2018</v>
      </c>
      <c r="O252" s="2" t="str">
        <f>TEXT(Sheet1[[#This Row],[date_joined]],"mmm")</f>
        <v>Jul</v>
      </c>
      <c r="P252" s="2" t="str">
        <f>"Q"&amp;ROUNDUP(MONTH(Sheet1[[#This Row],[date_joined]])/3,0)</f>
        <v>Q3</v>
      </c>
      <c r="Q252" s="2" t="str">
        <f>IF(Sheet1[[#This Row],[age]]&lt;30,"Young",IF(Sheet1[[#This Row],[age]]&lt;=50,"Adult","Senior"))</f>
        <v>Young</v>
      </c>
      <c r="R252" s="2" t="str">
        <f t="shared" si="6"/>
        <v>High</v>
      </c>
      <c r="S252" s="2" t="str">
        <f t="shared" si="7"/>
        <v>North - Self-employed</v>
      </c>
    </row>
    <row r="253" spans="1:19" x14ac:dyDescent="0.3">
      <c r="A253" t="s">
        <v>529</v>
      </c>
      <c r="B253" t="s">
        <v>530</v>
      </c>
      <c r="C253">
        <v>46</v>
      </c>
      <c r="D253" s="2" t="s">
        <v>13</v>
      </c>
      <c r="E253" s="2" t="s">
        <v>14</v>
      </c>
      <c r="F253" s="2" t="s">
        <v>23</v>
      </c>
      <c r="G253" s="2" t="s">
        <v>81</v>
      </c>
      <c r="H253" s="2" t="s">
        <v>17</v>
      </c>
      <c r="I253" s="2" t="s">
        <v>17</v>
      </c>
      <c r="J253">
        <v>0.48</v>
      </c>
      <c r="K253" s="1">
        <v>43868</v>
      </c>
      <c r="L253" s="2" t="str">
        <f>IF(Sheet1[[#This Row],[age]]&lt;18, "Under 18",IF(Sheet1[[#This Row],[age]]&lt;=30,"18-30",IF(Sheet1[[#This Row],[age]]&lt;=45,"31-45",IF(Sheet1[[#This Row],[age]]&lt;=60,"46-60","60+"))))</f>
        <v>46-60</v>
      </c>
      <c r="M253" s="2" t="str">
        <f>IF(Sheet1[[#This Row],[risk_score]]&lt;0.3,"Low",IF(Sheet1[[#This Row],[risk_score]]&lt;0.7,"Medium","High"))</f>
        <v>Medium</v>
      </c>
      <c r="N253">
        <f>YEAR(Sheet1[[#This Row],[date_joined]])</f>
        <v>2020</v>
      </c>
      <c r="O253" s="2" t="str">
        <f>TEXT(Sheet1[[#This Row],[date_joined]],"mmm")</f>
        <v>Feb</v>
      </c>
      <c r="P253" s="2" t="str">
        <f>"Q"&amp;ROUNDUP(MONTH(Sheet1[[#This Row],[date_joined]])/3,0)</f>
        <v>Q1</v>
      </c>
      <c r="Q253" s="2" t="str">
        <f>IF(Sheet1[[#This Row],[age]]&lt;30,"Young",IF(Sheet1[[#This Row],[age]]&lt;=50,"Adult","Senior"))</f>
        <v>Adult</v>
      </c>
      <c r="R253" s="2" t="str">
        <f t="shared" si="6"/>
        <v>Low</v>
      </c>
      <c r="S253" s="2" t="str">
        <f t="shared" si="7"/>
        <v>Central - Salaried</v>
      </c>
    </row>
    <row r="254" spans="1:19" x14ac:dyDescent="0.3">
      <c r="A254" t="s">
        <v>531</v>
      </c>
      <c r="B254" t="s">
        <v>532</v>
      </c>
      <c r="C254">
        <v>39</v>
      </c>
      <c r="D254" s="2" t="s">
        <v>13</v>
      </c>
      <c r="E254" s="2" t="s">
        <v>14</v>
      </c>
      <c r="F254" s="2" t="s">
        <v>31</v>
      </c>
      <c r="G254" s="2" t="s">
        <v>81</v>
      </c>
      <c r="H254" s="2" t="s">
        <v>17</v>
      </c>
      <c r="I254" s="2" t="s">
        <v>18</v>
      </c>
      <c r="J254">
        <v>0.61</v>
      </c>
      <c r="K254" s="1">
        <v>44104</v>
      </c>
      <c r="L254" s="2" t="str">
        <f>IF(Sheet1[[#This Row],[age]]&lt;18, "Under 18",IF(Sheet1[[#This Row],[age]]&lt;=30,"18-30",IF(Sheet1[[#This Row],[age]]&lt;=45,"31-45",IF(Sheet1[[#This Row],[age]]&lt;=60,"46-60","60+"))))</f>
        <v>31-45</v>
      </c>
      <c r="M254" s="2" t="str">
        <f>IF(Sheet1[[#This Row],[risk_score]]&lt;0.3,"Low",IF(Sheet1[[#This Row],[risk_score]]&lt;0.7,"Medium","High"))</f>
        <v>Medium</v>
      </c>
      <c r="N254">
        <f>YEAR(Sheet1[[#This Row],[date_joined]])</f>
        <v>2020</v>
      </c>
      <c r="O254" s="2" t="str">
        <f>TEXT(Sheet1[[#This Row],[date_joined]],"mmm")</f>
        <v>Sep</v>
      </c>
      <c r="P254" s="2" t="str">
        <f>"Q"&amp;ROUNDUP(MONTH(Sheet1[[#This Row],[date_joined]])/3,0)</f>
        <v>Q3</v>
      </c>
      <c r="Q254" s="2" t="str">
        <f>IF(Sheet1[[#This Row],[age]]&lt;30,"Young",IF(Sheet1[[#This Row],[age]]&lt;=50,"Adult","Senior"))</f>
        <v>Adult</v>
      </c>
      <c r="R254" s="2" t="str">
        <f t="shared" si="6"/>
        <v>High</v>
      </c>
      <c r="S254" s="2" t="str">
        <f t="shared" si="7"/>
        <v>Central - Self-employed</v>
      </c>
    </row>
    <row r="255" spans="1:19" x14ac:dyDescent="0.3">
      <c r="A255" t="s">
        <v>533</v>
      </c>
      <c r="B255" t="s">
        <v>534</v>
      </c>
      <c r="C255">
        <v>66</v>
      </c>
      <c r="D255" s="2" t="s">
        <v>13</v>
      </c>
      <c r="E255" s="2" t="s">
        <v>22</v>
      </c>
      <c r="F255" s="2" t="s">
        <v>15</v>
      </c>
      <c r="G255" s="2" t="s">
        <v>16</v>
      </c>
      <c r="H255" s="2" t="s">
        <v>17</v>
      </c>
      <c r="I255" s="2" t="s">
        <v>17</v>
      </c>
      <c r="J255">
        <v>0.67</v>
      </c>
      <c r="K255" s="1">
        <v>43157</v>
      </c>
      <c r="L255" s="2" t="str">
        <f>IF(Sheet1[[#This Row],[age]]&lt;18, "Under 18",IF(Sheet1[[#This Row],[age]]&lt;=30,"18-30",IF(Sheet1[[#This Row],[age]]&lt;=45,"31-45",IF(Sheet1[[#This Row],[age]]&lt;=60,"46-60","60+"))))</f>
        <v>60+</v>
      </c>
      <c r="M255" s="2" t="str">
        <f>IF(Sheet1[[#This Row],[risk_score]]&lt;0.3,"Low",IF(Sheet1[[#This Row],[risk_score]]&lt;0.7,"Medium","High"))</f>
        <v>Medium</v>
      </c>
      <c r="N255">
        <f>YEAR(Sheet1[[#This Row],[date_joined]])</f>
        <v>2018</v>
      </c>
      <c r="O255" s="2" t="str">
        <f>TEXT(Sheet1[[#This Row],[date_joined]],"mmm")</f>
        <v>Feb</v>
      </c>
      <c r="P255" s="2" t="str">
        <f>"Q"&amp;ROUNDUP(MONTH(Sheet1[[#This Row],[date_joined]])/3,0)</f>
        <v>Q1</v>
      </c>
      <c r="Q255" s="2" t="str">
        <f>IF(Sheet1[[#This Row],[age]]&lt;30,"Young",IF(Sheet1[[#This Row],[age]]&lt;=50,"Adult","Senior"))</f>
        <v>Senior</v>
      </c>
      <c r="R255" s="2" t="str">
        <f t="shared" si="6"/>
        <v>Low</v>
      </c>
      <c r="S255" s="2" t="str">
        <f t="shared" si="7"/>
        <v>West - Student</v>
      </c>
    </row>
    <row r="256" spans="1:19" x14ac:dyDescent="0.3">
      <c r="A256" t="s">
        <v>535</v>
      </c>
      <c r="B256" t="s">
        <v>536</v>
      </c>
      <c r="C256">
        <v>43</v>
      </c>
      <c r="D256" s="2" t="s">
        <v>13</v>
      </c>
      <c r="E256" s="2" t="s">
        <v>30</v>
      </c>
      <c r="F256" s="2" t="s">
        <v>31</v>
      </c>
      <c r="G256" s="2" t="s">
        <v>81</v>
      </c>
      <c r="H256" s="2" t="s">
        <v>17</v>
      </c>
      <c r="I256" s="2" t="s">
        <v>18</v>
      </c>
      <c r="J256">
        <v>0.34</v>
      </c>
      <c r="K256" s="1">
        <v>44627</v>
      </c>
      <c r="L256" s="2" t="str">
        <f>IF(Sheet1[[#This Row],[age]]&lt;18, "Under 18",IF(Sheet1[[#This Row],[age]]&lt;=30,"18-30",IF(Sheet1[[#This Row],[age]]&lt;=45,"31-45",IF(Sheet1[[#This Row],[age]]&lt;=60,"46-60","60+"))))</f>
        <v>31-45</v>
      </c>
      <c r="M256" s="2" t="str">
        <f>IF(Sheet1[[#This Row],[risk_score]]&lt;0.3,"Low",IF(Sheet1[[#This Row],[risk_score]]&lt;0.7,"Medium","High"))</f>
        <v>Medium</v>
      </c>
      <c r="N256">
        <f>YEAR(Sheet1[[#This Row],[date_joined]])</f>
        <v>2022</v>
      </c>
      <c r="O256" s="2" t="str">
        <f>TEXT(Sheet1[[#This Row],[date_joined]],"mmm")</f>
        <v>Mar</v>
      </c>
      <c r="P256" s="2" t="str">
        <f>"Q"&amp;ROUNDUP(MONTH(Sheet1[[#This Row],[date_joined]])/3,0)</f>
        <v>Q1</v>
      </c>
      <c r="Q256" s="2" t="str">
        <f>IF(Sheet1[[#This Row],[age]]&lt;30,"Young",IF(Sheet1[[#This Row],[age]]&lt;=50,"Adult","Senior"))</f>
        <v>Adult</v>
      </c>
      <c r="R256" s="2" t="str">
        <f t="shared" si="6"/>
        <v>High</v>
      </c>
      <c r="S256" s="2" t="str">
        <f t="shared" si="7"/>
        <v>Central - Self-employed</v>
      </c>
    </row>
    <row r="257" spans="1:19" x14ac:dyDescent="0.3">
      <c r="A257" t="s">
        <v>537</v>
      </c>
      <c r="B257" t="s">
        <v>538</v>
      </c>
      <c r="C257">
        <v>44</v>
      </c>
      <c r="D257" s="2" t="s">
        <v>13</v>
      </c>
      <c r="E257" s="2" t="s">
        <v>30</v>
      </c>
      <c r="F257" s="2" t="s">
        <v>37</v>
      </c>
      <c r="G257" s="2" t="s">
        <v>66</v>
      </c>
      <c r="H257" s="2" t="s">
        <v>17</v>
      </c>
      <c r="I257" s="2" t="s">
        <v>17</v>
      </c>
      <c r="J257">
        <v>0.33</v>
      </c>
      <c r="K257" s="1">
        <v>44884</v>
      </c>
      <c r="L257" s="2" t="str">
        <f>IF(Sheet1[[#This Row],[age]]&lt;18, "Under 18",IF(Sheet1[[#This Row],[age]]&lt;=30,"18-30",IF(Sheet1[[#This Row],[age]]&lt;=45,"31-45",IF(Sheet1[[#This Row],[age]]&lt;=60,"46-60","60+"))))</f>
        <v>31-45</v>
      </c>
      <c r="M257" s="2" t="str">
        <f>IF(Sheet1[[#This Row],[risk_score]]&lt;0.3,"Low",IF(Sheet1[[#This Row],[risk_score]]&lt;0.7,"Medium","High"))</f>
        <v>Medium</v>
      </c>
      <c r="N257">
        <f>YEAR(Sheet1[[#This Row],[date_joined]])</f>
        <v>2022</v>
      </c>
      <c r="O257" s="2" t="str">
        <f>TEXT(Sheet1[[#This Row],[date_joined]],"mmm")</f>
        <v>Nov</v>
      </c>
      <c r="P257" s="2" t="str">
        <f>"Q"&amp;ROUNDUP(MONTH(Sheet1[[#This Row],[date_joined]])/3,0)</f>
        <v>Q4</v>
      </c>
      <c r="Q257" s="2" t="str">
        <f>IF(Sheet1[[#This Row],[age]]&lt;30,"Young",IF(Sheet1[[#This Row],[age]]&lt;=50,"Adult","Senior"))</f>
        <v>Adult</v>
      </c>
      <c r="R257" s="2" t="str">
        <f t="shared" si="6"/>
        <v>Low</v>
      </c>
      <c r="S257" s="2" t="str">
        <f t="shared" si="7"/>
        <v>North-East - Retired</v>
      </c>
    </row>
    <row r="258" spans="1:19" x14ac:dyDescent="0.3">
      <c r="A258" t="s">
        <v>539</v>
      </c>
      <c r="B258" t="s">
        <v>540</v>
      </c>
      <c r="C258">
        <v>28</v>
      </c>
      <c r="D258" s="2" t="s">
        <v>13</v>
      </c>
      <c r="E258" s="2" t="s">
        <v>14</v>
      </c>
      <c r="F258" s="2" t="s">
        <v>15</v>
      </c>
      <c r="G258" s="2" t="s">
        <v>66</v>
      </c>
      <c r="H258" s="2" t="s">
        <v>18</v>
      </c>
      <c r="I258" s="2" t="s">
        <v>17</v>
      </c>
      <c r="J258">
        <v>0.55000000000000004</v>
      </c>
      <c r="K258" s="1">
        <v>43145</v>
      </c>
      <c r="L258" s="2" t="str">
        <f>IF(Sheet1[[#This Row],[age]]&lt;18, "Under 18",IF(Sheet1[[#This Row],[age]]&lt;=30,"18-30",IF(Sheet1[[#This Row],[age]]&lt;=45,"31-45",IF(Sheet1[[#This Row],[age]]&lt;=60,"46-60","60+"))))</f>
        <v>18-30</v>
      </c>
      <c r="M258" s="2" t="str">
        <f>IF(Sheet1[[#This Row],[risk_score]]&lt;0.3,"Low",IF(Sheet1[[#This Row],[risk_score]]&lt;0.7,"Medium","High"))</f>
        <v>Medium</v>
      </c>
      <c r="N258">
        <f>YEAR(Sheet1[[#This Row],[date_joined]])</f>
        <v>2018</v>
      </c>
      <c r="O258" s="2" t="str">
        <f>TEXT(Sheet1[[#This Row],[date_joined]],"mmm")</f>
        <v>Feb</v>
      </c>
      <c r="P258" s="2" t="str">
        <f>"Q"&amp;ROUNDUP(MONTH(Sheet1[[#This Row],[date_joined]])/3,0)</f>
        <v>Q1</v>
      </c>
      <c r="Q258" s="2" t="str">
        <f>IF(Sheet1[[#This Row],[age]]&lt;30,"Young",IF(Sheet1[[#This Row],[age]]&lt;=50,"Adult","Senior"))</f>
        <v>Young</v>
      </c>
      <c r="R258" s="2" t="str">
        <f t="shared" ref="R258:R321" si="8">IF(AND(H258="Yes",I258="Yes"),"Very High",
IF(OR(H258="Yes",I258="Yes"),"High","Low"))</f>
        <v>High</v>
      </c>
      <c r="S258" s="2" t="str">
        <f t="shared" ref="S258:S321" si="9">G258&amp;" - "&amp;F258</f>
        <v>North-East - Student</v>
      </c>
    </row>
    <row r="259" spans="1:19" x14ac:dyDescent="0.3">
      <c r="A259" t="s">
        <v>541</v>
      </c>
      <c r="B259" t="s">
        <v>542</v>
      </c>
      <c r="C259">
        <v>49</v>
      </c>
      <c r="D259" s="2" t="s">
        <v>13</v>
      </c>
      <c r="E259" s="2" t="s">
        <v>14</v>
      </c>
      <c r="F259" s="2" t="s">
        <v>31</v>
      </c>
      <c r="G259" s="2" t="s">
        <v>66</v>
      </c>
      <c r="H259" s="2" t="s">
        <v>18</v>
      </c>
      <c r="I259" s="2" t="s">
        <v>18</v>
      </c>
      <c r="J259">
        <v>0.39</v>
      </c>
      <c r="K259" s="1">
        <v>44260</v>
      </c>
      <c r="L259" s="2" t="str">
        <f>IF(Sheet1[[#This Row],[age]]&lt;18, "Under 18",IF(Sheet1[[#This Row],[age]]&lt;=30,"18-30",IF(Sheet1[[#This Row],[age]]&lt;=45,"31-45",IF(Sheet1[[#This Row],[age]]&lt;=60,"46-60","60+"))))</f>
        <v>46-60</v>
      </c>
      <c r="M259" s="2" t="str">
        <f>IF(Sheet1[[#This Row],[risk_score]]&lt;0.3,"Low",IF(Sheet1[[#This Row],[risk_score]]&lt;0.7,"Medium","High"))</f>
        <v>Medium</v>
      </c>
      <c r="N259">
        <f>YEAR(Sheet1[[#This Row],[date_joined]])</f>
        <v>2021</v>
      </c>
      <c r="O259" s="2" t="str">
        <f>TEXT(Sheet1[[#This Row],[date_joined]],"mmm")</f>
        <v>Mar</v>
      </c>
      <c r="P259" s="2" t="str">
        <f>"Q"&amp;ROUNDUP(MONTH(Sheet1[[#This Row],[date_joined]])/3,0)</f>
        <v>Q1</v>
      </c>
      <c r="Q259" s="2" t="str">
        <f>IF(Sheet1[[#This Row],[age]]&lt;30,"Young",IF(Sheet1[[#This Row],[age]]&lt;=50,"Adult","Senior"))</f>
        <v>Adult</v>
      </c>
      <c r="R259" s="2" t="str">
        <f t="shared" si="8"/>
        <v>Very High</v>
      </c>
      <c r="S259" s="2" t="str">
        <f t="shared" si="9"/>
        <v>North-East - Self-employed</v>
      </c>
    </row>
    <row r="260" spans="1:19" x14ac:dyDescent="0.3">
      <c r="A260" t="s">
        <v>543</v>
      </c>
      <c r="B260" t="s">
        <v>544</v>
      </c>
      <c r="C260">
        <v>41</v>
      </c>
      <c r="D260" s="2" t="s">
        <v>13</v>
      </c>
      <c r="E260" s="2" t="s">
        <v>14</v>
      </c>
      <c r="F260" s="2" t="s">
        <v>31</v>
      </c>
      <c r="G260" s="2" t="s">
        <v>32</v>
      </c>
      <c r="H260" s="2" t="s">
        <v>18</v>
      </c>
      <c r="I260" s="2" t="s">
        <v>17</v>
      </c>
      <c r="J260">
        <v>0.52</v>
      </c>
      <c r="K260" s="1">
        <v>43152</v>
      </c>
      <c r="L260" s="2" t="str">
        <f>IF(Sheet1[[#This Row],[age]]&lt;18, "Under 18",IF(Sheet1[[#This Row],[age]]&lt;=30,"18-30",IF(Sheet1[[#This Row],[age]]&lt;=45,"31-45",IF(Sheet1[[#This Row],[age]]&lt;=60,"46-60","60+"))))</f>
        <v>31-45</v>
      </c>
      <c r="M260" s="2" t="str">
        <f>IF(Sheet1[[#This Row],[risk_score]]&lt;0.3,"Low",IF(Sheet1[[#This Row],[risk_score]]&lt;0.7,"Medium","High"))</f>
        <v>Medium</v>
      </c>
      <c r="N260">
        <f>YEAR(Sheet1[[#This Row],[date_joined]])</f>
        <v>2018</v>
      </c>
      <c r="O260" s="2" t="str">
        <f>TEXT(Sheet1[[#This Row],[date_joined]],"mmm")</f>
        <v>Feb</v>
      </c>
      <c r="P260" s="2" t="str">
        <f>"Q"&amp;ROUNDUP(MONTH(Sheet1[[#This Row],[date_joined]])/3,0)</f>
        <v>Q1</v>
      </c>
      <c r="Q260" s="2" t="str">
        <f>IF(Sheet1[[#This Row],[age]]&lt;30,"Young",IF(Sheet1[[#This Row],[age]]&lt;=50,"Adult","Senior"))</f>
        <v>Adult</v>
      </c>
      <c r="R260" s="2" t="str">
        <f t="shared" si="8"/>
        <v>High</v>
      </c>
      <c r="S260" s="2" t="str">
        <f t="shared" si="9"/>
        <v>South - Self-employed</v>
      </c>
    </row>
    <row r="261" spans="1:19" x14ac:dyDescent="0.3">
      <c r="A261" t="s">
        <v>545</v>
      </c>
      <c r="B261" t="s">
        <v>546</v>
      </c>
      <c r="C261">
        <v>64</v>
      </c>
      <c r="D261" s="2" t="s">
        <v>13</v>
      </c>
      <c r="E261" s="2" t="s">
        <v>30</v>
      </c>
      <c r="F261" s="2" t="s">
        <v>31</v>
      </c>
      <c r="G261" s="2" t="s">
        <v>32</v>
      </c>
      <c r="H261" s="2" t="s">
        <v>17</v>
      </c>
      <c r="I261" s="2" t="s">
        <v>18</v>
      </c>
      <c r="J261">
        <v>0.41</v>
      </c>
      <c r="K261" s="1">
        <v>44057</v>
      </c>
      <c r="L261" s="2" t="str">
        <f>IF(Sheet1[[#This Row],[age]]&lt;18, "Under 18",IF(Sheet1[[#This Row],[age]]&lt;=30,"18-30",IF(Sheet1[[#This Row],[age]]&lt;=45,"31-45",IF(Sheet1[[#This Row],[age]]&lt;=60,"46-60","60+"))))</f>
        <v>60+</v>
      </c>
      <c r="M261" s="2" t="str">
        <f>IF(Sheet1[[#This Row],[risk_score]]&lt;0.3,"Low",IF(Sheet1[[#This Row],[risk_score]]&lt;0.7,"Medium","High"))</f>
        <v>Medium</v>
      </c>
      <c r="N261">
        <f>YEAR(Sheet1[[#This Row],[date_joined]])</f>
        <v>2020</v>
      </c>
      <c r="O261" s="2" t="str">
        <f>TEXT(Sheet1[[#This Row],[date_joined]],"mmm")</f>
        <v>Aug</v>
      </c>
      <c r="P261" s="2" t="str">
        <f>"Q"&amp;ROUNDUP(MONTH(Sheet1[[#This Row],[date_joined]])/3,0)</f>
        <v>Q3</v>
      </c>
      <c r="Q261" s="2" t="str">
        <f>IF(Sheet1[[#This Row],[age]]&lt;30,"Young",IF(Sheet1[[#This Row],[age]]&lt;=50,"Adult","Senior"))</f>
        <v>Senior</v>
      </c>
      <c r="R261" s="2" t="str">
        <f t="shared" si="8"/>
        <v>High</v>
      </c>
      <c r="S261" s="2" t="str">
        <f t="shared" si="9"/>
        <v>South - Self-employed</v>
      </c>
    </row>
    <row r="262" spans="1:19" x14ac:dyDescent="0.3">
      <c r="A262" t="s">
        <v>547</v>
      </c>
      <c r="B262" t="s">
        <v>548</v>
      </c>
      <c r="C262">
        <v>34</v>
      </c>
      <c r="D262" s="2" t="s">
        <v>13</v>
      </c>
      <c r="E262" s="2" t="s">
        <v>30</v>
      </c>
      <c r="F262" s="2" t="s">
        <v>15</v>
      </c>
      <c r="G262" s="2" t="s">
        <v>81</v>
      </c>
      <c r="H262" s="2" t="s">
        <v>17</v>
      </c>
      <c r="I262" s="2" t="s">
        <v>17</v>
      </c>
      <c r="J262">
        <v>0.56000000000000005</v>
      </c>
      <c r="K262" s="1">
        <v>43779</v>
      </c>
      <c r="L262" s="2" t="str">
        <f>IF(Sheet1[[#This Row],[age]]&lt;18, "Under 18",IF(Sheet1[[#This Row],[age]]&lt;=30,"18-30",IF(Sheet1[[#This Row],[age]]&lt;=45,"31-45",IF(Sheet1[[#This Row],[age]]&lt;=60,"46-60","60+"))))</f>
        <v>31-45</v>
      </c>
      <c r="M262" s="2" t="str">
        <f>IF(Sheet1[[#This Row],[risk_score]]&lt;0.3,"Low",IF(Sheet1[[#This Row],[risk_score]]&lt;0.7,"Medium","High"))</f>
        <v>Medium</v>
      </c>
      <c r="N262">
        <f>YEAR(Sheet1[[#This Row],[date_joined]])</f>
        <v>2019</v>
      </c>
      <c r="O262" s="2" t="str">
        <f>TEXT(Sheet1[[#This Row],[date_joined]],"mmm")</f>
        <v>Nov</v>
      </c>
      <c r="P262" s="2" t="str">
        <f>"Q"&amp;ROUNDUP(MONTH(Sheet1[[#This Row],[date_joined]])/3,0)</f>
        <v>Q4</v>
      </c>
      <c r="Q262" s="2" t="str">
        <f>IF(Sheet1[[#This Row],[age]]&lt;30,"Young",IF(Sheet1[[#This Row],[age]]&lt;=50,"Adult","Senior"))</f>
        <v>Adult</v>
      </c>
      <c r="R262" s="2" t="str">
        <f t="shared" si="8"/>
        <v>Low</v>
      </c>
      <c r="S262" s="2" t="str">
        <f t="shared" si="9"/>
        <v>Central - Student</v>
      </c>
    </row>
    <row r="263" spans="1:19" x14ac:dyDescent="0.3">
      <c r="A263" t="s">
        <v>549</v>
      </c>
      <c r="B263" t="s">
        <v>550</v>
      </c>
      <c r="C263">
        <v>42</v>
      </c>
      <c r="D263" s="2" t="s">
        <v>13</v>
      </c>
      <c r="E263" s="2" t="s">
        <v>14</v>
      </c>
      <c r="F263" s="2" t="s">
        <v>15</v>
      </c>
      <c r="G263" s="2" t="s">
        <v>16</v>
      </c>
      <c r="H263" s="2" t="s">
        <v>18</v>
      </c>
      <c r="I263" s="2" t="s">
        <v>18</v>
      </c>
      <c r="J263">
        <v>0.17</v>
      </c>
      <c r="K263" s="1">
        <v>43442</v>
      </c>
      <c r="L263" s="2" t="str">
        <f>IF(Sheet1[[#This Row],[age]]&lt;18, "Under 18",IF(Sheet1[[#This Row],[age]]&lt;=30,"18-30",IF(Sheet1[[#This Row],[age]]&lt;=45,"31-45",IF(Sheet1[[#This Row],[age]]&lt;=60,"46-60","60+"))))</f>
        <v>31-45</v>
      </c>
      <c r="M263" s="2" t="str">
        <f>IF(Sheet1[[#This Row],[risk_score]]&lt;0.3,"Low",IF(Sheet1[[#This Row],[risk_score]]&lt;0.7,"Medium","High"))</f>
        <v>Low</v>
      </c>
      <c r="N263">
        <f>YEAR(Sheet1[[#This Row],[date_joined]])</f>
        <v>2018</v>
      </c>
      <c r="O263" s="2" t="str">
        <f>TEXT(Sheet1[[#This Row],[date_joined]],"mmm")</f>
        <v>Dec</v>
      </c>
      <c r="P263" s="2" t="str">
        <f>"Q"&amp;ROUNDUP(MONTH(Sheet1[[#This Row],[date_joined]])/3,0)</f>
        <v>Q4</v>
      </c>
      <c r="Q263" s="2" t="str">
        <f>IF(Sheet1[[#This Row],[age]]&lt;30,"Young",IF(Sheet1[[#This Row],[age]]&lt;=50,"Adult","Senior"))</f>
        <v>Adult</v>
      </c>
      <c r="R263" s="2" t="str">
        <f t="shared" si="8"/>
        <v>Very High</v>
      </c>
      <c r="S263" s="2" t="str">
        <f t="shared" si="9"/>
        <v>West - Student</v>
      </c>
    </row>
    <row r="264" spans="1:19" x14ac:dyDescent="0.3">
      <c r="A264" t="s">
        <v>551</v>
      </c>
      <c r="B264" t="s">
        <v>552</v>
      </c>
      <c r="C264">
        <v>34</v>
      </c>
      <c r="D264" s="2" t="s">
        <v>21</v>
      </c>
      <c r="E264" s="2" t="s">
        <v>30</v>
      </c>
      <c r="F264" s="2" t="s">
        <v>23</v>
      </c>
      <c r="G264" s="2" t="s">
        <v>27</v>
      </c>
      <c r="H264" s="2" t="s">
        <v>17</v>
      </c>
      <c r="I264" s="2" t="s">
        <v>17</v>
      </c>
      <c r="J264">
        <v>0.83</v>
      </c>
      <c r="K264" s="1">
        <v>44786</v>
      </c>
      <c r="L264" s="2" t="str">
        <f>IF(Sheet1[[#This Row],[age]]&lt;18, "Under 18",IF(Sheet1[[#This Row],[age]]&lt;=30,"18-30",IF(Sheet1[[#This Row],[age]]&lt;=45,"31-45",IF(Sheet1[[#This Row],[age]]&lt;=60,"46-60","60+"))))</f>
        <v>31-45</v>
      </c>
      <c r="M264" s="2" t="str">
        <f>IF(Sheet1[[#This Row],[risk_score]]&lt;0.3,"Low",IF(Sheet1[[#This Row],[risk_score]]&lt;0.7,"Medium","High"))</f>
        <v>High</v>
      </c>
      <c r="N264">
        <f>YEAR(Sheet1[[#This Row],[date_joined]])</f>
        <v>2022</v>
      </c>
      <c r="O264" s="2" t="str">
        <f>TEXT(Sheet1[[#This Row],[date_joined]],"mmm")</f>
        <v>Aug</v>
      </c>
      <c r="P264" s="2" t="str">
        <f>"Q"&amp;ROUNDUP(MONTH(Sheet1[[#This Row],[date_joined]])/3,0)</f>
        <v>Q3</v>
      </c>
      <c r="Q264" s="2" t="str">
        <f>IF(Sheet1[[#This Row],[age]]&lt;30,"Young",IF(Sheet1[[#This Row],[age]]&lt;=50,"Adult","Senior"))</f>
        <v>Adult</v>
      </c>
      <c r="R264" s="2" t="str">
        <f t="shared" si="8"/>
        <v>Low</v>
      </c>
      <c r="S264" s="2" t="str">
        <f t="shared" si="9"/>
        <v>North - Salaried</v>
      </c>
    </row>
    <row r="265" spans="1:19" x14ac:dyDescent="0.3">
      <c r="A265" t="s">
        <v>553</v>
      </c>
      <c r="B265" t="s">
        <v>554</v>
      </c>
      <c r="C265">
        <v>53</v>
      </c>
      <c r="D265" s="2" t="s">
        <v>13</v>
      </c>
      <c r="E265" s="2" t="s">
        <v>22</v>
      </c>
      <c r="F265" s="2" t="s">
        <v>23</v>
      </c>
      <c r="G265" s="2" t="s">
        <v>32</v>
      </c>
      <c r="H265" s="2" t="s">
        <v>17</v>
      </c>
      <c r="I265" s="2" t="s">
        <v>18</v>
      </c>
      <c r="J265">
        <v>0.56000000000000005</v>
      </c>
      <c r="K265" s="1">
        <v>44465</v>
      </c>
      <c r="L265" s="2" t="str">
        <f>IF(Sheet1[[#This Row],[age]]&lt;18, "Under 18",IF(Sheet1[[#This Row],[age]]&lt;=30,"18-30",IF(Sheet1[[#This Row],[age]]&lt;=45,"31-45",IF(Sheet1[[#This Row],[age]]&lt;=60,"46-60","60+"))))</f>
        <v>46-60</v>
      </c>
      <c r="M265" s="2" t="str">
        <f>IF(Sheet1[[#This Row],[risk_score]]&lt;0.3,"Low",IF(Sheet1[[#This Row],[risk_score]]&lt;0.7,"Medium","High"))</f>
        <v>Medium</v>
      </c>
      <c r="N265">
        <f>YEAR(Sheet1[[#This Row],[date_joined]])</f>
        <v>2021</v>
      </c>
      <c r="O265" s="2" t="str">
        <f>TEXT(Sheet1[[#This Row],[date_joined]],"mmm")</f>
        <v>Sep</v>
      </c>
      <c r="P265" s="2" t="str">
        <f>"Q"&amp;ROUNDUP(MONTH(Sheet1[[#This Row],[date_joined]])/3,0)</f>
        <v>Q3</v>
      </c>
      <c r="Q265" s="2" t="str">
        <f>IF(Sheet1[[#This Row],[age]]&lt;30,"Young",IF(Sheet1[[#This Row],[age]]&lt;=50,"Adult","Senior"))</f>
        <v>Senior</v>
      </c>
      <c r="R265" s="2" t="str">
        <f t="shared" si="8"/>
        <v>High</v>
      </c>
      <c r="S265" s="2" t="str">
        <f t="shared" si="9"/>
        <v>South - Salaried</v>
      </c>
    </row>
    <row r="266" spans="1:19" x14ac:dyDescent="0.3">
      <c r="A266" t="s">
        <v>555</v>
      </c>
      <c r="B266" t="s">
        <v>556</v>
      </c>
      <c r="C266">
        <v>35</v>
      </c>
      <c r="D266" s="2" t="s">
        <v>21</v>
      </c>
      <c r="E266" s="2" t="s">
        <v>22</v>
      </c>
      <c r="F266" s="2" t="s">
        <v>37</v>
      </c>
      <c r="G266" s="2" t="s">
        <v>32</v>
      </c>
      <c r="H266" s="2" t="s">
        <v>18</v>
      </c>
      <c r="I266" s="2" t="s">
        <v>17</v>
      </c>
      <c r="J266">
        <v>0.31</v>
      </c>
      <c r="K266" s="1">
        <v>43149</v>
      </c>
      <c r="L266" s="2" t="str">
        <f>IF(Sheet1[[#This Row],[age]]&lt;18, "Under 18",IF(Sheet1[[#This Row],[age]]&lt;=30,"18-30",IF(Sheet1[[#This Row],[age]]&lt;=45,"31-45",IF(Sheet1[[#This Row],[age]]&lt;=60,"46-60","60+"))))</f>
        <v>31-45</v>
      </c>
      <c r="M266" s="2" t="str">
        <f>IF(Sheet1[[#This Row],[risk_score]]&lt;0.3,"Low",IF(Sheet1[[#This Row],[risk_score]]&lt;0.7,"Medium","High"))</f>
        <v>Medium</v>
      </c>
      <c r="N266">
        <f>YEAR(Sheet1[[#This Row],[date_joined]])</f>
        <v>2018</v>
      </c>
      <c r="O266" s="2" t="str">
        <f>TEXT(Sheet1[[#This Row],[date_joined]],"mmm")</f>
        <v>Feb</v>
      </c>
      <c r="P266" s="2" t="str">
        <f>"Q"&amp;ROUNDUP(MONTH(Sheet1[[#This Row],[date_joined]])/3,0)</f>
        <v>Q1</v>
      </c>
      <c r="Q266" s="2" t="str">
        <f>IF(Sheet1[[#This Row],[age]]&lt;30,"Young",IF(Sheet1[[#This Row],[age]]&lt;=50,"Adult","Senior"))</f>
        <v>Adult</v>
      </c>
      <c r="R266" s="2" t="str">
        <f t="shared" si="8"/>
        <v>High</v>
      </c>
      <c r="S266" s="2" t="str">
        <f t="shared" si="9"/>
        <v>South - Retired</v>
      </c>
    </row>
    <row r="267" spans="1:19" x14ac:dyDescent="0.3">
      <c r="A267" t="s">
        <v>557</v>
      </c>
      <c r="B267" t="s">
        <v>558</v>
      </c>
      <c r="C267">
        <v>31</v>
      </c>
      <c r="D267" s="2" t="s">
        <v>21</v>
      </c>
      <c r="E267" s="2" t="s">
        <v>14</v>
      </c>
      <c r="F267" s="2" t="s">
        <v>23</v>
      </c>
      <c r="G267" s="2" t="s">
        <v>81</v>
      </c>
      <c r="H267" s="2" t="s">
        <v>17</v>
      </c>
      <c r="I267" s="2" t="s">
        <v>18</v>
      </c>
      <c r="J267">
        <v>0.64</v>
      </c>
      <c r="K267" s="1">
        <v>43349</v>
      </c>
      <c r="L267" s="2" t="str">
        <f>IF(Sheet1[[#This Row],[age]]&lt;18, "Under 18",IF(Sheet1[[#This Row],[age]]&lt;=30,"18-30",IF(Sheet1[[#This Row],[age]]&lt;=45,"31-45",IF(Sheet1[[#This Row],[age]]&lt;=60,"46-60","60+"))))</f>
        <v>31-45</v>
      </c>
      <c r="M267" s="2" t="str">
        <f>IF(Sheet1[[#This Row],[risk_score]]&lt;0.3,"Low",IF(Sheet1[[#This Row],[risk_score]]&lt;0.7,"Medium","High"))</f>
        <v>Medium</v>
      </c>
      <c r="N267">
        <f>YEAR(Sheet1[[#This Row],[date_joined]])</f>
        <v>2018</v>
      </c>
      <c r="O267" s="2" t="str">
        <f>TEXT(Sheet1[[#This Row],[date_joined]],"mmm")</f>
        <v>Sep</v>
      </c>
      <c r="P267" s="2" t="str">
        <f>"Q"&amp;ROUNDUP(MONTH(Sheet1[[#This Row],[date_joined]])/3,0)</f>
        <v>Q3</v>
      </c>
      <c r="Q267" s="2" t="str">
        <f>IF(Sheet1[[#This Row],[age]]&lt;30,"Young",IF(Sheet1[[#This Row],[age]]&lt;=50,"Adult","Senior"))</f>
        <v>Adult</v>
      </c>
      <c r="R267" s="2" t="str">
        <f t="shared" si="8"/>
        <v>High</v>
      </c>
      <c r="S267" s="2" t="str">
        <f t="shared" si="9"/>
        <v>Central - Salaried</v>
      </c>
    </row>
    <row r="268" spans="1:19" x14ac:dyDescent="0.3">
      <c r="A268" t="s">
        <v>559</v>
      </c>
      <c r="B268" t="s">
        <v>560</v>
      </c>
      <c r="C268">
        <v>18</v>
      </c>
      <c r="D268" s="2" t="s">
        <v>21</v>
      </c>
      <c r="E268" s="2" t="s">
        <v>14</v>
      </c>
      <c r="F268" s="2" t="s">
        <v>23</v>
      </c>
      <c r="G268" s="2" t="s">
        <v>81</v>
      </c>
      <c r="H268" s="2" t="s">
        <v>18</v>
      </c>
      <c r="I268" s="2" t="s">
        <v>18</v>
      </c>
      <c r="J268">
        <v>0.27</v>
      </c>
      <c r="K268" s="1">
        <v>44942</v>
      </c>
      <c r="L268" s="2" t="str">
        <f>IF(Sheet1[[#This Row],[age]]&lt;18, "Under 18",IF(Sheet1[[#This Row],[age]]&lt;=30,"18-30",IF(Sheet1[[#This Row],[age]]&lt;=45,"31-45",IF(Sheet1[[#This Row],[age]]&lt;=60,"46-60","60+"))))</f>
        <v>18-30</v>
      </c>
      <c r="M268" s="2" t="str">
        <f>IF(Sheet1[[#This Row],[risk_score]]&lt;0.3,"Low",IF(Sheet1[[#This Row],[risk_score]]&lt;0.7,"Medium","High"))</f>
        <v>Low</v>
      </c>
      <c r="N268">
        <f>YEAR(Sheet1[[#This Row],[date_joined]])</f>
        <v>2023</v>
      </c>
      <c r="O268" s="2" t="str">
        <f>TEXT(Sheet1[[#This Row],[date_joined]],"mmm")</f>
        <v>Jan</v>
      </c>
      <c r="P268" s="2" t="str">
        <f>"Q"&amp;ROUNDUP(MONTH(Sheet1[[#This Row],[date_joined]])/3,0)</f>
        <v>Q1</v>
      </c>
      <c r="Q268" s="2" t="str">
        <f>IF(Sheet1[[#This Row],[age]]&lt;30,"Young",IF(Sheet1[[#This Row],[age]]&lt;=50,"Adult","Senior"))</f>
        <v>Young</v>
      </c>
      <c r="R268" s="2" t="str">
        <f t="shared" si="8"/>
        <v>Very High</v>
      </c>
      <c r="S268" s="2" t="str">
        <f t="shared" si="9"/>
        <v>Central - Salaried</v>
      </c>
    </row>
    <row r="269" spans="1:19" x14ac:dyDescent="0.3">
      <c r="A269" t="s">
        <v>561</v>
      </c>
      <c r="B269" t="s">
        <v>562</v>
      </c>
      <c r="C269">
        <v>25</v>
      </c>
      <c r="D269" s="2" t="s">
        <v>21</v>
      </c>
      <c r="E269" s="2" t="s">
        <v>30</v>
      </c>
      <c r="F269" s="2" t="s">
        <v>37</v>
      </c>
      <c r="G269" s="2" t="s">
        <v>27</v>
      </c>
      <c r="H269" s="2" t="s">
        <v>17</v>
      </c>
      <c r="I269" s="2" t="s">
        <v>18</v>
      </c>
      <c r="J269">
        <v>0.77</v>
      </c>
      <c r="K269" s="1">
        <v>44419</v>
      </c>
      <c r="L269" s="2" t="str">
        <f>IF(Sheet1[[#This Row],[age]]&lt;18, "Under 18",IF(Sheet1[[#This Row],[age]]&lt;=30,"18-30",IF(Sheet1[[#This Row],[age]]&lt;=45,"31-45",IF(Sheet1[[#This Row],[age]]&lt;=60,"46-60","60+"))))</f>
        <v>18-30</v>
      </c>
      <c r="M269" s="2" t="str">
        <f>IF(Sheet1[[#This Row],[risk_score]]&lt;0.3,"Low",IF(Sheet1[[#This Row],[risk_score]]&lt;0.7,"Medium","High"))</f>
        <v>High</v>
      </c>
      <c r="N269">
        <f>YEAR(Sheet1[[#This Row],[date_joined]])</f>
        <v>2021</v>
      </c>
      <c r="O269" s="2" t="str">
        <f>TEXT(Sheet1[[#This Row],[date_joined]],"mmm")</f>
        <v>Aug</v>
      </c>
      <c r="P269" s="2" t="str">
        <f>"Q"&amp;ROUNDUP(MONTH(Sheet1[[#This Row],[date_joined]])/3,0)</f>
        <v>Q3</v>
      </c>
      <c r="Q269" s="2" t="str">
        <f>IF(Sheet1[[#This Row],[age]]&lt;30,"Young",IF(Sheet1[[#This Row],[age]]&lt;=50,"Adult","Senior"))</f>
        <v>Young</v>
      </c>
      <c r="R269" s="2" t="str">
        <f t="shared" si="8"/>
        <v>High</v>
      </c>
      <c r="S269" s="2" t="str">
        <f t="shared" si="9"/>
        <v>North - Retired</v>
      </c>
    </row>
    <row r="270" spans="1:19" x14ac:dyDescent="0.3">
      <c r="A270" t="s">
        <v>563</v>
      </c>
      <c r="B270" t="s">
        <v>564</v>
      </c>
      <c r="C270">
        <v>61</v>
      </c>
      <c r="D270" s="2" t="s">
        <v>13</v>
      </c>
      <c r="E270" s="2" t="s">
        <v>22</v>
      </c>
      <c r="F270" s="2" t="s">
        <v>31</v>
      </c>
      <c r="G270" s="2" t="s">
        <v>32</v>
      </c>
      <c r="H270" s="2" t="s">
        <v>18</v>
      </c>
      <c r="I270" s="2" t="s">
        <v>17</v>
      </c>
      <c r="J270">
        <v>0.45</v>
      </c>
      <c r="K270" s="1">
        <v>43543</v>
      </c>
      <c r="L270" s="2" t="str">
        <f>IF(Sheet1[[#This Row],[age]]&lt;18, "Under 18",IF(Sheet1[[#This Row],[age]]&lt;=30,"18-30",IF(Sheet1[[#This Row],[age]]&lt;=45,"31-45",IF(Sheet1[[#This Row],[age]]&lt;=60,"46-60","60+"))))</f>
        <v>60+</v>
      </c>
      <c r="M270" s="2" t="str">
        <f>IF(Sheet1[[#This Row],[risk_score]]&lt;0.3,"Low",IF(Sheet1[[#This Row],[risk_score]]&lt;0.7,"Medium","High"))</f>
        <v>Medium</v>
      </c>
      <c r="N270">
        <f>YEAR(Sheet1[[#This Row],[date_joined]])</f>
        <v>2019</v>
      </c>
      <c r="O270" s="2" t="str">
        <f>TEXT(Sheet1[[#This Row],[date_joined]],"mmm")</f>
        <v>Mar</v>
      </c>
      <c r="P270" s="2" t="str">
        <f>"Q"&amp;ROUNDUP(MONTH(Sheet1[[#This Row],[date_joined]])/3,0)</f>
        <v>Q1</v>
      </c>
      <c r="Q270" s="2" t="str">
        <f>IF(Sheet1[[#This Row],[age]]&lt;30,"Young",IF(Sheet1[[#This Row],[age]]&lt;=50,"Adult","Senior"))</f>
        <v>Senior</v>
      </c>
      <c r="R270" s="2" t="str">
        <f t="shared" si="8"/>
        <v>High</v>
      </c>
      <c r="S270" s="2" t="str">
        <f t="shared" si="9"/>
        <v>South - Self-employed</v>
      </c>
    </row>
    <row r="271" spans="1:19" x14ac:dyDescent="0.3">
      <c r="A271" t="s">
        <v>565</v>
      </c>
      <c r="B271" t="s">
        <v>566</v>
      </c>
      <c r="C271">
        <v>52</v>
      </c>
      <c r="D271" s="2" t="s">
        <v>13</v>
      </c>
      <c r="E271" s="2" t="s">
        <v>30</v>
      </c>
      <c r="F271" s="2" t="s">
        <v>23</v>
      </c>
      <c r="G271" s="2" t="s">
        <v>27</v>
      </c>
      <c r="H271" s="2" t="s">
        <v>18</v>
      </c>
      <c r="I271" s="2" t="s">
        <v>17</v>
      </c>
      <c r="J271">
        <v>0.51</v>
      </c>
      <c r="K271" s="1">
        <v>43221</v>
      </c>
      <c r="L271" s="2" t="str">
        <f>IF(Sheet1[[#This Row],[age]]&lt;18, "Under 18",IF(Sheet1[[#This Row],[age]]&lt;=30,"18-30",IF(Sheet1[[#This Row],[age]]&lt;=45,"31-45",IF(Sheet1[[#This Row],[age]]&lt;=60,"46-60","60+"))))</f>
        <v>46-60</v>
      </c>
      <c r="M271" s="2" t="str">
        <f>IF(Sheet1[[#This Row],[risk_score]]&lt;0.3,"Low",IF(Sheet1[[#This Row],[risk_score]]&lt;0.7,"Medium","High"))</f>
        <v>Medium</v>
      </c>
      <c r="N271">
        <f>YEAR(Sheet1[[#This Row],[date_joined]])</f>
        <v>2018</v>
      </c>
      <c r="O271" s="2" t="str">
        <f>TEXT(Sheet1[[#This Row],[date_joined]],"mmm")</f>
        <v>May</v>
      </c>
      <c r="P271" s="2" t="str">
        <f>"Q"&amp;ROUNDUP(MONTH(Sheet1[[#This Row],[date_joined]])/3,0)</f>
        <v>Q2</v>
      </c>
      <c r="Q271" s="2" t="str">
        <f>IF(Sheet1[[#This Row],[age]]&lt;30,"Young",IF(Sheet1[[#This Row],[age]]&lt;=50,"Adult","Senior"))</f>
        <v>Senior</v>
      </c>
      <c r="R271" s="2" t="str">
        <f t="shared" si="8"/>
        <v>High</v>
      </c>
      <c r="S271" s="2" t="str">
        <f t="shared" si="9"/>
        <v>North - Salaried</v>
      </c>
    </row>
    <row r="272" spans="1:19" x14ac:dyDescent="0.3">
      <c r="A272" t="s">
        <v>567</v>
      </c>
      <c r="B272" t="s">
        <v>568</v>
      </c>
      <c r="C272">
        <v>40</v>
      </c>
      <c r="D272" s="2" t="s">
        <v>13</v>
      </c>
      <c r="E272" s="2" t="s">
        <v>30</v>
      </c>
      <c r="F272" s="2" t="s">
        <v>23</v>
      </c>
      <c r="G272" s="2" t="s">
        <v>16</v>
      </c>
      <c r="H272" s="2" t="s">
        <v>17</v>
      </c>
      <c r="I272" s="2" t="s">
        <v>18</v>
      </c>
      <c r="J272">
        <v>0.63</v>
      </c>
      <c r="K272" s="1">
        <v>43371</v>
      </c>
      <c r="L272" s="2" t="str">
        <f>IF(Sheet1[[#This Row],[age]]&lt;18, "Under 18",IF(Sheet1[[#This Row],[age]]&lt;=30,"18-30",IF(Sheet1[[#This Row],[age]]&lt;=45,"31-45",IF(Sheet1[[#This Row],[age]]&lt;=60,"46-60","60+"))))</f>
        <v>31-45</v>
      </c>
      <c r="M272" s="2" t="str">
        <f>IF(Sheet1[[#This Row],[risk_score]]&lt;0.3,"Low",IF(Sheet1[[#This Row],[risk_score]]&lt;0.7,"Medium","High"))</f>
        <v>Medium</v>
      </c>
      <c r="N272">
        <f>YEAR(Sheet1[[#This Row],[date_joined]])</f>
        <v>2018</v>
      </c>
      <c r="O272" s="2" t="str">
        <f>TEXT(Sheet1[[#This Row],[date_joined]],"mmm")</f>
        <v>Sep</v>
      </c>
      <c r="P272" s="2" t="str">
        <f>"Q"&amp;ROUNDUP(MONTH(Sheet1[[#This Row],[date_joined]])/3,0)</f>
        <v>Q3</v>
      </c>
      <c r="Q272" s="2" t="str">
        <f>IF(Sheet1[[#This Row],[age]]&lt;30,"Young",IF(Sheet1[[#This Row],[age]]&lt;=50,"Adult","Senior"))</f>
        <v>Adult</v>
      </c>
      <c r="R272" s="2" t="str">
        <f t="shared" si="8"/>
        <v>High</v>
      </c>
      <c r="S272" s="2" t="str">
        <f t="shared" si="9"/>
        <v>West - Salaried</v>
      </c>
    </row>
    <row r="273" spans="1:19" x14ac:dyDescent="0.3">
      <c r="A273" t="s">
        <v>569</v>
      </c>
      <c r="B273" t="s">
        <v>570</v>
      </c>
      <c r="C273">
        <v>40</v>
      </c>
      <c r="D273" s="2" t="s">
        <v>13</v>
      </c>
      <c r="E273" s="2" t="s">
        <v>22</v>
      </c>
      <c r="F273" s="2" t="s">
        <v>15</v>
      </c>
      <c r="G273" s="2" t="s">
        <v>24</v>
      </c>
      <c r="H273" s="2" t="s">
        <v>17</v>
      </c>
      <c r="I273" s="2" t="s">
        <v>17</v>
      </c>
      <c r="J273">
        <v>0.34</v>
      </c>
      <c r="K273" s="1">
        <v>44885</v>
      </c>
      <c r="L273" s="2" t="str">
        <f>IF(Sheet1[[#This Row],[age]]&lt;18, "Under 18",IF(Sheet1[[#This Row],[age]]&lt;=30,"18-30",IF(Sheet1[[#This Row],[age]]&lt;=45,"31-45",IF(Sheet1[[#This Row],[age]]&lt;=60,"46-60","60+"))))</f>
        <v>31-45</v>
      </c>
      <c r="M273" s="2" t="str">
        <f>IF(Sheet1[[#This Row],[risk_score]]&lt;0.3,"Low",IF(Sheet1[[#This Row],[risk_score]]&lt;0.7,"Medium","High"))</f>
        <v>Medium</v>
      </c>
      <c r="N273">
        <f>YEAR(Sheet1[[#This Row],[date_joined]])</f>
        <v>2022</v>
      </c>
      <c r="O273" s="2" t="str">
        <f>TEXT(Sheet1[[#This Row],[date_joined]],"mmm")</f>
        <v>Nov</v>
      </c>
      <c r="P273" s="2" t="str">
        <f>"Q"&amp;ROUNDUP(MONTH(Sheet1[[#This Row],[date_joined]])/3,0)</f>
        <v>Q4</v>
      </c>
      <c r="Q273" s="2" t="str">
        <f>IF(Sheet1[[#This Row],[age]]&lt;30,"Young",IF(Sheet1[[#This Row],[age]]&lt;=50,"Adult","Senior"))</f>
        <v>Adult</v>
      </c>
      <c r="R273" s="2" t="str">
        <f t="shared" si="8"/>
        <v>Low</v>
      </c>
      <c r="S273" s="2" t="str">
        <f t="shared" si="9"/>
        <v>East - Student</v>
      </c>
    </row>
    <row r="274" spans="1:19" x14ac:dyDescent="0.3">
      <c r="A274" t="s">
        <v>571</v>
      </c>
      <c r="B274" t="s">
        <v>572</v>
      </c>
      <c r="C274">
        <v>54</v>
      </c>
      <c r="D274" s="2" t="s">
        <v>21</v>
      </c>
      <c r="E274" s="2" t="s">
        <v>14</v>
      </c>
      <c r="F274" s="2" t="s">
        <v>23</v>
      </c>
      <c r="G274" s="2" t="s">
        <v>32</v>
      </c>
      <c r="H274" s="2" t="s">
        <v>17</v>
      </c>
      <c r="I274" s="2" t="s">
        <v>18</v>
      </c>
      <c r="J274">
        <v>0.3</v>
      </c>
      <c r="K274" s="1">
        <v>44935</v>
      </c>
      <c r="L274" s="2" t="str">
        <f>IF(Sheet1[[#This Row],[age]]&lt;18, "Under 18",IF(Sheet1[[#This Row],[age]]&lt;=30,"18-30",IF(Sheet1[[#This Row],[age]]&lt;=45,"31-45",IF(Sheet1[[#This Row],[age]]&lt;=60,"46-60","60+"))))</f>
        <v>46-60</v>
      </c>
      <c r="M274" s="2" t="str">
        <f>IF(Sheet1[[#This Row],[risk_score]]&lt;0.3,"Low",IF(Sheet1[[#This Row],[risk_score]]&lt;0.7,"Medium","High"))</f>
        <v>Medium</v>
      </c>
      <c r="N274">
        <f>YEAR(Sheet1[[#This Row],[date_joined]])</f>
        <v>2023</v>
      </c>
      <c r="O274" s="2" t="str">
        <f>TEXT(Sheet1[[#This Row],[date_joined]],"mmm")</f>
        <v>Jan</v>
      </c>
      <c r="P274" s="2" t="str">
        <f>"Q"&amp;ROUNDUP(MONTH(Sheet1[[#This Row],[date_joined]])/3,0)</f>
        <v>Q1</v>
      </c>
      <c r="Q274" s="2" t="str">
        <f>IF(Sheet1[[#This Row],[age]]&lt;30,"Young",IF(Sheet1[[#This Row],[age]]&lt;=50,"Adult","Senior"))</f>
        <v>Senior</v>
      </c>
      <c r="R274" s="2" t="str">
        <f t="shared" si="8"/>
        <v>High</v>
      </c>
      <c r="S274" s="2" t="str">
        <f t="shared" si="9"/>
        <v>South - Salaried</v>
      </c>
    </row>
    <row r="275" spans="1:19" x14ac:dyDescent="0.3">
      <c r="A275" t="s">
        <v>573</v>
      </c>
      <c r="B275" t="s">
        <v>574</v>
      </c>
      <c r="C275">
        <v>43</v>
      </c>
      <c r="D275" s="2" t="s">
        <v>13</v>
      </c>
      <c r="E275" s="2" t="s">
        <v>22</v>
      </c>
      <c r="F275" s="2" t="s">
        <v>23</v>
      </c>
      <c r="G275" s="2" t="s">
        <v>27</v>
      </c>
      <c r="H275" s="2" t="s">
        <v>18</v>
      </c>
      <c r="I275" s="2" t="s">
        <v>17</v>
      </c>
      <c r="J275">
        <v>0.48</v>
      </c>
      <c r="K275" s="1">
        <v>44474</v>
      </c>
      <c r="L275" s="2" t="str">
        <f>IF(Sheet1[[#This Row],[age]]&lt;18, "Under 18",IF(Sheet1[[#This Row],[age]]&lt;=30,"18-30",IF(Sheet1[[#This Row],[age]]&lt;=45,"31-45",IF(Sheet1[[#This Row],[age]]&lt;=60,"46-60","60+"))))</f>
        <v>31-45</v>
      </c>
      <c r="M275" s="2" t="str">
        <f>IF(Sheet1[[#This Row],[risk_score]]&lt;0.3,"Low",IF(Sheet1[[#This Row],[risk_score]]&lt;0.7,"Medium","High"))</f>
        <v>Medium</v>
      </c>
      <c r="N275">
        <f>YEAR(Sheet1[[#This Row],[date_joined]])</f>
        <v>2021</v>
      </c>
      <c r="O275" s="2" t="str">
        <f>TEXT(Sheet1[[#This Row],[date_joined]],"mmm")</f>
        <v>Oct</v>
      </c>
      <c r="P275" s="2" t="str">
        <f>"Q"&amp;ROUNDUP(MONTH(Sheet1[[#This Row],[date_joined]])/3,0)</f>
        <v>Q4</v>
      </c>
      <c r="Q275" s="2" t="str">
        <f>IF(Sheet1[[#This Row],[age]]&lt;30,"Young",IF(Sheet1[[#This Row],[age]]&lt;=50,"Adult","Senior"))</f>
        <v>Adult</v>
      </c>
      <c r="R275" s="2" t="str">
        <f t="shared" si="8"/>
        <v>High</v>
      </c>
      <c r="S275" s="2" t="str">
        <f t="shared" si="9"/>
        <v>North - Salaried</v>
      </c>
    </row>
    <row r="276" spans="1:19" x14ac:dyDescent="0.3">
      <c r="A276" t="s">
        <v>575</v>
      </c>
      <c r="B276" t="s">
        <v>576</v>
      </c>
      <c r="C276">
        <v>42</v>
      </c>
      <c r="D276" s="2" t="s">
        <v>21</v>
      </c>
      <c r="E276" s="2" t="s">
        <v>14</v>
      </c>
      <c r="F276" s="2" t="s">
        <v>37</v>
      </c>
      <c r="G276" s="2" t="s">
        <v>81</v>
      </c>
      <c r="H276" s="2" t="s">
        <v>17</v>
      </c>
      <c r="I276" s="2" t="s">
        <v>18</v>
      </c>
      <c r="J276">
        <v>0.56000000000000005</v>
      </c>
      <c r="K276" s="1">
        <v>43495</v>
      </c>
      <c r="L276" s="2" t="str">
        <f>IF(Sheet1[[#This Row],[age]]&lt;18, "Under 18",IF(Sheet1[[#This Row],[age]]&lt;=30,"18-30",IF(Sheet1[[#This Row],[age]]&lt;=45,"31-45",IF(Sheet1[[#This Row],[age]]&lt;=60,"46-60","60+"))))</f>
        <v>31-45</v>
      </c>
      <c r="M276" s="2" t="str">
        <f>IF(Sheet1[[#This Row],[risk_score]]&lt;0.3,"Low",IF(Sheet1[[#This Row],[risk_score]]&lt;0.7,"Medium","High"))</f>
        <v>Medium</v>
      </c>
      <c r="N276">
        <f>YEAR(Sheet1[[#This Row],[date_joined]])</f>
        <v>2019</v>
      </c>
      <c r="O276" s="2" t="str">
        <f>TEXT(Sheet1[[#This Row],[date_joined]],"mmm")</f>
        <v>Jan</v>
      </c>
      <c r="P276" s="2" t="str">
        <f>"Q"&amp;ROUNDUP(MONTH(Sheet1[[#This Row],[date_joined]])/3,0)</f>
        <v>Q1</v>
      </c>
      <c r="Q276" s="2" t="str">
        <f>IF(Sheet1[[#This Row],[age]]&lt;30,"Young",IF(Sheet1[[#This Row],[age]]&lt;=50,"Adult","Senior"))</f>
        <v>Adult</v>
      </c>
      <c r="R276" s="2" t="str">
        <f t="shared" si="8"/>
        <v>High</v>
      </c>
      <c r="S276" s="2" t="str">
        <f t="shared" si="9"/>
        <v>Central - Retired</v>
      </c>
    </row>
    <row r="277" spans="1:19" x14ac:dyDescent="0.3">
      <c r="A277" t="s">
        <v>577</v>
      </c>
      <c r="B277" t="s">
        <v>578</v>
      </c>
      <c r="C277">
        <v>43</v>
      </c>
      <c r="D277" s="2" t="s">
        <v>21</v>
      </c>
      <c r="E277" s="2" t="s">
        <v>14</v>
      </c>
      <c r="F277" s="2" t="s">
        <v>31</v>
      </c>
      <c r="G277" s="2" t="s">
        <v>27</v>
      </c>
      <c r="H277" s="2" t="s">
        <v>17</v>
      </c>
      <c r="I277" s="2" t="s">
        <v>17</v>
      </c>
      <c r="J277">
        <v>0.39</v>
      </c>
      <c r="K277" s="1">
        <v>44356</v>
      </c>
      <c r="L277" s="2" t="str">
        <f>IF(Sheet1[[#This Row],[age]]&lt;18, "Under 18",IF(Sheet1[[#This Row],[age]]&lt;=30,"18-30",IF(Sheet1[[#This Row],[age]]&lt;=45,"31-45",IF(Sheet1[[#This Row],[age]]&lt;=60,"46-60","60+"))))</f>
        <v>31-45</v>
      </c>
      <c r="M277" s="2" t="str">
        <f>IF(Sheet1[[#This Row],[risk_score]]&lt;0.3,"Low",IF(Sheet1[[#This Row],[risk_score]]&lt;0.7,"Medium","High"))</f>
        <v>Medium</v>
      </c>
      <c r="N277">
        <f>YEAR(Sheet1[[#This Row],[date_joined]])</f>
        <v>2021</v>
      </c>
      <c r="O277" s="2" t="str">
        <f>TEXT(Sheet1[[#This Row],[date_joined]],"mmm")</f>
        <v>Jun</v>
      </c>
      <c r="P277" s="2" t="str">
        <f>"Q"&amp;ROUNDUP(MONTH(Sheet1[[#This Row],[date_joined]])/3,0)</f>
        <v>Q2</v>
      </c>
      <c r="Q277" s="2" t="str">
        <f>IF(Sheet1[[#This Row],[age]]&lt;30,"Young",IF(Sheet1[[#This Row],[age]]&lt;=50,"Adult","Senior"))</f>
        <v>Adult</v>
      </c>
      <c r="R277" s="2" t="str">
        <f t="shared" si="8"/>
        <v>Low</v>
      </c>
      <c r="S277" s="2" t="str">
        <f t="shared" si="9"/>
        <v>North - Self-employed</v>
      </c>
    </row>
    <row r="278" spans="1:19" x14ac:dyDescent="0.3">
      <c r="A278" t="s">
        <v>579</v>
      </c>
      <c r="B278" t="s">
        <v>580</v>
      </c>
      <c r="C278">
        <v>45</v>
      </c>
      <c r="D278" s="2" t="s">
        <v>21</v>
      </c>
      <c r="E278" s="2" t="s">
        <v>14</v>
      </c>
      <c r="F278" s="2" t="s">
        <v>15</v>
      </c>
      <c r="G278" s="2" t="s">
        <v>16</v>
      </c>
      <c r="H278" s="2" t="s">
        <v>18</v>
      </c>
      <c r="I278" s="2" t="s">
        <v>18</v>
      </c>
      <c r="J278">
        <v>0.54</v>
      </c>
      <c r="K278" s="1">
        <v>43725</v>
      </c>
      <c r="L278" s="2" t="str">
        <f>IF(Sheet1[[#This Row],[age]]&lt;18, "Under 18",IF(Sheet1[[#This Row],[age]]&lt;=30,"18-30",IF(Sheet1[[#This Row],[age]]&lt;=45,"31-45",IF(Sheet1[[#This Row],[age]]&lt;=60,"46-60","60+"))))</f>
        <v>31-45</v>
      </c>
      <c r="M278" s="2" t="str">
        <f>IF(Sheet1[[#This Row],[risk_score]]&lt;0.3,"Low",IF(Sheet1[[#This Row],[risk_score]]&lt;0.7,"Medium","High"))</f>
        <v>Medium</v>
      </c>
      <c r="N278">
        <f>YEAR(Sheet1[[#This Row],[date_joined]])</f>
        <v>2019</v>
      </c>
      <c r="O278" s="2" t="str">
        <f>TEXT(Sheet1[[#This Row],[date_joined]],"mmm")</f>
        <v>Sep</v>
      </c>
      <c r="P278" s="2" t="str">
        <f>"Q"&amp;ROUNDUP(MONTH(Sheet1[[#This Row],[date_joined]])/3,0)</f>
        <v>Q3</v>
      </c>
      <c r="Q278" s="2" t="str">
        <f>IF(Sheet1[[#This Row],[age]]&lt;30,"Young",IF(Sheet1[[#This Row],[age]]&lt;=50,"Adult","Senior"))</f>
        <v>Adult</v>
      </c>
      <c r="R278" s="2" t="str">
        <f t="shared" si="8"/>
        <v>Very High</v>
      </c>
      <c r="S278" s="2" t="str">
        <f t="shared" si="9"/>
        <v>West - Student</v>
      </c>
    </row>
    <row r="279" spans="1:19" x14ac:dyDescent="0.3">
      <c r="A279" t="s">
        <v>581</v>
      </c>
      <c r="B279" t="s">
        <v>582</v>
      </c>
      <c r="C279">
        <v>51</v>
      </c>
      <c r="D279" s="2" t="s">
        <v>21</v>
      </c>
      <c r="E279" s="2" t="s">
        <v>22</v>
      </c>
      <c r="F279" s="2" t="s">
        <v>31</v>
      </c>
      <c r="G279" s="2" t="s">
        <v>16</v>
      </c>
      <c r="H279" s="2" t="s">
        <v>17</v>
      </c>
      <c r="I279" s="2" t="s">
        <v>18</v>
      </c>
      <c r="J279">
        <v>0.79</v>
      </c>
      <c r="K279" s="1">
        <v>44422</v>
      </c>
      <c r="L279" s="2" t="str">
        <f>IF(Sheet1[[#This Row],[age]]&lt;18, "Under 18",IF(Sheet1[[#This Row],[age]]&lt;=30,"18-30",IF(Sheet1[[#This Row],[age]]&lt;=45,"31-45",IF(Sheet1[[#This Row],[age]]&lt;=60,"46-60","60+"))))</f>
        <v>46-60</v>
      </c>
      <c r="M279" s="2" t="str">
        <f>IF(Sheet1[[#This Row],[risk_score]]&lt;0.3,"Low",IF(Sheet1[[#This Row],[risk_score]]&lt;0.7,"Medium","High"))</f>
        <v>High</v>
      </c>
      <c r="N279">
        <f>YEAR(Sheet1[[#This Row],[date_joined]])</f>
        <v>2021</v>
      </c>
      <c r="O279" s="2" t="str">
        <f>TEXT(Sheet1[[#This Row],[date_joined]],"mmm")</f>
        <v>Aug</v>
      </c>
      <c r="P279" s="2" t="str">
        <f>"Q"&amp;ROUNDUP(MONTH(Sheet1[[#This Row],[date_joined]])/3,0)</f>
        <v>Q3</v>
      </c>
      <c r="Q279" s="2" t="str">
        <f>IF(Sheet1[[#This Row],[age]]&lt;30,"Young",IF(Sheet1[[#This Row],[age]]&lt;=50,"Adult","Senior"))</f>
        <v>Senior</v>
      </c>
      <c r="R279" s="2" t="str">
        <f t="shared" si="8"/>
        <v>High</v>
      </c>
      <c r="S279" s="2" t="str">
        <f t="shared" si="9"/>
        <v>West - Self-employed</v>
      </c>
    </row>
    <row r="280" spans="1:19" x14ac:dyDescent="0.3">
      <c r="A280" t="s">
        <v>583</v>
      </c>
      <c r="B280" t="s">
        <v>584</v>
      </c>
      <c r="C280">
        <v>67</v>
      </c>
      <c r="D280" s="2" t="s">
        <v>21</v>
      </c>
      <c r="E280" s="2" t="s">
        <v>22</v>
      </c>
      <c r="F280" s="2" t="s">
        <v>15</v>
      </c>
      <c r="G280" s="2" t="s">
        <v>32</v>
      </c>
      <c r="H280" s="2" t="s">
        <v>17</v>
      </c>
      <c r="I280" s="2" t="s">
        <v>17</v>
      </c>
      <c r="J280">
        <v>0.36</v>
      </c>
      <c r="K280" s="1">
        <v>43816</v>
      </c>
      <c r="L280" s="2" t="str">
        <f>IF(Sheet1[[#This Row],[age]]&lt;18, "Under 18",IF(Sheet1[[#This Row],[age]]&lt;=30,"18-30",IF(Sheet1[[#This Row],[age]]&lt;=45,"31-45",IF(Sheet1[[#This Row],[age]]&lt;=60,"46-60","60+"))))</f>
        <v>60+</v>
      </c>
      <c r="M280" s="2" t="str">
        <f>IF(Sheet1[[#This Row],[risk_score]]&lt;0.3,"Low",IF(Sheet1[[#This Row],[risk_score]]&lt;0.7,"Medium","High"))</f>
        <v>Medium</v>
      </c>
      <c r="N280">
        <f>YEAR(Sheet1[[#This Row],[date_joined]])</f>
        <v>2019</v>
      </c>
      <c r="O280" s="2" t="str">
        <f>TEXT(Sheet1[[#This Row],[date_joined]],"mmm")</f>
        <v>Dec</v>
      </c>
      <c r="P280" s="2" t="str">
        <f>"Q"&amp;ROUNDUP(MONTH(Sheet1[[#This Row],[date_joined]])/3,0)</f>
        <v>Q4</v>
      </c>
      <c r="Q280" s="2" t="str">
        <f>IF(Sheet1[[#This Row],[age]]&lt;30,"Young",IF(Sheet1[[#This Row],[age]]&lt;=50,"Adult","Senior"))</f>
        <v>Senior</v>
      </c>
      <c r="R280" s="2" t="str">
        <f t="shared" si="8"/>
        <v>Low</v>
      </c>
      <c r="S280" s="2" t="str">
        <f t="shared" si="9"/>
        <v>South - Student</v>
      </c>
    </row>
    <row r="281" spans="1:19" x14ac:dyDescent="0.3">
      <c r="A281" t="s">
        <v>585</v>
      </c>
      <c r="B281" t="s">
        <v>586</v>
      </c>
      <c r="C281">
        <v>21</v>
      </c>
      <c r="D281" s="2" t="s">
        <v>21</v>
      </c>
      <c r="E281" s="2" t="s">
        <v>14</v>
      </c>
      <c r="F281" s="2" t="s">
        <v>31</v>
      </c>
      <c r="G281" s="2" t="s">
        <v>32</v>
      </c>
      <c r="H281" s="2" t="s">
        <v>17</v>
      </c>
      <c r="I281" s="2" t="s">
        <v>17</v>
      </c>
      <c r="J281">
        <v>0.6</v>
      </c>
      <c r="K281" s="1">
        <v>43166</v>
      </c>
      <c r="L281" s="2" t="str">
        <f>IF(Sheet1[[#This Row],[age]]&lt;18, "Under 18",IF(Sheet1[[#This Row],[age]]&lt;=30,"18-30",IF(Sheet1[[#This Row],[age]]&lt;=45,"31-45",IF(Sheet1[[#This Row],[age]]&lt;=60,"46-60","60+"))))</f>
        <v>18-30</v>
      </c>
      <c r="M281" s="2" t="str">
        <f>IF(Sheet1[[#This Row],[risk_score]]&lt;0.3,"Low",IF(Sheet1[[#This Row],[risk_score]]&lt;0.7,"Medium","High"))</f>
        <v>Medium</v>
      </c>
      <c r="N281">
        <f>YEAR(Sheet1[[#This Row],[date_joined]])</f>
        <v>2018</v>
      </c>
      <c r="O281" s="2" t="str">
        <f>TEXT(Sheet1[[#This Row],[date_joined]],"mmm")</f>
        <v>Mar</v>
      </c>
      <c r="P281" s="2" t="str">
        <f>"Q"&amp;ROUNDUP(MONTH(Sheet1[[#This Row],[date_joined]])/3,0)</f>
        <v>Q1</v>
      </c>
      <c r="Q281" s="2" t="str">
        <f>IF(Sheet1[[#This Row],[age]]&lt;30,"Young",IF(Sheet1[[#This Row],[age]]&lt;=50,"Adult","Senior"))</f>
        <v>Young</v>
      </c>
      <c r="R281" s="2" t="str">
        <f t="shared" si="8"/>
        <v>Low</v>
      </c>
      <c r="S281" s="2" t="str">
        <f t="shared" si="9"/>
        <v>South - Self-employed</v>
      </c>
    </row>
    <row r="282" spans="1:19" x14ac:dyDescent="0.3">
      <c r="A282" t="s">
        <v>587</v>
      </c>
      <c r="B282" t="s">
        <v>588</v>
      </c>
      <c r="C282">
        <v>29</v>
      </c>
      <c r="D282" s="2" t="s">
        <v>13</v>
      </c>
      <c r="E282" s="2" t="s">
        <v>22</v>
      </c>
      <c r="F282" s="2" t="s">
        <v>37</v>
      </c>
      <c r="G282" s="2" t="s">
        <v>27</v>
      </c>
      <c r="H282" s="2" t="s">
        <v>18</v>
      </c>
      <c r="I282" s="2" t="s">
        <v>17</v>
      </c>
      <c r="J282">
        <v>0.15</v>
      </c>
      <c r="K282" s="1">
        <v>44836</v>
      </c>
      <c r="L282" s="2" t="str">
        <f>IF(Sheet1[[#This Row],[age]]&lt;18, "Under 18",IF(Sheet1[[#This Row],[age]]&lt;=30,"18-30",IF(Sheet1[[#This Row],[age]]&lt;=45,"31-45",IF(Sheet1[[#This Row],[age]]&lt;=60,"46-60","60+"))))</f>
        <v>18-30</v>
      </c>
      <c r="M282" s="2" t="str">
        <f>IF(Sheet1[[#This Row],[risk_score]]&lt;0.3,"Low",IF(Sheet1[[#This Row],[risk_score]]&lt;0.7,"Medium","High"))</f>
        <v>Low</v>
      </c>
      <c r="N282">
        <f>YEAR(Sheet1[[#This Row],[date_joined]])</f>
        <v>2022</v>
      </c>
      <c r="O282" s="2" t="str">
        <f>TEXT(Sheet1[[#This Row],[date_joined]],"mmm")</f>
        <v>Oct</v>
      </c>
      <c r="P282" s="2" t="str">
        <f>"Q"&amp;ROUNDUP(MONTH(Sheet1[[#This Row],[date_joined]])/3,0)</f>
        <v>Q4</v>
      </c>
      <c r="Q282" s="2" t="str">
        <f>IF(Sheet1[[#This Row],[age]]&lt;30,"Young",IF(Sheet1[[#This Row],[age]]&lt;=50,"Adult","Senior"))</f>
        <v>Young</v>
      </c>
      <c r="R282" s="2" t="str">
        <f t="shared" si="8"/>
        <v>High</v>
      </c>
      <c r="S282" s="2" t="str">
        <f t="shared" si="9"/>
        <v>North - Retired</v>
      </c>
    </row>
    <row r="283" spans="1:19" x14ac:dyDescent="0.3">
      <c r="A283" t="s">
        <v>589</v>
      </c>
      <c r="B283" t="s">
        <v>590</v>
      </c>
      <c r="C283">
        <v>49</v>
      </c>
      <c r="D283" s="2" t="s">
        <v>13</v>
      </c>
      <c r="E283" s="2" t="s">
        <v>22</v>
      </c>
      <c r="F283" s="2" t="s">
        <v>37</v>
      </c>
      <c r="G283" s="2" t="s">
        <v>16</v>
      </c>
      <c r="H283" s="2" t="s">
        <v>17</v>
      </c>
      <c r="I283" s="2" t="s">
        <v>17</v>
      </c>
      <c r="J283">
        <v>0.5</v>
      </c>
      <c r="K283" s="1">
        <v>44192</v>
      </c>
      <c r="L283" s="2" t="str">
        <f>IF(Sheet1[[#This Row],[age]]&lt;18, "Under 18",IF(Sheet1[[#This Row],[age]]&lt;=30,"18-30",IF(Sheet1[[#This Row],[age]]&lt;=45,"31-45",IF(Sheet1[[#This Row],[age]]&lt;=60,"46-60","60+"))))</f>
        <v>46-60</v>
      </c>
      <c r="M283" s="2" t="str">
        <f>IF(Sheet1[[#This Row],[risk_score]]&lt;0.3,"Low",IF(Sheet1[[#This Row],[risk_score]]&lt;0.7,"Medium","High"))</f>
        <v>Medium</v>
      </c>
      <c r="N283">
        <f>YEAR(Sheet1[[#This Row],[date_joined]])</f>
        <v>2020</v>
      </c>
      <c r="O283" s="2" t="str">
        <f>TEXT(Sheet1[[#This Row],[date_joined]],"mmm")</f>
        <v>Dec</v>
      </c>
      <c r="P283" s="2" t="str">
        <f>"Q"&amp;ROUNDUP(MONTH(Sheet1[[#This Row],[date_joined]])/3,0)</f>
        <v>Q4</v>
      </c>
      <c r="Q283" s="2" t="str">
        <f>IF(Sheet1[[#This Row],[age]]&lt;30,"Young",IF(Sheet1[[#This Row],[age]]&lt;=50,"Adult","Senior"))</f>
        <v>Adult</v>
      </c>
      <c r="R283" s="2" t="str">
        <f t="shared" si="8"/>
        <v>Low</v>
      </c>
      <c r="S283" s="2" t="str">
        <f t="shared" si="9"/>
        <v>West - Retired</v>
      </c>
    </row>
    <row r="284" spans="1:19" x14ac:dyDescent="0.3">
      <c r="A284" t="s">
        <v>591</v>
      </c>
      <c r="B284" t="s">
        <v>592</v>
      </c>
      <c r="C284">
        <v>65</v>
      </c>
      <c r="D284" s="2" t="s">
        <v>21</v>
      </c>
      <c r="E284" s="2" t="s">
        <v>14</v>
      </c>
      <c r="F284" s="2" t="s">
        <v>31</v>
      </c>
      <c r="G284" s="2" t="s">
        <v>16</v>
      </c>
      <c r="H284" s="2" t="s">
        <v>18</v>
      </c>
      <c r="I284" s="2" t="s">
        <v>17</v>
      </c>
      <c r="J284">
        <v>0.43</v>
      </c>
      <c r="K284" s="1">
        <v>44025</v>
      </c>
      <c r="L284" s="2" t="str">
        <f>IF(Sheet1[[#This Row],[age]]&lt;18, "Under 18",IF(Sheet1[[#This Row],[age]]&lt;=30,"18-30",IF(Sheet1[[#This Row],[age]]&lt;=45,"31-45",IF(Sheet1[[#This Row],[age]]&lt;=60,"46-60","60+"))))</f>
        <v>60+</v>
      </c>
      <c r="M284" s="2" t="str">
        <f>IF(Sheet1[[#This Row],[risk_score]]&lt;0.3,"Low",IF(Sheet1[[#This Row],[risk_score]]&lt;0.7,"Medium","High"))</f>
        <v>Medium</v>
      </c>
      <c r="N284">
        <f>YEAR(Sheet1[[#This Row],[date_joined]])</f>
        <v>2020</v>
      </c>
      <c r="O284" s="2" t="str">
        <f>TEXT(Sheet1[[#This Row],[date_joined]],"mmm")</f>
        <v>Jul</v>
      </c>
      <c r="P284" s="2" t="str">
        <f>"Q"&amp;ROUNDUP(MONTH(Sheet1[[#This Row],[date_joined]])/3,0)</f>
        <v>Q3</v>
      </c>
      <c r="Q284" s="2" t="str">
        <f>IF(Sheet1[[#This Row],[age]]&lt;30,"Young",IF(Sheet1[[#This Row],[age]]&lt;=50,"Adult","Senior"))</f>
        <v>Senior</v>
      </c>
      <c r="R284" s="2" t="str">
        <f t="shared" si="8"/>
        <v>High</v>
      </c>
      <c r="S284" s="2" t="str">
        <f t="shared" si="9"/>
        <v>West - Self-employed</v>
      </c>
    </row>
    <row r="285" spans="1:19" x14ac:dyDescent="0.3">
      <c r="A285" t="s">
        <v>593</v>
      </c>
      <c r="B285" t="s">
        <v>594</v>
      </c>
      <c r="C285">
        <v>57</v>
      </c>
      <c r="D285" s="2" t="s">
        <v>13</v>
      </c>
      <c r="E285" s="2" t="s">
        <v>30</v>
      </c>
      <c r="F285" s="2" t="s">
        <v>23</v>
      </c>
      <c r="G285" s="2" t="s">
        <v>16</v>
      </c>
      <c r="H285" s="2" t="s">
        <v>18</v>
      </c>
      <c r="I285" s="2" t="s">
        <v>18</v>
      </c>
      <c r="J285">
        <v>0.35</v>
      </c>
      <c r="K285" s="1">
        <v>43528</v>
      </c>
      <c r="L285" s="2" t="str">
        <f>IF(Sheet1[[#This Row],[age]]&lt;18, "Under 18",IF(Sheet1[[#This Row],[age]]&lt;=30,"18-30",IF(Sheet1[[#This Row],[age]]&lt;=45,"31-45",IF(Sheet1[[#This Row],[age]]&lt;=60,"46-60","60+"))))</f>
        <v>46-60</v>
      </c>
      <c r="M285" s="2" t="str">
        <f>IF(Sheet1[[#This Row],[risk_score]]&lt;0.3,"Low",IF(Sheet1[[#This Row],[risk_score]]&lt;0.7,"Medium","High"))</f>
        <v>Medium</v>
      </c>
      <c r="N285">
        <f>YEAR(Sheet1[[#This Row],[date_joined]])</f>
        <v>2019</v>
      </c>
      <c r="O285" s="2" t="str">
        <f>TEXT(Sheet1[[#This Row],[date_joined]],"mmm")</f>
        <v>Mar</v>
      </c>
      <c r="P285" s="2" t="str">
        <f>"Q"&amp;ROUNDUP(MONTH(Sheet1[[#This Row],[date_joined]])/3,0)</f>
        <v>Q1</v>
      </c>
      <c r="Q285" s="2" t="str">
        <f>IF(Sheet1[[#This Row],[age]]&lt;30,"Young",IF(Sheet1[[#This Row],[age]]&lt;=50,"Adult","Senior"))</f>
        <v>Senior</v>
      </c>
      <c r="R285" s="2" t="str">
        <f t="shared" si="8"/>
        <v>Very High</v>
      </c>
      <c r="S285" s="2" t="str">
        <f t="shared" si="9"/>
        <v>West - Salaried</v>
      </c>
    </row>
    <row r="286" spans="1:19" x14ac:dyDescent="0.3">
      <c r="A286" t="s">
        <v>595</v>
      </c>
      <c r="B286" t="s">
        <v>596</v>
      </c>
      <c r="C286">
        <v>25</v>
      </c>
      <c r="D286" s="2" t="s">
        <v>21</v>
      </c>
      <c r="E286" s="2" t="s">
        <v>30</v>
      </c>
      <c r="F286" s="2" t="s">
        <v>31</v>
      </c>
      <c r="G286" s="2" t="s">
        <v>32</v>
      </c>
      <c r="H286" s="2" t="s">
        <v>17</v>
      </c>
      <c r="I286" s="2" t="s">
        <v>18</v>
      </c>
      <c r="J286">
        <v>0.56999999999999995</v>
      </c>
      <c r="K286" s="1">
        <v>43578</v>
      </c>
      <c r="L286" s="2" t="str">
        <f>IF(Sheet1[[#This Row],[age]]&lt;18, "Under 18",IF(Sheet1[[#This Row],[age]]&lt;=30,"18-30",IF(Sheet1[[#This Row],[age]]&lt;=45,"31-45",IF(Sheet1[[#This Row],[age]]&lt;=60,"46-60","60+"))))</f>
        <v>18-30</v>
      </c>
      <c r="M286" s="2" t="str">
        <f>IF(Sheet1[[#This Row],[risk_score]]&lt;0.3,"Low",IF(Sheet1[[#This Row],[risk_score]]&lt;0.7,"Medium","High"))</f>
        <v>Medium</v>
      </c>
      <c r="N286">
        <f>YEAR(Sheet1[[#This Row],[date_joined]])</f>
        <v>2019</v>
      </c>
      <c r="O286" s="2" t="str">
        <f>TEXT(Sheet1[[#This Row],[date_joined]],"mmm")</f>
        <v>Apr</v>
      </c>
      <c r="P286" s="2" t="str">
        <f>"Q"&amp;ROUNDUP(MONTH(Sheet1[[#This Row],[date_joined]])/3,0)</f>
        <v>Q2</v>
      </c>
      <c r="Q286" s="2" t="str">
        <f>IF(Sheet1[[#This Row],[age]]&lt;30,"Young",IF(Sheet1[[#This Row],[age]]&lt;=50,"Adult","Senior"))</f>
        <v>Young</v>
      </c>
      <c r="R286" s="2" t="str">
        <f t="shared" si="8"/>
        <v>High</v>
      </c>
      <c r="S286" s="2" t="str">
        <f t="shared" si="9"/>
        <v>South - Self-employed</v>
      </c>
    </row>
    <row r="287" spans="1:19" x14ac:dyDescent="0.3">
      <c r="A287" t="s">
        <v>597</v>
      </c>
      <c r="B287" t="s">
        <v>598</v>
      </c>
      <c r="C287">
        <v>41</v>
      </c>
      <c r="D287" s="2" t="s">
        <v>21</v>
      </c>
      <c r="E287" s="2" t="s">
        <v>22</v>
      </c>
      <c r="F287" s="2" t="s">
        <v>37</v>
      </c>
      <c r="G287" s="2" t="s">
        <v>32</v>
      </c>
      <c r="H287" s="2" t="s">
        <v>17</v>
      </c>
      <c r="I287" s="2" t="s">
        <v>18</v>
      </c>
      <c r="J287">
        <v>0.57999999999999996</v>
      </c>
      <c r="K287" s="1">
        <v>44744</v>
      </c>
      <c r="L287" s="2" t="str">
        <f>IF(Sheet1[[#This Row],[age]]&lt;18, "Under 18",IF(Sheet1[[#This Row],[age]]&lt;=30,"18-30",IF(Sheet1[[#This Row],[age]]&lt;=45,"31-45",IF(Sheet1[[#This Row],[age]]&lt;=60,"46-60","60+"))))</f>
        <v>31-45</v>
      </c>
      <c r="M287" s="2" t="str">
        <f>IF(Sheet1[[#This Row],[risk_score]]&lt;0.3,"Low",IF(Sheet1[[#This Row],[risk_score]]&lt;0.7,"Medium","High"))</f>
        <v>Medium</v>
      </c>
      <c r="N287">
        <f>YEAR(Sheet1[[#This Row],[date_joined]])</f>
        <v>2022</v>
      </c>
      <c r="O287" s="2" t="str">
        <f>TEXT(Sheet1[[#This Row],[date_joined]],"mmm")</f>
        <v>Jul</v>
      </c>
      <c r="P287" s="2" t="str">
        <f>"Q"&amp;ROUNDUP(MONTH(Sheet1[[#This Row],[date_joined]])/3,0)</f>
        <v>Q3</v>
      </c>
      <c r="Q287" s="2" t="str">
        <f>IF(Sheet1[[#This Row],[age]]&lt;30,"Young",IF(Sheet1[[#This Row],[age]]&lt;=50,"Adult","Senior"))</f>
        <v>Adult</v>
      </c>
      <c r="R287" s="2" t="str">
        <f t="shared" si="8"/>
        <v>High</v>
      </c>
      <c r="S287" s="2" t="str">
        <f t="shared" si="9"/>
        <v>South - Retired</v>
      </c>
    </row>
    <row r="288" spans="1:19" x14ac:dyDescent="0.3">
      <c r="A288" t="s">
        <v>599</v>
      </c>
      <c r="B288" t="s">
        <v>600</v>
      </c>
      <c r="C288">
        <v>27</v>
      </c>
      <c r="D288" s="2" t="s">
        <v>13</v>
      </c>
      <c r="E288" s="2" t="s">
        <v>22</v>
      </c>
      <c r="F288" s="2" t="s">
        <v>15</v>
      </c>
      <c r="G288" s="2" t="s">
        <v>32</v>
      </c>
      <c r="H288" s="2" t="s">
        <v>18</v>
      </c>
      <c r="I288" s="2" t="s">
        <v>18</v>
      </c>
      <c r="J288">
        <v>0.1</v>
      </c>
      <c r="K288" s="1">
        <v>44593</v>
      </c>
      <c r="L288" s="2" t="str">
        <f>IF(Sheet1[[#This Row],[age]]&lt;18, "Under 18",IF(Sheet1[[#This Row],[age]]&lt;=30,"18-30",IF(Sheet1[[#This Row],[age]]&lt;=45,"31-45",IF(Sheet1[[#This Row],[age]]&lt;=60,"46-60","60+"))))</f>
        <v>18-30</v>
      </c>
      <c r="M288" s="2" t="str">
        <f>IF(Sheet1[[#This Row],[risk_score]]&lt;0.3,"Low",IF(Sheet1[[#This Row],[risk_score]]&lt;0.7,"Medium","High"))</f>
        <v>Low</v>
      </c>
      <c r="N288">
        <f>YEAR(Sheet1[[#This Row],[date_joined]])</f>
        <v>2022</v>
      </c>
      <c r="O288" s="2" t="str">
        <f>TEXT(Sheet1[[#This Row],[date_joined]],"mmm")</f>
        <v>Feb</v>
      </c>
      <c r="P288" s="2" t="str">
        <f>"Q"&amp;ROUNDUP(MONTH(Sheet1[[#This Row],[date_joined]])/3,0)</f>
        <v>Q1</v>
      </c>
      <c r="Q288" s="2" t="str">
        <f>IF(Sheet1[[#This Row],[age]]&lt;30,"Young",IF(Sheet1[[#This Row],[age]]&lt;=50,"Adult","Senior"))</f>
        <v>Young</v>
      </c>
      <c r="R288" s="2" t="str">
        <f t="shared" si="8"/>
        <v>Very High</v>
      </c>
      <c r="S288" s="2" t="str">
        <f t="shared" si="9"/>
        <v>South - Student</v>
      </c>
    </row>
    <row r="289" spans="1:19" x14ac:dyDescent="0.3">
      <c r="A289" t="s">
        <v>601</v>
      </c>
      <c r="B289" t="s">
        <v>602</v>
      </c>
      <c r="C289">
        <v>23</v>
      </c>
      <c r="D289" s="2" t="s">
        <v>21</v>
      </c>
      <c r="E289" s="2" t="s">
        <v>14</v>
      </c>
      <c r="F289" s="2" t="s">
        <v>37</v>
      </c>
      <c r="G289" s="2" t="s">
        <v>24</v>
      </c>
      <c r="H289" s="2" t="s">
        <v>17</v>
      </c>
      <c r="I289" s="2" t="s">
        <v>17</v>
      </c>
      <c r="J289">
        <v>0.51</v>
      </c>
      <c r="K289" s="1">
        <v>44588</v>
      </c>
      <c r="L289" s="2" t="str">
        <f>IF(Sheet1[[#This Row],[age]]&lt;18, "Under 18",IF(Sheet1[[#This Row],[age]]&lt;=30,"18-30",IF(Sheet1[[#This Row],[age]]&lt;=45,"31-45",IF(Sheet1[[#This Row],[age]]&lt;=60,"46-60","60+"))))</f>
        <v>18-30</v>
      </c>
      <c r="M289" s="2" t="str">
        <f>IF(Sheet1[[#This Row],[risk_score]]&lt;0.3,"Low",IF(Sheet1[[#This Row],[risk_score]]&lt;0.7,"Medium","High"))</f>
        <v>Medium</v>
      </c>
      <c r="N289">
        <f>YEAR(Sheet1[[#This Row],[date_joined]])</f>
        <v>2022</v>
      </c>
      <c r="O289" s="2" t="str">
        <f>TEXT(Sheet1[[#This Row],[date_joined]],"mmm")</f>
        <v>Jan</v>
      </c>
      <c r="P289" s="2" t="str">
        <f>"Q"&amp;ROUNDUP(MONTH(Sheet1[[#This Row],[date_joined]])/3,0)</f>
        <v>Q1</v>
      </c>
      <c r="Q289" s="2" t="str">
        <f>IF(Sheet1[[#This Row],[age]]&lt;30,"Young",IF(Sheet1[[#This Row],[age]]&lt;=50,"Adult","Senior"))</f>
        <v>Young</v>
      </c>
      <c r="R289" s="2" t="str">
        <f t="shared" si="8"/>
        <v>Low</v>
      </c>
      <c r="S289" s="2" t="str">
        <f t="shared" si="9"/>
        <v>East - Retired</v>
      </c>
    </row>
    <row r="290" spans="1:19" x14ac:dyDescent="0.3">
      <c r="A290" t="s">
        <v>603</v>
      </c>
      <c r="B290" t="s">
        <v>604</v>
      </c>
      <c r="C290">
        <v>60</v>
      </c>
      <c r="D290" s="2" t="s">
        <v>13</v>
      </c>
      <c r="E290" s="2" t="s">
        <v>22</v>
      </c>
      <c r="F290" s="2" t="s">
        <v>37</v>
      </c>
      <c r="G290" s="2" t="s">
        <v>32</v>
      </c>
      <c r="H290" s="2" t="s">
        <v>17</v>
      </c>
      <c r="I290" s="2" t="s">
        <v>17</v>
      </c>
      <c r="J290">
        <v>0.76</v>
      </c>
      <c r="K290" s="1">
        <v>43704</v>
      </c>
      <c r="L290" s="2" t="str">
        <f>IF(Sheet1[[#This Row],[age]]&lt;18, "Under 18",IF(Sheet1[[#This Row],[age]]&lt;=30,"18-30",IF(Sheet1[[#This Row],[age]]&lt;=45,"31-45",IF(Sheet1[[#This Row],[age]]&lt;=60,"46-60","60+"))))</f>
        <v>46-60</v>
      </c>
      <c r="M290" s="2" t="str">
        <f>IF(Sheet1[[#This Row],[risk_score]]&lt;0.3,"Low",IF(Sheet1[[#This Row],[risk_score]]&lt;0.7,"Medium","High"))</f>
        <v>High</v>
      </c>
      <c r="N290">
        <f>YEAR(Sheet1[[#This Row],[date_joined]])</f>
        <v>2019</v>
      </c>
      <c r="O290" s="2" t="str">
        <f>TEXT(Sheet1[[#This Row],[date_joined]],"mmm")</f>
        <v>Aug</v>
      </c>
      <c r="P290" s="2" t="str">
        <f>"Q"&amp;ROUNDUP(MONTH(Sheet1[[#This Row],[date_joined]])/3,0)</f>
        <v>Q3</v>
      </c>
      <c r="Q290" s="2" t="str">
        <f>IF(Sheet1[[#This Row],[age]]&lt;30,"Young",IF(Sheet1[[#This Row],[age]]&lt;=50,"Adult","Senior"))</f>
        <v>Senior</v>
      </c>
      <c r="R290" s="2" t="str">
        <f t="shared" si="8"/>
        <v>Low</v>
      </c>
      <c r="S290" s="2" t="str">
        <f t="shared" si="9"/>
        <v>South - Retired</v>
      </c>
    </row>
    <row r="291" spans="1:19" x14ac:dyDescent="0.3">
      <c r="A291" t="s">
        <v>605</v>
      </c>
      <c r="B291" t="s">
        <v>606</v>
      </c>
      <c r="C291">
        <v>47</v>
      </c>
      <c r="D291" s="2" t="s">
        <v>21</v>
      </c>
      <c r="E291" s="2" t="s">
        <v>22</v>
      </c>
      <c r="F291" s="2" t="s">
        <v>37</v>
      </c>
      <c r="G291" s="2" t="s">
        <v>16</v>
      </c>
      <c r="H291" s="2" t="s">
        <v>17</v>
      </c>
      <c r="I291" s="2" t="s">
        <v>18</v>
      </c>
      <c r="J291">
        <v>0.61</v>
      </c>
      <c r="K291" s="1">
        <v>43432</v>
      </c>
      <c r="L291" s="2" t="str">
        <f>IF(Sheet1[[#This Row],[age]]&lt;18, "Under 18",IF(Sheet1[[#This Row],[age]]&lt;=30,"18-30",IF(Sheet1[[#This Row],[age]]&lt;=45,"31-45",IF(Sheet1[[#This Row],[age]]&lt;=60,"46-60","60+"))))</f>
        <v>46-60</v>
      </c>
      <c r="M291" s="2" t="str">
        <f>IF(Sheet1[[#This Row],[risk_score]]&lt;0.3,"Low",IF(Sheet1[[#This Row],[risk_score]]&lt;0.7,"Medium","High"))</f>
        <v>Medium</v>
      </c>
      <c r="N291">
        <f>YEAR(Sheet1[[#This Row],[date_joined]])</f>
        <v>2018</v>
      </c>
      <c r="O291" s="2" t="str">
        <f>TEXT(Sheet1[[#This Row],[date_joined]],"mmm")</f>
        <v>Nov</v>
      </c>
      <c r="P291" s="2" t="str">
        <f>"Q"&amp;ROUNDUP(MONTH(Sheet1[[#This Row],[date_joined]])/3,0)</f>
        <v>Q4</v>
      </c>
      <c r="Q291" s="2" t="str">
        <f>IF(Sheet1[[#This Row],[age]]&lt;30,"Young",IF(Sheet1[[#This Row],[age]]&lt;=50,"Adult","Senior"))</f>
        <v>Adult</v>
      </c>
      <c r="R291" s="2" t="str">
        <f t="shared" si="8"/>
        <v>High</v>
      </c>
      <c r="S291" s="2" t="str">
        <f t="shared" si="9"/>
        <v>West - Retired</v>
      </c>
    </row>
    <row r="292" spans="1:19" x14ac:dyDescent="0.3">
      <c r="A292" t="s">
        <v>607</v>
      </c>
      <c r="B292" t="s">
        <v>608</v>
      </c>
      <c r="C292">
        <v>66</v>
      </c>
      <c r="D292" s="2" t="s">
        <v>21</v>
      </c>
      <c r="E292" s="2" t="s">
        <v>14</v>
      </c>
      <c r="F292" s="2" t="s">
        <v>37</v>
      </c>
      <c r="G292" s="2" t="s">
        <v>16</v>
      </c>
      <c r="H292" s="2" t="s">
        <v>18</v>
      </c>
      <c r="I292" s="2" t="s">
        <v>18</v>
      </c>
      <c r="J292">
        <v>0.75</v>
      </c>
      <c r="K292" s="1">
        <v>44604</v>
      </c>
      <c r="L292" s="2" t="str">
        <f>IF(Sheet1[[#This Row],[age]]&lt;18, "Under 18",IF(Sheet1[[#This Row],[age]]&lt;=30,"18-30",IF(Sheet1[[#This Row],[age]]&lt;=45,"31-45",IF(Sheet1[[#This Row],[age]]&lt;=60,"46-60","60+"))))</f>
        <v>60+</v>
      </c>
      <c r="M292" s="2" t="str">
        <f>IF(Sheet1[[#This Row],[risk_score]]&lt;0.3,"Low",IF(Sheet1[[#This Row],[risk_score]]&lt;0.7,"Medium","High"))</f>
        <v>High</v>
      </c>
      <c r="N292">
        <f>YEAR(Sheet1[[#This Row],[date_joined]])</f>
        <v>2022</v>
      </c>
      <c r="O292" s="2" t="str">
        <f>TEXT(Sheet1[[#This Row],[date_joined]],"mmm")</f>
        <v>Feb</v>
      </c>
      <c r="P292" s="2" t="str">
        <f>"Q"&amp;ROUNDUP(MONTH(Sheet1[[#This Row],[date_joined]])/3,0)</f>
        <v>Q1</v>
      </c>
      <c r="Q292" s="2" t="str">
        <f>IF(Sheet1[[#This Row],[age]]&lt;30,"Young",IF(Sheet1[[#This Row],[age]]&lt;=50,"Adult","Senior"))</f>
        <v>Senior</v>
      </c>
      <c r="R292" s="2" t="str">
        <f t="shared" si="8"/>
        <v>Very High</v>
      </c>
      <c r="S292" s="2" t="str">
        <f t="shared" si="9"/>
        <v>West - Retired</v>
      </c>
    </row>
    <row r="293" spans="1:19" x14ac:dyDescent="0.3">
      <c r="A293" t="s">
        <v>609</v>
      </c>
      <c r="B293" t="s">
        <v>610</v>
      </c>
      <c r="C293">
        <v>34</v>
      </c>
      <c r="D293" s="2" t="s">
        <v>13</v>
      </c>
      <c r="E293" s="2" t="s">
        <v>30</v>
      </c>
      <c r="F293" s="2" t="s">
        <v>15</v>
      </c>
      <c r="G293" s="2" t="s">
        <v>24</v>
      </c>
      <c r="H293" s="2" t="s">
        <v>18</v>
      </c>
      <c r="I293" s="2" t="s">
        <v>17</v>
      </c>
      <c r="J293">
        <v>0.53</v>
      </c>
      <c r="K293" s="1">
        <v>43811</v>
      </c>
      <c r="L293" s="2" t="str">
        <f>IF(Sheet1[[#This Row],[age]]&lt;18, "Under 18",IF(Sheet1[[#This Row],[age]]&lt;=30,"18-30",IF(Sheet1[[#This Row],[age]]&lt;=45,"31-45",IF(Sheet1[[#This Row],[age]]&lt;=60,"46-60","60+"))))</f>
        <v>31-45</v>
      </c>
      <c r="M293" s="2" t="str">
        <f>IF(Sheet1[[#This Row],[risk_score]]&lt;0.3,"Low",IF(Sheet1[[#This Row],[risk_score]]&lt;0.7,"Medium","High"))</f>
        <v>Medium</v>
      </c>
      <c r="N293">
        <f>YEAR(Sheet1[[#This Row],[date_joined]])</f>
        <v>2019</v>
      </c>
      <c r="O293" s="2" t="str">
        <f>TEXT(Sheet1[[#This Row],[date_joined]],"mmm")</f>
        <v>Dec</v>
      </c>
      <c r="P293" s="2" t="str">
        <f>"Q"&amp;ROUNDUP(MONTH(Sheet1[[#This Row],[date_joined]])/3,0)</f>
        <v>Q4</v>
      </c>
      <c r="Q293" s="2" t="str">
        <f>IF(Sheet1[[#This Row],[age]]&lt;30,"Young",IF(Sheet1[[#This Row],[age]]&lt;=50,"Adult","Senior"))</f>
        <v>Adult</v>
      </c>
      <c r="R293" s="2" t="str">
        <f t="shared" si="8"/>
        <v>High</v>
      </c>
      <c r="S293" s="2" t="str">
        <f t="shared" si="9"/>
        <v>East - Student</v>
      </c>
    </row>
    <row r="294" spans="1:19" x14ac:dyDescent="0.3">
      <c r="A294" t="s">
        <v>611</v>
      </c>
      <c r="B294" t="s">
        <v>612</v>
      </c>
      <c r="C294">
        <v>42</v>
      </c>
      <c r="D294" s="2" t="s">
        <v>21</v>
      </c>
      <c r="E294" s="2" t="s">
        <v>30</v>
      </c>
      <c r="F294" s="2" t="s">
        <v>31</v>
      </c>
      <c r="G294" s="2" t="s">
        <v>24</v>
      </c>
      <c r="H294" s="2" t="s">
        <v>18</v>
      </c>
      <c r="I294" s="2" t="s">
        <v>17</v>
      </c>
      <c r="J294">
        <v>0.66</v>
      </c>
      <c r="K294" s="1">
        <v>44635</v>
      </c>
      <c r="L294" s="2" t="str">
        <f>IF(Sheet1[[#This Row],[age]]&lt;18, "Under 18",IF(Sheet1[[#This Row],[age]]&lt;=30,"18-30",IF(Sheet1[[#This Row],[age]]&lt;=45,"31-45",IF(Sheet1[[#This Row],[age]]&lt;=60,"46-60","60+"))))</f>
        <v>31-45</v>
      </c>
      <c r="M294" s="2" t="str">
        <f>IF(Sheet1[[#This Row],[risk_score]]&lt;0.3,"Low",IF(Sheet1[[#This Row],[risk_score]]&lt;0.7,"Medium","High"))</f>
        <v>Medium</v>
      </c>
      <c r="N294">
        <f>YEAR(Sheet1[[#This Row],[date_joined]])</f>
        <v>2022</v>
      </c>
      <c r="O294" s="2" t="str">
        <f>TEXT(Sheet1[[#This Row],[date_joined]],"mmm")</f>
        <v>Mar</v>
      </c>
      <c r="P294" s="2" t="str">
        <f>"Q"&amp;ROUNDUP(MONTH(Sheet1[[#This Row],[date_joined]])/3,0)</f>
        <v>Q1</v>
      </c>
      <c r="Q294" s="2" t="str">
        <f>IF(Sheet1[[#This Row],[age]]&lt;30,"Young",IF(Sheet1[[#This Row],[age]]&lt;=50,"Adult","Senior"))</f>
        <v>Adult</v>
      </c>
      <c r="R294" s="2" t="str">
        <f t="shared" si="8"/>
        <v>High</v>
      </c>
      <c r="S294" s="2" t="str">
        <f t="shared" si="9"/>
        <v>East - Self-employed</v>
      </c>
    </row>
    <row r="295" spans="1:19" x14ac:dyDescent="0.3">
      <c r="A295" t="s">
        <v>613</v>
      </c>
      <c r="B295" t="s">
        <v>614</v>
      </c>
      <c r="C295">
        <v>65</v>
      </c>
      <c r="D295" s="2" t="s">
        <v>13</v>
      </c>
      <c r="E295" s="2" t="s">
        <v>30</v>
      </c>
      <c r="F295" s="2" t="s">
        <v>31</v>
      </c>
      <c r="G295" s="2" t="s">
        <v>27</v>
      </c>
      <c r="H295" s="2" t="s">
        <v>18</v>
      </c>
      <c r="I295" s="2" t="s">
        <v>17</v>
      </c>
      <c r="J295">
        <v>0.51</v>
      </c>
      <c r="K295" s="1">
        <v>44395</v>
      </c>
      <c r="L295" s="2" t="str">
        <f>IF(Sheet1[[#This Row],[age]]&lt;18, "Under 18",IF(Sheet1[[#This Row],[age]]&lt;=30,"18-30",IF(Sheet1[[#This Row],[age]]&lt;=45,"31-45",IF(Sheet1[[#This Row],[age]]&lt;=60,"46-60","60+"))))</f>
        <v>60+</v>
      </c>
      <c r="M295" s="2" t="str">
        <f>IF(Sheet1[[#This Row],[risk_score]]&lt;0.3,"Low",IF(Sheet1[[#This Row],[risk_score]]&lt;0.7,"Medium","High"))</f>
        <v>Medium</v>
      </c>
      <c r="N295">
        <f>YEAR(Sheet1[[#This Row],[date_joined]])</f>
        <v>2021</v>
      </c>
      <c r="O295" s="2" t="str">
        <f>TEXT(Sheet1[[#This Row],[date_joined]],"mmm")</f>
        <v>Jul</v>
      </c>
      <c r="P295" s="2" t="str">
        <f>"Q"&amp;ROUNDUP(MONTH(Sheet1[[#This Row],[date_joined]])/3,0)</f>
        <v>Q3</v>
      </c>
      <c r="Q295" s="2" t="str">
        <f>IF(Sheet1[[#This Row],[age]]&lt;30,"Young",IF(Sheet1[[#This Row],[age]]&lt;=50,"Adult","Senior"))</f>
        <v>Senior</v>
      </c>
      <c r="R295" s="2" t="str">
        <f t="shared" si="8"/>
        <v>High</v>
      </c>
      <c r="S295" s="2" t="str">
        <f t="shared" si="9"/>
        <v>North - Self-employed</v>
      </c>
    </row>
    <row r="296" spans="1:19" x14ac:dyDescent="0.3">
      <c r="A296" t="s">
        <v>615</v>
      </c>
      <c r="B296" t="s">
        <v>616</v>
      </c>
      <c r="C296">
        <v>59</v>
      </c>
      <c r="D296" s="2" t="s">
        <v>13</v>
      </c>
      <c r="E296" s="2" t="s">
        <v>30</v>
      </c>
      <c r="F296" s="2" t="s">
        <v>37</v>
      </c>
      <c r="G296" s="2" t="s">
        <v>66</v>
      </c>
      <c r="H296" s="2" t="s">
        <v>18</v>
      </c>
      <c r="I296" s="2" t="s">
        <v>18</v>
      </c>
      <c r="J296">
        <v>0.28000000000000003</v>
      </c>
      <c r="K296" s="1">
        <v>44239</v>
      </c>
      <c r="L296" s="2" t="str">
        <f>IF(Sheet1[[#This Row],[age]]&lt;18, "Under 18",IF(Sheet1[[#This Row],[age]]&lt;=30,"18-30",IF(Sheet1[[#This Row],[age]]&lt;=45,"31-45",IF(Sheet1[[#This Row],[age]]&lt;=60,"46-60","60+"))))</f>
        <v>46-60</v>
      </c>
      <c r="M296" s="2" t="str">
        <f>IF(Sheet1[[#This Row],[risk_score]]&lt;0.3,"Low",IF(Sheet1[[#This Row],[risk_score]]&lt;0.7,"Medium","High"))</f>
        <v>Low</v>
      </c>
      <c r="N296">
        <f>YEAR(Sheet1[[#This Row],[date_joined]])</f>
        <v>2021</v>
      </c>
      <c r="O296" s="2" t="str">
        <f>TEXT(Sheet1[[#This Row],[date_joined]],"mmm")</f>
        <v>Feb</v>
      </c>
      <c r="P296" s="2" t="str">
        <f>"Q"&amp;ROUNDUP(MONTH(Sheet1[[#This Row],[date_joined]])/3,0)</f>
        <v>Q1</v>
      </c>
      <c r="Q296" s="2" t="str">
        <f>IF(Sheet1[[#This Row],[age]]&lt;30,"Young",IF(Sheet1[[#This Row],[age]]&lt;=50,"Adult","Senior"))</f>
        <v>Senior</v>
      </c>
      <c r="R296" s="2" t="str">
        <f t="shared" si="8"/>
        <v>Very High</v>
      </c>
      <c r="S296" s="2" t="str">
        <f t="shared" si="9"/>
        <v>North-East - Retired</v>
      </c>
    </row>
    <row r="297" spans="1:19" x14ac:dyDescent="0.3">
      <c r="A297" t="s">
        <v>617</v>
      </c>
      <c r="B297" t="s">
        <v>618</v>
      </c>
      <c r="C297">
        <v>58</v>
      </c>
      <c r="D297" s="2" t="s">
        <v>21</v>
      </c>
      <c r="E297" s="2" t="s">
        <v>22</v>
      </c>
      <c r="F297" s="2" t="s">
        <v>31</v>
      </c>
      <c r="G297" s="2" t="s">
        <v>24</v>
      </c>
      <c r="H297" s="2" t="s">
        <v>17</v>
      </c>
      <c r="I297" s="2" t="s">
        <v>18</v>
      </c>
      <c r="J297">
        <v>0.51</v>
      </c>
      <c r="K297" s="1">
        <v>43413</v>
      </c>
      <c r="L297" s="2" t="str">
        <f>IF(Sheet1[[#This Row],[age]]&lt;18, "Under 18",IF(Sheet1[[#This Row],[age]]&lt;=30,"18-30",IF(Sheet1[[#This Row],[age]]&lt;=45,"31-45",IF(Sheet1[[#This Row],[age]]&lt;=60,"46-60","60+"))))</f>
        <v>46-60</v>
      </c>
      <c r="M297" s="2" t="str">
        <f>IF(Sheet1[[#This Row],[risk_score]]&lt;0.3,"Low",IF(Sheet1[[#This Row],[risk_score]]&lt;0.7,"Medium","High"))</f>
        <v>Medium</v>
      </c>
      <c r="N297">
        <f>YEAR(Sheet1[[#This Row],[date_joined]])</f>
        <v>2018</v>
      </c>
      <c r="O297" s="2" t="str">
        <f>TEXT(Sheet1[[#This Row],[date_joined]],"mmm")</f>
        <v>Nov</v>
      </c>
      <c r="P297" s="2" t="str">
        <f>"Q"&amp;ROUNDUP(MONTH(Sheet1[[#This Row],[date_joined]])/3,0)</f>
        <v>Q4</v>
      </c>
      <c r="Q297" s="2" t="str">
        <f>IF(Sheet1[[#This Row],[age]]&lt;30,"Young",IF(Sheet1[[#This Row],[age]]&lt;=50,"Adult","Senior"))</f>
        <v>Senior</v>
      </c>
      <c r="R297" s="2" t="str">
        <f t="shared" si="8"/>
        <v>High</v>
      </c>
      <c r="S297" s="2" t="str">
        <f t="shared" si="9"/>
        <v>East - Self-employed</v>
      </c>
    </row>
    <row r="298" spans="1:19" x14ac:dyDescent="0.3">
      <c r="A298" t="s">
        <v>619</v>
      </c>
      <c r="B298" t="s">
        <v>620</v>
      </c>
      <c r="C298">
        <v>56</v>
      </c>
      <c r="D298" s="2" t="s">
        <v>13</v>
      </c>
      <c r="E298" s="2" t="s">
        <v>22</v>
      </c>
      <c r="F298" s="2" t="s">
        <v>23</v>
      </c>
      <c r="G298" s="2" t="s">
        <v>32</v>
      </c>
      <c r="H298" s="2" t="s">
        <v>17</v>
      </c>
      <c r="I298" s="2" t="s">
        <v>17</v>
      </c>
      <c r="J298">
        <v>0.7</v>
      </c>
      <c r="K298" s="1">
        <v>44329</v>
      </c>
      <c r="L298" s="2" t="str">
        <f>IF(Sheet1[[#This Row],[age]]&lt;18, "Under 18",IF(Sheet1[[#This Row],[age]]&lt;=30,"18-30",IF(Sheet1[[#This Row],[age]]&lt;=45,"31-45",IF(Sheet1[[#This Row],[age]]&lt;=60,"46-60","60+"))))</f>
        <v>46-60</v>
      </c>
      <c r="M298" s="2" t="str">
        <f>IF(Sheet1[[#This Row],[risk_score]]&lt;0.3,"Low",IF(Sheet1[[#This Row],[risk_score]]&lt;0.7,"Medium","High"))</f>
        <v>High</v>
      </c>
      <c r="N298">
        <f>YEAR(Sheet1[[#This Row],[date_joined]])</f>
        <v>2021</v>
      </c>
      <c r="O298" s="2" t="str">
        <f>TEXT(Sheet1[[#This Row],[date_joined]],"mmm")</f>
        <v>May</v>
      </c>
      <c r="P298" s="2" t="str">
        <f>"Q"&amp;ROUNDUP(MONTH(Sheet1[[#This Row],[date_joined]])/3,0)</f>
        <v>Q2</v>
      </c>
      <c r="Q298" s="2" t="str">
        <f>IF(Sheet1[[#This Row],[age]]&lt;30,"Young",IF(Sheet1[[#This Row],[age]]&lt;=50,"Adult","Senior"))</f>
        <v>Senior</v>
      </c>
      <c r="R298" s="2" t="str">
        <f t="shared" si="8"/>
        <v>Low</v>
      </c>
      <c r="S298" s="2" t="str">
        <f t="shared" si="9"/>
        <v>South - Salaried</v>
      </c>
    </row>
    <row r="299" spans="1:19" x14ac:dyDescent="0.3">
      <c r="A299" t="s">
        <v>621</v>
      </c>
      <c r="B299" t="s">
        <v>622</v>
      </c>
      <c r="C299">
        <v>42</v>
      </c>
      <c r="D299" s="2" t="s">
        <v>13</v>
      </c>
      <c r="E299" s="2" t="s">
        <v>22</v>
      </c>
      <c r="F299" s="2" t="s">
        <v>15</v>
      </c>
      <c r="G299" s="2" t="s">
        <v>81</v>
      </c>
      <c r="H299" s="2" t="s">
        <v>17</v>
      </c>
      <c r="I299" s="2" t="s">
        <v>18</v>
      </c>
      <c r="J299">
        <v>0.39</v>
      </c>
      <c r="K299" s="1">
        <v>44364</v>
      </c>
      <c r="L299" s="2" t="str">
        <f>IF(Sheet1[[#This Row],[age]]&lt;18, "Under 18",IF(Sheet1[[#This Row],[age]]&lt;=30,"18-30",IF(Sheet1[[#This Row],[age]]&lt;=45,"31-45",IF(Sheet1[[#This Row],[age]]&lt;=60,"46-60","60+"))))</f>
        <v>31-45</v>
      </c>
      <c r="M299" s="2" t="str">
        <f>IF(Sheet1[[#This Row],[risk_score]]&lt;0.3,"Low",IF(Sheet1[[#This Row],[risk_score]]&lt;0.7,"Medium","High"))</f>
        <v>Medium</v>
      </c>
      <c r="N299">
        <f>YEAR(Sheet1[[#This Row],[date_joined]])</f>
        <v>2021</v>
      </c>
      <c r="O299" s="2" t="str">
        <f>TEXT(Sheet1[[#This Row],[date_joined]],"mmm")</f>
        <v>Jun</v>
      </c>
      <c r="P299" s="2" t="str">
        <f>"Q"&amp;ROUNDUP(MONTH(Sheet1[[#This Row],[date_joined]])/3,0)</f>
        <v>Q2</v>
      </c>
      <c r="Q299" s="2" t="str">
        <f>IF(Sheet1[[#This Row],[age]]&lt;30,"Young",IF(Sheet1[[#This Row],[age]]&lt;=50,"Adult","Senior"))</f>
        <v>Adult</v>
      </c>
      <c r="R299" s="2" t="str">
        <f t="shared" si="8"/>
        <v>High</v>
      </c>
      <c r="S299" s="2" t="str">
        <f t="shared" si="9"/>
        <v>Central - Student</v>
      </c>
    </row>
    <row r="300" spans="1:19" x14ac:dyDescent="0.3">
      <c r="A300" t="s">
        <v>623</v>
      </c>
      <c r="B300" t="s">
        <v>624</v>
      </c>
      <c r="C300">
        <v>40</v>
      </c>
      <c r="D300" s="2" t="s">
        <v>13</v>
      </c>
      <c r="E300" s="2" t="s">
        <v>30</v>
      </c>
      <c r="F300" s="2" t="s">
        <v>15</v>
      </c>
      <c r="G300" s="2" t="s">
        <v>66</v>
      </c>
      <c r="H300" s="2" t="s">
        <v>17</v>
      </c>
      <c r="I300" s="2" t="s">
        <v>18</v>
      </c>
      <c r="J300">
        <v>0.36</v>
      </c>
      <c r="K300" s="1">
        <v>43209</v>
      </c>
      <c r="L300" s="2" t="str">
        <f>IF(Sheet1[[#This Row],[age]]&lt;18, "Under 18",IF(Sheet1[[#This Row],[age]]&lt;=30,"18-30",IF(Sheet1[[#This Row],[age]]&lt;=45,"31-45",IF(Sheet1[[#This Row],[age]]&lt;=60,"46-60","60+"))))</f>
        <v>31-45</v>
      </c>
      <c r="M300" s="2" t="str">
        <f>IF(Sheet1[[#This Row],[risk_score]]&lt;0.3,"Low",IF(Sheet1[[#This Row],[risk_score]]&lt;0.7,"Medium","High"))</f>
        <v>Medium</v>
      </c>
      <c r="N300">
        <f>YEAR(Sheet1[[#This Row],[date_joined]])</f>
        <v>2018</v>
      </c>
      <c r="O300" s="2" t="str">
        <f>TEXT(Sheet1[[#This Row],[date_joined]],"mmm")</f>
        <v>Apr</v>
      </c>
      <c r="P300" s="2" t="str">
        <f>"Q"&amp;ROUNDUP(MONTH(Sheet1[[#This Row],[date_joined]])/3,0)</f>
        <v>Q2</v>
      </c>
      <c r="Q300" s="2" t="str">
        <f>IF(Sheet1[[#This Row],[age]]&lt;30,"Young",IF(Sheet1[[#This Row],[age]]&lt;=50,"Adult","Senior"))</f>
        <v>Adult</v>
      </c>
      <c r="R300" s="2" t="str">
        <f t="shared" si="8"/>
        <v>High</v>
      </c>
      <c r="S300" s="2" t="str">
        <f t="shared" si="9"/>
        <v>North-East - Student</v>
      </c>
    </row>
    <row r="301" spans="1:19" x14ac:dyDescent="0.3">
      <c r="A301" t="s">
        <v>625</v>
      </c>
      <c r="B301" t="s">
        <v>626</v>
      </c>
      <c r="C301">
        <v>43</v>
      </c>
      <c r="D301" s="2" t="s">
        <v>21</v>
      </c>
      <c r="E301" s="2" t="s">
        <v>22</v>
      </c>
      <c r="F301" s="2" t="s">
        <v>15</v>
      </c>
      <c r="G301" s="2" t="s">
        <v>32</v>
      </c>
      <c r="H301" s="2" t="s">
        <v>17</v>
      </c>
      <c r="I301" s="2" t="s">
        <v>17</v>
      </c>
      <c r="J301">
        <v>0.35</v>
      </c>
      <c r="K301" s="1">
        <v>43520</v>
      </c>
      <c r="L301" s="2" t="str">
        <f>IF(Sheet1[[#This Row],[age]]&lt;18, "Under 18",IF(Sheet1[[#This Row],[age]]&lt;=30,"18-30",IF(Sheet1[[#This Row],[age]]&lt;=45,"31-45",IF(Sheet1[[#This Row],[age]]&lt;=60,"46-60","60+"))))</f>
        <v>31-45</v>
      </c>
      <c r="M301" s="2" t="str">
        <f>IF(Sheet1[[#This Row],[risk_score]]&lt;0.3,"Low",IF(Sheet1[[#This Row],[risk_score]]&lt;0.7,"Medium","High"))</f>
        <v>Medium</v>
      </c>
      <c r="N301">
        <f>YEAR(Sheet1[[#This Row],[date_joined]])</f>
        <v>2019</v>
      </c>
      <c r="O301" s="2" t="str">
        <f>TEXT(Sheet1[[#This Row],[date_joined]],"mmm")</f>
        <v>Feb</v>
      </c>
      <c r="P301" s="2" t="str">
        <f>"Q"&amp;ROUNDUP(MONTH(Sheet1[[#This Row],[date_joined]])/3,0)</f>
        <v>Q1</v>
      </c>
      <c r="Q301" s="2" t="str">
        <f>IF(Sheet1[[#This Row],[age]]&lt;30,"Young",IF(Sheet1[[#This Row],[age]]&lt;=50,"Adult","Senior"))</f>
        <v>Adult</v>
      </c>
      <c r="R301" s="2" t="str">
        <f t="shared" si="8"/>
        <v>Low</v>
      </c>
      <c r="S301" s="2" t="str">
        <f t="shared" si="9"/>
        <v>South - Student</v>
      </c>
    </row>
    <row r="302" spans="1:19" x14ac:dyDescent="0.3">
      <c r="A302" t="s">
        <v>627</v>
      </c>
      <c r="B302" t="s">
        <v>628</v>
      </c>
      <c r="C302">
        <v>43</v>
      </c>
      <c r="D302" s="2" t="s">
        <v>13</v>
      </c>
      <c r="E302" s="2" t="s">
        <v>14</v>
      </c>
      <c r="F302" s="2" t="s">
        <v>15</v>
      </c>
      <c r="G302" s="2" t="s">
        <v>81</v>
      </c>
      <c r="H302" s="2" t="s">
        <v>18</v>
      </c>
      <c r="I302" s="2" t="s">
        <v>17</v>
      </c>
      <c r="J302">
        <v>0.33</v>
      </c>
      <c r="K302" s="1">
        <v>44486</v>
      </c>
      <c r="L302" s="2" t="str">
        <f>IF(Sheet1[[#This Row],[age]]&lt;18, "Under 18",IF(Sheet1[[#This Row],[age]]&lt;=30,"18-30",IF(Sheet1[[#This Row],[age]]&lt;=45,"31-45",IF(Sheet1[[#This Row],[age]]&lt;=60,"46-60","60+"))))</f>
        <v>31-45</v>
      </c>
      <c r="M302" s="2" t="str">
        <f>IF(Sheet1[[#This Row],[risk_score]]&lt;0.3,"Low",IF(Sheet1[[#This Row],[risk_score]]&lt;0.7,"Medium","High"))</f>
        <v>Medium</v>
      </c>
      <c r="N302">
        <f>YEAR(Sheet1[[#This Row],[date_joined]])</f>
        <v>2021</v>
      </c>
      <c r="O302" s="2" t="str">
        <f>TEXT(Sheet1[[#This Row],[date_joined]],"mmm")</f>
        <v>Oct</v>
      </c>
      <c r="P302" s="2" t="str">
        <f>"Q"&amp;ROUNDUP(MONTH(Sheet1[[#This Row],[date_joined]])/3,0)</f>
        <v>Q4</v>
      </c>
      <c r="Q302" s="2" t="str">
        <f>IF(Sheet1[[#This Row],[age]]&lt;30,"Young",IF(Sheet1[[#This Row],[age]]&lt;=50,"Adult","Senior"))</f>
        <v>Adult</v>
      </c>
      <c r="R302" s="2" t="str">
        <f t="shared" si="8"/>
        <v>High</v>
      </c>
      <c r="S302" s="2" t="str">
        <f t="shared" si="9"/>
        <v>Central - Student</v>
      </c>
    </row>
    <row r="303" spans="1:19" x14ac:dyDescent="0.3">
      <c r="A303" t="s">
        <v>629</v>
      </c>
      <c r="B303" t="s">
        <v>630</v>
      </c>
      <c r="C303">
        <v>49</v>
      </c>
      <c r="D303" s="2" t="s">
        <v>13</v>
      </c>
      <c r="E303" s="2" t="s">
        <v>30</v>
      </c>
      <c r="F303" s="2" t="s">
        <v>23</v>
      </c>
      <c r="G303" s="2" t="s">
        <v>24</v>
      </c>
      <c r="H303" s="2" t="s">
        <v>17</v>
      </c>
      <c r="I303" s="2" t="s">
        <v>18</v>
      </c>
      <c r="J303">
        <v>0.68</v>
      </c>
      <c r="K303" s="1">
        <v>44534</v>
      </c>
      <c r="L303" s="2" t="str">
        <f>IF(Sheet1[[#This Row],[age]]&lt;18, "Under 18",IF(Sheet1[[#This Row],[age]]&lt;=30,"18-30",IF(Sheet1[[#This Row],[age]]&lt;=45,"31-45",IF(Sheet1[[#This Row],[age]]&lt;=60,"46-60","60+"))))</f>
        <v>46-60</v>
      </c>
      <c r="M303" s="2" t="str">
        <f>IF(Sheet1[[#This Row],[risk_score]]&lt;0.3,"Low",IF(Sheet1[[#This Row],[risk_score]]&lt;0.7,"Medium","High"))</f>
        <v>Medium</v>
      </c>
      <c r="N303">
        <f>YEAR(Sheet1[[#This Row],[date_joined]])</f>
        <v>2021</v>
      </c>
      <c r="O303" s="2" t="str">
        <f>TEXT(Sheet1[[#This Row],[date_joined]],"mmm")</f>
        <v>Dec</v>
      </c>
      <c r="P303" s="2" t="str">
        <f>"Q"&amp;ROUNDUP(MONTH(Sheet1[[#This Row],[date_joined]])/3,0)</f>
        <v>Q4</v>
      </c>
      <c r="Q303" s="2" t="str">
        <f>IF(Sheet1[[#This Row],[age]]&lt;30,"Young",IF(Sheet1[[#This Row],[age]]&lt;=50,"Adult","Senior"))</f>
        <v>Adult</v>
      </c>
      <c r="R303" s="2" t="str">
        <f t="shared" si="8"/>
        <v>High</v>
      </c>
      <c r="S303" s="2" t="str">
        <f t="shared" si="9"/>
        <v>East - Salaried</v>
      </c>
    </row>
    <row r="304" spans="1:19" x14ac:dyDescent="0.3">
      <c r="A304" t="s">
        <v>631</v>
      </c>
      <c r="B304" t="s">
        <v>632</v>
      </c>
      <c r="C304">
        <v>25</v>
      </c>
      <c r="D304" s="2" t="s">
        <v>13</v>
      </c>
      <c r="E304" s="2" t="s">
        <v>14</v>
      </c>
      <c r="F304" s="2" t="s">
        <v>23</v>
      </c>
      <c r="G304" s="2" t="s">
        <v>32</v>
      </c>
      <c r="H304" s="2" t="s">
        <v>17</v>
      </c>
      <c r="I304" s="2" t="s">
        <v>18</v>
      </c>
      <c r="J304">
        <v>0.87</v>
      </c>
      <c r="K304" s="1">
        <v>43669</v>
      </c>
      <c r="L304" s="2" t="str">
        <f>IF(Sheet1[[#This Row],[age]]&lt;18, "Under 18",IF(Sheet1[[#This Row],[age]]&lt;=30,"18-30",IF(Sheet1[[#This Row],[age]]&lt;=45,"31-45",IF(Sheet1[[#This Row],[age]]&lt;=60,"46-60","60+"))))</f>
        <v>18-30</v>
      </c>
      <c r="M304" s="2" t="str">
        <f>IF(Sheet1[[#This Row],[risk_score]]&lt;0.3,"Low",IF(Sheet1[[#This Row],[risk_score]]&lt;0.7,"Medium","High"))</f>
        <v>High</v>
      </c>
      <c r="N304">
        <f>YEAR(Sheet1[[#This Row],[date_joined]])</f>
        <v>2019</v>
      </c>
      <c r="O304" s="2" t="str">
        <f>TEXT(Sheet1[[#This Row],[date_joined]],"mmm")</f>
        <v>Jul</v>
      </c>
      <c r="P304" s="2" t="str">
        <f>"Q"&amp;ROUNDUP(MONTH(Sheet1[[#This Row],[date_joined]])/3,0)</f>
        <v>Q3</v>
      </c>
      <c r="Q304" s="2" t="str">
        <f>IF(Sheet1[[#This Row],[age]]&lt;30,"Young",IF(Sheet1[[#This Row],[age]]&lt;=50,"Adult","Senior"))</f>
        <v>Young</v>
      </c>
      <c r="R304" s="2" t="str">
        <f t="shared" si="8"/>
        <v>High</v>
      </c>
      <c r="S304" s="2" t="str">
        <f t="shared" si="9"/>
        <v>South - Salaried</v>
      </c>
    </row>
    <row r="305" spans="1:19" x14ac:dyDescent="0.3">
      <c r="A305" t="s">
        <v>633</v>
      </c>
      <c r="B305" t="s">
        <v>634</v>
      </c>
      <c r="C305">
        <v>49</v>
      </c>
      <c r="D305" s="2" t="s">
        <v>13</v>
      </c>
      <c r="E305" s="2" t="s">
        <v>14</v>
      </c>
      <c r="F305" s="2" t="s">
        <v>15</v>
      </c>
      <c r="G305" s="2" t="s">
        <v>27</v>
      </c>
      <c r="H305" s="2" t="s">
        <v>18</v>
      </c>
      <c r="I305" s="2" t="s">
        <v>17</v>
      </c>
      <c r="J305">
        <v>0.5</v>
      </c>
      <c r="K305" s="1">
        <v>43316</v>
      </c>
      <c r="L305" s="2" t="str">
        <f>IF(Sheet1[[#This Row],[age]]&lt;18, "Under 18",IF(Sheet1[[#This Row],[age]]&lt;=30,"18-30",IF(Sheet1[[#This Row],[age]]&lt;=45,"31-45",IF(Sheet1[[#This Row],[age]]&lt;=60,"46-60","60+"))))</f>
        <v>46-60</v>
      </c>
      <c r="M305" s="2" t="str">
        <f>IF(Sheet1[[#This Row],[risk_score]]&lt;0.3,"Low",IF(Sheet1[[#This Row],[risk_score]]&lt;0.7,"Medium","High"))</f>
        <v>Medium</v>
      </c>
      <c r="N305">
        <f>YEAR(Sheet1[[#This Row],[date_joined]])</f>
        <v>2018</v>
      </c>
      <c r="O305" s="2" t="str">
        <f>TEXT(Sheet1[[#This Row],[date_joined]],"mmm")</f>
        <v>Aug</v>
      </c>
      <c r="P305" s="2" t="str">
        <f>"Q"&amp;ROUNDUP(MONTH(Sheet1[[#This Row],[date_joined]])/3,0)</f>
        <v>Q3</v>
      </c>
      <c r="Q305" s="2" t="str">
        <f>IF(Sheet1[[#This Row],[age]]&lt;30,"Young",IF(Sheet1[[#This Row],[age]]&lt;=50,"Adult","Senior"))</f>
        <v>Adult</v>
      </c>
      <c r="R305" s="2" t="str">
        <f t="shared" si="8"/>
        <v>High</v>
      </c>
      <c r="S305" s="2" t="str">
        <f t="shared" si="9"/>
        <v>North - Student</v>
      </c>
    </row>
    <row r="306" spans="1:19" x14ac:dyDescent="0.3">
      <c r="A306" t="s">
        <v>635</v>
      </c>
      <c r="B306" t="s">
        <v>636</v>
      </c>
      <c r="C306">
        <v>43</v>
      </c>
      <c r="D306" s="2" t="s">
        <v>13</v>
      </c>
      <c r="E306" s="2" t="s">
        <v>30</v>
      </c>
      <c r="F306" s="2" t="s">
        <v>31</v>
      </c>
      <c r="G306" s="2" t="s">
        <v>81</v>
      </c>
      <c r="H306" s="2" t="s">
        <v>17</v>
      </c>
      <c r="I306" s="2" t="s">
        <v>18</v>
      </c>
      <c r="J306">
        <v>0.63</v>
      </c>
      <c r="K306" s="1">
        <v>43648</v>
      </c>
      <c r="L306" s="2" t="str">
        <f>IF(Sheet1[[#This Row],[age]]&lt;18, "Under 18",IF(Sheet1[[#This Row],[age]]&lt;=30,"18-30",IF(Sheet1[[#This Row],[age]]&lt;=45,"31-45",IF(Sheet1[[#This Row],[age]]&lt;=60,"46-60","60+"))))</f>
        <v>31-45</v>
      </c>
      <c r="M306" s="2" t="str">
        <f>IF(Sheet1[[#This Row],[risk_score]]&lt;0.3,"Low",IF(Sheet1[[#This Row],[risk_score]]&lt;0.7,"Medium","High"))</f>
        <v>Medium</v>
      </c>
      <c r="N306">
        <f>YEAR(Sheet1[[#This Row],[date_joined]])</f>
        <v>2019</v>
      </c>
      <c r="O306" s="2" t="str">
        <f>TEXT(Sheet1[[#This Row],[date_joined]],"mmm")</f>
        <v>Jul</v>
      </c>
      <c r="P306" s="2" t="str">
        <f>"Q"&amp;ROUNDUP(MONTH(Sheet1[[#This Row],[date_joined]])/3,0)</f>
        <v>Q3</v>
      </c>
      <c r="Q306" s="2" t="str">
        <f>IF(Sheet1[[#This Row],[age]]&lt;30,"Young",IF(Sheet1[[#This Row],[age]]&lt;=50,"Adult","Senior"))</f>
        <v>Adult</v>
      </c>
      <c r="R306" s="2" t="str">
        <f t="shared" si="8"/>
        <v>High</v>
      </c>
      <c r="S306" s="2" t="str">
        <f t="shared" si="9"/>
        <v>Central - Self-employed</v>
      </c>
    </row>
    <row r="307" spans="1:19" x14ac:dyDescent="0.3">
      <c r="A307" t="s">
        <v>637</v>
      </c>
      <c r="B307" t="s">
        <v>638</v>
      </c>
      <c r="C307">
        <v>31</v>
      </c>
      <c r="D307" s="2" t="s">
        <v>13</v>
      </c>
      <c r="E307" s="2" t="s">
        <v>14</v>
      </c>
      <c r="F307" s="2" t="s">
        <v>23</v>
      </c>
      <c r="G307" s="2" t="s">
        <v>81</v>
      </c>
      <c r="H307" s="2" t="s">
        <v>17</v>
      </c>
      <c r="I307" s="2" t="s">
        <v>18</v>
      </c>
      <c r="J307">
        <v>0.42</v>
      </c>
      <c r="K307" s="1">
        <v>44183</v>
      </c>
      <c r="L307" s="2" t="str">
        <f>IF(Sheet1[[#This Row],[age]]&lt;18, "Under 18",IF(Sheet1[[#This Row],[age]]&lt;=30,"18-30",IF(Sheet1[[#This Row],[age]]&lt;=45,"31-45",IF(Sheet1[[#This Row],[age]]&lt;=60,"46-60","60+"))))</f>
        <v>31-45</v>
      </c>
      <c r="M307" s="2" t="str">
        <f>IF(Sheet1[[#This Row],[risk_score]]&lt;0.3,"Low",IF(Sheet1[[#This Row],[risk_score]]&lt;0.7,"Medium","High"))</f>
        <v>Medium</v>
      </c>
      <c r="N307">
        <f>YEAR(Sheet1[[#This Row],[date_joined]])</f>
        <v>2020</v>
      </c>
      <c r="O307" s="2" t="str">
        <f>TEXT(Sheet1[[#This Row],[date_joined]],"mmm")</f>
        <v>Dec</v>
      </c>
      <c r="P307" s="2" t="str">
        <f>"Q"&amp;ROUNDUP(MONTH(Sheet1[[#This Row],[date_joined]])/3,0)</f>
        <v>Q4</v>
      </c>
      <c r="Q307" s="2" t="str">
        <f>IF(Sheet1[[#This Row],[age]]&lt;30,"Young",IF(Sheet1[[#This Row],[age]]&lt;=50,"Adult","Senior"))</f>
        <v>Adult</v>
      </c>
      <c r="R307" s="2" t="str">
        <f t="shared" si="8"/>
        <v>High</v>
      </c>
      <c r="S307" s="2" t="str">
        <f t="shared" si="9"/>
        <v>Central - Salaried</v>
      </c>
    </row>
    <row r="308" spans="1:19" x14ac:dyDescent="0.3">
      <c r="A308" t="s">
        <v>639</v>
      </c>
      <c r="B308" t="s">
        <v>640</v>
      </c>
      <c r="C308">
        <v>65</v>
      </c>
      <c r="D308" s="2" t="s">
        <v>21</v>
      </c>
      <c r="E308" s="2" t="s">
        <v>14</v>
      </c>
      <c r="F308" s="2" t="s">
        <v>37</v>
      </c>
      <c r="G308" s="2" t="s">
        <v>27</v>
      </c>
      <c r="H308" s="2" t="s">
        <v>17</v>
      </c>
      <c r="I308" s="2" t="s">
        <v>17</v>
      </c>
      <c r="J308">
        <v>0.42</v>
      </c>
      <c r="K308" s="1">
        <v>44660</v>
      </c>
      <c r="L308" s="2" t="str">
        <f>IF(Sheet1[[#This Row],[age]]&lt;18, "Under 18",IF(Sheet1[[#This Row],[age]]&lt;=30,"18-30",IF(Sheet1[[#This Row],[age]]&lt;=45,"31-45",IF(Sheet1[[#This Row],[age]]&lt;=60,"46-60","60+"))))</f>
        <v>60+</v>
      </c>
      <c r="M308" s="2" t="str">
        <f>IF(Sheet1[[#This Row],[risk_score]]&lt;0.3,"Low",IF(Sheet1[[#This Row],[risk_score]]&lt;0.7,"Medium","High"))</f>
        <v>Medium</v>
      </c>
      <c r="N308">
        <f>YEAR(Sheet1[[#This Row],[date_joined]])</f>
        <v>2022</v>
      </c>
      <c r="O308" s="2" t="str">
        <f>TEXT(Sheet1[[#This Row],[date_joined]],"mmm")</f>
        <v>Apr</v>
      </c>
      <c r="P308" s="2" t="str">
        <f>"Q"&amp;ROUNDUP(MONTH(Sheet1[[#This Row],[date_joined]])/3,0)</f>
        <v>Q2</v>
      </c>
      <c r="Q308" s="2" t="str">
        <f>IF(Sheet1[[#This Row],[age]]&lt;30,"Young",IF(Sheet1[[#This Row],[age]]&lt;=50,"Adult","Senior"))</f>
        <v>Senior</v>
      </c>
      <c r="R308" s="2" t="str">
        <f t="shared" si="8"/>
        <v>Low</v>
      </c>
      <c r="S308" s="2" t="str">
        <f t="shared" si="9"/>
        <v>North - Retired</v>
      </c>
    </row>
    <row r="309" spans="1:19" x14ac:dyDescent="0.3">
      <c r="A309" t="s">
        <v>641</v>
      </c>
      <c r="B309" t="s">
        <v>642</v>
      </c>
      <c r="C309">
        <v>63</v>
      </c>
      <c r="D309" s="2" t="s">
        <v>21</v>
      </c>
      <c r="E309" s="2" t="s">
        <v>14</v>
      </c>
      <c r="F309" s="2" t="s">
        <v>37</v>
      </c>
      <c r="G309" s="2" t="s">
        <v>24</v>
      </c>
      <c r="H309" s="2" t="s">
        <v>18</v>
      </c>
      <c r="I309" s="2" t="s">
        <v>17</v>
      </c>
      <c r="J309">
        <v>0.46</v>
      </c>
      <c r="K309" s="1">
        <v>44707</v>
      </c>
      <c r="L309" s="2" t="str">
        <f>IF(Sheet1[[#This Row],[age]]&lt;18, "Under 18",IF(Sheet1[[#This Row],[age]]&lt;=30,"18-30",IF(Sheet1[[#This Row],[age]]&lt;=45,"31-45",IF(Sheet1[[#This Row],[age]]&lt;=60,"46-60","60+"))))</f>
        <v>60+</v>
      </c>
      <c r="M309" s="2" t="str">
        <f>IF(Sheet1[[#This Row],[risk_score]]&lt;0.3,"Low",IF(Sheet1[[#This Row],[risk_score]]&lt;0.7,"Medium","High"))</f>
        <v>Medium</v>
      </c>
      <c r="N309">
        <f>YEAR(Sheet1[[#This Row],[date_joined]])</f>
        <v>2022</v>
      </c>
      <c r="O309" s="2" t="str">
        <f>TEXT(Sheet1[[#This Row],[date_joined]],"mmm")</f>
        <v>May</v>
      </c>
      <c r="P309" s="2" t="str">
        <f>"Q"&amp;ROUNDUP(MONTH(Sheet1[[#This Row],[date_joined]])/3,0)</f>
        <v>Q2</v>
      </c>
      <c r="Q309" s="2" t="str">
        <f>IF(Sheet1[[#This Row],[age]]&lt;30,"Young",IF(Sheet1[[#This Row],[age]]&lt;=50,"Adult","Senior"))</f>
        <v>Senior</v>
      </c>
      <c r="R309" s="2" t="str">
        <f t="shared" si="8"/>
        <v>High</v>
      </c>
      <c r="S309" s="2" t="str">
        <f t="shared" si="9"/>
        <v>East - Retired</v>
      </c>
    </row>
    <row r="310" spans="1:19" x14ac:dyDescent="0.3">
      <c r="A310" t="s">
        <v>643</v>
      </c>
      <c r="B310" t="s">
        <v>644</v>
      </c>
      <c r="C310">
        <v>31</v>
      </c>
      <c r="D310" s="2" t="s">
        <v>13</v>
      </c>
      <c r="E310" s="2" t="s">
        <v>22</v>
      </c>
      <c r="F310" s="2" t="s">
        <v>15</v>
      </c>
      <c r="G310" s="2" t="s">
        <v>32</v>
      </c>
      <c r="H310" s="2" t="s">
        <v>17</v>
      </c>
      <c r="I310" s="2" t="s">
        <v>18</v>
      </c>
      <c r="J310">
        <v>0.76</v>
      </c>
      <c r="K310" s="1">
        <v>44111</v>
      </c>
      <c r="L310" s="2" t="str">
        <f>IF(Sheet1[[#This Row],[age]]&lt;18, "Under 18",IF(Sheet1[[#This Row],[age]]&lt;=30,"18-30",IF(Sheet1[[#This Row],[age]]&lt;=45,"31-45",IF(Sheet1[[#This Row],[age]]&lt;=60,"46-60","60+"))))</f>
        <v>31-45</v>
      </c>
      <c r="M310" s="2" t="str">
        <f>IF(Sheet1[[#This Row],[risk_score]]&lt;0.3,"Low",IF(Sheet1[[#This Row],[risk_score]]&lt;0.7,"Medium","High"))</f>
        <v>High</v>
      </c>
      <c r="N310">
        <f>YEAR(Sheet1[[#This Row],[date_joined]])</f>
        <v>2020</v>
      </c>
      <c r="O310" s="2" t="str">
        <f>TEXT(Sheet1[[#This Row],[date_joined]],"mmm")</f>
        <v>Oct</v>
      </c>
      <c r="P310" s="2" t="str">
        <f>"Q"&amp;ROUNDUP(MONTH(Sheet1[[#This Row],[date_joined]])/3,0)</f>
        <v>Q4</v>
      </c>
      <c r="Q310" s="2" t="str">
        <f>IF(Sheet1[[#This Row],[age]]&lt;30,"Young",IF(Sheet1[[#This Row],[age]]&lt;=50,"Adult","Senior"))</f>
        <v>Adult</v>
      </c>
      <c r="R310" s="2" t="str">
        <f t="shared" si="8"/>
        <v>High</v>
      </c>
      <c r="S310" s="2" t="str">
        <f t="shared" si="9"/>
        <v>South - Student</v>
      </c>
    </row>
    <row r="311" spans="1:19" x14ac:dyDescent="0.3">
      <c r="A311" t="s">
        <v>645</v>
      </c>
      <c r="B311" t="s">
        <v>646</v>
      </c>
      <c r="C311">
        <v>54</v>
      </c>
      <c r="D311" s="2" t="s">
        <v>21</v>
      </c>
      <c r="E311" s="2" t="s">
        <v>14</v>
      </c>
      <c r="F311" s="2" t="s">
        <v>37</v>
      </c>
      <c r="G311" s="2" t="s">
        <v>81</v>
      </c>
      <c r="H311" s="2" t="s">
        <v>17</v>
      </c>
      <c r="I311" s="2" t="s">
        <v>18</v>
      </c>
      <c r="J311">
        <v>0.41</v>
      </c>
      <c r="K311" s="1">
        <v>45226</v>
      </c>
      <c r="L311" s="2" t="str">
        <f>IF(Sheet1[[#This Row],[age]]&lt;18, "Under 18",IF(Sheet1[[#This Row],[age]]&lt;=30,"18-30",IF(Sheet1[[#This Row],[age]]&lt;=45,"31-45",IF(Sheet1[[#This Row],[age]]&lt;=60,"46-60","60+"))))</f>
        <v>46-60</v>
      </c>
      <c r="M311" s="2" t="str">
        <f>IF(Sheet1[[#This Row],[risk_score]]&lt;0.3,"Low",IF(Sheet1[[#This Row],[risk_score]]&lt;0.7,"Medium","High"))</f>
        <v>Medium</v>
      </c>
      <c r="N311">
        <f>YEAR(Sheet1[[#This Row],[date_joined]])</f>
        <v>2023</v>
      </c>
      <c r="O311" s="2" t="str">
        <f>TEXT(Sheet1[[#This Row],[date_joined]],"mmm")</f>
        <v>Oct</v>
      </c>
      <c r="P311" s="2" t="str">
        <f>"Q"&amp;ROUNDUP(MONTH(Sheet1[[#This Row],[date_joined]])/3,0)</f>
        <v>Q4</v>
      </c>
      <c r="Q311" s="2" t="str">
        <f>IF(Sheet1[[#This Row],[age]]&lt;30,"Young",IF(Sheet1[[#This Row],[age]]&lt;=50,"Adult","Senior"))</f>
        <v>Senior</v>
      </c>
      <c r="R311" s="2" t="str">
        <f t="shared" si="8"/>
        <v>High</v>
      </c>
      <c r="S311" s="2" t="str">
        <f t="shared" si="9"/>
        <v>Central - Retired</v>
      </c>
    </row>
    <row r="312" spans="1:19" x14ac:dyDescent="0.3">
      <c r="A312" t="s">
        <v>647</v>
      </c>
      <c r="B312" t="s">
        <v>648</v>
      </c>
      <c r="C312">
        <v>64</v>
      </c>
      <c r="D312" s="2" t="s">
        <v>13</v>
      </c>
      <c r="E312" s="2" t="s">
        <v>30</v>
      </c>
      <c r="F312" s="2" t="s">
        <v>31</v>
      </c>
      <c r="G312" s="2" t="s">
        <v>81</v>
      </c>
      <c r="H312" s="2" t="s">
        <v>18</v>
      </c>
      <c r="I312" s="2" t="s">
        <v>18</v>
      </c>
      <c r="J312">
        <v>0.42</v>
      </c>
      <c r="K312" s="1">
        <v>44493</v>
      </c>
      <c r="L312" s="2" t="str">
        <f>IF(Sheet1[[#This Row],[age]]&lt;18, "Under 18",IF(Sheet1[[#This Row],[age]]&lt;=30,"18-30",IF(Sheet1[[#This Row],[age]]&lt;=45,"31-45",IF(Sheet1[[#This Row],[age]]&lt;=60,"46-60","60+"))))</f>
        <v>60+</v>
      </c>
      <c r="M312" s="2" t="str">
        <f>IF(Sheet1[[#This Row],[risk_score]]&lt;0.3,"Low",IF(Sheet1[[#This Row],[risk_score]]&lt;0.7,"Medium","High"))</f>
        <v>Medium</v>
      </c>
      <c r="N312">
        <f>YEAR(Sheet1[[#This Row],[date_joined]])</f>
        <v>2021</v>
      </c>
      <c r="O312" s="2" t="str">
        <f>TEXT(Sheet1[[#This Row],[date_joined]],"mmm")</f>
        <v>Oct</v>
      </c>
      <c r="P312" s="2" t="str">
        <f>"Q"&amp;ROUNDUP(MONTH(Sheet1[[#This Row],[date_joined]])/3,0)</f>
        <v>Q4</v>
      </c>
      <c r="Q312" s="2" t="str">
        <f>IF(Sheet1[[#This Row],[age]]&lt;30,"Young",IF(Sheet1[[#This Row],[age]]&lt;=50,"Adult","Senior"))</f>
        <v>Senior</v>
      </c>
      <c r="R312" s="2" t="str">
        <f t="shared" si="8"/>
        <v>Very High</v>
      </c>
      <c r="S312" s="2" t="str">
        <f t="shared" si="9"/>
        <v>Central - Self-employed</v>
      </c>
    </row>
    <row r="313" spans="1:19" x14ac:dyDescent="0.3">
      <c r="A313" t="s">
        <v>649</v>
      </c>
      <c r="B313" t="s">
        <v>650</v>
      </c>
      <c r="C313">
        <v>31</v>
      </c>
      <c r="D313" s="2" t="s">
        <v>21</v>
      </c>
      <c r="E313" s="2" t="s">
        <v>30</v>
      </c>
      <c r="F313" s="2" t="s">
        <v>23</v>
      </c>
      <c r="G313" s="2" t="s">
        <v>16</v>
      </c>
      <c r="H313" s="2" t="s">
        <v>17</v>
      </c>
      <c r="I313" s="2" t="s">
        <v>18</v>
      </c>
      <c r="J313">
        <v>0.53</v>
      </c>
      <c r="K313" s="1">
        <v>43266</v>
      </c>
      <c r="L313" s="2" t="str">
        <f>IF(Sheet1[[#This Row],[age]]&lt;18, "Under 18",IF(Sheet1[[#This Row],[age]]&lt;=30,"18-30",IF(Sheet1[[#This Row],[age]]&lt;=45,"31-45",IF(Sheet1[[#This Row],[age]]&lt;=60,"46-60","60+"))))</f>
        <v>31-45</v>
      </c>
      <c r="M313" s="2" t="str">
        <f>IF(Sheet1[[#This Row],[risk_score]]&lt;0.3,"Low",IF(Sheet1[[#This Row],[risk_score]]&lt;0.7,"Medium","High"))</f>
        <v>Medium</v>
      </c>
      <c r="N313">
        <f>YEAR(Sheet1[[#This Row],[date_joined]])</f>
        <v>2018</v>
      </c>
      <c r="O313" s="2" t="str">
        <f>TEXT(Sheet1[[#This Row],[date_joined]],"mmm")</f>
        <v>Jun</v>
      </c>
      <c r="P313" s="2" t="str">
        <f>"Q"&amp;ROUNDUP(MONTH(Sheet1[[#This Row],[date_joined]])/3,0)</f>
        <v>Q2</v>
      </c>
      <c r="Q313" s="2" t="str">
        <f>IF(Sheet1[[#This Row],[age]]&lt;30,"Young",IF(Sheet1[[#This Row],[age]]&lt;=50,"Adult","Senior"))</f>
        <v>Adult</v>
      </c>
      <c r="R313" s="2" t="str">
        <f t="shared" si="8"/>
        <v>High</v>
      </c>
      <c r="S313" s="2" t="str">
        <f t="shared" si="9"/>
        <v>West - Salaried</v>
      </c>
    </row>
    <row r="314" spans="1:19" x14ac:dyDescent="0.3">
      <c r="A314" t="s">
        <v>651</v>
      </c>
      <c r="B314" t="s">
        <v>652</v>
      </c>
      <c r="C314">
        <v>31</v>
      </c>
      <c r="D314" s="2" t="s">
        <v>21</v>
      </c>
      <c r="E314" s="2" t="s">
        <v>22</v>
      </c>
      <c r="F314" s="2" t="s">
        <v>31</v>
      </c>
      <c r="G314" s="2" t="s">
        <v>81</v>
      </c>
      <c r="H314" s="2" t="s">
        <v>17</v>
      </c>
      <c r="I314" s="2" t="s">
        <v>18</v>
      </c>
      <c r="J314">
        <v>0.44</v>
      </c>
      <c r="K314" s="1">
        <v>44397</v>
      </c>
      <c r="L314" s="2" t="str">
        <f>IF(Sheet1[[#This Row],[age]]&lt;18, "Under 18",IF(Sheet1[[#This Row],[age]]&lt;=30,"18-30",IF(Sheet1[[#This Row],[age]]&lt;=45,"31-45",IF(Sheet1[[#This Row],[age]]&lt;=60,"46-60","60+"))))</f>
        <v>31-45</v>
      </c>
      <c r="M314" s="2" t="str">
        <f>IF(Sheet1[[#This Row],[risk_score]]&lt;0.3,"Low",IF(Sheet1[[#This Row],[risk_score]]&lt;0.7,"Medium","High"))</f>
        <v>Medium</v>
      </c>
      <c r="N314">
        <f>YEAR(Sheet1[[#This Row],[date_joined]])</f>
        <v>2021</v>
      </c>
      <c r="O314" s="2" t="str">
        <f>TEXT(Sheet1[[#This Row],[date_joined]],"mmm")</f>
        <v>Jul</v>
      </c>
      <c r="P314" s="2" t="str">
        <f>"Q"&amp;ROUNDUP(MONTH(Sheet1[[#This Row],[date_joined]])/3,0)</f>
        <v>Q3</v>
      </c>
      <c r="Q314" s="2" t="str">
        <f>IF(Sheet1[[#This Row],[age]]&lt;30,"Young",IF(Sheet1[[#This Row],[age]]&lt;=50,"Adult","Senior"))</f>
        <v>Adult</v>
      </c>
      <c r="R314" s="2" t="str">
        <f t="shared" si="8"/>
        <v>High</v>
      </c>
      <c r="S314" s="2" t="str">
        <f t="shared" si="9"/>
        <v>Central - Self-employed</v>
      </c>
    </row>
    <row r="315" spans="1:19" x14ac:dyDescent="0.3">
      <c r="A315" t="s">
        <v>653</v>
      </c>
      <c r="B315" t="s">
        <v>654</v>
      </c>
      <c r="C315">
        <v>34</v>
      </c>
      <c r="D315" s="2" t="s">
        <v>13</v>
      </c>
      <c r="E315" s="2" t="s">
        <v>30</v>
      </c>
      <c r="F315" s="2" t="s">
        <v>31</v>
      </c>
      <c r="G315" s="2" t="s">
        <v>81</v>
      </c>
      <c r="H315" s="2" t="s">
        <v>18</v>
      </c>
      <c r="I315" s="2" t="s">
        <v>18</v>
      </c>
      <c r="J315">
        <v>0.19</v>
      </c>
      <c r="K315" s="1">
        <v>44497</v>
      </c>
      <c r="L315" s="2" t="str">
        <f>IF(Sheet1[[#This Row],[age]]&lt;18, "Under 18",IF(Sheet1[[#This Row],[age]]&lt;=30,"18-30",IF(Sheet1[[#This Row],[age]]&lt;=45,"31-45",IF(Sheet1[[#This Row],[age]]&lt;=60,"46-60","60+"))))</f>
        <v>31-45</v>
      </c>
      <c r="M315" s="2" t="str">
        <f>IF(Sheet1[[#This Row],[risk_score]]&lt;0.3,"Low",IF(Sheet1[[#This Row],[risk_score]]&lt;0.7,"Medium","High"))</f>
        <v>Low</v>
      </c>
      <c r="N315">
        <f>YEAR(Sheet1[[#This Row],[date_joined]])</f>
        <v>2021</v>
      </c>
      <c r="O315" s="2" t="str">
        <f>TEXT(Sheet1[[#This Row],[date_joined]],"mmm")</f>
        <v>Oct</v>
      </c>
      <c r="P315" s="2" t="str">
        <f>"Q"&amp;ROUNDUP(MONTH(Sheet1[[#This Row],[date_joined]])/3,0)</f>
        <v>Q4</v>
      </c>
      <c r="Q315" s="2" t="str">
        <f>IF(Sheet1[[#This Row],[age]]&lt;30,"Young",IF(Sheet1[[#This Row],[age]]&lt;=50,"Adult","Senior"))</f>
        <v>Adult</v>
      </c>
      <c r="R315" s="2" t="str">
        <f t="shared" si="8"/>
        <v>Very High</v>
      </c>
      <c r="S315" s="2" t="str">
        <f t="shared" si="9"/>
        <v>Central - Self-employed</v>
      </c>
    </row>
    <row r="316" spans="1:19" x14ac:dyDescent="0.3">
      <c r="A316" t="s">
        <v>655</v>
      </c>
      <c r="B316" t="s">
        <v>656</v>
      </c>
      <c r="C316">
        <v>25</v>
      </c>
      <c r="D316" s="2" t="s">
        <v>21</v>
      </c>
      <c r="E316" s="2" t="s">
        <v>22</v>
      </c>
      <c r="F316" s="2" t="s">
        <v>23</v>
      </c>
      <c r="G316" s="2" t="s">
        <v>32</v>
      </c>
      <c r="H316" s="2" t="s">
        <v>17</v>
      </c>
      <c r="I316" s="2" t="s">
        <v>17</v>
      </c>
      <c r="J316">
        <v>0.72</v>
      </c>
      <c r="K316" s="1">
        <v>44670</v>
      </c>
      <c r="L316" s="2" t="str">
        <f>IF(Sheet1[[#This Row],[age]]&lt;18, "Under 18",IF(Sheet1[[#This Row],[age]]&lt;=30,"18-30",IF(Sheet1[[#This Row],[age]]&lt;=45,"31-45",IF(Sheet1[[#This Row],[age]]&lt;=60,"46-60","60+"))))</f>
        <v>18-30</v>
      </c>
      <c r="M316" s="2" t="str">
        <f>IF(Sheet1[[#This Row],[risk_score]]&lt;0.3,"Low",IF(Sheet1[[#This Row],[risk_score]]&lt;0.7,"Medium","High"))</f>
        <v>High</v>
      </c>
      <c r="N316">
        <f>YEAR(Sheet1[[#This Row],[date_joined]])</f>
        <v>2022</v>
      </c>
      <c r="O316" s="2" t="str">
        <f>TEXT(Sheet1[[#This Row],[date_joined]],"mmm")</f>
        <v>Apr</v>
      </c>
      <c r="P316" s="2" t="str">
        <f>"Q"&amp;ROUNDUP(MONTH(Sheet1[[#This Row],[date_joined]])/3,0)</f>
        <v>Q2</v>
      </c>
      <c r="Q316" s="2" t="str">
        <f>IF(Sheet1[[#This Row],[age]]&lt;30,"Young",IF(Sheet1[[#This Row],[age]]&lt;=50,"Adult","Senior"))</f>
        <v>Young</v>
      </c>
      <c r="R316" s="2" t="str">
        <f t="shared" si="8"/>
        <v>Low</v>
      </c>
      <c r="S316" s="2" t="str">
        <f t="shared" si="9"/>
        <v>South - Salaried</v>
      </c>
    </row>
    <row r="317" spans="1:19" x14ac:dyDescent="0.3">
      <c r="A317" t="s">
        <v>657</v>
      </c>
      <c r="B317" t="s">
        <v>658</v>
      </c>
      <c r="C317">
        <v>28</v>
      </c>
      <c r="D317" s="2" t="s">
        <v>21</v>
      </c>
      <c r="E317" s="2" t="s">
        <v>22</v>
      </c>
      <c r="F317" s="2" t="s">
        <v>15</v>
      </c>
      <c r="G317" s="2" t="s">
        <v>16</v>
      </c>
      <c r="H317" s="2" t="s">
        <v>18</v>
      </c>
      <c r="I317" s="2" t="s">
        <v>17</v>
      </c>
      <c r="J317">
        <v>0.43</v>
      </c>
      <c r="K317" s="1">
        <v>44438</v>
      </c>
      <c r="L317" s="2" t="str">
        <f>IF(Sheet1[[#This Row],[age]]&lt;18, "Under 18",IF(Sheet1[[#This Row],[age]]&lt;=30,"18-30",IF(Sheet1[[#This Row],[age]]&lt;=45,"31-45",IF(Sheet1[[#This Row],[age]]&lt;=60,"46-60","60+"))))</f>
        <v>18-30</v>
      </c>
      <c r="M317" s="2" t="str">
        <f>IF(Sheet1[[#This Row],[risk_score]]&lt;0.3,"Low",IF(Sheet1[[#This Row],[risk_score]]&lt;0.7,"Medium","High"))</f>
        <v>Medium</v>
      </c>
      <c r="N317">
        <f>YEAR(Sheet1[[#This Row],[date_joined]])</f>
        <v>2021</v>
      </c>
      <c r="O317" s="2" t="str">
        <f>TEXT(Sheet1[[#This Row],[date_joined]],"mmm")</f>
        <v>Aug</v>
      </c>
      <c r="P317" s="2" t="str">
        <f>"Q"&amp;ROUNDUP(MONTH(Sheet1[[#This Row],[date_joined]])/3,0)</f>
        <v>Q3</v>
      </c>
      <c r="Q317" s="2" t="str">
        <f>IF(Sheet1[[#This Row],[age]]&lt;30,"Young",IF(Sheet1[[#This Row],[age]]&lt;=50,"Adult","Senior"))</f>
        <v>Young</v>
      </c>
      <c r="R317" s="2" t="str">
        <f t="shared" si="8"/>
        <v>High</v>
      </c>
      <c r="S317" s="2" t="str">
        <f t="shared" si="9"/>
        <v>West - Student</v>
      </c>
    </row>
    <row r="318" spans="1:19" x14ac:dyDescent="0.3">
      <c r="A318" t="s">
        <v>659</v>
      </c>
      <c r="B318" t="s">
        <v>660</v>
      </c>
      <c r="C318">
        <v>38</v>
      </c>
      <c r="D318" s="2" t="s">
        <v>21</v>
      </c>
      <c r="E318" s="2" t="s">
        <v>14</v>
      </c>
      <c r="F318" s="2" t="s">
        <v>37</v>
      </c>
      <c r="G318" s="2" t="s">
        <v>66</v>
      </c>
      <c r="H318" s="2" t="s">
        <v>18</v>
      </c>
      <c r="I318" s="2" t="s">
        <v>17</v>
      </c>
      <c r="J318">
        <v>0.14000000000000001</v>
      </c>
      <c r="K318" s="1">
        <v>44957</v>
      </c>
      <c r="L318" s="2" t="str">
        <f>IF(Sheet1[[#This Row],[age]]&lt;18, "Under 18",IF(Sheet1[[#This Row],[age]]&lt;=30,"18-30",IF(Sheet1[[#This Row],[age]]&lt;=45,"31-45",IF(Sheet1[[#This Row],[age]]&lt;=60,"46-60","60+"))))</f>
        <v>31-45</v>
      </c>
      <c r="M318" s="2" t="str">
        <f>IF(Sheet1[[#This Row],[risk_score]]&lt;0.3,"Low",IF(Sheet1[[#This Row],[risk_score]]&lt;0.7,"Medium","High"))</f>
        <v>Low</v>
      </c>
      <c r="N318">
        <f>YEAR(Sheet1[[#This Row],[date_joined]])</f>
        <v>2023</v>
      </c>
      <c r="O318" s="2" t="str">
        <f>TEXT(Sheet1[[#This Row],[date_joined]],"mmm")</f>
        <v>Jan</v>
      </c>
      <c r="P318" s="2" t="str">
        <f>"Q"&amp;ROUNDUP(MONTH(Sheet1[[#This Row],[date_joined]])/3,0)</f>
        <v>Q1</v>
      </c>
      <c r="Q318" s="2" t="str">
        <f>IF(Sheet1[[#This Row],[age]]&lt;30,"Young",IF(Sheet1[[#This Row],[age]]&lt;=50,"Adult","Senior"))</f>
        <v>Adult</v>
      </c>
      <c r="R318" s="2" t="str">
        <f t="shared" si="8"/>
        <v>High</v>
      </c>
      <c r="S318" s="2" t="str">
        <f t="shared" si="9"/>
        <v>North-East - Retired</v>
      </c>
    </row>
    <row r="319" spans="1:19" x14ac:dyDescent="0.3">
      <c r="A319" t="s">
        <v>661</v>
      </c>
      <c r="B319" t="s">
        <v>662</v>
      </c>
      <c r="C319">
        <v>34</v>
      </c>
      <c r="D319" s="2" t="s">
        <v>21</v>
      </c>
      <c r="E319" s="2" t="s">
        <v>14</v>
      </c>
      <c r="F319" s="2" t="s">
        <v>15</v>
      </c>
      <c r="G319" s="2" t="s">
        <v>66</v>
      </c>
      <c r="H319" s="2" t="s">
        <v>17</v>
      </c>
      <c r="I319" s="2" t="s">
        <v>17</v>
      </c>
      <c r="J319">
        <v>0.46</v>
      </c>
      <c r="K319" s="1">
        <v>44422</v>
      </c>
      <c r="L319" s="2" t="str">
        <f>IF(Sheet1[[#This Row],[age]]&lt;18, "Under 18",IF(Sheet1[[#This Row],[age]]&lt;=30,"18-30",IF(Sheet1[[#This Row],[age]]&lt;=45,"31-45",IF(Sheet1[[#This Row],[age]]&lt;=60,"46-60","60+"))))</f>
        <v>31-45</v>
      </c>
      <c r="M319" s="2" t="str">
        <f>IF(Sheet1[[#This Row],[risk_score]]&lt;0.3,"Low",IF(Sheet1[[#This Row],[risk_score]]&lt;0.7,"Medium","High"))</f>
        <v>Medium</v>
      </c>
      <c r="N319">
        <f>YEAR(Sheet1[[#This Row],[date_joined]])</f>
        <v>2021</v>
      </c>
      <c r="O319" s="2" t="str">
        <f>TEXT(Sheet1[[#This Row],[date_joined]],"mmm")</f>
        <v>Aug</v>
      </c>
      <c r="P319" s="2" t="str">
        <f>"Q"&amp;ROUNDUP(MONTH(Sheet1[[#This Row],[date_joined]])/3,0)</f>
        <v>Q3</v>
      </c>
      <c r="Q319" s="2" t="str">
        <f>IF(Sheet1[[#This Row],[age]]&lt;30,"Young",IF(Sheet1[[#This Row],[age]]&lt;=50,"Adult","Senior"))</f>
        <v>Adult</v>
      </c>
      <c r="R319" s="2" t="str">
        <f t="shared" si="8"/>
        <v>Low</v>
      </c>
      <c r="S319" s="2" t="str">
        <f t="shared" si="9"/>
        <v>North-East - Student</v>
      </c>
    </row>
    <row r="320" spans="1:19" x14ac:dyDescent="0.3">
      <c r="A320" t="s">
        <v>663</v>
      </c>
      <c r="B320" t="s">
        <v>664</v>
      </c>
      <c r="C320">
        <v>24</v>
      </c>
      <c r="D320" s="2" t="s">
        <v>13</v>
      </c>
      <c r="E320" s="2" t="s">
        <v>14</v>
      </c>
      <c r="F320" s="2" t="s">
        <v>31</v>
      </c>
      <c r="G320" s="2" t="s">
        <v>24</v>
      </c>
      <c r="H320" s="2" t="s">
        <v>17</v>
      </c>
      <c r="I320" s="2" t="s">
        <v>17</v>
      </c>
      <c r="J320">
        <v>0.36</v>
      </c>
      <c r="K320" s="1">
        <v>44976</v>
      </c>
      <c r="L320" s="2" t="str">
        <f>IF(Sheet1[[#This Row],[age]]&lt;18, "Under 18",IF(Sheet1[[#This Row],[age]]&lt;=30,"18-30",IF(Sheet1[[#This Row],[age]]&lt;=45,"31-45",IF(Sheet1[[#This Row],[age]]&lt;=60,"46-60","60+"))))</f>
        <v>18-30</v>
      </c>
      <c r="M320" s="2" t="str">
        <f>IF(Sheet1[[#This Row],[risk_score]]&lt;0.3,"Low",IF(Sheet1[[#This Row],[risk_score]]&lt;0.7,"Medium","High"))</f>
        <v>Medium</v>
      </c>
      <c r="N320">
        <f>YEAR(Sheet1[[#This Row],[date_joined]])</f>
        <v>2023</v>
      </c>
      <c r="O320" s="2" t="str">
        <f>TEXT(Sheet1[[#This Row],[date_joined]],"mmm")</f>
        <v>Feb</v>
      </c>
      <c r="P320" s="2" t="str">
        <f>"Q"&amp;ROUNDUP(MONTH(Sheet1[[#This Row],[date_joined]])/3,0)</f>
        <v>Q1</v>
      </c>
      <c r="Q320" s="2" t="str">
        <f>IF(Sheet1[[#This Row],[age]]&lt;30,"Young",IF(Sheet1[[#This Row],[age]]&lt;=50,"Adult","Senior"))</f>
        <v>Young</v>
      </c>
      <c r="R320" s="2" t="str">
        <f t="shared" si="8"/>
        <v>Low</v>
      </c>
      <c r="S320" s="2" t="str">
        <f t="shared" si="9"/>
        <v>East - Self-employed</v>
      </c>
    </row>
    <row r="321" spans="1:19" x14ac:dyDescent="0.3">
      <c r="A321" t="s">
        <v>665</v>
      </c>
      <c r="B321" t="s">
        <v>666</v>
      </c>
      <c r="C321">
        <v>19</v>
      </c>
      <c r="D321" s="2" t="s">
        <v>13</v>
      </c>
      <c r="E321" s="2" t="s">
        <v>22</v>
      </c>
      <c r="F321" s="2" t="s">
        <v>37</v>
      </c>
      <c r="G321" s="2" t="s">
        <v>81</v>
      </c>
      <c r="H321" s="2" t="s">
        <v>17</v>
      </c>
      <c r="I321" s="2" t="s">
        <v>17</v>
      </c>
      <c r="J321">
        <v>0.31</v>
      </c>
      <c r="K321" s="1">
        <v>43764</v>
      </c>
      <c r="L321" s="2" t="str">
        <f>IF(Sheet1[[#This Row],[age]]&lt;18, "Under 18",IF(Sheet1[[#This Row],[age]]&lt;=30,"18-30",IF(Sheet1[[#This Row],[age]]&lt;=45,"31-45",IF(Sheet1[[#This Row],[age]]&lt;=60,"46-60","60+"))))</f>
        <v>18-30</v>
      </c>
      <c r="M321" s="2" t="str">
        <f>IF(Sheet1[[#This Row],[risk_score]]&lt;0.3,"Low",IF(Sheet1[[#This Row],[risk_score]]&lt;0.7,"Medium","High"))</f>
        <v>Medium</v>
      </c>
      <c r="N321">
        <f>YEAR(Sheet1[[#This Row],[date_joined]])</f>
        <v>2019</v>
      </c>
      <c r="O321" s="2" t="str">
        <f>TEXT(Sheet1[[#This Row],[date_joined]],"mmm")</f>
        <v>Oct</v>
      </c>
      <c r="P321" s="2" t="str">
        <f>"Q"&amp;ROUNDUP(MONTH(Sheet1[[#This Row],[date_joined]])/3,0)</f>
        <v>Q4</v>
      </c>
      <c r="Q321" s="2" t="str">
        <f>IF(Sheet1[[#This Row],[age]]&lt;30,"Young",IF(Sheet1[[#This Row],[age]]&lt;=50,"Adult","Senior"))</f>
        <v>Young</v>
      </c>
      <c r="R321" s="2" t="str">
        <f t="shared" si="8"/>
        <v>Low</v>
      </c>
      <c r="S321" s="2" t="str">
        <f t="shared" si="9"/>
        <v>Central - Retired</v>
      </c>
    </row>
    <row r="322" spans="1:19" x14ac:dyDescent="0.3">
      <c r="A322" t="s">
        <v>667</v>
      </c>
      <c r="B322" t="s">
        <v>668</v>
      </c>
      <c r="C322">
        <v>30</v>
      </c>
      <c r="D322" s="2" t="s">
        <v>13</v>
      </c>
      <c r="E322" s="2" t="s">
        <v>14</v>
      </c>
      <c r="F322" s="2" t="s">
        <v>37</v>
      </c>
      <c r="G322" s="2" t="s">
        <v>24</v>
      </c>
      <c r="H322" s="2" t="s">
        <v>18</v>
      </c>
      <c r="I322" s="2" t="s">
        <v>17</v>
      </c>
      <c r="J322">
        <v>0.69</v>
      </c>
      <c r="K322" s="1">
        <v>43104</v>
      </c>
      <c r="L322" s="2" t="str">
        <f>IF(Sheet1[[#This Row],[age]]&lt;18, "Under 18",IF(Sheet1[[#This Row],[age]]&lt;=30,"18-30",IF(Sheet1[[#This Row],[age]]&lt;=45,"31-45",IF(Sheet1[[#This Row],[age]]&lt;=60,"46-60","60+"))))</f>
        <v>18-30</v>
      </c>
      <c r="M322" s="2" t="str">
        <f>IF(Sheet1[[#This Row],[risk_score]]&lt;0.3,"Low",IF(Sheet1[[#This Row],[risk_score]]&lt;0.7,"Medium","High"))</f>
        <v>Medium</v>
      </c>
      <c r="N322">
        <f>YEAR(Sheet1[[#This Row],[date_joined]])</f>
        <v>2018</v>
      </c>
      <c r="O322" s="2" t="str">
        <f>TEXT(Sheet1[[#This Row],[date_joined]],"mmm")</f>
        <v>Jan</v>
      </c>
      <c r="P322" s="2" t="str">
        <f>"Q"&amp;ROUNDUP(MONTH(Sheet1[[#This Row],[date_joined]])/3,0)</f>
        <v>Q1</v>
      </c>
      <c r="Q322" s="2" t="str">
        <f>IF(Sheet1[[#This Row],[age]]&lt;30,"Young",IF(Sheet1[[#This Row],[age]]&lt;=50,"Adult","Senior"))</f>
        <v>Adult</v>
      </c>
      <c r="R322" s="2" t="str">
        <f t="shared" ref="R322:R385" si="10">IF(AND(H322="Yes",I322="Yes"),"Very High",
IF(OR(H322="Yes",I322="Yes"),"High","Low"))</f>
        <v>High</v>
      </c>
      <c r="S322" s="2" t="str">
        <f t="shared" ref="S322:S385" si="11">G322&amp;" - "&amp;F322</f>
        <v>East - Retired</v>
      </c>
    </row>
    <row r="323" spans="1:19" x14ac:dyDescent="0.3">
      <c r="A323" t="s">
        <v>669</v>
      </c>
      <c r="B323" t="s">
        <v>670</v>
      </c>
      <c r="C323">
        <v>52</v>
      </c>
      <c r="D323" s="2" t="s">
        <v>13</v>
      </c>
      <c r="E323" s="2" t="s">
        <v>22</v>
      </c>
      <c r="F323" s="2" t="s">
        <v>37</v>
      </c>
      <c r="G323" s="2" t="s">
        <v>27</v>
      </c>
      <c r="H323" s="2" t="s">
        <v>17</v>
      </c>
      <c r="I323" s="2" t="s">
        <v>18</v>
      </c>
      <c r="J323">
        <v>0.35</v>
      </c>
      <c r="K323" s="1">
        <v>43628</v>
      </c>
      <c r="L323" s="2" t="str">
        <f>IF(Sheet1[[#This Row],[age]]&lt;18, "Under 18",IF(Sheet1[[#This Row],[age]]&lt;=30,"18-30",IF(Sheet1[[#This Row],[age]]&lt;=45,"31-45",IF(Sheet1[[#This Row],[age]]&lt;=60,"46-60","60+"))))</f>
        <v>46-60</v>
      </c>
      <c r="M323" s="2" t="str">
        <f>IF(Sheet1[[#This Row],[risk_score]]&lt;0.3,"Low",IF(Sheet1[[#This Row],[risk_score]]&lt;0.7,"Medium","High"))</f>
        <v>Medium</v>
      </c>
      <c r="N323">
        <f>YEAR(Sheet1[[#This Row],[date_joined]])</f>
        <v>2019</v>
      </c>
      <c r="O323" s="2" t="str">
        <f>TEXT(Sheet1[[#This Row],[date_joined]],"mmm")</f>
        <v>Jun</v>
      </c>
      <c r="P323" s="2" t="str">
        <f>"Q"&amp;ROUNDUP(MONTH(Sheet1[[#This Row],[date_joined]])/3,0)</f>
        <v>Q2</v>
      </c>
      <c r="Q323" s="2" t="str">
        <f>IF(Sheet1[[#This Row],[age]]&lt;30,"Young",IF(Sheet1[[#This Row],[age]]&lt;=50,"Adult","Senior"))</f>
        <v>Senior</v>
      </c>
      <c r="R323" s="2" t="str">
        <f t="shared" si="10"/>
        <v>High</v>
      </c>
      <c r="S323" s="2" t="str">
        <f t="shared" si="11"/>
        <v>North - Retired</v>
      </c>
    </row>
    <row r="324" spans="1:19" x14ac:dyDescent="0.3">
      <c r="A324" t="s">
        <v>671</v>
      </c>
      <c r="B324" t="s">
        <v>672</v>
      </c>
      <c r="C324">
        <v>31</v>
      </c>
      <c r="D324" s="2" t="s">
        <v>21</v>
      </c>
      <c r="E324" s="2" t="s">
        <v>14</v>
      </c>
      <c r="F324" s="2" t="s">
        <v>15</v>
      </c>
      <c r="G324" s="2" t="s">
        <v>81</v>
      </c>
      <c r="H324" s="2" t="s">
        <v>17</v>
      </c>
      <c r="I324" s="2" t="s">
        <v>17</v>
      </c>
      <c r="J324">
        <v>0.38</v>
      </c>
      <c r="K324" s="1">
        <v>44412</v>
      </c>
      <c r="L324" s="2" t="str">
        <f>IF(Sheet1[[#This Row],[age]]&lt;18, "Under 18",IF(Sheet1[[#This Row],[age]]&lt;=30,"18-30",IF(Sheet1[[#This Row],[age]]&lt;=45,"31-45",IF(Sheet1[[#This Row],[age]]&lt;=60,"46-60","60+"))))</f>
        <v>31-45</v>
      </c>
      <c r="M324" s="2" t="str">
        <f>IF(Sheet1[[#This Row],[risk_score]]&lt;0.3,"Low",IF(Sheet1[[#This Row],[risk_score]]&lt;0.7,"Medium","High"))</f>
        <v>Medium</v>
      </c>
      <c r="N324">
        <f>YEAR(Sheet1[[#This Row],[date_joined]])</f>
        <v>2021</v>
      </c>
      <c r="O324" s="2" t="str">
        <f>TEXT(Sheet1[[#This Row],[date_joined]],"mmm")</f>
        <v>Aug</v>
      </c>
      <c r="P324" s="2" t="str">
        <f>"Q"&amp;ROUNDUP(MONTH(Sheet1[[#This Row],[date_joined]])/3,0)</f>
        <v>Q3</v>
      </c>
      <c r="Q324" s="2" t="str">
        <f>IF(Sheet1[[#This Row],[age]]&lt;30,"Young",IF(Sheet1[[#This Row],[age]]&lt;=50,"Adult","Senior"))</f>
        <v>Adult</v>
      </c>
      <c r="R324" s="2" t="str">
        <f t="shared" si="10"/>
        <v>Low</v>
      </c>
      <c r="S324" s="2" t="str">
        <f t="shared" si="11"/>
        <v>Central - Student</v>
      </c>
    </row>
    <row r="325" spans="1:19" x14ac:dyDescent="0.3">
      <c r="A325" t="s">
        <v>673</v>
      </c>
      <c r="B325" t="s">
        <v>674</v>
      </c>
      <c r="C325">
        <v>64</v>
      </c>
      <c r="D325" s="2" t="s">
        <v>13</v>
      </c>
      <c r="E325" s="2" t="s">
        <v>30</v>
      </c>
      <c r="F325" s="2" t="s">
        <v>31</v>
      </c>
      <c r="G325" s="2" t="s">
        <v>81</v>
      </c>
      <c r="H325" s="2" t="s">
        <v>17</v>
      </c>
      <c r="I325" s="2" t="s">
        <v>17</v>
      </c>
      <c r="J325">
        <v>0.46</v>
      </c>
      <c r="K325" s="1">
        <v>43389</v>
      </c>
      <c r="L325" s="2" t="str">
        <f>IF(Sheet1[[#This Row],[age]]&lt;18, "Under 18",IF(Sheet1[[#This Row],[age]]&lt;=30,"18-30",IF(Sheet1[[#This Row],[age]]&lt;=45,"31-45",IF(Sheet1[[#This Row],[age]]&lt;=60,"46-60","60+"))))</f>
        <v>60+</v>
      </c>
      <c r="M325" s="2" t="str">
        <f>IF(Sheet1[[#This Row],[risk_score]]&lt;0.3,"Low",IF(Sheet1[[#This Row],[risk_score]]&lt;0.7,"Medium","High"))</f>
        <v>Medium</v>
      </c>
      <c r="N325">
        <f>YEAR(Sheet1[[#This Row],[date_joined]])</f>
        <v>2018</v>
      </c>
      <c r="O325" s="2" t="str">
        <f>TEXT(Sheet1[[#This Row],[date_joined]],"mmm")</f>
        <v>Oct</v>
      </c>
      <c r="P325" s="2" t="str">
        <f>"Q"&amp;ROUNDUP(MONTH(Sheet1[[#This Row],[date_joined]])/3,0)</f>
        <v>Q4</v>
      </c>
      <c r="Q325" s="2" t="str">
        <f>IF(Sheet1[[#This Row],[age]]&lt;30,"Young",IF(Sheet1[[#This Row],[age]]&lt;=50,"Adult","Senior"))</f>
        <v>Senior</v>
      </c>
      <c r="R325" s="2" t="str">
        <f t="shared" si="10"/>
        <v>Low</v>
      </c>
      <c r="S325" s="2" t="str">
        <f t="shared" si="11"/>
        <v>Central - Self-employed</v>
      </c>
    </row>
    <row r="326" spans="1:19" x14ac:dyDescent="0.3">
      <c r="A326" t="s">
        <v>675</v>
      </c>
      <c r="B326" t="s">
        <v>676</v>
      </c>
      <c r="C326">
        <v>58</v>
      </c>
      <c r="D326" s="2" t="s">
        <v>21</v>
      </c>
      <c r="E326" s="2" t="s">
        <v>14</v>
      </c>
      <c r="F326" s="2" t="s">
        <v>15</v>
      </c>
      <c r="G326" s="2" t="s">
        <v>66</v>
      </c>
      <c r="H326" s="2" t="s">
        <v>18</v>
      </c>
      <c r="I326" s="2" t="s">
        <v>18</v>
      </c>
      <c r="J326">
        <v>0.47</v>
      </c>
      <c r="K326" s="1">
        <v>44211</v>
      </c>
      <c r="L326" s="2" t="str">
        <f>IF(Sheet1[[#This Row],[age]]&lt;18, "Under 18",IF(Sheet1[[#This Row],[age]]&lt;=30,"18-30",IF(Sheet1[[#This Row],[age]]&lt;=45,"31-45",IF(Sheet1[[#This Row],[age]]&lt;=60,"46-60","60+"))))</f>
        <v>46-60</v>
      </c>
      <c r="M326" s="2" t="str">
        <f>IF(Sheet1[[#This Row],[risk_score]]&lt;0.3,"Low",IF(Sheet1[[#This Row],[risk_score]]&lt;0.7,"Medium","High"))</f>
        <v>Medium</v>
      </c>
      <c r="N326">
        <f>YEAR(Sheet1[[#This Row],[date_joined]])</f>
        <v>2021</v>
      </c>
      <c r="O326" s="2" t="str">
        <f>TEXT(Sheet1[[#This Row],[date_joined]],"mmm")</f>
        <v>Jan</v>
      </c>
      <c r="P326" s="2" t="str">
        <f>"Q"&amp;ROUNDUP(MONTH(Sheet1[[#This Row],[date_joined]])/3,0)</f>
        <v>Q1</v>
      </c>
      <c r="Q326" s="2" t="str">
        <f>IF(Sheet1[[#This Row],[age]]&lt;30,"Young",IF(Sheet1[[#This Row],[age]]&lt;=50,"Adult","Senior"))</f>
        <v>Senior</v>
      </c>
      <c r="R326" s="2" t="str">
        <f t="shared" si="10"/>
        <v>Very High</v>
      </c>
      <c r="S326" s="2" t="str">
        <f t="shared" si="11"/>
        <v>North-East - Student</v>
      </c>
    </row>
    <row r="327" spans="1:19" x14ac:dyDescent="0.3">
      <c r="A327" t="s">
        <v>677</v>
      </c>
      <c r="B327" t="s">
        <v>678</v>
      </c>
      <c r="C327">
        <v>43</v>
      </c>
      <c r="D327" s="2" t="s">
        <v>13</v>
      </c>
      <c r="E327" s="2" t="s">
        <v>22</v>
      </c>
      <c r="F327" s="2" t="s">
        <v>37</v>
      </c>
      <c r="G327" s="2" t="s">
        <v>32</v>
      </c>
      <c r="H327" s="2" t="s">
        <v>18</v>
      </c>
      <c r="I327" s="2" t="s">
        <v>17</v>
      </c>
      <c r="J327">
        <v>0.56000000000000005</v>
      </c>
      <c r="K327" s="1">
        <v>44108</v>
      </c>
      <c r="L327" s="2" t="str">
        <f>IF(Sheet1[[#This Row],[age]]&lt;18, "Under 18",IF(Sheet1[[#This Row],[age]]&lt;=30,"18-30",IF(Sheet1[[#This Row],[age]]&lt;=45,"31-45",IF(Sheet1[[#This Row],[age]]&lt;=60,"46-60","60+"))))</f>
        <v>31-45</v>
      </c>
      <c r="M327" s="2" t="str">
        <f>IF(Sheet1[[#This Row],[risk_score]]&lt;0.3,"Low",IF(Sheet1[[#This Row],[risk_score]]&lt;0.7,"Medium","High"))</f>
        <v>Medium</v>
      </c>
      <c r="N327">
        <f>YEAR(Sheet1[[#This Row],[date_joined]])</f>
        <v>2020</v>
      </c>
      <c r="O327" s="2" t="str">
        <f>TEXT(Sheet1[[#This Row],[date_joined]],"mmm")</f>
        <v>Oct</v>
      </c>
      <c r="P327" s="2" t="str">
        <f>"Q"&amp;ROUNDUP(MONTH(Sheet1[[#This Row],[date_joined]])/3,0)</f>
        <v>Q4</v>
      </c>
      <c r="Q327" s="2" t="str">
        <f>IF(Sheet1[[#This Row],[age]]&lt;30,"Young",IF(Sheet1[[#This Row],[age]]&lt;=50,"Adult","Senior"))</f>
        <v>Adult</v>
      </c>
      <c r="R327" s="2" t="str">
        <f t="shared" si="10"/>
        <v>High</v>
      </c>
      <c r="S327" s="2" t="str">
        <f t="shared" si="11"/>
        <v>South - Retired</v>
      </c>
    </row>
    <row r="328" spans="1:19" x14ac:dyDescent="0.3">
      <c r="A328" t="s">
        <v>679</v>
      </c>
      <c r="B328" t="s">
        <v>680</v>
      </c>
      <c r="C328">
        <v>48</v>
      </c>
      <c r="D328" s="2" t="s">
        <v>13</v>
      </c>
      <c r="E328" s="2" t="s">
        <v>22</v>
      </c>
      <c r="F328" s="2" t="s">
        <v>31</v>
      </c>
      <c r="G328" s="2" t="s">
        <v>66</v>
      </c>
      <c r="H328" s="2" t="s">
        <v>18</v>
      </c>
      <c r="I328" s="2" t="s">
        <v>17</v>
      </c>
      <c r="J328">
        <v>0.56000000000000005</v>
      </c>
      <c r="K328" s="1">
        <v>43520</v>
      </c>
      <c r="L328" s="2" t="str">
        <f>IF(Sheet1[[#This Row],[age]]&lt;18, "Under 18",IF(Sheet1[[#This Row],[age]]&lt;=30,"18-30",IF(Sheet1[[#This Row],[age]]&lt;=45,"31-45",IF(Sheet1[[#This Row],[age]]&lt;=60,"46-60","60+"))))</f>
        <v>46-60</v>
      </c>
      <c r="M328" s="2" t="str">
        <f>IF(Sheet1[[#This Row],[risk_score]]&lt;0.3,"Low",IF(Sheet1[[#This Row],[risk_score]]&lt;0.7,"Medium","High"))</f>
        <v>Medium</v>
      </c>
      <c r="N328">
        <f>YEAR(Sheet1[[#This Row],[date_joined]])</f>
        <v>2019</v>
      </c>
      <c r="O328" s="2" t="str">
        <f>TEXT(Sheet1[[#This Row],[date_joined]],"mmm")</f>
        <v>Feb</v>
      </c>
      <c r="P328" s="2" t="str">
        <f>"Q"&amp;ROUNDUP(MONTH(Sheet1[[#This Row],[date_joined]])/3,0)</f>
        <v>Q1</v>
      </c>
      <c r="Q328" s="2" t="str">
        <f>IF(Sheet1[[#This Row],[age]]&lt;30,"Young",IF(Sheet1[[#This Row],[age]]&lt;=50,"Adult","Senior"))</f>
        <v>Adult</v>
      </c>
      <c r="R328" s="2" t="str">
        <f t="shared" si="10"/>
        <v>High</v>
      </c>
      <c r="S328" s="2" t="str">
        <f t="shared" si="11"/>
        <v>North-East - Self-employed</v>
      </c>
    </row>
    <row r="329" spans="1:19" x14ac:dyDescent="0.3">
      <c r="A329" t="s">
        <v>681</v>
      </c>
      <c r="B329" t="s">
        <v>682</v>
      </c>
      <c r="C329">
        <v>19</v>
      </c>
      <c r="D329" s="2" t="s">
        <v>13</v>
      </c>
      <c r="E329" s="2" t="s">
        <v>30</v>
      </c>
      <c r="F329" s="2" t="s">
        <v>23</v>
      </c>
      <c r="G329" s="2" t="s">
        <v>16</v>
      </c>
      <c r="H329" s="2" t="s">
        <v>18</v>
      </c>
      <c r="I329" s="2" t="s">
        <v>18</v>
      </c>
      <c r="J329">
        <v>0.43</v>
      </c>
      <c r="K329" s="1">
        <v>43929</v>
      </c>
      <c r="L329" s="2" t="str">
        <f>IF(Sheet1[[#This Row],[age]]&lt;18, "Under 18",IF(Sheet1[[#This Row],[age]]&lt;=30,"18-30",IF(Sheet1[[#This Row],[age]]&lt;=45,"31-45",IF(Sheet1[[#This Row],[age]]&lt;=60,"46-60","60+"))))</f>
        <v>18-30</v>
      </c>
      <c r="M329" s="2" t="str">
        <f>IF(Sheet1[[#This Row],[risk_score]]&lt;0.3,"Low",IF(Sheet1[[#This Row],[risk_score]]&lt;0.7,"Medium","High"))</f>
        <v>Medium</v>
      </c>
      <c r="N329">
        <f>YEAR(Sheet1[[#This Row],[date_joined]])</f>
        <v>2020</v>
      </c>
      <c r="O329" s="2" t="str">
        <f>TEXT(Sheet1[[#This Row],[date_joined]],"mmm")</f>
        <v>Apr</v>
      </c>
      <c r="P329" s="2" t="str">
        <f>"Q"&amp;ROUNDUP(MONTH(Sheet1[[#This Row],[date_joined]])/3,0)</f>
        <v>Q2</v>
      </c>
      <c r="Q329" s="2" t="str">
        <f>IF(Sheet1[[#This Row],[age]]&lt;30,"Young",IF(Sheet1[[#This Row],[age]]&lt;=50,"Adult","Senior"))</f>
        <v>Young</v>
      </c>
      <c r="R329" s="2" t="str">
        <f t="shared" si="10"/>
        <v>Very High</v>
      </c>
      <c r="S329" s="2" t="str">
        <f t="shared" si="11"/>
        <v>West - Salaried</v>
      </c>
    </row>
    <row r="330" spans="1:19" x14ac:dyDescent="0.3">
      <c r="A330" t="s">
        <v>683</v>
      </c>
      <c r="B330" t="s">
        <v>684</v>
      </c>
      <c r="C330">
        <v>21</v>
      </c>
      <c r="D330" s="2" t="s">
        <v>21</v>
      </c>
      <c r="E330" s="2" t="s">
        <v>14</v>
      </c>
      <c r="F330" s="2" t="s">
        <v>15</v>
      </c>
      <c r="G330" s="2" t="s">
        <v>66</v>
      </c>
      <c r="H330" s="2" t="s">
        <v>17</v>
      </c>
      <c r="I330" s="2" t="s">
        <v>18</v>
      </c>
      <c r="J330">
        <v>0.47</v>
      </c>
      <c r="K330" s="1">
        <v>43841</v>
      </c>
      <c r="L330" s="2" t="str">
        <f>IF(Sheet1[[#This Row],[age]]&lt;18, "Under 18",IF(Sheet1[[#This Row],[age]]&lt;=30,"18-30",IF(Sheet1[[#This Row],[age]]&lt;=45,"31-45",IF(Sheet1[[#This Row],[age]]&lt;=60,"46-60","60+"))))</f>
        <v>18-30</v>
      </c>
      <c r="M330" s="2" t="str">
        <f>IF(Sheet1[[#This Row],[risk_score]]&lt;0.3,"Low",IF(Sheet1[[#This Row],[risk_score]]&lt;0.7,"Medium","High"))</f>
        <v>Medium</v>
      </c>
      <c r="N330">
        <f>YEAR(Sheet1[[#This Row],[date_joined]])</f>
        <v>2020</v>
      </c>
      <c r="O330" s="2" t="str">
        <f>TEXT(Sheet1[[#This Row],[date_joined]],"mmm")</f>
        <v>Jan</v>
      </c>
      <c r="P330" s="2" t="str">
        <f>"Q"&amp;ROUNDUP(MONTH(Sheet1[[#This Row],[date_joined]])/3,0)</f>
        <v>Q1</v>
      </c>
      <c r="Q330" s="2" t="str">
        <f>IF(Sheet1[[#This Row],[age]]&lt;30,"Young",IF(Sheet1[[#This Row],[age]]&lt;=50,"Adult","Senior"))</f>
        <v>Young</v>
      </c>
      <c r="R330" s="2" t="str">
        <f t="shared" si="10"/>
        <v>High</v>
      </c>
      <c r="S330" s="2" t="str">
        <f t="shared" si="11"/>
        <v>North-East - Student</v>
      </c>
    </row>
    <row r="331" spans="1:19" x14ac:dyDescent="0.3">
      <c r="A331" t="s">
        <v>685</v>
      </c>
      <c r="B331" t="s">
        <v>686</v>
      </c>
      <c r="C331">
        <v>66</v>
      </c>
      <c r="D331" s="2" t="s">
        <v>13</v>
      </c>
      <c r="E331" s="2" t="s">
        <v>22</v>
      </c>
      <c r="F331" s="2" t="s">
        <v>23</v>
      </c>
      <c r="G331" s="2" t="s">
        <v>27</v>
      </c>
      <c r="H331" s="2" t="s">
        <v>18</v>
      </c>
      <c r="I331" s="2" t="s">
        <v>17</v>
      </c>
      <c r="J331">
        <v>0.7</v>
      </c>
      <c r="K331" s="1">
        <v>45089</v>
      </c>
      <c r="L331" s="2" t="str">
        <f>IF(Sheet1[[#This Row],[age]]&lt;18, "Under 18",IF(Sheet1[[#This Row],[age]]&lt;=30,"18-30",IF(Sheet1[[#This Row],[age]]&lt;=45,"31-45",IF(Sheet1[[#This Row],[age]]&lt;=60,"46-60","60+"))))</f>
        <v>60+</v>
      </c>
      <c r="M331" s="2" t="str">
        <f>IF(Sheet1[[#This Row],[risk_score]]&lt;0.3,"Low",IF(Sheet1[[#This Row],[risk_score]]&lt;0.7,"Medium","High"))</f>
        <v>High</v>
      </c>
      <c r="N331">
        <f>YEAR(Sheet1[[#This Row],[date_joined]])</f>
        <v>2023</v>
      </c>
      <c r="O331" s="2" t="str">
        <f>TEXT(Sheet1[[#This Row],[date_joined]],"mmm")</f>
        <v>Jun</v>
      </c>
      <c r="P331" s="2" t="str">
        <f>"Q"&amp;ROUNDUP(MONTH(Sheet1[[#This Row],[date_joined]])/3,0)</f>
        <v>Q2</v>
      </c>
      <c r="Q331" s="2" t="str">
        <f>IF(Sheet1[[#This Row],[age]]&lt;30,"Young",IF(Sheet1[[#This Row],[age]]&lt;=50,"Adult","Senior"))</f>
        <v>Senior</v>
      </c>
      <c r="R331" s="2" t="str">
        <f t="shared" si="10"/>
        <v>High</v>
      </c>
      <c r="S331" s="2" t="str">
        <f t="shared" si="11"/>
        <v>North - Salaried</v>
      </c>
    </row>
    <row r="332" spans="1:19" x14ac:dyDescent="0.3">
      <c r="A332" t="s">
        <v>687</v>
      </c>
      <c r="B332" t="s">
        <v>688</v>
      </c>
      <c r="C332">
        <v>18</v>
      </c>
      <c r="D332" s="2" t="s">
        <v>21</v>
      </c>
      <c r="E332" s="2" t="s">
        <v>30</v>
      </c>
      <c r="F332" s="2" t="s">
        <v>15</v>
      </c>
      <c r="G332" s="2" t="s">
        <v>24</v>
      </c>
      <c r="H332" s="2" t="s">
        <v>17</v>
      </c>
      <c r="I332" s="2" t="s">
        <v>17</v>
      </c>
      <c r="J332">
        <v>0.24</v>
      </c>
      <c r="K332" s="1">
        <v>44324</v>
      </c>
      <c r="L332" s="2" t="str">
        <f>IF(Sheet1[[#This Row],[age]]&lt;18, "Under 18",IF(Sheet1[[#This Row],[age]]&lt;=30,"18-30",IF(Sheet1[[#This Row],[age]]&lt;=45,"31-45",IF(Sheet1[[#This Row],[age]]&lt;=60,"46-60","60+"))))</f>
        <v>18-30</v>
      </c>
      <c r="M332" s="2" t="str">
        <f>IF(Sheet1[[#This Row],[risk_score]]&lt;0.3,"Low",IF(Sheet1[[#This Row],[risk_score]]&lt;0.7,"Medium","High"))</f>
        <v>Low</v>
      </c>
      <c r="N332">
        <f>YEAR(Sheet1[[#This Row],[date_joined]])</f>
        <v>2021</v>
      </c>
      <c r="O332" s="2" t="str">
        <f>TEXT(Sheet1[[#This Row],[date_joined]],"mmm")</f>
        <v>May</v>
      </c>
      <c r="P332" s="2" t="str">
        <f>"Q"&amp;ROUNDUP(MONTH(Sheet1[[#This Row],[date_joined]])/3,0)</f>
        <v>Q2</v>
      </c>
      <c r="Q332" s="2" t="str">
        <f>IF(Sheet1[[#This Row],[age]]&lt;30,"Young",IF(Sheet1[[#This Row],[age]]&lt;=50,"Adult","Senior"))</f>
        <v>Young</v>
      </c>
      <c r="R332" s="2" t="str">
        <f t="shared" si="10"/>
        <v>Low</v>
      </c>
      <c r="S332" s="2" t="str">
        <f t="shared" si="11"/>
        <v>East - Student</v>
      </c>
    </row>
    <row r="333" spans="1:19" x14ac:dyDescent="0.3">
      <c r="A333" t="s">
        <v>689</v>
      </c>
      <c r="B333" t="s">
        <v>690</v>
      </c>
      <c r="C333">
        <v>31</v>
      </c>
      <c r="D333" s="2" t="s">
        <v>21</v>
      </c>
      <c r="E333" s="2" t="s">
        <v>22</v>
      </c>
      <c r="F333" s="2" t="s">
        <v>23</v>
      </c>
      <c r="G333" s="2" t="s">
        <v>32</v>
      </c>
      <c r="H333" s="2" t="s">
        <v>17</v>
      </c>
      <c r="I333" s="2" t="s">
        <v>18</v>
      </c>
      <c r="J333">
        <v>0.28999999999999998</v>
      </c>
      <c r="K333" s="1">
        <v>44456</v>
      </c>
      <c r="L333" s="2" t="str">
        <f>IF(Sheet1[[#This Row],[age]]&lt;18, "Under 18",IF(Sheet1[[#This Row],[age]]&lt;=30,"18-30",IF(Sheet1[[#This Row],[age]]&lt;=45,"31-45",IF(Sheet1[[#This Row],[age]]&lt;=60,"46-60","60+"))))</f>
        <v>31-45</v>
      </c>
      <c r="M333" s="2" t="str">
        <f>IF(Sheet1[[#This Row],[risk_score]]&lt;0.3,"Low",IF(Sheet1[[#This Row],[risk_score]]&lt;0.7,"Medium","High"))</f>
        <v>Low</v>
      </c>
      <c r="N333">
        <f>YEAR(Sheet1[[#This Row],[date_joined]])</f>
        <v>2021</v>
      </c>
      <c r="O333" s="2" t="str">
        <f>TEXT(Sheet1[[#This Row],[date_joined]],"mmm")</f>
        <v>Sep</v>
      </c>
      <c r="P333" s="2" t="str">
        <f>"Q"&amp;ROUNDUP(MONTH(Sheet1[[#This Row],[date_joined]])/3,0)</f>
        <v>Q3</v>
      </c>
      <c r="Q333" s="2" t="str">
        <f>IF(Sheet1[[#This Row],[age]]&lt;30,"Young",IF(Sheet1[[#This Row],[age]]&lt;=50,"Adult","Senior"))</f>
        <v>Adult</v>
      </c>
      <c r="R333" s="2" t="str">
        <f t="shared" si="10"/>
        <v>High</v>
      </c>
      <c r="S333" s="2" t="str">
        <f t="shared" si="11"/>
        <v>South - Salaried</v>
      </c>
    </row>
    <row r="334" spans="1:19" x14ac:dyDescent="0.3">
      <c r="A334" t="s">
        <v>691</v>
      </c>
      <c r="B334" t="s">
        <v>692</v>
      </c>
      <c r="C334">
        <v>23</v>
      </c>
      <c r="D334" s="2" t="s">
        <v>21</v>
      </c>
      <c r="E334" s="2" t="s">
        <v>14</v>
      </c>
      <c r="F334" s="2" t="s">
        <v>37</v>
      </c>
      <c r="G334" s="2" t="s">
        <v>66</v>
      </c>
      <c r="H334" s="2" t="s">
        <v>18</v>
      </c>
      <c r="I334" s="2" t="s">
        <v>18</v>
      </c>
      <c r="J334">
        <v>0.74</v>
      </c>
      <c r="K334" s="1">
        <v>43307</v>
      </c>
      <c r="L334" s="2" t="str">
        <f>IF(Sheet1[[#This Row],[age]]&lt;18, "Under 18",IF(Sheet1[[#This Row],[age]]&lt;=30,"18-30",IF(Sheet1[[#This Row],[age]]&lt;=45,"31-45",IF(Sheet1[[#This Row],[age]]&lt;=60,"46-60","60+"))))</f>
        <v>18-30</v>
      </c>
      <c r="M334" s="2" t="str">
        <f>IF(Sheet1[[#This Row],[risk_score]]&lt;0.3,"Low",IF(Sheet1[[#This Row],[risk_score]]&lt;0.7,"Medium","High"))</f>
        <v>High</v>
      </c>
      <c r="N334">
        <f>YEAR(Sheet1[[#This Row],[date_joined]])</f>
        <v>2018</v>
      </c>
      <c r="O334" s="2" t="str">
        <f>TEXT(Sheet1[[#This Row],[date_joined]],"mmm")</f>
        <v>Jul</v>
      </c>
      <c r="P334" s="2" t="str">
        <f>"Q"&amp;ROUNDUP(MONTH(Sheet1[[#This Row],[date_joined]])/3,0)</f>
        <v>Q3</v>
      </c>
      <c r="Q334" s="2" t="str">
        <f>IF(Sheet1[[#This Row],[age]]&lt;30,"Young",IF(Sheet1[[#This Row],[age]]&lt;=50,"Adult","Senior"))</f>
        <v>Young</v>
      </c>
      <c r="R334" s="2" t="str">
        <f t="shared" si="10"/>
        <v>Very High</v>
      </c>
      <c r="S334" s="2" t="str">
        <f t="shared" si="11"/>
        <v>North-East - Retired</v>
      </c>
    </row>
    <row r="335" spans="1:19" x14ac:dyDescent="0.3">
      <c r="A335" t="s">
        <v>693</v>
      </c>
      <c r="B335" t="s">
        <v>694</v>
      </c>
      <c r="C335">
        <v>46</v>
      </c>
      <c r="D335" s="2" t="s">
        <v>13</v>
      </c>
      <c r="E335" s="2" t="s">
        <v>30</v>
      </c>
      <c r="F335" s="2" t="s">
        <v>31</v>
      </c>
      <c r="G335" s="2" t="s">
        <v>81</v>
      </c>
      <c r="H335" s="2" t="s">
        <v>17</v>
      </c>
      <c r="I335" s="2" t="s">
        <v>17</v>
      </c>
      <c r="J335">
        <v>0.33</v>
      </c>
      <c r="K335" s="1">
        <v>43942</v>
      </c>
      <c r="L335" s="2" t="str">
        <f>IF(Sheet1[[#This Row],[age]]&lt;18, "Under 18",IF(Sheet1[[#This Row],[age]]&lt;=30,"18-30",IF(Sheet1[[#This Row],[age]]&lt;=45,"31-45",IF(Sheet1[[#This Row],[age]]&lt;=60,"46-60","60+"))))</f>
        <v>46-60</v>
      </c>
      <c r="M335" s="2" t="str">
        <f>IF(Sheet1[[#This Row],[risk_score]]&lt;0.3,"Low",IF(Sheet1[[#This Row],[risk_score]]&lt;0.7,"Medium","High"))</f>
        <v>Medium</v>
      </c>
      <c r="N335">
        <f>YEAR(Sheet1[[#This Row],[date_joined]])</f>
        <v>2020</v>
      </c>
      <c r="O335" s="2" t="str">
        <f>TEXT(Sheet1[[#This Row],[date_joined]],"mmm")</f>
        <v>Apr</v>
      </c>
      <c r="P335" s="2" t="str">
        <f>"Q"&amp;ROUNDUP(MONTH(Sheet1[[#This Row],[date_joined]])/3,0)</f>
        <v>Q2</v>
      </c>
      <c r="Q335" s="2" t="str">
        <f>IF(Sheet1[[#This Row],[age]]&lt;30,"Young",IF(Sheet1[[#This Row],[age]]&lt;=50,"Adult","Senior"))</f>
        <v>Adult</v>
      </c>
      <c r="R335" s="2" t="str">
        <f t="shared" si="10"/>
        <v>Low</v>
      </c>
      <c r="S335" s="2" t="str">
        <f t="shared" si="11"/>
        <v>Central - Self-employed</v>
      </c>
    </row>
    <row r="336" spans="1:19" x14ac:dyDescent="0.3">
      <c r="A336" t="s">
        <v>695</v>
      </c>
      <c r="B336" t="s">
        <v>696</v>
      </c>
      <c r="C336">
        <v>44</v>
      </c>
      <c r="D336" s="2" t="s">
        <v>21</v>
      </c>
      <c r="E336" s="2" t="s">
        <v>14</v>
      </c>
      <c r="F336" s="2" t="s">
        <v>31</v>
      </c>
      <c r="G336" s="2" t="s">
        <v>16</v>
      </c>
      <c r="H336" s="2" t="s">
        <v>17</v>
      </c>
      <c r="I336" s="2" t="s">
        <v>18</v>
      </c>
      <c r="J336">
        <v>0.38</v>
      </c>
      <c r="K336" s="1">
        <v>44871</v>
      </c>
      <c r="L336" s="2" t="str">
        <f>IF(Sheet1[[#This Row],[age]]&lt;18, "Under 18",IF(Sheet1[[#This Row],[age]]&lt;=30,"18-30",IF(Sheet1[[#This Row],[age]]&lt;=45,"31-45",IF(Sheet1[[#This Row],[age]]&lt;=60,"46-60","60+"))))</f>
        <v>31-45</v>
      </c>
      <c r="M336" s="2" t="str">
        <f>IF(Sheet1[[#This Row],[risk_score]]&lt;0.3,"Low",IF(Sheet1[[#This Row],[risk_score]]&lt;0.7,"Medium","High"))</f>
        <v>Medium</v>
      </c>
      <c r="N336">
        <f>YEAR(Sheet1[[#This Row],[date_joined]])</f>
        <v>2022</v>
      </c>
      <c r="O336" s="2" t="str">
        <f>TEXT(Sheet1[[#This Row],[date_joined]],"mmm")</f>
        <v>Nov</v>
      </c>
      <c r="P336" s="2" t="str">
        <f>"Q"&amp;ROUNDUP(MONTH(Sheet1[[#This Row],[date_joined]])/3,0)</f>
        <v>Q4</v>
      </c>
      <c r="Q336" s="2" t="str">
        <f>IF(Sheet1[[#This Row],[age]]&lt;30,"Young",IF(Sheet1[[#This Row],[age]]&lt;=50,"Adult","Senior"))</f>
        <v>Adult</v>
      </c>
      <c r="R336" s="2" t="str">
        <f t="shared" si="10"/>
        <v>High</v>
      </c>
      <c r="S336" s="2" t="str">
        <f t="shared" si="11"/>
        <v>West - Self-employed</v>
      </c>
    </row>
    <row r="337" spans="1:19" x14ac:dyDescent="0.3">
      <c r="A337" t="s">
        <v>697</v>
      </c>
      <c r="B337" t="s">
        <v>698</v>
      </c>
      <c r="C337">
        <v>56</v>
      </c>
      <c r="D337" s="2" t="s">
        <v>13</v>
      </c>
      <c r="E337" s="2" t="s">
        <v>30</v>
      </c>
      <c r="F337" s="2" t="s">
        <v>23</v>
      </c>
      <c r="G337" s="2" t="s">
        <v>16</v>
      </c>
      <c r="H337" s="2" t="s">
        <v>17</v>
      </c>
      <c r="I337" s="2" t="s">
        <v>17</v>
      </c>
      <c r="J337">
        <v>0.83</v>
      </c>
      <c r="K337" s="1">
        <v>43535</v>
      </c>
      <c r="L337" s="2" t="str">
        <f>IF(Sheet1[[#This Row],[age]]&lt;18, "Under 18",IF(Sheet1[[#This Row],[age]]&lt;=30,"18-30",IF(Sheet1[[#This Row],[age]]&lt;=45,"31-45",IF(Sheet1[[#This Row],[age]]&lt;=60,"46-60","60+"))))</f>
        <v>46-60</v>
      </c>
      <c r="M337" s="2" t="str">
        <f>IF(Sheet1[[#This Row],[risk_score]]&lt;0.3,"Low",IF(Sheet1[[#This Row],[risk_score]]&lt;0.7,"Medium","High"))</f>
        <v>High</v>
      </c>
      <c r="N337">
        <f>YEAR(Sheet1[[#This Row],[date_joined]])</f>
        <v>2019</v>
      </c>
      <c r="O337" s="2" t="str">
        <f>TEXT(Sheet1[[#This Row],[date_joined]],"mmm")</f>
        <v>Mar</v>
      </c>
      <c r="P337" s="2" t="str">
        <f>"Q"&amp;ROUNDUP(MONTH(Sheet1[[#This Row],[date_joined]])/3,0)</f>
        <v>Q1</v>
      </c>
      <c r="Q337" s="2" t="str">
        <f>IF(Sheet1[[#This Row],[age]]&lt;30,"Young",IF(Sheet1[[#This Row],[age]]&lt;=50,"Adult","Senior"))</f>
        <v>Senior</v>
      </c>
      <c r="R337" s="2" t="str">
        <f t="shared" si="10"/>
        <v>Low</v>
      </c>
      <c r="S337" s="2" t="str">
        <f t="shared" si="11"/>
        <v>West - Salaried</v>
      </c>
    </row>
    <row r="338" spans="1:19" x14ac:dyDescent="0.3">
      <c r="A338" t="s">
        <v>699</v>
      </c>
      <c r="B338" t="s">
        <v>700</v>
      </c>
      <c r="C338">
        <v>36</v>
      </c>
      <c r="D338" s="2" t="s">
        <v>21</v>
      </c>
      <c r="E338" s="2" t="s">
        <v>22</v>
      </c>
      <c r="F338" s="2" t="s">
        <v>31</v>
      </c>
      <c r="G338" s="2" t="s">
        <v>16</v>
      </c>
      <c r="H338" s="2" t="s">
        <v>17</v>
      </c>
      <c r="I338" s="2" t="s">
        <v>18</v>
      </c>
      <c r="J338">
        <v>1</v>
      </c>
      <c r="K338" s="1">
        <v>43324</v>
      </c>
      <c r="L338" s="2" t="str">
        <f>IF(Sheet1[[#This Row],[age]]&lt;18, "Under 18",IF(Sheet1[[#This Row],[age]]&lt;=30,"18-30",IF(Sheet1[[#This Row],[age]]&lt;=45,"31-45",IF(Sheet1[[#This Row],[age]]&lt;=60,"46-60","60+"))))</f>
        <v>31-45</v>
      </c>
      <c r="M338" s="2" t="str">
        <f>IF(Sheet1[[#This Row],[risk_score]]&lt;0.3,"Low",IF(Sheet1[[#This Row],[risk_score]]&lt;0.7,"Medium","High"))</f>
        <v>High</v>
      </c>
      <c r="N338">
        <f>YEAR(Sheet1[[#This Row],[date_joined]])</f>
        <v>2018</v>
      </c>
      <c r="O338" s="2" t="str">
        <f>TEXT(Sheet1[[#This Row],[date_joined]],"mmm")</f>
        <v>Aug</v>
      </c>
      <c r="P338" s="2" t="str">
        <f>"Q"&amp;ROUNDUP(MONTH(Sheet1[[#This Row],[date_joined]])/3,0)</f>
        <v>Q3</v>
      </c>
      <c r="Q338" s="2" t="str">
        <f>IF(Sheet1[[#This Row],[age]]&lt;30,"Young",IF(Sheet1[[#This Row],[age]]&lt;=50,"Adult","Senior"))</f>
        <v>Adult</v>
      </c>
      <c r="R338" s="2" t="str">
        <f t="shared" si="10"/>
        <v>High</v>
      </c>
      <c r="S338" s="2" t="str">
        <f t="shared" si="11"/>
        <v>West - Self-employed</v>
      </c>
    </row>
    <row r="339" spans="1:19" x14ac:dyDescent="0.3">
      <c r="A339" t="s">
        <v>701</v>
      </c>
      <c r="B339" t="s">
        <v>702</v>
      </c>
      <c r="C339">
        <v>29</v>
      </c>
      <c r="D339" s="2" t="s">
        <v>13</v>
      </c>
      <c r="E339" s="2" t="s">
        <v>30</v>
      </c>
      <c r="F339" s="2" t="s">
        <v>31</v>
      </c>
      <c r="G339" s="2" t="s">
        <v>66</v>
      </c>
      <c r="H339" s="2" t="s">
        <v>18</v>
      </c>
      <c r="I339" s="2" t="s">
        <v>18</v>
      </c>
      <c r="J339">
        <v>0.65</v>
      </c>
      <c r="K339" s="1">
        <v>44038</v>
      </c>
      <c r="L339" s="2" t="str">
        <f>IF(Sheet1[[#This Row],[age]]&lt;18, "Under 18",IF(Sheet1[[#This Row],[age]]&lt;=30,"18-30",IF(Sheet1[[#This Row],[age]]&lt;=45,"31-45",IF(Sheet1[[#This Row],[age]]&lt;=60,"46-60","60+"))))</f>
        <v>18-30</v>
      </c>
      <c r="M339" s="2" t="str">
        <f>IF(Sheet1[[#This Row],[risk_score]]&lt;0.3,"Low",IF(Sheet1[[#This Row],[risk_score]]&lt;0.7,"Medium","High"))</f>
        <v>Medium</v>
      </c>
      <c r="N339">
        <f>YEAR(Sheet1[[#This Row],[date_joined]])</f>
        <v>2020</v>
      </c>
      <c r="O339" s="2" t="str">
        <f>TEXT(Sheet1[[#This Row],[date_joined]],"mmm")</f>
        <v>Jul</v>
      </c>
      <c r="P339" s="2" t="str">
        <f>"Q"&amp;ROUNDUP(MONTH(Sheet1[[#This Row],[date_joined]])/3,0)</f>
        <v>Q3</v>
      </c>
      <c r="Q339" s="2" t="str">
        <f>IF(Sheet1[[#This Row],[age]]&lt;30,"Young",IF(Sheet1[[#This Row],[age]]&lt;=50,"Adult","Senior"))</f>
        <v>Young</v>
      </c>
      <c r="R339" s="2" t="str">
        <f t="shared" si="10"/>
        <v>Very High</v>
      </c>
      <c r="S339" s="2" t="str">
        <f t="shared" si="11"/>
        <v>North-East - Self-employed</v>
      </c>
    </row>
    <row r="340" spans="1:19" x14ac:dyDescent="0.3">
      <c r="A340" t="s">
        <v>703</v>
      </c>
      <c r="B340" t="s">
        <v>704</v>
      </c>
      <c r="C340">
        <v>29</v>
      </c>
      <c r="D340" s="2" t="s">
        <v>21</v>
      </c>
      <c r="E340" s="2" t="s">
        <v>22</v>
      </c>
      <c r="F340" s="2" t="s">
        <v>31</v>
      </c>
      <c r="G340" s="2" t="s">
        <v>16</v>
      </c>
      <c r="H340" s="2" t="s">
        <v>17</v>
      </c>
      <c r="I340" s="2" t="s">
        <v>18</v>
      </c>
      <c r="J340">
        <v>0.28000000000000003</v>
      </c>
      <c r="K340" s="1">
        <v>43759</v>
      </c>
      <c r="L340" s="2" t="str">
        <f>IF(Sheet1[[#This Row],[age]]&lt;18, "Under 18",IF(Sheet1[[#This Row],[age]]&lt;=30,"18-30",IF(Sheet1[[#This Row],[age]]&lt;=45,"31-45",IF(Sheet1[[#This Row],[age]]&lt;=60,"46-60","60+"))))</f>
        <v>18-30</v>
      </c>
      <c r="M340" s="2" t="str">
        <f>IF(Sheet1[[#This Row],[risk_score]]&lt;0.3,"Low",IF(Sheet1[[#This Row],[risk_score]]&lt;0.7,"Medium","High"))</f>
        <v>Low</v>
      </c>
      <c r="N340">
        <f>YEAR(Sheet1[[#This Row],[date_joined]])</f>
        <v>2019</v>
      </c>
      <c r="O340" s="2" t="str">
        <f>TEXT(Sheet1[[#This Row],[date_joined]],"mmm")</f>
        <v>Oct</v>
      </c>
      <c r="P340" s="2" t="str">
        <f>"Q"&amp;ROUNDUP(MONTH(Sheet1[[#This Row],[date_joined]])/3,0)</f>
        <v>Q4</v>
      </c>
      <c r="Q340" s="2" t="str">
        <f>IF(Sheet1[[#This Row],[age]]&lt;30,"Young",IF(Sheet1[[#This Row],[age]]&lt;=50,"Adult","Senior"))</f>
        <v>Young</v>
      </c>
      <c r="R340" s="2" t="str">
        <f t="shared" si="10"/>
        <v>High</v>
      </c>
      <c r="S340" s="2" t="str">
        <f t="shared" si="11"/>
        <v>West - Self-employed</v>
      </c>
    </row>
    <row r="341" spans="1:19" x14ac:dyDescent="0.3">
      <c r="A341" t="s">
        <v>705</v>
      </c>
      <c r="B341" t="s">
        <v>706</v>
      </c>
      <c r="C341">
        <v>24</v>
      </c>
      <c r="D341" s="2" t="s">
        <v>21</v>
      </c>
      <c r="E341" s="2" t="s">
        <v>22</v>
      </c>
      <c r="F341" s="2" t="s">
        <v>31</v>
      </c>
      <c r="G341" s="2" t="s">
        <v>81</v>
      </c>
      <c r="H341" s="2" t="s">
        <v>17</v>
      </c>
      <c r="I341" s="2" t="s">
        <v>18</v>
      </c>
      <c r="J341">
        <v>0.79</v>
      </c>
      <c r="K341" s="1">
        <v>44330</v>
      </c>
      <c r="L341" s="2" t="str">
        <f>IF(Sheet1[[#This Row],[age]]&lt;18, "Under 18",IF(Sheet1[[#This Row],[age]]&lt;=30,"18-30",IF(Sheet1[[#This Row],[age]]&lt;=45,"31-45",IF(Sheet1[[#This Row],[age]]&lt;=60,"46-60","60+"))))</f>
        <v>18-30</v>
      </c>
      <c r="M341" s="2" t="str">
        <f>IF(Sheet1[[#This Row],[risk_score]]&lt;0.3,"Low",IF(Sheet1[[#This Row],[risk_score]]&lt;0.7,"Medium","High"))</f>
        <v>High</v>
      </c>
      <c r="N341">
        <f>YEAR(Sheet1[[#This Row],[date_joined]])</f>
        <v>2021</v>
      </c>
      <c r="O341" s="2" t="str">
        <f>TEXT(Sheet1[[#This Row],[date_joined]],"mmm")</f>
        <v>May</v>
      </c>
      <c r="P341" s="2" t="str">
        <f>"Q"&amp;ROUNDUP(MONTH(Sheet1[[#This Row],[date_joined]])/3,0)</f>
        <v>Q2</v>
      </c>
      <c r="Q341" s="2" t="str">
        <f>IF(Sheet1[[#This Row],[age]]&lt;30,"Young",IF(Sheet1[[#This Row],[age]]&lt;=50,"Adult","Senior"))</f>
        <v>Young</v>
      </c>
      <c r="R341" s="2" t="str">
        <f t="shared" si="10"/>
        <v>High</v>
      </c>
      <c r="S341" s="2" t="str">
        <f t="shared" si="11"/>
        <v>Central - Self-employed</v>
      </c>
    </row>
    <row r="342" spans="1:19" x14ac:dyDescent="0.3">
      <c r="A342" t="s">
        <v>707</v>
      </c>
      <c r="B342" t="s">
        <v>708</v>
      </c>
      <c r="C342">
        <v>52</v>
      </c>
      <c r="D342" s="2" t="s">
        <v>21</v>
      </c>
      <c r="E342" s="2" t="s">
        <v>14</v>
      </c>
      <c r="F342" s="2" t="s">
        <v>15</v>
      </c>
      <c r="G342" s="2" t="s">
        <v>66</v>
      </c>
      <c r="H342" s="2" t="s">
        <v>17</v>
      </c>
      <c r="I342" s="2" t="s">
        <v>18</v>
      </c>
      <c r="J342">
        <v>0.43</v>
      </c>
      <c r="K342" s="1">
        <v>44232</v>
      </c>
      <c r="L342" s="2" t="str">
        <f>IF(Sheet1[[#This Row],[age]]&lt;18, "Under 18",IF(Sheet1[[#This Row],[age]]&lt;=30,"18-30",IF(Sheet1[[#This Row],[age]]&lt;=45,"31-45",IF(Sheet1[[#This Row],[age]]&lt;=60,"46-60","60+"))))</f>
        <v>46-60</v>
      </c>
      <c r="M342" s="2" t="str">
        <f>IF(Sheet1[[#This Row],[risk_score]]&lt;0.3,"Low",IF(Sheet1[[#This Row],[risk_score]]&lt;0.7,"Medium","High"))</f>
        <v>Medium</v>
      </c>
      <c r="N342">
        <f>YEAR(Sheet1[[#This Row],[date_joined]])</f>
        <v>2021</v>
      </c>
      <c r="O342" s="2" t="str">
        <f>TEXT(Sheet1[[#This Row],[date_joined]],"mmm")</f>
        <v>Feb</v>
      </c>
      <c r="P342" s="2" t="str">
        <f>"Q"&amp;ROUNDUP(MONTH(Sheet1[[#This Row],[date_joined]])/3,0)</f>
        <v>Q1</v>
      </c>
      <c r="Q342" s="2" t="str">
        <f>IF(Sheet1[[#This Row],[age]]&lt;30,"Young",IF(Sheet1[[#This Row],[age]]&lt;=50,"Adult","Senior"))</f>
        <v>Senior</v>
      </c>
      <c r="R342" s="2" t="str">
        <f t="shared" si="10"/>
        <v>High</v>
      </c>
      <c r="S342" s="2" t="str">
        <f t="shared" si="11"/>
        <v>North-East - Student</v>
      </c>
    </row>
    <row r="343" spans="1:19" x14ac:dyDescent="0.3">
      <c r="A343" t="s">
        <v>709</v>
      </c>
      <c r="B343" t="s">
        <v>710</v>
      </c>
      <c r="C343">
        <v>39</v>
      </c>
      <c r="D343" s="2" t="s">
        <v>21</v>
      </c>
      <c r="E343" s="2" t="s">
        <v>14</v>
      </c>
      <c r="F343" s="2" t="s">
        <v>23</v>
      </c>
      <c r="G343" s="2" t="s">
        <v>66</v>
      </c>
      <c r="H343" s="2" t="s">
        <v>17</v>
      </c>
      <c r="I343" s="2" t="s">
        <v>17</v>
      </c>
      <c r="J343">
        <v>0.71</v>
      </c>
      <c r="K343" s="1">
        <v>44950</v>
      </c>
      <c r="L343" s="2" t="str">
        <f>IF(Sheet1[[#This Row],[age]]&lt;18, "Under 18",IF(Sheet1[[#This Row],[age]]&lt;=30,"18-30",IF(Sheet1[[#This Row],[age]]&lt;=45,"31-45",IF(Sheet1[[#This Row],[age]]&lt;=60,"46-60","60+"))))</f>
        <v>31-45</v>
      </c>
      <c r="M343" s="2" t="str">
        <f>IF(Sheet1[[#This Row],[risk_score]]&lt;0.3,"Low",IF(Sheet1[[#This Row],[risk_score]]&lt;0.7,"Medium","High"))</f>
        <v>High</v>
      </c>
      <c r="N343">
        <f>YEAR(Sheet1[[#This Row],[date_joined]])</f>
        <v>2023</v>
      </c>
      <c r="O343" s="2" t="str">
        <f>TEXT(Sheet1[[#This Row],[date_joined]],"mmm")</f>
        <v>Jan</v>
      </c>
      <c r="P343" s="2" t="str">
        <f>"Q"&amp;ROUNDUP(MONTH(Sheet1[[#This Row],[date_joined]])/3,0)</f>
        <v>Q1</v>
      </c>
      <c r="Q343" s="2" t="str">
        <f>IF(Sheet1[[#This Row],[age]]&lt;30,"Young",IF(Sheet1[[#This Row],[age]]&lt;=50,"Adult","Senior"))</f>
        <v>Adult</v>
      </c>
      <c r="R343" s="2" t="str">
        <f t="shared" si="10"/>
        <v>Low</v>
      </c>
      <c r="S343" s="2" t="str">
        <f t="shared" si="11"/>
        <v>North-East - Salaried</v>
      </c>
    </row>
    <row r="344" spans="1:19" x14ac:dyDescent="0.3">
      <c r="A344" t="s">
        <v>711</v>
      </c>
      <c r="B344" t="s">
        <v>712</v>
      </c>
      <c r="C344">
        <v>63</v>
      </c>
      <c r="D344" s="2" t="s">
        <v>13</v>
      </c>
      <c r="E344" s="2" t="s">
        <v>22</v>
      </c>
      <c r="F344" s="2" t="s">
        <v>31</v>
      </c>
      <c r="G344" s="2" t="s">
        <v>16</v>
      </c>
      <c r="H344" s="2" t="s">
        <v>17</v>
      </c>
      <c r="I344" s="2" t="s">
        <v>18</v>
      </c>
      <c r="J344">
        <v>0.2</v>
      </c>
      <c r="K344" s="1">
        <v>44508</v>
      </c>
      <c r="L344" s="2" t="str">
        <f>IF(Sheet1[[#This Row],[age]]&lt;18, "Under 18",IF(Sheet1[[#This Row],[age]]&lt;=30,"18-30",IF(Sheet1[[#This Row],[age]]&lt;=45,"31-45",IF(Sheet1[[#This Row],[age]]&lt;=60,"46-60","60+"))))</f>
        <v>60+</v>
      </c>
      <c r="M344" s="2" t="str">
        <f>IF(Sheet1[[#This Row],[risk_score]]&lt;0.3,"Low",IF(Sheet1[[#This Row],[risk_score]]&lt;0.7,"Medium","High"))</f>
        <v>Low</v>
      </c>
      <c r="N344">
        <f>YEAR(Sheet1[[#This Row],[date_joined]])</f>
        <v>2021</v>
      </c>
      <c r="O344" s="2" t="str">
        <f>TEXT(Sheet1[[#This Row],[date_joined]],"mmm")</f>
        <v>Nov</v>
      </c>
      <c r="P344" s="2" t="str">
        <f>"Q"&amp;ROUNDUP(MONTH(Sheet1[[#This Row],[date_joined]])/3,0)</f>
        <v>Q4</v>
      </c>
      <c r="Q344" s="2" t="str">
        <f>IF(Sheet1[[#This Row],[age]]&lt;30,"Young",IF(Sheet1[[#This Row],[age]]&lt;=50,"Adult","Senior"))</f>
        <v>Senior</v>
      </c>
      <c r="R344" s="2" t="str">
        <f t="shared" si="10"/>
        <v>High</v>
      </c>
      <c r="S344" s="2" t="str">
        <f t="shared" si="11"/>
        <v>West - Self-employed</v>
      </c>
    </row>
    <row r="345" spans="1:19" x14ac:dyDescent="0.3">
      <c r="A345" t="s">
        <v>713</v>
      </c>
      <c r="B345" t="s">
        <v>714</v>
      </c>
      <c r="C345">
        <v>21</v>
      </c>
      <c r="D345" s="2" t="s">
        <v>13</v>
      </c>
      <c r="E345" s="2" t="s">
        <v>30</v>
      </c>
      <c r="F345" s="2" t="s">
        <v>15</v>
      </c>
      <c r="G345" s="2" t="s">
        <v>66</v>
      </c>
      <c r="H345" s="2" t="s">
        <v>18</v>
      </c>
      <c r="I345" s="2" t="s">
        <v>17</v>
      </c>
      <c r="J345">
        <v>0.09</v>
      </c>
      <c r="K345" s="1">
        <v>44089</v>
      </c>
      <c r="L345" s="2" t="str">
        <f>IF(Sheet1[[#This Row],[age]]&lt;18, "Under 18",IF(Sheet1[[#This Row],[age]]&lt;=30,"18-30",IF(Sheet1[[#This Row],[age]]&lt;=45,"31-45",IF(Sheet1[[#This Row],[age]]&lt;=60,"46-60","60+"))))</f>
        <v>18-30</v>
      </c>
      <c r="M345" s="2" t="str">
        <f>IF(Sheet1[[#This Row],[risk_score]]&lt;0.3,"Low",IF(Sheet1[[#This Row],[risk_score]]&lt;0.7,"Medium","High"))</f>
        <v>Low</v>
      </c>
      <c r="N345">
        <f>YEAR(Sheet1[[#This Row],[date_joined]])</f>
        <v>2020</v>
      </c>
      <c r="O345" s="2" t="str">
        <f>TEXT(Sheet1[[#This Row],[date_joined]],"mmm")</f>
        <v>Sep</v>
      </c>
      <c r="P345" s="2" t="str">
        <f>"Q"&amp;ROUNDUP(MONTH(Sheet1[[#This Row],[date_joined]])/3,0)</f>
        <v>Q3</v>
      </c>
      <c r="Q345" s="2" t="str">
        <f>IF(Sheet1[[#This Row],[age]]&lt;30,"Young",IF(Sheet1[[#This Row],[age]]&lt;=50,"Adult","Senior"))</f>
        <v>Young</v>
      </c>
      <c r="R345" s="2" t="str">
        <f t="shared" si="10"/>
        <v>High</v>
      </c>
      <c r="S345" s="2" t="str">
        <f t="shared" si="11"/>
        <v>North-East - Student</v>
      </c>
    </row>
    <row r="346" spans="1:19" x14ac:dyDescent="0.3">
      <c r="A346" t="s">
        <v>715</v>
      </c>
      <c r="B346" t="s">
        <v>716</v>
      </c>
      <c r="C346">
        <v>51</v>
      </c>
      <c r="D346" s="2" t="s">
        <v>21</v>
      </c>
      <c r="E346" s="2" t="s">
        <v>22</v>
      </c>
      <c r="F346" s="2" t="s">
        <v>15</v>
      </c>
      <c r="G346" s="2" t="s">
        <v>27</v>
      </c>
      <c r="H346" s="2" t="s">
        <v>18</v>
      </c>
      <c r="I346" s="2" t="s">
        <v>18</v>
      </c>
      <c r="J346">
        <v>0.28000000000000003</v>
      </c>
      <c r="K346" s="1">
        <v>44795</v>
      </c>
      <c r="L346" s="2" t="str">
        <f>IF(Sheet1[[#This Row],[age]]&lt;18, "Under 18",IF(Sheet1[[#This Row],[age]]&lt;=30,"18-30",IF(Sheet1[[#This Row],[age]]&lt;=45,"31-45",IF(Sheet1[[#This Row],[age]]&lt;=60,"46-60","60+"))))</f>
        <v>46-60</v>
      </c>
      <c r="M346" s="2" t="str">
        <f>IF(Sheet1[[#This Row],[risk_score]]&lt;0.3,"Low",IF(Sheet1[[#This Row],[risk_score]]&lt;0.7,"Medium","High"))</f>
        <v>Low</v>
      </c>
      <c r="N346">
        <f>YEAR(Sheet1[[#This Row],[date_joined]])</f>
        <v>2022</v>
      </c>
      <c r="O346" s="2" t="str">
        <f>TEXT(Sheet1[[#This Row],[date_joined]],"mmm")</f>
        <v>Aug</v>
      </c>
      <c r="P346" s="2" t="str">
        <f>"Q"&amp;ROUNDUP(MONTH(Sheet1[[#This Row],[date_joined]])/3,0)</f>
        <v>Q3</v>
      </c>
      <c r="Q346" s="2" t="str">
        <f>IF(Sheet1[[#This Row],[age]]&lt;30,"Young",IF(Sheet1[[#This Row],[age]]&lt;=50,"Adult","Senior"))</f>
        <v>Senior</v>
      </c>
      <c r="R346" s="2" t="str">
        <f t="shared" si="10"/>
        <v>Very High</v>
      </c>
      <c r="S346" s="2" t="str">
        <f t="shared" si="11"/>
        <v>North - Student</v>
      </c>
    </row>
    <row r="347" spans="1:19" x14ac:dyDescent="0.3">
      <c r="A347" t="s">
        <v>717</v>
      </c>
      <c r="B347" t="s">
        <v>718</v>
      </c>
      <c r="C347">
        <v>42</v>
      </c>
      <c r="D347" s="2" t="s">
        <v>13</v>
      </c>
      <c r="E347" s="2" t="s">
        <v>14</v>
      </c>
      <c r="F347" s="2" t="s">
        <v>37</v>
      </c>
      <c r="G347" s="2" t="s">
        <v>27</v>
      </c>
      <c r="H347" s="2" t="s">
        <v>17</v>
      </c>
      <c r="I347" s="2" t="s">
        <v>18</v>
      </c>
      <c r="J347">
        <v>0.57999999999999996</v>
      </c>
      <c r="K347" s="1">
        <v>43460</v>
      </c>
      <c r="L347" s="2" t="str">
        <f>IF(Sheet1[[#This Row],[age]]&lt;18, "Under 18",IF(Sheet1[[#This Row],[age]]&lt;=30,"18-30",IF(Sheet1[[#This Row],[age]]&lt;=45,"31-45",IF(Sheet1[[#This Row],[age]]&lt;=60,"46-60","60+"))))</f>
        <v>31-45</v>
      </c>
      <c r="M347" s="2" t="str">
        <f>IF(Sheet1[[#This Row],[risk_score]]&lt;0.3,"Low",IF(Sheet1[[#This Row],[risk_score]]&lt;0.7,"Medium","High"))</f>
        <v>Medium</v>
      </c>
      <c r="N347">
        <f>YEAR(Sheet1[[#This Row],[date_joined]])</f>
        <v>2018</v>
      </c>
      <c r="O347" s="2" t="str">
        <f>TEXT(Sheet1[[#This Row],[date_joined]],"mmm")</f>
        <v>Dec</v>
      </c>
      <c r="P347" s="2" t="str">
        <f>"Q"&amp;ROUNDUP(MONTH(Sheet1[[#This Row],[date_joined]])/3,0)</f>
        <v>Q4</v>
      </c>
      <c r="Q347" s="2" t="str">
        <f>IF(Sheet1[[#This Row],[age]]&lt;30,"Young",IF(Sheet1[[#This Row],[age]]&lt;=50,"Adult","Senior"))</f>
        <v>Adult</v>
      </c>
      <c r="R347" s="2" t="str">
        <f t="shared" si="10"/>
        <v>High</v>
      </c>
      <c r="S347" s="2" t="str">
        <f t="shared" si="11"/>
        <v>North - Retired</v>
      </c>
    </row>
    <row r="348" spans="1:19" x14ac:dyDescent="0.3">
      <c r="A348" t="s">
        <v>719</v>
      </c>
      <c r="B348" t="s">
        <v>720</v>
      </c>
      <c r="C348">
        <v>41</v>
      </c>
      <c r="D348" s="2" t="s">
        <v>21</v>
      </c>
      <c r="E348" s="2" t="s">
        <v>30</v>
      </c>
      <c r="F348" s="2" t="s">
        <v>31</v>
      </c>
      <c r="G348" s="2" t="s">
        <v>66</v>
      </c>
      <c r="H348" s="2" t="s">
        <v>18</v>
      </c>
      <c r="I348" s="2" t="s">
        <v>18</v>
      </c>
      <c r="J348">
        <v>0.37</v>
      </c>
      <c r="K348" s="1">
        <v>44737</v>
      </c>
      <c r="L348" s="2" t="str">
        <f>IF(Sheet1[[#This Row],[age]]&lt;18, "Under 18",IF(Sheet1[[#This Row],[age]]&lt;=30,"18-30",IF(Sheet1[[#This Row],[age]]&lt;=45,"31-45",IF(Sheet1[[#This Row],[age]]&lt;=60,"46-60","60+"))))</f>
        <v>31-45</v>
      </c>
      <c r="M348" s="2" t="str">
        <f>IF(Sheet1[[#This Row],[risk_score]]&lt;0.3,"Low",IF(Sheet1[[#This Row],[risk_score]]&lt;0.7,"Medium","High"))</f>
        <v>Medium</v>
      </c>
      <c r="N348">
        <f>YEAR(Sheet1[[#This Row],[date_joined]])</f>
        <v>2022</v>
      </c>
      <c r="O348" s="2" t="str">
        <f>TEXT(Sheet1[[#This Row],[date_joined]],"mmm")</f>
        <v>Jun</v>
      </c>
      <c r="P348" s="2" t="str">
        <f>"Q"&amp;ROUNDUP(MONTH(Sheet1[[#This Row],[date_joined]])/3,0)</f>
        <v>Q2</v>
      </c>
      <c r="Q348" s="2" t="str">
        <f>IF(Sheet1[[#This Row],[age]]&lt;30,"Young",IF(Sheet1[[#This Row],[age]]&lt;=50,"Adult","Senior"))</f>
        <v>Adult</v>
      </c>
      <c r="R348" s="2" t="str">
        <f t="shared" si="10"/>
        <v>Very High</v>
      </c>
      <c r="S348" s="2" t="str">
        <f t="shared" si="11"/>
        <v>North-East - Self-employed</v>
      </c>
    </row>
    <row r="349" spans="1:19" x14ac:dyDescent="0.3">
      <c r="A349" t="s">
        <v>721</v>
      </c>
      <c r="B349" t="s">
        <v>722</v>
      </c>
      <c r="C349">
        <v>26</v>
      </c>
      <c r="D349" s="2" t="s">
        <v>21</v>
      </c>
      <c r="E349" s="2" t="s">
        <v>22</v>
      </c>
      <c r="F349" s="2" t="s">
        <v>37</v>
      </c>
      <c r="G349" s="2" t="s">
        <v>27</v>
      </c>
      <c r="H349" s="2" t="s">
        <v>17</v>
      </c>
      <c r="I349" s="2" t="s">
        <v>18</v>
      </c>
      <c r="J349">
        <v>0.37</v>
      </c>
      <c r="K349" s="1">
        <v>44833</v>
      </c>
      <c r="L349" s="2" t="str">
        <f>IF(Sheet1[[#This Row],[age]]&lt;18, "Under 18",IF(Sheet1[[#This Row],[age]]&lt;=30,"18-30",IF(Sheet1[[#This Row],[age]]&lt;=45,"31-45",IF(Sheet1[[#This Row],[age]]&lt;=60,"46-60","60+"))))</f>
        <v>18-30</v>
      </c>
      <c r="M349" s="2" t="str">
        <f>IF(Sheet1[[#This Row],[risk_score]]&lt;0.3,"Low",IF(Sheet1[[#This Row],[risk_score]]&lt;0.7,"Medium","High"))</f>
        <v>Medium</v>
      </c>
      <c r="N349">
        <f>YEAR(Sheet1[[#This Row],[date_joined]])</f>
        <v>2022</v>
      </c>
      <c r="O349" s="2" t="str">
        <f>TEXT(Sheet1[[#This Row],[date_joined]],"mmm")</f>
        <v>Sep</v>
      </c>
      <c r="P349" s="2" t="str">
        <f>"Q"&amp;ROUNDUP(MONTH(Sheet1[[#This Row],[date_joined]])/3,0)</f>
        <v>Q3</v>
      </c>
      <c r="Q349" s="2" t="str">
        <f>IF(Sheet1[[#This Row],[age]]&lt;30,"Young",IF(Sheet1[[#This Row],[age]]&lt;=50,"Adult","Senior"))</f>
        <v>Young</v>
      </c>
      <c r="R349" s="2" t="str">
        <f t="shared" si="10"/>
        <v>High</v>
      </c>
      <c r="S349" s="2" t="str">
        <f t="shared" si="11"/>
        <v>North - Retired</v>
      </c>
    </row>
    <row r="350" spans="1:19" x14ac:dyDescent="0.3">
      <c r="A350" t="s">
        <v>723</v>
      </c>
      <c r="B350" t="s">
        <v>724</v>
      </c>
      <c r="C350">
        <v>57</v>
      </c>
      <c r="D350" s="2" t="s">
        <v>21</v>
      </c>
      <c r="E350" s="2" t="s">
        <v>22</v>
      </c>
      <c r="F350" s="2" t="s">
        <v>23</v>
      </c>
      <c r="G350" s="2" t="s">
        <v>24</v>
      </c>
      <c r="H350" s="2" t="s">
        <v>17</v>
      </c>
      <c r="I350" s="2" t="s">
        <v>17</v>
      </c>
      <c r="J350">
        <v>0.43</v>
      </c>
      <c r="K350" s="1">
        <v>43550</v>
      </c>
      <c r="L350" s="2" t="str">
        <f>IF(Sheet1[[#This Row],[age]]&lt;18, "Under 18",IF(Sheet1[[#This Row],[age]]&lt;=30,"18-30",IF(Sheet1[[#This Row],[age]]&lt;=45,"31-45",IF(Sheet1[[#This Row],[age]]&lt;=60,"46-60","60+"))))</f>
        <v>46-60</v>
      </c>
      <c r="M350" s="2" t="str">
        <f>IF(Sheet1[[#This Row],[risk_score]]&lt;0.3,"Low",IF(Sheet1[[#This Row],[risk_score]]&lt;0.7,"Medium","High"))</f>
        <v>Medium</v>
      </c>
      <c r="N350">
        <f>YEAR(Sheet1[[#This Row],[date_joined]])</f>
        <v>2019</v>
      </c>
      <c r="O350" s="2" t="str">
        <f>TEXT(Sheet1[[#This Row],[date_joined]],"mmm")</f>
        <v>Mar</v>
      </c>
      <c r="P350" s="2" t="str">
        <f>"Q"&amp;ROUNDUP(MONTH(Sheet1[[#This Row],[date_joined]])/3,0)</f>
        <v>Q1</v>
      </c>
      <c r="Q350" s="2" t="str">
        <f>IF(Sheet1[[#This Row],[age]]&lt;30,"Young",IF(Sheet1[[#This Row],[age]]&lt;=50,"Adult","Senior"))</f>
        <v>Senior</v>
      </c>
      <c r="R350" s="2" t="str">
        <f t="shared" si="10"/>
        <v>Low</v>
      </c>
      <c r="S350" s="2" t="str">
        <f t="shared" si="11"/>
        <v>East - Salaried</v>
      </c>
    </row>
    <row r="351" spans="1:19" x14ac:dyDescent="0.3">
      <c r="A351" t="s">
        <v>725</v>
      </c>
      <c r="B351" t="s">
        <v>726</v>
      </c>
      <c r="C351">
        <v>19</v>
      </c>
      <c r="D351" s="2" t="s">
        <v>21</v>
      </c>
      <c r="E351" s="2" t="s">
        <v>22</v>
      </c>
      <c r="F351" s="2" t="s">
        <v>37</v>
      </c>
      <c r="G351" s="2" t="s">
        <v>27</v>
      </c>
      <c r="H351" s="2" t="s">
        <v>18</v>
      </c>
      <c r="I351" s="2" t="s">
        <v>17</v>
      </c>
      <c r="J351">
        <v>0.75</v>
      </c>
      <c r="K351" s="1">
        <v>44079</v>
      </c>
      <c r="L351" s="2" t="str">
        <f>IF(Sheet1[[#This Row],[age]]&lt;18, "Under 18",IF(Sheet1[[#This Row],[age]]&lt;=30,"18-30",IF(Sheet1[[#This Row],[age]]&lt;=45,"31-45",IF(Sheet1[[#This Row],[age]]&lt;=60,"46-60","60+"))))</f>
        <v>18-30</v>
      </c>
      <c r="M351" s="2" t="str">
        <f>IF(Sheet1[[#This Row],[risk_score]]&lt;0.3,"Low",IF(Sheet1[[#This Row],[risk_score]]&lt;0.7,"Medium","High"))</f>
        <v>High</v>
      </c>
      <c r="N351">
        <f>YEAR(Sheet1[[#This Row],[date_joined]])</f>
        <v>2020</v>
      </c>
      <c r="O351" s="2" t="str">
        <f>TEXT(Sheet1[[#This Row],[date_joined]],"mmm")</f>
        <v>Sep</v>
      </c>
      <c r="P351" s="2" t="str">
        <f>"Q"&amp;ROUNDUP(MONTH(Sheet1[[#This Row],[date_joined]])/3,0)</f>
        <v>Q3</v>
      </c>
      <c r="Q351" s="2" t="str">
        <f>IF(Sheet1[[#This Row],[age]]&lt;30,"Young",IF(Sheet1[[#This Row],[age]]&lt;=50,"Adult","Senior"))</f>
        <v>Young</v>
      </c>
      <c r="R351" s="2" t="str">
        <f t="shared" si="10"/>
        <v>High</v>
      </c>
      <c r="S351" s="2" t="str">
        <f t="shared" si="11"/>
        <v>North - Retired</v>
      </c>
    </row>
    <row r="352" spans="1:19" x14ac:dyDescent="0.3">
      <c r="A352" t="s">
        <v>727</v>
      </c>
      <c r="B352" t="s">
        <v>728</v>
      </c>
      <c r="C352">
        <v>52</v>
      </c>
      <c r="D352" s="2" t="s">
        <v>21</v>
      </c>
      <c r="E352" s="2" t="s">
        <v>14</v>
      </c>
      <c r="F352" s="2" t="s">
        <v>15</v>
      </c>
      <c r="G352" s="2" t="s">
        <v>27</v>
      </c>
      <c r="H352" s="2" t="s">
        <v>18</v>
      </c>
      <c r="I352" s="2" t="s">
        <v>18</v>
      </c>
      <c r="J352">
        <v>0.18</v>
      </c>
      <c r="K352" s="1">
        <v>43949</v>
      </c>
      <c r="L352" s="2" t="str">
        <f>IF(Sheet1[[#This Row],[age]]&lt;18, "Under 18",IF(Sheet1[[#This Row],[age]]&lt;=30,"18-30",IF(Sheet1[[#This Row],[age]]&lt;=45,"31-45",IF(Sheet1[[#This Row],[age]]&lt;=60,"46-60","60+"))))</f>
        <v>46-60</v>
      </c>
      <c r="M352" s="2" t="str">
        <f>IF(Sheet1[[#This Row],[risk_score]]&lt;0.3,"Low",IF(Sheet1[[#This Row],[risk_score]]&lt;0.7,"Medium","High"))</f>
        <v>Low</v>
      </c>
      <c r="N352">
        <f>YEAR(Sheet1[[#This Row],[date_joined]])</f>
        <v>2020</v>
      </c>
      <c r="O352" s="2" t="str">
        <f>TEXT(Sheet1[[#This Row],[date_joined]],"mmm")</f>
        <v>Apr</v>
      </c>
      <c r="P352" s="2" t="str">
        <f>"Q"&amp;ROUNDUP(MONTH(Sheet1[[#This Row],[date_joined]])/3,0)</f>
        <v>Q2</v>
      </c>
      <c r="Q352" s="2" t="str">
        <f>IF(Sheet1[[#This Row],[age]]&lt;30,"Young",IF(Sheet1[[#This Row],[age]]&lt;=50,"Adult","Senior"))</f>
        <v>Senior</v>
      </c>
      <c r="R352" s="2" t="str">
        <f t="shared" si="10"/>
        <v>Very High</v>
      </c>
      <c r="S352" s="2" t="str">
        <f t="shared" si="11"/>
        <v>North - Student</v>
      </c>
    </row>
    <row r="353" spans="1:19" x14ac:dyDescent="0.3">
      <c r="A353" t="s">
        <v>729</v>
      </c>
      <c r="B353" t="s">
        <v>730</v>
      </c>
      <c r="C353">
        <v>44</v>
      </c>
      <c r="D353" s="2" t="s">
        <v>21</v>
      </c>
      <c r="E353" s="2" t="s">
        <v>30</v>
      </c>
      <c r="F353" s="2" t="s">
        <v>31</v>
      </c>
      <c r="G353" s="2" t="s">
        <v>32</v>
      </c>
      <c r="H353" s="2" t="s">
        <v>18</v>
      </c>
      <c r="I353" s="2" t="s">
        <v>17</v>
      </c>
      <c r="J353">
        <v>0.51</v>
      </c>
      <c r="K353" s="1">
        <v>44622</v>
      </c>
      <c r="L353" s="2" t="str">
        <f>IF(Sheet1[[#This Row],[age]]&lt;18, "Under 18",IF(Sheet1[[#This Row],[age]]&lt;=30,"18-30",IF(Sheet1[[#This Row],[age]]&lt;=45,"31-45",IF(Sheet1[[#This Row],[age]]&lt;=60,"46-60","60+"))))</f>
        <v>31-45</v>
      </c>
      <c r="M353" s="2" t="str">
        <f>IF(Sheet1[[#This Row],[risk_score]]&lt;0.3,"Low",IF(Sheet1[[#This Row],[risk_score]]&lt;0.7,"Medium","High"))</f>
        <v>Medium</v>
      </c>
      <c r="N353">
        <f>YEAR(Sheet1[[#This Row],[date_joined]])</f>
        <v>2022</v>
      </c>
      <c r="O353" s="2" t="str">
        <f>TEXT(Sheet1[[#This Row],[date_joined]],"mmm")</f>
        <v>Mar</v>
      </c>
      <c r="P353" s="2" t="str">
        <f>"Q"&amp;ROUNDUP(MONTH(Sheet1[[#This Row],[date_joined]])/3,0)</f>
        <v>Q1</v>
      </c>
      <c r="Q353" s="2" t="str">
        <f>IF(Sheet1[[#This Row],[age]]&lt;30,"Young",IF(Sheet1[[#This Row],[age]]&lt;=50,"Adult","Senior"))</f>
        <v>Adult</v>
      </c>
      <c r="R353" s="2" t="str">
        <f t="shared" si="10"/>
        <v>High</v>
      </c>
      <c r="S353" s="2" t="str">
        <f t="shared" si="11"/>
        <v>South - Self-employed</v>
      </c>
    </row>
    <row r="354" spans="1:19" x14ac:dyDescent="0.3">
      <c r="A354" t="s">
        <v>731</v>
      </c>
      <c r="B354" t="s">
        <v>732</v>
      </c>
      <c r="C354">
        <v>29</v>
      </c>
      <c r="D354" s="2" t="s">
        <v>13</v>
      </c>
      <c r="E354" s="2" t="s">
        <v>14</v>
      </c>
      <c r="F354" s="2" t="s">
        <v>31</v>
      </c>
      <c r="G354" s="2" t="s">
        <v>66</v>
      </c>
      <c r="H354" s="2" t="s">
        <v>17</v>
      </c>
      <c r="I354" s="2" t="s">
        <v>17</v>
      </c>
      <c r="J354">
        <v>0.45</v>
      </c>
      <c r="K354" s="1">
        <v>44378</v>
      </c>
      <c r="L354" s="2" t="str">
        <f>IF(Sheet1[[#This Row],[age]]&lt;18, "Under 18",IF(Sheet1[[#This Row],[age]]&lt;=30,"18-30",IF(Sheet1[[#This Row],[age]]&lt;=45,"31-45",IF(Sheet1[[#This Row],[age]]&lt;=60,"46-60","60+"))))</f>
        <v>18-30</v>
      </c>
      <c r="M354" s="2" t="str">
        <f>IF(Sheet1[[#This Row],[risk_score]]&lt;0.3,"Low",IF(Sheet1[[#This Row],[risk_score]]&lt;0.7,"Medium","High"))</f>
        <v>Medium</v>
      </c>
      <c r="N354">
        <f>YEAR(Sheet1[[#This Row],[date_joined]])</f>
        <v>2021</v>
      </c>
      <c r="O354" s="2" t="str">
        <f>TEXT(Sheet1[[#This Row],[date_joined]],"mmm")</f>
        <v>Jul</v>
      </c>
      <c r="P354" s="2" t="str">
        <f>"Q"&amp;ROUNDUP(MONTH(Sheet1[[#This Row],[date_joined]])/3,0)</f>
        <v>Q3</v>
      </c>
      <c r="Q354" s="2" t="str">
        <f>IF(Sheet1[[#This Row],[age]]&lt;30,"Young",IF(Sheet1[[#This Row],[age]]&lt;=50,"Adult","Senior"))</f>
        <v>Young</v>
      </c>
      <c r="R354" s="2" t="str">
        <f t="shared" si="10"/>
        <v>Low</v>
      </c>
      <c r="S354" s="2" t="str">
        <f t="shared" si="11"/>
        <v>North-East - Self-employed</v>
      </c>
    </row>
    <row r="355" spans="1:19" x14ac:dyDescent="0.3">
      <c r="A355" t="s">
        <v>733</v>
      </c>
      <c r="B355" t="s">
        <v>734</v>
      </c>
      <c r="C355">
        <v>59</v>
      </c>
      <c r="D355" s="2" t="s">
        <v>21</v>
      </c>
      <c r="E355" s="2" t="s">
        <v>22</v>
      </c>
      <c r="F355" s="2" t="s">
        <v>15</v>
      </c>
      <c r="G355" s="2" t="s">
        <v>81</v>
      </c>
      <c r="H355" s="2" t="s">
        <v>17</v>
      </c>
      <c r="I355" s="2" t="s">
        <v>17</v>
      </c>
      <c r="J355">
        <v>0.57999999999999996</v>
      </c>
      <c r="K355" s="1">
        <v>45179</v>
      </c>
      <c r="L355" s="2" t="str">
        <f>IF(Sheet1[[#This Row],[age]]&lt;18, "Under 18",IF(Sheet1[[#This Row],[age]]&lt;=30,"18-30",IF(Sheet1[[#This Row],[age]]&lt;=45,"31-45",IF(Sheet1[[#This Row],[age]]&lt;=60,"46-60","60+"))))</f>
        <v>46-60</v>
      </c>
      <c r="M355" s="2" t="str">
        <f>IF(Sheet1[[#This Row],[risk_score]]&lt;0.3,"Low",IF(Sheet1[[#This Row],[risk_score]]&lt;0.7,"Medium","High"))</f>
        <v>Medium</v>
      </c>
      <c r="N355">
        <f>YEAR(Sheet1[[#This Row],[date_joined]])</f>
        <v>2023</v>
      </c>
      <c r="O355" s="2" t="str">
        <f>TEXT(Sheet1[[#This Row],[date_joined]],"mmm")</f>
        <v>Sep</v>
      </c>
      <c r="P355" s="2" t="str">
        <f>"Q"&amp;ROUNDUP(MONTH(Sheet1[[#This Row],[date_joined]])/3,0)</f>
        <v>Q3</v>
      </c>
      <c r="Q355" s="2" t="str">
        <f>IF(Sheet1[[#This Row],[age]]&lt;30,"Young",IF(Sheet1[[#This Row],[age]]&lt;=50,"Adult","Senior"))</f>
        <v>Senior</v>
      </c>
      <c r="R355" s="2" t="str">
        <f t="shared" si="10"/>
        <v>Low</v>
      </c>
      <c r="S355" s="2" t="str">
        <f t="shared" si="11"/>
        <v>Central - Student</v>
      </c>
    </row>
    <row r="356" spans="1:19" x14ac:dyDescent="0.3">
      <c r="A356" t="s">
        <v>735</v>
      </c>
      <c r="B356" t="s">
        <v>736</v>
      </c>
      <c r="C356">
        <v>47</v>
      </c>
      <c r="D356" s="2" t="s">
        <v>21</v>
      </c>
      <c r="E356" s="2" t="s">
        <v>22</v>
      </c>
      <c r="F356" s="2" t="s">
        <v>31</v>
      </c>
      <c r="G356" s="2" t="s">
        <v>27</v>
      </c>
      <c r="H356" s="2" t="s">
        <v>17</v>
      </c>
      <c r="I356" s="2" t="s">
        <v>18</v>
      </c>
      <c r="J356">
        <v>0.34</v>
      </c>
      <c r="K356" s="1">
        <v>43340</v>
      </c>
      <c r="L356" s="2" t="str">
        <f>IF(Sheet1[[#This Row],[age]]&lt;18, "Under 18",IF(Sheet1[[#This Row],[age]]&lt;=30,"18-30",IF(Sheet1[[#This Row],[age]]&lt;=45,"31-45",IF(Sheet1[[#This Row],[age]]&lt;=60,"46-60","60+"))))</f>
        <v>46-60</v>
      </c>
      <c r="M356" s="2" t="str">
        <f>IF(Sheet1[[#This Row],[risk_score]]&lt;0.3,"Low",IF(Sheet1[[#This Row],[risk_score]]&lt;0.7,"Medium","High"))</f>
        <v>Medium</v>
      </c>
      <c r="N356">
        <f>YEAR(Sheet1[[#This Row],[date_joined]])</f>
        <v>2018</v>
      </c>
      <c r="O356" s="2" t="str">
        <f>TEXT(Sheet1[[#This Row],[date_joined]],"mmm")</f>
        <v>Aug</v>
      </c>
      <c r="P356" s="2" t="str">
        <f>"Q"&amp;ROUNDUP(MONTH(Sheet1[[#This Row],[date_joined]])/3,0)</f>
        <v>Q3</v>
      </c>
      <c r="Q356" s="2" t="str">
        <f>IF(Sheet1[[#This Row],[age]]&lt;30,"Young",IF(Sheet1[[#This Row],[age]]&lt;=50,"Adult","Senior"))</f>
        <v>Adult</v>
      </c>
      <c r="R356" s="2" t="str">
        <f t="shared" si="10"/>
        <v>High</v>
      </c>
      <c r="S356" s="2" t="str">
        <f t="shared" si="11"/>
        <v>North - Self-employed</v>
      </c>
    </row>
    <row r="357" spans="1:19" x14ac:dyDescent="0.3">
      <c r="A357" t="s">
        <v>737</v>
      </c>
      <c r="B357" t="s">
        <v>738</v>
      </c>
      <c r="C357">
        <v>65</v>
      </c>
      <c r="D357" s="2" t="s">
        <v>21</v>
      </c>
      <c r="E357" s="2" t="s">
        <v>14</v>
      </c>
      <c r="F357" s="2" t="s">
        <v>15</v>
      </c>
      <c r="G357" s="2" t="s">
        <v>66</v>
      </c>
      <c r="H357" s="2" t="s">
        <v>18</v>
      </c>
      <c r="I357" s="2" t="s">
        <v>17</v>
      </c>
      <c r="J357">
        <v>0.28000000000000003</v>
      </c>
      <c r="K357" s="1">
        <v>43940</v>
      </c>
      <c r="L357" s="2" t="str">
        <f>IF(Sheet1[[#This Row],[age]]&lt;18, "Under 18",IF(Sheet1[[#This Row],[age]]&lt;=30,"18-30",IF(Sheet1[[#This Row],[age]]&lt;=45,"31-45",IF(Sheet1[[#This Row],[age]]&lt;=60,"46-60","60+"))))</f>
        <v>60+</v>
      </c>
      <c r="M357" s="2" t="str">
        <f>IF(Sheet1[[#This Row],[risk_score]]&lt;0.3,"Low",IF(Sheet1[[#This Row],[risk_score]]&lt;0.7,"Medium","High"))</f>
        <v>Low</v>
      </c>
      <c r="N357">
        <f>YEAR(Sheet1[[#This Row],[date_joined]])</f>
        <v>2020</v>
      </c>
      <c r="O357" s="2" t="str">
        <f>TEXT(Sheet1[[#This Row],[date_joined]],"mmm")</f>
        <v>Apr</v>
      </c>
      <c r="P357" s="2" t="str">
        <f>"Q"&amp;ROUNDUP(MONTH(Sheet1[[#This Row],[date_joined]])/3,0)</f>
        <v>Q2</v>
      </c>
      <c r="Q357" s="2" t="str">
        <f>IF(Sheet1[[#This Row],[age]]&lt;30,"Young",IF(Sheet1[[#This Row],[age]]&lt;=50,"Adult","Senior"))</f>
        <v>Senior</v>
      </c>
      <c r="R357" s="2" t="str">
        <f t="shared" si="10"/>
        <v>High</v>
      </c>
      <c r="S357" s="2" t="str">
        <f t="shared" si="11"/>
        <v>North-East - Student</v>
      </c>
    </row>
    <row r="358" spans="1:19" x14ac:dyDescent="0.3">
      <c r="A358" t="s">
        <v>739</v>
      </c>
      <c r="B358" t="s">
        <v>740</v>
      </c>
      <c r="C358">
        <v>49</v>
      </c>
      <c r="D358" s="2" t="s">
        <v>21</v>
      </c>
      <c r="E358" s="2" t="s">
        <v>22</v>
      </c>
      <c r="F358" s="2" t="s">
        <v>31</v>
      </c>
      <c r="G358" s="2" t="s">
        <v>32</v>
      </c>
      <c r="H358" s="2" t="s">
        <v>17</v>
      </c>
      <c r="I358" s="2" t="s">
        <v>18</v>
      </c>
      <c r="J358">
        <v>0.84</v>
      </c>
      <c r="K358" s="1">
        <v>44829</v>
      </c>
      <c r="L358" s="2" t="str">
        <f>IF(Sheet1[[#This Row],[age]]&lt;18, "Under 18",IF(Sheet1[[#This Row],[age]]&lt;=30,"18-30",IF(Sheet1[[#This Row],[age]]&lt;=45,"31-45",IF(Sheet1[[#This Row],[age]]&lt;=60,"46-60","60+"))))</f>
        <v>46-60</v>
      </c>
      <c r="M358" s="2" t="str">
        <f>IF(Sheet1[[#This Row],[risk_score]]&lt;0.3,"Low",IF(Sheet1[[#This Row],[risk_score]]&lt;0.7,"Medium","High"))</f>
        <v>High</v>
      </c>
      <c r="N358">
        <f>YEAR(Sheet1[[#This Row],[date_joined]])</f>
        <v>2022</v>
      </c>
      <c r="O358" s="2" t="str">
        <f>TEXT(Sheet1[[#This Row],[date_joined]],"mmm")</f>
        <v>Sep</v>
      </c>
      <c r="P358" s="2" t="str">
        <f>"Q"&amp;ROUNDUP(MONTH(Sheet1[[#This Row],[date_joined]])/3,0)</f>
        <v>Q3</v>
      </c>
      <c r="Q358" s="2" t="str">
        <f>IF(Sheet1[[#This Row],[age]]&lt;30,"Young",IF(Sheet1[[#This Row],[age]]&lt;=50,"Adult","Senior"))</f>
        <v>Adult</v>
      </c>
      <c r="R358" s="2" t="str">
        <f t="shared" si="10"/>
        <v>High</v>
      </c>
      <c r="S358" s="2" t="str">
        <f t="shared" si="11"/>
        <v>South - Self-employed</v>
      </c>
    </row>
    <row r="359" spans="1:19" x14ac:dyDescent="0.3">
      <c r="A359" t="s">
        <v>741</v>
      </c>
      <c r="B359" t="s">
        <v>742</v>
      </c>
      <c r="C359">
        <v>50</v>
      </c>
      <c r="D359" s="2" t="s">
        <v>21</v>
      </c>
      <c r="E359" s="2" t="s">
        <v>30</v>
      </c>
      <c r="F359" s="2" t="s">
        <v>23</v>
      </c>
      <c r="G359" s="2" t="s">
        <v>27</v>
      </c>
      <c r="H359" s="2" t="s">
        <v>17</v>
      </c>
      <c r="I359" s="2" t="s">
        <v>17</v>
      </c>
      <c r="J359">
        <v>0.08</v>
      </c>
      <c r="K359" s="1">
        <v>43935</v>
      </c>
      <c r="L359" s="2" t="str">
        <f>IF(Sheet1[[#This Row],[age]]&lt;18, "Under 18",IF(Sheet1[[#This Row],[age]]&lt;=30,"18-30",IF(Sheet1[[#This Row],[age]]&lt;=45,"31-45",IF(Sheet1[[#This Row],[age]]&lt;=60,"46-60","60+"))))</f>
        <v>46-60</v>
      </c>
      <c r="M359" s="2" t="str">
        <f>IF(Sheet1[[#This Row],[risk_score]]&lt;0.3,"Low",IF(Sheet1[[#This Row],[risk_score]]&lt;0.7,"Medium","High"))</f>
        <v>Low</v>
      </c>
      <c r="N359">
        <f>YEAR(Sheet1[[#This Row],[date_joined]])</f>
        <v>2020</v>
      </c>
      <c r="O359" s="2" t="str">
        <f>TEXT(Sheet1[[#This Row],[date_joined]],"mmm")</f>
        <v>Apr</v>
      </c>
      <c r="P359" s="2" t="str">
        <f>"Q"&amp;ROUNDUP(MONTH(Sheet1[[#This Row],[date_joined]])/3,0)</f>
        <v>Q2</v>
      </c>
      <c r="Q359" s="2" t="str">
        <f>IF(Sheet1[[#This Row],[age]]&lt;30,"Young",IF(Sheet1[[#This Row],[age]]&lt;=50,"Adult","Senior"))</f>
        <v>Adult</v>
      </c>
      <c r="R359" s="2" t="str">
        <f t="shared" si="10"/>
        <v>Low</v>
      </c>
      <c r="S359" s="2" t="str">
        <f t="shared" si="11"/>
        <v>North - Salaried</v>
      </c>
    </row>
    <row r="360" spans="1:19" x14ac:dyDescent="0.3">
      <c r="A360" t="s">
        <v>743</v>
      </c>
      <c r="B360" t="s">
        <v>744</v>
      </c>
      <c r="C360">
        <v>54</v>
      </c>
      <c r="D360" s="2" t="s">
        <v>13</v>
      </c>
      <c r="E360" s="2" t="s">
        <v>22</v>
      </c>
      <c r="F360" s="2" t="s">
        <v>23</v>
      </c>
      <c r="G360" s="2" t="s">
        <v>81</v>
      </c>
      <c r="H360" s="2" t="s">
        <v>17</v>
      </c>
      <c r="I360" s="2" t="s">
        <v>18</v>
      </c>
      <c r="J360">
        <v>0.72</v>
      </c>
      <c r="K360" s="1">
        <v>45012</v>
      </c>
      <c r="L360" s="2" t="str">
        <f>IF(Sheet1[[#This Row],[age]]&lt;18, "Under 18",IF(Sheet1[[#This Row],[age]]&lt;=30,"18-30",IF(Sheet1[[#This Row],[age]]&lt;=45,"31-45",IF(Sheet1[[#This Row],[age]]&lt;=60,"46-60","60+"))))</f>
        <v>46-60</v>
      </c>
      <c r="M360" s="2" t="str">
        <f>IF(Sheet1[[#This Row],[risk_score]]&lt;0.3,"Low",IF(Sheet1[[#This Row],[risk_score]]&lt;0.7,"Medium","High"))</f>
        <v>High</v>
      </c>
      <c r="N360">
        <f>YEAR(Sheet1[[#This Row],[date_joined]])</f>
        <v>2023</v>
      </c>
      <c r="O360" s="2" t="str">
        <f>TEXT(Sheet1[[#This Row],[date_joined]],"mmm")</f>
        <v>Mar</v>
      </c>
      <c r="P360" s="2" t="str">
        <f>"Q"&amp;ROUNDUP(MONTH(Sheet1[[#This Row],[date_joined]])/3,0)</f>
        <v>Q1</v>
      </c>
      <c r="Q360" s="2" t="str">
        <f>IF(Sheet1[[#This Row],[age]]&lt;30,"Young",IF(Sheet1[[#This Row],[age]]&lt;=50,"Adult","Senior"))</f>
        <v>Senior</v>
      </c>
      <c r="R360" s="2" t="str">
        <f t="shared" si="10"/>
        <v>High</v>
      </c>
      <c r="S360" s="2" t="str">
        <f t="shared" si="11"/>
        <v>Central - Salaried</v>
      </c>
    </row>
    <row r="361" spans="1:19" x14ac:dyDescent="0.3">
      <c r="A361" t="s">
        <v>745</v>
      </c>
      <c r="B361" t="s">
        <v>746</v>
      </c>
      <c r="C361">
        <v>36</v>
      </c>
      <c r="D361" s="2" t="s">
        <v>13</v>
      </c>
      <c r="E361" s="2" t="s">
        <v>22</v>
      </c>
      <c r="F361" s="2" t="s">
        <v>37</v>
      </c>
      <c r="G361" s="2" t="s">
        <v>66</v>
      </c>
      <c r="H361" s="2" t="s">
        <v>17</v>
      </c>
      <c r="I361" s="2" t="s">
        <v>18</v>
      </c>
      <c r="J361">
        <v>0.45</v>
      </c>
      <c r="K361" s="1">
        <v>44691</v>
      </c>
      <c r="L361" s="2" t="str">
        <f>IF(Sheet1[[#This Row],[age]]&lt;18, "Under 18",IF(Sheet1[[#This Row],[age]]&lt;=30,"18-30",IF(Sheet1[[#This Row],[age]]&lt;=45,"31-45",IF(Sheet1[[#This Row],[age]]&lt;=60,"46-60","60+"))))</f>
        <v>31-45</v>
      </c>
      <c r="M361" s="2" t="str">
        <f>IF(Sheet1[[#This Row],[risk_score]]&lt;0.3,"Low",IF(Sheet1[[#This Row],[risk_score]]&lt;0.7,"Medium","High"))</f>
        <v>Medium</v>
      </c>
      <c r="N361">
        <f>YEAR(Sheet1[[#This Row],[date_joined]])</f>
        <v>2022</v>
      </c>
      <c r="O361" s="2" t="str">
        <f>TEXT(Sheet1[[#This Row],[date_joined]],"mmm")</f>
        <v>May</v>
      </c>
      <c r="P361" s="2" t="str">
        <f>"Q"&amp;ROUNDUP(MONTH(Sheet1[[#This Row],[date_joined]])/3,0)</f>
        <v>Q2</v>
      </c>
      <c r="Q361" s="2" t="str">
        <f>IF(Sheet1[[#This Row],[age]]&lt;30,"Young",IF(Sheet1[[#This Row],[age]]&lt;=50,"Adult","Senior"))</f>
        <v>Adult</v>
      </c>
      <c r="R361" s="2" t="str">
        <f t="shared" si="10"/>
        <v>High</v>
      </c>
      <c r="S361" s="2" t="str">
        <f t="shared" si="11"/>
        <v>North-East - Retired</v>
      </c>
    </row>
    <row r="362" spans="1:19" x14ac:dyDescent="0.3">
      <c r="A362" t="s">
        <v>747</v>
      </c>
      <c r="B362" t="s">
        <v>748</v>
      </c>
      <c r="C362">
        <v>39</v>
      </c>
      <c r="D362" s="2" t="s">
        <v>13</v>
      </c>
      <c r="E362" s="2" t="s">
        <v>30</v>
      </c>
      <c r="F362" s="2" t="s">
        <v>15</v>
      </c>
      <c r="G362" s="2" t="s">
        <v>16</v>
      </c>
      <c r="H362" s="2" t="s">
        <v>18</v>
      </c>
      <c r="I362" s="2" t="s">
        <v>17</v>
      </c>
      <c r="J362">
        <v>0.52</v>
      </c>
      <c r="K362" s="1">
        <v>45109</v>
      </c>
      <c r="L362" s="2" t="str">
        <f>IF(Sheet1[[#This Row],[age]]&lt;18, "Under 18",IF(Sheet1[[#This Row],[age]]&lt;=30,"18-30",IF(Sheet1[[#This Row],[age]]&lt;=45,"31-45",IF(Sheet1[[#This Row],[age]]&lt;=60,"46-60","60+"))))</f>
        <v>31-45</v>
      </c>
      <c r="M362" s="2" t="str">
        <f>IF(Sheet1[[#This Row],[risk_score]]&lt;0.3,"Low",IF(Sheet1[[#This Row],[risk_score]]&lt;0.7,"Medium","High"))</f>
        <v>Medium</v>
      </c>
      <c r="N362">
        <f>YEAR(Sheet1[[#This Row],[date_joined]])</f>
        <v>2023</v>
      </c>
      <c r="O362" s="2" t="str">
        <f>TEXT(Sheet1[[#This Row],[date_joined]],"mmm")</f>
        <v>Jul</v>
      </c>
      <c r="P362" s="2" t="str">
        <f>"Q"&amp;ROUNDUP(MONTH(Sheet1[[#This Row],[date_joined]])/3,0)</f>
        <v>Q3</v>
      </c>
      <c r="Q362" s="2" t="str">
        <f>IF(Sheet1[[#This Row],[age]]&lt;30,"Young",IF(Sheet1[[#This Row],[age]]&lt;=50,"Adult","Senior"))</f>
        <v>Adult</v>
      </c>
      <c r="R362" s="2" t="str">
        <f t="shared" si="10"/>
        <v>High</v>
      </c>
      <c r="S362" s="2" t="str">
        <f t="shared" si="11"/>
        <v>West - Student</v>
      </c>
    </row>
    <row r="363" spans="1:19" x14ac:dyDescent="0.3">
      <c r="A363" t="s">
        <v>749</v>
      </c>
      <c r="B363" t="s">
        <v>750</v>
      </c>
      <c r="C363">
        <v>35</v>
      </c>
      <c r="D363" s="2" t="s">
        <v>21</v>
      </c>
      <c r="E363" s="2" t="s">
        <v>14</v>
      </c>
      <c r="F363" s="2" t="s">
        <v>23</v>
      </c>
      <c r="G363" s="2" t="s">
        <v>24</v>
      </c>
      <c r="H363" s="2" t="s">
        <v>18</v>
      </c>
      <c r="I363" s="2" t="s">
        <v>18</v>
      </c>
      <c r="J363">
        <v>0.73</v>
      </c>
      <c r="K363" s="1">
        <v>43990</v>
      </c>
      <c r="L363" s="2" t="str">
        <f>IF(Sheet1[[#This Row],[age]]&lt;18, "Under 18",IF(Sheet1[[#This Row],[age]]&lt;=30,"18-30",IF(Sheet1[[#This Row],[age]]&lt;=45,"31-45",IF(Sheet1[[#This Row],[age]]&lt;=60,"46-60","60+"))))</f>
        <v>31-45</v>
      </c>
      <c r="M363" s="2" t="str">
        <f>IF(Sheet1[[#This Row],[risk_score]]&lt;0.3,"Low",IF(Sheet1[[#This Row],[risk_score]]&lt;0.7,"Medium","High"))</f>
        <v>High</v>
      </c>
      <c r="N363">
        <f>YEAR(Sheet1[[#This Row],[date_joined]])</f>
        <v>2020</v>
      </c>
      <c r="O363" s="2" t="str">
        <f>TEXT(Sheet1[[#This Row],[date_joined]],"mmm")</f>
        <v>Jun</v>
      </c>
      <c r="P363" s="2" t="str">
        <f>"Q"&amp;ROUNDUP(MONTH(Sheet1[[#This Row],[date_joined]])/3,0)</f>
        <v>Q2</v>
      </c>
      <c r="Q363" s="2" t="str">
        <f>IF(Sheet1[[#This Row],[age]]&lt;30,"Young",IF(Sheet1[[#This Row],[age]]&lt;=50,"Adult","Senior"))</f>
        <v>Adult</v>
      </c>
      <c r="R363" s="2" t="str">
        <f t="shared" si="10"/>
        <v>Very High</v>
      </c>
      <c r="S363" s="2" t="str">
        <f t="shared" si="11"/>
        <v>East - Salaried</v>
      </c>
    </row>
    <row r="364" spans="1:19" x14ac:dyDescent="0.3">
      <c r="A364" t="s">
        <v>751</v>
      </c>
      <c r="B364" t="s">
        <v>752</v>
      </c>
      <c r="C364">
        <v>41</v>
      </c>
      <c r="D364" s="2" t="s">
        <v>13</v>
      </c>
      <c r="E364" s="2" t="s">
        <v>30</v>
      </c>
      <c r="F364" s="2" t="s">
        <v>31</v>
      </c>
      <c r="G364" s="2" t="s">
        <v>27</v>
      </c>
      <c r="H364" s="2" t="s">
        <v>18</v>
      </c>
      <c r="I364" s="2" t="s">
        <v>18</v>
      </c>
      <c r="J364">
        <v>0.19</v>
      </c>
      <c r="K364" s="1">
        <v>44364</v>
      </c>
      <c r="L364" s="2" t="str">
        <f>IF(Sheet1[[#This Row],[age]]&lt;18, "Under 18",IF(Sheet1[[#This Row],[age]]&lt;=30,"18-30",IF(Sheet1[[#This Row],[age]]&lt;=45,"31-45",IF(Sheet1[[#This Row],[age]]&lt;=60,"46-60","60+"))))</f>
        <v>31-45</v>
      </c>
      <c r="M364" s="2" t="str">
        <f>IF(Sheet1[[#This Row],[risk_score]]&lt;0.3,"Low",IF(Sheet1[[#This Row],[risk_score]]&lt;0.7,"Medium","High"))</f>
        <v>Low</v>
      </c>
      <c r="N364">
        <f>YEAR(Sheet1[[#This Row],[date_joined]])</f>
        <v>2021</v>
      </c>
      <c r="O364" s="2" t="str">
        <f>TEXT(Sheet1[[#This Row],[date_joined]],"mmm")</f>
        <v>Jun</v>
      </c>
      <c r="P364" s="2" t="str">
        <f>"Q"&amp;ROUNDUP(MONTH(Sheet1[[#This Row],[date_joined]])/3,0)</f>
        <v>Q2</v>
      </c>
      <c r="Q364" s="2" t="str">
        <f>IF(Sheet1[[#This Row],[age]]&lt;30,"Young",IF(Sheet1[[#This Row],[age]]&lt;=50,"Adult","Senior"))</f>
        <v>Adult</v>
      </c>
      <c r="R364" s="2" t="str">
        <f t="shared" si="10"/>
        <v>Very High</v>
      </c>
      <c r="S364" s="2" t="str">
        <f t="shared" si="11"/>
        <v>North - Self-employed</v>
      </c>
    </row>
    <row r="365" spans="1:19" x14ac:dyDescent="0.3">
      <c r="A365" t="s">
        <v>753</v>
      </c>
      <c r="B365" t="s">
        <v>754</v>
      </c>
      <c r="C365">
        <v>61</v>
      </c>
      <c r="D365" s="2" t="s">
        <v>13</v>
      </c>
      <c r="E365" s="2" t="s">
        <v>22</v>
      </c>
      <c r="F365" s="2" t="s">
        <v>15</v>
      </c>
      <c r="G365" s="2" t="s">
        <v>24</v>
      </c>
      <c r="H365" s="2" t="s">
        <v>17</v>
      </c>
      <c r="I365" s="2" t="s">
        <v>18</v>
      </c>
      <c r="J365">
        <v>0.62</v>
      </c>
      <c r="K365" s="1">
        <v>44431</v>
      </c>
      <c r="L365" s="2" t="str">
        <f>IF(Sheet1[[#This Row],[age]]&lt;18, "Under 18",IF(Sheet1[[#This Row],[age]]&lt;=30,"18-30",IF(Sheet1[[#This Row],[age]]&lt;=45,"31-45",IF(Sheet1[[#This Row],[age]]&lt;=60,"46-60","60+"))))</f>
        <v>60+</v>
      </c>
      <c r="M365" s="2" t="str">
        <f>IF(Sheet1[[#This Row],[risk_score]]&lt;0.3,"Low",IF(Sheet1[[#This Row],[risk_score]]&lt;0.7,"Medium","High"))</f>
        <v>Medium</v>
      </c>
      <c r="N365">
        <f>YEAR(Sheet1[[#This Row],[date_joined]])</f>
        <v>2021</v>
      </c>
      <c r="O365" s="2" t="str">
        <f>TEXT(Sheet1[[#This Row],[date_joined]],"mmm")</f>
        <v>Aug</v>
      </c>
      <c r="P365" s="2" t="str">
        <f>"Q"&amp;ROUNDUP(MONTH(Sheet1[[#This Row],[date_joined]])/3,0)</f>
        <v>Q3</v>
      </c>
      <c r="Q365" s="2" t="str">
        <f>IF(Sheet1[[#This Row],[age]]&lt;30,"Young",IF(Sheet1[[#This Row],[age]]&lt;=50,"Adult","Senior"))</f>
        <v>Senior</v>
      </c>
      <c r="R365" s="2" t="str">
        <f t="shared" si="10"/>
        <v>High</v>
      </c>
      <c r="S365" s="2" t="str">
        <f t="shared" si="11"/>
        <v>East - Student</v>
      </c>
    </row>
    <row r="366" spans="1:19" x14ac:dyDescent="0.3">
      <c r="A366" t="s">
        <v>755</v>
      </c>
      <c r="B366" t="s">
        <v>756</v>
      </c>
      <c r="C366">
        <v>57</v>
      </c>
      <c r="D366" s="2" t="s">
        <v>13</v>
      </c>
      <c r="E366" s="2" t="s">
        <v>22</v>
      </c>
      <c r="F366" s="2" t="s">
        <v>31</v>
      </c>
      <c r="G366" s="2" t="s">
        <v>24</v>
      </c>
      <c r="H366" s="2" t="s">
        <v>17</v>
      </c>
      <c r="I366" s="2" t="s">
        <v>18</v>
      </c>
      <c r="J366">
        <v>0.73</v>
      </c>
      <c r="K366" s="1">
        <v>43575</v>
      </c>
      <c r="L366" s="2" t="str">
        <f>IF(Sheet1[[#This Row],[age]]&lt;18, "Under 18",IF(Sheet1[[#This Row],[age]]&lt;=30,"18-30",IF(Sheet1[[#This Row],[age]]&lt;=45,"31-45",IF(Sheet1[[#This Row],[age]]&lt;=60,"46-60","60+"))))</f>
        <v>46-60</v>
      </c>
      <c r="M366" s="2" t="str">
        <f>IF(Sheet1[[#This Row],[risk_score]]&lt;0.3,"Low",IF(Sheet1[[#This Row],[risk_score]]&lt;0.7,"Medium","High"))</f>
        <v>High</v>
      </c>
      <c r="N366">
        <f>YEAR(Sheet1[[#This Row],[date_joined]])</f>
        <v>2019</v>
      </c>
      <c r="O366" s="2" t="str">
        <f>TEXT(Sheet1[[#This Row],[date_joined]],"mmm")</f>
        <v>Apr</v>
      </c>
      <c r="P366" s="2" t="str">
        <f>"Q"&amp;ROUNDUP(MONTH(Sheet1[[#This Row],[date_joined]])/3,0)</f>
        <v>Q2</v>
      </c>
      <c r="Q366" s="2" t="str">
        <f>IF(Sheet1[[#This Row],[age]]&lt;30,"Young",IF(Sheet1[[#This Row],[age]]&lt;=50,"Adult","Senior"))</f>
        <v>Senior</v>
      </c>
      <c r="R366" s="2" t="str">
        <f t="shared" si="10"/>
        <v>High</v>
      </c>
      <c r="S366" s="2" t="str">
        <f t="shared" si="11"/>
        <v>East - Self-employed</v>
      </c>
    </row>
    <row r="367" spans="1:19" x14ac:dyDescent="0.3">
      <c r="A367" t="s">
        <v>757</v>
      </c>
      <c r="B367" t="s">
        <v>758</v>
      </c>
      <c r="C367">
        <v>31</v>
      </c>
      <c r="D367" s="2" t="s">
        <v>13</v>
      </c>
      <c r="E367" s="2" t="s">
        <v>14</v>
      </c>
      <c r="F367" s="2" t="s">
        <v>31</v>
      </c>
      <c r="G367" s="2" t="s">
        <v>81</v>
      </c>
      <c r="H367" s="2" t="s">
        <v>18</v>
      </c>
      <c r="I367" s="2" t="s">
        <v>17</v>
      </c>
      <c r="J367">
        <v>0.66</v>
      </c>
      <c r="K367" s="1">
        <v>44450</v>
      </c>
      <c r="L367" s="2" t="str">
        <f>IF(Sheet1[[#This Row],[age]]&lt;18, "Under 18",IF(Sheet1[[#This Row],[age]]&lt;=30,"18-30",IF(Sheet1[[#This Row],[age]]&lt;=45,"31-45",IF(Sheet1[[#This Row],[age]]&lt;=60,"46-60","60+"))))</f>
        <v>31-45</v>
      </c>
      <c r="M367" s="2" t="str">
        <f>IF(Sheet1[[#This Row],[risk_score]]&lt;0.3,"Low",IF(Sheet1[[#This Row],[risk_score]]&lt;0.7,"Medium","High"))</f>
        <v>Medium</v>
      </c>
      <c r="N367">
        <f>YEAR(Sheet1[[#This Row],[date_joined]])</f>
        <v>2021</v>
      </c>
      <c r="O367" s="2" t="str">
        <f>TEXT(Sheet1[[#This Row],[date_joined]],"mmm")</f>
        <v>Sep</v>
      </c>
      <c r="P367" s="2" t="str">
        <f>"Q"&amp;ROUNDUP(MONTH(Sheet1[[#This Row],[date_joined]])/3,0)</f>
        <v>Q3</v>
      </c>
      <c r="Q367" s="2" t="str">
        <f>IF(Sheet1[[#This Row],[age]]&lt;30,"Young",IF(Sheet1[[#This Row],[age]]&lt;=50,"Adult","Senior"))</f>
        <v>Adult</v>
      </c>
      <c r="R367" s="2" t="str">
        <f t="shared" si="10"/>
        <v>High</v>
      </c>
      <c r="S367" s="2" t="str">
        <f t="shared" si="11"/>
        <v>Central - Self-employed</v>
      </c>
    </row>
    <row r="368" spans="1:19" x14ac:dyDescent="0.3">
      <c r="A368" t="s">
        <v>759</v>
      </c>
      <c r="B368" t="s">
        <v>760</v>
      </c>
      <c r="C368">
        <v>27</v>
      </c>
      <c r="D368" s="2" t="s">
        <v>21</v>
      </c>
      <c r="E368" s="2" t="s">
        <v>14</v>
      </c>
      <c r="F368" s="2" t="s">
        <v>23</v>
      </c>
      <c r="G368" s="2" t="s">
        <v>81</v>
      </c>
      <c r="H368" s="2" t="s">
        <v>17</v>
      </c>
      <c r="I368" s="2" t="s">
        <v>18</v>
      </c>
      <c r="J368">
        <v>0.56000000000000005</v>
      </c>
      <c r="K368" s="1">
        <v>43363</v>
      </c>
      <c r="L368" s="2" t="str">
        <f>IF(Sheet1[[#This Row],[age]]&lt;18, "Under 18",IF(Sheet1[[#This Row],[age]]&lt;=30,"18-30",IF(Sheet1[[#This Row],[age]]&lt;=45,"31-45",IF(Sheet1[[#This Row],[age]]&lt;=60,"46-60","60+"))))</f>
        <v>18-30</v>
      </c>
      <c r="M368" s="2" t="str">
        <f>IF(Sheet1[[#This Row],[risk_score]]&lt;0.3,"Low",IF(Sheet1[[#This Row],[risk_score]]&lt;0.7,"Medium","High"))</f>
        <v>Medium</v>
      </c>
      <c r="N368">
        <f>YEAR(Sheet1[[#This Row],[date_joined]])</f>
        <v>2018</v>
      </c>
      <c r="O368" s="2" t="str">
        <f>TEXT(Sheet1[[#This Row],[date_joined]],"mmm")</f>
        <v>Sep</v>
      </c>
      <c r="P368" s="2" t="str">
        <f>"Q"&amp;ROUNDUP(MONTH(Sheet1[[#This Row],[date_joined]])/3,0)</f>
        <v>Q3</v>
      </c>
      <c r="Q368" s="2" t="str">
        <f>IF(Sheet1[[#This Row],[age]]&lt;30,"Young",IF(Sheet1[[#This Row],[age]]&lt;=50,"Adult","Senior"))</f>
        <v>Young</v>
      </c>
      <c r="R368" s="2" t="str">
        <f t="shared" si="10"/>
        <v>High</v>
      </c>
      <c r="S368" s="2" t="str">
        <f t="shared" si="11"/>
        <v>Central - Salaried</v>
      </c>
    </row>
    <row r="369" spans="1:19" x14ac:dyDescent="0.3">
      <c r="A369" t="s">
        <v>761</v>
      </c>
      <c r="B369" t="s">
        <v>762</v>
      </c>
      <c r="C369">
        <v>21</v>
      </c>
      <c r="D369" s="2" t="s">
        <v>13</v>
      </c>
      <c r="E369" s="2" t="s">
        <v>14</v>
      </c>
      <c r="F369" s="2" t="s">
        <v>15</v>
      </c>
      <c r="G369" s="2" t="s">
        <v>16</v>
      </c>
      <c r="H369" s="2" t="s">
        <v>17</v>
      </c>
      <c r="I369" s="2" t="s">
        <v>17</v>
      </c>
      <c r="J369">
        <v>0.3</v>
      </c>
      <c r="K369" s="1">
        <v>44037</v>
      </c>
      <c r="L369" s="2" t="str">
        <f>IF(Sheet1[[#This Row],[age]]&lt;18, "Under 18",IF(Sheet1[[#This Row],[age]]&lt;=30,"18-30",IF(Sheet1[[#This Row],[age]]&lt;=45,"31-45",IF(Sheet1[[#This Row],[age]]&lt;=60,"46-60","60+"))))</f>
        <v>18-30</v>
      </c>
      <c r="M369" s="2" t="str">
        <f>IF(Sheet1[[#This Row],[risk_score]]&lt;0.3,"Low",IF(Sheet1[[#This Row],[risk_score]]&lt;0.7,"Medium","High"))</f>
        <v>Medium</v>
      </c>
      <c r="N369">
        <f>YEAR(Sheet1[[#This Row],[date_joined]])</f>
        <v>2020</v>
      </c>
      <c r="O369" s="2" t="str">
        <f>TEXT(Sheet1[[#This Row],[date_joined]],"mmm")</f>
        <v>Jul</v>
      </c>
      <c r="P369" s="2" t="str">
        <f>"Q"&amp;ROUNDUP(MONTH(Sheet1[[#This Row],[date_joined]])/3,0)</f>
        <v>Q3</v>
      </c>
      <c r="Q369" s="2" t="str">
        <f>IF(Sheet1[[#This Row],[age]]&lt;30,"Young",IF(Sheet1[[#This Row],[age]]&lt;=50,"Adult","Senior"))</f>
        <v>Young</v>
      </c>
      <c r="R369" s="2" t="str">
        <f t="shared" si="10"/>
        <v>Low</v>
      </c>
      <c r="S369" s="2" t="str">
        <f t="shared" si="11"/>
        <v>West - Student</v>
      </c>
    </row>
    <row r="370" spans="1:19" x14ac:dyDescent="0.3">
      <c r="A370" t="s">
        <v>763</v>
      </c>
      <c r="B370" t="s">
        <v>764</v>
      </c>
      <c r="C370">
        <v>47</v>
      </c>
      <c r="D370" s="2" t="s">
        <v>21</v>
      </c>
      <c r="E370" s="2" t="s">
        <v>22</v>
      </c>
      <c r="F370" s="2" t="s">
        <v>37</v>
      </c>
      <c r="G370" s="2" t="s">
        <v>16</v>
      </c>
      <c r="H370" s="2" t="s">
        <v>18</v>
      </c>
      <c r="I370" s="2" t="s">
        <v>18</v>
      </c>
      <c r="J370">
        <v>0.61</v>
      </c>
      <c r="K370" s="1">
        <v>44109</v>
      </c>
      <c r="L370" s="2" t="str">
        <f>IF(Sheet1[[#This Row],[age]]&lt;18, "Under 18",IF(Sheet1[[#This Row],[age]]&lt;=30,"18-30",IF(Sheet1[[#This Row],[age]]&lt;=45,"31-45",IF(Sheet1[[#This Row],[age]]&lt;=60,"46-60","60+"))))</f>
        <v>46-60</v>
      </c>
      <c r="M370" s="2" t="str">
        <f>IF(Sheet1[[#This Row],[risk_score]]&lt;0.3,"Low",IF(Sheet1[[#This Row],[risk_score]]&lt;0.7,"Medium","High"))</f>
        <v>Medium</v>
      </c>
      <c r="N370">
        <f>YEAR(Sheet1[[#This Row],[date_joined]])</f>
        <v>2020</v>
      </c>
      <c r="O370" s="2" t="str">
        <f>TEXT(Sheet1[[#This Row],[date_joined]],"mmm")</f>
        <v>Oct</v>
      </c>
      <c r="P370" s="2" t="str">
        <f>"Q"&amp;ROUNDUP(MONTH(Sheet1[[#This Row],[date_joined]])/3,0)</f>
        <v>Q4</v>
      </c>
      <c r="Q370" s="2" t="str">
        <f>IF(Sheet1[[#This Row],[age]]&lt;30,"Young",IF(Sheet1[[#This Row],[age]]&lt;=50,"Adult","Senior"))</f>
        <v>Adult</v>
      </c>
      <c r="R370" s="2" t="str">
        <f t="shared" si="10"/>
        <v>Very High</v>
      </c>
      <c r="S370" s="2" t="str">
        <f t="shared" si="11"/>
        <v>West - Retired</v>
      </c>
    </row>
    <row r="371" spans="1:19" x14ac:dyDescent="0.3">
      <c r="A371" t="s">
        <v>765</v>
      </c>
      <c r="B371" t="s">
        <v>766</v>
      </c>
      <c r="C371">
        <v>64</v>
      </c>
      <c r="D371" s="2" t="s">
        <v>13</v>
      </c>
      <c r="E371" s="2" t="s">
        <v>30</v>
      </c>
      <c r="F371" s="2" t="s">
        <v>37</v>
      </c>
      <c r="G371" s="2" t="s">
        <v>81</v>
      </c>
      <c r="H371" s="2" t="s">
        <v>17</v>
      </c>
      <c r="I371" s="2" t="s">
        <v>17</v>
      </c>
      <c r="J371">
        <v>0.55000000000000004</v>
      </c>
      <c r="K371" s="1">
        <v>43142</v>
      </c>
      <c r="L371" s="2" t="str">
        <f>IF(Sheet1[[#This Row],[age]]&lt;18, "Under 18",IF(Sheet1[[#This Row],[age]]&lt;=30,"18-30",IF(Sheet1[[#This Row],[age]]&lt;=45,"31-45",IF(Sheet1[[#This Row],[age]]&lt;=60,"46-60","60+"))))</f>
        <v>60+</v>
      </c>
      <c r="M371" s="2" t="str">
        <f>IF(Sheet1[[#This Row],[risk_score]]&lt;0.3,"Low",IF(Sheet1[[#This Row],[risk_score]]&lt;0.7,"Medium","High"))</f>
        <v>Medium</v>
      </c>
      <c r="N371">
        <f>YEAR(Sheet1[[#This Row],[date_joined]])</f>
        <v>2018</v>
      </c>
      <c r="O371" s="2" t="str">
        <f>TEXT(Sheet1[[#This Row],[date_joined]],"mmm")</f>
        <v>Feb</v>
      </c>
      <c r="P371" s="2" t="str">
        <f>"Q"&amp;ROUNDUP(MONTH(Sheet1[[#This Row],[date_joined]])/3,0)</f>
        <v>Q1</v>
      </c>
      <c r="Q371" s="2" t="str">
        <f>IF(Sheet1[[#This Row],[age]]&lt;30,"Young",IF(Sheet1[[#This Row],[age]]&lt;=50,"Adult","Senior"))</f>
        <v>Senior</v>
      </c>
      <c r="R371" s="2" t="str">
        <f t="shared" si="10"/>
        <v>Low</v>
      </c>
      <c r="S371" s="2" t="str">
        <f t="shared" si="11"/>
        <v>Central - Retired</v>
      </c>
    </row>
    <row r="372" spans="1:19" x14ac:dyDescent="0.3">
      <c r="A372" t="s">
        <v>767</v>
      </c>
      <c r="B372" t="s">
        <v>768</v>
      </c>
      <c r="C372">
        <v>64</v>
      </c>
      <c r="D372" s="2" t="s">
        <v>13</v>
      </c>
      <c r="E372" s="2" t="s">
        <v>14</v>
      </c>
      <c r="F372" s="2" t="s">
        <v>15</v>
      </c>
      <c r="G372" s="2" t="s">
        <v>81</v>
      </c>
      <c r="H372" s="2" t="s">
        <v>18</v>
      </c>
      <c r="I372" s="2" t="s">
        <v>18</v>
      </c>
      <c r="J372">
        <v>0.23</v>
      </c>
      <c r="K372" s="1">
        <v>44240</v>
      </c>
      <c r="L372" s="2" t="str">
        <f>IF(Sheet1[[#This Row],[age]]&lt;18, "Under 18",IF(Sheet1[[#This Row],[age]]&lt;=30,"18-30",IF(Sheet1[[#This Row],[age]]&lt;=45,"31-45",IF(Sheet1[[#This Row],[age]]&lt;=60,"46-60","60+"))))</f>
        <v>60+</v>
      </c>
      <c r="M372" s="2" t="str">
        <f>IF(Sheet1[[#This Row],[risk_score]]&lt;0.3,"Low",IF(Sheet1[[#This Row],[risk_score]]&lt;0.7,"Medium","High"))</f>
        <v>Low</v>
      </c>
      <c r="N372">
        <f>YEAR(Sheet1[[#This Row],[date_joined]])</f>
        <v>2021</v>
      </c>
      <c r="O372" s="2" t="str">
        <f>TEXT(Sheet1[[#This Row],[date_joined]],"mmm")</f>
        <v>Feb</v>
      </c>
      <c r="P372" s="2" t="str">
        <f>"Q"&amp;ROUNDUP(MONTH(Sheet1[[#This Row],[date_joined]])/3,0)</f>
        <v>Q1</v>
      </c>
      <c r="Q372" s="2" t="str">
        <f>IF(Sheet1[[#This Row],[age]]&lt;30,"Young",IF(Sheet1[[#This Row],[age]]&lt;=50,"Adult","Senior"))</f>
        <v>Senior</v>
      </c>
      <c r="R372" s="2" t="str">
        <f t="shared" si="10"/>
        <v>Very High</v>
      </c>
      <c r="S372" s="2" t="str">
        <f t="shared" si="11"/>
        <v>Central - Student</v>
      </c>
    </row>
    <row r="373" spans="1:19" x14ac:dyDescent="0.3">
      <c r="A373" t="s">
        <v>769</v>
      </c>
      <c r="B373" t="s">
        <v>770</v>
      </c>
      <c r="C373">
        <v>21</v>
      </c>
      <c r="D373" s="2" t="s">
        <v>13</v>
      </c>
      <c r="E373" s="2" t="s">
        <v>14</v>
      </c>
      <c r="F373" s="2" t="s">
        <v>15</v>
      </c>
      <c r="G373" s="2" t="s">
        <v>24</v>
      </c>
      <c r="H373" s="2" t="s">
        <v>18</v>
      </c>
      <c r="I373" s="2" t="s">
        <v>17</v>
      </c>
      <c r="J373">
        <v>0.48</v>
      </c>
      <c r="K373" s="1">
        <v>43911</v>
      </c>
      <c r="L373" s="2" t="str">
        <f>IF(Sheet1[[#This Row],[age]]&lt;18, "Under 18",IF(Sheet1[[#This Row],[age]]&lt;=30,"18-30",IF(Sheet1[[#This Row],[age]]&lt;=45,"31-45",IF(Sheet1[[#This Row],[age]]&lt;=60,"46-60","60+"))))</f>
        <v>18-30</v>
      </c>
      <c r="M373" s="2" t="str">
        <f>IF(Sheet1[[#This Row],[risk_score]]&lt;0.3,"Low",IF(Sheet1[[#This Row],[risk_score]]&lt;0.7,"Medium","High"))</f>
        <v>Medium</v>
      </c>
      <c r="N373">
        <f>YEAR(Sheet1[[#This Row],[date_joined]])</f>
        <v>2020</v>
      </c>
      <c r="O373" s="2" t="str">
        <f>TEXT(Sheet1[[#This Row],[date_joined]],"mmm")</f>
        <v>Mar</v>
      </c>
      <c r="P373" s="2" t="str">
        <f>"Q"&amp;ROUNDUP(MONTH(Sheet1[[#This Row],[date_joined]])/3,0)</f>
        <v>Q1</v>
      </c>
      <c r="Q373" s="2" t="str">
        <f>IF(Sheet1[[#This Row],[age]]&lt;30,"Young",IF(Sheet1[[#This Row],[age]]&lt;=50,"Adult","Senior"))</f>
        <v>Young</v>
      </c>
      <c r="R373" s="2" t="str">
        <f t="shared" si="10"/>
        <v>High</v>
      </c>
      <c r="S373" s="2" t="str">
        <f t="shared" si="11"/>
        <v>East - Student</v>
      </c>
    </row>
    <row r="374" spans="1:19" x14ac:dyDescent="0.3">
      <c r="A374" t="s">
        <v>771</v>
      </c>
      <c r="B374" t="s">
        <v>772</v>
      </c>
      <c r="C374">
        <v>63</v>
      </c>
      <c r="D374" s="2" t="s">
        <v>13</v>
      </c>
      <c r="E374" s="2" t="s">
        <v>22</v>
      </c>
      <c r="F374" s="2" t="s">
        <v>31</v>
      </c>
      <c r="G374" s="2" t="s">
        <v>32</v>
      </c>
      <c r="H374" s="2" t="s">
        <v>17</v>
      </c>
      <c r="I374" s="2" t="s">
        <v>17</v>
      </c>
      <c r="J374">
        <v>0.44</v>
      </c>
      <c r="K374" s="1">
        <v>43617</v>
      </c>
      <c r="L374" s="2" t="str">
        <f>IF(Sheet1[[#This Row],[age]]&lt;18, "Under 18",IF(Sheet1[[#This Row],[age]]&lt;=30,"18-30",IF(Sheet1[[#This Row],[age]]&lt;=45,"31-45",IF(Sheet1[[#This Row],[age]]&lt;=60,"46-60","60+"))))</f>
        <v>60+</v>
      </c>
      <c r="M374" s="2" t="str">
        <f>IF(Sheet1[[#This Row],[risk_score]]&lt;0.3,"Low",IF(Sheet1[[#This Row],[risk_score]]&lt;0.7,"Medium","High"))</f>
        <v>Medium</v>
      </c>
      <c r="N374">
        <f>YEAR(Sheet1[[#This Row],[date_joined]])</f>
        <v>2019</v>
      </c>
      <c r="O374" s="2" t="str">
        <f>TEXT(Sheet1[[#This Row],[date_joined]],"mmm")</f>
        <v>Jun</v>
      </c>
      <c r="P374" s="2" t="str">
        <f>"Q"&amp;ROUNDUP(MONTH(Sheet1[[#This Row],[date_joined]])/3,0)</f>
        <v>Q2</v>
      </c>
      <c r="Q374" s="2" t="str">
        <f>IF(Sheet1[[#This Row],[age]]&lt;30,"Young",IF(Sheet1[[#This Row],[age]]&lt;=50,"Adult","Senior"))</f>
        <v>Senior</v>
      </c>
      <c r="R374" s="2" t="str">
        <f t="shared" si="10"/>
        <v>Low</v>
      </c>
      <c r="S374" s="2" t="str">
        <f t="shared" si="11"/>
        <v>South - Self-employed</v>
      </c>
    </row>
    <row r="375" spans="1:19" x14ac:dyDescent="0.3">
      <c r="A375" t="s">
        <v>773</v>
      </c>
      <c r="B375" t="s">
        <v>774</v>
      </c>
      <c r="C375">
        <v>22</v>
      </c>
      <c r="D375" s="2" t="s">
        <v>21</v>
      </c>
      <c r="E375" s="2" t="s">
        <v>22</v>
      </c>
      <c r="F375" s="2" t="s">
        <v>37</v>
      </c>
      <c r="G375" s="2" t="s">
        <v>16</v>
      </c>
      <c r="H375" s="2" t="s">
        <v>17</v>
      </c>
      <c r="I375" s="2" t="s">
        <v>18</v>
      </c>
      <c r="J375">
        <v>0.67</v>
      </c>
      <c r="K375" s="1">
        <v>44503</v>
      </c>
      <c r="L375" s="2" t="str">
        <f>IF(Sheet1[[#This Row],[age]]&lt;18, "Under 18",IF(Sheet1[[#This Row],[age]]&lt;=30,"18-30",IF(Sheet1[[#This Row],[age]]&lt;=45,"31-45",IF(Sheet1[[#This Row],[age]]&lt;=60,"46-60","60+"))))</f>
        <v>18-30</v>
      </c>
      <c r="M375" s="2" t="str">
        <f>IF(Sheet1[[#This Row],[risk_score]]&lt;0.3,"Low",IF(Sheet1[[#This Row],[risk_score]]&lt;0.7,"Medium","High"))</f>
        <v>Medium</v>
      </c>
      <c r="N375">
        <f>YEAR(Sheet1[[#This Row],[date_joined]])</f>
        <v>2021</v>
      </c>
      <c r="O375" s="2" t="str">
        <f>TEXT(Sheet1[[#This Row],[date_joined]],"mmm")</f>
        <v>Nov</v>
      </c>
      <c r="P375" s="2" t="str">
        <f>"Q"&amp;ROUNDUP(MONTH(Sheet1[[#This Row],[date_joined]])/3,0)</f>
        <v>Q4</v>
      </c>
      <c r="Q375" s="2" t="str">
        <f>IF(Sheet1[[#This Row],[age]]&lt;30,"Young",IF(Sheet1[[#This Row],[age]]&lt;=50,"Adult","Senior"))</f>
        <v>Young</v>
      </c>
      <c r="R375" s="2" t="str">
        <f t="shared" si="10"/>
        <v>High</v>
      </c>
      <c r="S375" s="2" t="str">
        <f t="shared" si="11"/>
        <v>West - Retired</v>
      </c>
    </row>
    <row r="376" spans="1:19" x14ac:dyDescent="0.3">
      <c r="A376" t="s">
        <v>775</v>
      </c>
      <c r="B376" t="s">
        <v>776</v>
      </c>
      <c r="C376">
        <v>56</v>
      </c>
      <c r="D376" s="2" t="s">
        <v>21</v>
      </c>
      <c r="E376" s="2" t="s">
        <v>22</v>
      </c>
      <c r="F376" s="2" t="s">
        <v>23</v>
      </c>
      <c r="G376" s="2" t="s">
        <v>16</v>
      </c>
      <c r="H376" s="2" t="s">
        <v>18</v>
      </c>
      <c r="I376" s="2" t="s">
        <v>18</v>
      </c>
      <c r="J376">
        <v>0.32</v>
      </c>
      <c r="K376" s="1">
        <v>44731</v>
      </c>
      <c r="L376" s="2" t="str">
        <f>IF(Sheet1[[#This Row],[age]]&lt;18, "Under 18",IF(Sheet1[[#This Row],[age]]&lt;=30,"18-30",IF(Sheet1[[#This Row],[age]]&lt;=45,"31-45",IF(Sheet1[[#This Row],[age]]&lt;=60,"46-60","60+"))))</f>
        <v>46-60</v>
      </c>
      <c r="M376" s="2" t="str">
        <f>IF(Sheet1[[#This Row],[risk_score]]&lt;0.3,"Low",IF(Sheet1[[#This Row],[risk_score]]&lt;0.7,"Medium","High"))</f>
        <v>Medium</v>
      </c>
      <c r="N376">
        <f>YEAR(Sheet1[[#This Row],[date_joined]])</f>
        <v>2022</v>
      </c>
      <c r="O376" s="2" t="str">
        <f>TEXT(Sheet1[[#This Row],[date_joined]],"mmm")</f>
        <v>Jun</v>
      </c>
      <c r="P376" s="2" t="str">
        <f>"Q"&amp;ROUNDUP(MONTH(Sheet1[[#This Row],[date_joined]])/3,0)</f>
        <v>Q2</v>
      </c>
      <c r="Q376" s="2" t="str">
        <f>IF(Sheet1[[#This Row],[age]]&lt;30,"Young",IF(Sheet1[[#This Row],[age]]&lt;=50,"Adult","Senior"))</f>
        <v>Senior</v>
      </c>
      <c r="R376" s="2" t="str">
        <f t="shared" si="10"/>
        <v>Very High</v>
      </c>
      <c r="S376" s="2" t="str">
        <f t="shared" si="11"/>
        <v>West - Salaried</v>
      </c>
    </row>
    <row r="377" spans="1:19" x14ac:dyDescent="0.3">
      <c r="A377" t="s">
        <v>777</v>
      </c>
      <c r="B377" t="s">
        <v>778</v>
      </c>
      <c r="C377">
        <v>61</v>
      </c>
      <c r="D377" s="2" t="s">
        <v>21</v>
      </c>
      <c r="E377" s="2" t="s">
        <v>14</v>
      </c>
      <c r="F377" s="2" t="s">
        <v>37</v>
      </c>
      <c r="G377" s="2" t="s">
        <v>81</v>
      </c>
      <c r="H377" s="2" t="s">
        <v>17</v>
      </c>
      <c r="I377" s="2" t="s">
        <v>17</v>
      </c>
      <c r="J377">
        <v>0.68</v>
      </c>
      <c r="K377" s="1">
        <v>45135</v>
      </c>
      <c r="L377" s="2" t="str">
        <f>IF(Sheet1[[#This Row],[age]]&lt;18, "Under 18",IF(Sheet1[[#This Row],[age]]&lt;=30,"18-30",IF(Sheet1[[#This Row],[age]]&lt;=45,"31-45",IF(Sheet1[[#This Row],[age]]&lt;=60,"46-60","60+"))))</f>
        <v>60+</v>
      </c>
      <c r="M377" s="2" t="str">
        <f>IF(Sheet1[[#This Row],[risk_score]]&lt;0.3,"Low",IF(Sheet1[[#This Row],[risk_score]]&lt;0.7,"Medium","High"))</f>
        <v>Medium</v>
      </c>
      <c r="N377">
        <f>YEAR(Sheet1[[#This Row],[date_joined]])</f>
        <v>2023</v>
      </c>
      <c r="O377" s="2" t="str">
        <f>TEXT(Sheet1[[#This Row],[date_joined]],"mmm")</f>
        <v>Jul</v>
      </c>
      <c r="P377" s="2" t="str">
        <f>"Q"&amp;ROUNDUP(MONTH(Sheet1[[#This Row],[date_joined]])/3,0)</f>
        <v>Q3</v>
      </c>
      <c r="Q377" s="2" t="str">
        <f>IF(Sheet1[[#This Row],[age]]&lt;30,"Young",IF(Sheet1[[#This Row],[age]]&lt;=50,"Adult","Senior"))</f>
        <v>Senior</v>
      </c>
      <c r="R377" s="2" t="str">
        <f t="shared" si="10"/>
        <v>Low</v>
      </c>
      <c r="S377" s="2" t="str">
        <f t="shared" si="11"/>
        <v>Central - Retired</v>
      </c>
    </row>
    <row r="378" spans="1:19" x14ac:dyDescent="0.3">
      <c r="A378" t="s">
        <v>779</v>
      </c>
      <c r="B378" t="s">
        <v>780</v>
      </c>
      <c r="C378">
        <v>46</v>
      </c>
      <c r="D378" s="2" t="s">
        <v>21</v>
      </c>
      <c r="E378" s="2" t="s">
        <v>14</v>
      </c>
      <c r="F378" s="2" t="s">
        <v>37</v>
      </c>
      <c r="G378" s="2" t="s">
        <v>66</v>
      </c>
      <c r="H378" s="2" t="s">
        <v>17</v>
      </c>
      <c r="I378" s="2" t="s">
        <v>18</v>
      </c>
      <c r="J378">
        <v>0.54</v>
      </c>
      <c r="K378" s="1">
        <v>43637</v>
      </c>
      <c r="L378" s="2" t="str">
        <f>IF(Sheet1[[#This Row],[age]]&lt;18, "Under 18",IF(Sheet1[[#This Row],[age]]&lt;=30,"18-30",IF(Sheet1[[#This Row],[age]]&lt;=45,"31-45",IF(Sheet1[[#This Row],[age]]&lt;=60,"46-60","60+"))))</f>
        <v>46-60</v>
      </c>
      <c r="M378" s="2" t="str">
        <f>IF(Sheet1[[#This Row],[risk_score]]&lt;0.3,"Low",IF(Sheet1[[#This Row],[risk_score]]&lt;0.7,"Medium","High"))</f>
        <v>Medium</v>
      </c>
      <c r="N378">
        <f>YEAR(Sheet1[[#This Row],[date_joined]])</f>
        <v>2019</v>
      </c>
      <c r="O378" s="2" t="str">
        <f>TEXT(Sheet1[[#This Row],[date_joined]],"mmm")</f>
        <v>Jun</v>
      </c>
      <c r="P378" s="2" t="str">
        <f>"Q"&amp;ROUNDUP(MONTH(Sheet1[[#This Row],[date_joined]])/3,0)</f>
        <v>Q2</v>
      </c>
      <c r="Q378" s="2" t="str">
        <f>IF(Sheet1[[#This Row],[age]]&lt;30,"Young",IF(Sheet1[[#This Row],[age]]&lt;=50,"Adult","Senior"))</f>
        <v>Adult</v>
      </c>
      <c r="R378" s="2" t="str">
        <f t="shared" si="10"/>
        <v>High</v>
      </c>
      <c r="S378" s="2" t="str">
        <f t="shared" si="11"/>
        <v>North-East - Retired</v>
      </c>
    </row>
    <row r="379" spans="1:19" x14ac:dyDescent="0.3">
      <c r="A379" t="s">
        <v>781</v>
      </c>
      <c r="B379" t="s">
        <v>782</v>
      </c>
      <c r="C379">
        <v>37</v>
      </c>
      <c r="D379" s="2" t="s">
        <v>21</v>
      </c>
      <c r="E379" s="2" t="s">
        <v>22</v>
      </c>
      <c r="F379" s="2" t="s">
        <v>37</v>
      </c>
      <c r="G379" s="2" t="s">
        <v>81</v>
      </c>
      <c r="H379" s="2" t="s">
        <v>17</v>
      </c>
      <c r="I379" s="2" t="s">
        <v>18</v>
      </c>
      <c r="J379">
        <v>0.5</v>
      </c>
      <c r="K379" s="1">
        <v>44149</v>
      </c>
      <c r="L379" s="2" t="str">
        <f>IF(Sheet1[[#This Row],[age]]&lt;18, "Under 18",IF(Sheet1[[#This Row],[age]]&lt;=30,"18-30",IF(Sheet1[[#This Row],[age]]&lt;=45,"31-45",IF(Sheet1[[#This Row],[age]]&lt;=60,"46-60","60+"))))</f>
        <v>31-45</v>
      </c>
      <c r="M379" s="2" t="str">
        <f>IF(Sheet1[[#This Row],[risk_score]]&lt;0.3,"Low",IF(Sheet1[[#This Row],[risk_score]]&lt;0.7,"Medium","High"))</f>
        <v>Medium</v>
      </c>
      <c r="N379">
        <f>YEAR(Sheet1[[#This Row],[date_joined]])</f>
        <v>2020</v>
      </c>
      <c r="O379" s="2" t="str">
        <f>TEXT(Sheet1[[#This Row],[date_joined]],"mmm")</f>
        <v>Nov</v>
      </c>
      <c r="P379" s="2" t="str">
        <f>"Q"&amp;ROUNDUP(MONTH(Sheet1[[#This Row],[date_joined]])/3,0)</f>
        <v>Q4</v>
      </c>
      <c r="Q379" s="2" t="str">
        <f>IF(Sheet1[[#This Row],[age]]&lt;30,"Young",IF(Sheet1[[#This Row],[age]]&lt;=50,"Adult","Senior"))</f>
        <v>Adult</v>
      </c>
      <c r="R379" s="2" t="str">
        <f t="shared" si="10"/>
        <v>High</v>
      </c>
      <c r="S379" s="2" t="str">
        <f t="shared" si="11"/>
        <v>Central - Retired</v>
      </c>
    </row>
    <row r="380" spans="1:19" x14ac:dyDescent="0.3">
      <c r="A380" t="s">
        <v>783</v>
      </c>
      <c r="B380" t="s">
        <v>784</v>
      </c>
      <c r="C380">
        <v>63</v>
      </c>
      <c r="D380" s="2" t="s">
        <v>21</v>
      </c>
      <c r="E380" s="2" t="s">
        <v>30</v>
      </c>
      <c r="F380" s="2" t="s">
        <v>15</v>
      </c>
      <c r="G380" s="2" t="s">
        <v>16</v>
      </c>
      <c r="H380" s="2" t="s">
        <v>17</v>
      </c>
      <c r="I380" s="2" t="s">
        <v>18</v>
      </c>
      <c r="J380">
        <v>0.16</v>
      </c>
      <c r="K380" s="1">
        <v>44074</v>
      </c>
      <c r="L380" s="2" t="str">
        <f>IF(Sheet1[[#This Row],[age]]&lt;18, "Under 18",IF(Sheet1[[#This Row],[age]]&lt;=30,"18-30",IF(Sheet1[[#This Row],[age]]&lt;=45,"31-45",IF(Sheet1[[#This Row],[age]]&lt;=60,"46-60","60+"))))</f>
        <v>60+</v>
      </c>
      <c r="M380" s="2" t="str">
        <f>IF(Sheet1[[#This Row],[risk_score]]&lt;0.3,"Low",IF(Sheet1[[#This Row],[risk_score]]&lt;0.7,"Medium","High"))</f>
        <v>Low</v>
      </c>
      <c r="N380">
        <f>YEAR(Sheet1[[#This Row],[date_joined]])</f>
        <v>2020</v>
      </c>
      <c r="O380" s="2" t="str">
        <f>TEXT(Sheet1[[#This Row],[date_joined]],"mmm")</f>
        <v>Aug</v>
      </c>
      <c r="P380" s="2" t="str">
        <f>"Q"&amp;ROUNDUP(MONTH(Sheet1[[#This Row],[date_joined]])/3,0)</f>
        <v>Q3</v>
      </c>
      <c r="Q380" s="2" t="str">
        <f>IF(Sheet1[[#This Row],[age]]&lt;30,"Young",IF(Sheet1[[#This Row],[age]]&lt;=50,"Adult","Senior"))</f>
        <v>Senior</v>
      </c>
      <c r="R380" s="2" t="str">
        <f t="shared" si="10"/>
        <v>High</v>
      </c>
      <c r="S380" s="2" t="str">
        <f t="shared" si="11"/>
        <v>West - Student</v>
      </c>
    </row>
    <row r="381" spans="1:19" x14ac:dyDescent="0.3">
      <c r="A381" t="s">
        <v>785</v>
      </c>
      <c r="B381" t="s">
        <v>786</v>
      </c>
      <c r="C381">
        <v>32</v>
      </c>
      <c r="D381" s="2" t="s">
        <v>13</v>
      </c>
      <c r="E381" s="2" t="s">
        <v>22</v>
      </c>
      <c r="F381" s="2" t="s">
        <v>37</v>
      </c>
      <c r="G381" s="2" t="s">
        <v>81</v>
      </c>
      <c r="H381" s="2" t="s">
        <v>18</v>
      </c>
      <c r="I381" s="2" t="s">
        <v>17</v>
      </c>
      <c r="J381">
        <v>0.85</v>
      </c>
      <c r="K381" s="1">
        <v>43163</v>
      </c>
      <c r="L381" s="2" t="str">
        <f>IF(Sheet1[[#This Row],[age]]&lt;18, "Under 18",IF(Sheet1[[#This Row],[age]]&lt;=30,"18-30",IF(Sheet1[[#This Row],[age]]&lt;=45,"31-45",IF(Sheet1[[#This Row],[age]]&lt;=60,"46-60","60+"))))</f>
        <v>31-45</v>
      </c>
      <c r="M381" s="2" t="str">
        <f>IF(Sheet1[[#This Row],[risk_score]]&lt;0.3,"Low",IF(Sheet1[[#This Row],[risk_score]]&lt;0.7,"Medium","High"))</f>
        <v>High</v>
      </c>
      <c r="N381">
        <f>YEAR(Sheet1[[#This Row],[date_joined]])</f>
        <v>2018</v>
      </c>
      <c r="O381" s="2" t="str">
        <f>TEXT(Sheet1[[#This Row],[date_joined]],"mmm")</f>
        <v>Mar</v>
      </c>
      <c r="P381" s="2" t="str">
        <f>"Q"&amp;ROUNDUP(MONTH(Sheet1[[#This Row],[date_joined]])/3,0)</f>
        <v>Q1</v>
      </c>
      <c r="Q381" s="2" t="str">
        <f>IF(Sheet1[[#This Row],[age]]&lt;30,"Young",IF(Sheet1[[#This Row],[age]]&lt;=50,"Adult","Senior"))</f>
        <v>Adult</v>
      </c>
      <c r="R381" s="2" t="str">
        <f t="shared" si="10"/>
        <v>High</v>
      </c>
      <c r="S381" s="2" t="str">
        <f t="shared" si="11"/>
        <v>Central - Retired</v>
      </c>
    </row>
    <row r="382" spans="1:19" x14ac:dyDescent="0.3">
      <c r="A382" t="s">
        <v>787</v>
      </c>
      <c r="B382" t="s">
        <v>788</v>
      </c>
      <c r="C382">
        <v>60</v>
      </c>
      <c r="D382" s="2" t="s">
        <v>13</v>
      </c>
      <c r="E382" s="2" t="s">
        <v>22</v>
      </c>
      <c r="F382" s="2" t="s">
        <v>37</v>
      </c>
      <c r="G382" s="2" t="s">
        <v>27</v>
      </c>
      <c r="H382" s="2" t="s">
        <v>18</v>
      </c>
      <c r="I382" s="2" t="s">
        <v>17</v>
      </c>
      <c r="J382">
        <v>0.71</v>
      </c>
      <c r="K382" s="1">
        <v>43226</v>
      </c>
      <c r="L382" s="2" t="str">
        <f>IF(Sheet1[[#This Row],[age]]&lt;18, "Under 18",IF(Sheet1[[#This Row],[age]]&lt;=30,"18-30",IF(Sheet1[[#This Row],[age]]&lt;=45,"31-45",IF(Sheet1[[#This Row],[age]]&lt;=60,"46-60","60+"))))</f>
        <v>46-60</v>
      </c>
      <c r="M382" s="2" t="str">
        <f>IF(Sheet1[[#This Row],[risk_score]]&lt;0.3,"Low",IF(Sheet1[[#This Row],[risk_score]]&lt;0.7,"Medium","High"))</f>
        <v>High</v>
      </c>
      <c r="N382">
        <f>YEAR(Sheet1[[#This Row],[date_joined]])</f>
        <v>2018</v>
      </c>
      <c r="O382" s="2" t="str">
        <f>TEXT(Sheet1[[#This Row],[date_joined]],"mmm")</f>
        <v>May</v>
      </c>
      <c r="P382" s="2" t="str">
        <f>"Q"&amp;ROUNDUP(MONTH(Sheet1[[#This Row],[date_joined]])/3,0)</f>
        <v>Q2</v>
      </c>
      <c r="Q382" s="2" t="str">
        <f>IF(Sheet1[[#This Row],[age]]&lt;30,"Young",IF(Sheet1[[#This Row],[age]]&lt;=50,"Adult","Senior"))</f>
        <v>Senior</v>
      </c>
      <c r="R382" s="2" t="str">
        <f t="shared" si="10"/>
        <v>High</v>
      </c>
      <c r="S382" s="2" t="str">
        <f t="shared" si="11"/>
        <v>North - Retired</v>
      </c>
    </row>
    <row r="383" spans="1:19" x14ac:dyDescent="0.3">
      <c r="A383" t="s">
        <v>789</v>
      </c>
      <c r="B383" t="s">
        <v>790</v>
      </c>
      <c r="C383">
        <v>45</v>
      </c>
      <c r="D383" s="2" t="s">
        <v>13</v>
      </c>
      <c r="E383" s="2" t="s">
        <v>22</v>
      </c>
      <c r="F383" s="2" t="s">
        <v>31</v>
      </c>
      <c r="G383" s="2" t="s">
        <v>27</v>
      </c>
      <c r="H383" s="2" t="s">
        <v>18</v>
      </c>
      <c r="I383" s="2" t="s">
        <v>18</v>
      </c>
      <c r="J383">
        <v>0.63</v>
      </c>
      <c r="K383" s="1">
        <v>43511</v>
      </c>
      <c r="L383" s="2" t="str">
        <f>IF(Sheet1[[#This Row],[age]]&lt;18, "Under 18",IF(Sheet1[[#This Row],[age]]&lt;=30,"18-30",IF(Sheet1[[#This Row],[age]]&lt;=45,"31-45",IF(Sheet1[[#This Row],[age]]&lt;=60,"46-60","60+"))))</f>
        <v>31-45</v>
      </c>
      <c r="M383" s="2" t="str">
        <f>IF(Sheet1[[#This Row],[risk_score]]&lt;0.3,"Low",IF(Sheet1[[#This Row],[risk_score]]&lt;0.7,"Medium","High"))</f>
        <v>Medium</v>
      </c>
      <c r="N383">
        <f>YEAR(Sheet1[[#This Row],[date_joined]])</f>
        <v>2019</v>
      </c>
      <c r="O383" s="2" t="str">
        <f>TEXT(Sheet1[[#This Row],[date_joined]],"mmm")</f>
        <v>Feb</v>
      </c>
      <c r="P383" s="2" t="str">
        <f>"Q"&amp;ROUNDUP(MONTH(Sheet1[[#This Row],[date_joined]])/3,0)</f>
        <v>Q1</v>
      </c>
      <c r="Q383" s="2" t="str">
        <f>IF(Sheet1[[#This Row],[age]]&lt;30,"Young",IF(Sheet1[[#This Row],[age]]&lt;=50,"Adult","Senior"))</f>
        <v>Adult</v>
      </c>
      <c r="R383" s="2" t="str">
        <f t="shared" si="10"/>
        <v>Very High</v>
      </c>
      <c r="S383" s="2" t="str">
        <f t="shared" si="11"/>
        <v>North - Self-employed</v>
      </c>
    </row>
    <row r="384" spans="1:19" x14ac:dyDescent="0.3">
      <c r="A384" t="s">
        <v>791</v>
      </c>
      <c r="B384" t="s">
        <v>792</v>
      </c>
      <c r="C384">
        <v>34</v>
      </c>
      <c r="D384" s="2" t="s">
        <v>21</v>
      </c>
      <c r="E384" s="2" t="s">
        <v>14</v>
      </c>
      <c r="F384" s="2" t="s">
        <v>15</v>
      </c>
      <c r="G384" s="2" t="s">
        <v>32</v>
      </c>
      <c r="H384" s="2" t="s">
        <v>18</v>
      </c>
      <c r="I384" s="2" t="s">
        <v>18</v>
      </c>
      <c r="J384">
        <v>0.14000000000000001</v>
      </c>
      <c r="K384" s="1">
        <v>44918</v>
      </c>
      <c r="L384" s="2" t="str">
        <f>IF(Sheet1[[#This Row],[age]]&lt;18, "Under 18",IF(Sheet1[[#This Row],[age]]&lt;=30,"18-30",IF(Sheet1[[#This Row],[age]]&lt;=45,"31-45",IF(Sheet1[[#This Row],[age]]&lt;=60,"46-60","60+"))))</f>
        <v>31-45</v>
      </c>
      <c r="M384" s="2" t="str">
        <f>IF(Sheet1[[#This Row],[risk_score]]&lt;0.3,"Low",IF(Sheet1[[#This Row],[risk_score]]&lt;0.7,"Medium","High"))</f>
        <v>Low</v>
      </c>
      <c r="N384">
        <f>YEAR(Sheet1[[#This Row],[date_joined]])</f>
        <v>2022</v>
      </c>
      <c r="O384" s="2" t="str">
        <f>TEXT(Sheet1[[#This Row],[date_joined]],"mmm")</f>
        <v>Dec</v>
      </c>
      <c r="P384" s="2" t="str">
        <f>"Q"&amp;ROUNDUP(MONTH(Sheet1[[#This Row],[date_joined]])/3,0)</f>
        <v>Q4</v>
      </c>
      <c r="Q384" s="2" t="str">
        <f>IF(Sheet1[[#This Row],[age]]&lt;30,"Young",IF(Sheet1[[#This Row],[age]]&lt;=50,"Adult","Senior"))</f>
        <v>Adult</v>
      </c>
      <c r="R384" s="2" t="str">
        <f t="shared" si="10"/>
        <v>Very High</v>
      </c>
      <c r="S384" s="2" t="str">
        <f t="shared" si="11"/>
        <v>South - Student</v>
      </c>
    </row>
    <row r="385" spans="1:19" x14ac:dyDescent="0.3">
      <c r="A385" t="s">
        <v>793</v>
      </c>
      <c r="B385" t="s">
        <v>794</v>
      </c>
      <c r="C385">
        <v>45</v>
      </c>
      <c r="D385" s="2" t="s">
        <v>13</v>
      </c>
      <c r="E385" s="2" t="s">
        <v>30</v>
      </c>
      <c r="F385" s="2" t="s">
        <v>37</v>
      </c>
      <c r="G385" s="2" t="s">
        <v>81</v>
      </c>
      <c r="H385" s="2" t="s">
        <v>18</v>
      </c>
      <c r="I385" s="2" t="s">
        <v>17</v>
      </c>
      <c r="J385">
        <v>0.56999999999999995</v>
      </c>
      <c r="K385" s="1">
        <v>44582</v>
      </c>
      <c r="L385" s="2" t="str">
        <f>IF(Sheet1[[#This Row],[age]]&lt;18, "Under 18",IF(Sheet1[[#This Row],[age]]&lt;=30,"18-30",IF(Sheet1[[#This Row],[age]]&lt;=45,"31-45",IF(Sheet1[[#This Row],[age]]&lt;=60,"46-60","60+"))))</f>
        <v>31-45</v>
      </c>
      <c r="M385" s="2" t="str">
        <f>IF(Sheet1[[#This Row],[risk_score]]&lt;0.3,"Low",IF(Sheet1[[#This Row],[risk_score]]&lt;0.7,"Medium","High"))</f>
        <v>Medium</v>
      </c>
      <c r="N385">
        <f>YEAR(Sheet1[[#This Row],[date_joined]])</f>
        <v>2022</v>
      </c>
      <c r="O385" s="2" t="str">
        <f>TEXT(Sheet1[[#This Row],[date_joined]],"mmm")</f>
        <v>Jan</v>
      </c>
      <c r="P385" s="2" t="str">
        <f>"Q"&amp;ROUNDUP(MONTH(Sheet1[[#This Row],[date_joined]])/3,0)</f>
        <v>Q1</v>
      </c>
      <c r="Q385" s="2" t="str">
        <f>IF(Sheet1[[#This Row],[age]]&lt;30,"Young",IF(Sheet1[[#This Row],[age]]&lt;=50,"Adult","Senior"))</f>
        <v>Adult</v>
      </c>
      <c r="R385" s="2" t="str">
        <f t="shared" si="10"/>
        <v>High</v>
      </c>
      <c r="S385" s="2" t="str">
        <f t="shared" si="11"/>
        <v>Central - Retired</v>
      </c>
    </row>
    <row r="386" spans="1:19" x14ac:dyDescent="0.3">
      <c r="A386" t="s">
        <v>795</v>
      </c>
      <c r="B386" t="s">
        <v>796</v>
      </c>
      <c r="C386">
        <v>36</v>
      </c>
      <c r="D386" s="2" t="s">
        <v>21</v>
      </c>
      <c r="E386" s="2" t="s">
        <v>30</v>
      </c>
      <c r="F386" s="2" t="s">
        <v>23</v>
      </c>
      <c r="G386" s="2" t="s">
        <v>16</v>
      </c>
      <c r="H386" s="2" t="s">
        <v>18</v>
      </c>
      <c r="I386" s="2" t="s">
        <v>18</v>
      </c>
      <c r="J386">
        <v>0.53</v>
      </c>
      <c r="K386" s="1">
        <v>44524</v>
      </c>
      <c r="L386" s="2" t="str">
        <f>IF(Sheet1[[#This Row],[age]]&lt;18, "Under 18",IF(Sheet1[[#This Row],[age]]&lt;=30,"18-30",IF(Sheet1[[#This Row],[age]]&lt;=45,"31-45",IF(Sheet1[[#This Row],[age]]&lt;=60,"46-60","60+"))))</f>
        <v>31-45</v>
      </c>
      <c r="M386" s="2" t="str">
        <f>IF(Sheet1[[#This Row],[risk_score]]&lt;0.3,"Low",IF(Sheet1[[#This Row],[risk_score]]&lt;0.7,"Medium","High"))</f>
        <v>Medium</v>
      </c>
      <c r="N386">
        <f>YEAR(Sheet1[[#This Row],[date_joined]])</f>
        <v>2021</v>
      </c>
      <c r="O386" s="2" t="str">
        <f>TEXT(Sheet1[[#This Row],[date_joined]],"mmm")</f>
        <v>Nov</v>
      </c>
      <c r="P386" s="2" t="str">
        <f>"Q"&amp;ROUNDUP(MONTH(Sheet1[[#This Row],[date_joined]])/3,0)</f>
        <v>Q4</v>
      </c>
      <c r="Q386" s="2" t="str">
        <f>IF(Sheet1[[#This Row],[age]]&lt;30,"Young",IF(Sheet1[[#This Row],[age]]&lt;=50,"Adult","Senior"))</f>
        <v>Adult</v>
      </c>
      <c r="R386" s="2" t="str">
        <f t="shared" ref="R386:R449" si="12">IF(AND(H386="Yes",I386="Yes"),"Very High",
IF(OR(H386="Yes",I386="Yes"),"High","Low"))</f>
        <v>Very High</v>
      </c>
      <c r="S386" s="2" t="str">
        <f t="shared" ref="S386:S449" si="13">G386&amp;" - "&amp;F386</f>
        <v>West - Salaried</v>
      </c>
    </row>
    <row r="387" spans="1:19" x14ac:dyDescent="0.3">
      <c r="A387" t="s">
        <v>797</v>
      </c>
      <c r="B387" t="s">
        <v>798</v>
      </c>
      <c r="C387">
        <v>61</v>
      </c>
      <c r="D387" s="2" t="s">
        <v>21</v>
      </c>
      <c r="E387" s="2" t="s">
        <v>22</v>
      </c>
      <c r="F387" s="2" t="s">
        <v>37</v>
      </c>
      <c r="G387" s="2" t="s">
        <v>16</v>
      </c>
      <c r="H387" s="2" t="s">
        <v>17</v>
      </c>
      <c r="I387" s="2" t="s">
        <v>18</v>
      </c>
      <c r="J387">
        <v>0.42</v>
      </c>
      <c r="K387" s="1">
        <v>44772</v>
      </c>
      <c r="L387" s="2" t="str">
        <f>IF(Sheet1[[#This Row],[age]]&lt;18, "Under 18",IF(Sheet1[[#This Row],[age]]&lt;=30,"18-30",IF(Sheet1[[#This Row],[age]]&lt;=45,"31-45",IF(Sheet1[[#This Row],[age]]&lt;=60,"46-60","60+"))))</f>
        <v>60+</v>
      </c>
      <c r="M387" s="2" t="str">
        <f>IF(Sheet1[[#This Row],[risk_score]]&lt;0.3,"Low",IF(Sheet1[[#This Row],[risk_score]]&lt;0.7,"Medium","High"))</f>
        <v>Medium</v>
      </c>
      <c r="N387">
        <f>YEAR(Sheet1[[#This Row],[date_joined]])</f>
        <v>2022</v>
      </c>
      <c r="O387" s="2" t="str">
        <f>TEXT(Sheet1[[#This Row],[date_joined]],"mmm")</f>
        <v>Jul</v>
      </c>
      <c r="P387" s="2" t="str">
        <f>"Q"&amp;ROUNDUP(MONTH(Sheet1[[#This Row],[date_joined]])/3,0)</f>
        <v>Q3</v>
      </c>
      <c r="Q387" s="2" t="str">
        <f>IF(Sheet1[[#This Row],[age]]&lt;30,"Young",IF(Sheet1[[#This Row],[age]]&lt;=50,"Adult","Senior"))</f>
        <v>Senior</v>
      </c>
      <c r="R387" s="2" t="str">
        <f t="shared" si="12"/>
        <v>High</v>
      </c>
      <c r="S387" s="2" t="str">
        <f t="shared" si="13"/>
        <v>West - Retired</v>
      </c>
    </row>
    <row r="388" spans="1:19" x14ac:dyDescent="0.3">
      <c r="A388" t="s">
        <v>799</v>
      </c>
      <c r="B388" t="s">
        <v>800</v>
      </c>
      <c r="C388">
        <v>35</v>
      </c>
      <c r="D388" s="2" t="s">
        <v>21</v>
      </c>
      <c r="E388" s="2" t="s">
        <v>30</v>
      </c>
      <c r="F388" s="2" t="s">
        <v>23</v>
      </c>
      <c r="G388" s="2" t="s">
        <v>24</v>
      </c>
      <c r="H388" s="2" t="s">
        <v>17</v>
      </c>
      <c r="I388" s="2" t="s">
        <v>17</v>
      </c>
      <c r="J388">
        <v>0.5</v>
      </c>
      <c r="K388" s="1">
        <v>44946</v>
      </c>
      <c r="L388" s="2" t="str">
        <f>IF(Sheet1[[#This Row],[age]]&lt;18, "Under 18",IF(Sheet1[[#This Row],[age]]&lt;=30,"18-30",IF(Sheet1[[#This Row],[age]]&lt;=45,"31-45",IF(Sheet1[[#This Row],[age]]&lt;=60,"46-60","60+"))))</f>
        <v>31-45</v>
      </c>
      <c r="M388" s="2" t="str">
        <f>IF(Sheet1[[#This Row],[risk_score]]&lt;0.3,"Low",IF(Sheet1[[#This Row],[risk_score]]&lt;0.7,"Medium","High"))</f>
        <v>Medium</v>
      </c>
      <c r="N388">
        <f>YEAR(Sheet1[[#This Row],[date_joined]])</f>
        <v>2023</v>
      </c>
      <c r="O388" s="2" t="str">
        <f>TEXT(Sheet1[[#This Row],[date_joined]],"mmm")</f>
        <v>Jan</v>
      </c>
      <c r="P388" s="2" t="str">
        <f>"Q"&amp;ROUNDUP(MONTH(Sheet1[[#This Row],[date_joined]])/3,0)</f>
        <v>Q1</v>
      </c>
      <c r="Q388" s="2" t="str">
        <f>IF(Sheet1[[#This Row],[age]]&lt;30,"Young",IF(Sheet1[[#This Row],[age]]&lt;=50,"Adult","Senior"))</f>
        <v>Adult</v>
      </c>
      <c r="R388" s="2" t="str">
        <f t="shared" si="12"/>
        <v>Low</v>
      </c>
      <c r="S388" s="2" t="str">
        <f t="shared" si="13"/>
        <v>East - Salaried</v>
      </c>
    </row>
    <row r="389" spans="1:19" x14ac:dyDescent="0.3">
      <c r="A389" t="s">
        <v>801</v>
      </c>
      <c r="B389" t="s">
        <v>802</v>
      </c>
      <c r="C389">
        <v>32</v>
      </c>
      <c r="D389" s="2" t="s">
        <v>13</v>
      </c>
      <c r="E389" s="2" t="s">
        <v>22</v>
      </c>
      <c r="F389" s="2" t="s">
        <v>31</v>
      </c>
      <c r="G389" s="2" t="s">
        <v>27</v>
      </c>
      <c r="H389" s="2" t="s">
        <v>17</v>
      </c>
      <c r="I389" s="2" t="s">
        <v>17</v>
      </c>
      <c r="J389">
        <v>0.67</v>
      </c>
      <c r="K389" s="1">
        <v>43124</v>
      </c>
      <c r="L389" s="2" t="str">
        <f>IF(Sheet1[[#This Row],[age]]&lt;18, "Under 18",IF(Sheet1[[#This Row],[age]]&lt;=30,"18-30",IF(Sheet1[[#This Row],[age]]&lt;=45,"31-45",IF(Sheet1[[#This Row],[age]]&lt;=60,"46-60","60+"))))</f>
        <v>31-45</v>
      </c>
      <c r="M389" s="2" t="str">
        <f>IF(Sheet1[[#This Row],[risk_score]]&lt;0.3,"Low",IF(Sheet1[[#This Row],[risk_score]]&lt;0.7,"Medium","High"))</f>
        <v>Medium</v>
      </c>
      <c r="N389">
        <f>YEAR(Sheet1[[#This Row],[date_joined]])</f>
        <v>2018</v>
      </c>
      <c r="O389" s="2" t="str">
        <f>TEXT(Sheet1[[#This Row],[date_joined]],"mmm")</f>
        <v>Jan</v>
      </c>
      <c r="P389" s="2" t="str">
        <f>"Q"&amp;ROUNDUP(MONTH(Sheet1[[#This Row],[date_joined]])/3,0)</f>
        <v>Q1</v>
      </c>
      <c r="Q389" s="2" t="str">
        <f>IF(Sheet1[[#This Row],[age]]&lt;30,"Young",IF(Sheet1[[#This Row],[age]]&lt;=50,"Adult","Senior"))</f>
        <v>Adult</v>
      </c>
      <c r="R389" s="2" t="str">
        <f t="shared" si="12"/>
        <v>Low</v>
      </c>
      <c r="S389" s="2" t="str">
        <f t="shared" si="13"/>
        <v>North - Self-employed</v>
      </c>
    </row>
    <row r="390" spans="1:19" x14ac:dyDescent="0.3">
      <c r="A390" t="s">
        <v>803</v>
      </c>
      <c r="B390" t="s">
        <v>804</v>
      </c>
      <c r="C390">
        <v>32</v>
      </c>
      <c r="D390" s="2" t="s">
        <v>21</v>
      </c>
      <c r="E390" s="2" t="s">
        <v>30</v>
      </c>
      <c r="F390" s="2" t="s">
        <v>15</v>
      </c>
      <c r="G390" s="2" t="s">
        <v>81</v>
      </c>
      <c r="H390" s="2" t="s">
        <v>17</v>
      </c>
      <c r="I390" s="2" t="s">
        <v>18</v>
      </c>
      <c r="J390">
        <v>0.69</v>
      </c>
      <c r="K390" s="1">
        <v>43306</v>
      </c>
      <c r="L390" s="2" t="str">
        <f>IF(Sheet1[[#This Row],[age]]&lt;18, "Under 18",IF(Sheet1[[#This Row],[age]]&lt;=30,"18-30",IF(Sheet1[[#This Row],[age]]&lt;=45,"31-45",IF(Sheet1[[#This Row],[age]]&lt;=60,"46-60","60+"))))</f>
        <v>31-45</v>
      </c>
      <c r="M390" s="2" t="str">
        <f>IF(Sheet1[[#This Row],[risk_score]]&lt;0.3,"Low",IF(Sheet1[[#This Row],[risk_score]]&lt;0.7,"Medium","High"))</f>
        <v>Medium</v>
      </c>
      <c r="N390">
        <f>YEAR(Sheet1[[#This Row],[date_joined]])</f>
        <v>2018</v>
      </c>
      <c r="O390" s="2" t="str">
        <f>TEXT(Sheet1[[#This Row],[date_joined]],"mmm")</f>
        <v>Jul</v>
      </c>
      <c r="P390" s="2" t="str">
        <f>"Q"&amp;ROUNDUP(MONTH(Sheet1[[#This Row],[date_joined]])/3,0)</f>
        <v>Q3</v>
      </c>
      <c r="Q390" s="2" t="str">
        <f>IF(Sheet1[[#This Row],[age]]&lt;30,"Young",IF(Sheet1[[#This Row],[age]]&lt;=50,"Adult","Senior"))</f>
        <v>Adult</v>
      </c>
      <c r="R390" s="2" t="str">
        <f t="shared" si="12"/>
        <v>High</v>
      </c>
      <c r="S390" s="2" t="str">
        <f t="shared" si="13"/>
        <v>Central - Student</v>
      </c>
    </row>
    <row r="391" spans="1:19" x14ac:dyDescent="0.3">
      <c r="A391" t="s">
        <v>805</v>
      </c>
      <c r="B391" t="s">
        <v>806</v>
      </c>
      <c r="C391">
        <v>19</v>
      </c>
      <c r="D391" s="2" t="s">
        <v>21</v>
      </c>
      <c r="E391" s="2" t="s">
        <v>14</v>
      </c>
      <c r="F391" s="2" t="s">
        <v>23</v>
      </c>
      <c r="G391" s="2" t="s">
        <v>32</v>
      </c>
      <c r="H391" s="2" t="s">
        <v>18</v>
      </c>
      <c r="I391" s="2" t="s">
        <v>17</v>
      </c>
      <c r="J391">
        <v>0.52</v>
      </c>
      <c r="K391" s="1">
        <v>44819</v>
      </c>
      <c r="L391" s="2" t="str">
        <f>IF(Sheet1[[#This Row],[age]]&lt;18, "Under 18",IF(Sheet1[[#This Row],[age]]&lt;=30,"18-30",IF(Sheet1[[#This Row],[age]]&lt;=45,"31-45",IF(Sheet1[[#This Row],[age]]&lt;=60,"46-60","60+"))))</f>
        <v>18-30</v>
      </c>
      <c r="M391" s="2" t="str">
        <f>IF(Sheet1[[#This Row],[risk_score]]&lt;0.3,"Low",IF(Sheet1[[#This Row],[risk_score]]&lt;0.7,"Medium","High"))</f>
        <v>Medium</v>
      </c>
      <c r="N391">
        <f>YEAR(Sheet1[[#This Row],[date_joined]])</f>
        <v>2022</v>
      </c>
      <c r="O391" s="2" t="str">
        <f>TEXT(Sheet1[[#This Row],[date_joined]],"mmm")</f>
        <v>Sep</v>
      </c>
      <c r="P391" s="2" t="str">
        <f>"Q"&amp;ROUNDUP(MONTH(Sheet1[[#This Row],[date_joined]])/3,0)</f>
        <v>Q3</v>
      </c>
      <c r="Q391" s="2" t="str">
        <f>IF(Sheet1[[#This Row],[age]]&lt;30,"Young",IF(Sheet1[[#This Row],[age]]&lt;=50,"Adult","Senior"))</f>
        <v>Young</v>
      </c>
      <c r="R391" s="2" t="str">
        <f t="shared" si="12"/>
        <v>High</v>
      </c>
      <c r="S391" s="2" t="str">
        <f t="shared" si="13"/>
        <v>South - Salaried</v>
      </c>
    </row>
    <row r="392" spans="1:19" x14ac:dyDescent="0.3">
      <c r="A392" t="s">
        <v>807</v>
      </c>
      <c r="B392" t="s">
        <v>808</v>
      </c>
      <c r="C392">
        <v>20</v>
      </c>
      <c r="D392" s="2" t="s">
        <v>13</v>
      </c>
      <c r="E392" s="2" t="s">
        <v>30</v>
      </c>
      <c r="F392" s="2" t="s">
        <v>37</v>
      </c>
      <c r="G392" s="2" t="s">
        <v>16</v>
      </c>
      <c r="H392" s="2" t="s">
        <v>18</v>
      </c>
      <c r="I392" s="2" t="s">
        <v>18</v>
      </c>
      <c r="J392">
        <v>0.74</v>
      </c>
      <c r="K392" s="1">
        <v>44443</v>
      </c>
      <c r="L392" s="2" t="str">
        <f>IF(Sheet1[[#This Row],[age]]&lt;18, "Under 18",IF(Sheet1[[#This Row],[age]]&lt;=30,"18-30",IF(Sheet1[[#This Row],[age]]&lt;=45,"31-45",IF(Sheet1[[#This Row],[age]]&lt;=60,"46-60","60+"))))</f>
        <v>18-30</v>
      </c>
      <c r="M392" s="2" t="str">
        <f>IF(Sheet1[[#This Row],[risk_score]]&lt;0.3,"Low",IF(Sheet1[[#This Row],[risk_score]]&lt;0.7,"Medium","High"))</f>
        <v>High</v>
      </c>
      <c r="N392">
        <f>YEAR(Sheet1[[#This Row],[date_joined]])</f>
        <v>2021</v>
      </c>
      <c r="O392" s="2" t="str">
        <f>TEXT(Sheet1[[#This Row],[date_joined]],"mmm")</f>
        <v>Sep</v>
      </c>
      <c r="P392" s="2" t="str">
        <f>"Q"&amp;ROUNDUP(MONTH(Sheet1[[#This Row],[date_joined]])/3,0)</f>
        <v>Q3</v>
      </c>
      <c r="Q392" s="2" t="str">
        <f>IF(Sheet1[[#This Row],[age]]&lt;30,"Young",IF(Sheet1[[#This Row],[age]]&lt;=50,"Adult","Senior"))</f>
        <v>Young</v>
      </c>
      <c r="R392" s="2" t="str">
        <f t="shared" si="12"/>
        <v>Very High</v>
      </c>
      <c r="S392" s="2" t="str">
        <f t="shared" si="13"/>
        <v>West - Retired</v>
      </c>
    </row>
    <row r="393" spans="1:19" x14ac:dyDescent="0.3">
      <c r="A393" t="s">
        <v>809</v>
      </c>
      <c r="B393" t="s">
        <v>810</v>
      </c>
      <c r="C393">
        <v>38</v>
      </c>
      <c r="D393" s="2" t="s">
        <v>21</v>
      </c>
      <c r="E393" s="2" t="s">
        <v>22</v>
      </c>
      <c r="F393" s="2" t="s">
        <v>15</v>
      </c>
      <c r="G393" s="2" t="s">
        <v>66</v>
      </c>
      <c r="H393" s="2" t="s">
        <v>18</v>
      </c>
      <c r="I393" s="2" t="s">
        <v>18</v>
      </c>
      <c r="J393">
        <v>0.55000000000000004</v>
      </c>
      <c r="K393" s="1">
        <v>43205</v>
      </c>
      <c r="L393" s="2" t="str">
        <f>IF(Sheet1[[#This Row],[age]]&lt;18, "Under 18",IF(Sheet1[[#This Row],[age]]&lt;=30,"18-30",IF(Sheet1[[#This Row],[age]]&lt;=45,"31-45",IF(Sheet1[[#This Row],[age]]&lt;=60,"46-60","60+"))))</f>
        <v>31-45</v>
      </c>
      <c r="M393" s="2" t="str">
        <f>IF(Sheet1[[#This Row],[risk_score]]&lt;0.3,"Low",IF(Sheet1[[#This Row],[risk_score]]&lt;0.7,"Medium","High"))</f>
        <v>Medium</v>
      </c>
      <c r="N393">
        <f>YEAR(Sheet1[[#This Row],[date_joined]])</f>
        <v>2018</v>
      </c>
      <c r="O393" s="2" t="str">
        <f>TEXT(Sheet1[[#This Row],[date_joined]],"mmm")</f>
        <v>Apr</v>
      </c>
      <c r="P393" s="2" t="str">
        <f>"Q"&amp;ROUNDUP(MONTH(Sheet1[[#This Row],[date_joined]])/3,0)</f>
        <v>Q2</v>
      </c>
      <c r="Q393" s="2" t="str">
        <f>IF(Sheet1[[#This Row],[age]]&lt;30,"Young",IF(Sheet1[[#This Row],[age]]&lt;=50,"Adult","Senior"))</f>
        <v>Adult</v>
      </c>
      <c r="R393" s="2" t="str">
        <f t="shared" si="12"/>
        <v>Very High</v>
      </c>
      <c r="S393" s="2" t="str">
        <f t="shared" si="13"/>
        <v>North-East - Student</v>
      </c>
    </row>
    <row r="394" spans="1:19" x14ac:dyDescent="0.3">
      <c r="A394" t="s">
        <v>811</v>
      </c>
      <c r="B394" t="s">
        <v>812</v>
      </c>
      <c r="C394">
        <v>63</v>
      </c>
      <c r="D394" s="2" t="s">
        <v>13</v>
      </c>
      <c r="E394" s="2" t="s">
        <v>22</v>
      </c>
      <c r="F394" s="2" t="s">
        <v>31</v>
      </c>
      <c r="G394" s="2" t="s">
        <v>32</v>
      </c>
      <c r="H394" s="2" t="s">
        <v>18</v>
      </c>
      <c r="I394" s="2" t="s">
        <v>18</v>
      </c>
      <c r="J394">
        <v>0.75</v>
      </c>
      <c r="K394" s="1">
        <v>43155</v>
      </c>
      <c r="L394" s="2" t="str">
        <f>IF(Sheet1[[#This Row],[age]]&lt;18, "Under 18",IF(Sheet1[[#This Row],[age]]&lt;=30,"18-30",IF(Sheet1[[#This Row],[age]]&lt;=45,"31-45",IF(Sheet1[[#This Row],[age]]&lt;=60,"46-60","60+"))))</f>
        <v>60+</v>
      </c>
      <c r="M394" s="2" t="str">
        <f>IF(Sheet1[[#This Row],[risk_score]]&lt;0.3,"Low",IF(Sheet1[[#This Row],[risk_score]]&lt;0.7,"Medium","High"))</f>
        <v>High</v>
      </c>
      <c r="N394">
        <f>YEAR(Sheet1[[#This Row],[date_joined]])</f>
        <v>2018</v>
      </c>
      <c r="O394" s="2" t="str">
        <f>TEXT(Sheet1[[#This Row],[date_joined]],"mmm")</f>
        <v>Feb</v>
      </c>
      <c r="P394" s="2" t="str">
        <f>"Q"&amp;ROUNDUP(MONTH(Sheet1[[#This Row],[date_joined]])/3,0)</f>
        <v>Q1</v>
      </c>
      <c r="Q394" s="2" t="str">
        <f>IF(Sheet1[[#This Row],[age]]&lt;30,"Young",IF(Sheet1[[#This Row],[age]]&lt;=50,"Adult","Senior"))</f>
        <v>Senior</v>
      </c>
      <c r="R394" s="2" t="str">
        <f t="shared" si="12"/>
        <v>Very High</v>
      </c>
      <c r="S394" s="2" t="str">
        <f t="shared" si="13"/>
        <v>South - Self-employed</v>
      </c>
    </row>
    <row r="395" spans="1:19" x14ac:dyDescent="0.3">
      <c r="A395" t="s">
        <v>813</v>
      </c>
      <c r="B395" t="s">
        <v>814</v>
      </c>
      <c r="C395">
        <v>42</v>
      </c>
      <c r="D395" s="2" t="s">
        <v>21</v>
      </c>
      <c r="E395" s="2" t="s">
        <v>30</v>
      </c>
      <c r="F395" s="2" t="s">
        <v>31</v>
      </c>
      <c r="G395" s="2" t="s">
        <v>66</v>
      </c>
      <c r="H395" s="2" t="s">
        <v>17</v>
      </c>
      <c r="I395" s="2" t="s">
        <v>18</v>
      </c>
      <c r="J395">
        <v>0.22</v>
      </c>
      <c r="K395" s="1">
        <v>44569</v>
      </c>
      <c r="L395" s="2" t="str">
        <f>IF(Sheet1[[#This Row],[age]]&lt;18, "Under 18",IF(Sheet1[[#This Row],[age]]&lt;=30,"18-30",IF(Sheet1[[#This Row],[age]]&lt;=45,"31-45",IF(Sheet1[[#This Row],[age]]&lt;=60,"46-60","60+"))))</f>
        <v>31-45</v>
      </c>
      <c r="M395" s="2" t="str">
        <f>IF(Sheet1[[#This Row],[risk_score]]&lt;0.3,"Low",IF(Sheet1[[#This Row],[risk_score]]&lt;0.7,"Medium","High"))</f>
        <v>Low</v>
      </c>
      <c r="N395">
        <f>YEAR(Sheet1[[#This Row],[date_joined]])</f>
        <v>2022</v>
      </c>
      <c r="O395" s="2" t="str">
        <f>TEXT(Sheet1[[#This Row],[date_joined]],"mmm")</f>
        <v>Jan</v>
      </c>
      <c r="P395" s="2" t="str">
        <f>"Q"&amp;ROUNDUP(MONTH(Sheet1[[#This Row],[date_joined]])/3,0)</f>
        <v>Q1</v>
      </c>
      <c r="Q395" s="2" t="str">
        <f>IF(Sheet1[[#This Row],[age]]&lt;30,"Young",IF(Sheet1[[#This Row],[age]]&lt;=50,"Adult","Senior"))</f>
        <v>Adult</v>
      </c>
      <c r="R395" s="2" t="str">
        <f t="shared" si="12"/>
        <v>High</v>
      </c>
      <c r="S395" s="2" t="str">
        <f t="shared" si="13"/>
        <v>North-East - Self-employed</v>
      </c>
    </row>
    <row r="396" spans="1:19" x14ac:dyDescent="0.3">
      <c r="A396" t="s">
        <v>815</v>
      </c>
      <c r="B396" t="s">
        <v>816</v>
      </c>
      <c r="C396">
        <v>50</v>
      </c>
      <c r="D396" s="2" t="s">
        <v>13</v>
      </c>
      <c r="E396" s="2" t="s">
        <v>14</v>
      </c>
      <c r="F396" s="2" t="s">
        <v>23</v>
      </c>
      <c r="G396" s="2" t="s">
        <v>81</v>
      </c>
      <c r="H396" s="2" t="s">
        <v>18</v>
      </c>
      <c r="I396" s="2" t="s">
        <v>18</v>
      </c>
      <c r="J396">
        <v>0.65</v>
      </c>
      <c r="K396" s="1">
        <v>44548</v>
      </c>
      <c r="L396" s="2" t="str">
        <f>IF(Sheet1[[#This Row],[age]]&lt;18, "Under 18",IF(Sheet1[[#This Row],[age]]&lt;=30,"18-30",IF(Sheet1[[#This Row],[age]]&lt;=45,"31-45",IF(Sheet1[[#This Row],[age]]&lt;=60,"46-60","60+"))))</f>
        <v>46-60</v>
      </c>
      <c r="M396" s="2" t="str">
        <f>IF(Sheet1[[#This Row],[risk_score]]&lt;0.3,"Low",IF(Sheet1[[#This Row],[risk_score]]&lt;0.7,"Medium","High"))</f>
        <v>Medium</v>
      </c>
      <c r="N396">
        <f>YEAR(Sheet1[[#This Row],[date_joined]])</f>
        <v>2021</v>
      </c>
      <c r="O396" s="2" t="str">
        <f>TEXT(Sheet1[[#This Row],[date_joined]],"mmm")</f>
        <v>Dec</v>
      </c>
      <c r="P396" s="2" t="str">
        <f>"Q"&amp;ROUNDUP(MONTH(Sheet1[[#This Row],[date_joined]])/3,0)</f>
        <v>Q4</v>
      </c>
      <c r="Q396" s="2" t="str">
        <f>IF(Sheet1[[#This Row],[age]]&lt;30,"Young",IF(Sheet1[[#This Row],[age]]&lt;=50,"Adult","Senior"))</f>
        <v>Adult</v>
      </c>
      <c r="R396" s="2" t="str">
        <f t="shared" si="12"/>
        <v>Very High</v>
      </c>
      <c r="S396" s="2" t="str">
        <f t="shared" si="13"/>
        <v>Central - Salaried</v>
      </c>
    </row>
    <row r="397" spans="1:19" x14ac:dyDescent="0.3">
      <c r="A397" t="s">
        <v>817</v>
      </c>
      <c r="B397" t="s">
        <v>818</v>
      </c>
      <c r="C397">
        <v>60</v>
      </c>
      <c r="D397" s="2" t="s">
        <v>21</v>
      </c>
      <c r="E397" s="2" t="s">
        <v>22</v>
      </c>
      <c r="F397" s="2" t="s">
        <v>23</v>
      </c>
      <c r="G397" s="2" t="s">
        <v>81</v>
      </c>
      <c r="H397" s="2" t="s">
        <v>17</v>
      </c>
      <c r="I397" s="2" t="s">
        <v>18</v>
      </c>
      <c r="J397">
        <v>0.39</v>
      </c>
      <c r="K397" s="1">
        <v>44258</v>
      </c>
      <c r="L397" s="2" t="str">
        <f>IF(Sheet1[[#This Row],[age]]&lt;18, "Under 18",IF(Sheet1[[#This Row],[age]]&lt;=30,"18-30",IF(Sheet1[[#This Row],[age]]&lt;=45,"31-45",IF(Sheet1[[#This Row],[age]]&lt;=60,"46-60","60+"))))</f>
        <v>46-60</v>
      </c>
      <c r="M397" s="2" t="str">
        <f>IF(Sheet1[[#This Row],[risk_score]]&lt;0.3,"Low",IF(Sheet1[[#This Row],[risk_score]]&lt;0.7,"Medium","High"))</f>
        <v>Medium</v>
      </c>
      <c r="N397">
        <f>YEAR(Sheet1[[#This Row],[date_joined]])</f>
        <v>2021</v>
      </c>
      <c r="O397" s="2" t="str">
        <f>TEXT(Sheet1[[#This Row],[date_joined]],"mmm")</f>
        <v>Mar</v>
      </c>
      <c r="P397" s="2" t="str">
        <f>"Q"&amp;ROUNDUP(MONTH(Sheet1[[#This Row],[date_joined]])/3,0)</f>
        <v>Q1</v>
      </c>
      <c r="Q397" s="2" t="str">
        <f>IF(Sheet1[[#This Row],[age]]&lt;30,"Young",IF(Sheet1[[#This Row],[age]]&lt;=50,"Adult","Senior"))</f>
        <v>Senior</v>
      </c>
      <c r="R397" s="2" t="str">
        <f t="shared" si="12"/>
        <v>High</v>
      </c>
      <c r="S397" s="2" t="str">
        <f t="shared" si="13"/>
        <v>Central - Salaried</v>
      </c>
    </row>
    <row r="398" spans="1:19" x14ac:dyDescent="0.3">
      <c r="A398" t="s">
        <v>819</v>
      </c>
      <c r="B398" t="s">
        <v>820</v>
      </c>
      <c r="C398">
        <v>51</v>
      </c>
      <c r="D398" s="2" t="s">
        <v>13</v>
      </c>
      <c r="E398" s="2" t="s">
        <v>14</v>
      </c>
      <c r="F398" s="2" t="s">
        <v>37</v>
      </c>
      <c r="G398" s="2" t="s">
        <v>81</v>
      </c>
      <c r="H398" s="2" t="s">
        <v>17</v>
      </c>
      <c r="I398" s="2" t="s">
        <v>18</v>
      </c>
      <c r="J398">
        <v>0.32</v>
      </c>
      <c r="K398" s="1">
        <v>44035</v>
      </c>
      <c r="L398" s="2" t="str">
        <f>IF(Sheet1[[#This Row],[age]]&lt;18, "Under 18",IF(Sheet1[[#This Row],[age]]&lt;=30,"18-30",IF(Sheet1[[#This Row],[age]]&lt;=45,"31-45",IF(Sheet1[[#This Row],[age]]&lt;=60,"46-60","60+"))))</f>
        <v>46-60</v>
      </c>
      <c r="M398" s="2" t="str">
        <f>IF(Sheet1[[#This Row],[risk_score]]&lt;0.3,"Low",IF(Sheet1[[#This Row],[risk_score]]&lt;0.7,"Medium","High"))</f>
        <v>Medium</v>
      </c>
      <c r="N398">
        <f>YEAR(Sheet1[[#This Row],[date_joined]])</f>
        <v>2020</v>
      </c>
      <c r="O398" s="2" t="str">
        <f>TEXT(Sheet1[[#This Row],[date_joined]],"mmm")</f>
        <v>Jul</v>
      </c>
      <c r="P398" s="2" t="str">
        <f>"Q"&amp;ROUNDUP(MONTH(Sheet1[[#This Row],[date_joined]])/3,0)</f>
        <v>Q3</v>
      </c>
      <c r="Q398" s="2" t="str">
        <f>IF(Sheet1[[#This Row],[age]]&lt;30,"Young",IF(Sheet1[[#This Row],[age]]&lt;=50,"Adult","Senior"))</f>
        <v>Senior</v>
      </c>
      <c r="R398" s="2" t="str">
        <f t="shared" si="12"/>
        <v>High</v>
      </c>
      <c r="S398" s="2" t="str">
        <f t="shared" si="13"/>
        <v>Central - Retired</v>
      </c>
    </row>
    <row r="399" spans="1:19" x14ac:dyDescent="0.3">
      <c r="A399" t="s">
        <v>821</v>
      </c>
      <c r="B399" t="s">
        <v>822</v>
      </c>
      <c r="C399">
        <v>59</v>
      </c>
      <c r="D399" s="2" t="s">
        <v>13</v>
      </c>
      <c r="E399" s="2" t="s">
        <v>14</v>
      </c>
      <c r="F399" s="2" t="s">
        <v>15</v>
      </c>
      <c r="G399" s="2" t="s">
        <v>66</v>
      </c>
      <c r="H399" s="2" t="s">
        <v>17</v>
      </c>
      <c r="I399" s="2" t="s">
        <v>17</v>
      </c>
      <c r="J399">
        <v>0.36</v>
      </c>
      <c r="K399" s="1">
        <v>44695</v>
      </c>
      <c r="L399" s="2" t="str">
        <f>IF(Sheet1[[#This Row],[age]]&lt;18, "Under 18",IF(Sheet1[[#This Row],[age]]&lt;=30,"18-30",IF(Sheet1[[#This Row],[age]]&lt;=45,"31-45",IF(Sheet1[[#This Row],[age]]&lt;=60,"46-60","60+"))))</f>
        <v>46-60</v>
      </c>
      <c r="M399" s="2" t="str">
        <f>IF(Sheet1[[#This Row],[risk_score]]&lt;0.3,"Low",IF(Sheet1[[#This Row],[risk_score]]&lt;0.7,"Medium","High"))</f>
        <v>Medium</v>
      </c>
      <c r="N399">
        <f>YEAR(Sheet1[[#This Row],[date_joined]])</f>
        <v>2022</v>
      </c>
      <c r="O399" s="2" t="str">
        <f>TEXT(Sheet1[[#This Row],[date_joined]],"mmm")</f>
        <v>May</v>
      </c>
      <c r="P399" s="2" t="str">
        <f>"Q"&amp;ROUNDUP(MONTH(Sheet1[[#This Row],[date_joined]])/3,0)</f>
        <v>Q2</v>
      </c>
      <c r="Q399" s="2" t="str">
        <f>IF(Sheet1[[#This Row],[age]]&lt;30,"Young",IF(Sheet1[[#This Row],[age]]&lt;=50,"Adult","Senior"))</f>
        <v>Senior</v>
      </c>
      <c r="R399" s="2" t="str">
        <f t="shared" si="12"/>
        <v>Low</v>
      </c>
      <c r="S399" s="2" t="str">
        <f t="shared" si="13"/>
        <v>North-East - Student</v>
      </c>
    </row>
    <row r="400" spans="1:19" x14ac:dyDescent="0.3">
      <c r="A400" t="s">
        <v>823</v>
      </c>
      <c r="B400" t="s">
        <v>824</v>
      </c>
      <c r="C400">
        <v>64</v>
      </c>
      <c r="D400" s="2" t="s">
        <v>21</v>
      </c>
      <c r="E400" s="2" t="s">
        <v>14</v>
      </c>
      <c r="F400" s="2" t="s">
        <v>15</v>
      </c>
      <c r="G400" s="2" t="s">
        <v>32</v>
      </c>
      <c r="H400" s="2" t="s">
        <v>17</v>
      </c>
      <c r="I400" s="2" t="s">
        <v>18</v>
      </c>
      <c r="J400">
        <v>0.56999999999999995</v>
      </c>
      <c r="K400" s="1">
        <v>43928</v>
      </c>
      <c r="L400" s="2" t="str">
        <f>IF(Sheet1[[#This Row],[age]]&lt;18, "Under 18",IF(Sheet1[[#This Row],[age]]&lt;=30,"18-30",IF(Sheet1[[#This Row],[age]]&lt;=45,"31-45",IF(Sheet1[[#This Row],[age]]&lt;=60,"46-60","60+"))))</f>
        <v>60+</v>
      </c>
      <c r="M400" s="2" t="str">
        <f>IF(Sheet1[[#This Row],[risk_score]]&lt;0.3,"Low",IF(Sheet1[[#This Row],[risk_score]]&lt;0.7,"Medium","High"))</f>
        <v>Medium</v>
      </c>
      <c r="N400">
        <f>YEAR(Sheet1[[#This Row],[date_joined]])</f>
        <v>2020</v>
      </c>
      <c r="O400" s="2" t="str">
        <f>TEXT(Sheet1[[#This Row],[date_joined]],"mmm")</f>
        <v>Apr</v>
      </c>
      <c r="P400" s="2" t="str">
        <f>"Q"&amp;ROUNDUP(MONTH(Sheet1[[#This Row],[date_joined]])/3,0)</f>
        <v>Q2</v>
      </c>
      <c r="Q400" s="2" t="str">
        <f>IF(Sheet1[[#This Row],[age]]&lt;30,"Young",IF(Sheet1[[#This Row],[age]]&lt;=50,"Adult","Senior"))</f>
        <v>Senior</v>
      </c>
      <c r="R400" s="2" t="str">
        <f t="shared" si="12"/>
        <v>High</v>
      </c>
      <c r="S400" s="2" t="str">
        <f t="shared" si="13"/>
        <v>South - Student</v>
      </c>
    </row>
    <row r="401" spans="1:19" x14ac:dyDescent="0.3">
      <c r="A401" t="s">
        <v>825</v>
      </c>
      <c r="B401" t="s">
        <v>826</v>
      </c>
      <c r="C401">
        <v>69</v>
      </c>
      <c r="D401" s="2" t="s">
        <v>13</v>
      </c>
      <c r="E401" s="2" t="s">
        <v>14</v>
      </c>
      <c r="F401" s="2" t="s">
        <v>15</v>
      </c>
      <c r="G401" s="2" t="s">
        <v>27</v>
      </c>
      <c r="H401" s="2" t="s">
        <v>17</v>
      </c>
      <c r="I401" s="2" t="s">
        <v>17</v>
      </c>
      <c r="J401">
        <v>0.47</v>
      </c>
      <c r="K401" s="1">
        <v>43428</v>
      </c>
      <c r="L401" s="2" t="str">
        <f>IF(Sheet1[[#This Row],[age]]&lt;18, "Under 18",IF(Sheet1[[#This Row],[age]]&lt;=30,"18-30",IF(Sheet1[[#This Row],[age]]&lt;=45,"31-45",IF(Sheet1[[#This Row],[age]]&lt;=60,"46-60","60+"))))</f>
        <v>60+</v>
      </c>
      <c r="M401" s="2" t="str">
        <f>IF(Sheet1[[#This Row],[risk_score]]&lt;0.3,"Low",IF(Sheet1[[#This Row],[risk_score]]&lt;0.7,"Medium","High"))</f>
        <v>Medium</v>
      </c>
      <c r="N401">
        <f>YEAR(Sheet1[[#This Row],[date_joined]])</f>
        <v>2018</v>
      </c>
      <c r="O401" s="2" t="str">
        <f>TEXT(Sheet1[[#This Row],[date_joined]],"mmm")</f>
        <v>Nov</v>
      </c>
      <c r="P401" s="2" t="str">
        <f>"Q"&amp;ROUNDUP(MONTH(Sheet1[[#This Row],[date_joined]])/3,0)</f>
        <v>Q4</v>
      </c>
      <c r="Q401" s="2" t="str">
        <f>IF(Sheet1[[#This Row],[age]]&lt;30,"Young",IF(Sheet1[[#This Row],[age]]&lt;=50,"Adult","Senior"))</f>
        <v>Senior</v>
      </c>
      <c r="R401" s="2" t="str">
        <f t="shared" si="12"/>
        <v>Low</v>
      </c>
      <c r="S401" s="2" t="str">
        <f t="shared" si="13"/>
        <v>North - Student</v>
      </c>
    </row>
    <row r="402" spans="1:19" x14ac:dyDescent="0.3">
      <c r="A402" t="s">
        <v>827</v>
      </c>
      <c r="B402" t="s">
        <v>828</v>
      </c>
      <c r="C402">
        <v>50</v>
      </c>
      <c r="D402" s="2" t="s">
        <v>21</v>
      </c>
      <c r="E402" s="2" t="s">
        <v>14</v>
      </c>
      <c r="F402" s="2" t="s">
        <v>31</v>
      </c>
      <c r="G402" s="2" t="s">
        <v>32</v>
      </c>
      <c r="H402" s="2" t="s">
        <v>18</v>
      </c>
      <c r="I402" s="2" t="s">
        <v>18</v>
      </c>
      <c r="J402">
        <v>0.38</v>
      </c>
      <c r="K402" s="1">
        <v>45025</v>
      </c>
      <c r="L402" s="2" t="str">
        <f>IF(Sheet1[[#This Row],[age]]&lt;18, "Under 18",IF(Sheet1[[#This Row],[age]]&lt;=30,"18-30",IF(Sheet1[[#This Row],[age]]&lt;=45,"31-45",IF(Sheet1[[#This Row],[age]]&lt;=60,"46-60","60+"))))</f>
        <v>46-60</v>
      </c>
      <c r="M402" s="2" t="str">
        <f>IF(Sheet1[[#This Row],[risk_score]]&lt;0.3,"Low",IF(Sheet1[[#This Row],[risk_score]]&lt;0.7,"Medium","High"))</f>
        <v>Medium</v>
      </c>
      <c r="N402">
        <f>YEAR(Sheet1[[#This Row],[date_joined]])</f>
        <v>2023</v>
      </c>
      <c r="O402" s="2" t="str">
        <f>TEXT(Sheet1[[#This Row],[date_joined]],"mmm")</f>
        <v>Apr</v>
      </c>
      <c r="P402" s="2" t="str">
        <f>"Q"&amp;ROUNDUP(MONTH(Sheet1[[#This Row],[date_joined]])/3,0)</f>
        <v>Q2</v>
      </c>
      <c r="Q402" s="2" t="str">
        <f>IF(Sheet1[[#This Row],[age]]&lt;30,"Young",IF(Sheet1[[#This Row],[age]]&lt;=50,"Adult","Senior"))</f>
        <v>Adult</v>
      </c>
      <c r="R402" s="2" t="str">
        <f t="shared" si="12"/>
        <v>Very High</v>
      </c>
      <c r="S402" s="2" t="str">
        <f t="shared" si="13"/>
        <v>South - Self-employed</v>
      </c>
    </row>
    <row r="403" spans="1:19" x14ac:dyDescent="0.3">
      <c r="A403" t="s">
        <v>829</v>
      </c>
      <c r="B403" t="s">
        <v>830</v>
      </c>
      <c r="C403">
        <v>24</v>
      </c>
      <c r="D403" s="2" t="s">
        <v>21</v>
      </c>
      <c r="E403" s="2" t="s">
        <v>14</v>
      </c>
      <c r="F403" s="2" t="s">
        <v>37</v>
      </c>
      <c r="G403" s="2" t="s">
        <v>16</v>
      </c>
      <c r="H403" s="2" t="s">
        <v>17</v>
      </c>
      <c r="I403" s="2" t="s">
        <v>17</v>
      </c>
      <c r="J403">
        <v>0.85</v>
      </c>
      <c r="K403" s="1">
        <v>44953</v>
      </c>
      <c r="L403" s="2" t="str">
        <f>IF(Sheet1[[#This Row],[age]]&lt;18, "Under 18",IF(Sheet1[[#This Row],[age]]&lt;=30,"18-30",IF(Sheet1[[#This Row],[age]]&lt;=45,"31-45",IF(Sheet1[[#This Row],[age]]&lt;=60,"46-60","60+"))))</f>
        <v>18-30</v>
      </c>
      <c r="M403" s="2" t="str">
        <f>IF(Sheet1[[#This Row],[risk_score]]&lt;0.3,"Low",IF(Sheet1[[#This Row],[risk_score]]&lt;0.7,"Medium","High"))</f>
        <v>High</v>
      </c>
      <c r="N403">
        <f>YEAR(Sheet1[[#This Row],[date_joined]])</f>
        <v>2023</v>
      </c>
      <c r="O403" s="2" t="str">
        <f>TEXT(Sheet1[[#This Row],[date_joined]],"mmm")</f>
        <v>Jan</v>
      </c>
      <c r="P403" s="2" t="str">
        <f>"Q"&amp;ROUNDUP(MONTH(Sheet1[[#This Row],[date_joined]])/3,0)</f>
        <v>Q1</v>
      </c>
      <c r="Q403" s="2" t="str">
        <f>IF(Sheet1[[#This Row],[age]]&lt;30,"Young",IF(Sheet1[[#This Row],[age]]&lt;=50,"Adult","Senior"))</f>
        <v>Young</v>
      </c>
      <c r="R403" s="2" t="str">
        <f t="shared" si="12"/>
        <v>Low</v>
      </c>
      <c r="S403" s="2" t="str">
        <f t="shared" si="13"/>
        <v>West - Retired</v>
      </c>
    </row>
    <row r="404" spans="1:19" x14ac:dyDescent="0.3">
      <c r="A404" t="s">
        <v>831</v>
      </c>
      <c r="B404" t="s">
        <v>832</v>
      </c>
      <c r="C404">
        <v>56</v>
      </c>
      <c r="D404" s="2" t="s">
        <v>21</v>
      </c>
      <c r="E404" s="2" t="s">
        <v>14</v>
      </c>
      <c r="F404" s="2" t="s">
        <v>31</v>
      </c>
      <c r="G404" s="2" t="s">
        <v>66</v>
      </c>
      <c r="H404" s="2" t="s">
        <v>18</v>
      </c>
      <c r="I404" s="2" t="s">
        <v>18</v>
      </c>
      <c r="J404">
        <v>0.86</v>
      </c>
      <c r="K404" s="1">
        <v>44033</v>
      </c>
      <c r="L404" s="2" t="str">
        <f>IF(Sheet1[[#This Row],[age]]&lt;18, "Under 18",IF(Sheet1[[#This Row],[age]]&lt;=30,"18-30",IF(Sheet1[[#This Row],[age]]&lt;=45,"31-45",IF(Sheet1[[#This Row],[age]]&lt;=60,"46-60","60+"))))</f>
        <v>46-60</v>
      </c>
      <c r="M404" s="2" t="str">
        <f>IF(Sheet1[[#This Row],[risk_score]]&lt;0.3,"Low",IF(Sheet1[[#This Row],[risk_score]]&lt;0.7,"Medium","High"))</f>
        <v>High</v>
      </c>
      <c r="N404">
        <f>YEAR(Sheet1[[#This Row],[date_joined]])</f>
        <v>2020</v>
      </c>
      <c r="O404" s="2" t="str">
        <f>TEXT(Sheet1[[#This Row],[date_joined]],"mmm")</f>
        <v>Jul</v>
      </c>
      <c r="P404" s="2" t="str">
        <f>"Q"&amp;ROUNDUP(MONTH(Sheet1[[#This Row],[date_joined]])/3,0)</f>
        <v>Q3</v>
      </c>
      <c r="Q404" s="2" t="str">
        <f>IF(Sheet1[[#This Row],[age]]&lt;30,"Young",IF(Sheet1[[#This Row],[age]]&lt;=50,"Adult","Senior"))</f>
        <v>Senior</v>
      </c>
      <c r="R404" s="2" t="str">
        <f t="shared" si="12"/>
        <v>Very High</v>
      </c>
      <c r="S404" s="2" t="str">
        <f t="shared" si="13"/>
        <v>North-East - Self-employed</v>
      </c>
    </row>
    <row r="405" spans="1:19" x14ac:dyDescent="0.3">
      <c r="A405" t="s">
        <v>833</v>
      </c>
      <c r="B405" t="s">
        <v>834</v>
      </c>
      <c r="C405">
        <v>63</v>
      </c>
      <c r="D405" s="2" t="s">
        <v>13</v>
      </c>
      <c r="E405" s="2" t="s">
        <v>14</v>
      </c>
      <c r="F405" s="2" t="s">
        <v>15</v>
      </c>
      <c r="G405" s="2" t="s">
        <v>24</v>
      </c>
      <c r="H405" s="2" t="s">
        <v>17</v>
      </c>
      <c r="I405" s="2" t="s">
        <v>17</v>
      </c>
      <c r="J405">
        <v>0.93</v>
      </c>
      <c r="K405" s="1">
        <v>43238</v>
      </c>
      <c r="L405" s="2" t="str">
        <f>IF(Sheet1[[#This Row],[age]]&lt;18, "Under 18",IF(Sheet1[[#This Row],[age]]&lt;=30,"18-30",IF(Sheet1[[#This Row],[age]]&lt;=45,"31-45",IF(Sheet1[[#This Row],[age]]&lt;=60,"46-60","60+"))))</f>
        <v>60+</v>
      </c>
      <c r="M405" s="2" t="str">
        <f>IF(Sheet1[[#This Row],[risk_score]]&lt;0.3,"Low",IF(Sheet1[[#This Row],[risk_score]]&lt;0.7,"Medium","High"))</f>
        <v>High</v>
      </c>
      <c r="N405">
        <f>YEAR(Sheet1[[#This Row],[date_joined]])</f>
        <v>2018</v>
      </c>
      <c r="O405" s="2" t="str">
        <f>TEXT(Sheet1[[#This Row],[date_joined]],"mmm")</f>
        <v>May</v>
      </c>
      <c r="P405" s="2" t="str">
        <f>"Q"&amp;ROUNDUP(MONTH(Sheet1[[#This Row],[date_joined]])/3,0)</f>
        <v>Q2</v>
      </c>
      <c r="Q405" s="2" t="str">
        <f>IF(Sheet1[[#This Row],[age]]&lt;30,"Young",IF(Sheet1[[#This Row],[age]]&lt;=50,"Adult","Senior"))</f>
        <v>Senior</v>
      </c>
      <c r="R405" s="2" t="str">
        <f t="shared" si="12"/>
        <v>Low</v>
      </c>
      <c r="S405" s="2" t="str">
        <f t="shared" si="13"/>
        <v>East - Student</v>
      </c>
    </row>
    <row r="406" spans="1:19" x14ac:dyDescent="0.3">
      <c r="A406" t="s">
        <v>835</v>
      </c>
      <c r="B406" t="s">
        <v>836</v>
      </c>
      <c r="C406">
        <v>34</v>
      </c>
      <c r="D406" s="2" t="s">
        <v>21</v>
      </c>
      <c r="E406" s="2" t="s">
        <v>22</v>
      </c>
      <c r="F406" s="2" t="s">
        <v>31</v>
      </c>
      <c r="G406" s="2" t="s">
        <v>32</v>
      </c>
      <c r="H406" s="2" t="s">
        <v>18</v>
      </c>
      <c r="I406" s="2" t="s">
        <v>18</v>
      </c>
      <c r="J406">
        <v>0.54</v>
      </c>
      <c r="K406" s="1">
        <v>44811</v>
      </c>
      <c r="L406" s="2" t="str">
        <f>IF(Sheet1[[#This Row],[age]]&lt;18, "Under 18",IF(Sheet1[[#This Row],[age]]&lt;=30,"18-30",IF(Sheet1[[#This Row],[age]]&lt;=45,"31-45",IF(Sheet1[[#This Row],[age]]&lt;=60,"46-60","60+"))))</f>
        <v>31-45</v>
      </c>
      <c r="M406" s="2" t="str">
        <f>IF(Sheet1[[#This Row],[risk_score]]&lt;0.3,"Low",IF(Sheet1[[#This Row],[risk_score]]&lt;0.7,"Medium","High"))</f>
        <v>Medium</v>
      </c>
      <c r="N406">
        <f>YEAR(Sheet1[[#This Row],[date_joined]])</f>
        <v>2022</v>
      </c>
      <c r="O406" s="2" t="str">
        <f>TEXT(Sheet1[[#This Row],[date_joined]],"mmm")</f>
        <v>Sep</v>
      </c>
      <c r="P406" s="2" t="str">
        <f>"Q"&amp;ROUNDUP(MONTH(Sheet1[[#This Row],[date_joined]])/3,0)</f>
        <v>Q3</v>
      </c>
      <c r="Q406" s="2" t="str">
        <f>IF(Sheet1[[#This Row],[age]]&lt;30,"Young",IF(Sheet1[[#This Row],[age]]&lt;=50,"Adult","Senior"))</f>
        <v>Adult</v>
      </c>
      <c r="R406" s="2" t="str">
        <f t="shared" si="12"/>
        <v>Very High</v>
      </c>
      <c r="S406" s="2" t="str">
        <f t="shared" si="13"/>
        <v>South - Self-employed</v>
      </c>
    </row>
    <row r="407" spans="1:19" x14ac:dyDescent="0.3">
      <c r="A407" t="s">
        <v>837</v>
      </c>
      <c r="B407" t="s">
        <v>838</v>
      </c>
      <c r="C407">
        <v>35</v>
      </c>
      <c r="D407" s="2" t="s">
        <v>13</v>
      </c>
      <c r="E407" s="2" t="s">
        <v>30</v>
      </c>
      <c r="F407" s="2" t="s">
        <v>15</v>
      </c>
      <c r="G407" s="2" t="s">
        <v>16</v>
      </c>
      <c r="H407" s="2" t="s">
        <v>17</v>
      </c>
      <c r="I407" s="2" t="s">
        <v>18</v>
      </c>
      <c r="J407">
        <v>0.46</v>
      </c>
      <c r="K407" s="1">
        <v>43796</v>
      </c>
      <c r="L407" s="2" t="str">
        <f>IF(Sheet1[[#This Row],[age]]&lt;18, "Under 18",IF(Sheet1[[#This Row],[age]]&lt;=30,"18-30",IF(Sheet1[[#This Row],[age]]&lt;=45,"31-45",IF(Sheet1[[#This Row],[age]]&lt;=60,"46-60","60+"))))</f>
        <v>31-45</v>
      </c>
      <c r="M407" s="2" t="str">
        <f>IF(Sheet1[[#This Row],[risk_score]]&lt;0.3,"Low",IF(Sheet1[[#This Row],[risk_score]]&lt;0.7,"Medium","High"))</f>
        <v>Medium</v>
      </c>
      <c r="N407">
        <f>YEAR(Sheet1[[#This Row],[date_joined]])</f>
        <v>2019</v>
      </c>
      <c r="O407" s="2" t="str">
        <f>TEXT(Sheet1[[#This Row],[date_joined]],"mmm")</f>
        <v>Nov</v>
      </c>
      <c r="P407" s="2" t="str">
        <f>"Q"&amp;ROUNDUP(MONTH(Sheet1[[#This Row],[date_joined]])/3,0)</f>
        <v>Q4</v>
      </c>
      <c r="Q407" s="2" t="str">
        <f>IF(Sheet1[[#This Row],[age]]&lt;30,"Young",IF(Sheet1[[#This Row],[age]]&lt;=50,"Adult","Senior"))</f>
        <v>Adult</v>
      </c>
      <c r="R407" s="2" t="str">
        <f t="shared" si="12"/>
        <v>High</v>
      </c>
      <c r="S407" s="2" t="str">
        <f t="shared" si="13"/>
        <v>West - Student</v>
      </c>
    </row>
    <row r="408" spans="1:19" x14ac:dyDescent="0.3">
      <c r="A408" t="s">
        <v>839</v>
      </c>
      <c r="B408" t="s">
        <v>840</v>
      </c>
      <c r="C408">
        <v>25</v>
      </c>
      <c r="D408" s="2" t="s">
        <v>21</v>
      </c>
      <c r="E408" s="2" t="s">
        <v>30</v>
      </c>
      <c r="F408" s="2" t="s">
        <v>23</v>
      </c>
      <c r="G408" s="2" t="s">
        <v>32</v>
      </c>
      <c r="H408" s="2" t="s">
        <v>17</v>
      </c>
      <c r="I408" s="2" t="s">
        <v>17</v>
      </c>
      <c r="J408">
        <v>0.5</v>
      </c>
      <c r="K408" s="1">
        <v>44797</v>
      </c>
      <c r="L408" s="2" t="str">
        <f>IF(Sheet1[[#This Row],[age]]&lt;18, "Under 18",IF(Sheet1[[#This Row],[age]]&lt;=30,"18-30",IF(Sheet1[[#This Row],[age]]&lt;=45,"31-45",IF(Sheet1[[#This Row],[age]]&lt;=60,"46-60","60+"))))</f>
        <v>18-30</v>
      </c>
      <c r="M408" s="2" t="str">
        <f>IF(Sheet1[[#This Row],[risk_score]]&lt;0.3,"Low",IF(Sheet1[[#This Row],[risk_score]]&lt;0.7,"Medium","High"))</f>
        <v>Medium</v>
      </c>
      <c r="N408">
        <f>YEAR(Sheet1[[#This Row],[date_joined]])</f>
        <v>2022</v>
      </c>
      <c r="O408" s="2" t="str">
        <f>TEXT(Sheet1[[#This Row],[date_joined]],"mmm")</f>
        <v>Aug</v>
      </c>
      <c r="P408" s="2" t="str">
        <f>"Q"&amp;ROUNDUP(MONTH(Sheet1[[#This Row],[date_joined]])/3,0)</f>
        <v>Q3</v>
      </c>
      <c r="Q408" s="2" t="str">
        <f>IF(Sheet1[[#This Row],[age]]&lt;30,"Young",IF(Sheet1[[#This Row],[age]]&lt;=50,"Adult","Senior"))</f>
        <v>Young</v>
      </c>
      <c r="R408" s="2" t="str">
        <f t="shared" si="12"/>
        <v>Low</v>
      </c>
      <c r="S408" s="2" t="str">
        <f t="shared" si="13"/>
        <v>South - Salaried</v>
      </c>
    </row>
    <row r="409" spans="1:19" x14ac:dyDescent="0.3">
      <c r="A409" t="s">
        <v>841</v>
      </c>
      <c r="B409" t="s">
        <v>842</v>
      </c>
      <c r="C409">
        <v>24</v>
      </c>
      <c r="D409" s="2" t="s">
        <v>21</v>
      </c>
      <c r="E409" s="2" t="s">
        <v>30</v>
      </c>
      <c r="F409" s="2" t="s">
        <v>31</v>
      </c>
      <c r="G409" s="2" t="s">
        <v>24</v>
      </c>
      <c r="H409" s="2" t="s">
        <v>17</v>
      </c>
      <c r="I409" s="2" t="s">
        <v>17</v>
      </c>
      <c r="J409">
        <v>0.46</v>
      </c>
      <c r="K409" s="1">
        <v>44318</v>
      </c>
      <c r="L409" s="2" t="str">
        <f>IF(Sheet1[[#This Row],[age]]&lt;18, "Under 18",IF(Sheet1[[#This Row],[age]]&lt;=30,"18-30",IF(Sheet1[[#This Row],[age]]&lt;=45,"31-45",IF(Sheet1[[#This Row],[age]]&lt;=60,"46-60","60+"))))</f>
        <v>18-30</v>
      </c>
      <c r="M409" s="2" t="str">
        <f>IF(Sheet1[[#This Row],[risk_score]]&lt;0.3,"Low",IF(Sheet1[[#This Row],[risk_score]]&lt;0.7,"Medium","High"))</f>
        <v>Medium</v>
      </c>
      <c r="N409">
        <f>YEAR(Sheet1[[#This Row],[date_joined]])</f>
        <v>2021</v>
      </c>
      <c r="O409" s="2" t="str">
        <f>TEXT(Sheet1[[#This Row],[date_joined]],"mmm")</f>
        <v>May</v>
      </c>
      <c r="P409" s="2" t="str">
        <f>"Q"&amp;ROUNDUP(MONTH(Sheet1[[#This Row],[date_joined]])/3,0)</f>
        <v>Q2</v>
      </c>
      <c r="Q409" s="2" t="str">
        <f>IF(Sheet1[[#This Row],[age]]&lt;30,"Young",IF(Sheet1[[#This Row],[age]]&lt;=50,"Adult","Senior"))</f>
        <v>Young</v>
      </c>
      <c r="R409" s="2" t="str">
        <f t="shared" si="12"/>
        <v>Low</v>
      </c>
      <c r="S409" s="2" t="str">
        <f t="shared" si="13"/>
        <v>East - Self-employed</v>
      </c>
    </row>
    <row r="410" spans="1:19" x14ac:dyDescent="0.3">
      <c r="A410" t="s">
        <v>843</v>
      </c>
      <c r="B410" t="s">
        <v>844</v>
      </c>
      <c r="C410">
        <v>56</v>
      </c>
      <c r="D410" s="2" t="s">
        <v>13</v>
      </c>
      <c r="E410" s="2" t="s">
        <v>30</v>
      </c>
      <c r="F410" s="2" t="s">
        <v>31</v>
      </c>
      <c r="G410" s="2" t="s">
        <v>66</v>
      </c>
      <c r="H410" s="2" t="s">
        <v>17</v>
      </c>
      <c r="I410" s="2" t="s">
        <v>18</v>
      </c>
      <c r="J410">
        <v>0.63</v>
      </c>
      <c r="K410" s="1">
        <v>43561</v>
      </c>
      <c r="L410" s="2" t="str">
        <f>IF(Sheet1[[#This Row],[age]]&lt;18, "Under 18",IF(Sheet1[[#This Row],[age]]&lt;=30,"18-30",IF(Sheet1[[#This Row],[age]]&lt;=45,"31-45",IF(Sheet1[[#This Row],[age]]&lt;=60,"46-60","60+"))))</f>
        <v>46-60</v>
      </c>
      <c r="M410" s="2" t="str">
        <f>IF(Sheet1[[#This Row],[risk_score]]&lt;0.3,"Low",IF(Sheet1[[#This Row],[risk_score]]&lt;0.7,"Medium","High"))</f>
        <v>Medium</v>
      </c>
      <c r="N410">
        <f>YEAR(Sheet1[[#This Row],[date_joined]])</f>
        <v>2019</v>
      </c>
      <c r="O410" s="2" t="str">
        <f>TEXT(Sheet1[[#This Row],[date_joined]],"mmm")</f>
        <v>Apr</v>
      </c>
      <c r="P410" s="2" t="str">
        <f>"Q"&amp;ROUNDUP(MONTH(Sheet1[[#This Row],[date_joined]])/3,0)</f>
        <v>Q2</v>
      </c>
      <c r="Q410" s="2" t="str">
        <f>IF(Sheet1[[#This Row],[age]]&lt;30,"Young",IF(Sheet1[[#This Row],[age]]&lt;=50,"Adult","Senior"))</f>
        <v>Senior</v>
      </c>
      <c r="R410" s="2" t="str">
        <f t="shared" si="12"/>
        <v>High</v>
      </c>
      <c r="S410" s="2" t="str">
        <f t="shared" si="13"/>
        <v>North-East - Self-employed</v>
      </c>
    </row>
    <row r="411" spans="1:19" x14ac:dyDescent="0.3">
      <c r="A411" t="s">
        <v>845</v>
      </c>
      <c r="B411" t="s">
        <v>846</v>
      </c>
      <c r="C411">
        <v>22</v>
      </c>
      <c r="D411" s="2" t="s">
        <v>13</v>
      </c>
      <c r="E411" s="2" t="s">
        <v>14</v>
      </c>
      <c r="F411" s="2" t="s">
        <v>37</v>
      </c>
      <c r="G411" s="2" t="s">
        <v>27</v>
      </c>
      <c r="H411" s="2" t="s">
        <v>17</v>
      </c>
      <c r="I411" s="2" t="s">
        <v>17</v>
      </c>
      <c r="J411">
        <v>0.64</v>
      </c>
      <c r="K411" s="1">
        <v>44853</v>
      </c>
      <c r="L411" s="2" t="str">
        <f>IF(Sheet1[[#This Row],[age]]&lt;18, "Under 18",IF(Sheet1[[#This Row],[age]]&lt;=30,"18-30",IF(Sheet1[[#This Row],[age]]&lt;=45,"31-45",IF(Sheet1[[#This Row],[age]]&lt;=60,"46-60","60+"))))</f>
        <v>18-30</v>
      </c>
      <c r="M411" s="2" t="str">
        <f>IF(Sheet1[[#This Row],[risk_score]]&lt;0.3,"Low",IF(Sheet1[[#This Row],[risk_score]]&lt;0.7,"Medium","High"))</f>
        <v>Medium</v>
      </c>
      <c r="N411">
        <f>YEAR(Sheet1[[#This Row],[date_joined]])</f>
        <v>2022</v>
      </c>
      <c r="O411" s="2" t="str">
        <f>TEXT(Sheet1[[#This Row],[date_joined]],"mmm")</f>
        <v>Oct</v>
      </c>
      <c r="P411" s="2" t="str">
        <f>"Q"&amp;ROUNDUP(MONTH(Sheet1[[#This Row],[date_joined]])/3,0)</f>
        <v>Q4</v>
      </c>
      <c r="Q411" s="2" t="str">
        <f>IF(Sheet1[[#This Row],[age]]&lt;30,"Young",IF(Sheet1[[#This Row],[age]]&lt;=50,"Adult","Senior"))</f>
        <v>Young</v>
      </c>
      <c r="R411" s="2" t="str">
        <f t="shared" si="12"/>
        <v>Low</v>
      </c>
      <c r="S411" s="2" t="str">
        <f t="shared" si="13"/>
        <v>North - Retired</v>
      </c>
    </row>
    <row r="412" spans="1:19" x14ac:dyDescent="0.3">
      <c r="A412" t="s">
        <v>847</v>
      </c>
      <c r="B412" t="s">
        <v>848</v>
      </c>
      <c r="C412">
        <v>59</v>
      </c>
      <c r="D412" s="2" t="s">
        <v>21</v>
      </c>
      <c r="E412" s="2" t="s">
        <v>22</v>
      </c>
      <c r="F412" s="2" t="s">
        <v>15</v>
      </c>
      <c r="G412" s="2" t="s">
        <v>16</v>
      </c>
      <c r="H412" s="2" t="s">
        <v>18</v>
      </c>
      <c r="I412" s="2" t="s">
        <v>17</v>
      </c>
      <c r="J412">
        <v>0.35</v>
      </c>
      <c r="K412" s="1">
        <v>43347</v>
      </c>
      <c r="L412" s="2" t="str">
        <f>IF(Sheet1[[#This Row],[age]]&lt;18, "Under 18",IF(Sheet1[[#This Row],[age]]&lt;=30,"18-30",IF(Sheet1[[#This Row],[age]]&lt;=45,"31-45",IF(Sheet1[[#This Row],[age]]&lt;=60,"46-60","60+"))))</f>
        <v>46-60</v>
      </c>
      <c r="M412" s="2" t="str">
        <f>IF(Sheet1[[#This Row],[risk_score]]&lt;0.3,"Low",IF(Sheet1[[#This Row],[risk_score]]&lt;0.7,"Medium","High"))</f>
        <v>Medium</v>
      </c>
      <c r="N412">
        <f>YEAR(Sheet1[[#This Row],[date_joined]])</f>
        <v>2018</v>
      </c>
      <c r="O412" s="2" t="str">
        <f>TEXT(Sheet1[[#This Row],[date_joined]],"mmm")</f>
        <v>Sep</v>
      </c>
      <c r="P412" s="2" t="str">
        <f>"Q"&amp;ROUNDUP(MONTH(Sheet1[[#This Row],[date_joined]])/3,0)</f>
        <v>Q3</v>
      </c>
      <c r="Q412" s="2" t="str">
        <f>IF(Sheet1[[#This Row],[age]]&lt;30,"Young",IF(Sheet1[[#This Row],[age]]&lt;=50,"Adult","Senior"))</f>
        <v>Senior</v>
      </c>
      <c r="R412" s="2" t="str">
        <f t="shared" si="12"/>
        <v>High</v>
      </c>
      <c r="S412" s="2" t="str">
        <f t="shared" si="13"/>
        <v>West - Student</v>
      </c>
    </row>
    <row r="413" spans="1:19" x14ac:dyDescent="0.3">
      <c r="A413" t="s">
        <v>849</v>
      </c>
      <c r="B413" t="s">
        <v>850</v>
      </c>
      <c r="C413">
        <v>23</v>
      </c>
      <c r="D413" s="2" t="s">
        <v>21</v>
      </c>
      <c r="E413" s="2" t="s">
        <v>22</v>
      </c>
      <c r="F413" s="2" t="s">
        <v>23</v>
      </c>
      <c r="G413" s="2" t="s">
        <v>81</v>
      </c>
      <c r="H413" s="2" t="s">
        <v>18</v>
      </c>
      <c r="I413" s="2" t="s">
        <v>18</v>
      </c>
      <c r="J413">
        <v>0.47</v>
      </c>
      <c r="K413" s="1">
        <v>43378</v>
      </c>
      <c r="L413" s="2" t="str">
        <f>IF(Sheet1[[#This Row],[age]]&lt;18, "Under 18",IF(Sheet1[[#This Row],[age]]&lt;=30,"18-30",IF(Sheet1[[#This Row],[age]]&lt;=45,"31-45",IF(Sheet1[[#This Row],[age]]&lt;=60,"46-60","60+"))))</f>
        <v>18-30</v>
      </c>
      <c r="M413" s="2" t="str">
        <f>IF(Sheet1[[#This Row],[risk_score]]&lt;0.3,"Low",IF(Sheet1[[#This Row],[risk_score]]&lt;0.7,"Medium","High"))</f>
        <v>Medium</v>
      </c>
      <c r="N413">
        <f>YEAR(Sheet1[[#This Row],[date_joined]])</f>
        <v>2018</v>
      </c>
      <c r="O413" s="2" t="str">
        <f>TEXT(Sheet1[[#This Row],[date_joined]],"mmm")</f>
        <v>Oct</v>
      </c>
      <c r="P413" s="2" t="str">
        <f>"Q"&amp;ROUNDUP(MONTH(Sheet1[[#This Row],[date_joined]])/3,0)</f>
        <v>Q4</v>
      </c>
      <c r="Q413" s="2" t="str">
        <f>IF(Sheet1[[#This Row],[age]]&lt;30,"Young",IF(Sheet1[[#This Row],[age]]&lt;=50,"Adult","Senior"))</f>
        <v>Young</v>
      </c>
      <c r="R413" s="2" t="str">
        <f t="shared" si="12"/>
        <v>Very High</v>
      </c>
      <c r="S413" s="2" t="str">
        <f t="shared" si="13"/>
        <v>Central - Salaried</v>
      </c>
    </row>
    <row r="414" spans="1:19" x14ac:dyDescent="0.3">
      <c r="A414" t="s">
        <v>851</v>
      </c>
      <c r="B414" t="s">
        <v>852</v>
      </c>
      <c r="C414">
        <v>45</v>
      </c>
      <c r="D414" s="2" t="s">
        <v>21</v>
      </c>
      <c r="E414" s="2" t="s">
        <v>14</v>
      </c>
      <c r="F414" s="2" t="s">
        <v>31</v>
      </c>
      <c r="G414" s="2" t="s">
        <v>32</v>
      </c>
      <c r="H414" s="2" t="s">
        <v>18</v>
      </c>
      <c r="I414" s="2" t="s">
        <v>18</v>
      </c>
      <c r="J414">
        <v>0.72</v>
      </c>
      <c r="K414" s="1">
        <v>44332</v>
      </c>
      <c r="L414" s="2" t="str">
        <f>IF(Sheet1[[#This Row],[age]]&lt;18, "Under 18",IF(Sheet1[[#This Row],[age]]&lt;=30,"18-30",IF(Sheet1[[#This Row],[age]]&lt;=45,"31-45",IF(Sheet1[[#This Row],[age]]&lt;=60,"46-60","60+"))))</f>
        <v>31-45</v>
      </c>
      <c r="M414" s="2" t="str">
        <f>IF(Sheet1[[#This Row],[risk_score]]&lt;0.3,"Low",IF(Sheet1[[#This Row],[risk_score]]&lt;0.7,"Medium","High"))</f>
        <v>High</v>
      </c>
      <c r="N414">
        <f>YEAR(Sheet1[[#This Row],[date_joined]])</f>
        <v>2021</v>
      </c>
      <c r="O414" s="2" t="str">
        <f>TEXT(Sheet1[[#This Row],[date_joined]],"mmm")</f>
        <v>May</v>
      </c>
      <c r="P414" s="2" t="str">
        <f>"Q"&amp;ROUNDUP(MONTH(Sheet1[[#This Row],[date_joined]])/3,0)</f>
        <v>Q2</v>
      </c>
      <c r="Q414" s="2" t="str">
        <f>IF(Sheet1[[#This Row],[age]]&lt;30,"Young",IF(Sheet1[[#This Row],[age]]&lt;=50,"Adult","Senior"))</f>
        <v>Adult</v>
      </c>
      <c r="R414" s="2" t="str">
        <f t="shared" si="12"/>
        <v>Very High</v>
      </c>
      <c r="S414" s="2" t="str">
        <f t="shared" si="13"/>
        <v>South - Self-employed</v>
      </c>
    </row>
    <row r="415" spans="1:19" x14ac:dyDescent="0.3">
      <c r="A415" t="s">
        <v>853</v>
      </c>
      <c r="B415" t="s">
        <v>854</v>
      </c>
      <c r="C415">
        <v>23</v>
      </c>
      <c r="D415" s="2" t="s">
        <v>21</v>
      </c>
      <c r="E415" s="2" t="s">
        <v>14</v>
      </c>
      <c r="F415" s="2" t="s">
        <v>37</v>
      </c>
      <c r="G415" s="2" t="s">
        <v>24</v>
      </c>
      <c r="H415" s="2" t="s">
        <v>17</v>
      </c>
      <c r="I415" s="2" t="s">
        <v>18</v>
      </c>
      <c r="J415">
        <v>0.64</v>
      </c>
      <c r="K415" s="1">
        <v>44489</v>
      </c>
      <c r="L415" s="2" t="str">
        <f>IF(Sheet1[[#This Row],[age]]&lt;18, "Under 18",IF(Sheet1[[#This Row],[age]]&lt;=30,"18-30",IF(Sheet1[[#This Row],[age]]&lt;=45,"31-45",IF(Sheet1[[#This Row],[age]]&lt;=60,"46-60","60+"))))</f>
        <v>18-30</v>
      </c>
      <c r="M415" s="2" t="str">
        <f>IF(Sheet1[[#This Row],[risk_score]]&lt;0.3,"Low",IF(Sheet1[[#This Row],[risk_score]]&lt;0.7,"Medium","High"))</f>
        <v>Medium</v>
      </c>
      <c r="N415">
        <f>YEAR(Sheet1[[#This Row],[date_joined]])</f>
        <v>2021</v>
      </c>
      <c r="O415" s="2" t="str">
        <f>TEXT(Sheet1[[#This Row],[date_joined]],"mmm")</f>
        <v>Oct</v>
      </c>
      <c r="P415" s="2" t="str">
        <f>"Q"&amp;ROUNDUP(MONTH(Sheet1[[#This Row],[date_joined]])/3,0)</f>
        <v>Q4</v>
      </c>
      <c r="Q415" s="2" t="str">
        <f>IF(Sheet1[[#This Row],[age]]&lt;30,"Young",IF(Sheet1[[#This Row],[age]]&lt;=50,"Adult","Senior"))</f>
        <v>Young</v>
      </c>
      <c r="R415" s="2" t="str">
        <f t="shared" si="12"/>
        <v>High</v>
      </c>
      <c r="S415" s="2" t="str">
        <f t="shared" si="13"/>
        <v>East - Retired</v>
      </c>
    </row>
    <row r="416" spans="1:19" x14ac:dyDescent="0.3">
      <c r="A416" t="s">
        <v>855</v>
      </c>
      <c r="B416" t="s">
        <v>856</v>
      </c>
      <c r="C416">
        <v>33</v>
      </c>
      <c r="D416" s="2" t="s">
        <v>13</v>
      </c>
      <c r="E416" s="2" t="s">
        <v>22</v>
      </c>
      <c r="F416" s="2" t="s">
        <v>23</v>
      </c>
      <c r="G416" s="2" t="s">
        <v>66</v>
      </c>
      <c r="H416" s="2" t="s">
        <v>18</v>
      </c>
      <c r="I416" s="2" t="s">
        <v>18</v>
      </c>
      <c r="J416">
        <v>1</v>
      </c>
      <c r="K416" s="1">
        <v>44204</v>
      </c>
      <c r="L416" s="2" t="str">
        <f>IF(Sheet1[[#This Row],[age]]&lt;18, "Under 18",IF(Sheet1[[#This Row],[age]]&lt;=30,"18-30",IF(Sheet1[[#This Row],[age]]&lt;=45,"31-45",IF(Sheet1[[#This Row],[age]]&lt;=60,"46-60","60+"))))</f>
        <v>31-45</v>
      </c>
      <c r="M416" s="2" t="str">
        <f>IF(Sheet1[[#This Row],[risk_score]]&lt;0.3,"Low",IF(Sheet1[[#This Row],[risk_score]]&lt;0.7,"Medium","High"))</f>
        <v>High</v>
      </c>
      <c r="N416">
        <f>YEAR(Sheet1[[#This Row],[date_joined]])</f>
        <v>2021</v>
      </c>
      <c r="O416" s="2" t="str">
        <f>TEXT(Sheet1[[#This Row],[date_joined]],"mmm")</f>
        <v>Jan</v>
      </c>
      <c r="P416" s="2" t="str">
        <f>"Q"&amp;ROUNDUP(MONTH(Sheet1[[#This Row],[date_joined]])/3,0)</f>
        <v>Q1</v>
      </c>
      <c r="Q416" s="2" t="str">
        <f>IF(Sheet1[[#This Row],[age]]&lt;30,"Young",IF(Sheet1[[#This Row],[age]]&lt;=50,"Adult","Senior"))</f>
        <v>Adult</v>
      </c>
      <c r="R416" s="2" t="str">
        <f t="shared" si="12"/>
        <v>Very High</v>
      </c>
      <c r="S416" s="2" t="str">
        <f t="shared" si="13"/>
        <v>North-East - Salaried</v>
      </c>
    </row>
    <row r="417" spans="1:19" x14ac:dyDescent="0.3">
      <c r="A417" t="s">
        <v>857</v>
      </c>
      <c r="B417" t="s">
        <v>858</v>
      </c>
      <c r="C417">
        <v>50</v>
      </c>
      <c r="D417" s="2" t="s">
        <v>13</v>
      </c>
      <c r="E417" s="2" t="s">
        <v>30</v>
      </c>
      <c r="F417" s="2" t="s">
        <v>23</v>
      </c>
      <c r="G417" s="2" t="s">
        <v>16</v>
      </c>
      <c r="H417" s="2" t="s">
        <v>18</v>
      </c>
      <c r="I417" s="2" t="s">
        <v>17</v>
      </c>
      <c r="J417">
        <v>0.69</v>
      </c>
      <c r="K417" s="1">
        <v>43759</v>
      </c>
      <c r="L417" s="2" t="str">
        <f>IF(Sheet1[[#This Row],[age]]&lt;18, "Under 18",IF(Sheet1[[#This Row],[age]]&lt;=30,"18-30",IF(Sheet1[[#This Row],[age]]&lt;=45,"31-45",IF(Sheet1[[#This Row],[age]]&lt;=60,"46-60","60+"))))</f>
        <v>46-60</v>
      </c>
      <c r="M417" s="2" t="str">
        <f>IF(Sheet1[[#This Row],[risk_score]]&lt;0.3,"Low",IF(Sheet1[[#This Row],[risk_score]]&lt;0.7,"Medium","High"))</f>
        <v>Medium</v>
      </c>
      <c r="N417">
        <f>YEAR(Sheet1[[#This Row],[date_joined]])</f>
        <v>2019</v>
      </c>
      <c r="O417" s="2" t="str">
        <f>TEXT(Sheet1[[#This Row],[date_joined]],"mmm")</f>
        <v>Oct</v>
      </c>
      <c r="P417" s="2" t="str">
        <f>"Q"&amp;ROUNDUP(MONTH(Sheet1[[#This Row],[date_joined]])/3,0)</f>
        <v>Q4</v>
      </c>
      <c r="Q417" s="2" t="str">
        <f>IF(Sheet1[[#This Row],[age]]&lt;30,"Young",IF(Sheet1[[#This Row],[age]]&lt;=50,"Adult","Senior"))</f>
        <v>Adult</v>
      </c>
      <c r="R417" s="2" t="str">
        <f t="shared" si="12"/>
        <v>High</v>
      </c>
      <c r="S417" s="2" t="str">
        <f t="shared" si="13"/>
        <v>West - Salaried</v>
      </c>
    </row>
    <row r="418" spans="1:19" x14ac:dyDescent="0.3">
      <c r="A418" t="s">
        <v>859</v>
      </c>
      <c r="B418" t="s">
        <v>860</v>
      </c>
      <c r="C418">
        <v>23</v>
      </c>
      <c r="D418" s="2" t="s">
        <v>21</v>
      </c>
      <c r="E418" s="2" t="s">
        <v>22</v>
      </c>
      <c r="F418" s="2" t="s">
        <v>15</v>
      </c>
      <c r="G418" s="2" t="s">
        <v>66</v>
      </c>
      <c r="H418" s="2" t="s">
        <v>17</v>
      </c>
      <c r="I418" s="2" t="s">
        <v>17</v>
      </c>
      <c r="J418">
        <v>0.76</v>
      </c>
      <c r="K418" s="1">
        <v>44812</v>
      </c>
      <c r="L418" s="2" t="str">
        <f>IF(Sheet1[[#This Row],[age]]&lt;18, "Under 18",IF(Sheet1[[#This Row],[age]]&lt;=30,"18-30",IF(Sheet1[[#This Row],[age]]&lt;=45,"31-45",IF(Sheet1[[#This Row],[age]]&lt;=60,"46-60","60+"))))</f>
        <v>18-30</v>
      </c>
      <c r="M418" s="2" t="str">
        <f>IF(Sheet1[[#This Row],[risk_score]]&lt;0.3,"Low",IF(Sheet1[[#This Row],[risk_score]]&lt;0.7,"Medium","High"))</f>
        <v>High</v>
      </c>
      <c r="N418">
        <f>YEAR(Sheet1[[#This Row],[date_joined]])</f>
        <v>2022</v>
      </c>
      <c r="O418" s="2" t="str">
        <f>TEXT(Sheet1[[#This Row],[date_joined]],"mmm")</f>
        <v>Sep</v>
      </c>
      <c r="P418" s="2" t="str">
        <f>"Q"&amp;ROUNDUP(MONTH(Sheet1[[#This Row],[date_joined]])/3,0)</f>
        <v>Q3</v>
      </c>
      <c r="Q418" s="2" t="str">
        <f>IF(Sheet1[[#This Row],[age]]&lt;30,"Young",IF(Sheet1[[#This Row],[age]]&lt;=50,"Adult","Senior"))</f>
        <v>Young</v>
      </c>
      <c r="R418" s="2" t="str">
        <f t="shared" si="12"/>
        <v>Low</v>
      </c>
      <c r="S418" s="2" t="str">
        <f t="shared" si="13"/>
        <v>North-East - Student</v>
      </c>
    </row>
    <row r="419" spans="1:19" x14ac:dyDescent="0.3">
      <c r="A419" t="s">
        <v>861</v>
      </c>
      <c r="B419" t="s">
        <v>862</v>
      </c>
      <c r="C419">
        <v>32</v>
      </c>
      <c r="D419" s="2" t="s">
        <v>13</v>
      </c>
      <c r="E419" s="2" t="s">
        <v>30</v>
      </c>
      <c r="F419" s="2" t="s">
        <v>31</v>
      </c>
      <c r="G419" s="2" t="s">
        <v>24</v>
      </c>
      <c r="H419" s="2" t="s">
        <v>18</v>
      </c>
      <c r="I419" s="2" t="s">
        <v>17</v>
      </c>
      <c r="J419">
        <v>0.72</v>
      </c>
      <c r="K419" s="1">
        <v>43489</v>
      </c>
      <c r="L419" s="2" t="str">
        <f>IF(Sheet1[[#This Row],[age]]&lt;18, "Under 18",IF(Sheet1[[#This Row],[age]]&lt;=30,"18-30",IF(Sheet1[[#This Row],[age]]&lt;=45,"31-45",IF(Sheet1[[#This Row],[age]]&lt;=60,"46-60","60+"))))</f>
        <v>31-45</v>
      </c>
      <c r="M419" s="2" t="str">
        <f>IF(Sheet1[[#This Row],[risk_score]]&lt;0.3,"Low",IF(Sheet1[[#This Row],[risk_score]]&lt;0.7,"Medium","High"))</f>
        <v>High</v>
      </c>
      <c r="N419">
        <f>YEAR(Sheet1[[#This Row],[date_joined]])</f>
        <v>2019</v>
      </c>
      <c r="O419" s="2" t="str">
        <f>TEXT(Sheet1[[#This Row],[date_joined]],"mmm")</f>
        <v>Jan</v>
      </c>
      <c r="P419" s="2" t="str">
        <f>"Q"&amp;ROUNDUP(MONTH(Sheet1[[#This Row],[date_joined]])/3,0)</f>
        <v>Q1</v>
      </c>
      <c r="Q419" s="2" t="str">
        <f>IF(Sheet1[[#This Row],[age]]&lt;30,"Young",IF(Sheet1[[#This Row],[age]]&lt;=50,"Adult","Senior"))</f>
        <v>Adult</v>
      </c>
      <c r="R419" s="2" t="str">
        <f t="shared" si="12"/>
        <v>High</v>
      </c>
      <c r="S419" s="2" t="str">
        <f t="shared" si="13"/>
        <v>East - Self-employed</v>
      </c>
    </row>
    <row r="420" spans="1:19" x14ac:dyDescent="0.3">
      <c r="A420" t="s">
        <v>863</v>
      </c>
      <c r="B420" t="s">
        <v>864</v>
      </c>
      <c r="C420">
        <v>69</v>
      </c>
      <c r="D420" s="2" t="s">
        <v>21</v>
      </c>
      <c r="E420" s="2" t="s">
        <v>30</v>
      </c>
      <c r="F420" s="2" t="s">
        <v>37</v>
      </c>
      <c r="G420" s="2" t="s">
        <v>24</v>
      </c>
      <c r="H420" s="2" t="s">
        <v>17</v>
      </c>
      <c r="I420" s="2" t="s">
        <v>18</v>
      </c>
      <c r="J420">
        <v>0.56999999999999995</v>
      </c>
      <c r="K420" s="1">
        <v>43773</v>
      </c>
      <c r="L420" s="2" t="str">
        <f>IF(Sheet1[[#This Row],[age]]&lt;18, "Under 18",IF(Sheet1[[#This Row],[age]]&lt;=30,"18-30",IF(Sheet1[[#This Row],[age]]&lt;=45,"31-45",IF(Sheet1[[#This Row],[age]]&lt;=60,"46-60","60+"))))</f>
        <v>60+</v>
      </c>
      <c r="M420" s="2" t="str">
        <f>IF(Sheet1[[#This Row],[risk_score]]&lt;0.3,"Low",IF(Sheet1[[#This Row],[risk_score]]&lt;0.7,"Medium","High"))</f>
        <v>Medium</v>
      </c>
      <c r="N420">
        <f>YEAR(Sheet1[[#This Row],[date_joined]])</f>
        <v>2019</v>
      </c>
      <c r="O420" s="2" t="str">
        <f>TEXT(Sheet1[[#This Row],[date_joined]],"mmm")</f>
        <v>Nov</v>
      </c>
      <c r="P420" s="2" t="str">
        <f>"Q"&amp;ROUNDUP(MONTH(Sheet1[[#This Row],[date_joined]])/3,0)</f>
        <v>Q4</v>
      </c>
      <c r="Q420" s="2" t="str">
        <f>IF(Sheet1[[#This Row],[age]]&lt;30,"Young",IF(Sheet1[[#This Row],[age]]&lt;=50,"Adult","Senior"))</f>
        <v>Senior</v>
      </c>
      <c r="R420" s="2" t="str">
        <f t="shared" si="12"/>
        <v>High</v>
      </c>
      <c r="S420" s="2" t="str">
        <f t="shared" si="13"/>
        <v>East - Retired</v>
      </c>
    </row>
    <row r="421" spans="1:19" x14ac:dyDescent="0.3">
      <c r="A421" t="s">
        <v>865</v>
      </c>
      <c r="B421" t="s">
        <v>866</v>
      </c>
      <c r="C421">
        <v>47</v>
      </c>
      <c r="D421" s="2" t="s">
        <v>21</v>
      </c>
      <c r="E421" s="2" t="s">
        <v>22</v>
      </c>
      <c r="F421" s="2" t="s">
        <v>31</v>
      </c>
      <c r="G421" s="2" t="s">
        <v>27</v>
      </c>
      <c r="H421" s="2" t="s">
        <v>17</v>
      </c>
      <c r="I421" s="2" t="s">
        <v>18</v>
      </c>
      <c r="J421">
        <v>0.54</v>
      </c>
      <c r="K421" s="1">
        <v>43310</v>
      </c>
      <c r="L421" s="2" t="str">
        <f>IF(Sheet1[[#This Row],[age]]&lt;18, "Under 18",IF(Sheet1[[#This Row],[age]]&lt;=30,"18-30",IF(Sheet1[[#This Row],[age]]&lt;=45,"31-45",IF(Sheet1[[#This Row],[age]]&lt;=60,"46-60","60+"))))</f>
        <v>46-60</v>
      </c>
      <c r="M421" s="2" t="str">
        <f>IF(Sheet1[[#This Row],[risk_score]]&lt;0.3,"Low",IF(Sheet1[[#This Row],[risk_score]]&lt;0.7,"Medium","High"))</f>
        <v>Medium</v>
      </c>
      <c r="N421">
        <f>YEAR(Sheet1[[#This Row],[date_joined]])</f>
        <v>2018</v>
      </c>
      <c r="O421" s="2" t="str">
        <f>TEXT(Sheet1[[#This Row],[date_joined]],"mmm")</f>
        <v>Jul</v>
      </c>
      <c r="P421" s="2" t="str">
        <f>"Q"&amp;ROUNDUP(MONTH(Sheet1[[#This Row],[date_joined]])/3,0)</f>
        <v>Q3</v>
      </c>
      <c r="Q421" s="2" t="str">
        <f>IF(Sheet1[[#This Row],[age]]&lt;30,"Young",IF(Sheet1[[#This Row],[age]]&lt;=50,"Adult","Senior"))</f>
        <v>Adult</v>
      </c>
      <c r="R421" s="2" t="str">
        <f t="shared" si="12"/>
        <v>High</v>
      </c>
      <c r="S421" s="2" t="str">
        <f t="shared" si="13"/>
        <v>North - Self-employed</v>
      </c>
    </row>
    <row r="422" spans="1:19" x14ac:dyDescent="0.3">
      <c r="A422" t="s">
        <v>867</v>
      </c>
      <c r="B422" t="s">
        <v>868</v>
      </c>
      <c r="C422">
        <v>34</v>
      </c>
      <c r="D422" s="2" t="s">
        <v>13</v>
      </c>
      <c r="E422" s="2" t="s">
        <v>30</v>
      </c>
      <c r="F422" s="2" t="s">
        <v>15</v>
      </c>
      <c r="G422" s="2" t="s">
        <v>32</v>
      </c>
      <c r="H422" s="2" t="s">
        <v>18</v>
      </c>
      <c r="I422" s="2" t="s">
        <v>18</v>
      </c>
      <c r="J422">
        <v>0.45</v>
      </c>
      <c r="K422" s="1">
        <v>43750</v>
      </c>
      <c r="L422" s="2" t="str">
        <f>IF(Sheet1[[#This Row],[age]]&lt;18, "Under 18",IF(Sheet1[[#This Row],[age]]&lt;=30,"18-30",IF(Sheet1[[#This Row],[age]]&lt;=45,"31-45",IF(Sheet1[[#This Row],[age]]&lt;=60,"46-60","60+"))))</f>
        <v>31-45</v>
      </c>
      <c r="M422" s="2" t="str">
        <f>IF(Sheet1[[#This Row],[risk_score]]&lt;0.3,"Low",IF(Sheet1[[#This Row],[risk_score]]&lt;0.7,"Medium","High"))</f>
        <v>Medium</v>
      </c>
      <c r="N422">
        <f>YEAR(Sheet1[[#This Row],[date_joined]])</f>
        <v>2019</v>
      </c>
      <c r="O422" s="2" t="str">
        <f>TEXT(Sheet1[[#This Row],[date_joined]],"mmm")</f>
        <v>Oct</v>
      </c>
      <c r="P422" s="2" t="str">
        <f>"Q"&amp;ROUNDUP(MONTH(Sheet1[[#This Row],[date_joined]])/3,0)</f>
        <v>Q4</v>
      </c>
      <c r="Q422" s="2" t="str">
        <f>IF(Sheet1[[#This Row],[age]]&lt;30,"Young",IF(Sheet1[[#This Row],[age]]&lt;=50,"Adult","Senior"))</f>
        <v>Adult</v>
      </c>
      <c r="R422" s="2" t="str">
        <f t="shared" si="12"/>
        <v>Very High</v>
      </c>
      <c r="S422" s="2" t="str">
        <f t="shared" si="13"/>
        <v>South - Student</v>
      </c>
    </row>
    <row r="423" spans="1:19" x14ac:dyDescent="0.3">
      <c r="A423" t="s">
        <v>869</v>
      </c>
      <c r="B423" t="s">
        <v>870</v>
      </c>
      <c r="C423">
        <v>55</v>
      </c>
      <c r="D423" s="2" t="s">
        <v>13</v>
      </c>
      <c r="E423" s="2" t="s">
        <v>30</v>
      </c>
      <c r="F423" s="2" t="s">
        <v>15</v>
      </c>
      <c r="G423" s="2" t="s">
        <v>32</v>
      </c>
      <c r="H423" s="2" t="s">
        <v>17</v>
      </c>
      <c r="I423" s="2" t="s">
        <v>17</v>
      </c>
      <c r="J423">
        <v>0.37</v>
      </c>
      <c r="K423" s="1">
        <v>43138</v>
      </c>
      <c r="L423" s="2" t="str">
        <f>IF(Sheet1[[#This Row],[age]]&lt;18, "Under 18",IF(Sheet1[[#This Row],[age]]&lt;=30,"18-30",IF(Sheet1[[#This Row],[age]]&lt;=45,"31-45",IF(Sheet1[[#This Row],[age]]&lt;=60,"46-60","60+"))))</f>
        <v>46-60</v>
      </c>
      <c r="M423" s="2" t="str">
        <f>IF(Sheet1[[#This Row],[risk_score]]&lt;0.3,"Low",IF(Sheet1[[#This Row],[risk_score]]&lt;0.7,"Medium","High"))</f>
        <v>Medium</v>
      </c>
      <c r="N423">
        <f>YEAR(Sheet1[[#This Row],[date_joined]])</f>
        <v>2018</v>
      </c>
      <c r="O423" s="2" t="str">
        <f>TEXT(Sheet1[[#This Row],[date_joined]],"mmm")</f>
        <v>Feb</v>
      </c>
      <c r="P423" s="2" t="str">
        <f>"Q"&amp;ROUNDUP(MONTH(Sheet1[[#This Row],[date_joined]])/3,0)</f>
        <v>Q1</v>
      </c>
      <c r="Q423" s="2" t="str">
        <f>IF(Sheet1[[#This Row],[age]]&lt;30,"Young",IF(Sheet1[[#This Row],[age]]&lt;=50,"Adult","Senior"))</f>
        <v>Senior</v>
      </c>
      <c r="R423" s="2" t="str">
        <f t="shared" si="12"/>
        <v>Low</v>
      </c>
      <c r="S423" s="2" t="str">
        <f t="shared" si="13"/>
        <v>South - Student</v>
      </c>
    </row>
    <row r="424" spans="1:19" x14ac:dyDescent="0.3">
      <c r="A424" t="s">
        <v>871</v>
      </c>
      <c r="B424" t="s">
        <v>872</v>
      </c>
      <c r="C424">
        <v>35</v>
      </c>
      <c r="D424" s="2" t="s">
        <v>13</v>
      </c>
      <c r="E424" s="2" t="s">
        <v>22</v>
      </c>
      <c r="F424" s="2" t="s">
        <v>15</v>
      </c>
      <c r="G424" s="2" t="s">
        <v>32</v>
      </c>
      <c r="H424" s="2" t="s">
        <v>17</v>
      </c>
      <c r="I424" s="2" t="s">
        <v>17</v>
      </c>
      <c r="J424">
        <v>0.32</v>
      </c>
      <c r="K424" s="1">
        <v>44681</v>
      </c>
      <c r="L424" s="2" t="str">
        <f>IF(Sheet1[[#This Row],[age]]&lt;18, "Under 18",IF(Sheet1[[#This Row],[age]]&lt;=30,"18-30",IF(Sheet1[[#This Row],[age]]&lt;=45,"31-45",IF(Sheet1[[#This Row],[age]]&lt;=60,"46-60","60+"))))</f>
        <v>31-45</v>
      </c>
      <c r="M424" s="2" t="str">
        <f>IF(Sheet1[[#This Row],[risk_score]]&lt;0.3,"Low",IF(Sheet1[[#This Row],[risk_score]]&lt;0.7,"Medium","High"))</f>
        <v>Medium</v>
      </c>
      <c r="N424">
        <f>YEAR(Sheet1[[#This Row],[date_joined]])</f>
        <v>2022</v>
      </c>
      <c r="O424" s="2" t="str">
        <f>TEXT(Sheet1[[#This Row],[date_joined]],"mmm")</f>
        <v>Apr</v>
      </c>
      <c r="P424" s="2" t="str">
        <f>"Q"&amp;ROUNDUP(MONTH(Sheet1[[#This Row],[date_joined]])/3,0)</f>
        <v>Q2</v>
      </c>
      <c r="Q424" s="2" t="str">
        <f>IF(Sheet1[[#This Row],[age]]&lt;30,"Young",IF(Sheet1[[#This Row],[age]]&lt;=50,"Adult","Senior"))</f>
        <v>Adult</v>
      </c>
      <c r="R424" s="2" t="str">
        <f t="shared" si="12"/>
        <v>Low</v>
      </c>
      <c r="S424" s="2" t="str">
        <f t="shared" si="13"/>
        <v>South - Student</v>
      </c>
    </row>
    <row r="425" spans="1:19" x14ac:dyDescent="0.3">
      <c r="A425" t="s">
        <v>873</v>
      </c>
      <c r="B425" t="s">
        <v>874</v>
      </c>
      <c r="C425">
        <v>45</v>
      </c>
      <c r="D425" s="2" t="s">
        <v>21</v>
      </c>
      <c r="E425" s="2" t="s">
        <v>22</v>
      </c>
      <c r="F425" s="2" t="s">
        <v>31</v>
      </c>
      <c r="G425" s="2" t="s">
        <v>24</v>
      </c>
      <c r="H425" s="2" t="s">
        <v>17</v>
      </c>
      <c r="I425" s="2" t="s">
        <v>17</v>
      </c>
      <c r="J425">
        <v>0.35</v>
      </c>
      <c r="K425" s="1">
        <v>43308</v>
      </c>
      <c r="L425" s="2" t="str">
        <f>IF(Sheet1[[#This Row],[age]]&lt;18, "Under 18",IF(Sheet1[[#This Row],[age]]&lt;=30,"18-30",IF(Sheet1[[#This Row],[age]]&lt;=45,"31-45",IF(Sheet1[[#This Row],[age]]&lt;=60,"46-60","60+"))))</f>
        <v>31-45</v>
      </c>
      <c r="M425" s="2" t="str">
        <f>IF(Sheet1[[#This Row],[risk_score]]&lt;0.3,"Low",IF(Sheet1[[#This Row],[risk_score]]&lt;0.7,"Medium","High"))</f>
        <v>Medium</v>
      </c>
      <c r="N425">
        <f>YEAR(Sheet1[[#This Row],[date_joined]])</f>
        <v>2018</v>
      </c>
      <c r="O425" s="2" t="str">
        <f>TEXT(Sheet1[[#This Row],[date_joined]],"mmm")</f>
        <v>Jul</v>
      </c>
      <c r="P425" s="2" t="str">
        <f>"Q"&amp;ROUNDUP(MONTH(Sheet1[[#This Row],[date_joined]])/3,0)</f>
        <v>Q3</v>
      </c>
      <c r="Q425" s="2" t="str">
        <f>IF(Sheet1[[#This Row],[age]]&lt;30,"Young",IF(Sheet1[[#This Row],[age]]&lt;=50,"Adult","Senior"))</f>
        <v>Adult</v>
      </c>
      <c r="R425" s="2" t="str">
        <f t="shared" si="12"/>
        <v>Low</v>
      </c>
      <c r="S425" s="2" t="str">
        <f t="shared" si="13"/>
        <v>East - Self-employed</v>
      </c>
    </row>
    <row r="426" spans="1:19" x14ac:dyDescent="0.3">
      <c r="A426" t="s">
        <v>875</v>
      </c>
      <c r="B426" t="s">
        <v>876</v>
      </c>
      <c r="C426">
        <v>36</v>
      </c>
      <c r="D426" s="2" t="s">
        <v>13</v>
      </c>
      <c r="E426" s="2" t="s">
        <v>14</v>
      </c>
      <c r="F426" s="2" t="s">
        <v>15</v>
      </c>
      <c r="G426" s="2" t="s">
        <v>32</v>
      </c>
      <c r="H426" s="2" t="s">
        <v>18</v>
      </c>
      <c r="I426" s="2" t="s">
        <v>18</v>
      </c>
      <c r="J426">
        <v>0.86</v>
      </c>
      <c r="K426" s="1">
        <v>44303</v>
      </c>
      <c r="L426" s="2" t="str">
        <f>IF(Sheet1[[#This Row],[age]]&lt;18, "Under 18",IF(Sheet1[[#This Row],[age]]&lt;=30,"18-30",IF(Sheet1[[#This Row],[age]]&lt;=45,"31-45",IF(Sheet1[[#This Row],[age]]&lt;=60,"46-60","60+"))))</f>
        <v>31-45</v>
      </c>
      <c r="M426" s="2" t="str">
        <f>IF(Sheet1[[#This Row],[risk_score]]&lt;0.3,"Low",IF(Sheet1[[#This Row],[risk_score]]&lt;0.7,"Medium","High"))</f>
        <v>High</v>
      </c>
      <c r="N426">
        <f>YEAR(Sheet1[[#This Row],[date_joined]])</f>
        <v>2021</v>
      </c>
      <c r="O426" s="2" t="str">
        <f>TEXT(Sheet1[[#This Row],[date_joined]],"mmm")</f>
        <v>Apr</v>
      </c>
      <c r="P426" s="2" t="str">
        <f>"Q"&amp;ROUNDUP(MONTH(Sheet1[[#This Row],[date_joined]])/3,0)</f>
        <v>Q2</v>
      </c>
      <c r="Q426" s="2" t="str">
        <f>IF(Sheet1[[#This Row],[age]]&lt;30,"Young",IF(Sheet1[[#This Row],[age]]&lt;=50,"Adult","Senior"))</f>
        <v>Adult</v>
      </c>
      <c r="R426" s="2" t="str">
        <f t="shared" si="12"/>
        <v>Very High</v>
      </c>
      <c r="S426" s="2" t="str">
        <f t="shared" si="13"/>
        <v>South - Student</v>
      </c>
    </row>
    <row r="427" spans="1:19" x14ac:dyDescent="0.3">
      <c r="A427" t="s">
        <v>877</v>
      </c>
      <c r="B427" t="s">
        <v>878</v>
      </c>
      <c r="C427">
        <v>50</v>
      </c>
      <c r="D427" s="2" t="s">
        <v>13</v>
      </c>
      <c r="E427" s="2" t="s">
        <v>30</v>
      </c>
      <c r="F427" s="2" t="s">
        <v>31</v>
      </c>
      <c r="G427" s="2" t="s">
        <v>66</v>
      </c>
      <c r="H427" s="2" t="s">
        <v>18</v>
      </c>
      <c r="I427" s="2" t="s">
        <v>18</v>
      </c>
      <c r="J427">
        <v>0.49</v>
      </c>
      <c r="K427" s="1">
        <v>43490</v>
      </c>
      <c r="L427" s="2" t="str">
        <f>IF(Sheet1[[#This Row],[age]]&lt;18, "Under 18",IF(Sheet1[[#This Row],[age]]&lt;=30,"18-30",IF(Sheet1[[#This Row],[age]]&lt;=45,"31-45",IF(Sheet1[[#This Row],[age]]&lt;=60,"46-60","60+"))))</f>
        <v>46-60</v>
      </c>
      <c r="M427" s="2" t="str">
        <f>IF(Sheet1[[#This Row],[risk_score]]&lt;0.3,"Low",IF(Sheet1[[#This Row],[risk_score]]&lt;0.7,"Medium","High"))</f>
        <v>Medium</v>
      </c>
      <c r="N427">
        <f>YEAR(Sheet1[[#This Row],[date_joined]])</f>
        <v>2019</v>
      </c>
      <c r="O427" s="2" t="str">
        <f>TEXT(Sheet1[[#This Row],[date_joined]],"mmm")</f>
        <v>Jan</v>
      </c>
      <c r="P427" s="2" t="str">
        <f>"Q"&amp;ROUNDUP(MONTH(Sheet1[[#This Row],[date_joined]])/3,0)</f>
        <v>Q1</v>
      </c>
      <c r="Q427" s="2" t="str">
        <f>IF(Sheet1[[#This Row],[age]]&lt;30,"Young",IF(Sheet1[[#This Row],[age]]&lt;=50,"Adult","Senior"))</f>
        <v>Adult</v>
      </c>
      <c r="R427" s="2" t="str">
        <f t="shared" si="12"/>
        <v>Very High</v>
      </c>
      <c r="S427" s="2" t="str">
        <f t="shared" si="13"/>
        <v>North-East - Self-employed</v>
      </c>
    </row>
    <row r="428" spans="1:19" x14ac:dyDescent="0.3">
      <c r="A428" t="s">
        <v>879</v>
      </c>
      <c r="B428" t="s">
        <v>880</v>
      </c>
      <c r="C428">
        <v>60</v>
      </c>
      <c r="D428" s="2" t="s">
        <v>21</v>
      </c>
      <c r="E428" s="2" t="s">
        <v>22</v>
      </c>
      <c r="F428" s="2" t="s">
        <v>15</v>
      </c>
      <c r="G428" s="2" t="s">
        <v>27</v>
      </c>
      <c r="H428" s="2" t="s">
        <v>18</v>
      </c>
      <c r="I428" s="2" t="s">
        <v>17</v>
      </c>
      <c r="J428">
        <v>0.55000000000000004</v>
      </c>
      <c r="K428" s="1">
        <v>44799</v>
      </c>
      <c r="L428" s="2" t="str">
        <f>IF(Sheet1[[#This Row],[age]]&lt;18, "Under 18",IF(Sheet1[[#This Row],[age]]&lt;=30,"18-30",IF(Sheet1[[#This Row],[age]]&lt;=45,"31-45",IF(Sheet1[[#This Row],[age]]&lt;=60,"46-60","60+"))))</f>
        <v>46-60</v>
      </c>
      <c r="M428" s="2" t="str">
        <f>IF(Sheet1[[#This Row],[risk_score]]&lt;0.3,"Low",IF(Sheet1[[#This Row],[risk_score]]&lt;0.7,"Medium","High"))</f>
        <v>Medium</v>
      </c>
      <c r="N428">
        <f>YEAR(Sheet1[[#This Row],[date_joined]])</f>
        <v>2022</v>
      </c>
      <c r="O428" s="2" t="str">
        <f>TEXT(Sheet1[[#This Row],[date_joined]],"mmm")</f>
        <v>Aug</v>
      </c>
      <c r="P428" s="2" t="str">
        <f>"Q"&amp;ROUNDUP(MONTH(Sheet1[[#This Row],[date_joined]])/3,0)</f>
        <v>Q3</v>
      </c>
      <c r="Q428" s="2" t="str">
        <f>IF(Sheet1[[#This Row],[age]]&lt;30,"Young",IF(Sheet1[[#This Row],[age]]&lt;=50,"Adult","Senior"))</f>
        <v>Senior</v>
      </c>
      <c r="R428" s="2" t="str">
        <f t="shared" si="12"/>
        <v>High</v>
      </c>
      <c r="S428" s="2" t="str">
        <f t="shared" si="13"/>
        <v>North - Student</v>
      </c>
    </row>
    <row r="429" spans="1:19" x14ac:dyDescent="0.3">
      <c r="A429" t="s">
        <v>881</v>
      </c>
      <c r="B429" t="s">
        <v>882</v>
      </c>
      <c r="C429">
        <v>29</v>
      </c>
      <c r="D429" s="2" t="s">
        <v>13</v>
      </c>
      <c r="E429" s="2" t="s">
        <v>22</v>
      </c>
      <c r="F429" s="2" t="s">
        <v>23</v>
      </c>
      <c r="G429" s="2" t="s">
        <v>32</v>
      </c>
      <c r="H429" s="2" t="s">
        <v>17</v>
      </c>
      <c r="I429" s="2" t="s">
        <v>18</v>
      </c>
      <c r="J429">
        <v>0.56000000000000005</v>
      </c>
      <c r="K429" s="1">
        <v>44314</v>
      </c>
      <c r="L429" s="2" t="str">
        <f>IF(Sheet1[[#This Row],[age]]&lt;18, "Under 18",IF(Sheet1[[#This Row],[age]]&lt;=30,"18-30",IF(Sheet1[[#This Row],[age]]&lt;=45,"31-45",IF(Sheet1[[#This Row],[age]]&lt;=60,"46-60","60+"))))</f>
        <v>18-30</v>
      </c>
      <c r="M429" s="2" t="str">
        <f>IF(Sheet1[[#This Row],[risk_score]]&lt;0.3,"Low",IF(Sheet1[[#This Row],[risk_score]]&lt;0.7,"Medium","High"))</f>
        <v>Medium</v>
      </c>
      <c r="N429">
        <f>YEAR(Sheet1[[#This Row],[date_joined]])</f>
        <v>2021</v>
      </c>
      <c r="O429" s="2" t="str">
        <f>TEXT(Sheet1[[#This Row],[date_joined]],"mmm")</f>
        <v>Apr</v>
      </c>
      <c r="P429" s="2" t="str">
        <f>"Q"&amp;ROUNDUP(MONTH(Sheet1[[#This Row],[date_joined]])/3,0)</f>
        <v>Q2</v>
      </c>
      <c r="Q429" s="2" t="str">
        <f>IF(Sheet1[[#This Row],[age]]&lt;30,"Young",IF(Sheet1[[#This Row],[age]]&lt;=50,"Adult","Senior"))</f>
        <v>Young</v>
      </c>
      <c r="R429" s="2" t="str">
        <f t="shared" si="12"/>
        <v>High</v>
      </c>
      <c r="S429" s="2" t="str">
        <f t="shared" si="13"/>
        <v>South - Salaried</v>
      </c>
    </row>
    <row r="430" spans="1:19" x14ac:dyDescent="0.3">
      <c r="A430" t="s">
        <v>883</v>
      </c>
      <c r="B430" t="s">
        <v>884</v>
      </c>
      <c r="C430">
        <v>43</v>
      </c>
      <c r="D430" s="2" t="s">
        <v>21</v>
      </c>
      <c r="E430" s="2" t="s">
        <v>22</v>
      </c>
      <c r="F430" s="2" t="s">
        <v>23</v>
      </c>
      <c r="G430" s="2" t="s">
        <v>66</v>
      </c>
      <c r="H430" s="2" t="s">
        <v>18</v>
      </c>
      <c r="I430" s="2" t="s">
        <v>17</v>
      </c>
      <c r="J430">
        <v>0.53</v>
      </c>
      <c r="K430" s="1">
        <v>44173</v>
      </c>
      <c r="L430" s="2" t="str">
        <f>IF(Sheet1[[#This Row],[age]]&lt;18, "Under 18",IF(Sheet1[[#This Row],[age]]&lt;=30,"18-30",IF(Sheet1[[#This Row],[age]]&lt;=45,"31-45",IF(Sheet1[[#This Row],[age]]&lt;=60,"46-60","60+"))))</f>
        <v>31-45</v>
      </c>
      <c r="M430" s="2" t="str">
        <f>IF(Sheet1[[#This Row],[risk_score]]&lt;0.3,"Low",IF(Sheet1[[#This Row],[risk_score]]&lt;0.7,"Medium","High"))</f>
        <v>Medium</v>
      </c>
      <c r="N430">
        <f>YEAR(Sheet1[[#This Row],[date_joined]])</f>
        <v>2020</v>
      </c>
      <c r="O430" s="2" t="str">
        <f>TEXT(Sheet1[[#This Row],[date_joined]],"mmm")</f>
        <v>Dec</v>
      </c>
      <c r="P430" s="2" t="str">
        <f>"Q"&amp;ROUNDUP(MONTH(Sheet1[[#This Row],[date_joined]])/3,0)</f>
        <v>Q4</v>
      </c>
      <c r="Q430" s="2" t="str">
        <f>IF(Sheet1[[#This Row],[age]]&lt;30,"Young",IF(Sheet1[[#This Row],[age]]&lt;=50,"Adult","Senior"))</f>
        <v>Adult</v>
      </c>
      <c r="R430" s="2" t="str">
        <f t="shared" si="12"/>
        <v>High</v>
      </c>
      <c r="S430" s="2" t="str">
        <f t="shared" si="13"/>
        <v>North-East - Salaried</v>
      </c>
    </row>
    <row r="431" spans="1:19" x14ac:dyDescent="0.3">
      <c r="A431" t="s">
        <v>885</v>
      </c>
      <c r="B431" t="s">
        <v>886</v>
      </c>
      <c r="C431">
        <v>54</v>
      </c>
      <c r="D431" s="2" t="s">
        <v>21</v>
      </c>
      <c r="E431" s="2" t="s">
        <v>14</v>
      </c>
      <c r="F431" s="2" t="s">
        <v>23</v>
      </c>
      <c r="G431" s="2" t="s">
        <v>66</v>
      </c>
      <c r="H431" s="2" t="s">
        <v>17</v>
      </c>
      <c r="I431" s="2" t="s">
        <v>18</v>
      </c>
      <c r="J431">
        <v>0.85</v>
      </c>
      <c r="K431" s="1">
        <v>44380</v>
      </c>
      <c r="L431" s="2" t="str">
        <f>IF(Sheet1[[#This Row],[age]]&lt;18, "Under 18",IF(Sheet1[[#This Row],[age]]&lt;=30,"18-30",IF(Sheet1[[#This Row],[age]]&lt;=45,"31-45",IF(Sheet1[[#This Row],[age]]&lt;=60,"46-60","60+"))))</f>
        <v>46-60</v>
      </c>
      <c r="M431" s="2" t="str">
        <f>IF(Sheet1[[#This Row],[risk_score]]&lt;0.3,"Low",IF(Sheet1[[#This Row],[risk_score]]&lt;0.7,"Medium","High"))</f>
        <v>High</v>
      </c>
      <c r="N431">
        <f>YEAR(Sheet1[[#This Row],[date_joined]])</f>
        <v>2021</v>
      </c>
      <c r="O431" s="2" t="str">
        <f>TEXT(Sheet1[[#This Row],[date_joined]],"mmm")</f>
        <v>Jul</v>
      </c>
      <c r="P431" s="2" t="str">
        <f>"Q"&amp;ROUNDUP(MONTH(Sheet1[[#This Row],[date_joined]])/3,0)</f>
        <v>Q3</v>
      </c>
      <c r="Q431" s="2" t="str">
        <f>IF(Sheet1[[#This Row],[age]]&lt;30,"Young",IF(Sheet1[[#This Row],[age]]&lt;=50,"Adult","Senior"))</f>
        <v>Senior</v>
      </c>
      <c r="R431" s="2" t="str">
        <f t="shared" si="12"/>
        <v>High</v>
      </c>
      <c r="S431" s="2" t="str">
        <f t="shared" si="13"/>
        <v>North-East - Salaried</v>
      </c>
    </row>
    <row r="432" spans="1:19" x14ac:dyDescent="0.3">
      <c r="A432" t="s">
        <v>887</v>
      </c>
      <c r="B432" t="s">
        <v>888</v>
      </c>
      <c r="C432">
        <v>21</v>
      </c>
      <c r="D432" s="2" t="s">
        <v>21</v>
      </c>
      <c r="E432" s="2" t="s">
        <v>14</v>
      </c>
      <c r="F432" s="2" t="s">
        <v>23</v>
      </c>
      <c r="G432" s="2" t="s">
        <v>16</v>
      </c>
      <c r="H432" s="2" t="s">
        <v>17</v>
      </c>
      <c r="I432" s="2" t="s">
        <v>17</v>
      </c>
      <c r="J432">
        <v>0.35</v>
      </c>
      <c r="K432" s="1">
        <v>44280</v>
      </c>
      <c r="L432" s="2" t="str">
        <f>IF(Sheet1[[#This Row],[age]]&lt;18, "Under 18",IF(Sheet1[[#This Row],[age]]&lt;=30,"18-30",IF(Sheet1[[#This Row],[age]]&lt;=45,"31-45",IF(Sheet1[[#This Row],[age]]&lt;=60,"46-60","60+"))))</f>
        <v>18-30</v>
      </c>
      <c r="M432" s="2" t="str">
        <f>IF(Sheet1[[#This Row],[risk_score]]&lt;0.3,"Low",IF(Sheet1[[#This Row],[risk_score]]&lt;0.7,"Medium","High"))</f>
        <v>Medium</v>
      </c>
      <c r="N432">
        <f>YEAR(Sheet1[[#This Row],[date_joined]])</f>
        <v>2021</v>
      </c>
      <c r="O432" s="2" t="str">
        <f>TEXT(Sheet1[[#This Row],[date_joined]],"mmm")</f>
        <v>Mar</v>
      </c>
      <c r="P432" s="2" t="str">
        <f>"Q"&amp;ROUNDUP(MONTH(Sheet1[[#This Row],[date_joined]])/3,0)</f>
        <v>Q1</v>
      </c>
      <c r="Q432" s="2" t="str">
        <f>IF(Sheet1[[#This Row],[age]]&lt;30,"Young",IF(Sheet1[[#This Row],[age]]&lt;=50,"Adult","Senior"))</f>
        <v>Young</v>
      </c>
      <c r="R432" s="2" t="str">
        <f t="shared" si="12"/>
        <v>Low</v>
      </c>
      <c r="S432" s="2" t="str">
        <f t="shared" si="13"/>
        <v>West - Salaried</v>
      </c>
    </row>
    <row r="433" spans="1:19" x14ac:dyDescent="0.3">
      <c r="A433" t="s">
        <v>889</v>
      </c>
      <c r="B433" t="s">
        <v>890</v>
      </c>
      <c r="C433">
        <v>33</v>
      </c>
      <c r="D433" s="2" t="s">
        <v>13</v>
      </c>
      <c r="E433" s="2" t="s">
        <v>14</v>
      </c>
      <c r="F433" s="2" t="s">
        <v>37</v>
      </c>
      <c r="G433" s="2" t="s">
        <v>32</v>
      </c>
      <c r="H433" s="2" t="s">
        <v>18</v>
      </c>
      <c r="I433" s="2" t="s">
        <v>18</v>
      </c>
      <c r="J433">
        <v>0.25</v>
      </c>
      <c r="K433" s="1">
        <v>44520</v>
      </c>
      <c r="L433" s="2" t="str">
        <f>IF(Sheet1[[#This Row],[age]]&lt;18, "Under 18",IF(Sheet1[[#This Row],[age]]&lt;=30,"18-30",IF(Sheet1[[#This Row],[age]]&lt;=45,"31-45",IF(Sheet1[[#This Row],[age]]&lt;=60,"46-60","60+"))))</f>
        <v>31-45</v>
      </c>
      <c r="M433" s="2" t="str">
        <f>IF(Sheet1[[#This Row],[risk_score]]&lt;0.3,"Low",IF(Sheet1[[#This Row],[risk_score]]&lt;0.7,"Medium","High"))</f>
        <v>Low</v>
      </c>
      <c r="N433">
        <f>YEAR(Sheet1[[#This Row],[date_joined]])</f>
        <v>2021</v>
      </c>
      <c r="O433" s="2" t="str">
        <f>TEXT(Sheet1[[#This Row],[date_joined]],"mmm")</f>
        <v>Nov</v>
      </c>
      <c r="P433" s="2" t="str">
        <f>"Q"&amp;ROUNDUP(MONTH(Sheet1[[#This Row],[date_joined]])/3,0)</f>
        <v>Q4</v>
      </c>
      <c r="Q433" s="2" t="str">
        <f>IF(Sheet1[[#This Row],[age]]&lt;30,"Young",IF(Sheet1[[#This Row],[age]]&lt;=50,"Adult","Senior"))</f>
        <v>Adult</v>
      </c>
      <c r="R433" s="2" t="str">
        <f t="shared" si="12"/>
        <v>Very High</v>
      </c>
      <c r="S433" s="2" t="str">
        <f t="shared" si="13"/>
        <v>South - Retired</v>
      </c>
    </row>
    <row r="434" spans="1:19" x14ac:dyDescent="0.3">
      <c r="A434" t="s">
        <v>891</v>
      </c>
      <c r="B434" t="s">
        <v>892</v>
      </c>
      <c r="C434">
        <v>44</v>
      </c>
      <c r="D434" s="2" t="s">
        <v>13</v>
      </c>
      <c r="E434" s="2" t="s">
        <v>22</v>
      </c>
      <c r="F434" s="2" t="s">
        <v>15</v>
      </c>
      <c r="G434" s="2" t="s">
        <v>32</v>
      </c>
      <c r="H434" s="2" t="s">
        <v>17</v>
      </c>
      <c r="I434" s="2" t="s">
        <v>18</v>
      </c>
      <c r="J434">
        <v>0.54</v>
      </c>
      <c r="K434" s="1">
        <v>43792</v>
      </c>
      <c r="L434" s="2" t="str">
        <f>IF(Sheet1[[#This Row],[age]]&lt;18, "Under 18",IF(Sheet1[[#This Row],[age]]&lt;=30,"18-30",IF(Sheet1[[#This Row],[age]]&lt;=45,"31-45",IF(Sheet1[[#This Row],[age]]&lt;=60,"46-60","60+"))))</f>
        <v>31-45</v>
      </c>
      <c r="M434" s="2" t="str">
        <f>IF(Sheet1[[#This Row],[risk_score]]&lt;0.3,"Low",IF(Sheet1[[#This Row],[risk_score]]&lt;0.7,"Medium","High"))</f>
        <v>Medium</v>
      </c>
      <c r="N434">
        <f>YEAR(Sheet1[[#This Row],[date_joined]])</f>
        <v>2019</v>
      </c>
      <c r="O434" s="2" t="str">
        <f>TEXT(Sheet1[[#This Row],[date_joined]],"mmm")</f>
        <v>Nov</v>
      </c>
      <c r="P434" s="2" t="str">
        <f>"Q"&amp;ROUNDUP(MONTH(Sheet1[[#This Row],[date_joined]])/3,0)</f>
        <v>Q4</v>
      </c>
      <c r="Q434" s="2" t="str">
        <f>IF(Sheet1[[#This Row],[age]]&lt;30,"Young",IF(Sheet1[[#This Row],[age]]&lt;=50,"Adult","Senior"))</f>
        <v>Adult</v>
      </c>
      <c r="R434" s="2" t="str">
        <f t="shared" si="12"/>
        <v>High</v>
      </c>
      <c r="S434" s="2" t="str">
        <f t="shared" si="13"/>
        <v>South - Student</v>
      </c>
    </row>
    <row r="435" spans="1:19" x14ac:dyDescent="0.3">
      <c r="A435" t="s">
        <v>893</v>
      </c>
      <c r="B435" t="s">
        <v>894</v>
      </c>
      <c r="C435">
        <v>65</v>
      </c>
      <c r="D435" s="2" t="s">
        <v>13</v>
      </c>
      <c r="E435" s="2" t="s">
        <v>22</v>
      </c>
      <c r="F435" s="2" t="s">
        <v>23</v>
      </c>
      <c r="G435" s="2" t="s">
        <v>24</v>
      </c>
      <c r="H435" s="2" t="s">
        <v>18</v>
      </c>
      <c r="I435" s="2" t="s">
        <v>17</v>
      </c>
      <c r="J435">
        <v>0.72</v>
      </c>
      <c r="K435" s="1">
        <v>44877</v>
      </c>
      <c r="L435" s="2" t="str">
        <f>IF(Sheet1[[#This Row],[age]]&lt;18, "Under 18",IF(Sheet1[[#This Row],[age]]&lt;=30,"18-30",IF(Sheet1[[#This Row],[age]]&lt;=45,"31-45",IF(Sheet1[[#This Row],[age]]&lt;=60,"46-60","60+"))))</f>
        <v>60+</v>
      </c>
      <c r="M435" s="2" t="str">
        <f>IF(Sheet1[[#This Row],[risk_score]]&lt;0.3,"Low",IF(Sheet1[[#This Row],[risk_score]]&lt;0.7,"Medium","High"))</f>
        <v>High</v>
      </c>
      <c r="N435">
        <f>YEAR(Sheet1[[#This Row],[date_joined]])</f>
        <v>2022</v>
      </c>
      <c r="O435" s="2" t="str">
        <f>TEXT(Sheet1[[#This Row],[date_joined]],"mmm")</f>
        <v>Nov</v>
      </c>
      <c r="P435" s="2" t="str">
        <f>"Q"&amp;ROUNDUP(MONTH(Sheet1[[#This Row],[date_joined]])/3,0)</f>
        <v>Q4</v>
      </c>
      <c r="Q435" s="2" t="str">
        <f>IF(Sheet1[[#This Row],[age]]&lt;30,"Young",IF(Sheet1[[#This Row],[age]]&lt;=50,"Adult","Senior"))</f>
        <v>Senior</v>
      </c>
      <c r="R435" s="2" t="str">
        <f t="shared" si="12"/>
        <v>High</v>
      </c>
      <c r="S435" s="2" t="str">
        <f t="shared" si="13"/>
        <v>East - Salaried</v>
      </c>
    </row>
    <row r="436" spans="1:19" x14ac:dyDescent="0.3">
      <c r="A436" t="s">
        <v>895</v>
      </c>
      <c r="B436" t="s">
        <v>896</v>
      </c>
      <c r="C436">
        <v>39</v>
      </c>
      <c r="D436" s="2" t="s">
        <v>21</v>
      </c>
      <c r="E436" s="2" t="s">
        <v>14</v>
      </c>
      <c r="F436" s="2" t="s">
        <v>37</v>
      </c>
      <c r="G436" s="2" t="s">
        <v>81</v>
      </c>
      <c r="H436" s="2" t="s">
        <v>17</v>
      </c>
      <c r="I436" s="2" t="s">
        <v>18</v>
      </c>
      <c r="J436">
        <v>0.28000000000000003</v>
      </c>
      <c r="K436" s="1">
        <v>44011</v>
      </c>
      <c r="L436" s="2" t="str">
        <f>IF(Sheet1[[#This Row],[age]]&lt;18, "Under 18",IF(Sheet1[[#This Row],[age]]&lt;=30,"18-30",IF(Sheet1[[#This Row],[age]]&lt;=45,"31-45",IF(Sheet1[[#This Row],[age]]&lt;=60,"46-60","60+"))))</f>
        <v>31-45</v>
      </c>
      <c r="M436" s="2" t="str">
        <f>IF(Sheet1[[#This Row],[risk_score]]&lt;0.3,"Low",IF(Sheet1[[#This Row],[risk_score]]&lt;0.7,"Medium","High"))</f>
        <v>Low</v>
      </c>
      <c r="N436">
        <f>YEAR(Sheet1[[#This Row],[date_joined]])</f>
        <v>2020</v>
      </c>
      <c r="O436" s="2" t="str">
        <f>TEXT(Sheet1[[#This Row],[date_joined]],"mmm")</f>
        <v>Jun</v>
      </c>
      <c r="P436" s="2" t="str">
        <f>"Q"&amp;ROUNDUP(MONTH(Sheet1[[#This Row],[date_joined]])/3,0)</f>
        <v>Q2</v>
      </c>
      <c r="Q436" s="2" t="str">
        <f>IF(Sheet1[[#This Row],[age]]&lt;30,"Young",IF(Sheet1[[#This Row],[age]]&lt;=50,"Adult","Senior"))</f>
        <v>Adult</v>
      </c>
      <c r="R436" s="2" t="str">
        <f t="shared" si="12"/>
        <v>High</v>
      </c>
      <c r="S436" s="2" t="str">
        <f t="shared" si="13"/>
        <v>Central - Retired</v>
      </c>
    </row>
    <row r="437" spans="1:19" x14ac:dyDescent="0.3">
      <c r="A437" t="s">
        <v>897</v>
      </c>
      <c r="B437" t="s">
        <v>898</v>
      </c>
      <c r="C437">
        <v>46</v>
      </c>
      <c r="D437" s="2" t="s">
        <v>13</v>
      </c>
      <c r="E437" s="2" t="s">
        <v>14</v>
      </c>
      <c r="F437" s="2" t="s">
        <v>15</v>
      </c>
      <c r="G437" s="2" t="s">
        <v>27</v>
      </c>
      <c r="H437" s="2" t="s">
        <v>17</v>
      </c>
      <c r="I437" s="2" t="s">
        <v>17</v>
      </c>
      <c r="J437">
        <v>1</v>
      </c>
      <c r="K437" s="1">
        <v>44398</v>
      </c>
      <c r="L437" s="2" t="str">
        <f>IF(Sheet1[[#This Row],[age]]&lt;18, "Under 18",IF(Sheet1[[#This Row],[age]]&lt;=30,"18-30",IF(Sheet1[[#This Row],[age]]&lt;=45,"31-45",IF(Sheet1[[#This Row],[age]]&lt;=60,"46-60","60+"))))</f>
        <v>46-60</v>
      </c>
      <c r="M437" s="2" t="str">
        <f>IF(Sheet1[[#This Row],[risk_score]]&lt;0.3,"Low",IF(Sheet1[[#This Row],[risk_score]]&lt;0.7,"Medium","High"))</f>
        <v>High</v>
      </c>
      <c r="N437">
        <f>YEAR(Sheet1[[#This Row],[date_joined]])</f>
        <v>2021</v>
      </c>
      <c r="O437" s="2" t="str">
        <f>TEXT(Sheet1[[#This Row],[date_joined]],"mmm")</f>
        <v>Jul</v>
      </c>
      <c r="P437" s="2" t="str">
        <f>"Q"&amp;ROUNDUP(MONTH(Sheet1[[#This Row],[date_joined]])/3,0)</f>
        <v>Q3</v>
      </c>
      <c r="Q437" s="2" t="str">
        <f>IF(Sheet1[[#This Row],[age]]&lt;30,"Young",IF(Sheet1[[#This Row],[age]]&lt;=50,"Adult","Senior"))</f>
        <v>Adult</v>
      </c>
      <c r="R437" s="2" t="str">
        <f t="shared" si="12"/>
        <v>Low</v>
      </c>
      <c r="S437" s="2" t="str">
        <f t="shared" si="13"/>
        <v>North - Student</v>
      </c>
    </row>
    <row r="438" spans="1:19" x14ac:dyDescent="0.3">
      <c r="A438" t="s">
        <v>899</v>
      </c>
      <c r="B438" t="s">
        <v>900</v>
      </c>
      <c r="C438">
        <v>38</v>
      </c>
      <c r="D438" s="2" t="s">
        <v>21</v>
      </c>
      <c r="E438" s="2" t="s">
        <v>30</v>
      </c>
      <c r="F438" s="2" t="s">
        <v>23</v>
      </c>
      <c r="G438" s="2" t="s">
        <v>32</v>
      </c>
      <c r="H438" s="2" t="s">
        <v>18</v>
      </c>
      <c r="I438" s="2" t="s">
        <v>17</v>
      </c>
      <c r="J438">
        <v>0.35</v>
      </c>
      <c r="K438" s="1">
        <v>43829</v>
      </c>
      <c r="L438" s="2" t="str">
        <f>IF(Sheet1[[#This Row],[age]]&lt;18, "Under 18",IF(Sheet1[[#This Row],[age]]&lt;=30,"18-30",IF(Sheet1[[#This Row],[age]]&lt;=45,"31-45",IF(Sheet1[[#This Row],[age]]&lt;=60,"46-60","60+"))))</f>
        <v>31-45</v>
      </c>
      <c r="M438" s="2" t="str">
        <f>IF(Sheet1[[#This Row],[risk_score]]&lt;0.3,"Low",IF(Sheet1[[#This Row],[risk_score]]&lt;0.7,"Medium","High"))</f>
        <v>Medium</v>
      </c>
      <c r="N438">
        <f>YEAR(Sheet1[[#This Row],[date_joined]])</f>
        <v>2019</v>
      </c>
      <c r="O438" s="2" t="str">
        <f>TEXT(Sheet1[[#This Row],[date_joined]],"mmm")</f>
        <v>Dec</v>
      </c>
      <c r="P438" s="2" t="str">
        <f>"Q"&amp;ROUNDUP(MONTH(Sheet1[[#This Row],[date_joined]])/3,0)</f>
        <v>Q4</v>
      </c>
      <c r="Q438" s="2" t="str">
        <f>IF(Sheet1[[#This Row],[age]]&lt;30,"Young",IF(Sheet1[[#This Row],[age]]&lt;=50,"Adult","Senior"))</f>
        <v>Adult</v>
      </c>
      <c r="R438" s="2" t="str">
        <f t="shared" si="12"/>
        <v>High</v>
      </c>
      <c r="S438" s="2" t="str">
        <f t="shared" si="13"/>
        <v>South - Salaried</v>
      </c>
    </row>
    <row r="439" spans="1:19" x14ac:dyDescent="0.3">
      <c r="A439" t="s">
        <v>901</v>
      </c>
      <c r="B439" t="s">
        <v>902</v>
      </c>
      <c r="C439">
        <v>47</v>
      </c>
      <c r="D439" s="2" t="s">
        <v>13</v>
      </c>
      <c r="E439" s="2" t="s">
        <v>14</v>
      </c>
      <c r="F439" s="2" t="s">
        <v>31</v>
      </c>
      <c r="G439" s="2" t="s">
        <v>16</v>
      </c>
      <c r="H439" s="2" t="s">
        <v>17</v>
      </c>
      <c r="I439" s="2" t="s">
        <v>18</v>
      </c>
      <c r="J439">
        <v>0.33</v>
      </c>
      <c r="K439" s="1">
        <v>44469</v>
      </c>
      <c r="L439" s="2" t="str">
        <f>IF(Sheet1[[#This Row],[age]]&lt;18, "Under 18",IF(Sheet1[[#This Row],[age]]&lt;=30,"18-30",IF(Sheet1[[#This Row],[age]]&lt;=45,"31-45",IF(Sheet1[[#This Row],[age]]&lt;=60,"46-60","60+"))))</f>
        <v>46-60</v>
      </c>
      <c r="M439" s="2" t="str">
        <f>IF(Sheet1[[#This Row],[risk_score]]&lt;0.3,"Low",IF(Sheet1[[#This Row],[risk_score]]&lt;0.7,"Medium","High"))</f>
        <v>Medium</v>
      </c>
      <c r="N439">
        <f>YEAR(Sheet1[[#This Row],[date_joined]])</f>
        <v>2021</v>
      </c>
      <c r="O439" s="2" t="str">
        <f>TEXT(Sheet1[[#This Row],[date_joined]],"mmm")</f>
        <v>Sep</v>
      </c>
      <c r="P439" s="2" t="str">
        <f>"Q"&amp;ROUNDUP(MONTH(Sheet1[[#This Row],[date_joined]])/3,0)</f>
        <v>Q3</v>
      </c>
      <c r="Q439" s="2" t="str">
        <f>IF(Sheet1[[#This Row],[age]]&lt;30,"Young",IF(Sheet1[[#This Row],[age]]&lt;=50,"Adult","Senior"))</f>
        <v>Adult</v>
      </c>
      <c r="R439" s="2" t="str">
        <f t="shared" si="12"/>
        <v>High</v>
      </c>
      <c r="S439" s="2" t="str">
        <f t="shared" si="13"/>
        <v>West - Self-employed</v>
      </c>
    </row>
    <row r="440" spans="1:19" x14ac:dyDescent="0.3">
      <c r="A440" t="s">
        <v>903</v>
      </c>
      <c r="B440" t="s">
        <v>904</v>
      </c>
      <c r="C440">
        <v>27</v>
      </c>
      <c r="D440" s="2" t="s">
        <v>13</v>
      </c>
      <c r="E440" s="2" t="s">
        <v>30</v>
      </c>
      <c r="F440" s="2" t="s">
        <v>23</v>
      </c>
      <c r="G440" s="2" t="s">
        <v>16</v>
      </c>
      <c r="H440" s="2" t="s">
        <v>18</v>
      </c>
      <c r="I440" s="2" t="s">
        <v>18</v>
      </c>
      <c r="J440">
        <v>0.56000000000000005</v>
      </c>
      <c r="K440" s="1">
        <v>44241</v>
      </c>
      <c r="L440" s="2" t="str">
        <f>IF(Sheet1[[#This Row],[age]]&lt;18, "Under 18",IF(Sheet1[[#This Row],[age]]&lt;=30,"18-30",IF(Sheet1[[#This Row],[age]]&lt;=45,"31-45",IF(Sheet1[[#This Row],[age]]&lt;=60,"46-60","60+"))))</f>
        <v>18-30</v>
      </c>
      <c r="M440" s="2" t="str">
        <f>IF(Sheet1[[#This Row],[risk_score]]&lt;0.3,"Low",IF(Sheet1[[#This Row],[risk_score]]&lt;0.7,"Medium","High"))</f>
        <v>Medium</v>
      </c>
      <c r="N440">
        <f>YEAR(Sheet1[[#This Row],[date_joined]])</f>
        <v>2021</v>
      </c>
      <c r="O440" s="2" t="str">
        <f>TEXT(Sheet1[[#This Row],[date_joined]],"mmm")</f>
        <v>Feb</v>
      </c>
      <c r="P440" s="2" t="str">
        <f>"Q"&amp;ROUNDUP(MONTH(Sheet1[[#This Row],[date_joined]])/3,0)</f>
        <v>Q1</v>
      </c>
      <c r="Q440" s="2" t="str">
        <f>IF(Sheet1[[#This Row],[age]]&lt;30,"Young",IF(Sheet1[[#This Row],[age]]&lt;=50,"Adult","Senior"))</f>
        <v>Young</v>
      </c>
      <c r="R440" s="2" t="str">
        <f t="shared" si="12"/>
        <v>Very High</v>
      </c>
      <c r="S440" s="2" t="str">
        <f t="shared" si="13"/>
        <v>West - Salaried</v>
      </c>
    </row>
    <row r="441" spans="1:19" x14ac:dyDescent="0.3">
      <c r="A441" t="s">
        <v>905</v>
      </c>
      <c r="B441" t="s">
        <v>906</v>
      </c>
      <c r="C441">
        <v>49</v>
      </c>
      <c r="D441" s="2" t="s">
        <v>13</v>
      </c>
      <c r="E441" s="2" t="s">
        <v>14</v>
      </c>
      <c r="F441" s="2" t="s">
        <v>37</v>
      </c>
      <c r="G441" s="2" t="s">
        <v>32</v>
      </c>
      <c r="H441" s="2" t="s">
        <v>18</v>
      </c>
      <c r="I441" s="2" t="s">
        <v>18</v>
      </c>
      <c r="J441">
        <v>0.67</v>
      </c>
      <c r="K441" s="1">
        <v>43792</v>
      </c>
      <c r="L441" s="2" t="str">
        <f>IF(Sheet1[[#This Row],[age]]&lt;18, "Under 18",IF(Sheet1[[#This Row],[age]]&lt;=30,"18-30",IF(Sheet1[[#This Row],[age]]&lt;=45,"31-45",IF(Sheet1[[#This Row],[age]]&lt;=60,"46-60","60+"))))</f>
        <v>46-60</v>
      </c>
      <c r="M441" s="2" t="str">
        <f>IF(Sheet1[[#This Row],[risk_score]]&lt;0.3,"Low",IF(Sheet1[[#This Row],[risk_score]]&lt;0.7,"Medium","High"))</f>
        <v>Medium</v>
      </c>
      <c r="N441">
        <f>YEAR(Sheet1[[#This Row],[date_joined]])</f>
        <v>2019</v>
      </c>
      <c r="O441" s="2" t="str">
        <f>TEXT(Sheet1[[#This Row],[date_joined]],"mmm")</f>
        <v>Nov</v>
      </c>
      <c r="P441" s="2" t="str">
        <f>"Q"&amp;ROUNDUP(MONTH(Sheet1[[#This Row],[date_joined]])/3,0)</f>
        <v>Q4</v>
      </c>
      <c r="Q441" s="2" t="str">
        <f>IF(Sheet1[[#This Row],[age]]&lt;30,"Young",IF(Sheet1[[#This Row],[age]]&lt;=50,"Adult","Senior"))</f>
        <v>Adult</v>
      </c>
      <c r="R441" s="2" t="str">
        <f t="shared" si="12"/>
        <v>Very High</v>
      </c>
      <c r="S441" s="2" t="str">
        <f t="shared" si="13"/>
        <v>South - Retired</v>
      </c>
    </row>
    <row r="442" spans="1:19" x14ac:dyDescent="0.3">
      <c r="A442" t="s">
        <v>907</v>
      </c>
      <c r="B442" t="s">
        <v>908</v>
      </c>
      <c r="C442">
        <v>54</v>
      </c>
      <c r="D442" s="2" t="s">
        <v>21</v>
      </c>
      <c r="E442" s="2" t="s">
        <v>14</v>
      </c>
      <c r="F442" s="2" t="s">
        <v>31</v>
      </c>
      <c r="G442" s="2" t="s">
        <v>16</v>
      </c>
      <c r="H442" s="2" t="s">
        <v>17</v>
      </c>
      <c r="I442" s="2" t="s">
        <v>17</v>
      </c>
      <c r="J442">
        <v>0.4</v>
      </c>
      <c r="K442" s="1">
        <v>43723</v>
      </c>
      <c r="L442" s="2" t="str">
        <f>IF(Sheet1[[#This Row],[age]]&lt;18, "Under 18",IF(Sheet1[[#This Row],[age]]&lt;=30,"18-30",IF(Sheet1[[#This Row],[age]]&lt;=45,"31-45",IF(Sheet1[[#This Row],[age]]&lt;=60,"46-60","60+"))))</f>
        <v>46-60</v>
      </c>
      <c r="M442" s="2" t="str">
        <f>IF(Sheet1[[#This Row],[risk_score]]&lt;0.3,"Low",IF(Sheet1[[#This Row],[risk_score]]&lt;0.7,"Medium","High"))</f>
        <v>Medium</v>
      </c>
      <c r="N442">
        <f>YEAR(Sheet1[[#This Row],[date_joined]])</f>
        <v>2019</v>
      </c>
      <c r="O442" s="2" t="str">
        <f>TEXT(Sheet1[[#This Row],[date_joined]],"mmm")</f>
        <v>Sep</v>
      </c>
      <c r="P442" s="2" t="str">
        <f>"Q"&amp;ROUNDUP(MONTH(Sheet1[[#This Row],[date_joined]])/3,0)</f>
        <v>Q3</v>
      </c>
      <c r="Q442" s="2" t="str">
        <f>IF(Sheet1[[#This Row],[age]]&lt;30,"Young",IF(Sheet1[[#This Row],[age]]&lt;=50,"Adult","Senior"))</f>
        <v>Senior</v>
      </c>
      <c r="R442" s="2" t="str">
        <f t="shared" si="12"/>
        <v>Low</v>
      </c>
      <c r="S442" s="2" t="str">
        <f t="shared" si="13"/>
        <v>West - Self-employed</v>
      </c>
    </row>
    <row r="443" spans="1:19" x14ac:dyDescent="0.3">
      <c r="A443" t="s">
        <v>909</v>
      </c>
      <c r="B443" t="s">
        <v>910</v>
      </c>
      <c r="C443">
        <v>67</v>
      </c>
      <c r="D443" s="2" t="s">
        <v>13</v>
      </c>
      <c r="E443" s="2" t="s">
        <v>22</v>
      </c>
      <c r="F443" s="2" t="s">
        <v>31</v>
      </c>
      <c r="G443" s="2" t="s">
        <v>81</v>
      </c>
      <c r="H443" s="2" t="s">
        <v>17</v>
      </c>
      <c r="I443" s="2" t="s">
        <v>17</v>
      </c>
      <c r="J443">
        <v>0.7</v>
      </c>
      <c r="K443" s="1">
        <v>43294</v>
      </c>
      <c r="L443" s="2" t="str">
        <f>IF(Sheet1[[#This Row],[age]]&lt;18, "Under 18",IF(Sheet1[[#This Row],[age]]&lt;=30,"18-30",IF(Sheet1[[#This Row],[age]]&lt;=45,"31-45",IF(Sheet1[[#This Row],[age]]&lt;=60,"46-60","60+"))))</f>
        <v>60+</v>
      </c>
      <c r="M443" s="2" t="str">
        <f>IF(Sheet1[[#This Row],[risk_score]]&lt;0.3,"Low",IF(Sheet1[[#This Row],[risk_score]]&lt;0.7,"Medium","High"))</f>
        <v>High</v>
      </c>
      <c r="N443">
        <f>YEAR(Sheet1[[#This Row],[date_joined]])</f>
        <v>2018</v>
      </c>
      <c r="O443" s="2" t="str">
        <f>TEXT(Sheet1[[#This Row],[date_joined]],"mmm")</f>
        <v>Jul</v>
      </c>
      <c r="P443" s="2" t="str">
        <f>"Q"&amp;ROUNDUP(MONTH(Sheet1[[#This Row],[date_joined]])/3,0)</f>
        <v>Q3</v>
      </c>
      <c r="Q443" s="2" t="str">
        <f>IF(Sheet1[[#This Row],[age]]&lt;30,"Young",IF(Sheet1[[#This Row],[age]]&lt;=50,"Adult","Senior"))</f>
        <v>Senior</v>
      </c>
      <c r="R443" s="2" t="str">
        <f t="shared" si="12"/>
        <v>Low</v>
      </c>
      <c r="S443" s="2" t="str">
        <f t="shared" si="13"/>
        <v>Central - Self-employed</v>
      </c>
    </row>
    <row r="444" spans="1:19" x14ac:dyDescent="0.3">
      <c r="A444" t="s">
        <v>911</v>
      </c>
      <c r="B444" t="s">
        <v>912</v>
      </c>
      <c r="C444">
        <v>43</v>
      </c>
      <c r="D444" s="2" t="s">
        <v>13</v>
      </c>
      <c r="E444" s="2" t="s">
        <v>30</v>
      </c>
      <c r="F444" s="2" t="s">
        <v>15</v>
      </c>
      <c r="G444" s="2" t="s">
        <v>24</v>
      </c>
      <c r="H444" s="2" t="s">
        <v>17</v>
      </c>
      <c r="I444" s="2" t="s">
        <v>18</v>
      </c>
      <c r="J444">
        <v>0.64</v>
      </c>
      <c r="K444" s="1">
        <v>44190</v>
      </c>
      <c r="L444" s="2" t="str">
        <f>IF(Sheet1[[#This Row],[age]]&lt;18, "Under 18",IF(Sheet1[[#This Row],[age]]&lt;=30,"18-30",IF(Sheet1[[#This Row],[age]]&lt;=45,"31-45",IF(Sheet1[[#This Row],[age]]&lt;=60,"46-60","60+"))))</f>
        <v>31-45</v>
      </c>
      <c r="M444" s="2" t="str">
        <f>IF(Sheet1[[#This Row],[risk_score]]&lt;0.3,"Low",IF(Sheet1[[#This Row],[risk_score]]&lt;0.7,"Medium","High"))</f>
        <v>Medium</v>
      </c>
      <c r="N444">
        <f>YEAR(Sheet1[[#This Row],[date_joined]])</f>
        <v>2020</v>
      </c>
      <c r="O444" s="2" t="str">
        <f>TEXT(Sheet1[[#This Row],[date_joined]],"mmm")</f>
        <v>Dec</v>
      </c>
      <c r="P444" s="2" t="str">
        <f>"Q"&amp;ROUNDUP(MONTH(Sheet1[[#This Row],[date_joined]])/3,0)</f>
        <v>Q4</v>
      </c>
      <c r="Q444" s="2" t="str">
        <f>IF(Sheet1[[#This Row],[age]]&lt;30,"Young",IF(Sheet1[[#This Row],[age]]&lt;=50,"Adult","Senior"))</f>
        <v>Adult</v>
      </c>
      <c r="R444" s="2" t="str">
        <f t="shared" si="12"/>
        <v>High</v>
      </c>
      <c r="S444" s="2" t="str">
        <f t="shared" si="13"/>
        <v>East - Student</v>
      </c>
    </row>
    <row r="445" spans="1:19" x14ac:dyDescent="0.3">
      <c r="A445" t="s">
        <v>913</v>
      </c>
      <c r="B445" t="s">
        <v>914</v>
      </c>
      <c r="C445">
        <v>61</v>
      </c>
      <c r="D445" s="2" t="s">
        <v>13</v>
      </c>
      <c r="E445" s="2" t="s">
        <v>22</v>
      </c>
      <c r="F445" s="2" t="s">
        <v>37</v>
      </c>
      <c r="G445" s="2" t="s">
        <v>66</v>
      </c>
      <c r="H445" s="2" t="s">
        <v>18</v>
      </c>
      <c r="I445" s="2" t="s">
        <v>18</v>
      </c>
      <c r="J445">
        <v>0.63</v>
      </c>
      <c r="K445" s="1">
        <v>44021</v>
      </c>
      <c r="L445" s="2" t="str">
        <f>IF(Sheet1[[#This Row],[age]]&lt;18, "Under 18",IF(Sheet1[[#This Row],[age]]&lt;=30,"18-30",IF(Sheet1[[#This Row],[age]]&lt;=45,"31-45",IF(Sheet1[[#This Row],[age]]&lt;=60,"46-60","60+"))))</f>
        <v>60+</v>
      </c>
      <c r="M445" s="2" t="str">
        <f>IF(Sheet1[[#This Row],[risk_score]]&lt;0.3,"Low",IF(Sheet1[[#This Row],[risk_score]]&lt;0.7,"Medium","High"))</f>
        <v>Medium</v>
      </c>
      <c r="N445">
        <f>YEAR(Sheet1[[#This Row],[date_joined]])</f>
        <v>2020</v>
      </c>
      <c r="O445" s="2" t="str">
        <f>TEXT(Sheet1[[#This Row],[date_joined]],"mmm")</f>
        <v>Jul</v>
      </c>
      <c r="P445" s="2" t="str">
        <f>"Q"&amp;ROUNDUP(MONTH(Sheet1[[#This Row],[date_joined]])/3,0)</f>
        <v>Q3</v>
      </c>
      <c r="Q445" s="2" t="str">
        <f>IF(Sheet1[[#This Row],[age]]&lt;30,"Young",IF(Sheet1[[#This Row],[age]]&lt;=50,"Adult","Senior"))</f>
        <v>Senior</v>
      </c>
      <c r="R445" s="2" t="str">
        <f t="shared" si="12"/>
        <v>Very High</v>
      </c>
      <c r="S445" s="2" t="str">
        <f t="shared" si="13"/>
        <v>North-East - Retired</v>
      </c>
    </row>
    <row r="446" spans="1:19" x14ac:dyDescent="0.3">
      <c r="A446" t="s">
        <v>915</v>
      </c>
      <c r="B446" t="s">
        <v>916</v>
      </c>
      <c r="C446">
        <v>36</v>
      </c>
      <c r="D446" s="2" t="s">
        <v>21</v>
      </c>
      <c r="E446" s="2" t="s">
        <v>22</v>
      </c>
      <c r="F446" s="2" t="s">
        <v>31</v>
      </c>
      <c r="G446" s="2" t="s">
        <v>32</v>
      </c>
      <c r="H446" s="2" t="s">
        <v>18</v>
      </c>
      <c r="I446" s="2" t="s">
        <v>17</v>
      </c>
      <c r="J446">
        <v>0.5</v>
      </c>
      <c r="K446" s="1">
        <v>43184</v>
      </c>
      <c r="L446" s="2" t="str">
        <f>IF(Sheet1[[#This Row],[age]]&lt;18, "Under 18",IF(Sheet1[[#This Row],[age]]&lt;=30,"18-30",IF(Sheet1[[#This Row],[age]]&lt;=45,"31-45",IF(Sheet1[[#This Row],[age]]&lt;=60,"46-60","60+"))))</f>
        <v>31-45</v>
      </c>
      <c r="M446" s="2" t="str">
        <f>IF(Sheet1[[#This Row],[risk_score]]&lt;0.3,"Low",IF(Sheet1[[#This Row],[risk_score]]&lt;0.7,"Medium","High"))</f>
        <v>Medium</v>
      </c>
      <c r="N446">
        <f>YEAR(Sheet1[[#This Row],[date_joined]])</f>
        <v>2018</v>
      </c>
      <c r="O446" s="2" t="str">
        <f>TEXT(Sheet1[[#This Row],[date_joined]],"mmm")</f>
        <v>Mar</v>
      </c>
      <c r="P446" s="2" t="str">
        <f>"Q"&amp;ROUNDUP(MONTH(Sheet1[[#This Row],[date_joined]])/3,0)</f>
        <v>Q1</v>
      </c>
      <c r="Q446" s="2" t="str">
        <f>IF(Sheet1[[#This Row],[age]]&lt;30,"Young",IF(Sheet1[[#This Row],[age]]&lt;=50,"Adult","Senior"))</f>
        <v>Adult</v>
      </c>
      <c r="R446" s="2" t="str">
        <f t="shared" si="12"/>
        <v>High</v>
      </c>
      <c r="S446" s="2" t="str">
        <f t="shared" si="13"/>
        <v>South - Self-employed</v>
      </c>
    </row>
    <row r="447" spans="1:19" x14ac:dyDescent="0.3">
      <c r="A447" t="s">
        <v>917</v>
      </c>
      <c r="B447" t="s">
        <v>918</v>
      </c>
      <c r="C447">
        <v>53</v>
      </c>
      <c r="D447" s="2" t="s">
        <v>21</v>
      </c>
      <c r="E447" s="2" t="s">
        <v>14</v>
      </c>
      <c r="F447" s="2" t="s">
        <v>37</v>
      </c>
      <c r="G447" s="2" t="s">
        <v>66</v>
      </c>
      <c r="H447" s="2" t="s">
        <v>17</v>
      </c>
      <c r="I447" s="2" t="s">
        <v>18</v>
      </c>
      <c r="J447">
        <v>0.45</v>
      </c>
      <c r="K447" s="1">
        <v>44471</v>
      </c>
      <c r="L447" s="2" t="str">
        <f>IF(Sheet1[[#This Row],[age]]&lt;18, "Under 18",IF(Sheet1[[#This Row],[age]]&lt;=30,"18-30",IF(Sheet1[[#This Row],[age]]&lt;=45,"31-45",IF(Sheet1[[#This Row],[age]]&lt;=60,"46-60","60+"))))</f>
        <v>46-60</v>
      </c>
      <c r="M447" s="2" t="str">
        <f>IF(Sheet1[[#This Row],[risk_score]]&lt;0.3,"Low",IF(Sheet1[[#This Row],[risk_score]]&lt;0.7,"Medium","High"))</f>
        <v>Medium</v>
      </c>
      <c r="N447">
        <f>YEAR(Sheet1[[#This Row],[date_joined]])</f>
        <v>2021</v>
      </c>
      <c r="O447" s="2" t="str">
        <f>TEXT(Sheet1[[#This Row],[date_joined]],"mmm")</f>
        <v>Oct</v>
      </c>
      <c r="P447" s="2" t="str">
        <f>"Q"&amp;ROUNDUP(MONTH(Sheet1[[#This Row],[date_joined]])/3,0)</f>
        <v>Q4</v>
      </c>
      <c r="Q447" s="2" t="str">
        <f>IF(Sheet1[[#This Row],[age]]&lt;30,"Young",IF(Sheet1[[#This Row],[age]]&lt;=50,"Adult","Senior"))</f>
        <v>Senior</v>
      </c>
      <c r="R447" s="2" t="str">
        <f t="shared" si="12"/>
        <v>High</v>
      </c>
      <c r="S447" s="2" t="str">
        <f t="shared" si="13"/>
        <v>North-East - Retired</v>
      </c>
    </row>
    <row r="448" spans="1:19" x14ac:dyDescent="0.3">
      <c r="A448" t="s">
        <v>919</v>
      </c>
      <c r="B448" t="s">
        <v>920</v>
      </c>
      <c r="C448">
        <v>29</v>
      </c>
      <c r="D448" s="2" t="s">
        <v>21</v>
      </c>
      <c r="E448" s="2" t="s">
        <v>14</v>
      </c>
      <c r="F448" s="2" t="s">
        <v>23</v>
      </c>
      <c r="G448" s="2" t="s">
        <v>27</v>
      </c>
      <c r="H448" s="2" t="s">
        <v>18</v>
      </c>
      <c r="I448" s="2" t="s">
        <v>17</v>
      </c>
      <c r="J448">
        <v>0.82</v>
      </c>
      <c r="K448" s="1">
        <v>44137</v>
      </c>
      <c r="L448" s="2" t="str">
        <f>IF(Sheet1[[#This Row],[age]]&lt;18, "Under 18",IF(Sheet1[[#This Row],[age]]&lt;=30,"18-30",IF(Sheet1[[#This Row],[age]]&lt;=45,"31-45",IF(Sheet1[[#This Row],[age]]&lt;=60,"46-60","60+"))))</f>
        <v>18-30</v>
      </c>
      <c r="M448" s="2" t="str">
        <f>IF(Sheet1[[#This Row],[risk_score]]&lt;0.3,"Low",IF(Sheet1[[#This Row],[risk_score]]&lt;0.7,"Medium","High"))</f>
        <v>High</v>
      </c>
      <c r="N448">
        <f>YEAR(Sheet1[[#This Row],[date_joined]])</f>
        <v>2020</v>
      </c>
      <c r="O448" s="2" t="str">
        <f>TEXT(Sheet1[[#This Row],[date_joined]],"mmm")</f>
        <v>Nov</v>
      </c>
      <c r="P448" s="2" t="str">
        <f>"Q"&amp;ROUNDUP(MONTH(Sheet1[[#This Row],[date_joined]])/3,0)</f>
        <v>Q4</v>
      </c>
      <c r="Q448" s="2" t="str">
        <f>IF(Sheet1[[#This Row],[age]]&lt;30,"Young",IF(Sheet1[[#This Row],[age]]&lt;=50,"Adult","Senior"))</f>
        <v>Young</v>
      </c>
      <c r="R448" s="2" t="str">
        <f t="shared" si="12"/>
        <v>High</v>
      </c>
      <c r="S448" s="2" t="str">
        <f t="shared" si="13"/>
        <v>North - Salaried</v>
      </c>
    </row>
    <row r="449" spans="1:19" x14ac:dyDescent="0.3">
      <c r="A449" t="s">
        <v>921</v>
      </c>
      <c r="B449" t="s">
        <v>922</v>
      </c>
      <c r="C449">
        <v>46</v>
      </c>
      <c r="D449" s="2" t="s">
        <v>21</v>
      </c>
      <c r="E449" s="2" t="s">
        <v>30</v>
      </c>
      <c r="F449" s="2" t="s">
        <v>15</v>
      </c>
      <c r="G449" s="2" t="s">
        <v>81</v>
      </c>
      <c r="H449" s="2" t="s">
        <v>17</v>
      </c>
      <c r="I449" s="2" t="s">
        <v>17</v>
      </c>
      <c r="J449">
        <v>0.68</v>
      </c>
      <c r="K449" s="1">
        <v>44450</v>
      </c>
      <c r="L449" s="2" t="str">
        <f>IF(Sheet1[[#This Row],[age]]&lt;18, "Under 18",IF(Sheet1[[#This Row],[age]]&lt;=30,"18-30",IF(Sheet1[[#This Row],[age]]&lt;=45,"31-45",IF(Sheet1[[#This Row],[age]]&lt;=60,"46-60","60+"))))</f>
        <v>46-60</v>
      </c>
      <c r="M449" s="2" t="str">
        <f>IF(Sheet1[[#This Row],[risk_score]]&lt;0.3,"Low",IF(Sheet1[[#This Row],[risk_score]]&lt;0.7,"Medium","High"))</f>
        <v>Medium</v>
      </c>
      <c r="N449">
        <f>YEAR(Sheet1[[#This Row],[date_joined]])</f>
        <v>2021</v>
      </c>
      <c r="O449" s="2" t="str">
        <f>TEXT(Sheet1[[#This Row],[date_joined]],"mmm")</f>
        <v>Sep</v>
      </c>
      <c r="P449" s="2" t="str">
        <f>"Q"&amp;ROUNDUP(MONTH(Sheet1[[#This Row],[date_joined]])/3,0)</f>
        <v>Q3</v>
      </c>
      <c r="Q449" s="2" t="str">
        <f>IF(Sheet1[[#This Row],[age]]&lt;30,"Young",IF(Sheet1[[#This Row],[age]]&lt;=50,"Adult","Senior"))</f>
        <v>Adult</v>
      </c>
      <c r="R449" s="2" t="str">
        <f t="shared" si="12"/>
        <v>Low</v>
      </c>
      <c r="S449" s="2" t="str">
        <f t="shared" si="13"/>
        <v>Central - Student</v>
      </c>
    </row>
    <row r="450" spans="1:19" x14ac:dyDescent="0.3">
      <c r="A450" t="s">
        <v>923</v>
      </c>
      <c r="B450" t="s">
        <v>924</v>
      </c>
      <c r="C450">
        <v>22</v>
      </c>
      <c r="D450" s="2" t="s">
        <v>21</v>
      </c>
      <c r="E450" s="2" t="s">
        <v>14</v>
      </c>
      <c r="F450" s="2" t="s">
        <v>15</v>
      </c>
      <c r="G450" s="2" t="s">
        <v>24</v>
      </c>
      <c r="H450" s="2" t="s">
        <v>17</v>
      </c>
      <c r="I450" s="2" t="s">
        <v>17</v>
      </c>
      <c r="J450">
        <v>0.62</v>
      </c>
      <c r="K450" s="1">
        <v>44759</v>
      </c>
      <c r="L450" s="2" t="str">
        <f>IF(Sheet1[[#This Row],[age]]&lt;18, "Under 18",IF(Sheet1[[#This Row],[age]]&lt;=30,"18-30",IF(Sheet1[[#This Row],[age]]&lt;=45,"31-45",IF(Sheet1[[#This Row],[age]]&lt;=60,"46-60","60+"))))</f>
        <v>18-30</v>
      </c>
      <c r="M450" s="2" t="str">
        <f>IF(Sheet1[[#This Row],[risk_score]]&lt;0.3,"Low",IF(Sheet1[[#This Row],[risk_score]]&lt;0.7,"Medium","High"))</f>
        <v>Medium</v>
      </c>
      <c r="N450">
        <f>YEAR(Sheet1[[#This Row],[date_joined]])</f>
        <v>2022</v>
      </c>
      <c r="O450" s="2" t="str">
        <f>TEXT(Sheet1[[#This Row],[date_joined]],"mmm")</f>
        <v>Jul</v>
      </c>
      <c r="P450" s="2" t="str">
        <f>"Q"&amp;ROUNDUP(MONTH(Sheet1[[#This Row],[date_joined]])/3,0)</f>
        <v>Q3</v>
      </c>
      <c r="Q450" s="2" t="str">
        <f>IF(Sheet1[[#This Row],[age]]&lt;30,"Young",IF(Sheet1[[#This Row],[age]]&lt;=50,"Adult","Senior"))</f>
        <v>Young</v>
      </c>
      <c r="R450" s="2" t="str">
        <f t="shared" ref="R450:R513" si="14">IF(AND(H450="Yes",I450="Yes"),"Very High",
IF(OR(H450="Yes",I450="Yes"),"High","Low"))</f>
        <v>Low</v>
      </c>
      <c r="S450" s="2" t="str">
        <f t="shared" ref="S450:S513" si="15">G450&amp;" - "&amp;F450</f>
        <v>East - Student</v>
      </c>
    </row>
    <row r="451" spans="1:19" x14ac:dyDescent="0.3">
      <c r="A451" t="s">
        <v>925</v>
      </c>
      <c r="B451" t="s">
        <v>926</v>
      </c>
      <c r="C451">
        <v>59</v>
      </c>
      <c r="D451" s="2" t="s">
        <v>21</v>
      </c>
      <c r="E451" s="2" t="s">
        <v>14</v>
      </c>
      <c r="F451" s="2" t="s">
        <v>15</v>
      </c>
      <c r="G451" s="2" t="s">
        <v>32</v>
      </c>
      <c r="H451" s="2" t="s">
        <v>18</v>
      </c>
      <c r="I451" s="2" t="s">
        <v>17</v>
      </c>
      <c r="J451">
        <v>0.56000000000000005</v>
      </c>
      <c r="K451" s="1">
        <v>44651</v>
      </c>
      <c r="L451" s="2" t="str">
        <f>IF(Sheet1[[#This Row],[age]]&lt;18, "Under 18",IF(Sheet1[[#This Row],[age]]&lt;=30,"18-30",IF(Sheet1[[#This Row],[age]]&lt;=45,"31-45",IF(Sheet1[[#This Row],[age]]&lt;=60,"46-60","60+"))))</f>
        <v>46-60</v>
      </c>
      <c r="M451" s="2" t="str">
        <f>IF(Sheet1[[#This Row],[risk_score]]&lt;0.3,"Low",IF(Sheet1[[#This Row],[risk_score]]&lt;0.7,"Medium","High"))</f>
        <v>Medium</v>
      </c>
      <c r="N451">
        <f>YEAR(Sheet1[[#This Row],[date_joined]])</f>
        <v>2022</v>
      </c>
      <c r="O451" s="2" t="str">
        <f>TEXT(Sheet1[[#This Row],[date_joined]],"mmm")</f>
        <v>Mar</v>
      </c>
      <c r="P451" s="2" t="str">
        <f>"Q"&amp;ROUNDUP(MONTH(Sheet1[[#This Row],[date_joined]])/3,0)</f>
        <v>Q1</v>
      </c>
      <c r="Q451" s="2" t="str">
        <f>IF(Sheet1[[#This Row],[age]]&lt;30,"Young",IF(Sheet1[[#This Row],[age]]&lt;=50,"Adult","Senior"))</f>
        <v>Senior</v>
      </c>
      <c r="R451" s="2" t="str">
        <f t="shared" si="14"/>
        <v>High</v>
      </c>
      <c r="S451" s="2" t="str">
        <f t="shared" si="15"/>
        <v>South - Student</v>
      </c>
    </row>
    <row r="452" spans="1:19" x14ac:dyDescent="0.3">
      <c r="A452" t="s">
        <v>927</v>
      </c>
      <c r="B452" t="s">
        <v>928</v>
      </c>
      <c r="C452">
        <v>32</v>
      </c>
      <c r="D452" s="2" t="s">
        <v>13</v>
      </c>
      <c r="E452" s="2" t="s">
        <v>30</v>
      </c>
      <c r="F452" s="2" t="s">
        <v>15</v>
      </c>
      <c r="G452" s="2" t="s">
        <v>24</v>
      </c>
      <c r="H452" s="2" t="s">
        <v>18</v>
      </c>
      <c r="I452" s="2" t="s">
        <v>18</v>
      </c>
      <c r="J452">
        <v>0.44</v>
      </c>
      <c r="K452" s="1">
        <v>43128</v>
      </c>
      <c r="L452" s="2" t="str">
        <f>IF(Sheet1[[#This Row],[age]]&lt;18, "Under 18",IF(Sheet1[[#This Row],[age]]&lt;=30,"18-30",IF(Sheet1[[#This Row],[age]]&lt;=45,"31-45",IF(Sheet1[[#This Row],[age]]&lt;=60,"46-60","60+"))))</f>
        <v>31-45</v>
      </c>
      <c r="M452" s="2" t="str">
        <f>IF(Sheet1[[#This Row],[risk_score]]&lt;0.3,"Low",IF(Sheet1[[#This Row],[risk_score]]&lt;0.7,"Medium","High"))</f>
        <v>Medium</v>
      </c>
      <c r="N452">
        <f>YEAR(Sheet1[[#This Row],[date_joined]])</f>
        <v>2018</v>
      </c>
      <c r="O452" s="2" t="str">
        <f>TEXT(Sheet1[[#This Row],[date_joined]],"mmm")</f>
        <v>Jan</v>
      </c>
      <c r="P452" s="2" t="str">
        <f>"Q"&amp;ROUNDUP(MONTH(Sheet1[[#This Row],[date_joined]])/3,0)</f>
        <v>Q1</v>
      </c>
      <c r="Q452" s="2" t="str">
        <f>IF(Sheet1[[#This Row],[age]]&lt;30,"Young",IF(Sheet1[[#This Row],[age]]&lt;=50,"Adult","Senior"))</f>
        <v>Adult</v>
      </c>
      <c r="R452" s="2" t="str">
        <f t="shared" si="14"/>
        <v>Very High</v>
      </c>
      <c r="S452" s="2" t="str">
        <f t="shared" si="15"/>
        <v>East - Student</v>
      </c>
    </row>
    <row r="453" spans="1:19" x14ac:dyDescent="0.3">
      <c r="A453" t="s">
        <v>929</v>
      </c>
      <c r="B453" t="s">
        <v>930</v>
      </c>
      <c r="C453">
        <v>27</v>
      </c>
      <c r="D453" s="2" t="s">
        <v>13</v>
      </c>
      <c r="E453" s="2" t="s">
        <v>30</v>
      </c>
      <c r="F453" s="2" t="s">
        <v>31</v>
      </c>
      <c r="G453" s="2" t="s">
        <v>81</v>
      </c>
      <c r="H453" s="2" t="s">
        <v>17</v>
      </c>
      <c r="I453" s="2" t="s">
        <v>18</v>
      </c>
      <c r="J453">
        <v>0.55000000000000004</v>
      </c>
      <c r="K453" s="1">
        <v>44354</v>
      </c>
      <c r="L453" s="2" t="str">
        <f>IF(Sheet1[[#This Row],[age]]&lt;18, "Under 18",IF(Sheet1[[#This Row],[age]]&lt;=30,"18-30",IF(Sheet1[[#This Row],[age]]&lt;=45,"31-45",IF(Sheet1[[#This Row],[age]]&lt;=60,"46-60","60+"))))</f>
        <v>18-30</v>
      </c>
      <c r="M453" s="2" t="str">
        <f>IF(Sheet1[[#This Row],[risk_score]]&lt;0.3,"Low",IF(Sheet1[[#This Row],[risk_score]]&lt;0.7,"Medium","High"))</f>
        <v>Medium</v>
      </c>
      <c r="N453">
        <f>YEAR(Sheet1[[#This Row],[date_joined]])</f>
        <v>2021</v>
      </c>
      <c r="O453" s="2" t="str">
        <f>TEXT(Sheet1[[#This Row],[date_joined]],"mmm")</f>
        <v>Jun</v>
      </c>
      <c r="P453" s="2" t="str">
        <f>"Q"&amp;ROUNDUP(MONTH(Sheet1[[#This Row],[date_joined]])/3,0)</f>
        <v>Q2</v>
      </c>
      <c r="Q453" s="2" t="str">
        <f>IF(Sheet1[[#This Row],[age]]&lt;30,"Young",IF(Sheet1[[#This Row],[age]]&lt;=50,"Adult","Senior"))</f>
        <v>Young</v>
      </c>
      <c r="R453" s="2" t="str">
        <f t="shared" si="14"/>
        <v>High</v>
      </c>
      <c r="S453" s="2" t="str">
        <f t="shared" si="15"/>
        <v>Central - Self-employed</v>
      </c>
    </row>
    <row r="454" spans="1:19" x14ac:dyDescent="0.3">
      <c r="A454" t="s">
        <v>931</v>
      </c>
      <c r="B454" t="s">
        <v>932</v>
      </c>
      <c r="C454">
        <v>43</v>
      </c>
      <c r="D454" s="2" t="s">
        <v>13</v>
      </c>
      <c r="E454" s="2" t="s">
        <v>22</v>
      </c>
      <c r="F454" s="2" t="s">
        <v>31</v>
      </c>
      <c r="G454" s="2" t="s">
        <v>24</v>
      </c>
      <c r="H454" s="2" t="s">
        <v>18</v>
      </c>
      <c r="I454" s="2" t="s">
        <v>17</v>
      </c>
      <c r="J454">
        <v>0.41</v>
      </c>
      <c r="K454" s="1">
        <v>43175</v>
      </c>
      <c r="L454" s="2" t="str">
        <f>IF(Sheet1[[#This Row],[age]]&lt;18, "Under 18",IF(Sheet1[[#This Row],[age]]&lt;=30,"18-30",IF(Sheet1[[#This Row],[age]]&lt;=45,"31-45",IF(Sheet1[[#This Row],[age]]&lt;=60,"46-60","60+"))))</f>
        <v>31-45</v>
      </c>
      <c r="M454" s="2" t="str">
        <f>IF(Sheet1[[#This Row],[risk_score]]&lt;0.3,"Low",IF(Sheet1[[#This Row],[risk_score]]&lt;0.7,"Medium","High"))</f>
        <v>Medium</v>
      </c>
      <c r="N454">
        <f>YEAR(Sheet1[[#This Row],[date_joined]])</f>
        <v>2018</v>
      </c>
      <c r="O454" s="2" t="str">
        <f>TEXT(Sheet1[[#This Row],[date_joined]],"mmm")</f>
        <v>Mar</v>
      </c>
      <c r="P454" s="2" t="str">
        <f>"Q"&amp;ROUNDUP(MONTH(Sheet1[[#This Row],[date_joined]])/3,0)</f>
        <v>Q1</v>
      </c>
      <c r="Q454" s="2" t="str">
        <f>IF(Sheet1[[#This Row],[age]]&lt;30,"Young",IF(Sheet1[[#This Row],[age]]&lt;=50,"Adult","Senior"))</f>
        <v>Adult</v>
      </c>
      <c r="R454" s="2" t="str">
        <f t="shared" si="14"/>
        <v>High</v>
      </c>
      <c r="S454" s="2" t="str">
        <f t="shared" si="15"/>
        <v>East - Self-employed</v>
      </c>
    </row>
    <row r="455" spans="1:19" x14ac:dyDescent="0.3">
      <c r="A455" t="s">
        <v>933</v>
      </c>
      <c r="B455" t="s">
        <v>934</v>
      </c>
      <c r="C455">
        <v>58</v>
      </c>
      <c r="D455" s="2" t="s">
        <v>13</v>
      </c>
      <c r="E455" s="2" t="s">
        <v>30</v>
      </c>
      <c r="F455" s="2" t="s">
        <v>37</v>
      </c>
      <c r="G455" s="2" t="s">
        <v>16</v>
      </c>
      <c r="H455" s="2" t="s">
        <v>17</v>
      </c>
      <c r="I455" s="2" t="s">
        <v>17</v>
      </c>
      <c r="J455">
        <v>0.41</v>
      </c>
      <c r="K455" s="1">
        <v>43643</v>
      </c>
      <c r="L455" s="2" t="str">
        <f>IF(Sheet1[[#This Row],[age]]&lt;18, "Under 18",IF(Sheet1[[#This Row],[age]]&lt;=30,"18-30",IF(Sheet1[[#This Row],[age]]&lt;=45,"31-45",IF(Sheet1[[#This Row],[age]]&lt;=60,"46-60","60+"))))</f>
        <v>46-60</v>
      </c>
      <c r="M455" s="2" t="str">
        <f>IF(Sheet1[[#This Row],[risk_score]]&lt;0.3,"Low",IF(Sheet1[[#This Row],[risk_score]]&lt;0.7,"Medium","High"))</f>
        <v>Medium</v>
      </c>
      <c r="N455">
        <f>YEAR(Sheet1[[#This Row],[date_joined]])</f>
        <v>2019</v>
      </c>
      <c r="O455" s="2" t="str">
        <f>TEXT(Sheet1[[#This Row],[date_joined]],"mmm")</f>
        <v>Jun</v>
      </c>
      <c r="P455" s="2" t="str">
        <f>"Q"&amp;ROUNDUP(MONTH(Sheet1[[#This Row],[date_joined]])/3,0)</f>
        <v>Q2</v>
      </c>
      <c r="Q455" s="2" t="str">
        <f>IF(Sheet1[[#This Row],[age]]&lt;30,"Young",IF(Sheet1[[#This Row],[age]]&lt;=50,"Adult","Senior"))</f>
        <v>Senior</v>
      </c>
      <c r="R455" s="2" t="str">
        <f t="shared" si="14"/>
        <v>Low</v>
      </c>
      <c r="S455" s="2" t="str">
        <f t="shared" si="15"/>
        <v>West - Retired</v>
      </c>
    </row>
    <row r="456" spans="1:19" x14ac:dyDescent="0.3">
      <c r="A456" t="s">
        <v>935</v>
      </c>
      <c r="B456" t="s">
        <v>936</v>
      </c>
      <c r="C456">
        <v>30</v>
      </c>
      <c r="D456" s="2" t="s">
        <v>21</v>
      </c>
      <c r="E456" s="2" t="s">
        <v>14</v>
      </c>
      <c r="F456" s="2" t="s">
        <v>15</v>
      </c>
      <c r="G456" s="2" t="s">
        <v>16</v>
      </c>
      <c r="H456" s="2" t="s">
        <v>18</v>
      </c>
      <c r="I456" s="2" t="s">
        <v>17</v>
      </c>
      <c r="J456">
        <v>0</v>
      </c>
      <c r="K456" s="1">
        <v>44391</v>
      </c>
      <c r="L456" s="2" t="str">
        <f>IF(Sheet1[[#This Row],[age]]&lt;18, "Under 18",IF(Sheet1[[#This Row],[age]]&lt;=30,"18-30",IF(Sheet1[[#This Row],[age]]&lt;=45,"31-45",IF(Sheet1[[#This Row],[age]]&lt;=60,"46-60","60+"))))</f>
        <v>18-30</v>
      </c>
      <c r="M456" s="2" t="str">
        <f>IF(Sheet1[[#This Row],[risk_score]]&lt;0.3,"Low",IF(Sheet1[[#This Row],[risk_score]]&lt;0.7,"Medium","High"))</f>
        <v>Low</v>
      </c>
      <c r="N456">
        <f>YEAR(Sheet1[[#This Row],[date_joined]])</f>
        <v>2021</v>
      </c>
      <c r="O456" s="2" t="str">
        <f>TEXT(Sheet1[[#This Row],[date_joined]],"mmm")</f>
        <v>Jul</v>
      </c>
      <c r="P456" s="2" t="str">
        <f>"Q"&amp;ROUNDUP(MONTH(Sheet1[[#This Row],[date_joined]])/3,0)</f>
        <v>Q3</v>
      </c>
      <c r="Q456" s="2" t="str">
        <f>IF(Sheet1[[#This Row],[age]]&lt;30,"Young",IF(Sheet1[[#This Row],[age]]&lt;=50,"Adult","Senior"))</f>
        <v>Adult</v>
      </c>
      <c r="R456" s="2" t="str">
        <f t="shared" si="14"/>
        <v>High</v>
      </c>
      <c r="S456" s="2" t="str">
        <f t="shared" si="15"/>
        <v>West - Student</v>
      </c>
    </row>
    <row r="457" spans="1:19" x14ac:dyDescent="0.3">
      <c r="A457" t="s">
        <v>937</v>
      </c>
      <c r="B457" t="s">
        <v>938</v>
      </c>
      <c r="C457">
        <v>25</v>
      </c>
      <c r="D457" s="2" t="s">
        <v>21</v>
      </c>
      <c r="E457" s="2" t="s">
        <v>30</v>
      </c>
      <c r="F457" s="2" t="s">
        <v>31</v>
      </c>
      <c r="G457" s="2" t="s">
        <v>81</v>
      </c>
      <c r="H457" s="2" t="s">
        <v>18</v>
      </c>
      <c r="I457" s="2" t="s">
        <v>18</v>
      </c>
      <c r="J457">
        <v>0.54</v>
      </c>
      <c r="K457" s="1">
        <v>43147</v>
      </c>
      <c r="L457" s="2" t="str">
        <f>IF(Sheet1[[#This Row],[age]]&lt;18, "Under 18",IF(Sheet1[[#This Row],[age]]&lt;=30,"18-30",IF(Sheet1[[#This Row],[age]]&lt;=45,"31-45",IF(Sheet1[[#This Row],[age]]&lt;=60,"46-60","60+"))))</f>
        <v>18-30</v>
      </c>
      <c r="M457" s="2" t="str">
        <f>IF(Sheet1[[#This Row],[risk_score]]&lt;0.3,"Low",IF(Sheet1[[#This Row],[risk_score]]&lt;0.7,"Medium","High"))</f>
        <v>Medium</v>
      </c>
      <c r="N457">
        <f>YEAR(Sheet1[[#This Row],[date_joined]])</f>
        <v>2018</v>
      </c>
      <c r="O457" s="2" t="str">
        <f>TEXT(Sheet1[[#This Row],[date_joined]],"mmm")</f>
        <v>Feb</v>
      </c>
      <c r="P457" s="2" t="str">
        <f>"Q"&amp;ROUNDUP(MONTH(Sheet1[[#This Row],[date_joined]])/3,0)</f>
        <v>Q1</v>
      </c>
      <c r="Q457" s="2" t="str">
        <f>IF(Sheet1[[#This Row],[age]]&lt;30,"Young",IF(Sheet1[[#This Row],[age]]&lt;=50,"Adult","Senior"))</f>
        <v>Young</v>
      </c>
      <c r="R457" s="2" t="str">
        <f t="shared" si="14"/>
        <v>Very High</v>
      </c>
      <c r="S457" s="2" t="str">
        <f t="shared" si="15"/>
        <v>Central - Self-employed</v>
      </c>
    </row>
    <row r="458" spans="1:19" x14ac:dyDescent="0.3">
      <c r="A458" t="s">
        <v>939</v>
      </c>
      <c r="B458" t="s">
        <v>940</v>
      </c>
      <c r="C458">
        <v>23</v>
      </c>
      <c r="D458" s="2" t="s">
        <v>13</v>
      </c>
      <c r="E458" s="2" t="s">
        <v>22</v>
      </c>
      <c r="F458" s="2" t="s">
        <v>37</v>
      </c>
      <c r="G458" s="2" t="s">
        <v>32</v>
      </c>
      <c r="H458" s="2" t="s">
        <v>17</v>
      </c>
      <c r="I458" s="2" t="s">
        <v>18</v>
      </c>
      <c r="J458">
        <v>0.2</v>
      </c>
      <c r="K458" s="1">
        <v>44727</v>
      </c>
      <c r="L458" s="2" t="str">
        <f>IF(Sheet1[[#This Row],[age]]&lt;18, "Under 18",IF(Sheet1[[#This Row],[age]]&lt;=30,"18-30",IF(Sheet1[[#This Row],[age]]&lt;=45,"31-45",IF(Sheet1[[#This Row],[age]]&lt;=60,"46-60","60+"))))</f>
        <v>18-30</v>
      </c>
      <c r="M458" s="2" t="str">
        <f>IF(Sheet1[[#This Row],[risk_score]]&lt;0.3,"Low",IF(Sheet1[[#This Row],[risk_score]]&lt;0.7,"Medium","High"))</f>
        <v>Low</v>
      </c>
      <c r="N458">
        <f>YEAR(Sheet1[[#This Row],[date_joined]])</f>
        <v>2022</v>
      </c>
      <c r="O458" s="2" t="str">
        <f>TEXT(Sheet1[[#This Row],[date_joined]],"mmm")</f>
        <v>Jun</v>
      </c>
      <c r="P458" s="2" t="str">
        <f>"Q"&amp;ROUNDUP(MONTH(Sheet1[[#This Row],[date_joined]])/3,0)</f>
        <v>Q2</v>
      </c>
      <c r="Q458" s="2" t="str">
        <f>IF(Sheet1[[#This Row],[age]]&lt;30,"Young",IF(Sheet1[[#This Row],[age]]&lt;=50,"Adult","Senior"))</f>
        <v>Young</v>
      </c>
      <c r="R458" s="2" t="str">
        <f t="shared" si="14"/>
        <v>High</v>
      </c>
      <c r="S458" s="2" t="str">
        <f t="shared" si="15"/>
        <v>South - Retired</v>
      </c>
    </row>
    <row r="459" spans="1:19" x14ac:dyDescent="0.3">
      <c r="A459" t="s">
        <v>941</v>
      </c>
      <c r="B459" t="s">
        <v>942</v>
      </c>
      <c r="C459">
        <v>57</v>
      </c>
      <c r="D459" s="2" t="s">
        <v>13</v>
      </c>
      <c r="E459" s="2" t="s">
        <v>22</v>
      </c>
      <c r="F459" s="2" t="s">
        <v>37</v>
      </c>
      <c r="G459" s="2" t="s">
        <v>32</v>
      </c>
      <c r="H459" s="2" t="s">
        <v>18</v>
      </c>
      <c r="I459" s="2" t="s">
        <v>17</v>
      </c>
      <c r="J459">
        <v>0.33</v>
      </c>
      <c r="K459" s="1">
        <v>44070</v>
      </c>
      <c r="L459" s="2" t="str">
        <f>IF(Sheet1[[#This Row],[age]]&lt;18, "Under 18",IF(Sheet1[[#This Row],[age]]&lt;=30,"18-30",IF(Sheet1[[#This Row],[age]]&lt;=45,"31-45",IF(Sheet1[[#This Row],[age]]&lt;=60,"46-60","60+"))))</f>
        <v>46-60</v>
      </c>
      <c r="M459" s="2" t="str">
        <f>IF(Sheet1[[#This Row],[risk_score]]&lt;0.3,"Low",IF(Sheet1[[#This Row],[risk_score]]&lt;0.7,"Medium","High"))</f>
        <v>Medium</v>
      </c>
      <c r="N459">
        <f>YEAR(Sheet1[[#This Row],[date_joined]])</f>
        <v>2020</v>
      </c>
      <c r="O459" s="2" t="str">
        <f>TEXT(Sheet1[[#This Row],[date_joined]],"mmm")</f>
        <v>Aug</v>
      </c>
      <c r="P459" s="2" t="str">
        <f>"Q"&amp;ROUNDUP(MONTH(Sheet1[[#This Row],[date_joined]])/3,0)</f>
        <v>Q3</v>
      </c>
      <c r="Q459" s="2" t="str">
        <f>IF(Sheet1[[#This Row],[age]]&lt;30,"Young",IF(Sheet1[[#This Row],[age]]&lt;=50,"Adult","Senior"))</f>
        <v>Senior</v>
      </c>
      <c r="R459" s="2" t="str">
        <f t="shared" si="14"/>
        <v>High</v>
      </c>
      <c r="S459" s="2" t="str">
        <f t="shared" si="15"/>
        <v>South - Retired</v>
      </c>
    </row>
    <row r="460" spans="1:19" x14ac:dyDescent="0.3">
      <c r="A460" t="s">
        <v>943</v>
      </c>
      <c r="B460" t="s">
        <v>944</v>
      </c>
      <c r="C460">
        <v>37</v>
      </c>
      <c r="D460" s="2" t="s">
        <v>13</v>
      </c>
      <c r="E460" s="2" t="s">
        <v>22</v>
      </c>
      <c r="F460" s="2" t="s">
        <v>37</v>
      </c>
      <c r="G460" s="2" t="s">
        <v>24</v>
      </c>
      <c r="H460" s="2" t="s">
        <v>17</v>
      </c>
      <c r="I460" s="2" t="s">
        <v>17</v>
      </c>
      <c r="J460">
        <v>0.48</v>
      </c>
      <c r="K460" s="1">
        <v>45064</v>
      </c>
      <c r="L460" s="2" t="str">
        <f>IF(Sheet1[[#This Row],[age]]&lt;18, "Under 18",IF(Sheet1[[#This Row],[age]]&lt;=30,"18-30",IF(Sheet1[[#This Row],[age]]&lt;=45,"31-45",IF(Sheet1[[#This Row],[age]]&lt;=60,"46-60","60+"))))</f>
        <v>31-45</v>
      </c>
      <c r="M460" s="2" t="str">
        <f>IF(Sheet1[[#This Row],[risk_score]]&lt;0.3,"Low",IF(Sheet1[[#This Row],[risk_score]]&lt;0.7,"Medium","High"))</f>
        <v>Medium</v>
      </c>
      <c r="N460">
        <f>YEAR(Sheet1[[#This Row],[date_joined]])</f>
        <v>2023</v>
      </c>
      <c r="O460" s="2" t="str">
        <f>TEXT(Sheet1[[#This Row],[date_joined]],"mmm")</f>
        <v>May</v>
      </c>
      <c r="P460" s="2" t="str">
        <f>"Q"&amp;ROUNDUP(MONTH(Sheet1[[#This Row],[date_joined]])/3,0)</f>
        <v>Q2</v>
      </c>
      <c r="Q460" s="2" t="str">
        <f>IF(Sheet1[[#This Row],[age]]&lt;30,"Young",IF(Sheet1[[#This Row],[age]]&lt;=50,"Adult","Senior"))</f>
        <v>Adult</v>
      </c>
      <c r="R460" s="2" t="str">
        <f t="shared" si="14"/>
        <v>Low</v>
      </c>
      <c r="S460" s="2" t="str">
        <f t="shared" si="15"/>
        <v>East - Retired</v>
      </c>
    </row>
    <row r="461" spans="1:19" x14ac:dyDescent="0.3">
      <c r="A461" t="s">
        <v>945</v>
      </c>
      <c r="B461" t="s">
        <v>946</v>
      </c>
      <c r="C461">
        <v>28</v>
      </c>
      <c r="D461" s="2" t="s">
        <v>21</v>
      </c>
      <c r="E461" s="2" t="s">
        <v>22</v>
      </c>
      <c r="F461" s="2" t="s">
        <v>15</v>
      </c>
      <c r="G461" s="2" t="s">
        <v>27</v>
      </c>
      <c r="H461" s="2" t="s">
        <v>17</v>
      </c>
      <c r="I461" s="2" t="s">
        <v>18</v>
      </c>
      <c r="J461">
        <v>0.52</v>
      </c>
      <c r="K461" s="1">
        <v>44686</v>
      </c>
      <c r="L461" s="2" t="str">
        <f>IF(Sheet1[[#This Row],[age]]&lt;18, "Under 18",IF(Sheet1[[#This Row],[age]]&lt;=30,"18-30",IF(Sheet1[[#This Row],[age]]&lt;=45,"31-45",IF(Sheet1[[#This Row],[age]]&lt;=60,"46-60","60+"))))</f>
        <v>18-30</v>
      </c>
      <c r="M461" s="2" t="str">
        <f>IF(Sheet1[[#This Row],[risk_score]]&lt;0.3,"Low",IF(Sheet1[[#This Row],[risk_score]]&lt;0.7,"Medium","High"))</f>
        <v>Medium</v>
      </c>
      <c r="N461">
        <f>YEAR(Sheet1[[#This Row],[date_joined]])</f>
        <v>2022</v>
      </c>
      <c r="O461" s="2" t="str">
        <f>TEXT(Sheet1[[#This Row],[date_joined]],"mmm")</f>
        <v>May</v>
      </c>
      <c r="P461" s="2" t="str">
        <f>"Q"&amp;ROUNDUP(MONTH(Sheet1[[#This Row],[date_joined]])/3,0)</f>
        <v>Q2</v>
      </c>
      <c r="Q461" s="2" t="str">
        <f>IF(Sheet1[[#This Row],[age]]&lt;30,"Young",IF(Sheet1[[#This Row],[age]]&lt;=50,"Adult","Senior"))</f>
        <v>Young</v>
      </c>
      <c r="R461" s="2" t="str">
        <f t="shared" si="14"/>
        <v>High</v>
      </c>
      <c r="S461" s="2" t="str">
        <f t="shared" si="15"/>
        <v>North - Student</v>
      </c>
    </row>
    <row r="462" spans="1:19" x14ac:dyDescent="0.3">
      <c r="A462" t="s">
        <v>947</v>
      </c>
      <c r="B462" t="s">
        <v>948</v>
      </c>
      <c r="C462">
        <v>31</v>
      </c>
      <c r="D462" s="2" t="s">
        <v>21</v>
      </c>
      <c r="E462" s="2" t="s">
        <v>22</v>
      </c>
      <c r="F462" s="2" t="s">
        <v>15</v>
      </c>
      <c r="G462" s="2" t="s">
        <v>32</v>
      </c>
      <c r="H462" s="2" t="s">
        <v>18</v>
      </c>
      <c r="I462" s="2" t="s">
        <v>17</v>
      </c>
      <c r="J462">
        <v>0.28000000000000003</v>
      </c>
      <c r="K462" s="1">
        <v>44113</v>
      </c>
      <c r="L462" s="2" t="str">
        <f>IF(Sheet1[[#This Row],[age]]&lt;18, "Under 18",IF(Sheet1[[#This Row],[age]]&lt;=30,"18-30",IF(Sheet1[[#This Row],[age]]&lt;=45,"31-45",IF(Sheet1[[#This Row],[age]]&lt;=60,"46-60","60+"))))</f>
        <v>31-45</v>
      </c>
      <c r="M462" s="2" t="str">
        <f>IF(Sheet1[[#This Row],[risk_score]]&lt;0.3,"Low",IF(Sheet1[[#This Row],[risk_score]]&lt;0.7,"Medium","High"))</f>
        <v>Low</v>
      </c>
      <c r="N462">
        <f>YEAR(Sheet1[[#This Row],[date_joined]])</f>
        <v>2020</v>
      </c>
      <c r="O462" s="2" t="str">
        <f>TEXT(Sheet1[[#This Row],[date_joined]],"mmm")</f>
        <v>Oct</v>
      </c>
      <c r="P462" s="2" t="str">
        <f>"Q"&amp;ROUNDUP(MONTH(Sheet1[[#This Row],[date_joined]])/3,0)</f>
        <v>Q4</v>
      </c>
      <c r="Q462" s="2" t="str">
        <f>IF(Sheet1[[#This Row],[age]]&lt;30,"Young",IF(Sheet1[[#This Row],[age]]&lt;=50,"Adult","Senior"))</f>
        <v>Adult</v>
      </c>
      <c r="R462" s="2" t="str">
        <f t="shared" si="14"/>
        <v>High</v>
      </c>
      <c r="S462" s="2" t="str">
        <f t="shared" si="15"/>
        <v>South - Student</v>
      </c>
    </row>
    <row r="463" spans="1:19" x14ac:dyDescent="0.3">
      <c r="A463" t="s">
        <v>949</v>
      </c>
      <c r="B463" t="s">
        <v>950</v>
      </c>
      <c r="C463">
        <v>50</v>
      </c>
      <c r="D463" s="2" t="s">
        <v>21</v>
      </c>
      <c r="E463" s="2" t="s">
        <v>14</v>
      </c>
      <c r="F463" s="2" t="s">
        <v>23</v>
      </c>
      <c r="G463" s="2" t="s">
        <v>27</v>
      </c>
      <c r="H463" s="2" t="s">
        <v>17</v>
      </c>
      <c r="I463" s="2" t="s">
        <v>17</v>
      </c>
      <c r="J463">
        <v>0.4</v>
      </c>
      <c r="K463" s="1">
        <v>44901</v>
      </c>
      <c r="L463" s="2" t="str">
        <f>IF(Sheet1[[#This Row],[age]]&lt;18, "Under 18",IF(Sheet1[[#This Row],[age]]&lt;=30,"18-30",IF(Sheet1[[#This Row],[age]]&lt;=45,"31-45",IF(Sheet1[[#This Row],[age]]&lt;=60,"46-60","60+"))))</f>
        <v>46-60</v>
      </c>
      <c r="M463" s="2" t="str">
        <f>IF(Sheet1[[#This Row],[risk_score]]&lt;0.3,"Low",IF(Sheet1[[#This Row],[risk_score]]&lt;0.7,"Medium","High"))</f>
        <v>Medium</v>
      </c>
      <c r="N463">
        <f>YEAR(Sheet1[[#This Row],[date_joined]])</f>
        <v>2022</v>
      </c>
      <c r="O463" s="2" t="str">
        <f>TEXT(Sheet1[[#This Row],[date_joined]],"mmm")</f>
        <v>Dec</v>
      </c>
      <c r="P463" s="2" t="str">
        <f>"Q"&amp;ROUNDUP(MONTH(Sheet1[[#This Row],[date_joined]])/3,0)</f>
        <v>Q4</v>
      </c>
      <c r="Q463" s="2" t="str">
        <f>IF(Sheet1[[#This Row],[age]]&lt;30,"Young",IF(Sheet1[[#This Row],[age]]&lt;=50,"Adult","Senior"))</f>
        <v>Adult</v>
      </c>
      <c r="R463" s="2" t="str">
        <f t="shared" si="14"/>
        <v>Low</v>
      </c>
      <c r="S463" s="2" t="str">
        <f t="shared" si="15"/>
        <v>North - Salaried</v>
      </c>
    </row>
    <row r="464" spans="1:19" x14ac:dyDescent="0.3">
      <c r="A464" t="s">
        <v>951</v>
      </c>
      <c r="B464" t="s">
        <v>952</v>
      </c>
      <c r="C464">
        <v>35</v>
      </c>
      <c r="D464" s="2" t="s">
        <v>21</v>
      </c>
      <c r="E464" s="2" t="s">
        <v>30</v>
      </c>
      <c r="F464" s="2" t="s">
        <v>23</v>
      </c>
      <c r="G464" s="2" t="s">
        <v>32</v>
      </c>
      <c r="H464" s="2" t="s">
        <v>17</v>
      </c>
      <c r="I464" s="2" t="s">
        <v>17</v>
      </c>
      <c r="J464">
        <v>0.38</v>
      </c>
      <c r="K464" s="1">
        <v>45055</v>
      </c>
      <c r="L464" s="2" t="str">
        <f>IF(Sheet1[[#This Row],[age]]&lt;18, "Under 18",IF(Sheet1[[#This Row],[age]]&lt;=30,"18-30",IF(Sheet1[[#This Row],[age]]&lt;=45,"31-45",IF(Sheet1[[#This Row],[age]]&lt;=60,"46-60","60+"))))</f>
        <v>31-45</v>
      </c>
      <c r="M464" s="2" t="str">
        <f>IF(Sheet1[[#This Row],[risk_score]]&lt;0.3,"Low",IF(Sheet1[[#This Row],[risk_score]]&lt;0.7,"Medium","High"))</f>
        <v>Medium</v>
      </c>
      <c r="N464">
        <f>YEAR(Sheet1[[#This Row],[date_joined]])</f>
        <v>2023</v>
      </c>
      <c r="O464" s="2" t="str">
        <f>TEXT(Sheet1[[#This Row],[date_joined]],"mmm")</f>
        <v>May</v>
      </c>
      <c r="P464" s="2" t="str">
        <f>"Q"&amp;ROUNDUP(MONTH(Sheet1[[#This Row],[date_joined]])/3,0)</f>
        <v>Q2</v>
      </c>
      <c r="Q464" s="2" t="str">
        <f>IF(Sheet1[[#This Row],[age]]&lt;30,"Young",IF(Sheet1[[#This Row],[age]]&lt;=50,"Adult","Senior"))</f>
        <v>Adult</v>
      </c>
      <c r="R464" s="2" t="str">
        <f t="shared" si="14"/>
        <v>Low</v>
      </c>
      <c r="S464" s="2" t="str">
        <f t="shared" si="15"/>
        <v>South - Salaried</v>
      </c>
    </row>
    <row r="465" spans="1:19" x14ac:dyDescent="0.3">
      <c r="A465" t="s">
        <v>953</v>
      </c>
      <c r="B465" t="s">
        <v>954</v>
      </c>
      <c r="C465">
        <v>58</v>
      </c>
      <c r="D465" s="2" t="s">
        <v>13</v>
      </c>
      <c r="E465" s="2" t="s">
        <v>22</v>
      </c>
      <c r="F465" s="2" t="s">
        <v>23</v>
      </c>
      <c r="G465" s="2" t="s">
        <v>81</v>
      </c>
      <c r="H465" s="2" t="s">
        <v>18</v>
      </c>
      <c r="I465" s="2" t="s">
        <v>18</v>
      </c>
      <c r="J465">
        <v>0.36</v>
      </c>
      <c r="K465" s="1">
        <v>43781</v>
      </c>
      <c r="L465" s="2" t="str">
        <f>IF(Sheet1[[#This Row],[age]]&lt;18, "Under 18",IF(Sheet1[[#This Row],[age]]&lt;=30,"18-30",IF(Sheet1[[#This Row],[age]]&lt;=45,"31-45",IF(Sheet1[[#This Row],[age]]&lt;=60,"46-60","60+"))))</f>
        <v>46-60</v>
      </c>
      <c r="M465" s="2" t="str">
        <f>IF(Sheet1[[#This Row],[risk_score]]&lt;0.3,"Low",IF(Sheet1[[#This Row],[risk_score]]&lt;0.7,"Medium","High"))</f>
        <v>Medium</v>
      </c>
      <c r="N465">
        <f>YEAR(Sheet1[[#This Row],[date_joined]])</f>
        <v>2019</v>
      </c>
      <c r="O465" s="2" t="str">
        <f>TEXT(Sheet1[[#This Row],[date_joined]],"mmm")</f>
        <v>Nov</v>
      </c>
      <c r="P465" s="2" t="str">
        <f>"Q"&amp;ROUNDUP(MONTH(Sheet1[[#This Row],[date_joined]])/3,0)</f>
        <v>Q4</v>
      </c>
      <c r="Q465" s="2" t="str">
        <f>IF(Sheet1[[#This Row],[age]]&lt;30,"Young",IF(Sheet1[[#This Row],[age]]&lt;=50,"Adult","Senior"))</f>
        <v>Senior</v>
      </c>
      <c r="R465" s="2" t="str">
        <f t="shared" si="14"/>
        <v>Very High</v>
      </c>
      <c r="S465" s="2" t="str">
        <f t="shared" si="15"/>
        <v>Central - Salaried</v>
      </c>
    </row>
    <row r="466" spans="1:19" x14ac:dyDescent="0.3">
      <c r="A466" t="s">
        <v>955</v>
      </c>
      <c r="B466" t="s">
        <v>956</v>
      </c>
      <c r="C466">
        <v>35</v>
      </c>
      <c r="D466" s="2" t="s">
        <v>21</v>
      </c>
      <c r="E466" s="2" t="s">
        <v>22</v>
      </c>
      <c r="F466" s="2" t="s">
        <v>37</v>
      </c>
      <c r="G466" s="2" t="s">
        <v>66</v>
      </c>
      <c r="H466" s="2" t="s">
        <v>18</v>
      </c>
      <c r="I466" s="2" t="s">
        <v>17</v>
      </c>
      <c r="J466">
        <v>0.68</v>
      </c>
      <c r="K466" s="1">
        <v>43363</v>
      </c>
      <c r="L466" s="2" t="str">
        <f>IF(Sheet1[[#This Row],[age]]&lt;18, "Under 18",IF(Sheet1[[#This Row],[age]]&lt;=30,"18-30",IF(Sheet1[[#This Row],[age]]&lt;=45,"31-45",IF(Sheet1[[#This Row],[age]]&lt;=60,"46-60","60+"))))</f>
        <v>31-45</v>
      </c>
      <c r="M466" s="2" t="str">
        <f>IF(Sheet1[[#This Row],[risk_score]]&lt;0.3,"Low",IF(Sheet1[[#This Row],[risk_score]]&lt;0.7,"Medium","High"))</f>
        <v>Medium</v>
      </c>
      <c r="N466">
        <f>YEAR(Sheet1[[#This Row],[date_joined]])</f>
        <v>2018</v>
      </c>
      <c r="O466" s="2" t="str">
        <f>TEXT(Sheet1[[#This Row],[date_joined]],"mmm")</f>
        <v>Sep</v>
      </c>
      <c r="P466" s="2" t="str">
        <f>"Q"&amp;ROUNDUP(MONTH(Sheet1[[#This Row],[date_joined]])/3,0)</f>
        <v>Q3</v>
      </c>
      <c r="Q466" s="2" t="str">
        <f>IF(Sheet1[[#This Row],[age]]&lt;30,"Young",IF(Sheet1[[#This Row],[age]]&lt;=50,"Adult","Senior"))</f>
        <v>Adult</v>
      </c>
      <c r="R466" s="2" t="str">
        <f t="shared" si="14"/>
        <v>High</v>
      </c>
      <c r="S466" s="2" t="str">
        <f t="shared" si="15"/>
        <v>North-East - Retired</v>
      </c>
    </row>
    <row r="467" spans="1:19" x14ac:dyDescent="0.3">
      <c r="A467" t="s">
        <v>957</v>
      </c>
      <c r="B467" t="s">
        <v>958</v>
      </c>
      <c r="C467">
        <v>42</v>
      </c>
      <c r="D467" s="2" t="s">
        <v>21</v>
      </c>
      <c r="E467" s="2" t="s">
        <v>14</v>
      </c>
      <c r="F467" s="2" t="s">
        <v>37</v>
      </c>
      <c r="G467" s="2" t="s">
        <v>27</v>
      </c>
      <c r="H467" s="2" t="s">
        <v>17</v>
      </c>
      <c r="I467" s="2" t="s">
        <v>17</v>
      </c>
      <c r="J467">
        <v>0.76</v>
      </c>
      <c r="K467" s="1">
        <v>44607</v>
      </c>
      <c r="L467" s="2" t="str">
        <f>IF(Sheet1[[#This Row],[age]]&lt;18, "Under 18",IF(Sheet1[[#This Row],[age]]&lt;=30,"18-30",IF(Sheet1[[#This Row],[age]]&lt;=45,"31-45",IF(Sheet1[[#This Row],[age]]&lt;=60,"46-60","60+"))))</f>
        <v>31-45</v>
      </c>
      <c r="M467" s="2" t="str">
        <f>IF(Sheet1[[#This Row],[risk_score]]&lt;0.3,"Low",IF(Sheet1[[#This Row],[risk_score]]&lt;0.7,"Medium","High"))</f>
        <v>High</v>
      </c>
      <c r="N467">
        <f>YEAR(Sheet1[[#This Row],[date_joined]])</f>
        <v>2022</v>
      </c>
      <c r="O467" s="2" t="str">
        <f>TEXT(Sheet1[[#This Row],[date_joined]],"mmm")</f>
        <v>Feb</v>
      </c>
      <c r="P467" s="2" t="str">
        <f>"Q"&amp;ROUNDUP(MONTH(Sheet1[[#This Row],[date_joined]])/3,0)</f>
        <v>Q1</v>
      </c>
      <c r="Q467" s="2" t="str">
        <f>IF(Sheet1[[#This Row],[age]]&lt;30,"Young",IF(Sheet1[[#This Row],[age]]&lt;=50,"Adult","Senior"))</f>
        <v>Adult</v>
      </c>
      <c r="R467" s="2" t="str">
        <f t="shared" si="14"/>
        <v>Low</v>
      </c>
      <c r="S467" s="2" t="str">
        <f t="shared" si="15"/>
        <v>North - Retired</v>
      </c>
    </row>
    <row r="468" spans="1:19" x14ac:dyDescent="0.3">
      <c r="A468" t="s">
        <v>959</v>
      </c>
      <c r="B468" t="s">
        <v>960</v>
      </c>
      <c r="C468">
        <v>30</v>
      </c>
      <c r="D468" s="2" t="s">
        <v>21</v>
      </c>
      <c r="E468" s="2" t="s">
        <v>14</v>
      </c>
      <c r="F468" s="2" t="s">
        <v>23</v>
      </c>
      <c r="G468" s="2" t="s">
        <v>81</v>
      </c>
      <c r="H468" s="2" t="s">
        <v>17</v>
      </c>
      <c r="I468" s="2" t="s">
        <v>17</v>
      </c>
      <c r="J468">
        <v>0.38</v>
      </c>
      <c r="K468" s="1">
        <v>44753</v>
      </c>
      <c r="L468" s="2" t="str">
        <f>IF(Sheet1[[#This Row],[age]]&lt;18, "Under 18",IF(Sheet1[[#This Row],[age]]&lt;=30,"18-30",IF(Sheet1[[#This Row],[age]]&lt;=45,"31-45",IF(Sheet1[[#This Row],[age]]&lt;=60,"46-60","60+"))))</f>
        <v>18-30</v>
      </c>
      <c r="M468" s="2" t="str">
        <f>IF(Sheet1[[#This Row],[risk_score]]&lt;0.3,"Low",IF(Sheet1[[#This Row],[risk_score]]&lt;0.7,"Medium","High"))</f>
        <v>Medium</v>
      </c>
      <c r="N468">
        <f>YEAR(Sheet1[[#This Row],[date_joined]])</f>
        <v>2022</v>
      </c>
      <c r="O468" s="2" t="str">
        <f>TEXT(Sheet1[[#This Row],[date_joined]],"mmm")</f>
        <v>Jul</v>
      </c>
      <c r="P468" s="2" t="str">
        <f>"Q"&amp;ROUNDUP(MONTH(Sheet1[[#This Row],[date_joined]])/3,0)</f>
        <v>Q3</v>
      </c>
      <c r="Q468" s="2" t="str">
        <f>IF(Sheet1[[#This Row],[age]]&lt;30,"Young",IF(Sheet1[[#This Row],[age]]&lt;=50,"Adult","Senior"))</f>
        <v>Adult</v>
      </c>
      <c r="R468" s="2" t="str">
        <f t="shared" si="14"/>
        <v>Low</v>
      </c>
      <c r="S468" s="2" t="str">
        <f t="shared" si="15"/>
        <v>Central - Salaried</v>
      </c>
    </row>
    <row r="469" spans="1:19" x14ac:dyDescent="0.3">
      <c r="A469" t="s">
        <v>961</v>
      </c>
      <c r="B469" t="s">
        <v>962</v>
      </c>
      <c r="C469">
        <v>51</v>
      </c>
      <c r="D469" s="2" t="s">
        <v>21</v>
      </c>
      <c r="E469" s="2" t="s">
        <v>14</v>
      </c>
      <c r="F469" s="2" t="s">
        <v>15</v>
      </c>
      <c r="G469" s="2" t="s">
        <v>27</v>
      </c>
      <c r="H469" s="2" t="s">
        <v>17</v>
      </c>
      <c r="I469" s="2" t="s">
        <v>17</v>
      </c>
      <c r="J469">
        <v>0.83</v>
      </c>
      <c r="K469" s="1">
        <v>44146</v>
      </c>
      <c r="L469" s="2" t="str">
        <f>IF(Sheet1[[#This Row],[age]]&lt;18, "Under 18",IF(Sheet1[[#This Row],[age]]&lt;=30,"18-30",IF(Sheet1[[#This Row],[age]]&lt;=45,"31-45",IF(Sheet1[[#This Row],[age]]&lt;=60,"46-60","60+"))))</f>
        <v>46-60</v>
      </c>
      <c r="M469" s="2" t="str">
        <f>IF(Sheet1[[#This Row],[risk_score]]&lt;0.3,"Low",IF(Sheet1[[#This Row],[risk_score]]&lt;0.7,"Medium","High"))</f>
        <v>High</v>
      </c>
      <c r="N469">
        <f>YEAR(Sheet1[[#This Row],[date_joined]])</f>
        <v>2020</v>
      </c>
      <c r="O469" s="2" t="str">
        <f>TEXT(Sheet1[[#This Row],[date_joined]],"mmm")</f>
        <v>Nov</v>
      </c>
      <c r="P469" s="2" t="str">
        <f>"Q"&amp;ROUNDUP(MONTH(Sheet1[[#This Row],[date_joined]])/3,0)</f>
        <v>Q4</v>
      </c>
      <c r="Q469" s="2" t="str">
        <f>IF(Sheet1[[#This Row],[age]]&lt;30,"Young",IF(Sheet1[[#This Row],[age]]&lt;=50,"Adult","Senior"))</f>
        <v>Senior</v>
      </c>
      <c r="R469" s="2" t="str">
        <f t="shared" si="14"/>
        <v>Low</v>
      </c>
      <c r="S469" s="2" t="str">
        <f t="shared" si="15"/>
        <v>North - Student</v>
      </c>
    </row>
    <row r="470" spans="1:19" x14ac:dyDescent="0.3">
      <c r="A470" t="s">
        <v>963</v>
      </c>
      <c r="B470" t="s">
        <v>964</v>
      </c>
      <c r="C470">
        <v>19</v>
      </c>
      <c r="D470" s="2" t="s">
        <v>13</v>
      </c>
      <c r="E470" s="2" t="s">
        <v>30</v>
      </c>
      <c r="F470" s="2" t="s">
        <v>37</v>
      </c>
      <c r="G470" s="2" t="s">
        <v>27</v>
      </c>
      <c r="H470" s="2" t="s">
        <v>18</v>
      </c>
      <c r="I470" s="2" t="s">
        <v>18</v>
      </c>
      <c r="J470">
        <v>0.55000000000000004</v>
      </c>
      <c r="K470" s="1">
        <v>44214</v>
      </c>
      <c r="L470" s="2" t="str">
        <f>IF(Sheet1[[#This Row],[age]]&lt;18, "Under 18",IF(Sheet1[[#This Row],[age]]&lt;=30,"18-30",IF(Sheet1[[#This Row],[age]]&lt;=45,"31-45",IF(Sheet1[[#This Row],[age]]&lt;=60,"46-60","60+"))))</f>
        <v>18-30</v>
      </c>
      <c r="M470" s="2" t="str">
        <f>IF(Sheet1[[#This Row],[risk_score]]&lt;0.3,"Low",IF(Sheet1[[#This Row],[risk_score]]&lt;0.7,"Medium","High"))</f>
        <v>Medium</v>
      </c>
      <c r="N470">
        <f>YEAR(Sheet1[[#This Row],[date_joined]])</f>
        <v>2021</v>
      </c>
      <c r="O470" s="2" t="str">
        <f>TEXT(Sheet1[[#This Row],[date_joined]],"mmm")</f>
        <v>Jan</v>
      </c>
      <c r="P470" s="2" t="str">
        <f>"Q"&amp;ROUNDUP(MONTH(Sheet1[[#This Row],[date_joined]])/3,0)</f>
        <v>Q1</v>
      </c>
      <c r="Q470" s="2" t="str">
        <f>IF(Sheet1[[#This Row],[age]]&lt;30,"Young",IF(Sheet1[[#This Row],[age]]&lt;=50,"Adult","Senior"))</f>
        <v>Young</v>
      </c>
      <c r="R470" s="2" t="str">
        <f t="shared" si="14"/>
        <v>Very High</v>
      </c>
      <c r="S470" s="2" t="str">
        <f t="shared" si="15"/>
        <v>North - Retired</v>
      </c>
    </row>
    <row r="471" spans="1:19" x14ac:dyDescent="0.3">
      <c r="A471" t="s">
        <v>965</v>
      </c>
      <c r="B471" t="s">
        <v>966</v>
      </c>
      <c r="C471">
        <v>58</v>
      </c>
      <c r="D471" s="2" t="s">
        <v>13</v>
      </c>
      <c r="E471" s="2" t="s">
        <v>30</v>
      </c>
      <c r="F471" s="2" t="s">
        <v>37</v>
      </c>
      <c r="G471" s="2" t="s">
        <v>16</v>
      </c>
      <c r="H471" s="2" t="s">
        <v>18</v>
      </c>
      <c r="I471" s="2" t="s">
        <v>18</v>
      </c>
      <c r="J471">
        <v>0.28999999999999998</v>
      </c>
      <c r="K471" s="1">
        <v>44077</v>
      </c>
      <c r="L471" s="2" t="str">
        <f>IF(Sheet1[[#This Row],[age]]&lt;18, "Under 18",IF(Sheet1[[#This Row],[age]]&lt;=30,"18-30",IF(Sheet1[[#This Row],[age]]&lt;=45,"31-45",IF(Sheet1[[#This Row],[age]]&lt;=60,"46-60","60+"))))</f>
        <v>46-60</v>
      </c>
      <c r="M471" s="2" t="str">
        <f>IF(Sheet1[[#This Row],[risk_score]]&lt;0.3,"Low",IF(Sheet1[[#This Row],[risk_score]]&lt;0.7,"Medium","High"))</f>
        <v>Low</v>
      </c>
      <c r="N471">
        <f>YEAR(Sheet1[[#This Row],[date_joined]])</f>
        <v>2020</v>
      </c>
      <c r="O471" s="2" t="str">
        <f>TEXT(Sheet1[[#This Row],[date_joined]],"mmm")</f>
        <v>Sep</v>
      </c>
      <c r="P471" s="2" t="str">
        <f>"Q"&amp;ROUNDUP(MONTH(Sheet1[[#This Row],[date_joined]])/3,0)</f>
        <v>Q3</v>
      </c>
      <c r="Q471" s="2" t="str">
        <f>IF(Sheet1[[#This Row],[age]]&lt;30,"Young",IF(Sheet1[[#This Row],[age]]&lt;=50,"Adult","Senior"))</f>
        <v>Senior</v>
      </c>
      <c r="R471" s="2" t="str">
        <f t="shared" si="14"/>
        <v>Very High</v>
      </c>
      <c r="S471" s="2" t="str">
        <f t="shared" si="15"/>
        <v>West - Retired</v>
      </c>
    </row>
    <row r="472" spans="1:19" x14ac:dyDescent="0.3">
      <c r="A472" t="s">
        <v>967</v>
      </c>
      <c r="B472" t="s">
        <v>968</v>
      </c>
      <c r="C472">
        <v>69</v>
      </c>
      <c r="D472" s="2" t="s">
        <v>21</v>
      </c>
      <c r="E472" s="2" t="s">
        <v>22</v>
      </c>
      <c r="F472" s="2" t="s">
        <v>37</v>
      </c>
      <c r="G472" s="2" t="s">
        <v>32</v>
      </c>
      <c r="H472" s="2" t="s">
        <v>17</v>
      </c>
      <c r="I472" s="2" t="s">
        <v>18</v>
      </c>
      <c r="J472">
        <v>0.95</v>
      </c>
      <c r="K472" s="1">
        <v>44196</v>
      </c>
      <c r="L472" s="2" t="str">
        <f>IF(Sheet1[[#This Row],[age]]&lt;18, "Under 18",IF(Sheet1[[#This Row],[age]]&lt;=30,"18-30",IF(Sheet1[[#This Row],[age]]&lt;=45,"31-45",IF(Sheet1[[#This Row],[age]]&lt;=60,"46-60","60+"))))</f>
        <v>60+</v>
      </c>
      <c r="M472" s="2" t="str">
        <f>IF(Sheet1[[#This Row],[risk_score]]&lt;0.3,"Low",IF(Sheet1[[#This Row],[risk_score]]&lt;0.7,"Medium","High"))</f>
        <v>High</v>
      </c>
      <c r="N472">
        <f>YEAR(Sheet1[[#This Row],[date_joined]])</f>
        <v>2020</v>
      </c>
      <c r="O472" s="2" t="str">
        <f>TEXT(Sheet1[[#This Row],[date_joined]],"mmm")</f>
        <v>Dec</v>
      </c>
      <c r="P472" s="2" t="str">
        <f>"Q"&amp;ROUNDUP(MONTH(Sheet1[[#This Row],[date_joined]])/3,0)</f>
        <v>Q4</v>
      </c>
      <c r="Q472" s="2" t="str">
        <f>IF(Sheet1[[#This Row],[age]]&lt;30,"Young",IF(Sheet1[[#This Row],[age]]&lt;=50,"Adult","Senior"))</f>
        <v>Senior</v>
      </c>
      <c r="R472" s="2" t="str">
        <f t="shared" si="14"/>
        <v>High</v>
      </c>
      <c r="S472" s="2" t="str">
        <f t="shared" si="15"/>
        <v>South - Retired</v>
      </c>
    </row>
    <row r="473" spans="1:19" x14ac:dyDescent="0.3">
      <c r="A473" t="s">
        <v>969</v>
      </c>
      <c r="B473" t="s">
        <v>970</v>
      </c>
      <c r="C473">
        <v>41</v>
      </c>
      <c r="D473" s="2" t="s">
        <v>21</v>
      </c>
      <c r="E473" s="2" t="s">
        <v>22</v>
      </c>
      <c r="F473" s="2" t="s">
        <v>15</v>
      </c>
      <c r="G473" s="2" t="s">
        <v>81</v>
      </c>
      <c r="H473" s="2" t="s">
        <v>18</v>
      </c>
      <c r="I473" s="2" t="s">
        <v>17</v>
      </c>
      <c r="J473">
        <v>0.34</v>
      </c>
      <c r="K473" s="1">
        <v>43571</v>
      </c>
      <c r="L473" s="2" t="str">
        <f>IF(Sheet1[[#This Row],[age]]&lt;18, "Under 18",IF(Sheet1[[#This Row],[age]]&lt;=30,"18-30",IF(Sheet1[[#This Row],[age]]&lt;=45,"31-45",IF(Sheet1[[#This Row],[age]]&lt;=60,"46-60","60+"))))</f>
        <v>31-45</v>
      </c>
      <c r="M473" s="2" t="str">
        <f>IF(Sheet1[[#This Row],[risk_score]]&lt;0.3,"Low",IF(Sheet1[[#This Row],[risk_score]]&lt;0.7,"Medium","High"))</f>
        <v>Medium</v>
      </c>
      <c r="N473">
        <f>YEAR(Sheet1[[#This Row],[date_joined]])</f>
        <v>2019</v>
      </c>
      <c r="O473" s="2" t="str">
        <f>TEXT(Sheet1[[#This Row],[date_joined]],"mmm")</f>
        <v>Apr</v>
      </c>
      <c r="P473" s="2" t="str">
        <f>"Q"&amp;ROUNDUP(MONTH(Sheet1[[#This Row],[date_joined]])/3,0)</f>
        <v>Q2</v>
      </c>
      <c r="Q473" s="2" t="str">
        <f>IF(Sheet1[[#This Row],[age]]&lt;30,"Young",IF(Sheet1[[#This Row],[age]]&lt;=50,"Adult","Senior"))</f>
        <v>Adult</v>
      </c>
      <c r="R473" s="2" t="str">
        <f t="shared" si="14"/>
        <v>High</v>
      </c>
      <c r="S473" s="2" t="str">
        <f t="shared" si="15"/>
        <v>Central - Student</v>
      </c>
    </row>
    <row r="474" spans="1:19" x14ac:dyDescent="0.3">
      <c r="A474" t="s">
        <v>971</v>
      </c>
      <c r="B474" t="s">
        <v>972</v>
      </c>
      <c r="C474">
        <v>29</v>
      </c>
      <c r="D474" s="2" t="s">
        <v>21</v>
      </c>
      <c r="E474" s="2" t="s">
        <v>22</v>
      </c>
      <c r="F474" s="2" t="s">
        <v>15</v>
      </c>
      <c r="G474" s="2" t="s">
        <v>16</v>
      </c>
      <c r="H474" s="2" t="s">
        <v>18</v>
      </c>
      <c r="I474" s="2" t="s">
        <v>17</v>
      </c>
      <c r="J474">
        <v>1</v>
      </c>
      <c r="K474" s="1">
        <v>43899</v>
      </c>
      <c r="L474" s="2" t="str">
        <f>IF(Sheet1[[#This Row],[age]]&lt;18, "Under 18",IF(Sheet1[[#This Row],[age]]&lt;=30,"18-30",IF(Sheet1[[#This Row],[age]]&lt;=45,"31-45",IF(Sheet1[[#This Row],[age]]&lt;=60,"46-60","60+"))))</f>
        <v>18-30</v>
      </c>
      <c r="M474" s="2" t="str">
        <f>IF(Sheet1[[#This Row],[risk_score]]&lt;0.3,"Low",IF(Sheet1[[#This Row],[risk_score]]&lt;0.7,"Medium","High"))</f>
        <v>High</v>
      </c>
      <c r="N474">
        <f>YEAR(Sheet1[[#This Row],[date_joined]])</f>
        <v>2020</v>
      </c>
      <c r="O474" s="2" t="str">
        <f>TEXT(Sheet1[[#This Row],[date_joined]],"mmm")</f>
        <v>Mar</v>
      </c>
      <c r="P474" s="2" t="str">
        <f>"Q"&amp;ROUNDUP(MONTH(Sheet1[[#This Row],[date_joined]])/3,0)</f>
        <v>Q1</v>
      </c>
      <c r="Q474" s="2" t="str">
        <f>IF(Sheet1[[#This Row],[age]]&lt;30,"Young",IF(Sheet1[[#This Row],[age]]&lt;=50,"Adult","Senior"))</f>
        <v>Young</v>
      </c>
      <c r="R474" s="2" t="str">
        <f t="shared" si="14"/>
        <v>High</v>
      </c>
      <c r="S474" s="2" t="str">
        <f t="shared" si="15"/>
        <v>West - Student</v>
      </c>
    </row>
    <row r="475" spans="1:19" x14ac:dyDescent="0.3">
      <c r="A475" t="s">
        <v>973</v>
      </c>
      <c r="B475" t="s">
        <v>974</v>
      </c>
      <c r="C475">
        <v>38</v>
      </c>
      <c r="D475" s="2" t="s">
        <v>21</v>
      </c>
      <c r="E475" s="2" t="s">
        <v>14</v>
      </c>
      <c r="F475" s="2" t="s">
        <v>23</v>
      </c>
      <c r="G475" s="2" t="s">
        <v>16</v>
      </c>
      <c r="H475" s="2" t="s">
        <v>17</v>
      </c>
      <c r="I475" s="2" t="s">
        <v>18</v>
      </c>
      <c r="J475">
        <v>0.78</v>
      </c>
      <c r="K475" s="1">
        <v>43183</v>
      </c>
      <c r="L475" s="2" t="str">
        <f>IF(Sheet1[[#This Row],[age]]&lt;18, "Under 18",IF(Sheet1[[#This Row],[age]]&lt;=30,"18-30",IF(Sheet1[[#This Row],[age]]&lt;=45,"31-45",IF(Sheet1[[#This Row],[age]]&lt;=60,"46-60","60+"))))</f>
        <v>31-45</v>
      </c>
      <c r="M475" s="2" t="str">
        <f>IF(Sheet1[[#This Row],[risk_score]]&lt;0.3,"Low",IF(Sheet1[[#This Row],[risk_score]]&lt;0.7,"Medium","High"))</f>
        <v>High</v>
      </c>
      <c r="N475">
        <f>YEAR(Sheet1[[#This Row],[date_joined]])</f>
        <v>2018</v>
      </c>
      <c r="O475" s="2" t="str">
        <f>TEXT(Sheet1[[#This Row],[date_joined]],"mmm")</f>
        <v>Mar</v>
      </c>
      <c r="P475" s="2" t="str">
        <f>"Q"&amp;ROUNDUP(MONTH(Sheet1[[#This Row],[date_joined]])/3,0)</f>
        <v>Q1</v>
      </c>
      <c r="Q475" s="2" t="str">
        <f>IF(Sheet1[[#This Row],[age]]&lt;30,"Young",IF(Sheet1[[#This Row],[age]]&lt;=50,"Adult","Senior"))</f>
        <v>Adult</v>
      </c>
      <c r="R475" s="2" t="str">
        <f t="shared" si="14"/>
        <v>High</v>
      </c>
      <c r="S475" s="2" t="str">
        <f t="shared" si="15"/>
        <v>West - Salaried</v>
      </c>
    </row>
    <row r="476" spans="1:19" x14ac:dyDescent="0.3">
      <c r="A476" t="s">
        <v>975</v>
      </c>
      <c r="B476" t="s">
        <v>976</v>
      </c>
      <c r="C476">
        <v>40</v>
      </c>
      <c r="D476" s="2" t="s">
        <v>21</v>
      </c>
      <c r="E476" s="2" t="s">
        <v>14</v>
      </c>
      <c r="F476" s="2" t="s">
        <v>31</v>
      </c>
      <c r="G476" s="2" t="s">
        <v>27</v>
      </c>
      <c r="H476" s="2" t="s">
        <v>17</v>
      </c>
      <c r="I476" s="2" t="s">
        <v>17</v>
      </c>
      <c r="J476">
        <v>0.73</v>
      </c>
      <c r="K476" s="1">
        <v>45125</v>
      </c>
      <c r="L476" s="2" t="str">
        <f>IF(Sheet1[[#This Row],[age]]&lt;18, "Under 18",IF(Sheet1[[#This Row],[age]]&lt;=30,"18-30",IF(Sheet1[[#This Row],[age]]&lt;=45,"31-45",IF(Sheet1[[#This Row],[age]]&lt;=60,"46-60","60+"))))</f>
        <v>31-45</v>
      </c>
      <c r="M476" s="2" t="str">
        <f>IF(Sheet1[[#This Row],[risk_score]]&lt;0.3,"Low",IF(Sheet1[[#This Row],[risk_score]]&lt;0.7,"Medium","High"))</f>
        <v>High</v>
      </c>
      <c r="N476">
        <f>YEAR(Sheet1[[#This Row],[date_joined]])</f>
        <v>2023</v>
      </c>
      <c r="O476" s="2" t="str">
        <f>TEXT(Sheet1[[#This Row],[date_joined]],"mmm")</f>
        <v>Jul</v>
      </c>
      <c r="P476" s="2" t="str">
        <f>"Q"&amp;ROUNDUP(MONTH(Sheet1[[#This Row],[date_joined]])/3,0)</f>
        <v>Q3</v>
      </c>
      <c r="Q476" s="2" t="str">
        <f>IF(Sheet1[[#This Row],[age]]&lt;30,"Young",IF(Sheet1[[#This Row],[age]]&lt;=50,"Adult","Senior"))</f>
        <v>Adult</v>
      </c>
      <c r="R476" s="2" t="str">
        <f t="shared" si="14"/>
        <v>Low</v>
      </c>
      <c r="S476" s="2" t="str">
        <f t="shared" si="15"/>
        <v>North - Self-employed</v>
      </c>
    </row>
    <row r="477" spans="1:19" x14ac:dyDescent="0.3">
      <c r="A477" t="s">
        <v>977</v>
      </c>
      <c r="B477" t="s">
        <v>978</v>
      </c>
      <c r="C477">
        <v>45</v>
      </c>
      <c r="D477" s="2" t="s">
        <v>21</v>
      </c>
      <c r="E477" s="2" t="s">
        <v>30</v>
      </c>
      <c r="F477" s="2" t="s">
        <v>31</v>
      </c>
      <c r="G477" s="2" t="s">
        <v>16</v>
      </c>
      <c r="H477" s="2" t="s">
        <v>18</v>
      </c>
      <c r="I477" s="2" t="s">
        <v>17</v>
      </c>
      <c r="J477">
        <v>0.23</v>
      </c>
      <c r="K477" s="1">
        <v>43553</v>
      </c>
      <c r="L477" s="2" t="str">
        <f>IF(Sheet1[[#This Row],[age]]&lt;18, "Under 18",IF(Sheet1[[#This Row],[age]]&lt;=30,"18-30",IF(Sheet1[[#This Row],[age]]&lt;=45,"31-45",IF(Sheet1[[#This Row],[age]]&lt;=60,"46-60","60+"))))</f>
        <v>31-45</v>
      </c>
      <c r="M477" s="2" t="str">
        <f>IF(Sheet1[[#This Row],[risk_score]]&lt;0.3,"Low",IF(Sheet1[[#This Row],[risk_score]]&lt;0.7,"Medium","High"))</f>
        <v>Low</v>
      </c>
      <c r="N477">
        <f>YEAR(Sheet1[[#This Row],[date_joined]])</f>
        <v>2019</v>
      </c>
      <c r="O477" s="2" t="str">
        <f>TEXT(Sheet1[[#This Row],[date_joined]],"mmm")</f>
        <v>Mar</v>
      </c>
      <c r="P477" s="2" t="str">
        <f>"Q"&amp;ROUNDUP(MONTH(Sheet1[[#This Row],[date_joined]])/3,0)</f>
        <v>Q1</v>
      </c>
      <c r="Q477" s="2" t="str">
        <f>IF(Sheet1[[#This Row],[age]]&lt;30,"Young",IF(Sheet1[[#This Row],[age]]&lt;=50,"Adult","Senior"))</f>
        <v>Adult</v>
      </c>
      <c r="R477" s="2" t="str">
        <f t="shared" si="14"/>
        <v>High</v>
      </c>
      <c r="S477" s="2" t="str">
        <f t="shared" si="15"/>
        <v>West - Self-employed</v>
      </c>
    </row>
    <row r="478" spans="1:19" x14ac:dyDescent="0.3">
      <c r="A478" t="s">
        <v>979</v>
      </c>
      <c r="B478" t="s">
        <v>980</v>
      </c>
      <c r="C478">
        <v>25</v>
      </c>
      <c r="D478" s="2" t="s">
        <v>13</v>
      </c>
      <c r="E478" s="2" t="s">
        <v>30</v>
      </c>
      <c r="F478" s="2" t="s">
        <v>15</v>
      </c>
      <c r="G478" s="2" t="s">
        <v>27</v>
      </c>
      <c r="H478" s="2" t="s">
        <v>17</v>
      </c>
      <c r="I478" s="2" t="s">
        <v>17</v>
      </c>
      <c r="J478">
        <v>0.36</v>
      </c>
      <c r="K478" s="1">
        <v>43973</v>
      </c>
      <c r="L478" s="2" t="str">
        <f>IF(Sheet1[[#This Row],[age]]&lt;18, "Under 18",IF(Sheet1[[#This Row],[age]]&lt;=30,"18-30",IF(Sheet1[[#This Row],[age]]&lt;=45,"31-45",IF(Sheet1[[#This Row],[age]]&lt;=60,"46-60","60+"))))</f>
        <v>18-30</v>
      </c>
      <c r="M478" s="2" t="str">
        <f>IF(Sheet1[[#This Row],[risk_score]]&lt;0.3,"Low",IF(Sheet1[[#This Row],[risk_score]]&lt;0.7,"Medium","High"))</f>
        <v>Medium</v>
      </c>
      <c r="N478">
        <f>YEAR(Sheet1[[#This Row],[date_joined]])</f>
        <v>2020</v>
      </c>
      <c r="O478" s="2" t="str">
        <f>TEXT(Sheet1[[#This Row],[date_joined]],"mmm")</f>
        <v>May</v>
      </c>
      <c r="P478" s="2" t="str">
        <f>"Q"&amp;ROUNDUP(MONTH(Sheet1[[#This Row],[date_joined]])/3,0)</f>
        <v>Q2</v>
      </c>
      <c r="Q478" s="2" t="str">
        <f>IF(Sheet1[[#This Row],[age]]&lt;30,"Young",IF(Sheet1[[#This Row],[age]]&lt;=50,"Adult","Senior"))</f>
        <v>Young</v>
      </c>
      <c r="R478" s="2" t="str">
        <f t="shared" si="14"/>
        <v>Low</v>
      </c>
      <c r="S478" s="2" t="str">
        <f t="shared" si="15"/>
        <v>North - Student</v>
      </c>
    </row>
    <row r="479" spans="1:19" x14ac:dyDescent="0.3">
      <c r="A479" t="s">
        <v>981</v>
      </c>
      <c r="B479" t="s">
        <v>982</v>
      </c>
      <c r="C479">
        <v>66</v>
      </c>
      <c r="D479" s="2" t="s">
        <v>13</v>
      </c>
      <c r="E479" s="2" t="s">
        <v>22</v>
      </c>
      <c r="F479" s="2" t="s">
        <v>37</v>
      </c>
      <c r="G479" s="2" t="s">
        <v>32</v>
      </c>
      <c r="H479" s="2" t="s">
        <v>18</v>
      </c>
      <c r="I479" s="2" t="s">
        <v>17</v>
      </c>
      <c r="J479">
        <v>0.48</v>
      </c>
      <c r="K479" s="1">
        <v>44768</v>
      </c>
      <c r="L479" s="2" t="str">
        <f>IF(Sheet1[[#This Row],[age]]&lt;18, "Under 18",IF(Sheet1[[#This Row],[age]]&lt;=30,"18-30",IF(Sheet1[[#This Row],[age]]&lt;=45,"31-45",IF(Sheet1[[#This Row],[age]]&lt;=60,"46-60","60+"))))</f>
        <v>60+</v>
      </c>
      <c r="M479" s="2" t="str">
        <f>IF(Sheet1[[#This Row],[risk_score]]&lt;0.3,"Low",IF(Sheet1[[#This Row],[risk_score]]&lt;0.7,"Medium","High"))</f>
        <v>Medium</v>
      </c>
      <c r="N479">
        <f>YEAR(Sheet1[[#This Row],[date_joined]])</f>
        <v>2022</v>
      </c>
      <c r="O479" s="2" t="str">
        <f>TEXT(Sheet1[[#This Row],[date_joined]],"mmm")</f>
        <v>Jul</v>
      </c>
      <c r="P479" s="2" t="str">
        <f>"Q"&amp;ROUNDUP(MONTH(Sheet1[[#This Row],[date_joined]])/3,0)</f>
        <v>Q3</v>
      </c>
      <c r="Q479" s="2" t="str">
        <f>IF(Sheet1[[#This Row],[age]]&lt;30,"Young",IF(Sheet1[[#This Row],[age]]&lt;=50,"Adult","Senior"))</f>
        <v>Senior</v>
      </c>
      <c r="R479" s="2" t="str">
        <f t="shared" si="14"/>
        <v>High</v>
      </c>
      <c r="S479" s="2" t="str">
        <f t="shared" si="15"/>
        <v>South - Retired</v>
      </c>
    </row>
    <row r="480" spans="1:19" x14ac:dyDescent="0.3">
      <c r="A480" t="s">
        <v>983</v>
      </c>
      <c r="B480" t="s">
        <v>984</v>
      </c>
      <c r="C480">
        <v>38</v>
      </c>
      <c r="D480" s="2" t="s">
        <v>21</v>
      </c>
      <c r="E480" s="2" t="s">
        <v>30</v>
      </c>
      <c r="F480" s="2" t="s">
        <v>31</v>
      </c>
      <c r="G480" s="2" t="s">
        <v>32</v>
      </c>
      <c r="H480" s="2" t="s">
        <v>17</v>
      </c>
      <c r="I480" s="2" t="s">
        <v>18</v>
      </c>
      <c r="J480">
        <v>0.43</v>
      </c>
      <c r="K480" s="1">
        <v>43690</v>
      </c>
      <c r="L480" s="2" t="str">
        <f>IF(Sheet1[[#This Row],[age]]&lt;18, "Under 18",IF(Sheet1[[#This Row],[age]]&lt;=30,"18-30",IF(Sheet1[[#This Row],[age]]&lt;=45,"31-45",IF(Sheet1[[#This Row],[age]]&lt;=60,"46-60","60+"))))</f>
        <v>31-45</v>
      </c>
      <c r="M480" s="2" t="str">
        <f>IF(Sheet1[[#This Row],[risk_score]]&lt;0.3,"Low",IF(Sheet1[[#This Row],[risk_score]]&lt;0.7,"Medium","High"))</f>
        <v>Medium</v>
      </c>
      <c r="N480">
        <f>YEAR(Sheet1[[#This Row],[date_joined]])</f>
        <v>2019</v>
      </c>
      <c r="O480" s="2" t="str">
        <f>TEXT(Sheet1[[#This Row],[date_joined]],"mmm")</f>
        <v>Aug</v>
      </c>
      <c r="P480" s="2" t="str">
        <f>"Q"&amp;ROUNDUP(MONTH(Sheet1[[#This Row],[date_joined]])/3,0)</f>
        <v>Q3</v>
      </c>
      <c r="Q480" s="2" t="str">
        <f>IF(Sheet1[[#This Row],[age]]&lt;30,"Young",IF(Sheet1[[#This Row],[age]]&lt;=50,"Adult","Senior"))</f>
        <v>Adult</v>
      </c>
      <c r="R480" s="2" t="str">
        <f t="shared" si="14"/>
        <v>High</v>
      </c>
      <c r="S480" s="2" t="str">
        <f t="shared" si="15"/>
        <v>South - Self-employed</v>
      </c>
    </row>
    <row r="481" spans="1:19" x14ac:dyDescent="0.3">
      <c r="A481" t="s">
        <v>985</v>
      </c>
      <c r="B481" t="s">
        <v>986</v>
      </c>
      <c r="C481">
        <v>27</v>
      </c>
      <c r="D481" s="2" t="s">
        <v>21</v>
      </c>
      <c r="E481" s="2" t="s">
        <v>22</v>
      </c>
      <c r="F481" s="2" t="s">
        <v>37</v>
      </c>
      <c r="G481" s="2" t="s">
        <v>16</v>
      </c>
      <c r="H481" s="2" t="s">
        <v>17</v>
      </c>
      <c r="I481" s="2" t="s">
        <v>17</v>
      </c>
      <c r="J481">
        <v>0.55000000000000004</v>
      </c>
      <c r="K481" s="1">
        <v>43617</v>
      </c>
      <c r="L481" s="2" t="str">
        <f>IF(Sheet1[[#This Row],[age]]&lt;18, "Under 18",IF(Sheet1[[#This Row],[age]]&lt;=30,"18-30",IF(Sheet1[[#This Row],[age]]&lt;=45,"31-45",IF(Sheet1[[#This Row],[age]]&lt;=60,"46-60","60+"))))</f>
        <v>18-30</v>
      </c>
      <c r="M481" s="2" t="str">
        <f>IF(Sheet1[[#This Row],[risk_score]]&lt;0.3,"Low",IF(Sheet1[[#This Row],[risk_score]]&lt;0.7,"Medium","High"))</f>
        <v>Medium</v>
      </c>
      <c r="N481">
        <f>YEAR(Sheet1[[#This Row],[date_joined]])</f>
        <v>2019</v>
      </c>
      <c r="O481" s="2" t="str">
        <f>TEXT(Sheet1[[#This Row],[date_joined]],"mmm")</f>
        <v>Jun</v>
      </c>
      <c r="P481" s="2" t="str">
        <f>"Q"&amp;ROUNDUP(MONTH(Sheet1[[#This Row],[date_joined]])/3,0)</f>
        <v>Q2</v>
      </c>
      <c r="Q481" s="2" t="str">
        <f>IF(Sheet1[[#This Row],[age]]&lt;30,"Young",IF(Sheet1[[#This Row],[age]]&lt;=50,"Adult","Senior"))</f>
        <v>Young</v>
      </c>
      <c r="R481" s="2" t="str">
        <f t="shared" si="14"/>
        <v>Low</v>
      </c>
      <c r="S481" s="2" t="str">
        <f t="shared" si="15"/>
        <v>West - Retired</v>
      </c>
    </row>
    <row r="482" spans="1:19" x14ac:dyDescent="0.3">
      <c r="A482" t="s">
        <v>987</v>
      </c>
      <c r="B482" t="s">
        <v>988</v>
      </c>
      <c r="C482">
        <v>35</v>
      </c>
      <c r="D482" s="2" t="s">
        <v>21</v>
      </c>
      <c r="E482" s="2" t="s">
        <v>30</v>
      </c>
      <c r="F482" s="2" t="s">
        <v>23</v>
      </c>
      <c r="G482" s="2" t="s">
        <v>24</v>
      </c>
      <c r="H482" s="2" t="s">
        <v>17</v>
      </c>
      <c r="I482" s="2" t="s">
        <v>17</v>
      </c>
      <c r="J482">
        <v>0.6</v>
      </c>
      <c r="K482" s="1">
        <v>45199</v>
      </c>
      <c r="L482" s="2" t="str">
        <f>IF(Sheet1[[#This Row],[age]]&lt;18, "Under 18",IF(Sheet1[[#This Row],[age]]&lt;=30,"18-30",IF(Sheet1[[#This Row],[age]]&lt;=45,"31-45",IF(Sheet1[[#This Row],[age]]&lt;=60,"46-60","60+"))))</f>
        <v>31-45</v>
      </c>
      <c r="M482" s="2" t="str">
        <f>IF(Sheet1[[#This Row],[risk_score]]&lt;0.3,"Low",IF(Sheet1[[#This Row],[risk_score]]&lt;0.7,"Medium","High"))</f>
        <v>Medium</v>
      </c>
      <c r="N482">
        <f>YEAR(Sheet1[[#This Row],[date_joined]])</f>
        <v>2023</v>
      </c>
      <c r="O482" s="2" t="str">
        <f>TEXT(Sheet1[[#This Row],[date_joined]],"mmm")</f>
        <v>Sep</v>
      </c>
      <c r="P482" s="2" t="str">
        <f>"Q"&amp;ROUNDUP(MONTH(Sheet1[[#This Row],[date_joined]])/3,0)</f>
        <v>Q3</v>
      </c>
      <c r="Q482" s="2" t="str">
        <f>IF(Sheet1[[#This Row],[age]]&lt;30,"Young",IF(Sheet1[[#This Row],[age]]&lt;=50,"Adult","Senior"))</f>
        <v>Adult</v>
      </c>
      <c r="R482" s="2" t="str">
        <f t="shared" si="14"/>
        <v>Low</v>
      </c>
      <c r="S482" s="2" t="str">
        <f t="shared" si="15"/>
        <v>East - Salaried</v>
      </c>
    </row>
    <row r="483" spans="1:19" x14ac:dyDescent="0.3">
      <c r="A483" t="s">
        <v>989</v>
      </c>
      <c r="B483" t="s">
        <v>990</v>
      </c>
      <c r="C483">
        <v>63</v>
      </c>
      <c r="D483" s="2" t="s">
        <v>21</v>
      </c>
      <c r="E483" s="2" t="s">
        <v>14</v>
      </c>
      <c r="F483" s="2" t="s">
        <v>31</v>
      </c>
      <c r="G483" s="2" t="s">
        <v>24</v>
      </c>
      <c r="H483" s="2" t="s">
        <v>18</v>
      </c>
      <c r="I483" s="2" t="s">
        <v>17</v>
      </c>
      <c r="J483">
        <v>0.36</v>
      </c>
      <c r="K483" s="1">
        <v>44028</v>
      </c>
      <c r="L483" s="2" t="str">
        <f>IF(Sheet1[[#This Row],[age]]&lt;18, "Under 18",IF(Sheet1[[#This Row],[age]]&lt;=30,"18-30",IF(Sheet1[[#This Row],[age]]&lt;=45,"31-45",IF(Sheet1[[#This Row],[age]]&lt;=60,"46-60","60+"))))</f>
        <v>60+</v>
      </c>
      <c r="M483" s="2" t="str">
        <f>IF(Sheet1[[#This Row],[risk_score]]&lt;0.3,"Low",IF(Sheet1[[#This Row],[risk_score]]&lt;0.7,"Medium","High"))</f>
        <v>Medium</v>
      </c>
      <c r="N483">
        <f>YEAR(Sheet1[[#This Row],[date_joined]])</f>
        <v>2020</v>
      </c>
      <c r="O483" s="2" t="str">
        <f>TEXT(Sheet1[[#This Row],[date_joined]],"mmm")</f>
        <v>Jul</v>
      </c>
      <c r="P483" s="2" t="str">
        <f>"Q"&amp;ROUNDUP(MONTH(Sheet1[[#This Row],[date_joined]])/3,0)</f>
        <v>Q3</v>
      </c>
      <c r="Q483" s="2" t="str">
        <f>IF(Sheet1[[#This Row],[age]]&lt;30,"Young",IF(Sheet1[[#This Row],[age]]&lt;=50,"Adult","Senior"))</f>
        <v>Senior</v>
      </c>
      <c r="R483" s="2" t="str">
        <f t="shared" si="14"/>
        <v>High</v>
      </c>
      <c r="S483" s="2" t="str">
        <f t="shared" si="15"/>
        <v>East - Self-employed</v>
      </c>
    </row>
    <row r="484" spans="1:19" x14ac:dyDescent="0.3">
      <c r="A484" t="s">
        <v>991</v>
      </c>
      <c r="B484" t="s">
        <v>992</v>
      </c>
      <c r="C484">
        <v>67</v>
      </c>
      <c r="D484" s="2" t="s">
        <v>13</v>
      </c>
      <c r="E484" s="2" t="s">
        <v>14</v>
      </c>
      <c r="F484" s="2" t="s">
        <v>31</v>
      </c>
      <c r="G484" s="2" t="s">
        <v>66</v>
      </c>
      <c r="H484" s="2" t="s">
        <v>18</v>
      </c>
      <c r="I484" s="2" t="s">
        <v>17</v>
      </c>
      <c r="J484">
        <v>0.6</v>
      </c>
      <c r="K484" s="1">
        <v>44673</v>
      </c>
      <c r="L484" s="2" t="str">
        <f>IF(Sheet1[[#This Row],[age]]&lt;18, "Under 18",IF(Sheet1[[#This Row],[age]]&lt;=30,"18-30",IF(Sheet1[[#This Row],[age]]&lt;=45,"31-45",IF(Sheet1[[#This Row],[age]]&lt;=60,"46-60","60+"))))</f>
        <v>60+</v>
      </c>
      <c r="M484" s="2" t="str">
        <f>IF(Sheet1[[#This Row],[risk_score]]&lt;0.3,"Low",IF(Sheet1[[#This Row],[risk_score]]&lt;0.7,"Medium","High"))</f>
        <v>Medium</v>
      </c>
      <c r="N484">
        <f>YEAR(Sheet1[[#This Row],[date_joined]])</f>
        <v>2022</v>
      </c>
      <c r="O484" s="2" t="str">
        <f>TEXT(Sheet1[[#This Row],[date_joined]],"mmm")</f>
        <v>Apr</v>
      </c>
      <c r="P484" s="2" t="str">
        <f>"Q"&amp;ROUNDUP(MONTH(Sheet1[[#This Row],[date_joined]])/3,0)</f>
        <v>Q2</v>
      </c>
      <c r="Q484" s="2" t="str">
        <f>IF(Sheet1[[#This Row],[age]]&lt;30,"Young",IF(Sheet1[[#This Row],[age]]&lt;=50,"Adult","Senior"))</f>
        <v>Senior</v>
      </c>
      <c r="R484" s="2" t="str">
        <f t="shared" si="14"/>
        <v>High</v>
      </c>
      <c r="S484" s="2" t="str">
        <f t="shared" si="15"/>
        <v>North-East - Self-employed</v>
      </c>
    </row>
    <row r="485" spans="1:19" x14ac:dyDescent="0.3">
      <c r="A485" t="s">
        <v>993</v>
      </c>
      <c r="B485" t="s">
        <v>994</v>
      </c>
      <c r="C485">
        <v>23</v>
      </c>
      <c r="D485" s="2" t="s">
        <v>21</v>
      </c>
      <c r="E485" s="2" t="s">
        <v>30</v>
      </c>
      <c r="F485" s="2" t="s">
        <v>15</v>
      </c>
      <c r="G485" s="2" t="s">
        <v>24</v>
      </c>
      <c r="H485" s="2" t="s">
        <v>17</v>
      </c>
      <c r="I485" s="2" t="s">
        <v>18</v>
      </c>
      <c r="J485">
        <v>0.42</v>
      </c>
      <c r="K485" s="1">
        <v>44429</v>
      </c>
      <c r="L485" s="2" t="str">
        <f>IF(Sheet1[[#This Row],[age]]&lt;18, "Under 18",IF(Sheet1[[#This Row],[age]]&lt;=30,"18-30",IF(Sheet1[[#This Row],[age]]&lt;=45,"31-45",IF(Sheet1[[#This Row],[age]]&lt;=60,"46-60","60+"))))</f>
        <v>18-30</v>
      </c>
      <c r="M485" s="2" t="str">
        <f>IF(Sheet1[[#This Row],[risk_score]]&lt;0.3,"Low",IF(Sheet1[[#This Row],[risk_score]]&lt;0.7,"Medium","High"))</f>
        <v>Medium</v>
      </c>
      <c r="N485">
        <f>YEAR(Sheet1[[#This Row],[date_joined]])</f>
        <v>2021</v>
      </c>
      <c r="O485" s="2" t="str">
        <f>TEXT(Sheet1[[#This Row],[date_joined]],"mmm")</f>
        <v>Aug</v>
      </c>
      <c r="P485" s="2" t="str">
        <f>"Q"&amp;ROUNDUP(MONTH(Sheet1[[#This Row],[date_joined]])/3,0)</f>
        <v>Q3</v>
      </c>
      <c r="Q485" s="2" t="str">
        <f>IF(Sheet1[[#This Row],[age]]&lt;30,"Young",IF(Sheet1[[#This Row],[age]]&lt;=50,"Adult","Senior"))</f>
        <v>Young</v>
      </c>
      <c r="R485" s="2" t="str">
        <f t="shared" si="14"/>
        <v>High</v>
      </c>
      <c r="S485" s="2" t="str">
        <f t="shared" si="15"/>
        <v>East - Student</v>
      </c>
    </row>
    <row r="486" spans="1:19" x14ac:dyDescent="0.3">
      <c r="A486" t="s">
        <v>995</v>
      </c>
      <c r="B486" t="s">
        <v>996</v>
      </c>
      <c r="C486">
        <v>36</v>
      </c>
      <c r="D486" s="2" t="s">
        <v>13</v>
      </c>
      <c r="E486" s="2" t="s">
        <v>22</v>
      </c>
      <c r="F486" s="2" t="s">
        <v>31</v>
      </c>
      <c r="G486" s="2" t="s">
        <v>24</v>
      </c>
      <c r="H486" s="2" t="s">
        <v>18</v>
      </c>
      <c r="I486" s="2" t="s">
        <v>18</v>
      </c>
      <c r="J486">
        <v>0.5</v>
      </c>
      <c r="K486" s="1">
        <v>44788</v>
      </c>
      <c r="L486" s="2" t="str">
        <f>IF(Sheet1[[#This Row],[age]]&lt;18, "Under 18",IF(Sheet1[[#This Row],[age]]&lt;=30,"18-30",IF(Sheet1[[#This Row],[age]]&lt;=45,"31-45",IF(Sheet1[[#This Row],[age]]&lt;=60,"46-60","60+"))))</f>
        <v>31-45</v>
      </c>
      <c r="M486" s="2" t="str">
        <f>IF(Sheet1[[#This Row],[risk_score]]&lt;0.3,"Low",IF(Sheet1[[#This Row],[risk_score]]&lt;0.7,"Medium","High"))</f>
        <v>Medium</v>
      </c>
      <c r="N486">
        <f>YEAR(Sheet1[[#This Row],[date_joined]])</f>
        <v>2022</v>
      </c>
      <c r="O486" s="2" t="str">
        <f>TEXT(Sheet1[[#This Row],[date_joined]],"mmm")</f>
        <v>Aug</v>
      </c>
      <c r="P486" s="2" t="str">
        <f>"Q"&amp;ROUNDUP(MONTH(Sheet1[[#This Row],[date_joined]])/3,0)</f>
        <v>Q3</v>
      </c>
      <c r="Q486" s="2" t="str">
        <f>IF(Sheet1[[#This Row],[age]]&lt;30,"Young",IF(Sheet1[[#This Row],[age]]&lt;=50,"Adult","Senior"))</f>
        <v>Adult</v>
      </c>
      <c r="R486" s="2" t="str">
        <f t="shared" si="14"/>
        <v>Very High</v>
      </c>
      <c r="S486" s="2" t="str">
        <f t="shared" si="15"/>
        <v>East - Self-employed</v>
      </c>
    </row>
    <row r="487" spans="1:19" x14ac:dyDescent="0.3">
      <c r="A487" t="s">
        <v>997</v>
      </c>
      <c r="B487" t="s">
        <v>998</v>
      </c>
      <c r="C487">
        <v>26</v>
      </c>
      <c r="D487" s="2" t="s">
        <v>21</v>
      </c>
      <c r="E487" s="2" t="s">
        <v>14</v>
      </c>
      <c r="F487" s="2" t="s">
        <v>37</v>
      </c>
      <c r="G487" s="2" t="s">
        <v>32</v>
      </c>
      <c r="H487" s="2" t="s">
        <v>18</v>
      </c>
      <c r="I487" s="2" t="s">
        <v>17</v>
      </c>
      <c r="J487">
        <v>0.75</v>
      </c>
      <c r="K487" s="1">
        <v>43401</v>
      </c>
      <c r="L487" s="2" t="str">
        <f>IF(Sheet1[[#This Row],[age]]&lt;18, "Under 18",IF(Sheet1[[#This Row],[age]]&lt;=30,"18-30",IF(Sheet1[[#This Row],[age]]&lt;=45,"31-45",IF(Sheet1[[#This Row],[age]]&lt;=60,"46-60","60+"))))</f>
        <v>18-30</v>
      </c>
      <c r="M487" s="2" t="str">
        <f>IF(Sheet1[[#This Row],[risk_score]]&lt;0.3,"Low",IF(Sheet1[[#This Row],[risk_score]]&lt;0.7,"Medium","High"))</f>
        <v>High</v>
      </c>
      <c r="N487">
        <f>YEAR(Sheet1[[#This Row],[date_joined]])</f>
        <v>2018</v>
      </c>
      <c r="O487" s="2" t="str">
        <f>TEXT(Sheet1[[#This Row],[date_joined]],"mmm")</f>
        <v>Oct</v>
      </c>
      <c r="P487" s="2" t="str">
        <f>"Q"&amp;ROUNDUP(MONTH(Sheet1[[#This Row],[date_joined]])/3,0)</f>
        <v>Q4</v>
      </c>
      <c r="Q487" s="2" t="str">
        <f>IF(Sheet1[[#This Row],[age]]&lt;30,"Young",IF(Sheet1[[#This Row],[age]]&lt;=50,"Adult","Senior"))</f>
        <v>Young</v>
      </c>
      <c r="R487" s="2" t="str">
        <f t="shared" si="14"/>
        <v>High</v>
      </c>
      <c r="S487" s="2" t="str">
        <f t="shared" si="15"/>
        <v>South - Retired</v>
      </c>
    </row>
    <row r="488" spans="1:19" x14ac:dyDescent="0.3">
      <c r="A488" t="s">
        <v>999</v>
      </c>
      <c r="B488" t="s">
        <v>1000</v>
      </c>
      <c r="C488">
        <v>65</v>
      </c>
      <c r="D488" s="2" t="s">
        <v>21</v>
      </c>
      <c r="E488" s="2" t="s">
        <v>22</v>
      </c>
      <c r="F488" s="2" t="s">
        <v>23</v>
      </c>
      <c r="G488" s="2" t="s">
        <v>24</v>
      </c>
      <c r="H488" s="2" t="s">
        <v>18</v>
      </c>
      <c r="I488" s="2" t="s">
        <v>18</v>
      </c>
      <c r="J488">
        <v>0.39</v>
      </c>
      <c r="K488" s="1">
        <v>45228</v>
      </c>
      <c r="L488" s="2" t="str">
        <f>IF(Sheet1[[#This Row],[age]]&lt;18, "Under 18",IF(Sheet1[[#This Row],[age]]&lt;=30,"18-30",IF(Sheet1[[#This Row],[age]]&lt;=45,"31-45",IF(Sheet1[[#This Row],[age]]&lt;=60,"46-60","60+"))))</f>
        <v>60+</v>
      </c>
      <c r="M488" s="2" t="str">
        <f>IF(Sheet1[[#This Row],[risk_score]]&lt;0.3,"Low",IF(Sheet1[[#This Row],[risk_score]]&lt;0.7,"Medium","High"))</f>
        <v>Medium</v>
      </c>
      <c r="N488">
        <f>YEAR(Sheet1[[#This Row],[date_joined]])</f>
        <v>2023</v>
      </c>
      <c r="O488" s="2" t="str">
        <f>TEXT(Sheet1[[#This Row],[date_joined]],"mmm")</f>
        <v>Oct</v>
      </c>
      <c r="P488" s="2" t="str">
        <f>"Q"&amp;ROUNDUP(MONTH(Sheet1[[#This Row],[date_joined]])/3,0)</f>
        <v>Q4</v>
      </c>
      <c r="Q488" s="2" t="str">
        <f>IF(Sheet1[[#This Row],[age]]&lt;30,"Young",IF(Sheet1[[#This Row],[age]]&lt;=50,"Adult","Senior"))</f>
        <v>Senior</v>
      </c>
      <c r="R488" s="2" t="str">
        <f t="shared" si="14"/>
        <v>Very High</v>
      </c>
      <c r="S488" s="2" t="str">
        <f t="shared" si="15"/>
        <v>East - Salaried</v>
      </c>
    </row>
    <row r="489" spans="1:19" x14ac:dyDescent="0.3">
      <c r="A489" t="s">
        <v>1001</v>
      </c>
      <c r="B489" t="s">
        <v>1002</v>
      </c>
      <c r="C489">
        <v>42</v>
      </c>
      <c r="D489" s="2" t="s">
        <v>13</v>
      </c>
      <c r="E489" s="2" t="s">
        <v>30</v>
      </c>
      <c r="F489" s="2" t="s">
        <v>15</v>
      </c>
      <c r="G489" s="2" t="s">
        <v>32</v>
      </c>
      <c r="H489" s="2" t="s">
        <v>18</v>
      </c>
      <c r="I489" s="2" t="s">
        <v>18</v>
      </c>
      <c r="J489">
        <v>0.57999999999999996</v>
      </c>
      <c r="K489" s="1">
        <v>44016</v>
      </c>
      <c r="L489" s="2" t="str">
        <f>IF(Sheet1[[#This Row],[age]]&lt;18, "Under 18",IF(Sheet1[[#This Row],[age]]&lt;=30,"18-30",IF(Sheet1[[#This Row],[age]]&lt;=45,"31-45",IF(Sheet1[[#This Row],[age]]&lt;=60,"46-60","60+"))))</f>
        <v>31-45</v>
      </c>
      <c r="M489" s="2" t="str">
        <f>IF(Sheet1[[#This Row],[risk_score]]&lt;0.3,"Low",IF(Sheet1[[#This Row],[risk_score]]&lt;0.7,"Medium","High"))</f>
        <v>Medium</v>
      </c>
      <c r="N489">
        <f>YEAR(Sheet1[[#This Row],[date_joined]])</f>
        <v>2020</v>
      </c>
      <c r="O489" s="2" t="str">
        <f>TEXT(Sheet1[[#This Row],[date_joined]],"mmm")</f>
        <v>Jul</v>
      </c>
      <c r="P489" s="2" t="str">
        <f>"Q"&amp;ROUNDUP(MONTH(Sheet1[[#This Row],[date_joined]])/3,0)</f>
        <v>Q3</v>
      </c>
      <c r="Q489" s="2" t="str">
        <f>IF(Sheet1[[#This Row],[age]]&lt;30,"Young",IF(Sheet1[[#This Row],[age]]&lt;=50,"Adult","Senior"))</f>
        <v>Adult</v>
      </c>
      <c r="R489" s="2" t="str">
        <f t="shared" si="14"/>
        <v>Very High</v>
      </c>
      <c r="S489" s="2" t="str">
        <f t="shared" si="15"/>
        <v>South - Student</v>
      </c>
    </row>
    <row r="490" spans="1:19" x14ac:dyDescent="0.3">
      <c r="A490" t="s">
        <v>1003</v>
      </c>
      <c r="B490" t="s">
        <v>1004</v>
      </c>
      <c r="C490">
        <v>21</v>
      </c>
      <c r="D490" s="2" t="s">
        <v>21</v>
      </c>
      <c r="E490" s="2" t="s">
        <v>30</v>
      </c>
      <c r="F490" s="2" t="s">
        <v>15</v>
      </c>
      <c r="G490" s="2" t="s">
        <v>24</v>
      </c>
      <c r="H490" s="2" t="s">
        <v>17</v>
      </c>
      <c r="I490" s="2" t="s">
        <v>17</v>
      </c>
      <c r="J490">
        <v>0.32</v>
      </c>
      <c r="K490" s="1">
        <v>44625</v>
      </c>
      <c r="L490" s="2" t="str">
        <f>IF(Sheet1[[#This Row],[age]]&lt;18, "Under 18",IF(Sheet1[[#This Row],[age]]&lt;=30,"18-30",IF(Sheet1[[#This Row],[age]]&lt;=45,"31-45",IF(Sheet1[[#This Row],[age]]&lt;=60,"46-60","60+"))))</f>
        <v>18-30</v>
      </c>
      <c r="M490" s="2" t="str">
        <f>IF(Sheet1[[#This Row],[risk_score]]&lt;0.3,"Low",IF(Sheet1[[#This Row],[risk_score]]&lt;0.7,"Medium","High"))</f>
        <v>Medium</v>
      </c>
      <c r="N490">
        <f>YEAR(Sheet1[[#This Row],[date_joined]])</f>
        <v>2022</v>
      </c>
      <c r="O490" s="2" t="str">
        <f>TEXT(Sheet1[[#This Row],[date_joined]],"mmm")</f>
        <v>Mar</v>
      </c>
      <c r="P490" s="2" t="str">
        <f>"Q"&amp;ROUNDUP(MONTH(Sheet1[[#This Row],[date_joined]])/3,0)</f>
        <v>Q1</v>
      </c>
      <c r="Q490" s="2" t="str">
        <f>IF(Sheet1[[#This Row],[age]]&lt;30,"Young",IF(Sheet1[[#This Row],[age]]&lt;=50,"Adult","Senior"))</f>
        <v>Young</v>
      </c>
      <c r="R490" s="2" t="str">
        <f t="shared" si="14"/>
        <v>Low</v>
      </c>
      <c r="S490" s="2" t="str">
        <f t="shared" si="15"/>
        <v>East - Student</v>
      </c>
    </row>
    <row r="491" spans="1:19" x14ac:dyDescent="0.3">
      <c r="A491" t="s">
        <v>1005</v>
      </c>
      <c r="B491" t="s">
        <v>1006</v>
      </c>
      <c r="C491">
        <v>37</v>
      </c>
      <c r="D491" s="2" t="s">
        <v>13</v>
      </c>
      <c r="E491" s="2" t="s">
        <v>22</v>
      </c>
      <c r="F491" s="2" t="s">
        <v>37</v>
      </c>
      <c r="G491" s="2" t="s">
        <v>66</v>
      </c>
      <c r="H491" s="2" t="s">
        <v>17</v>
      </c>
      <c r="I491" s="2" t="s">
        <v>17</v>
      </c>
      <c r="J491">
        <v>0.51</v>
      </c>
      <c r="K491" s="1">
        <v>43135</v>
      </c>
      <c r="L491" s="2" t="str">
        <f>IF(Sheet1[[#This Row],[age]]&lt;18, "Under 18",IF(Sheet1[[#This Row],[age]]&lt;=30,"18-30",IF(Sheet1[[#This Row],[age]]&lt;=45,"31-45",IF(Sheet1[[#This Row],[age]]&lt;=60,"46-60","60+"))))</f>
        <v>31-45</v>
      </c>
      <c r="M491" s="2" t="str">
        <f>IF(Sheet1[[#This Row],[risk_score]]&lt;0.3,"Low",IF(Sheet1[[#This Row],[risk_score]]&lt;0.7,"Medium","High"))</f>
        <v>Medium</v>
      </c>
      <c r="N491">
        <f>YEAR(Sheet1[[#This Row],[date_joined]])</f>
        <v>2018</v>
      </c>
      <c r="O491" s="2" t="str">
        <f>TEXT(Sheet1[[#This Row],[date_joined]],"mmm")</f>
        <v>Feb</v>
      </c>
      <c r="P491" s="2" t="str">
        <f>"Q"&amp;ROUNDUP(MONTH(Sheet1[[#This Row],[date_joined]])/3,0)</f>
        <v>Q1</v>
      </c>
      <c r="Q491" s="2" t="str">
        <f>IF(Sheet1[[#This Row],[age]]&lt;30,"Young",IF(Sheet1[[#This Row],[age]]&lt;=50,"Adult","Senior"))</f>
        <v>Adult</v>
      </c>
      <c r="R491" s="2" t="str">
        <f t="shared" si="14"/>
        <v>Low</v>
      </c>
      <c r="S491" s="2" t="str">
        <f t="shared" si="15"/>
        <v>North-East - Retired</v>
      </c>
    </row>
    <row r="492" spans="1:19" x14ac:dyDescent="0.3">
      <c r="A492" t="s">
        <v>1007</v>
      </c>
      <c r="B492" t="s">
        <v>1008</v>
      </c>
      <c r="C492">
        <v>22</v>
      </c>
      <c r="D492" s="2" t="s">
        <v>21</v>
      </c>
      <c r="E492" s="2" t="s">
        <v>14</v>
      </c>
      <c r="F492" s="2" t="s">
        <v>37</v>
      </c>
      <c r="G492" s="2" t="s">
        <v>27</v>
      </c>
      <c r="H492" s="2" t="s">
        <v>17</v>
      </c>
      <c r="I492" s="2" t="s">
        <v>17</v>
      </c>
      <c r="J492">
        <v>0.69</v>
      </c>
      <c r="K492" s="1">
        <v>44194</v>
      </c>
      <c r="L492" s="2" t="str">
        <f>IF(Sheet1[[#This Row],[age]]&lt;18, "Under 18",IF(Sheet1[[#This Row],[age]]&lt;=30,"18-30",IF(Sheet1[[#This Row],[age]]&lt;=45,"31-45",IF(Sheet1[[#This Row],[age]]&lt;=60,"46-60","60+"))))</f>
        <v>18-30</v>
      </c>
      <c r="M492" s="2" t="str">
        <f>IF(Sheet1[[#This Row],[risk_score]]&lt;0.3,"Low",IF(Sheet1[[#This Row],[risk_score]]&lt;0.7,"Medium","High"))</f>
        <v>Medium</v>
      </c>
      <c r="N492">
        <f>YEAR(Sheet1[[#This Row],[date_joined]])</f>
        <v>2020</v>
      </c>
      <c r="O492" s="2" t="str">
        <f>TEXT(Sheet1[[#This Row],[date_joined]],"mmm")</f>
        <v>Dec</v>
      </c>
      <c r="P492" s="2" t="str">
        <f>"Q"&amp;ROUNDUP(MONTH(Sheet1[[#This Row],[date_joined]])/3,0)</f>
        <v>Q4</v>
      </c>
      <c r="Q492" s="2" t="str">
        <f>IF(Sheet1[[#This Row],[age]]&lt;30,"Young",IF(Sheet1[[#This Row],[age]]&lt;=50,"Adult","Senior"))</f>
        <v>Young</v>
      </c>
      <c r="R492" s="2" t="str">
        <f t="shared" si="14"/>
        <v>Low</v>
      </c>
      <c r="S492" s="2" t="str">
        <f t="shared" si="15"/>
        <v>North - Retired</v>
      </c>
    </row>
    <row r="493" spans="1:19" x14ac:dyDescent="0.3">
      <c r="A493" t="s">
        <v>1009</v>
      </c>
      <c r="B493" t="s">
        <v>1010</v>
      </c>
      <c r="C493">
        <v>58</v>
      </c>
      <c r="D493" s="2" t="s">
        <v>21</v>
      </c>
      <c r="E493" s="2" t="s">
        <v>14</v>
      </c>
      <c r="F493" s="2" t="s">
        <v>31</v>
      </c>
      <c r="G493" s="2" t="s">
        <v>32</v>
      </c>
      <c r="H493" s="2" t="s">
        <v>17</v>
      </c>
      <c r="I493" s="2" t="s">
        <v>17</v>
      </c>
      <c r="J493">
        <v>0.72</v>
      </c>
      <c r="K493" s="1">
        <v>43810</v>
      </c>
      <c r="L493" s="2" t="str">
        <f>IF(Sheet1[[#This Row],[age]]&lt;18, "Under 18",IF(Sheet1[[#This Row],[age]]&lt;=30,"18-30",IF(Sheet1[[#This Row],[age]]&lt;=45,"31-45",IF(Sheet1[[#This Row],[age]]&lt;=60,"46-60","60+"))))</f>
        <v>46-60</v>
      </c>
      <c r="M493" s="2" t="str">
        <f>IF(Sheet1[[#This Row],[risk_score]]&lt;0.3,"Low",IF(Sheet1[[#This Row],[risk_score]]&lt;0.7,"Medium","High"))</f>
        <v>High</v>
      </c>
      <c r="N493">
        <f>YEAR(Sheet1[[#This Row],[date_joined]])</f>
        <v>2019</v>
      </c>
      <c r="O493" s="2" t="str">
        <f>TEXT(Sheet1[[#This Row],[date_joined]],"mmm")</f>
        <v>Dec</v>
      </c>
      <c r="P493" s="2" t="str">
        <f>"Q"&amp;ROUNDUP(MONTH(Sheet1[[#This Row],[date_joined]])/3,0)</f>
        <v>Q4</v>
      </c>
      <c r="Q493" s="2" t="str">
        <f>IF(Sheet1[[#This Row],[age]]&lt;30,"Young",IF(Sheet1[[#This Row],[age]]&lt;=50,"Adult","Senior"))</f>
        <v>Senior</v>
      </c>
      <c r="R493" s="2" t="str">
        <f t="shared" si="14"/>
        <v>Low</v>
      </c>
      <c r="S493" s="2" t="str">
        <f t="shared" si="15"/>
        <v>South - Self-employed</v>
      </c>
    </row>
    <row r="494" spans="1:19" x14ac:dyDescent="0.3">
      <c r="A494" t="s">
        <v>1011</v>
      </c>
      <c r="B494" t="s">
        <v>1012</v>
      </c>
      <c r="C494">
        <v>32</v>
      </c>
      <c r="D494" s="2" t="s">
        <v>21</v>
      </c>
      <c r="E494" s="2" t="s">
        <v>22</v>
      </c>
      <c r="F494" s="2" t="s">
        <v>15</v>
      </c>
      <c r="G494" s="2" t="s">
        <v>81</v>
      </c>
      <c r="H494" s="2" t="s">
        <v>18</v>
      </c>
      <c r="I494" s="2" t="s">
        <v>17</v>
      </c>
      <c r="J494">
        <v>0.35</v>
      </c>
      <c r="K494" s="1">
        <v>44110</v>
      </c>
      <c r="L494" s="2" t="str">
        <f>IF(Sheet1[[#This Row],[age]]&lt;18, "Under 18",IF(Sheet1[[#This Row],[age]]&lt;=30,"18-30",IF(Sheet1[[#This Row],[age]]&lt;=45,"31-45",IF(Sheet1[[#This Row],[age]]&lt;=60,"46-60","60+"))))</f>
        <v>31-45</v>
      </c>
      <c r="M494" s="2" t="str">
        <f>IF(Sheet1[[#This Row],[risk_score]]&lt;0.3,"Low",IF(Sheet1[[#This Row],[risk_score]]&lt;0.7,"Medium","High"))</f>
        <v>Medium</v>
      </c>
      <c r="N494">
        <f>YEAR(Sheet1[[#This Row],[date_joined]])</f>
        <v>2020</v>
      </c>
      <c r="O494" s="2" t="str">
        <f>TEXT(Sheet1[[#This Row],[date_joined]],"mmm")</f>
        <v>Oct</v>
      </c>
      <c r="P494" s="2" t="str">
        <f>"Q"&amp;ROUNDUP(MONTH(Sheet1[[#This Row],[date_joined]])/3,0)</f>
        <v>Q4</v>
      </c>
      <c r="Q494" s="2" t="str">
        <f>IF(Sheet1[[#This Row],[age]]&lt;30,"Young",IF(Sheet1[[#This Row],[age]]&lt;=50,"Adult","Senior"))</f>
        <v>Adult</v>
      </c>
      <c r="R494" s="2" t="str">
        <f t="shared" si="14"/>
        <v>High</v>
      </c>
      <c r="S494" s="2" t="str">
        <f t="shared" si="15"/>
        <v>Central - Student</v>
      </c>
    </row>
    <row r="495" spans="1:19" x14ac:dyDescent="0.3">
      <c r="A495" t="s">
        <v>1013</v>
      </c>
      <c r="B495" t="s">
        <v>1014</v>
      </c>
      <c r="C495">
        <v>58</v>
      </c>
      <c r="D495" s="2" t="s">
        <v>21</v>
      </c>
      <c r="E495" s="2" t="s">
        <v>30</v>
      </c>
      <c r="F495" s="2" t="s">
        <v>23</v>
      </c>
      <c r="G495" s="2" t="s">
        <v>27</v>
      </c>
      <c r="H495" s="2" t="s">
        <v>17</v>
      </c>
      <c r="I495" s="2" t="s">
        <v>18</v>
      </c>
      <c r="J495">
        <v>0.81</v>
      </c>
      <c r="K495" s="1">
        <v>44472</v>
      </c>
      <c r="L495" s="2" t="str">
        <f>IF(Sheet1[[#This Row],[age]]&lt;18, "Under 18",IF(Sheet1[[#This Row],[age]]&lt;=30,"18-30",IF(Sheet1[[#This Row],[age]]&lt;=45,"31-45",IF(Sheet1[[#This Row],[age]]&lt;=60,"46-60","60+"))))</f>
        <v>46-60</v>
      </c>
      <c r="M495" s="2" t="str">
        <f>IF(Sheet1[[#This Row],[risk_score]]&lt;0.3,"Low",IF(Sheet1[[#This Row],[risk_score]]&lt;0.7,"Medium","High"))</f>
        <v>High</v>
      </c>
      <c r="N495">
        <f>YEAR(Sheet1[[#This Row],[date_joined]])</f>
        <v>2021</v>
      </c>
      <c r="O495" s="2" t="str">
        <f>TEXT(Sheet1[[#This Row],[date_joined]],"mmm")</f>
        <v>Oct</v>
      </c>
      <c r="P495" s="2" t="str">
        <f>"Q"&amp;ROUNDUP(MONTH(Sheet1[[#This Row],[date_joined]])/3,0)</f>
        <v>Q4</v>
      </c>
      <c r="Q495" s="2" t="str">
        <f>IF(Sheet1[[#This Row],[age]]&lt;30,"Young",IF(Sheet1[[#This Row],[age]]&lt;=50,"Adult","Senior"))</f>
        <v>Senior</v>
      </c>
      <c r="R495" s="2" t="str">
        <f t="shared" si="14"/>
        <v>High</v>
      </c>
      <c r="S495" s="2" t="str">
        <f t="shared" si="15"/>
        <v>North - Salaried</v>
      </c>
    </row>
    <row r="496" spans="1:19" x14ac:dyDescent="0.3">
      <c r="A496" t="s">
        <v>1015</v>
      </c>
      <c r="B496" t="s">
        <v>1016</v>
      </c>
      <c r="C496">
        <v>25</v>
      </c>
      <c r="D496" s="2" t="s">
        <v>21</v>
      </c>
      <c r="E496" s="2" t="s">
        <v>14</v>
      </c>
      <c r="F496" s="2" t="s">
        <v>37</v>
      </c>
      <c r="G496" s="2" t="s">
        <v>27</v>
      </c>
      <c r="H496" s="2" t="s">
        <v>17</v>
      </c>
      <c r="I496" s="2" t="s">
        <v>17</v>
      </c>
      <c r="J496">
        <v>0.37</v>
      </c>
      <c r="K496" s="1">
        <v>44588</v>
      </c>
      <c r="L496" s="2" t="str">
        <f>IF(Sheet1[[#This Row],[age]]&lt;18, "Under 18",IF(Sheet1[[#This Row],[age]]&lt;=30,"18-30",IF(Sheet1[[#This Row],[age]]&lt;=45,"31-45",IF(Sheet1[[#This Row],[age]]&lt;=60,"46-60","60+"))))</f>
        <v>18-30</v>
      </c>
      <c r="M496" s="2" t="str">
        <f>IF(Sheet1[[#This Row],[risk_score]]&lt;0.3,"Low",IF(Sheet1[[#This Row],[risk_score]]&lt;0.7,"Medium","High"))</f>
        <v>Medium</v>
      </c>
      <c r="N496">
        <f>YEAR(Sheet1[[#This Row],[date_joined]])</f>
        <v>2022</v>
      </c>
      <c r="O496" s="2" t="str">
        <f>TEXT(Sheet1[[#This Row],[date_joined]],"mmm")</f>
        <v>Jan</v>
      </c>
      <c r="P496" s="2" t="str">
        <f>"Q"&amp;ROUNDUP(MONTH(Sheet1[[#This Row],[date_joined]])/3,0)</f>
        <v>Q1</v>
      </c>
      <c r="Q496" s="2" t="str">
        <f>IF(Sheet1[[#This Row],[age]]&lt;30,"Young",IF(Sheet1[[#This Row],[age]]&lt;=50,"Adult","Senior"))</f>
        <v>Young</v>
      </c>
      <c r="R496" s="2" t="str">
        <f t="shared" si="14"/>
        <v>Low</v>
      </c>
      <c r="S496" s="2" t="str">
        <f t="shared" si="15"/>
        <v>North - Retired</v>
      </c>
    </row>
    <row r="497" spans="1:19" x14ac:dyDescent="0.3">
      <c r="A497" t="s">
        <v>1017</v>
      </c>
      <c r="B497" t="s">
        <v>1018</v>
      </c>
      <c r="C497">
        <v>48</v>
      </c>
      <c r="D497" s="2" t="s">
        <v>13</v>
      </c>
      <c r="E497" s="2" t="s">
        <v>22</v>
      </c>
      <c r="F497" s="2" t="s">
        <v>23</v>
      </c>
      <c r="G497" s="2" t="s">
        <v>81</v>
      </c>
      <c r="H497" s="2" t="s">
        <v>17</v>
      </c>
      <c r="I497" s="2" t="s">
        <v>17</v>
      </c>
      <c r="J497">
        <v>0.65</v>
      </c>
      <c r="K497" s="1">
        <v>43754</v>
      </c>
      <c r="L497" s="2" t="str">
        <f>IF(Sheet1[[#This Row],[age]]&lt;18, "Under 18",IF(Sheet1[[#This Row],[age]]&lt;=30,"18-30",IF(Sheet1[[#This Row],[age]]&lt;=45,"31-45",IF(Sheet1[[#This Row],[age]]&lt;=60,"46-60","60+"))))</f>
        <v>46-60</v>
      </c>
      <c r="M497" s="2" t="str">
        <f>IF(Sheet1[[#This Row],[risk_score]]&lt;0.3,"Low",IF(Sheet1[[#This Row],[risk_score]]&lt;0.7,"Medium","High"))</f>
        <v>Medium</v>
      </c>
      <c r="N497">
        <f>YEAR(Sheet1[[#This Row],[date_joined]])</f>
        <v>2019</v>
      </c>
      <c r="O497" s="2" t="str">
        <f>TEXT(Sheet1[[#This Row],[date_joined]],"mmm")</f>
        <v>Oct</v>
      </c>
      <c r="P497" s="2" t="str">
        <f>"Q"&amp;ROUNDUP(MONTH(Sheet1[[#This Row],[date_joined]])/3,0)</f>
        <v>Q4</v>
      </c>
      <c r="Q497" s="2" t="str">
        <f>IF(Sheet1[[#This Row],[age]]&lt;30,"Young",IF(Sheet1[[#This Row],[age]]&lt;=50,"Adult","Senior"))</f>
        <v>Adult</v>
      </c>
      <c r="R497" s="2" t="str">
        <f t="shared" si="14"/>
        <v>Low</v>
      </c>
      <c r="S497" s="2" t="str">
        <f t="shared" si="15"/>
        <v>Central - Salaried</v>
      </c>
    </row>
    <row r="498" spans="1:19" x14ac:dyDescent="0.3">
      <c r="A498" t="s">
        <v>1019</v>
      </c>
      <c r="B498" t="s">
        <v>1020</v>
      </c>
      <c r="C498">
        <v>46</v>
      </c>
      <c r="D498" s="2" t="s">
        <v>13</v>
      </c>
      <c r="E498" s="2" t="s">
        <v>14</v>
      </c>
      <c r="F498" s="2" t="s">
        <v>37</v>
      </c>
      <c r="G498" s="2" t="s">
        <v>16</v>
      </c>
      <c r="H498" s="2" t="s">
        <v>18</v>
      </c>
      <c r="I498" s="2" t="s">
        <v>17</v>
      </c>
      <c r="J498">
        <v>0.14000000000000001</v>
      </c>
      <c r="K498" s="1">
        <v>44236</v>
      </c>
      <c r="L498" s="2" t="str">
        <f>IF(Sheet1[[#This Row],[age]]&lt;18, "Under 18",IF(Sheet1[[#This Row],[age]]&lt;=30,"18-30",IF(Sheet1[[#This Row],[age]]&lt;=45,"31-45",IF(Sheet1[[#This Row],[age]]&lt;=60,"46-60","60+"))))</f>
        <v>46-60</v>
      </c>
      <c r="M498" s="2" t="str">
        <f>IF(Sheet1[[#This Row],[risk_score]]&lt;0.3,"Low",IF(Sheet1[[#This Row],[risk_score]]&lt;0.7,"Medium","High"))</f>
        <v>Low</v>
      </c>
      <c r="N498">
        <f>YEAR(Sheet1[[#This Row],[date_joined]])</f>
        <v>2021</v>
      </c>
      <c r="O498" s="2" t="str">
        <f>TEXT(Sheet1[[#This Row],[date_joined]],"mmm")</f>
        <v>Feb</v>
      </c>
      <c r="P498" s="2" t="str">
        <f>"Q"&amp;ROUNDUP(MONTH(Sheet1[[#This Row],[date_joined]])/3,0)</f>
        <v>Q1</v>
      </c>
      <c r="Q498" s="2" t="str">
        <f>IF(Sheet1[[#This Row],[age]]&lt;30,"Young",IF(Sheet1[[#This Row],[age]]&lt;=50,"Adult","Senior"))</f>
        <v>Adult</v>
      </c>
      <c r="R498" s="2" t="str">
        <f t="shared" si="14"/>
        <v>High</v>
      </c>
      <c r="S498" s="2" t="str">
        <f t="shared" si="15"/>
        <v>West - Retired</v>
      </c>
    </row>
    <row r="499" spans="1:19" x14ac:dyDescent="0.3">
      <c r="A499" t="s">
        <v>1021</v>
      </c>
      <c r="B499" t="s">
        <v>1022</v>
      </c>
      <c r="C499">
        <v>58</v>
      </c>
      <c r="D499" s="2" t="s">
        <v>21</v>
      </c>
      <c r="E499" s="2" t="s">
        <v>22</v>
      </c>
      <c r="F499" s="2" t="s">
        <v>23</v>
      </c>
      <c r="G499" s="2" t="s">
        <v>32</v>
      </c>
      <c r="H499" s="2" t="s">
        <v>17</v>
      </c>
      <c r="I499" s="2" t="s">
        <v>18</v>
      </c>
      <c r="J499">
        <v>0.68</v>
      </c>
      <c r="K499" s="1">
        <v>45097</v>
      </c>
      <c r="L499" s="2" t="str">
        <f>IF(Sheet1[[#This Row],[age]]&lt;18, "Under 18",IF(Sheet1[[#This Row],[age]]&lt;=30,"18-30",IF(Sheet1[[#This Row],[age]]&lt;=45,"31-45",IF(Sheet1[[#This Row],[age]]&lt;=60,"46-60","60+"))))</f>
        <v>46-60</v>
      </c>
      <c r="M499" s="2" t="str">
        <f>IF(Sheet1[[#This Row],[risk_score]]&lt;0.3,"Low",IF(Sheet1[[#This Row],[risk_score]]&lt;0.7,"Medium","High"))</f>
        <v>Medium</v>
      </c>
      <c r="N499">
        <f>YEAR(Sheet1[[#This Row],[date_joined]])</f>
        <v>2023</v>
      </c>
      <c r="O499" s="2" t="str">
        <f>TEXT(Sheet1[[#This Row],[date_joined]],"mmm")</f>
        <v>Jun</v>
      </c>
      <c r="P499" s="2" t="str">
        <f>"Q"&amp;ROUNDUP(MONTH(Sheet1[[#This Row],[date_joined]])/3,0)</f>
        <v>Q2</v>
      </c>
      <c r="Q499" s="2" t="str">
        <f>IF(Sheet1[[#This Row],[age]]&lt;30,"Young",IF(Sheet1[[#This Row],[age]]&lt;=50,"Adult","Senior"))</f>
        <v>Senior</v>
      </c>
      <c r="R499" s="2" t="str">
        <f t="shared" si="14"/>
        <v>High</v>
      </c>
      <c r="S499" s="2" t="str">
        <f t="shared" si="15"/>
        <v>South - Salaried</v>
      </c>
    </row>
    <row r="500" spans="1:19" x14ac:dyDescent="0.3">
      <c r="A500" t="s">
        <v>1023</v>
      </c>
      <c r="B500" t="s">
        <v>1024</v>
      </c>
      <c r="C500">
        <v>58</v>
      </c>
      <c r="D500" s="2" t="s">
        <v>13</v>
      </c>
      <c r="E500" s="2" t="s">
        <v>30</v>
      </c>
      <c r="F500" s="2" t="s">
        <v>23</v>
      </c>
      <c r="G500" s="2" t="s">
        <v>81</v>
      </c>
      <c r="H500" s="2" t="s">
        <v>18</v>
      </c>
      <c r="I500" s="2" t="s">
        <v>17</v>
      </c>
      <c r="J500">
        <v>0.53</v>
      </c>
      <c r="K500" s="1">
        <v>43166</v>
      </c>
      <c r="L500" s="2" t="str">
        <f>IF(Sheet1[[#This Row],[age]]&lt;18, "Under 18",IF(Sheet1[[#This Row],[age]]&lt;=30,"18-30",IF(Sheet1[[#This Row],[age]]&lt;=45,"31-45",IF(Sheet1[[#This Row],[age]]&lt;=60,"46-60","60+"))))</f>
        <v>46-60</v>
      </c>
      <c r="M500" s="2" t="str">
        <f>IF(Sheet1[[#This Row],[risk_score]]&lt;0.3,"Low",IF(Sheet1[[#This Row],[risk_score]]&lt;0.7,"Medium","High"))</f>
        <v>Medium</v>
      </c>
      <c r="N500">
        <f>YEAR(Sheet1[[#This Row],[date_joined]])</f>
        <v>2018</v>
      </c>
      <c r="O500" s="2" t="str">
        <f>TEXT(Sheet1[[#This Row],[date_joined]],"mmm")</f>
        <v>Mar</v>
      </c>
      <c r="P500" s="2" t="str">
        <f>"Q"&amp;ROUNDUP(MONTH(Sheet1[[#This Row],[date_joined]])/3,0)</f>
        <v>Q1</v>
      </c>
      <c r="Q500" s="2" t="str">
        <f>IF(Sheet1[[#This Row],[age]]&lt;30,"Young",IF(Sheet1[[#This Row],[age]]&lt;=50,"Adult","Senior"))</f>
        <v>Senior</v>
      </c>
      <c r="R500" s="2" t="str">
        <f t="shared" si="14"/>
        <v>High</v>
      </c>
      <c r="S500" s="2" t="str">
        <f t="shared" si="15"/>
        <v>Central - Salaried</v>
      </c>
    </row>
    <row r="501" spans="1:19" x14ac:dyDescent="0.3">
      <c r="A501" t="s">
        <v>1025</v>
      </c>
      <c r="B501" t="s">
        <v>1026</v>
      </c>
      <c r="C501">
        <v>60</v>
      </c>
      <c r="D501" s="2" t="s">
        <v>13</v>
      </c>
      <c r="E501" s="2" t="s">
        <v>22</v>
      </c>
      <c r="F501" s="2" t="s">
        <v>23</v>
      </c>
      <c r="G501" s="2" t="s">
        <v>24</v>
      </c>
      <c r="H501" s="2" t="s">
        <v>17</v>
      </c>
      <c r="I501" s="2" t="s">
        <v>18</v>
      </c>
      <c r="J501">
        <v>0.27</v>
      </c>
      <c r="K501" s="1">
        <v>44498</v>
      </c>
      <c r="L501" s="2" t="str">
        <f>IF(Sheet1[[#This Row],[age]]&lt;18, "Under 18",IF(Sheet1[[#This Row],[age]]&lt;=30,"18-30",IF(Sheet1[[#This Row],[age]]&lt;=45,"31-45",IF(Sheet1[[#This Row],[age]]&lt;=60,"46-60","60+"))))</f>
        <v>46-60</v>
      </c>
      <c r="M501" s="2" t="str">
        <f>IF(Sheet1[[#This Row],[risk_score]]&lt;0.3,"Low",IF(Sheet1[[#This Row],[risk_score]]&lt;0.7,"Medium","High"))</f>
        <v>Low</v>
      </c>
      <c r="N501">
        <f>YEAR(Sheet1[[#This Row],[date_joined]])</f>
        <v>2021</v>
      </c>
      <c r="O501" s="2" t="str">
        <f>TEXT(Sheet1[[#This Row],[date_joined]],"mmm")</f>
        <v>Oct</v>
      </c>
      <c r="P501" s="2" t="str">
        <f>"Q"&amp;ROUNDUP(MONTH(Sheet1[[#This Row],[date_joined]])/3,0)</f>
        <v>Q4</v>
      </c>
      <c r="Q501" s="2" t="str">
        <f>IF(Sheet1[[#This Row],[age]]&lt;30,"Young",IF(Sheet1[[#This Row],[age]]&lt;=50,"Adult","Senior"))</f>
        <v>Senior</v>
      </c>
      <c r="R501" s="2" t="str">
        <f t="shared" si="14"/>
        <v>High</v>
      </c>
      <c r="S501" s="2" t="str">
        <f t="shared" si="15"/>
        <v>East - Salaried</v>
      </c>
    </row>
    <row r="502" spans="1:19" x14ac:dyDescent="0.3">
      <c r="A502" t="s">
        <v>1027</v>
      </c>
      <c r="B502" t="s">
        <v>1028</v>
      </c>
      <c r="C502">
        <v>44</v>
      </c>
      <c r="D502" s="2" t="s">
        <v>21</v>
      </c>
      <c r="E502" s="2" t="s">
        <v>22</v>
      </c>
      <c r="F502" s="2" t="s">
        <v>23</v>
      </c>
      <c r="G502" s="2" t="s">
        <v>66</v>
      </c>
      <c r="H502" s="2" t="s">
        <v>18</v>
      </c>
      <c r="I502" s="2" t="s">
        <v>18</v>
      </c>
      <c r="J502">
        <v>0.18</v>
      </c>
      <c r="K502" s="1">
        <v>44067</v>
      </c>
      <c r="L502" s="2" t="str">
        <f>IF(Sheet1[[#This Row],[age]]&lt;18, "Under 18",IF(Sheet1[[#This Row],[age]]&lt;=30,"18-30",IF(Sheet1[[#This Row],[age]]&lt;=45,"31-45",IF(Sheet1[[#This Row],[age]]&lt;=60,"46-60","60+"))))</f>
        <v>31-45</v>
      </c>
      <c r="M502" s="2" t="str">
        <f>IF(Sheet1[[#This Row],[risk_score]]&lt;0.3,"Low",IF(Sheet1[[#This Row],[risk_score]]&lt;0.7,"Medium","High"))</f>
        <v>Low</v>
      </c>
      <c r="N502">
        <f>YEAR(Sheet1[[#This Row],[date_joined]])</f>
        <v>2020</v>
      </c>
      <c r="O502" s="2" t="str">
        <f>TEXT(Sheet1[[#This Row],[date_joined]],"mmm")</f>
        <v>Aug</v>
      </c>
      <c r="P502" s="2" t="str">
        <f>"Q"&amp;ROUNDUP(MONTH(Sheet1[[#This Row],[date_joined]])/3,0)</f>
        <v>Q3</v>
      </c>
      <c r="Q502" s="2" t="str">
        <f>IF(Sheet1[[#This Row],[age]]&lt;30,"Young",IF(Sheet1[[#This Row],[age]]&lt;=50,"Adult","Senior"))</f>
        <v>Adult</v>
      </c>
      <c r="R502" s="2" t="str">
        <f t="shared" si="14"/>
        <v>Very High</v>
      </c>
      <c r="S502" s="2" t="str">
        <f t="shared" si="15"/>
        <v>North-East - Salaried</v>
      </c>
    </row>
    <row r="503" spans="1:19" x14ac:dyDescent="0.3">
      <c r="A503" t="s">
        <v>1029</v>
      </c>
      <c r="B503" t="s">
        <v>1030</v>
      </c>
      <c r="C503">
        <v>23</v>
      </c>
      <c r="D503" s="2" t="s">
        <v>13</v>
      </c>
      <c r="E503" s="2" t="s">
        <v>14</v>
      </c>
      <c r="F503" s="2" t="s">
        <v>15</v>
      </c>
      <c r="G503" s="2" t="s">
        <v>66</v>
      </c>
      <c r="H503" s="2" t="s">
        <v>17</v>
      </c>
      <c r="I503" s="2" t="s">
        <v>17</v>
      </c>
      <c r="J503">
        <v>0.13</v>
      </c>
      <c r="K503" s="1">
        <v>44813</v>
      </c>
      <c r="L503" s="2" t="str">
        <f>IF(Sheet1[[#This Row],[age]]&lt;18, "Under 18",IF(Sheet1[[#This Row],[age]]&lt;=30,"18-30",IF(Sheet1[[#This Row],[age]]&lt;=45,"31-45",IF(Sheet1[[#This Row],[age]]&lt;=60,"46-60","60+"))))</f>
        <v>18-30</v>
      </c>
      <c r="M503" s="2" t="str">
        <f>IF(Sheet1[[#This Row],[risk_score]]&lt;0.3,"Low",IF(Sheet1[[#This Row],[risk_score]]&lt;0.7,"Medium","High"))</f>
        <v>Low</v>
      </c>
      <c r="N503">
        <f>YEAR(Sheet1[[#This Row],[date_joined]])</f>
        <v>2022</v>
      </c>
      <c r="O503" s="2" t="str">
        <f>TEXT(Sheet1[[#This Row],[date_joined]],"mmm")</f>
        <v>Sep</v>
      </c>
      <c r="P503" s="2" t="str">
        <f>"Q"&amp;ROUNDUP(MONTH(Sheet1[[#This Row],[date_joined]])/3,0)</f>
        <v>Q3</v>
      </c>
      <c r="Q503" s="2" t="str">
        <f>IF(Sheet1[[#This Row],[age]]&lt;30,"Young",IF(Sheet1[[#This Row],[age]]&lt;=50,"Adult","Senior"))</f>
        <v>Young</v>
      </c>
      <c r="R503" s="2" t="str">
        <f t="shared" si="14"/>
        <v>Low</v>
      </c>
      <c r="S503" s="2" t="str">
        <f t="shared" si="15"/>
        <v>North-East - Student</v>
      </c>
    </row>
    <row r="504" spans="1:19" x14ac:dyDescent="0.3">
      <c r="A504" t="s">
        <v>1031</v>
      </c>
      <c r="B504" t="s">
        <v>1032</v>
      </c>
      <c r="C504">
        <v>42</v>
      </c>
      <c r="D504" s="2" t="s">
        <v>21</v>
      </c>
      <c r="E504" s="2" t="s">
        <v>30</v>
      </c>
      <c r="F504" s="2" t="s">
        <v>31</v>
      </c>
      <c r="G504" s="2" t="s">
        <v>81</v>
      </c>
      <c r="H504" s="2" t="s">
        <v>18</v>
      </c>
      <c r="I504" s="2" t="s">
        <v>18</v>
      </c>
      <c r="J504">
        <v>0.2</v>
      </c>
      <c r="K504" s="1">
        <v>44521</v>
      </c>
      <c r="L504" s="2" t="str">
        <f>IF(Sheet1[[#This Row],[age]]&lt;18, "Under 18",IF(Sheet1[[#This Row],[age]]&lt;=30,"18-30",IF(Sheet1[[#This Row],[age]]&lt;=45,"31-45",IF(Sheet1[[#This Row],[age]]&lt;=60,"46-60","60+"))))</f>
        <v>31-45</v>
      </c>
      <c r="M504" s="2" t="str">
        <f>IF(Sheet1[[#This Row],[risk_score]]&lt;0.3,"Low",IF(Sheet1[[#This Row],[risk_score]]&lt;0.7,"Medium","High"))</f>
        <v>Low</v>
      </c>
      <c r="N504">
        <f>YEAR(Sheet1[[#This Row],[date_joined]])</f>
        <v>2021</v>
      </c>
      <c r="O504" s="2" t="str">
        <f>TEXT(Sheet1[[#This Row],[date_joined]],"mmm")</f>
        <v>Nov</v>
      </c>
      <c r="P504" s="2" t="str">
        <f>"Q"&amp;ROUNDUP(MONTH(Sheet1[[#This Row],[date_joined]])/3,0)</f>
        <v>Q4</v>
      </c>
      <c r="Q504" s="2" t="str">
        <f>IF(Sheet1[[#This Row],[age]]&lt;30,"Young",IF(Sheet1[[#This Row],[age]]&lt;=50,"Adult","Senior"))</f>
        <v>Adult</v>
      </c>
      <c r="R504" s="2" t="str">
        <f t="shared" si="14"/>
        <v>Very High</v>
      </c>
      <c r="S504" s="2" t="str">
        <f t="shared" si="15"/>
        <v>Central - Self-employed</v>
      </c>
    </row>
    <row r="505" spans="1:19" x14ac:dyDescent="0.3">
      <c r="A505" t="s">
        <v>1033</v>
      </c>
      <c r="B505" t="s">
        <v>1034</v>
      </c>
      <c r="C505">
        <v>22</v>
      </c>
      <c r="D505" s="2" t="s">
        <v>21</v>
      </c>
      <c r="E505" s="2" t="s">
        <v>22</v>
      </c>
      <c r="F505" s="2" t="s">
        <v>37</v>
      </c>
      <c r="G505" s="2" t="s">
        <v>81</v>
      </c>
      <c r="H505" s="2" t="s">
        <v>18</v>
      </c>
      <c r="I505" s="2" t="s">
        <v>18</v>
      </c>
      <c r="J505">
        <v>0.47</v>
      </c>
      <c r="K505" s="1">
        <v>44693</v>
      </c>
      <c r="L505" s="2" t="str">
        <f>IF(Sheet1[[#This Row],[age]]&lt;18, "Under 18",IF(Sheet1[[#This Row],[age]]&lt;=30,"18-30",IF(Sheet1[[#This Row],[age]]&lt;=45,"31-45",IF(Sheet1[[#This Row],[age]]&lt;=60,"46-60","60+"))))</f>
        <v>18-30</v>
      </c>
      <c r="M505" s="2" t="str">
        <f>IF(Sheet1[[#This Row],[risk_score]]&lt;0.3,"Low",IF(Sheet1[[#This Row],[risk_score]]&lt;0.7,"Medium","High"))</f>
        <v>Medium</v>
      </c>
      <c r="N505">
        <f>YEAR(Sheet1[[#This Row],[date_joined]])</f>
        <v>2022</v>
      </c>
      <c r="O505" s="2" t="str">
        <f>TEXT(Sheet1[[#This Row],[date_joined]],"mmm")</f>
        <v>May</v>
      </c>
      <c r="P505" s="2" t="str">
        <f>"Q"&amp;ROUNDUP(MONTH(Sheet1[[#This Row],[date_joined]])/3,0)</f>
        <v>Q2</v>
      </c>
      <c r="Q505" s="2" t="str">
        <f>IF(Sheet1[[#This Row],[age]]&lt;30,"Young",IF(Sheet1[[#This Row],[age]]&lt;=50,"Adult","Senior"))</f>
        <v>Young</v>
      </c>
      <c r="R505" s="2" t="str">
        <f t="shared" si="14"/>
        <v>Very High</v>
      </c>
      <c r="S505" s="2" t="str">
        <f t="shared" si="15"/>
        <v>Central - Retired</v>
      </c>
    </row>
    <row r="506" spans="1:19" x14ac:dyDescent="0.3">
      <c r="A506" t="s">
        <v>1035</v>
      </c>
      <c r="B506" t="s">
        <v>1036</v>
      </c>
      <c r="C506">
        <v>39</v>
      </c>
      <c r="D506" s="2" t="s">
        <v>13</v>
      </c>
      <c r="E506" s="2" t="s">
        <v>22</v>
      </c>
      <c r="F506" s="2" t="s">
        <v>31</v>
      </c>
      <c r="G506" s="2" t="s">
        <v>27</v>
      </c>
      <c r="H506" s="2" t="s">
        <v>18</v>
      </c>
      <c r="I506" s="2" t="s">
        <v>18</v>
      </c>
      <c r="J506">
        <v>0.6</v>
      </c>
      <c r="K506" s="1">
        <v>43424</v>
      </c>
      <c r="L506" s="2" t="str">
        <f>IF(Sheet1[[#This Row],[age]]&lt;18, "Under 18",IF(Sheet1[[#This Row],[age]]&lt;=30,"18-30",IF(Sheet1[[#This Row],[age]]&lt;=45,"31-45",IF(Sheet1[[#This Row],[age]]&lt;=60,"46-60","60+"))))</f>
        <v>31-45</v>
      </c>
      <c r="M506" s="2" t="str">
        <f>IF(Sheet1[[#This Row],[risk_score]]&lt;0.3,"Low",IF(Sheet1[[#This Row],[risk_score]]&lt;0.7,"Medium","High"))</f>
        <v>Medium</v>
      </c>
      <c r="N506">
        <f>YEAR(Sheet1[[#This Row],[date_joined]])</f>
        <v>2018</v>
      </c>
      <c r="O506" s="2" t="str">
        <f>TEXT(Sheet1[[#This Row],[date_joined]],"mmm")</f>
        <v>Nov</v>
      </c>
      <c r="P506" s="2" t="str">
        <f>"Q"&amp;ROUNDUP(MONTH(Sheet1[[#This Row],[date_joined]])/3,0)</f>
        <v>Q4</v>
      </c>
      <c r="Q506" s="2" t="str">
        <f>IF(Sheet1[[#This Row],[age]]&lt;30,"Young",IF(Sheet1[[#This Row],[age]]&lt;=50,"Adult","Senior"))</f>
        <v>Adult</v>
      </c>
      <c r="R506" s="2" t="str">
        <f t="shared" si="14"/>
        <v>Very High</v>
      </c>
      <c r="S506" s="2" t="str">
        <f t="shared" si="15"/>
        <v>North - Self-employed</v>
      </c>
    </row>
    <row r="507" spans="1:19" x14ac:dyDescent="0.3">
      <c r="A507" t="s">
        <v>1037</v>
      </c>
      <c r="B507" t="s">
        <v>1038</v>
      </c>
      <c r="C507">
        <v>21</v>
      </c>
      <c r="D507" s="2" t="s">
        <v>13</v>
      </c>
      <c r="E507" s="2" t="s">
        <v>30</v>
      </c>
      <c r="F507" s="2" t="s">
        <v>15</v>
      </c>
      <c r="G507" s="2" t="s">
        <v>24</v>
      </c>
      <c r="H507" s="2" t="s">
        <v>17</v>
      </c>
      <c r="I507" s="2" t="s">
        <v>18</v>
      </c>
      <c r="J507">
        <v>0.7</v>
      </c>
      <c r="K507" s="1">
        <v>43965</v>
      </c>
      <c r="L507" s="2" t="str">
        <f>IF(Sheet1[[#This Row],[age]]&lt;18, "Under 18",IF(Sheet1[[#This Row],[age]]&lt;=30,"18-30",IF(Sheet1[[#This Row],[age]]&lt;=45,"31-45",IF(Sheet1[[#This Row],[age]]&lt;=60,"46-60","60+"))))</f>
        <v>18-30</v>
      </c>
      <c r="M507" s="2" t="str">
        <f>IF(Sheet1[[#This Row],[risk_score]]&lt;0.3,"Low",IF(Sheet1[[#This Row],[risk_score]]&lt;0.7,"Medium","High"))</f>
        <v>High</v>
      </c>
      <c r="N507">
        <f>YEAR(Sheet1[[#This Row],[date_joined]])</f>
        <v>2020</v>
      </c>
      <c r="O507" s="2" t="str">
        <f>TEXT(Sheet1[[#This Row],[date_joined]],"mmm")</f>
        <v>May</v>
      </c>
      <c r="P507" s="2" t="str">
        <f>"Q"&amp;ROUNDUP(MONTH(Sheet1[[#This Row],[date_joined]])/3,0)</f>
        <v>Q2</v>
      </c>
      <c r="Q507" s="2" t="str">
        <f>IF(Sheet1[[#This Row],[age]]&lt;30,"Young",IF(Sheet1[[#This Row],[age]]&lt;=50,"Adult","Senior"))</f>
        <v>Young</v>
      </c>
      <c r="R507" s="2" t="str">
        <f t="shared" si="14"/>
        <v>High</v>
      </c>
      <c r="S507" s="2" t="str">
        <f t="shared" si="15"/>
        <v>East - Student</v>
      </c>
    </row>
    <row r="508" spans="1:19" x14ac:dyDescent="0.3">
      <c r="A508" t="s">
        <v>1039</v>
      </c>
      <c r="B508" t="s">
        <v>1040</v>
      </c>
      <c r="C508">
        <v>25</v>
      </c>
      <c r="D508" s="2" t="s">
        <v>13</v>
      </c>
      <c r="E508" s="2" t="s">
        <v>30</v>
      </c>
      <c r="F508" s="2" t="s">
        <v>37</v>
      </c>
      <c r="G508" s="2" t="s">
        <v>27</v>
      </c>
      <c r="H508" s="2" t="s">
        <v>17</v>
      </c>
      <c r="I508" s="2" t="s">
        <v>18</v>
      </c>
      <c r="J508">
        <v>0.42</v>
      </c>
      <c r="K508" s="1">
        <v>45154</v>
      </c>
      <c r="L508" s="2" t="str">
        <f>IF(Sheet1[[#This Row],[age]]&lt;18, "Under 18",IF(Sheet1[[#This Row],[age]]&lt;=30,"18-30",IF(Sheet1[[#This Row],[age]]&lt;=45,"31-45",IF(Sheet1[[#This Row],[age]]&lt;=60,"46-60","60+"))))</f>
        <v>18-30</v>
      </c>
      <c r="M508" s="2" t="str">
        <f>IF(Sheet1[[#This Row],[risk_score]]&lt;0.3,"Low",IF(Sheet1[[#This Row],[risk_score]]&lt;0.7,"Medium","High"))</f>
        <v>Medium</v>
      </c>
      <c r="N508">
        <f>YEAR(Sheet1[[#This Row],[date_joined]])</f>
        <v>2023</v>
      </c>
      <c r="O508" s="2" t="str">
        <f>TEXT(Sheet1[[#This Row],[date_joined]],"mmm")</f>
        <v>Aug</v>
      </c>
      <c r="P508" s="2" t="str">
        <f>"Q"&amp;ROUNDUP(MONTH(Sheet1[[#This Row],[date_joined]])/3,0)</f>
        <v>Q3</v>
      </c>
      <c r="Q508" s="2" t="str">
        <f>IF(Sheet1[[#This Row],[age]]&lt;30,"Young",IF(Sheet1[[#This Row],[age]]&lt;=50,"Adult","Senior"))</f>
        <v>Young</v>
      </c>
      <c r="R508" s="2" t="str">
        <f t="shared" si="14"/>
        <v>High</v>
      </c>
      <c r="S508" s="2" t="str">
        <f t="shared" si="15"/>
        <v>North - Retired</v>
      </c>
    </row>
    <row r="509" spans="1:19" x14ac:dyDescent="0.3">
      <c r="A509" t="s">
        <v>1041</v>
      </c>
      <c r="B509" t="s">
        <v>1042</v>
      </c>
      <c r="C509">
        <v>21</v>
      </c>
      <c r="D509" s="2" t="s">
        <v>21</v>
      </c>
      <c r="E509" s="2" t="s">
        <v>30</v>
      </c>
      <c r="F509" s="2" t="s">
        <v>23</v>
      </c>
      <c r="G509" s="2" t="s">
        <v>16</v>
      </c>
      <c r="H509" s="2" t="s">
        <v>17</v>
      </c>
      <c r="I509" s="2" t="s">
        <v>17</v>
      </c>
      <c r="J509">
        <v>0.53</v>
      </c>
      <c r="K509" s="1">
        <v>43262</v>
      </c>
      <c r="L509" s="2" t="str">
        <f>IF(Sheet1[[#This Row],[age]]&lt;18, "Under 18",IF(Sheet1[[#This Row],[age]]&lt;=30,"18-30",IF(Sheet1[[#This Row],[age]]&lt;=45,"31-45",IF(Sheet1[[#This Row],[age]]&lt;=60,"46-60","60+"))))</f>
        <v>18-30</v>
      </c>
      <c r="M509" s="2" t="str">
        <f>IF(Sheet1[[#This Row],[risk_score]]&lt;0.3,"Low",IF(Sheet1[[#This Row],[risk_score]]&lt;0.7,"Medium","High"))</f>
        <v>Medium</v>
      </c>
      <c r="N509">
        <f>YEAR(Sheet1[[#This Row],[date_joined]])</f>
        <v>2018</v>
      </c>
      <c r="O509" s="2" t="str">
        <f>TEXT(Sheet1[[#This Row],[date_joined]],"mmm")</f>
        <v>Jun</v>
      </c>
      <c r="P509" s="2" t="str">
        <f>"Q"&amp;ROUNDUP(MONTH(Sheet1[[#This Row],[date_joined]])/3,0)</f>
        <v>Q2</v>
      </c>
      <c r="Q509" s="2" t="str">
        <f>IF(Sheet1[[#This Row],[age]]&lt;30,"Young",IF(Sheet1[[#This Row],[age]]&lt;=50,"Adult","Senior"))</f>
        <v>Young</v>
      </c>
      <c r="R509" s="2" t="str">
        <f t="shared" si="14"/>
        <v>Low</v>
      </c>
      <c r="S509" s="2" t="str">
        <f t="shared" si="15"/>
        <v>West - Salaried</v>
      </c>
    </row>
    <row r="510" spans="1:19" x14ac:dyDescent="0.3">
      <c r="A510" t="s">
        <v>1043</v>
      </c>
      <c r="B510" t="s">
        <v>1044</v>
      </c>
      <c r="C510">
        <v>31</v>
      </c>
      <c r="D510" s="2" t="s">
        <v>21</v>
      </c>
      <c r="E510" s="2" t="s">
        <v>14</v>
      </c>
      <c r="F510" s="2" t="s">
        <v>37</v>
      </c>
      <c r="G510" s="2" t="s">
        <v>32</v>
      </c>
      <c r="H510" s="2" t="s">
        <v>18</v>
      </c>
      <c r="I510" s="2" t="s">
        <v>18</v>
      </c>
      <c r="J510">
        <v>0.7</v>
      </c>
      <c r="K510" s="1">
        <v>44027</v>
      </c>
      <c r="L510" s="2" t="str">
        <f>IF(Sheet1[[#This Row],[age]]&lt;18, "Under 18",IF(Sheet1[[#This Row],[age]]&lt;=30,"18-30",IF(Sheet1[[#This Row],[age]]&lt;=45,"31-45",IF(Sheet1[[#This Row],[age]]&lt;=60,"46-60","60+"))))</f>
        <v>31-45</v>
      </c>
      <c r="M510" s="2" t="str">
        <f>IF(Sheet1[[#This Row],[risk_score]]&lt;0.3,"Low",IF(Sheet1[[#This Row],[risk_score]]&lt;0.7,"Medium","High"))</f>
        <v>High</v>
      </c>
      <c r="N510">
        <f>YEAR(Sheet1[[#This Row],[date_joined]])</f>
        <v>2020</v>
      </c>
      <c r="O510" s="2" t="str">
        <f>TEXT(Sheet1[[#This Row],[date_joined]],"mmm")</f>
        <v>Jul</v>
      </c>
      <c r="P510" s="2" t="str">
        <f>"Q"&amp;ROUNDUP(MONTH(Sheet1[[#This Row],[date_joined]])/3,0)</f>
        <v>Q3</v>
      </c>
      <c r="Q510" s="2" t="str">
        <f>IF(Sheet1[[#This Row],[age]]&lt;30,"Young",IF(Sheet1[[#This Row],[age]]&lt;=50,"Adult","Senior"))</f>
        <v>Adult</v>
      </c>
      <c r="R510" s="2" t="str">
        <f t="shared" si="14"/>
        <v>Very High</v>
      </c>
      <c r="S510" s="2" t="str">
        <f t="shared" si="15"/>
        <v>South - Retired</v>
      </c>
    </row>
    <row r="511" spans="1:19" x14ac:dyDescent="0.3">
      <c r="A511" t="s">
        <v>1045</v>
      </c>
      <c r="B511" t="s">
        <v>1046</v>
      </c>
      <c r="C511">
        <v>30</v>
      </c>
      <c r="D511" s="2" t="s">
        <v>13</v>
      </c>
      <c r="E511" s="2" t="s">
        <v>30</v>
      </c>
      <c r="F511" s="2" t="s">
        <v>31</v>
      </c>
      <c r="G511" s="2" t="s">
        <v>24</v>
      </c>
      <c r="H511" s="2" t="s">
        <v>17</v>
      </c>
      <c r="I511" s="2" t="s">
        <v>17</v>
      </c>
      <c r="J511">
        <v>0.31</v>
      </c>
      <c r="K511" s="1">
        <v>44144</v>
      </c>
      <c r="L511" s="2" t="str">
        <f>IF(Sheet1[[#This Row],[age]]&lt;18, "Under 18",IF(Sheet1[[#This Row],[age]]&lt;=30,"18-30",IF(Sheet1[[#This Row],[age]]&lt;=45,"31-45",IF(Sheet1[[#This Row],[age]]&lt;=60,"46-60","60+"))))</f>
        <v>18-30</v>
      </c>
      <c r="M511" s="2" t="str">
        <f>IF(Sheet1[[#This Row],[risk_score]]&lt;0.3,"Low",IF(Sheet1[[#This Row],[risk_score]]&lt;0.7,"Medium","High"))</f>
        <v>Medium</v>
      </c>
      <c r="N511">
        <f>YEAR(Sheet1[[#This Row],[date_joined]])</f>
        <v>2020</v>
      </c>
      <c r="O511" s="2" t="str">
        <f>TEXT(Sheet1[[#This Row],[date_joined]],"mmm")</f>
        <v>Nov</v>
      </c>
      <c r="P511" s="2" t="str">
        <f>"Q"&amp;ROUNDUP(MONTH(Sheet1[[#This Row],[date_joined]])/3,0)</f>
        <v>Q4</v>
      </c>
      <c r="Q511" s="2" t="str">
        <f>IF(Sheet1[[#This Row],[age]]&lt;30,"Young",IF(Sheet1[[#This Row],[age]]&lt;=50,"Adult","Senior"))</f>
        <v>Adult</v>
      </c>
      <c r="R511" s="2" t="str">
        <f t="shared" si="14"/>
        <v>Low</v>
      </c>
      <c r="S511" s="2" t="str">
        <f t="shared" si="15"/>
        <v>East - Self-employed</v>
      </c>
    </row>
    <row r="512" spans="1:19" x14ac:dyDescent="0.3">
      <c r="A512" t="s">
        <v>1047</v>
      </c>
      <c r="B512" t="s">
        <v>1048</v>
      </c>
      <c r="C512">
        <v>43</v>
      </c>
      <c r="D512" s="2" t="s">
        <v>13</v>
      </c>
      <c r="E512" s="2" t="s">
        <v>14</v>
      </c>
      <c r="F512" s="2" t="s">
        <v>15</v>
      </c>
      <c r="G512" s="2" t="s">
        <v>27</v>
      </c>
      <c r="H512" s="2" t="s">
        <v>18</v>
      </c>
      <c r="I512" s="2" t="s">
        <v>17</v>
      </c>
      <c r="J512">
        <v>0.41</v>
      </c>
      <c r="K512" s="1">
        <v>44588</v>
      </c>
      <c r="L512" s="2" t="str">
        <f>IF(Sheet1[[#This Row],[age]]&lt;18, "Under 18",IF(Sheet1[[#This Row],[age]]&lt;=30,"18-30",IF(Sheet1[[#This Row],[age]]&lt;=45,"31-45",IF(Sheet1[[#This Row],[age]]&lt;=60,"46-60","60+"))))</f>
        <v>31-45</v>
      </c>
      <c r="M512" s="2" t="str">
        <f>IF(Sheet1[[#This Row],[risk_score]]&lt;0.3,"Low",IF(Sheet1[[#This Row],[risk_score]]&lt;0.7,"Medium","High"))</f>
        <v>Medium</v>
      </c>
      <c r="N512">
        <f>YEAR(Sheet1[[#This Row],[date_joined]])</f>
        <v>2022</v>
      </c>
      <c r="O512" s="2" t="str">
        <f>TEXT(Sheet1[[#This Row],[date_joined]],"mmm")</f>
        <v>Jan</v>
      </c>
      <c r="P512" s="2" t="str">
        <f>"Q"&amp;ROUNDUP(MONTH(Sheet1[[#This Row],[date_joined]])/3,0)</f>
        <v>Q1</v>
      </c>
      <c r="Q512" s="2" t="str">
        <f>IF(Sheet1[[#This Row],[age]]&lt;30,"Young",IF(Sheet1[[#This Row],[age]]&lt;=50,"Adult","Senior"))</f>
        <v>Adult</v>
      </c>
      <c r="R512" s="2" t="str">
        <f t="shared" si="14"/>
        <v>High</v>
      </c>
      <c r="S512" s="2" t="str">
        <f t="shared" si="15"/>
        <v>North - Student</v>
      </c>
    </row>
    <row r="513" spans="1:19" x14ac:dyDescent="0.3">
      <c r="A513" t="s">
        <v>1049</v>
      </c>
      <c r="B513" t="s">
        <v>1050</v>
      </c>
      <c r="C513">
        <v>66</v>
      </c>
      <c r="D513" s="2" t="s">
        <v>13</v>
      </c>
      <c r="E513" s="2" t="s">
        <v>22</v>
      </c>
      <c r="F513" s="2" t="s">
        <v>37</v>
      </c>
      <c r="G513" s="2" t="s">
        <v>81</v>
      </c>
      <c r="H513" s="2" t="s">
        <v>18</v>
      </c>
      <c r="I513" s="2" t="s">
        <v>18</v>
      </c>
      <c r="J513">
        <v>0.56000000000000005</v>
      </c>
      <c r="K513" s="1">
        <v>44380</v>
      </c>
      <c r="L513" s="2" t="str">
        <f>IF(Sheet1[[#This Row],[age]]&lt;18, "Under 18",IF(Sheet1[[#This Row],[age]]&lt;=30,"18-30",IF(Sheet1[[#This Row],[age]]&lt;=45,"31-45",IF(Sheet1[[#This Row],[age]]&lt;=60,"46-60","60+"))))</f>
        <v>60+</v>
      </c>
      <c r="M513" s="2" t="str">
        <f>IF(Sheet1[[#This Row],[risk_score]]&lt;0.3,"Low",IF(Sheet1[[#This Row],[risk_score]]&lt;0.7,"Medium","High"))</f>
        <v>Medium</v>
      </c>
      <c r="N513">
        <f>YEAR(Sheet1[[#This Row],[date_joined]])</f>
        <v>2021</v>
      </c>
      <c r="O513" s="2" t="str">
        <f>TEXT(Sheet1[[#This Row],[date_joined]],"mmm")</f>
        <v>Jul</v>
      </c>
      <c r="P513" s="2" t="str">
        <f>"Q"&amp;ROUNDUP(MONTH(Sheet1[[#This Row],[date_joined]])/3,0)</f>
        <v>Q3</v>
      </c>
      <c r="Q513" s="2" t="str">
        <f>IF(Sheet1[[#This Row],[age]]&lt;30,"Young",IF(Sheet1[[#This Row],[age]]&lt;=50,"Adult","Senior"))</f>
        <v>Senior</v>
      </c>
      <c r="R513" s="2" t="str">
        <f t="shared" si="14"/>
        <v>Very High</v>
      </c>
      <c r="S513" s="2" t="str">
        <f t="shared" si="15"/>
        <v>Central - Retired</v>
      </c>
    </row>
    <row r="514" spans="1:19" x14ac:dyDescent="0.3">
      <c r="A514" t="s">
        <v>1051</v>
      </c>
      <c r="B514" t="s">
        <v>1052</v>
      </c>
      <c r="C514">
        <v>39</v>
      </c>
      <c r="D514" s="2" t="s">
        <v>13</v>
      </c>
      <c r="E514" s="2" t="s">
        <v>22</v>
      </c>
      <c r="F514" s="2" t="s">
        <v>31</v>
      </c>
      <c r="G514" s="2" t="s">
        <v>24</v>
      </c>
      <c r="H514" s="2" t="s">
        <v>17</v>
      </c>
      <c r="I514" s="2" t="s">
        <v>17</v>
      </c>
      <c r="J514">
        <v>0.43</v>
      </c>
      <c r="K514" s="1">
        <v>43677</v>
      </c>
      <c r="L514" s="2" t="str">
        <f>IF(Sheet1[[#This Row],[age]]&lt;18, "Under 18",IF(Sheet1[[#This Row],[age]]&lt;=30,"18-30",IF(Sheet1[[#This Row],[age]]&lt;=45,"31-45",IF(Sheet1[[#This Row],[age]]&lt;=60,"46-60","60+"))))</f>
        <v>31-45</v>
      </c>
      <c r="M514" s="2" t="str">
        <f>IF(Sheet1[[#This Row],[risk_score]]&lt;0.3,"Low",IF(Sheet1[[#This Row],[risk_score]]&lt;0.7,"Medium","High"))</f>
        <v>Medium</v>
      </c>
      <c r="N514">
        <f>YEAR(Sheet1[[#This Row],[date_joined]])</f>
        <v>2019</v>
      </c>
      <c r="O514" s="2" t="str">
        <f>TEXT(Sheet1[[#This Row],[date_joined]],"mmm")</f>
        <v>Jul</v>
      </c>
      <c r="P514" s="2" t="str">
        <f>"Q"&amp;ROUNDUP(MONTH(Sheet1[[#This Row],[date_joined]])/3,0)</f>
        <v>Q3</v>
      </c>
      <c r="Q514" s="2" t="str">
        <f>IF(Sheet1[[#This Row],[age]]&lt;30,"Young",IF(Sheet1[[#This Row],[age]]&lt;=50,"Adult","Senior"))</f>
        <v>Adult</v>
      </c>
      <c r="R514" s="2" t="str">
        <f t="shared" ref="R514:R577" si="16">IF(AND(H514="Yes",I514="Yes"),"Very High",
IF(OR(H514="Yes",I514="Yes"),"High","Low"))</f>
        <v>Low</v>
      </c>
      <c r="S514" s="2" t="str">
        <f t="shared" ref="S514:S577" si="17">G514&amp;" - "&amp;F514</f>
        <v>East - Self-employed</v>
      </c>
    </row>
    <row r="515" spans="1:19" x14ac:dyDescent="0.3">
      <c r="A515" t="s">
        <v>1053</v>
      </c>
      <c r="B515" t="s">
        <v>1054</v>
      </c>
      <c r="C515">
        <v>52</v>
      </c>
      <c r="D515" s="2" t="s">
        <v>21</v>
      </c>
      <c r="E515" s="2" t="s">
        <v>22</v>
      </c>
      <c r="F515" s="2" t="s">
        <v>37</v>
      </c>
      <c r="G515" s="2" t="s">
        <v>81</v>
      </c>
      <c r="H515" s="2" t="s">
        <v>18</v>
      </c>
      <c r="I515" s="2" t="s">
        <v>18</v>
      </c>
      <c r="J515">
        <v>0.61</v>
      </c>
      <c r="K515" s="1">
        <v>43163</v>
      </c>
      <c r="L515" s="2" t="str">
        <f>IF(Sheet1[[#This Row],[age]]&lt;18, "Under 18",IF(Sheet1[[#This Row],[age]]&lt;=30,"18-30",IF(Sheet1[[#This Row],[age]]&lt;=45,"31-45",IF(Sheet1[[#This Row],[age]]&lt;=60,"46-60","60+"))))</f>
        <v>46-60</v>
      </c>
      <c r="M515" s="2" t="str">
        <f>IF(Sheet1[[#This Row],[risk_score]]&lt;0.3,"Low",IF(Sheet1[[#This Row],[risk_score]]&lt;0.7,"Medium","High"))</f>
        <v>Medium</v>
      </c>
      <c r="N515">
        <f>YEAR(Sheet1[[#This Row],[date_joined]])</f>
        <v>2018</v>
      </c>
      <c r="O515" s="2" t="str">
        <f>TEXT(Sheet1[[#This Row],[date_joined]],"mmm")</f>
        <v>Mar</v>
      </c>
      <c r="P515" s="2" t="str">
        <f>"Q"&amp;ROUNDUP(MONTH(Sheet1[[#This Row],[date_joined]])/3,0)</f>
        <v>Q1</v>
      </c>
      <c r="Q515" s="2" t="str">
        <f>IF(Sheet1[[#This Row],[age]]&lt;30,"Young",IF(Sheet1[[#This Row],[age]]&lt;=50,"Adult","Senior"))</f>
        <v>Senior</v>
      </c>
      <c r="R515" s="2" t="str">
        <f t="shared" si="16"/>
        <v>Very High</v>
      </c>
      <c r="S515" s="2" t="str">
        <f t="shared" si="17"/>
        <v>Central - Retired</v>
      </c>
    </row>
    <row r="516" spans="1:19" x14ac:dyDescent="0.3">
      <c r="A516" t="s">
        <v>1055</v>
      </c>
      <c r="B516" t="s">
        <v>1056</v>
      </c>
      <c r="C516">
        <v>43</v>
      </c>
      <c r="D516" s="2" t="s">
        <v>21</v>
      </c>
      <c r="E516" s="2" t="s">
        <v>22</v>
      </c>
      <c r="F516" s="2" t="s">
        <v>15</v>
      </c>
      <c r="G516" s="2" t="s">
        <v>24</v>
      </c>
      <c r="H516" s="2" t="s">
        <v>17</v>
      </c>
      <c r="I516" s="2" t="s">
        <v>18</v>
      </c>
      <c r="J516">
        <v>0.6</v>
      </c>
      <c r="K516" s="1">
        <v>43829</v>
      </c>
      <c r="L516" s="2" t="str">
        <f>IF(Sheet1[[#This Row],[age]]&lt;18, "Under 18",IF(Sheet1[[#This Row],[age]]&lt;=30,"18-30",IF(Sheet1[[#This Row],[age]]&lt;=45,"31-45",IF(Sheet1[[#This Row],[age]]&lt;=60,"46-60","60+"))))</f>
        <v>31-45</v>
      </c>
      <c r="M516" s="2" t="str">
        <f>IF(Sheet1[[#This Row],[risk_score]]&lt;0.3,"Low",IF(Sheet1[[#This Row],[risk_score]]&lt;0.7,"Medium","High"))</f>
        <v>Medium</v>
      </c>
      <c r="N516">
        <f>YEAR(Sheet1[[#This Row],[date_joined]])</f>
        <v>2019</v>
      </c>
      <c r="O516" s="2" t="str">
        <f>TEXT(Sheet1[[#This Row],[date_joined]],"mmm")</f>
        <v>Dec</v>
      </c>
      <c r="P516" s="2" t="str">
        <f>"Q"&amp;ROUNDUP(MONTH(Sheet1[[#This Row],[date_joined]])/3,0)</f>
        <v>Q4</v>
      </c>
      <c r="Q516" s="2" t="str">
        <f>IF(Sheet1[[#This Row],[age]]&lt;30,"Young",IF(Sheet1[[#This Row],[age]]&lt;=50,"Adult","Senior"))</f>
        <v>Adult</v>
      </c>
      <c r="R516" s="2" t="str">
        <f t="shared" si="16"/>
        <v>High</v>
      </c>
      <c r="S516" s="2" t="str">
        <f t="shared" si="17"/>
        <v>East - Student</v>
      </c>
    </row>
    <row r="517" spans="1:19" x14ac:dyDescent="0.3">
      <c r="A517" t="s">
        <v>1057</v>
      </c>
      <c r="B517" t="s">
        <v>1058</v>
      </c>
      <c r="C517">
        <v>61</v>
      </c>
      <c r="D517" s="2" t="s">
        <v>21</v>
      </c>
      <c r="E517" s="2" t="s">
        <v>22</v>
      </c>
      <c r="F517" s="2" t="s">
        <v>15</v>
      </c>
      <c r="G517" s="2" t="s">
        <v>32</v>
      </c>
      <c r="H517" s="2" t="s">
        <v>17</v>
      </c>
      <c r="I517" s="2" t="s">
        <v>17</v>
      </c>
      <c r="J517">
        <v>0.54</v>
      </c>
      <c r="K517" s="1">
        <v>43769</v>
      </c>
      <c r="L517" s="2" t="str">
        <f>IF(Sheet1[[#This Row],[age]]&lt;18, "Under 18",IF(Sheet1[[#This Row],[age]]&lt;=30,"18-30",IF(Sheet1[[#This Row],[age]]&lt;=45,"31-45",IF(Sheet1[[#This Row],[age]]&lt;=60,"46-60","60+"))))</f>
        <v>60+</v>
      </c>
      <c r="M517" s="2" t="str">
        <f>IF(Sheet1[[#This Row],[risk_score]]&lt;0.3,"Low",IF(Sheet1[[#This Row],[risk_score]]&lt;0.7,"Medium","High"))</f>
        <v>Medium</v>
      </c>
      <c r="N517">
        <f>YEAR(Sheet1[[#This Row],[date_joined]])</f>
        <v>2019</v>
      </c>
      <c r="O517" s="2" t="str">
        <f>TEXT(Sheet1[[#This Row],[date_joined]],"mmm")</f>
        <v>Oct</v>
      </c>
      <c r="P517" s="2" t="str">
        <f>"Q"&amp;ROUNDUP(MONTH(Sheet1[[#This Row],[date_joined]])/3,0)</f>
        <v>Q4</v>
      </c>
      <c r="Q517" s="2" t="str">
        <f>IF(Sheet1[[#This Row],[age]]&lt;30,"Young",IF(Sheet1[[#This Row],[age]]&lt;=50,"Adult","Senior"))</f>
        <v>Senior</v>
      </c>
      <c r="R517" s="2" t="str">
        <f t="shared" si="16"/>
        <v>Low</v>
      </c>
      <c r="S517" s="2" t="str">
        <f t="shared" si="17"/>
        <v>South - Student</v>
      </c>
    </row>
    <row r="518" spans="1:19" x14ac:dyDescent="0.3">
      <c r="A518" t="s">
        <v>1059</v>
      </c>
      <c r="B518" t="s">
        <v>1060</v>
      </c>
      <c r="C518">
        <v>20</v>
      </c>
      <c r="D518" s="2" t="s">
        <v>13</v>
      </c>
      <c r="E518" s="2" t="s">
        <v>14</v>
      </c>
      <c r="F518" s="2" t="s">
        <v>15</v>
      </c>
      <c r="G518" s="2" t="s">
        <v>81</v>
      </c>
      <c r="H518" s="2" t="s">
        <v>18</v>
      </c>
      <c r="I518" s="2" t="s">
        <v>18</v>
      </c>
      <c r="J518">
        <v>0.69</v>
      </c>
      <c r="K518" s="1">
        <v>43813</v>
      </c>
      <c r="L518" s="2" t="str">
        <f>IF(Sheet1[[#This Row],[age]]&lt;18, "Under 18",IF(Sheet1[[#This Row],[age]]&lt;=30,"18-30",IF(Sheet1[[#This Row],[age]]&lt;=45,"31-45",IF(Sheet1[[#This Row],[age]]&lt;=60,"46-60","60+"))))</f>
        <v>18-30</v>
      </c>
      <c r="M518" s="2" t="str">
        <f>IF(Sheet1[[#This Row],[risk_score]]&lt;0.3,"Low",IF(Sheet1[[#This Row],[risk_score]]&lt;0.7,"Medium","High"))</f>
        <v>Medium</v>
      </c>
      <c r="N518">
        <f>YEAR(Sheet1[[#This Row],[date_joined]])</f>
        <v>2019</v>
      </c>
      <c r="O518" s="2" t="str">
        <f>TEXT(Sheet1[[#This Row],[date_joined]],"mmm")</f>
        <v>Dec</v>
      </c>
      <c r="P518" s="2" t="str">
        <f>"Q"&amp;ROUNDUP(MONTH(Sheet1[[#This Row],[date_joined]])/3,0)</f>
        <v>Q4</v>
      </c>
      <c r="Q518" s="2" t="str">
        <f>IF(Sheet1[[#This Row],[age]]&lt;30,"Young",IF(Sheet1[[#This Row],[age]]&lt;=50,"Adult","Senior"))</f>
        <v>Young</v>
      </c>
      <c r="R518" s="2" t="str">
        <f t="shared" si="16"/>
        <v>Very High</v>
      </c>
      <c r="S518" s="2" t="str">
        <f t="shared" si="17"/>
        <v>Central - Student</v>
      </c>
    </row>
    <row r="519" spans="1:19" x14ac:dyDescent="0.3">
      <c r="A519" t="s">
        <v>1061</v>
      </c>
      <c r="B519" t="s">
        <v>1062</v>
      </c>
      <c r="C519">
        <v>46</v>
      </c>
      <c r="D519" s="2" t="s">
        <v>21</v>
      </c>
      <c r="E519" s="2" t="s">
        <v>30</v>
      </c>
      <c r="F519" s="2" t="s">
        <v>31</v>
      </c>
      <c r="G519" s="2" t="s">
        <v>24</v>
      </c>
      <c r="H519" s="2" t="s">
        <v>18</v>
      </c>
      <c r="I519" s="2" t="s">
        <v>18</v>
      </c>
      <c r="J519">
        <v>0.57999999999999996</v>
      </c>
      <c r="K519" s="1">
        <v>44511</v>
      </c>
      <c r="L519" s="2" t="str">
        <f>IF(Sheet1[[#This Row],[age]]&lt;18, "Under 18",IF(Sheet1[[#This Row],[age]]&lt;=30,"18-30",IF(Sheet1[[#This Row],[age]]&lt;=45,"31-45",IF(Sheet1[[#This Row],[age]]&lt;=60,"46-60","60+"))))</f>
        <v>46-60</v>
      </c>
      <c r="M519" s="2" t="str">
        <f>IF(Sheet1[[#This Row],[risk_score]]&lt;0.3,"Low",IF(Sheet1[[#This Row],[risk_score]]&lt;0.7,"Medium","High"))</f>
        <v>Medium</v>
      </c>
      <c r="N519">
        <f>YEAR(Sheet1[[#This Row],[date_joined]])</f>
        <v>2021</v>
      </c>
      <c r="O519" s="2" t="str">
        <f>TEXT(Sheet1[[#This Row],[date_joined]],"mmm")</f>
        <v>Nov</v>
      </c>
      <c r="P519" s="2" t="str">
        <f>"Q"&amp;ROUNDUP(MONTH(Sheet1[[#This Row],[date_joined]])/3,0)</f>
        <v>Q4</v>
      </c>
      <c r="Q519" s="2" t="str">
        <f>IF(Sheet1[[#This Row],[age]]&lt;30,"Young",IF(Sheet1[[#This Row],[age]]&lt;=50,"Adult","Senior"))</f>
        <v>Adult</v>
      </c>
      <c r="R519" s="2" t="str">
        <f t="shared" si="16"/>
        <v>Very High</v>
      </c>
      <c r="S519" s="2" t="str">
        <f t="shared" si="17"/>
        <v>East - Self-employed</v>
      </c>
    </row>
    <row r="520" spans="1:19" x14ac:dyDescent="0.3">
      <c r="A520" t="s">
        <v>1063</v>
      </c>
      <c r="B520" t="s">
        <v>1064</v>
      </c>
      <c r="C520">
        <v>33</v>
      </c>
      <c r="D520" s="2" t="s">
        <v>21</v>
      </c>
      <c r="E520" s="2" t="s">
        <v>22</v>
      </c>
      <c r="F520" s="2" t="s">
        <v>15</v>
      </c>
      <c r="G520" s="2" t="s">
        <v>81</v>
      </c>
      <c r="H520" s="2" t="s">
        <v>18</v>
      </c>
      <c r="I520" s="2" t="s">
        <v>18</v>
      </c>
      <c r="J520">
        <v>0.6</v>
      </c>
      <c r="K520" s="1">
        <v>43650</v>
      </c>
      <c r="L520" s="2" t="str">
        <f>IF(Sheet1[[#This Row],[age]]&lt;18, "Under 18",IF(Sheet1[[#This Row],[age]]&lt;=30,"18-30",IF(Sheet1[[#This Row],[age]]&lt;=45,"31-45",IF(Sheet1[[#This Row],[age]]&lt;=60,"46-60","60+"))))</f>
        <v>31-45</v>
      </c>
      <c r="M520" s="2" t="str">
        <f>IF(Sheet1[[#This Row],[risk_score]]&lt;0.3,"Low",IF(Sheet1[[#This Row],[risk_score]]&lt;0.7,"Medium","High"))</f>
        <v>Medium</v>
      </c>
      <c r="N520">
        <f>YEAR(Sheet1[[#This Row],[date_joined]])</f>
        <v>2019</v>
      </c>
      <c r="O520" s="2" t="str">
        <f>TEXT(Sheet1[[#This Row],[date_joined]],"mmm")</f>
        <v>Jul</v>
      </c>
      <c r="P520" s="2" t="str">
        <f>"Q"&amp;ROUNDUP(MONTH(Sheet1[[#This Row],[date_joined]])/3,0)</f>
        <v>Q3</v>
      </c>
      <c r="Q520" s="2" t="str">
        <f>IF(Sheet1[[#This Row],[age]]&lt;30,"Young",IF(Sheet1[[#This Row],[age]]&lt;=50,"Adult","Senior"))</f>
        <v>Adult</v>
      </c>
      <c r="R520" s="2" t="str">
        <f t="shared" si="16"/>
        <v>Very High</v>
      </c>
      <c r="S520" s="2" t="str">
        <f t="shared" si="17"/>
        <v>Central - Student</v>
      </c>
    </row>
    <row r="521" spans="1:19" x14ac:dyDescent="0.3">
      <c r="A521" t="s">
        <v>1065</v>
      </c>
      <c r="B521" t="s">
        <v>1066</v>
      </c>
      <c r="C521">
        <v>65</v>
      </c>
      <c r="D521" s="2" t="s">
        <v>13</v>
      </c>
      <c r="E521" s="2" t="s">
        <v>22</v>
      </c>
      <c r="F521" s="2" t="s">
        <v>37</v>
      </c>
      <c r="G521" s="2" t="s">
        <v>24</v>
      </c>
      <c r="H521" s="2" t="s">
        <v>18</v>
      </c>
      <c r="I521" s="2" t="s">
        <v>18</v>
      </c>
      <c r="J521">
        <v>0.73</v>
      </c>
      <c r="K521" s="1">
        <v>44684</v>
      </c>
      <c r="L521" s="2" t="str">
        <f>IF(Sheet1[[#This Row],[age]]&lt;18, "Under 18",IF(Sheet1[[#This Row],[age]]&lt;=30,"18-30",IF(Sheet1[[#This Row],[age]]&lt;=45,"31-45",IF(Sheet1[[#This Row],[age]]&lt;=60,"46-60","60+"))))</f>
        <v>60+</v>
      </c>
      <c r="M521" s="2" t="str">
        <f>IF(Sheet1[[#This Row],[risk_score]]&lt;0.3,"Low",IF(Sheet1[[#This Row],[risk_score]]&lt;0.7,"Medium","High"))</f>
        <v>High</v>
      </c>
      <c r="N521">
        <f>YEAR(Sheet1[[#This Row],[date_joined]])</f>
        <v>2022</v>
      </c>
      <c r="O521" s="2" t="str">
        <f>TEXT(Sheet1[[#This Row],[date_joined]],"mmm")</f>
        <v>May</v>
      </c>
      <c r="P521" s="2" t="str">
        <f>"Q"&amp;ROUNDUP(MONTH(Sheet1[[#This Row],[date_joined]])/3,0)</f>
        <v>Q2</v>
      </c>
      <c r="Q521" s="2" t="str">
        <f>IF(Sheet1[[#This Row],[age]]&lt;30,"Young",IF(Sheet1[[#This Row],[age]]&lt;=50,"Adult","Senior"))</f>
        <v>Senior</v>
      </c>
      <c r="R521" s="2" t="str">
        <f t="shared" si="16"/>
        <v>Very High</v>
      </c>
      <c r="S521" s="2" t="str">
        <f t="shared" si="17"/>
        <v>East - Retired</v>
      </c>
    </row>
    <row r="522" spans="1:19" x14ac:dyDescent="0.3">
      <c r="A522" t="s">
        <v>1067</v>
      </c>
      <c r="B522" t="s">
        <v>1068</v>
      </c>
      <c r="C522">
        <v>66</v>
      </c>
      <c r="D522" s="2" t="s">
        <v>21</v>
      </c>
      <c r="E522" s="2" t="s">
        <v>30</v>
      </c>
      <c r="F522" s="2" t="s">
        <v>15</v>
      </c>
      <c r="G522" s="2" t="s">
        <v>32</v>
      </c>
      <c r="H522" s="2" t="s">
        <v>17</v>
      </c>
      <c r="I522" s="2" t="s">
        <v>18</v>
      </c>
      <c r="J522">
        <v>0.41</v>
      </c>
      <c r="K522" s="1">
        <v>44237</v>
      </c>
      <c r="L522" s="2" t="str">
        <f>IF(Sheet1[[#This Row],[age]]&lt;18, "Under 18",IF(Sheet1[[#This Row],[age]]&lt;=30,"18-30",IF(Sheet1[[#This Row],[age]]&lt;=45,"31-45",IF(Sheet1[[#This Row],[age]]&lt;=60,"46-60","60+"))))</f>
        <v>60+</v>
      </c>
      <c r="M522" s="2" t="str">
        <f>IF(Sheet1[[#This Row],[risk_score]]&lt;0.3,"Low",IF(Sheet1[[#This Row],[risk_score]]&lt;0.7,"Medium","High"))</f>
        <v>Medium</v>
      </c>
      <c r="N522">
        <f>YEAR(Sheet1[[#This Row],[date_joined]])</f>
        <v>2021</v>
      </c>
      <c r="O522" s="2" t="str">
        <f>TEXT(Sheet1[[#This Row],[date_joined]],"mmm")</f>
        <v>Feb</v>
      </c>
      <c r="P522" s="2" t="str">
        <f>"Q"&amp;ROUNDUP(MONTH(Sheet1[[#This Row],[date_joined]])/3,0)</f>
        <v>Q1</v>
      </c>
      <c r="Q522" s="2" t="str">
        <f>IF(Sheet1[[#This Row],[age]]&lt;30,"Young",IF(Sheet1[[#This Row],[age]]&lt;=50,"Adult","Senior"))</f>
        <v>Senior</v>
      </c>
      <c r="R522" s="2" t="str">
        <f t="shared" si="16"/>
        <v>High</v>
      </c>
      <c r="S522" s="2" t="str">
        <f t="shared" si="17"/>
        <v>South - Student</v>
      </c>
    </row>
    <row r="523" spans="1:19" x14ac:dyDescent="0.3">
      <c r="A523" t="s">
        <v>1069</v>
      </c>
      <c r="B523" t="s">
        <v>1070</v>
      </c>
      <c r="C523">
        <v>25</v>
      </c>
      <c r="D523" s="2" t="s">
        <v>13</v>
      </c>
      <c r="E523" s="2" t="s">
        <v>22</v>
      </c>
      <c r="F523" s="2" t="s">
        <v>37</v>
      </c>
      <c r="G523" s="2" t="s">
        <v>66</v>
      </c>
      <c r="H523" s="2" t="s">
        <v>18</v>
      </c>
      <c r="I523" s="2" t="s">
        <v>18</v>
      </c>
      <c r="J523">
        <v>0.55000000000000004</v>
      </c>
      <c r="K523" s="1">
        <v>43226</v>
      </c>
      <c r="L523" s="2" t="str">
        <f>IF(Sheet1[[#This Row],[age]]&lt;18, "Under 18",IF(Sheet1[[#This Row],[age]]&lt;=30,"18-30",IF(Sheet1[[#This Row],[age]]&lt;=45,"31-45",IF(Sheet1[[#This Row],[age]]&lt;=60,"46-60","60+"))))</f>
        <v>18-30</v>
      </c>
      <c r="M523" s="2" t="str">
        <f>IF(Sheet1[[#This Row],[risk_score]]&lt;0.3,"Low",IF(Sheet1[[#This Row],[risk_score]]&lt;0.7,"Medium","High"))</f>
        <v>Medium</v>
      </c>
      <c r="N523">
        <f>YEAR(Sheet1[[#This Row],[date_joined]])</f>
        <v>2018</v>
      </c>
      <c r="O523" s="2" t="str">
        <f>TEXT(Sheet1[[#This Row],[date_joined]],"mmm")</f>
        <v>May</v>
      </c>
      <c r="P523" s="2" t="str">
        <f>"Q"&amp;ROUNDUP(MONTH(Sheet1[[#This Row],[date_joined]])/3,0)</f>
        <v>Q2</v>
      </c>
      <c r="Q523" s="2" t="str">
        <f>IF(Sheet1[[#This Row],[age]]&lt;30,"Young",IF(Sheet1[[#This Row],[age]]&lt;=50,"Adult","Senior"))</f>
        <v>Young</v>
      </c>
      <c r="R523" s="2" t="str">
        <f t="shared" si="16"/>
        <v>Very High</v>
      </c>
      <c r="S523" s="2" t="str">
        <f t="shared" si="17"/>
        <v>North-East - Retired</v>
      </c>
    </row>
    <row r="524" spans="1:19" x14ac:dyDescent="0.3">
      <c r="A524" t="s">
        <v>1071</v>
      </c>
      <c r="B524" t="s">
        <v>1072</v>
      </c>
      <c r="C524">
        <v>38</v>
      </c>
      <c r="D524" s="2" t="s">
        <v>21</v>
      </c>
      <c r="E524" s="2" t="s">
        <v>22</v>
      </c>
      <c r="F524" s="2" t="s">
        <v>23</v>
      </c>
      <c r="G524" s="2" t="s">
        <v>16</v>
      </c>
      <c r="H524" s="2" t="s">
        <v>17</v>
      </c>
      <c r="I524" s="2" t="s">
        <v>17</v>
      </c>
      <c r="J524">
        <v>0.4</v>
      </c>
      <c r="K524" s="1">
        <v>44153</v>
      </c>
      <c r="L524" s="2" t="str">
        <f>IF(Sheet1[[#This Row],[age]]&lt;18, "Under 18",IF(Sheet1[[#This Row],[age]]&lt;=30,"18-30",IF(Sheet1[[#This Row],[age]]&lt;=45,"31-45",IF(Sheet1[[#This Row],[age]]&lt;=60,"46-60","60+"))))</f>
        <v>31-45</v>
      </c>
      <c r="M524" s="2" t="str">
        <f>IF(Sheet1[[#This Row],[risk_score]]&lt;0.3,"Low",IF(Sheet1[[#This Row],[risk_score]]&lt;0.7,"Medium","High"))</f>
        <v>Medium</v>
      </c>
      <c r="N524">
        <f>YEAR(Sheet1[[#This Row],[date_joined]])</f>
        <v>2020</v>
      </c>
      <c r="O524" s="2" t="str">
        <f>TEXT(Sheet1[[#This Row],[date_joined]],"mmm")</f>
        <v>Nov</v>
      </c>
      <c r="P524" s="2" t="str">
        <f>"Q"&amp;ROUNDUP(MONTH(Sheet1[[#This Row],[date_joined]])/3,0)</f>
        <v>Q4</v>
      </c>
      <c r="Q524" s="2" t="str">
        <f>IF(Sheet1[[#This Row],[age]]&lt;30,"Young",IF(Sheet1[[#This Row],[age]]&lt;=50,"Adult","Senior"))</f>
        <v>Adult</v>
      </c>
      <c r="R524" s="2" t="str">
        <f t="shared" si="16"/>
        <v>Low</v>
      </c>
      <c r="S524" s="2" t="str">
        <f t="shared" si="17"/>
        <v>West - Salaried</v>
      </c>
    </row>
    <row r="525" spans="1:19" x14ac:dyDescent="0.3">
      <c r="A525" t="s">
        <v>1073</v>
      </c>
      <c r="B525" t="s">
        <v>1074</v>
      </c>
      <c r="C525">
        <v>28</v>
      </c>
      <c r="D525" s="2" t="s">
        <v>21</v>
      </c>
      <c r="E525" s="2" t="s">
        <v>30</v>
      </c>
      <c r="F525" s="2" t="s">
        <v>31</v>
      </c>
      <c r="G525" s="2" t="s">
        <v>27</v>
      </c>
      <c r="H525" s="2" t="s">
        <v>18</v>
      </c>
      <c r="I525" s="2" t="s">
        <v>18</v>
      </c>
      <c r="J525">
        <v>0.69</v>
      </c>
      <c r="K525" s="1">
        <v>43352</v>
      </c>
      <c r="L525" s="2" t="str">
        <f>IF(Sheet1[[#This Row],[age]]&lt;18, "Under 18",IF(Sheet1[[#This Row],[age]]&lt;=30,"18-30",IF(Sheet1[[#This Row],[age]]&lt;=45,"31-45",IF(Sheet1[[#This Row],[age]]&lt;=60,"46-60","60+"))))</f>
        <v>18-30</v>
      </c>
      <c r="M525" s="2" t="str">
        <f>IF(Sheet1[[#This Row],[risk_score]]&lt;0.3,"Low",IF(Sheet1[[#This Row],[risk_score]]&lt;0.7,"Medium","High"))</f>
        <v>Medium</v>
      </c>
      <c r="N525">
        <f>YEAR(Sheet1[[#This Row],[date_joined]])</f>
        <v>2018</v>
      </c>
      <c r="O525" s="2" t="str">
        <f>TEXT(Sheet1[[#This Row],[date_joined]],"mmm")</f>
        <v>Sep</v>
      </c>
      <c r="P525" s="2" t="str">
        <f>"Q"&amp;ROUNDUP(MONTH(Sheet1[[#This Row],[date_joined]])/3,0)</f>
        <v>Q3</v>
      </c>
      <c r="Q525" s="2" t="str">
        <f>IF(Sheet1[[#This Row],[age]]&lt;30,"Young",IF(Sheet1[[#This Row],[age]]&lt;=50,"Adult","Senior"))</f>
        <v>Young</v>
      </c>
      <c r="R525" s="2" t="str">
        <f t="shared" si="16"/>
        <v>Very High</v>
      </c>
      <c r="S525" s="2" t="str">
        <f t="shared" si="17"/>
        <v>North - Self-employed</v>
      </c>
    </row>
    <row r="526" spans="1:19" x14ac:dyDescent="0.3">
      <c r="A526" t="s">
        <v>1075</v>
      </c>
      <c r="B526" t="s">
        <v>1076</v>
      </c>
      <c r="C526">
        <v>61</v>
      </c>
      <c r="D526" s="2" t="s">
        <v>21</v>
      </c>
      <c r="E526" s="2" t="s">
        <v>22</v>
      </c>
      <c r="F526" s="2" t="s">
        <v>31</v>
      </c>
      <c r="G526" s="2" t="s">
        <v>32</v>
      </c>
      <c r="H526" s="2" t="s">
        <v>17</v>
      </c>
      <c r="I526" s="2" t="s">
        <v>18</v>
      </c>
      <c r="J526">
        <v>0.82</v>
      </c>
      <c r="K526" s="1">
        <v>43646</v>
      </c>
      <c r="L526" s="2" t="str">
        <f>IF(Sheet1[[#This Row],[age]]&lt;18, "Under 18",IF(Sheet1[[#This Row],[age]]&lt;=30,"18-30",IF(Sheet1[[#This Row],[age]]&lt;=45,"31-45",IF(Sheet1[[#This Row],[age]]&lt;=60,"46-60","60+"))))</f>
        <v>60+</v>
      </c>
      <c r="M526" s="2" t="str">
        <f>IF(Sheet1[[#This Row],[risk_score]]&lt;0.3,"Low",IF(Sheet1[[#This Row],[risk_score]]&lt;0.7,"Medium","High"))</f>
        <v>High</v>
      </c>
      <c r="N526">
        <f>YEAR(Sheet1[[#This Row],[date_joined]])</f>
        <v>2019</v>
      </c>
      <c r="O526" s="2" t="str">
        <f>TEXT(Sheet1[[#This Row],[date_joined]],"mmm")</f>
        <v>Jun</v>
      </c>
      <c r="P526" s="2" t="str">
        <f>"Q"&amp;ROUNDUP(MONTH(Sheet1[[#This Row],[date_joined]])/3,0)</f>
        <v>Q2</v>
      </c>
      <c r="Q526" s="2" t="str">
        <f>IF(Sheet1[[#This Row],[age]]&lt;30,"Young",IF(Sheet1[[#This Row],[age]]&lt;=50,"Adult","Senior"))</f>
        <v>Senior</v>
      </c>
      <c r="R526" s="2" t="str">
        <f t="shared" si="16"/>
        <v>High</v>
      </c>
      <c r="S526" s="2" t="str">
        <f t="shared" si="17"/>
        <v>South - Self-employed</v>
      </c>
    </row>
    <row r="527" spans="1:19" x14ac:dyDescent="0.3">
      <c r="A527" t="s">
        <v>1077</v>
      </c>
      <c r="B527" t="s">
        <v>1078</v>
      </c>
      <c r="C527">
        <v>40</v>
      </c>
      <c r="D527" s="2" t="s">
        <v>21</v>
      </c>
      <c r="E527" s="2" t="s">
        <v>14</v>
      </c>
      <c r="F527" s="2" t="s">
        <v>31</v>
      </c>
      <c r="G527" s="2" t="s">
        <v>81</v>
      </c>
      <c r="H527" s="2" t="s">
        <v>18</v>
      </c>
      <c r="I527" s="2" t="s">
        <v>18</v>
      </c>
      <c r="J527">
        <v>0.18</v>
      </c>
      <c r="K527" s="1">
        <v>44181</v>
      </c>
      <c r="L527" s="2" t="str">
        <f>IF(Sheet1[[#This Row],[age]]&lt;18, "Under 18",IF(Sheet1[[#This Row],[age]]&lt;=30,"18-30",IF(Sheet1[[#This Row],[age]]&lt;=45,"31-45",IF(Sheet1[[#This Row],[age]]&lt;=60,"46-60","60+"))))</f>
        <v>31-45</v>
      </c>
      <c r="M527" s="2" t="str">
        <f>IF(Sheet1[[#This Row],[risk_score]]&lt;0.3,"Low",IF(Sheet1[[#This Row],[risk_score]]&lt;0.7,"Medium","High"))</f>
        <v>Low</v>
      </c>
      <c r="N527">
        <f>YEAR(Sheet1[[#This Row],[date_joined]])</f>
        <v>2020</v>
      </c>
      <c r="O527" s="2" t="str">
        <f>TEXT(Sheet1[[#This Row],[date_joined]],"mmm")</f>
        <v>Dec</v>
      </c>
      <c r="P527" s="2" t="str">
        <f>"Q"&amp;ROUNDUP(MONTH(Sheet1[[#This Row],[date_joined]])/3,0)</f>
        <v>Q4</v>
      </c>
      <c r="Q527" s="2" t="str">
        <f>IF(Sheet1[[#This Row],[age]]&lt;30,"Young",IF(Sheet1[[#This Row],[age]]&lt;=50,"Adult","Senior"))</f>
        <v>Adult</v>
      </c>
      <c r="R527" s="2" t="str">
        <f t="shared" si="16"/>
        <v>Very High</v>
      </c>
      <c r="S527" s="2" t="str">
        <f t="shared" si="17"/>
        <v>Central - Self-employed</v>
      </c>
    </row>
    <row r="528" spans="1:19" x14ac:dyDescent="0.3">
      <c r="A528" t="s">
        <v>1079</v>
      </c>
      <c r="B528" t="s">
        <v>1080</v>
      </c>
      <c r="C528">
        <v>54</v>
      </c>
      <c r="D528" s="2" t="s">
        <v>13</v>
      </c>
      <c r="E528" s="2" t="s">
        <v>30</v>
      </c>
      <c r="F528" s="2" t="s">
        <v>15</v>
      </c>
      <c r="G528" s="2" t="s">
        <v>16</v>
      </c>
      <c r="H528" s="2" t="s">
        <v>17</v>
      </c>
      <c r="I528" s="2" t="s">
        <v>18</v>
      </c>
      <c r="J528">
        <v>0.53</v>
      </c>
      <c r="K528" s="1">
        <v>44968</v>
      </c>
      <c r="L528" s="2" t="str">
        <f>IF(Sheet1[[#This Row],[age]]&lt;18, "Under 18",IF(Sheet1[[#This Row],[age]]&lt;=30,"18-30",IF(Sheet1[[#This Row],[age]]&lt;=45,"31-45",IF(Sheet1[[#This Row],[age]]&lt;=60,"46-60","60+"))))</f>
        <v>46-60</v>
      </c>
      <c r="M528" s="2" t="str">
        <f>IF(Sheet1[[#This Row],[risk_score]]&lt;0.3,"Low",IF(Sheet1[[#This Row],[risk_score]]&lt;0.7,"Medium","High"))</f>
        <v>Medium</v>
      </c>
      <c r="N528">
        <f>YEAR(Sheet1[[#This Row],[date_joined]])</f>
        <v>2023</v>
      </c>
      <c r="O528" s="2" t="str">
        <f>TEXT(Sheet1[[#This Row],[date_joined]],"mmm")</f>
        <v>Feb</v>
      </c>
      <c r="P528" s="2" t="str">
        <f>"Q"&amp;ROUNDUP(MONTH(Sheet1[[#This Row],[date_joined]])/3,0)</f>
        <v>Q1</v>
      </c>
      <c r="Q528" s="2" t="str">
        <f>IF(Sheet1[[#This Row],[age]]&lt;30,"Young",IF(Sheet1[[#This Row],[age]]&lt;=50,"Adult","Senior"))</f>
        <v>Senior</v>
      </c>
      <c r="R528" s="2" t="str">
        <f t="shared" si="16"/>
        <v>High</v>
      </c>
      <c r="S528" s="2" t="str">
        <f t="shared" si="17"/>
        <v>West - Student</v>
      </c>
    </row>
    <row r="529" spans="1:19" x14ac:dyDescent="0.3">
      <c r="A529" t="s">
        <v>1081</v>
      </c>
      <c r="B529" t="s">
        <v>1082</v>
      </c>
      <c r="C529">
        <v>27</v>
      </c>
      <c r="D529" s="2" t="s">
        <v>13</v>
      </c>
      <c r="E529" s="2" t="s">
        <v>22</v>
      </c>
      <c r="F529" s="2" t="s">
        <v>37</v>
      </c>
      <c r="G529" s="2" t="s">
        <v>32</v>
      </c>
      <c r="H529" s="2" t="s">
        <v>18</v>
      </c>
      <c r="I529" s="2" t="s">
        <v>18</v>
      </c>
      <c r="J529">
        <v>0.5</v>
      </c>
      <c r="K529" s="1">
        <v>44255</v>
      </c>
      <c r="L529" s="2" t="str">
        <f>IF(Sheet1[[#This Row],[age]]&lt;18, "Under 18",IF(Sheet1[[#This Row],[age]]&lt;=30,"18-30",IF(Sheet1[[#This Row],[age]]&lt;=45,"31-45",IF(Sheet1[[#This Row],[age]]&lt;=60,"46-60","60+"))))</f>
        <v>18-30</v>
      </c>
      <c r="M529" s="2" t="str">
        <f>IF(Sheet1[[#This Row],[risk_score]]&lt;0.3,"Low",IF(Sheet1[[#This Row],[risk_score]]&lt;0.7,"Medium","High"))</f>
        <v>Medium</v>
      </c>
      <c r="N529">
        <f>YEAR(Sheet1[[#This Row],[date_joined]])</f>
        <v>2021</v>
      </c>
      <c r="O529" s="2" t="str">
        <f>TEXT(Sheet1[[#This Row],[date_joined]],"mmm")</f>
        <v>Feb</v>
      </c>
      <c r="P529" s="2" t="str">
        <f>"Q"&amp;ROUNDUP(MONTH(Sheet1[[#This Row],[date_joined]])/3,0)</f>
        <v>Q1</v>
      </c>
      <c r="Q529" s="2" t="str">
        <f>IF(Sheet1[[#This Row],[age]]&lt;30,"Young",IF(Sheet1[[#This Row],[age]]&lt;=50,"Adult","Senior"))</f>
        <v>Young</v>
      </c>
      <c r="R529" s="2" t="str">
        <f t="shared" si="16"/>
        <v>Very High</v>
      </c>
      <c r="S529" s="2" t="str">
        <f t="shared" si="17"/>
        <v>South - Retired</v>
      </c>
    </row>
    <row r="530" spans="1:19" x14ac:dyDescent="0.3">
      <c r="A530" t="s">
        <v>1083</v>
      </c>
      <c r="B530" t="s">
        <v>1084</v>
      </c>
      <c r="C530">
        <v>40</v>
      </c>
      <c r="D530" s="2" t="s">
        <v>13</v>
      </c>
      <c r="E530" s="2" t="s">
        <v>22</v>
      </c>
      <c r="F530" s="2" t="s">
        <v>15</v>
      </c>
      <c r="G530" s="2" t="s">
        <v>66</v>
      </c>
      <c r="H530" s="2" t="s">
        <v>17</v>
      </c>
      <c r="I530" s="2" t="s">
        <v>17</v>
      </c>
      <c r="J530">
        <v>0.51</v>
      </c>
      <c r="K530" s="1">
        <v>43823</v>
      </c>
      <c r="L530" s="2" t="str">
        <f>IF(Sheet1[[#This Row],[age]]&lt;18, "Under 18",IF(Sheet1[[#This Row],[age]]&lt;=30,"18-30",IF(Sheet1[[#This Row],[age]]&lt;=45,"31-45",IF(Sheet1[[#This Row],[age]]&lt;=60,"46-60","60+"))))</f>
        <v>31-45</v>
      </c>
      <c r="M530" s="2" t="str">
        <f>IF(Sheet1[[#This Row],[risk_score]]&lt;0.3,"Low",IF(Sheet1[[#This Row],[risk_score]]&lt;0.7,"Medium","High"))</f>
        <v>Medium</v>
      </c>
      <c r="N530">
        <f>YEAR(Sheet1[[#This Row],[date_joined]])</f>
        <v>2019</v>
      </c>
      <c r="O530" s="2" t="str">
        <f>TEXT(Sheet1[[#This Row],[date_joined]],"mmm")</f>
        <v>Dec</v>
      </c>
      <c r="P530" s="2" t="str">
        <f>"Q"&amp;ROUNDUP(MONTH(Sheet1[[#This Row],[date_joined]])/3,0)</f>
        <v>Q4</v>
      </c>
      <c r="Q530" s="2" t="str">
        <f>IF(Sheet1[[#This Row],[age]]&lt;30,"Young",IF(Sheet1[[#This Row],[age]]&lt;=50,"Adult","Senior"))</f>
        <v>Adult</v>
      </c>
      <c r="R530" s="2" t="str">
        <f t="shared" si="16"/>
        <v>Low</v>
      </c>
      <c r="S530" s="2" t="str">
        <f t="shared" si="17"/>
        <v>North-East - Student</v>
      </c>
    </row>
    <row r="531" spans="1:19" x14ac:dyDescent="0.3">
      <c r="A531" t="s">
        <v>1085</v>
      </c>
      <c r="B531" t="s">
        <v>1086</v>
      </c>
      <c r="C531">
        <v>32</v>
      </c>
      <c r="D531" s="2" t="s">
        <v>13</v>
      </c>
      <c r="E531" s="2" t="s">
        <v>22</v>
      </c>
      <c r="F531" s="2" t="s">
        <v>37</v>
      </c>
      <c r="G531" s="2" t="s">
        <v>16</v>
      </c>
      <c r="H531" s="2" t="s">
        <v>17</v>
      </c>
      <c r="I531" s="2" t="s">
        <v>18</v>
      </c>
      <c r="J531">
        <v>0.57999999999999996</v>
      </c>
      <c r="K531" s="1">
        <v>44610</v>
      </c>
      <c r="L531" s="2" t="str">
        <f>IF(Sheet1[[#This Row],[age]]&lt;18, "Under 18",IF(Sheet1[[#This Row],[age]]&lt;=30,"18-30",IF(Sheet1[[#This Row],[age]]&lt;=45,"31-45",IF(Sheet1[[#This Row],[age]]&lt;=60,"46-60","60+"))))</f>
        <v>31-45</v>
      </c>
      <c r="M531" s="2" t="str">
        <f>IF(Sheet1[[#This Row],[risk_score]]&lt;0.3,"Low",IF(Sheet1[[#This Row],[risk_score]]&lt;0.7,"Medium","High"))</f>
        <v>Medium</v>
      </c>
      <c r="N531">
        <f>YEAR(Sheet1[[#This Row],[date_joined]])</f>
        <v>2022</v>
      </c>
      <c r="O531" s="2" t="str">
        <f>TEXT(Sheet1[[#This Row],[date_joined]],"mmm")</f>
        <v>Feb</v>
      </c>
      <c r="P531" s="2" t="str">
        <f>"Q"&amp;ROUNDUP(MONTH(Sheet1[[#This Row],[date_joined]])/3,0)</f>
        <v>Q1</v>
      </c>
      <c r="Q531" s="2" t="str">
        <f>IF(Sheet1[[#This Row],[age]]&lt;30,"Young",IF(Sheet1[[#This Row],[age]]&lt;=50,"Adult","Senior"))</f>
        <v>Adult</v>
      </c>
      <c r="R531" s="2" t="str">
        <f t="shared" si="16"/>
        <v>High</v>
      </c>
      <c r="S531" s="2" t="str">
        <f t="shared" si="17"/>
        <v>West - Retired</v>
      </c>
    </row>
    <row r="532" spans="1:19" x14ac:dyDescent="0.3">
      <c r="A532" t="s">
        <v>1087</v>
      </c>
      <c r="B532" t="s">
        <v>1088</v>
      </c>
      <c r="C532">
        <v>28</v>
      </c>
      <c r="D532" s="2" t="s">
        <v>21</v>
      </c>
      <c r="E532" s="2" t="s">
        <v>14</v>
      </c>
      <c r="F532" s="2" t="s">
        <v>31</v>
      </c>
      <c r="G532" s="2" t="s">
        <v>66</v>
      </c>
      <c r="H532" s="2" t="s">
        <v>18</v>
      </c>
      <c r="I532" s="2" t="s">
        <v>18</v>
      </c>
      <c r="J532">
        <v>0.55000000000000004</v>
      </c>
      <c r="K532" s="1">
        <v>44400</v>
      </c>
      <c r="L532" s="2" t="str">
        <f>IF(Sheet1[[#This Row],[age]]&lt;18, "Under 18",IF(Sheet1[[#This Row],[age]]&lt;=30,"18-30",IF(Sheet1[[#This Row],[age]]&lt;=45,"31-45",IF(Sheet1[[#This Row],[age]]&lt;=60,"46-60","60+"))))</f>
        <v>18-30</v>
      </c>
      <c r="M532" s="2" t="str">
        <f>IF(Sheet1[[#This Row],[risk_score]]&lt;0.3,"Low",IF(Sheet1[[#This Row],[risk_score]]&lt;0.7,"Medium","High"))</f>
        <v>Medium</v>
      </c>
      <c r="N532">
        <f>YEAR(Sheet1[[#This Row],[date_joined]])</f>
        <v>2021</v>
      </c>
      <c r="O532" s="2" t="str">
        <f>TEXT(Sheet1[[#This Row],[date_joined]],"mmm")</f>
        <v>Jul</v>
      </c>
      <c r="P532" s="2" t="str">
        <f>"Q"&amp;ROUNDUP(MONTH(Sheet1[[#This Row],[date_joined]])/3,0)</f>
        <v>Q3</v>
      </c>
      <c r="Q532" s="2" t="str">
        <f>IF(Sheet1[[#This Row],[age]]&lt;30,"Young",IF(Sheet1[[#This Row],[age]]&lt;=50,"Adult","Senior"))</f>
        <v>Young</v>
      </c>
      <c r="R532" s="2" t="str">
        <f t="shared" si="16"/>
        <v>Very High</v>
      </c>
      <c r="S532" s="2" t="str">
        <f t="shared" si="17"/>
        <v>North-East - Self-employed</v>
      </c>
    </row>
    <row r="533" spans="1:19" x14ac:dyDescent="0.3">
      <c r="A533" t="s">
        <v>1089</v>
      </c>
      <c r="B533" t="s">
        <v>1090</v>
      </c>
      <c r="C533">
        <v>34</v>
      </c>
      <c r="D533" s="2" t="s">
        <v>21</v>
      </c>
      <c r="E533" s="2" t="s">
        <v>22</v>
      </c>
      <c r="F533" s="2" t="s">
        <v>15</v>
      </c>
      <c r="G533" s="2" t="s">
        <v>81</v>
      </c>
      <c r="H533" s="2" t="s">
        <v>18</v>
      </c>
      <c r="I533" s="2" t="s">
        <v>17</v>
      </c>
      <c r="J533">
        <v>0.28999999999999998</v>
      </c>
      <c r="K533" s="1">
        <v>43982</v>
      </c>
      <c r="L533" s="2" t="str">
        <f>IF(Sheet1[[#This Row],[age]]&lt;18, "Under 18",IF(Sheet1[[#This Row],[age]]&lt;=30,"18-30",IF(Sheet1[[#This Row],[age]]&lt;=45,"31-45",IF(Sheet1[[#This Row],[age]]&lt;=60,"46-60","60+"))))</f>
        <v>31-45</v>
      </c>
      <c r="M533" s="2" t="str">
        <f>IF(Sheet1[[#This Row],[risk_score]]&lt;0.3,"Low",IF(Sheet1[[#This Row],[risk_score]]&lt;0.7,"Medium","High"))</f>
        <v>Low</v>
      </c>
      <c r="N533">
        <f>YEAR(Sheet1[[#This Row],[date_joined]])</f>
        <v>2020</v>
      </c>
      <c r="O533" s="2" t="str">
        <f>TEXT(Sheet1[[#This Row],[date_joined]],"mmm")</f>
        <v>May</v>
      </c>
      <c r="P533" s="2" t="str">
        <f>"Q"&amp;ROUNDUP(MONTH(Sheet1[[#This Row],[date_joined]])/3,0)</f>
        <v>Q2</v>
      </c>
      <c r="Q533" s="2" t="str">
        <f>IF(Sheet1[[#This Row],[age]]&lt;30,"Young",IF(Sheet1[[#This Row],[age]]&lt;=50,"Adult","Senior"))</f>
        <v>Adult</v>
      </c>
      <c r="R533" s="2" t="str">
        <f t="shared" si="16"/>
        <v>High</v>
      </c>
      <c r="S533" s="2" t="str">
        <f t="shared" si="17"/>
        <v>Central - Student</v>
      </c>
    </row>
    <row r="534" spans="1:19" x14ac:dyDescent="0.3">
      <c r="A534" t="s">
        <v>1091</v>
      </c>
      <c r="B534" t="s">
        <v>1092</v>
      </c>
      <c r="C534">
        <v>66</v>
      </c>
      <c r="D534" s="2" t="s">
        <v>13</v>
      </c>
      <c r="E534" s="2" t="s">
        <v>22</v>
      </c>
      <c r="F534" s="2" t="s">
        <v>37</v>
      </c>
      <c r="G534" s="2" t="s">
        <v>66</v>
      </c>
      <c r="H534" s="2" t="s">
        <v>18</v>
      </c>
      <c r="I534" s="2" t="s">
        <v>18</v>
      </c>
      <c r="J534">
        <v>0.46</v>
      </c>
      <c r="K534" s="1">
        <v>44251</v>
      </c>
      <c r="L534" s="2" t="str">
        <f>IF(Sheet1[[#This Row],[age]]&lt;18, "Under 18",IF(Sheet1[[#This Row],[age]]&lt;=30,"18-30",IF(Sheet1[[#This Row],[age]]&lt;=45,"31-45",IF(Sheet1[[#This Row],[age]]&lt;=60,"46-60","60+"))))</f>
        <v>60+</v>
      </c>
      <c r="M534" s="2" t="str">
        <f>IF(Sheet1[[#This Row],[risk_score]]&lt;0.3,"Low",IF(Sheet1[[#This Row],[risk_score]]&lt;0.7,"Medium","High"))</f>
        <v>Medium</v>
      </c>
      <c r="N534">
        <f>YEAR(Sheet1[[#This Row],[date_joined]])</f>
        <v>2021</v>
      </c>
      <c r="O534" s="2" t="str">
        <f>TEXT(Sheet1[[#This Row],[date_joined]],"mmm")</f>
        <v>Feb</v>
      </c>
      <c r="P534" s="2" t="str">
        <f>"Q"&amp;ROUNDUP(MONTH(Sheet1[[#This Row],[date_joined]])/3,0)</f>
        <v>Q1</v>
      </c>
      <c r="Q534" s="2" t="str">
        <f>IF(Sheet1[[#This Row],[age]]&lt;30,"Young",IF(Sheet1[[#This Row],[age]]&lt;=50,"Adult","Senior"))</f>
        <v>Senior</v>
      </c>
      <c r="R534" s="2" t="str">
        <f t="shared" si="16"/>
        <v>Very High</v>
      </c>
      <c r="S534" s="2" t="str">
        <f t="shared" si="17"/>
        <v>North-East - Retired</v>
      </c>
    </row>
    <row r="535" spans="1:19" x14ac:dyDescent="0.3">
      <c r="A535" t="s">
        <v>1093</v>
      </c>
      <c r="B535" t="s">
        <v>1094</v>
      </c>
      <c r="C535">
        <v>57</v>
      </c>
      <c r="D535" s="2" t="s">
        <v>21</v>
      </c>
      <c r="E535" s="2" t="s">
        <v>14</v>
      </c>
      <c r="F535" s="2" t="s">
        <v>15</v>
      </c>
      <c r="G535" s="2" t="s">
        <v>16</v>
      </c>
      <c r="H535" s="2" t="s">
        <v>17</v>
      </c>
      <c r="I535" s="2" t="s">
        <v>18</v>
      </c>
      <c r="J535">
        <v>0.56999999999999995</v>
      </c>
      <c r="K535" s="1">
        <v>44743</v>
      </c>
      <c r="L535" s="2" t="str">
        <f>IF(Sheet1[[#This Row],[age]]&lt;18, "Under 18",IF(Sheet1[[#This Row],[age]]&lt;=30,"18-30",IF(Sheet1[[#This Row],[age]]&lt;=45,"31-45",IF(Sheet1[[#This Row],[age]]&lt;=60,"46-60","60+"))))</f>
        <v>46-60</v>
      </c>
      <c r="M535" s="2" t="str">
        <f>IF(Sheet1[[#This Row],[risk_score]]&lt;0.3,"Low",IF(Sheet1[[#This Row],[risk_score]]&lt;0.7,"Medium","High"))</f>
        <v>Medium</v>
      </c>
      <c r="N535">
        <f>YEAR(Sheet1[[#This Row],[date_joined]])</f>
        <v>2022</v>
      </c>
      <c r="O535" s="2" t="str">
        <f>TEXT(Sheet1[[#This Row],[date_joined]],"mmm")</f>
        <v>Jul</v>
      </c>
      <c r="P535" s="2" t="str">
        <f>"Q"&amp;ROUNDUP(MONTH(Sheet1[[#This Row],[date_joined]])/3,0)</f>
        <v>Q3</v>
      </c>
      <c r="Q535" s="2" t="str">
        <f>IF(Sheet1[[#This Row],[age]]&lt;30,"Young",IF(Sheet1[[#This Row],[age]]&lt;=50,"Adult","Senior"))</f>
        <v>Senior</v>
      </c>
      <c r="R535" s="2" t="str">
        <f t="shared" si="16"/>
        <v>High</v>
      </c>
      <c r="S535" s="2" t="str">
        <f t="shared" si="17"/>
        <v>West - Student</v>
      </c>
    </row>
    <row r="536" spans="1:19" x14ac:dyDescent="0.3">
      <c r="A536" t="s">
        <v>1095</v>
      </c>
      <c r="B536" t="s">
        <v>1096</v>
      </c>
      <c r="C536">
        <v>25</v>
      </c>
      <c r="D536" s="2" t="s">
        <v>13</v>
      </c>
      <c r="E536" s="2" t="s">
        <v>22</v>
      </c>
      <c r="F536" s="2" t="s">
        <v>15</v>
      </c>
      <c r="G536" s="2" t="s">
        <v>24</v>
      </c>
      <c r="H536" s="2" t="s">
        <v>17</v>
      </c>
      <c r="I536" s="2" t="s">
        <v>17</v>
      </c>
      <c r="J536">
        <v>0.19</v>
      </c>
      <c r="K536" s="1">
        <v>45004</v>
      </c>
      <c r="L536" s="2" t="str">
        <f>IF(Sheet1[[#This Row],[age]]&lt;18, "Under 18",IF(Sheet1[[#This Row],[age]]&lt;=30,"18-30",IF(Sheet1[[#This Row],[age]]&lt;=45,"31-45",IF(Sheet1[[#This Row],[age]]&lt;=60,"46-60","60+"))))</f>
        <v>18-30</v>
      </c>
      <c r="M536" s="2" t="str">
        <f>IF(Sheet1[[#This Row],[risk_score]]&lt;0.3,"Low",IF(Sheet1[[#This Row],[risk_score]]&lt;0.7,"Medium","High"))</f>
        <v>Low</v>
      </c>
      <c r="N536">
        <f>YEAR(Sheet1[[#This Row],[date_joined]])</f>
        <v>2023</v>
      </c>
      <c r="O536" s="2" t="str">
        <f>TEXT(Sheet1[[#This Row],[date_joined]],"mmm")</f>
        <v>Mar</v>
      </c>
      <c r="P536" s="2" t="str">
        <f>"Q"&amp;ROUNDUP(MONTH(Sheet1[[#This Row],[date_joined]])/3,0)</f>
        <v>Q1</v>
      </c>
      <c r="Q536" s="2" t="str">
        <f>IF(Sheet1[[#This Row],[age]]&lt;30,"Young",IF(Sheet1[[#This Row],[age]]&lt;=50,"Adult","Senior"))</f>
        <v>Young</v>
      </c>
      <c r="R536" s="2" t="str">
        <f t="shared" si="16"/>
        <v>Low</v>
      </c>
      <c r="S536" s="2" t="str">
        <f t="shared" si="17"/>
        <v>East - Student</v>
      </c>
    </row>
    <row r="537" spans="1:19" x14ac:dyDescent="0.3">
      <c r="A537" t="s">
        <v>1097</v>
      </c>
      <c r="B537" t="s">
        <v>1098</v>
      </c>
      <c r="C537">
        <v>42</v>
      </c>
      <c r="D537" s="2" t="s">
        <v>13</v>
      </c>
      <c r="E537" s="2" t="s">
        <v>22</v>
      </c>
      <c r="F537" s="2" t="s">
        <v>15</v>
      </c>
      <c r="G537" s="2" t="s">
        <v>81</v>
      </c>
      <c r="H537" s="2" t="s">
        <v>18</v>
      </c>
      <c r="I537" s="2" t="s">
        <v>18</v>
      </c>
      <c r="J537">
        <v>0.56000000000000005</v>
      </c>
      <c r="K537" s="1">
        <v>43184</v>
      </c>
      <c r="L537" s="2" t="str">
        <f>IF(Sheet1[[#This Row],[age]]&lt;18, "Under 18",IF(Sheet1[[#This Row],[age]]&lt;=30,"18-30",IF(Sheet1[[#This Row],[age]]&lt;=45,"31-45",IF(Sheet1[[#This Row],[age]]&lt;=60,"46-60","60+"))))</f>
        <v>31-45</v>
      </c>
      <c r="M537" s="2" t="str">
        <f>IF(Sheet1[[#This Row],[risk_score]]&lt;0.3,"Low",IF(Sheet1[[#This Row],[risk_score]]&lt;0.7,"Medium","High"))</f>
        <v>Medium</v>
      </c>
      <c r="N537">
        <f>YEAR(Sheet1[[#This Row],[date_joined]])</f>
        <v>2018</v>
      </c>
      <c r="O537" s="2" t="str">
        <f>TEXT(Sheet1[[#This Row],[date_joined]],"mmm")</f>
        <v>Mar</v>
      </c>
      <c r="P537" s="2" t="str">
        <f>"Q"&amp;ROUNDUP(MONTH(Sheet1[[#This Row],[date_joined]])/3,0)</f>
        <v>Q1</v>
      </c>
      <c r="Q537" s="2" t="str">
        <f>IF(Sheet1[[#This Row],[age]]&lt;30,"Young",IF(Sheet1[[#This Row],[age]]&lt;=50,"Adult","Senior"))</f>
        <v>Adult</v>
      </c>
      <c r="R537" s="2" t="str">
        <f t="shared" si="16"/>
        <v>Very High</v>
      </c>
      <c r="S537" s="2" t="str">
        <f t="shared" si="17"/>
        <v>Central - Student</v>
      </c>
    </row>
    <row r="538" spans="1:19" x14ac:dyDescent="0.3">
      <c r="A538" t="s">
        <v>1099</v>
      </c>
      <c r="B538" t="s">
        <v>1100</v>
      </c>
      <c r="C538">
        <v>51</v>
      </c>
      <c r="D538" s="2" t="s">
        <v>13</v>
      </c>
      <c r="E538" s="2" t="s">
        <v>30</v>
      </c>
      <c r="F538" s="2" t="s">
        <v>23</v>
      </c>
      <c r="G538" s="2" t="s">
        <v>81</v>
      </c>
      <c r="H538" s="2" t="s">
        <v>17</v>
      </c>
      <c r="I538" s="2" t="s">
        <v>17</v>
      </c>
      <c r="J538">
        <v>0.93</v>
      </c>
      <c r="K538" s="1">
        <v>43503</v>
      </c>
      <c r="L538" s="2" t="str">
        <f>IF(Sheet1[[#This Row],[age]]&lt;18, "Under 18",IF(Sheet1[[#This Row],[age]]&lt;=30,"18-30",IF(Sheet1[[#This Row],[age]]&lt;=45,"31-45",IF(Sheet1[[#This Row],[age]]&lt;=60,"46-60","60+"))))</f>
        <v>46-60</v>
      </c>
      <c r="M538" s="2" t="str">
        <f>IF(Sheet1[[#This Row],[risk_score]]&lt;0.3,"Low",IF(Sheet1[[#This Row],[risk_score]]&lt;0.7,"Medium","High"))</f>
        <v>High</v>
      </c>
      <c r="N538">
        <f>YEAR(Sheet1[[#This Row],[date_joined]])</f>
        <v>2019</v>
      </c>
      <c r="O538" s="2" t="str">
        <f>TEXT(Sheet1[[#This Row],[date_joined]],"mmm")</f>
        <v>Feb</v>
      </c>
      <c r="P538" s="2" t="str">
        <f>"Q"&amp;ROUNDUP(MONTH(Sheet1[[#This Row],[date_joined]])/3,0)</f>
        <v>Q1</v>
      </c>
      <c r="Q538" s="2" t="str">
        <f>IF(Sheet1[[#This Row],[age]]&lt;30,"Young",IF(Sheet1[[#This Row],[age]]&lt;=50,"Adult","Senior"))</f>
        <v>Senior</v>
      </c>
      <c r="R538" s="2" t="str">
        <f t="shared" si="16"/>
        <v>Low</v>
      </c>
      <c r="S538" s="2" t="str">
        <f t="shared" si="17"/>
        <v>Central - Salaried</v>
      </c>
    </row>
    <row r="539" spans="1:19" x14ac:dyDescent="0.3">
      <c r="A539" t="s">
        <v>1101</v>
      </c>
      <c r="B539" t="s">
        <v>1102</v>
      </c>
      <c r="C539">
        <v>56</v>
      </c>
      <c r="D539" s="2" t="s">
        <v>21</v>
      </c>
      <c r="E539" s="2" t="s">
        <v>14</v>
      </c>
      <c r="F539" s="2" t="s">
        <v>37</v>
      </c>
      <c r="G539" s="2" t="s">
        <v>32</v>
      </c>
      <c r="H539" s="2" t="s">
        <v>18</v>
      </c>
      <c r="I539" s="2" t="s">
        <v>17</v>
      </c>
      <c r="J539">
        <v>0.39</v>
      </c>
      <c r="K539" s="1">
        <v>44301</v>
      </c>
      <c r="L539" s="2" t="str">
        <f>IF(Sheet1[[#This Row],[age]]&lt;18, "Under 18",IF(Sheet1[[#This Row],[age]]&lt;=30,"18-30",IF(Sheet1[[#This Row],[age]]&lt;=45,"31-45",IF(Sheet1[[#This Row],[age]]&lt;=60,"46-60","60+"))))</f>
        <v>46-60</v>
      </c>
      <c r="M539" s="2" t="str">
        <f>IF(Sheet1[[#This Row],[risk_score]]&lt;0.3,"Low",IF(Sheet1[[#This Row],[risk_score]]&lt;0.7,"Medium","High"))</f>
        <v>Medium</v>
      </c>
      <c r="N539">
        <f>YEAR(Sheet1[[#This Row],[date_joined]])</f>
        <v>2021</v>
      </c>
      <c r="O539" s="2" t="str">
        <f>TEXT(Sheet1[[#This Row],[date_joined]],"mmm")</f>
        <v>Apr</v>
      </c>
      <c r="P539" s="2" t="str">
        <f>"Q"&amp;ROUNDUP(MONTH(Sheet1[[#This Row],[date_joined]])/3,0)</f>
        <v>Q2</v>
      </c>
      <c r="Q539" s="2" t="str">
        <f>IF(Sheet1[[#This Row],[age]]&lt;30,"Young",IF(Sheet1[[#This Row],[age]]&lt;=50,"Adult","Senior"))</f>
        <v>Senior</v>
      </c>
      <c r="R539" s="2" t="str">
        <f t="shared" si="16"/>
        <v>High</v>
      </c>
      <c r="S539" s="2" t="str">
        <f t="shared" si="17"/>
        <v>South - Retired</v>
      </c>
    </row>
    <row r="540" spans="1:19" x14ac:dyDescent="0.3">
      <c r="A540" t="s">
        <v>1103</v>
      </c>
      <c r="B540" t="s">
        <v>1104</v>
      </c>
      <c r="C540">
        <v>25</v>
      </c>
      <c r="D540" s="2" t="s">
        <v>13</v>
      </c>
      <c r="E540" s="2" t="s">
        <v>14</v>
      </c>
      <c r="F540" s="2" t="s">
        <v>37</v>
      </c>
      <c r="G540" s="2" t="s">
        <v>27</v>
      </c>
      <c r="H540" s="2" t="s">
        <v>17</v>
      </c>
      <c r="I540" s="2" t="s">
        <v>18</v>
      </c>
      <c r="J540">
        <v>0.64</v>
      </c>
      <c r="K540" s="1">
        <v>45004</v>
      </c>
      <c r="L540" s="2" t="str">
        <f>IF(Sheet1[[#This Row],[age]]&lt;18, "Under 18",IF(Sheet1[[#This Row],[age]]&lt;=30,"18-30",IF(Sheet1[[#This Row],[age]]&lt;=45,"31-45",IF(Sheet1[[#This Row],[age]]&lt;=60,"46-60","60+"))))</f>
        <v>18-30</v>
      </c>
      <c r="M540" s="2" t="str">
        <f>IF(Sheet1[[#This Row],[risk_score]]&lt;0.3,"Low",IF(Sheet1[[#This Row],[risk_score]]&lt;0.7,"Medium","High"))</f>
        <v>Medium</v>
      </c>
      <c r="N540">
        <f>YEAR(Sheet1[[#This Row],[date_joined]])</f>
        <v>2023</v>
      </c>
      <c r="O540" s="2" t="str">
        <f>TEXT(Sheet1[[#This Row],[date_joined]],"mmm")</f>
        <v>Mar</v>
      </c>
      <c r="P540" s="2" t="str">
        <f>"Q"&amp;ROUNDUP(MONTH(Sheet1[[#This Row],[date_joined]])/3,0)</f>
        <v>Q1</v>
      </c>
      <c r="Q540" s="2" t="str">
        <f>IF(Sheet1[[#This Row],[age]]&lt;30,"Young",IF(Sheet1[[#This Row],[age]]&lt;=50,"Adult","Senior"))</f>
        <v>Young</v>
      </c>
      <c r="R540" s="2" t="str">
        <f t="shared" si="16"/>
        <v>High</v>
      </c>
      <c r="S540" s="2" t="str">
        <f t="shared" si="17"/>
        <v>North - Retired</v>
      </c>
    </row>
    <row r="541" spans="1:19" x14ac:dyDescent="0.3">
      <c r="A541" t="s">
        <v>1105</v>
      </c>
      <c r="B541" t="s">
        <v>1106</v>
      </c>
      <c r="C541">
        <v>38</v>
      </c>
      <c r="D541" s="2" t="s">
        <v>13</v>
      </c>
      <c r="E541" s="2" t="s">
        <v>14</v>
      </c>
      <c r="F541" s="2" t="s">
        <v>37</v>
      </c>
      <c r="G541" s="2" t="s">
        <v>32</v>
      </c>
      <c r="H541" s="2" t="s">
        <v>17</v>
      </c>
      <c r="I541" s="2" t="s">
        <v>17</v>
      </c>
      <c r="J541">
        <v>0.37</v>
      </c>
      <c r="K541" s="1">
        <v>44629</v>
      </c>
      <c r="L541" s="2" t="str">
        <f>IF(Sheet1[[#This Row],[age]]&lt;18, "Under 18",IF(Sheet1[[#This Row],[age]]&lt;=30,"18-30",IF(Sheet1[[#This Row],[age]]&lt;=45,"31-45",IF(Sheet1[[#This Row],[age]]&lt;=60,"46-60","60+"))))</f>
        <v>31-45</v>
      </c>
      <c r="M541" s="2" t="str">
        <f>IF(Sheet1[[#This Row],[risk_score]]&lt;0.3,"Low",IF(Sheet1[[#This Row],[risk_score]]&lt;0.7,"Medium","High"))</f>
        <v>Medium</v>
      </c>
      <c r="N541">
        <f>YEAR(Sheet1[[#This Row],[date_joined]])</f>
        <v>2022</v>
      </c>
      <c r="O541" s="2" t="str">
        <f>TEXT(Sheet1[[#This Row],[date_joined]],"mmm")</f>
        <v>Mar</v>
      </c>
      <c r="P541" s="2" t="str">
        <f>"Q"&amp;ROUNDUP(MONTH(Sheet1[[#This Row],[date_joined]])/3,0)</f>
        <v>Q1</v>
      </c>
      <c r="Q541" s="2" t="str">
        <f>IF(Sheet1[[#This Row],[age]]&lt;30,"Young",IF(Sheet1[[#This Row],[age]]&lt;=50,"Adult","Senior"))</f>
        <v>Adult</v>
      </c>
      <c r="R541" s="2" t="str">
        <f t="shared" si="16"/>
        <v>Low</v>
      </c>
      <c r="S541" s="2" t="str">
        <f t="shared" si="17"/>
        <v>South - Retired</v>
      </c>
    </row>
    <row r="542" spans="1:19" x14ac:dyDescent="0.3">
      <c r="A542" t="s">
        <v>1107</v>
      </c>
      <c r="B542" t="s">
        <v>1108</v>
      </c>
      <c r="C542">
        <v>19</v>
      </c>
      <c r="D542" s="2" t="s">
        <v>21</v>
      </c>
      <c r="E542" s="2" t="s">
        <v>22</v>
      </c>
      <c r="F542" s="2" t="s">
        <v>15</v>
      </c>
      <c r="G542" s="2" t="s">
        <v>16</v>
      </c>
      <c r="H542" s="2" t="s">
        <v>17</v>
      </c>
      <c r="I542" s="2" t="s">
        <v>18</v>
      </c>
      <c r="J542">
        <v>0.45</v>
      </c>
      <c r="K542" s="1">
        <v>44127</v>
      </c>
      <c r="L542" s="2" t="str">
        <f>IF(Sheet1[[#This Row],[age]]&lt;18, "Under 18",IF(Sheet1[[#This Row],[age]]&lt;=30,"18-30",IF(Sheet1[[#This Row],[age]]&lt;=45,"31-45",IF(Sheet1[[#This Row],[age]]&lt;=60,"46-60","60+"))))</f>
        <v>18-30</v>
      </c>
      <c r="M542" s="2" t="str">
        <f>IF(Sheet1[[#This Row],[risk_score]]&lt;0.3,"Low",IF(Sheet1[[#This Row],[risk_score]]&lt;0.7,"Medium","High"))</f>
        <v>Medium</v>
      </c>
      <c r="N542">
        <f>YEAR(Sheet1[[#This Row],[date_joined]])</f>
        <v>2020</v>
      </c>
      <c r="O542" s="2" t="str">
        <f>TEXT(Sheet1[[#This Row],[date_joined]],"mmm")</f>
        <v>Oct</v>
      </c>
      <c r="P542" s="2" t="str">
        <f>"Q"&amp;ROUNDUP(MONTH(Sheet1[[#This Row],[date_joined]])/3,0)</f>
        <v>Q4</v>
      </c>
      <c r="Q542" s="2" t="str">
        <f>IF(Sheet1[[#This Row],[age]]&lt;30,"Young",IF(Sheet1[[#This Row],[age]]&lt;=50,"Adult","Senior"))</f>
        <v>Young</v>
      </c>
      <c r="R542" s="2" t="str">
        <f t="shared" si="16"/>
        <v>High</v>
      </c>
      <c r="S542" s="2" t="str">
        <f t="shared" si="17"/>
        <v>West - Student</v>
      </c>
    </row>
    <row r="543" spans="1:19" x14ac:dyDescent="0.3">
      <c r="A543" t="s">
        <v>1109</v>
      </c>
      <c r="B543" t="s">
        <v>1110</v>
      </c>
      <c r="C543">
        <v>50</v>
      </c>
      <c r="D543" s="2" t="s">
        <v>13</v>
      </c>
      <c r="E543" s="2" t="s">
        <v>30</v>
      </c>
      <c r="F543" s="2" t="s">
        <v>37</v>
      </c>
      <c r="G543" s="2" t="s">
        <v>81</v>
      </c>
      <c r="H543" s="2" t="s">
        <v>17</v>
      </c>
      <c r="I543" s="2" t="s">
        <v>17</v>
      </c>
      <c r="J543">
        <v>0.36</v>
      </c>
      <c r="K543" s="1">
        <v>43297</v>
      </c>
      <c r="L543" s="2" t="str">
        <f>IF(Sheet1[[#This Row],[age]]&lt;18, "Under 18",IF(Sheet1[[#This Row],[age]]&lt;=30,"18-30",IF(Sheet1[[#This Row],[age]]&lt;=45,"31-45",IF(Sheet1[[#This Row],[age]]&lt;=60,"46-60","60+"))))</f>
        <v>46-60</v>
      </c>
      <c r="M543" s="2" t="str">
        <f>IF(Sheet1[[#This Row],[risk_score]]&lt;0.3,"Low",IF(Sheet1[[#This Row],[risk_score]]&lt;0.7,"Medium","High"))</f>
        <v>Medium</v>
      </c>
      <c r="N543">
        <f>YEAR(Sheet1[[#This Row],[date_joined]])</f>
        <v>2018</v>
      </c>
      <c r="O543" s="2" t="str">
        <f>TEXT(Sheet1[[#This Row],[date_joined]],"mmm")</f>
        <v>Jul</v>
      </c>
      <c r="P543" s="2" t="str">
        <f>"Q"&amp;ROUNDUP(MONTH(Sheet1[[#This Row],[date_joined]])/3,0)</f>
        <v>Q3</v>
      </c>
      <c r="Q543" s="2" t="str">
        <f>IF(Sheet1[[#This Row],[age]]&lt;30,"Young",IF(Sheet1[[#This Row],[age]]&lt;=50,"Adult","Senior"))</f>
        <v>Adult</v>
      </c>
      <c r="R543" s="2" t="str">
        <f t="shared" si="16"/>
        <v>Low</v>
      </c>
      <c r="S543" s="2" t="str">
        <f t="shared" si="17"/>
        <v>Central - Retired</v>
      </c>
    </row>
    <row r="544" spans="1:19" x14ac:dyDescent="0.3">
      <c r="A544" t="s">
        <v>1111</v>
      </c>
      <c r="B544" t="s">
        <v>1112</v>
      </c>
      <c r="C544">
        <v>63</v>
      </c>
      <c r="D544" s="2" t="s">
        <v>21</v>
      </c>
      <c r="E544" s="2" t="s">
        <v>14</v>
      </c>
      <c r="F544" s="2" t="s">
        <v>15</v>
      </c>
      <c r="G544" s="2" t="s">
        <v>16</v>
      </c>
      <c r="H544" s="2" t="s">
        <v>18</v>
      </c>
      <c r="I544" s="2" t="s">
        <v>18</v>
      </c>
      <c r="J544">
        <v>0.6</v>
      </c>
      <c r="K544" s="1">
        <v>45189</v>
      </c>
      <c r="L544" s="2" t="str">
        <f>IF(Sheet1[[#This Row],[age]]&lt;18, "Under 18",IF(Sheet1[[#This Row],[age]]&lt;=30,"18-30",IF(Sheet1[[#This Row],[age]]&lt;=45,"31-45",IF(Sheet1[[#This Row],[age]]&lt;=60,"46-60","60+"))))</f>
        <v>60+</v>
      </c>
      <c r="M544" s="2" t="str">
        <f>IF(Sheet1[[#This Row],[risk_score]]&lt;0.3,"Low",IF(Sheet1[[#This Row],[risk_score]]&lt;0.7,"Medium","High"))</f>
        <v>Medium</v>
      </c>
      <c r="N544">
        <f>YEAR(Sheet1[[#This Row],[date_joined]])</f>
        <v>2023</v>
      </c>
      <c r="O544" s="2" t="str">
        <f>TEXT(Sheet1[[#This Row],[date_joined]],"mmm")</f>
        <v>Sep</v>
      </c>
      <c r="P544" s="2" t="str">
        <f>"Q"&amp;ROUNDUP(MONTH(Sheet1[[#This Row],[date_joined]])/3,0)</f>
        <v>Q3</v>
      </c>
      <c r="Q544" s="2" t="str">
        <f>IF(Sheet1[[#This Row],[age]]&lt;30,"Young",IF(Sheet1[[#This Row],[age]]&lt;=50,"Adult","Senior"))</f>
        <v>Senior</v>
      </c>
      <c r="R544" s="2" t="str">
        <f t="shared" si="16"/>
        <v>Very High</v>
      </c>
      <c r="S544" s="2" t="str">
        <f t="shared" si="17"/>
        <v>West - Student</v>
      </c>
    </row>
    <row r="545" spans="1:19" x14ac:dyDescent="0.3">
      <c r="A545" t="s">
        <v>1113</v>
      </c>
      <c r="B545" t="s">
        <v>1114</v>
      </c>
      <c r="C545">
        <v>58</v>
      </c>
      <c r="D545" s="2" t="s">
        <v>13</v>
      </c>
      <c r="E545" s="2" t="s">
        <v>22</v>
      </c>
      <c r="F545" s="2" t="s">
        <v>23</v>
      </c>
      <c r="G545" s="2" t="s">
        <v>16</v>
      </c>
      <c r="H545" s="2" t="s">
        <v>18</v>
      </c>
      <c r="I545" s="2" t="s">
        <v>18</v>
      </c>
      <c r="J545">
        <v>0.64</v>
      </c>
      <c r="K545" s="1">
        <v>44288</v>
      </c>
      <c r="L545" s="2" t="str">
        <f>IF(Sheet1[[#This Row],[age]]&lt;18, "Under 18",IF(Sheet1[[#This Row],[age]]&lt;=30,"18-30",IF(Sheet1[[#This Row],[age]]&lt;=45,"31-45",IF(Sheet1[[#This Row],[age]]&lt;=60,"46-60","60+"))))</f>
        <v>46-60</v>
      </c>
      <c r="M545" s="2" t="str">
        <f>IF(Sheet1[[#This Row],[risk_score]]&lt;0.3,"Low",IF(Sheet1[[#This Row],[risk_score]]&lt;0.7,"Medium","High"))</f>
        <v>Medium</v>
      </c>
      <c r="N545">
        <f>YEAR(Sheet1[[#This Row],[date_joined]])</f>
        <v>2021</v>
      </c>
      <c r="O545" s="2" t="str">
        <f>TEXT(Sheet1[[#This Row],[date_joined]],"mmm")</f>
        <v>Apr</v>
      </c>
      <c r="P545" s="2" t="str">
        <f>"Q"&amp;ROUNDUP(MONTH(Sheet1[[#This Row],[date_joined]])/3,0)</f>
        <v>Q2</v>
      </c>
      <c r="Q545" s="2" t="str">
        <f>IF(Sheet1[[#This Row],[age]]&lt;30,"Young",IF(Sheet1[[#This Row],[age]]&lt;=50,"Adult","Senior"))</f>
        <v>Senior</v>
      </c>
      <c r="R545" s="2" t="str">
        <f t="shared" si="16"/>
        <v>Very High</v>
      </c>
      <c r="S545" s="2" t="str">
        <f t="shared" si="17"/>
        <v>West - Salaried</v>
      </c>
    </row>
    <row r="546" spans="1:19" x14ac:dyDescent="0.3">
      <c r="A546" t="s">
        <v>1115</v>
      </c>
      <c r="B546" t="s">
        <v>1116</v>
      </c>
      <c r="C546">
        <v>40</v>
      </c>
      <c r="D546" s="2" t="s">
        <v>13</v>
      </c>
      <c r="E546" s="2" t="s">
        <v>30</v>
      </c>
      <c r="F546" s="2" t="s">
        <v>15</v>
      </c>
      <c r="G546" s="2" t="s">
        <v>16</v>
      </c>
      <c r="H546" s="2" t="s">
        <v>18</v>
      </c>
      <c r="I546" s="2" t="s">
        <v>18</v>
      </c>
      <c r="J546">
        <v>0.57999999999999996</v>
      </c>
      <c r="K546" s="1">
        <v>43994</v>
      </c>
      <c r="L546" s="2" t="str">
        <f>IF(Sheet1[[#This Row],[age]]&lt;18, "Under 18",IF(Sheet1[[#This Row],[age]]&lt;=30,"18-30",IF(Sheet1[[#This Row],[age]]&lt;=45,"31-45",IF(Sheet1[[#This Row],[age]]&lt;=60,"46-60","60+"))))</f>
        <v>31-45</v>
      </c>
      <c r="M546" s="2" t="str">
        <f>IF(Sheet1[[#This Row],[risk_score]]&lt;0.3,"Low",IF(Sheet1[[#This Row],[risk_score]]&lt;0.7,"Medium","High"))</f>
        <v>Medium</v>
      </c>
      <c r="N546">
        <f>YEAR(Sheet1[[#This Row],[date_joined]])</f>
        <v>2020</v>
      </c>
      <c r="O546" s="2" t="str">
        <f>TEXT(Sheet1[[#This Row],[date_joined]],"mmm")</f>
        <v>Jun</v>
      </c>
      <c r="P546" s="2" t="str">
        <f>"Q"&amp;ROUNDUP(MONTH(Sheet1[[#This Row],[date_joined]])/3,0)</f>
        <v>Q2</v>
      </c>
      <c r="Q546" s="2" t="str">
        <f>IF(Sheet1[[#This Row],[age]]&lt;30,"Young",IF(Sheet1[[#This Row],[age]]&lt;=50,"Adult","Senior"))</f>
        <v>Adult</v>
      </c>
      <c r="R546" s="2" t="str">
        <f t="shared" si="16"/>
        <v>Very High</v>
      </c>
      <c r="S546" s="2" t="str">
        <f t="shared" si="17"/>
        <v>West - Student</v>
      </c>
    </row>
    <row r="547" spans="1:19" x14ac:dyDescent="0.3">
      <c r="A547" t="s">
        <v>1117</v>
      </c>
      <c r="B547" t="s">
        <v>1118</v>
      </c>
      <c r="C547">
        <v>33</v>
      </c>
      <c r="D547" s="2" t="s">
        <v>13</v>
      </c>
      <c r="E547" s="2" t="s">
        <v>30</v>
      </c>
      <c r="F547" s="2" t="s">
        <v>31</v>
      </c>
      <c r="G547" s="2" t="s">
        <v>16</v>
      </c>
      <c r="H547" s="2" t="s">
        <v>17</v>
      </c>
      <c r="I547" s="2" t="s">
        <v>18</v>
      </c>
      <c r="J547">
        <v>0.43</v>
      </c>
      <c r="K547" s="1">
        <v>44585</v>
      </c>
      <c r="L547" s="2" t="str">
        <f>IF(Sheet1[[#This Row],[age]]&lt;18, "Under 18",IF(Sheet1[[#This Row],[age]]&lt;=30,"18-30",IF(Sheet1[[#This Row],[age]]&lt;=45,"31-45",IF(Sheet1[[#This Row],[age]]&lt;=60,"46-60","60+"))))</f>
        <v>31-45</v>
      </c>
      <c r="M547" s="2" t="str">
        <f>IF(Sheet1[[#This Row],[risk_score]]&lt;0.3,"Low",IF(Sheet1[[#This Row],[risk_score]]&lt;0.7,"Medium","High"))</f>
        <v>Medium</v>
      </c>
      <c r="N547">
        <f>YEAR(Sheet1[[#This Row],[date_joined]])</f>
        <v>2022</v>
      </c>
      <c r="O547" s="2" t="str">
        <f>TEXT(Sheet1[[#This Row],[date_joined]],"mmm")</f>
        <v>Jan</v>
      </c>
      <c r="P547" s="2" t="str">
        <f>"Q"&amp;ROUNDUP(MONTH(Sheet1[[#This Row],[date_joined]])/3,0)</f>
        <v>Q1</v>
      </c>
      <c r="Q547" s="2" t="str">
        <f>IF(Sheet1[[#This Row],[age]]&lt;30,"Young",IF(Sheet1[[#This Row],[age]]&lt;=50,"Adult","Senior"))</f>
        <v>Adult</v>
      </c>
      <c r="R547" s="2" t="str">
        <f t="shared" si="16"/>
        <v>High</v>
      </c>
      <c r="S547" s="2" t="str">
        <f t="shared" si="17"/>
        <v>West - Self-employed</v>
      </c>
    </row>
    <row r="548" spans="1:19" x14ac:dyDescent="0.3">
      <c r="A548" t="s">
        <v>1119</v>
      </c>
      <c r="B548" t="s">
        <v>1120</v>
      </c>
      <c r="C548">
        <v>52</v>
      </c>
      <c r="D548" s="2" t="s">
        <v>21</v>
      </c>
      <c r="E548" s="2" t="s">
        <v>22</v>
      </c>
      <c r="F548" s="2" t="s">
        <v>15</v>
      </c>
      <c r="G548" s="2" t="s">
        <v>66</v>
      </c>
      <c r="H548" s="2" t="s">
        <v>17</v>
      </c>
      <c r="I548" s="2" t="s">
        <v>17</v>
      </c>
      <c r="J548">
        <v>0.37</v>
      </c>
      <c r="K548" s="1">
        <v>43948</v>
      </c>
      <c r="L548" s="2" t="str">
        <f>IF(Sheet1[[#This Row],[age]]&lt;18, "Under 18",IF(Sheet1[[#This Row],[age]]&lt;=30,"18-30",IF(Sheet1[[#This Row],[age]]&lt;=45,"31-45",IF(Sheet1[[#This Row],[age]]&lt;=60,"46-60","60+"))))</f>
        <v>46-60</v>
      </c>
      <c r="M548" s="2" t="str">
        <f>IF(Sheet1[[#This Row],[risk_score]]&lt;0.3,"Low",IF(Sheet1[[#This Row],[risk_score]]&lt;0.7,"Medium","High"))</f>
        <v>Medium</v>
      </c>
      <c r="N548">
        <f>YEAR(Sheet1[[#This Row],[date_joined]])</f>
        <v>2020</v>
      </c>
      <c r="O548" s="2" t="str">
        <f>TEXT(Sheet1[[#This Row],[date_joined]],"mmm")</f>
        <v>Apr</v>
      </c>
      <c r="P548" s="2" t="str">
        <f>"Q"&amp;ROUNDUP(MONTH(Sheet1[[#This Row],[date_joined]])/3,0)</f>
        <v>Q2</v>
      </c>
      <c r="Q548" s="2" t="str">
        <f>IF(Sheet1[[#This Row],[age]]&lt;30,"Young",IF(Sheet1[[#This Row],[age]]&lt;=50,"Adult","Senior"))</f>
        <v>Senior</v>
      </c>
      <c r="R548" s="2" t="str">
        <f t="shared" si="16"/>
        <v>Low</v>
      </c>
      <c r="S548" s="2" t="str">
        <f t="shared" si="17"/>
        <v>North-East - Student</v>
      </c>
    </row>
    <row r="549" spans="1:19" x14ac:dyDescent="0.3">
      <c r="A549" t="s">
        <v>1121</v>
      </c>
      <c r="B549" t="s">
        <v>1122</v>
      </c>
      <c r="C549">
        <v>19</v>
      </c>
      <c r="D549" s="2" t="s">
        <v>21</v>
      </c>
      <c r="E549" s="2" t="s">
        <v>22</v>
      </c>
      <c r="F549" s="2" t="s">
        <v>15</v>
      </c>
      <c r="G549" s="2" t="s">
        <v>66</v>
      </c>
      <c r="H549" s="2" t="s">
        <v>18</v>
      </c>
      <c r="I549" s="2" t="s">
        <v>18</v>
      </c>
      <c r="J549">
        <v>0.27</v>
      </c>
      <c r="K549" s="1">
        <v>44652</v>
      </c>
      <c r="L549" s="2" t="str">
        <f>IF(Sheet1[[#This Row],[age]]&lt;18, "Under 18",IF(Sheet1[[#This Row],[age]]&lt;=30,"18-30",IF(Sheet1[[#This Row],[age]]&lt;=45,"31-45",IF(Sheet1[[#This Row],[age]]&lt;=60,"46-60","60+"))))</f>
        <v>18-30</v>
      </c>
      <c r="M549" s="2" t="str">
        <f>IF(Sheet1[[#This Row],[risk_score]]&lt;0.3,"Low",IF(Sheet1[[#This Row],[risk_score]]&lt;0.7,"Medium","High"))</f>
        <v>Low</v>
      </c>
      <c r="N549">
        <f>YEAR(Sheet1[[#This Row],[date_joined]])</f>
        <v>2022</v>
      </c>
      <c r="O549" s="2" t="str">
        <f>TEXT(Sheet1[[#This Row],[date_joined]],"mmm")</f>
        <v>Apr</v>
      </c>
      <c r="P549" s="2" t="str">
        <f>"Q"&amp;ROUNDUP(MONTH(Sheet1[[#This Row],[date_joined]])/3,0)</f>
        <v>Q2</v>
      </c>
      <c r="Q549" s="2" t="str">
        <f>IF(Sheet1[[#This Row],[age]]&lt;30,"Young",IF(Sheet1[[#This Row],[age]]&lt;=50,"Adult","Senior"))</f>
        <v>Young</v>
      </c>
      <c r="R549" s="2" t="str">
        <f t="shared" si="16"/>
        <v>Very High</v>
      </c>
      <c r="S549" s="2" t="str">
        <f t="shared" si="17"/>
        <v>North-East - Student</v>
      </c>
    </row>
    <row r="550" spans="1:19" x14ac:dyDescent="0.3">
      <c r="A550" t="s">
        <v>1123</v>
      </c>
      <c r="B550" t="s">
        <v>1124</v>
      </c>
      <c r="C550">
        <v>45</v>
      </c>
      <c r="D550" s="2" t="s">
        <v>13</v>
      </c>
      <c r="E550" s="2" t="s">
        <v>22</v>
      </c>
      <c r="F550" s="2" t="s">
        <v>23</v>
      </c>
      <c r="G550" s="2" t="s">
        <v>81</v>
      </c>
      <c r="H550" s="2" t="s">
        <v>17</v>
      </c>
      <c r="I550" s="2" t="s">
        <v>18</v>
      </c>
      <c r="J550">
        <v>0.67</v>
      </c>
      <c r="K550" s="1">
        <v>44480</v>
      </c>
      <c r="L550" s="2" t="str">
        <f>IF(Sheet1[[#This Row],[age]]&lt;18, "Under 18",IF(Sheet1[[#This Row],[age]]&lt;=30,"18-30",IF(Sheet1[[#This Row],[age]]&lt;=45,"31-45",IF(Sheet1[[#This Row],[age]]&lt;=60,"46-60","60+"))))</f>
        <v>31-45</v>
      </c>
      <c r="M550" s="2" t="str">
        <f>IF(Sheet1[[#This Row],[risk_score]]&lt;0.3,"Low",IF(Sheet1[[#This Row],[risk_score]]&lt;0.7,"Medium","High"))</f>
        <v>Medium</v>
      </c>
      <c r="N550">
        <f>YEAR(Sheet1[[#This Row],[date_joined]])</f>
        <v>2021</v>
      </c>
      <c r="O550" s="2" t="str">
        <f>TEXT(Sheet1[[#This Row],[date_joined]],"mmm")</f>
        <v>Oct</v>
      </c>
      <c r="P550" s="2" t="str">
        <f>"Q"&amp;ROUNDUP(MONTH(Sheet1[[#This Row],[date_joined]])/3,0)</f>
        <v>Q4</v>
      </c>
      <c r="Q550" s="2" t="str">
        <f>IF(Sheet1[[#This Row],[age]]&lt;30,"Young",IF(Sheet1[[#This Row],[age]]&lt;=50,"Adult","Senior"))</f>
        <v>Adult</v>
      </c>
      <c r="R550" s="2" t="str">
        <f t="shared" si="16"/>
        <v>High</v>
      </c>
      <c r="S550" s="2" t="str">
        <f t="shared" si="17"/>
        <v>Central - Salaried</v>
      </c>
    </row>
    <row r="551" spans="1:19" x14ac:dyDescent="0.3">
      <c r="A551" t="s">
        <v>1125</v>
      </c>
      <c r="B551" t="s">
        <v>1126</v>
      </c>
      <c r="C551">
        <v>43</v>
      </c>
      <c r="D551" s="2" t="s">
        <v>21</v>
      </c>
      <c r="E551" s="2" t="s">
        <v>30</v>
      </c>
      <c r="F551" s="2" t="s">
        <v>31</v>
      </c>
      <c r="G551" s="2" t="s">
        <v>27</v>
      </c>
      <c r="H551" s="2" t="s">
        <v>18</v>
      </c>
      <c r="I551" s="2" t="s">
        <v>17</v>
      </c>
      <c r="J551">
        <v>0.62</v>
      </c>
      <c r="K551" s="1">
        <v>43923</v>
      </c>
      <c r="L551" s="2" t="str">
        <f>IF(Sheet1[[#This Row],[age]]&lt;18, "Under 18",IF(Sheet1[[#This Row],[age]]&lt;=30,"18-30",IF(Sheet1[[#This Row],[age]]&lt;=45,"31-45",IF(Sheet1[[#This Row],[age]]&lt;=60,"46-60","60+"))))</f>
        <v>31-45</v>
      </c>
      <c r="M551" s="2" t="str">
        <f>IF(Sheet1[[#This Row],[risk_score]]&lt;0.3,"Low",IF(Sheet1[[#This Row],[risk_score]]&lt;0.7,"Medium","High"))</f>
        <v>Medium</v>
      </c>
      <c r="N551">
        <f>YEAR(Sheet1[[#This Row],[date_joined]])</f>
        <v>2020</v>
      </c>
      <c r="O551" s="2" t="str">
        <f>TEXT(Sheet1[[#This Row],[date_joined]],"mmm")</f>
        <v>Apr</v>
      </c>
      <c r="P551" s="2" t="str">
        <f>"Q"&amp;ROUNDUP(MONTH(Sheet1[[#This Row],[date_joined]])/3,0)</f>
        <v>Q2</v>
      </c>
      <c r="Q551" s="2" t="str">
        <f>IF(Sheet1[[#This Row],[age]]&lt;30,"Young",IF(Sheet1[[#This Row],[age]]&lt;=50,"Adult","Senior"))</f>
        <v>Adult</v>
      </c>
      <c r="R551" s="2" t="str">
        <f t="shared" si="16"/>
        <v>High</v>
      </c>
      <c r="S551" s="2" t="str">
        <f t="shared" si="17"/>
        <v>North - Self-employed</v>
      </c>
    </row>
    <row r="552" spans="1:19" x14ac:dyDescent="0.3">
      <c r="A552" t="s">
        <v>1127</v>
      </c>
      <c r="B552" t="s">
        <v>1128</v>
      </c>
      <c r="C552">
        <v>25</v>
      </c>
      <c r="D552" s="2" t="s">
        <v>21</v>
      </c>
      <c r="E552" s="2" t="s">
        <v>14</v>
      </c>
      <c r="F552" s="2" t="s">
        <v>23</v>
      </c>
      <c r="G552" s="2" t="s">
        <v>27</v>
      </c>
      <c r="H552" s="2" t="s">
        <v>17</v>
      </c>
      <c r="I552" s="2" t="s">
        <v>18</v>
      </c>
      <c r="J552">
        <v>0.56000000000000005</v>
      </c>
      <c r="K552" s="1">
        <v>44693</v>
      </c>
      <c r="L552" s="2" t="str">
        <f>IF(Sheet1[[#This Row],[age]]&lt;18, "Under 18",IF(Sheet1[[#This Row],[age]]&lt;=30,"18-30",IF(Sheet1[[#This Row],[age]]&lt;=45,"31-45",IF(Sheet1[[#This Row],[age]]&lt;=60,"46-60","60+"))))</f>
        <v>18-30</v>
      </c>
      <c r="M552" s="2" t="str">
        <f>IF(Sheet1[[#This Row],[risk_score]]&lt;0.3,"Low",IF(Sheet1[[#This Row],[risk_score]]&lt;0.7,"Medium","High"))</f>
        <v>Medium</v>
      </c>
      <c r="N552">
        <f>YEAR(Sheet1[[#This Row],[date_joined]])</f>
        <v>2022</v>
      </c>
      <c r="O552" s="2" t="str">
        <f>TEXT(Sheet1[[#This Row],[date_joined]],"mmm")</f>
        <v>May</v>
      </c>
      <c r="P552" s="2" t="str">
        <f>"Q"&amp;ROUNDUP(MONTH(Sheet1[[#This Row],[date_joined]])/3,0)</f>
        <v>Q2</v>
      </c>
      <c r="Q552" s="2" t="str">
        <f>IF(Sheet1[[#This Row],[age]]&lt;30,"Young",IF(Sheet1[[#This Row],[age]]&lt;=50,"Adult","Senior"))</f>
        <v>Young</v>
      </c>
      <c r="R552" s="2" t="str">
        <f t="shared" si="16"/>
        <v>High</v>
      </c>
      <c r="S552" s="2" t="str">
        <f t="shared" si="17"/>
        <v>North - Salaried</v>
      </c>
    </row>
    <row r="553" spans="1:19" x14ac:dyDescent="0.3">
      <c r="A553" t="s">
        <v>1129</v>
      </c>
      <c r="B553" t="s">
        <v>1130</v>
      </c>
      <c r="C553">
        <v>29</v>
      </c>
      <c r="D553" s="2" t="s">
        <v>21</v>
      </c>
      <c r="E553" s="2" t="s">
        <v>14</v>
      </c>
      <c r="F553" s="2" t="s">
        <v>15</v>
      </c>
      <c r="G553" s="2" t="s">
        <v>81</v>
      </c>
      <c r="H553" s="2" t="s">
        <v>17</v>
      </c>
      <c r="I553" s="2" t="s">
        <v>18</v>
      </c>
      <c r="J553">
        <v>0.49</v>
      </c>
      <c r="K553" s="1">
        <v>44331</v>
      </c>
      <c r="L553" s="2" t="str">
        <f>IF(Sheet1[[#This Row],[age]]&lt;18, "Under 18",IF(Sheet1[[#This Row],[age]]&lt;=30,"18-30",IF(Sheet1[[#This Row],[age]]&lt;=45,"31-45",IF(Sheet1[[#This Row],[age]]&lt;=60,"46-60","60+"))))</f>
        <v>18-30</v>
      </c>
      <c r="M553" s="2" t="str">
        <f>IF(Sheet1[[#This Row],[risk_score]]&lt;0.3,"Low",IF(Sheet1[[#This Row],[risk_score]]&lt;0.7,"Medium","High"))</f>
        <v>Medium</v>
      </c>
      <c r="N553">
        <f>YEAR(Sheet1[[#This Row],[date_joined]])</f>
        <v>2021</v>
      </c>
      <c r="O553" s="2" t="str">
        <f>TEXT(Sheet1[[#This Row],[date_joined]],"mmm")</f>
        <v>May</v>
      </c>
      <c r="P553" s="2" t="str">
        <f>"Q"&amp;ROUNDUP(MONTH(Sheet1[[#This Row],[date_joined]])/3,0)</f>
        <v>Q2</v>
      </c>
      <c r="Q553" s="2" t="str">
        <f>IF(Sheet1[[#This Row],[age]]&lt;30,"Young",IF(Sheet1[[#This Row],[age]]&lt;=50,"Adult","Senior"))</f>
        <v>Young</v>
      </c>
      <c r="R553" s="2" t="str">
        <f t="shared" si="16"/>
        <v>High</v>
      </c>
      <c r="S553" s="2" t="str">
        <f t="shared" si="17"/>
        <v>Central - Student</v>
      </c>
    </row>
    <row r="554" spans="1:19" x14ac:dyDescent="0.3">
      <c r="A554" t="s">
        <v>1131</v>
      </c>
      <c r="B554" t="s">
        <v>1132</v>
      </c>
      <c r="C554">
        <v>45</v>
      </c>
      <c r="D554" s="2" t="s">
        <v>13</v>
      </c>
      <c r="E554" s="2" t="s">
        <v>14</v>
      </c>
      <c r="F554" s="2" t="s">
        <v>31</v>
      </c>
      <c r="G554" s="2" t="s">
        <v>66</v>
      </c>
      <c r="H554" s="2" t="s">
        <v>17</v>
      </c>
      <c r="I554" s="2" t="s">
        <v>18</v>
      </c>
      <c r="J554">
        <v>0.44</v>
      </c>
      <c r="K554" s="1">
        <v>45052</v>
      </c>
      <c r="L554" s="2" t="str">
        <f>IF(Sheet1[[#This Row],[age]]&lt;18, "Under 18",IF(Sheet1[[#This Row],[age]]&lt;=30,"18-30",IF(Sheet1[[#This Row],[age]]&lt;=45,"31-45",IF(Sheet1[[#This Row],[age]]&lt;=60,"46-60","60+"))))</f>
        <v>31-45</v>
      </c>
      <c r="M554" s="2" t="str">
        <f>IF(Sheet1[[#This Row],[risk_score]]&lt;0.3,"Low",IF(Sheet1[[#This Row],[risk_score]]&lt;0.7,"Medium","High"))</f>
        <v>Medium</v>
      </c>
      <c r="N554">
        <f>YEAR(Sheet1[[#This Row],[date_joined]])</f>
        <v>2023</v>
      </c>
      <c r="O554" s="2" t="str">
        <f>TEXT(Sheet1[[#This Row],[date_joined]],"mmm")</f>
        <v>May</v>
      </c>
      <c r="P554" s="2" t="str">
        <f>"Q"&amp;ROUNDUP(MONTH(Sheet1[[#This Row],[date_joined]])/3,0)</f>
        <v>Q2</v>
      </c>
      <c r="Q554" s="2" t="str">
        <f>IF(Sheet1[[#This Row],[age]]&lt;30,"Young",IF(Sheet1[[#This Row],[age]]&lt;=50,"Adult","Senior"))</f>
        <v>Adult</v>
      </c>
      <c r="R554" s="2" t="str">
        <f t="shared" si="16"/>
        <v>High</v>
      </c>
      <c r="S554" s="2" t="str">
        <f t="shared" si="17"/>
        <v>North-East - Self-employed</v>
      </c>
    </row>
    <row r="555" spans="1:19" x14ac:dyDescent="0.3">
      <c r="A555" t="s">
        <v>1133</v>
      </c>
      <c r="B555" t="s">
        <v>1134</v>
      </c>
      <c r="C555">
        <v>67</v>
      </c>
      <c r="D555" s="2" t="s">
        <v>13</v>
      </c>
      <c r="E555" s="2" t="s">
        <v>22</v>
      </c>
      <c r="F555" s="2" t="s">
        <v>15</v>
      </c>
      <c r="G555" s="2" t="s">
        <v>24</v>
      </c>
      <c r="H555" s="2" t="s">
        <v>18</v>
      </c>
      <c r="I555" s="2" t="s">
        <v>17</v>
      </c>
      <c r="J555">
        <v>0.37</v>
      </c>
      <c r="K555" s="1">
        <v>43769</v>
      </c>
      <c r="L555" s="2" t="str">
        <f>IF(Sheet1[[#This Row],[age]]&lt;18, "Under 18",IF(Sheet1[[#This Row],[age]]&lt;=30,"18-30",IF(Sheet1[[#This Row],[age]]&lt;=45,"31-45",IF(Sheet1[[#This Row],[age]]&lt;=60,"46-60","60+"))))</f>
        <v>60+</v>
      </c>
      <c r="M555" s="2" t="str">
        <f>IF(Sheet1[[#This Row],[risk_score]]&lt;0.3,"Low",IF(Sheet1[[#This Row],[risk_score]]&lt;0.7,"Medium","High"))</f>
        <v>Medium</v>
      </c>
      <c r="N555">
        <f>YEAR(Sheet1[[#This Row],[date_joined]])</f>
        <v>2019</v>
      </c>
      <c r="O555" s="2" t="str">
        <f>TEXT(Sheet1[[#This Row],[date_joined]],"mmm")</f>
        <v>Oct</v>
      </c>
      <c r="P555" s="2" t="str">
        <f>"Q"&amp;ROUNDUP(MONTH(Sheet1[[#This Row],[date_joined]])/3,0)</f>
        <v>Q4</v>
      </c>
      <c r="Q555" s="2" t="str">
        <f>IF(Sheet1[[#This Row],[age]]&lt;30,"Young",IF(Sheet1[[#This Row],[age]]&lt;=50,"Adult","Senior"))</f>
        <v>Senior</v>
      </c>
      <c r="R555" s="2" t="str">
        <f t="shared" si="16"/>
        <v>High</v>
      </c>
      <c r="S555" s="2" t="str">
        <f t="shared" si="17"/>
        <v>East - Student</v>
      </c>
    </row>
    <row r="556" spans="1:19" x14ac:dyDescent="0.3">
      <c r="A556" t="s">
        <v>1135</v>
      </c>
      <c r="B556" t="s">
        <v>1136</v>
      </c>
      <c r="C556">
        <v>55</v>
      </c>
      <c r="D556" s="2" t="s">
        <v>21</v>
      </c>
      <c r="E556" s="2" t="s">
        <v>14</v>
      </c>
      <c r="F556" s="2" t="s">
        <v>31</v>
      </c>
      <c r="G556" s="2" t="s">
        <v>27</v>
      </c>
      <c r="H556" s="2" t="s">
        <v>18</v>
      </c>
      <c r="I556" s="2" t="s">
        <v>17</v>
      </c>
      <c r="J556">
        <v>0.6</v>
      </c>
      <c r="K556" s="1">
        <v>44277</v>
      </c>
      <c r="L556" s="2" t="str">
        <f>IF(Sheet1[[#This Row],[age]]&lt;18, "Under 18",IF(Sheet1[[#This Row],[age]]&lt;=30,"18-30",IF(Sheet1[[#This Row],[age]]&lt;=45,"31-45",IF(Sheet1[[#This Row],[age]]&lt;=60,"46-60","60+"))))</f>
        <v>46-60</v>
      </c>
      <c r="M556" s="2" t="str">
        <f>IF(Sheet1[[#This Row],[risk_score]]&lt;0.3,"Low",IF(Sheet1[[#This Row],[risk_score]]&lt;0.7,"Medium","High"))</f>
        <v>Medium</v>
      </c>
      <c r="N556">
        <f>YEAR(Sheet1[[#This Row],[date_joined]])</f>
        <v>2021</v>
      </c>
      <c r="O556" s="2" t="str">
        <f>TEXT(Sheet1[[#This Row],[date_joined]],"mmm")</f>
        <v>Mar</v>
      </c>
      <c r="P556" s="2" t="str">
        <f>"Q"&amp;ROUNDUP(MONTH(Sheet1[[#This Row],[date_joined]])/3,0)</f>
        <v>Q1</v>
      </c>
      <c r="Q556" s="2" t="str">
        <f>IF(Sheet1[[#This Row],[age]]&lt;30,"Young",IF(Sheet1[[#This Row],[age]]&lt;=50,"Adult","Senior"))</f>
        <v>Senior</v>
      </c>
      <c r="R556" s="2" t="str">
        <f t="shared" si="16"/>
        <v>High</v>
      </c>
      <c r="S556" s="2" t="str">
        <f t="shared" si="17"/>
        <v>North - Self-employed</v>
      </c>
    </row>
    <row r="557" spans="1:19" x14ac:dyDescent="0.3">
      <c r="A557" t="s">
        <v>1137</v>
      </c>
      <c r="B557" t="s">
        <v>1138</v>
      </c>
      <c r="C557">
        <v>49</v>
      </c>
      <c r="D557" s="2" t="s">
        <v>13</v>
      </c>
      <c r="E557" s="2" t="s">
        <v>30</v>
      </c>
      <c r="F557" s="2" t="s">
        <v>15</v>
      </c>
      <c r="G557" s="2" t="s">
        <v>16</v>
      </c>
      <c r="H557" s="2" t="s">
        <v>18</v>
      </c>
      <c r="I557" s="2" t="s">
        <v>18</v>
      </c>
      <c r="J557">
        <v>0.53</v>
      </c>
      <c r="K557" s="1">
        <v>43377</v>
      </c>
      <c r="L557" s="2" t="str">
        <f>IF(Sheet1[[#This Row],[age]]&lt;18, "Under 18",IF(Sheet1[[#This Row],[age]]&lt;=30,"18-30",IF(Sheet1[[#This Row],[age]]&lt;=45,"31-45",IF(Sheet1[[#This Row],[age]]&lt;=60,"46-60","60+"))))</f>
        <v>46-60</v>
      </c>
      <c r="M557" s="2" t="str">
        <f>IF(Sheet1[[#This Row],[risk_score]]&lt;0.3,"Low",IF(Sheet1[[#This Row],[risk_score]]&lt;0.7,"Medium","High"))</f>
        <v>Medium</v>
      </c>
      <c r="N557">
        <f>YEAR(Sheet1[[#This Row],[date_joined]])</f>
        <v>2018</v>
      </c>
      <c r="O557" s="2" t="str">
        <f>TEXT(Sheet1[[#This Row],[date_joined]],"mmm")</f>
        <v>Oct</v>
      </c>
      <c r="P557" s="2" t="str">
        <f>"Q"&amp;ROUNDUP(MONTH(Sheet1[[#This Row],[date_joined]])/3,0)</f>
        <v>Q4</v>
      </c>
      <c r="Q557" s="2" t="str">
        <f>IF(Sheet1[[#This Row],[age]]&lt;30,"Young",IF(Sheet1[[#This Row],[age]]&lt;=50,"Adult","Senior"))</f>
        <v>Adult</v>
      </c>
      <c r="R557" s="2" t="str">
        <f t="shared" si="16"/>
        <v>Very High</v>
      </c>
      <c r="S557" s="2" t="str">
        <f t="shared" si="17"/>
        <v>West - Student</v>
      </c>
    </row>
    <row r="558" spans="1:19" x14ac:dyDescent="0.3">
      <c r="A558" t="s">
        <v>1139</v>
      </c>
      <c r="B558" t="s">
        <v>1140</v>
      </c>
      <c r="C558">
        <v>25</v>
      </c>
      <c r="D558" s="2" t="s">
        <v>21</v>
      </c>
      <c r="E558" s="2" t="s">
        <v>14</v>
      </c>
      <c r="F558" s="2" t="s">
        <v>37</v>
      </c>
      <c r="G558" s="2" t="s">
        <v>27</v>
      </c>
      <c r="H558" s="2" t="s">
        <v>17</v>
      </c>
      <c r="I558" s="2" t="s">
        <v>17</v>
      </c>
      <c r="J558">
        <v>0.42</v>
      </c>
      <c r="K558" s="1">
        <v>43449</v>
      </c>
      <c r="L558" s="2" t="str">
        <f>IF(Sheet1[[#This Row],[age]]&lt;18, "Under 18",IF(Sheet1[[#This Row],[age]]&lt;=30,"18-30",IF(Sheet1[[#This Row],[age]]&lt;=45,"31-45",IF(Sheet1[[#This Row],[age]]&lt;=60,"46-60","60+"))))</f>
        <v>18-30</v>
      </c>
      <c r="M558" s="2" t="str">
        <f>IF(Sheet1[[#This Row],[risk_score]]&lt;0.3,"Low",IF(Sheet1[[#This Row],[risk_score]]&lt;0.7,"Medium","High"))</f>
        <v>Medium</v>
      </c>
      <c r="N558">
        <f>YEAR(Sheet1[[#This Row],[date_joined]])</f>
        <v>2018</v>
      </c>
      <c r="O558" s="2" t="str">
        <f>TEXT(Sheet1[[#This Row],[date_joined]],"mmm")</f>
        <v>Dec</v>
      </c>
      <c r="P558" s="2" t="str">
        <f>"Q"&amp;ROUNDUP(MONTH(Sheet1[[#This Row],[date_joined]])/3,0)</f>
        <v>Q4</v>
      </c>
      <c r="Q558" s="2" t="str">
        <f>IF(Sheet1[[#This Row],[age]]&lt;30,"Young",IF(Sheet1[[#This Row],[age]]&lt;=50,"Adult","Senior"))</f>
        <v>Young</v>
      </c>
      <c r="R558" s="2" t="str">
        <f t="shared" si="16"/>
        <v>Low</v>
      </c>
      <c r="S558" s="2" t="str">
        <f t="shared" si="17"/>
        <v>North - Retired</v>
      </c>
    </row>
    <row r="559" spans="1:19" x14ac:dyDescent="0.3">
      <c r="A559" t="s">
        <v>1141</v>
      </c>
      <c r="B559" t="s">
        <v>1142</v>
      </c>
      <c r="C559">
        <v>35</v>
      </c>
      <c r="D559" s="2" t="s">
        <v>21</v>
      </c>
      <c r="E559" s="2" t="s">
        <v>30</v>
      </c>
      <c r="F559" s="2" t="s">
        <v>37</v>
      </c>
      <c r="G559" s="2" t="s">
        <v>24</v>
      </c>
      <c r="H559" s="2" t="s">
        <v>18</v>
      </c>
      <c r="I559" s="2" t="s">
        <v>18</v>
      </c>
      <c r="J559">
        <v>0.84</v>
      </c>
      <c r="K559" s="1">
        <v>44002</v>
      </c>
      <c r="L559" s="2" t="str">
        <f>IF(Sheet1[[#This Row],[age]]&lt;18, "Under 18",IF(Sheet1[[#This Row],[age]]&lt;=30,"18-30",IF(Sheet1[[#This Row],[age]]&lt;=45,"31-45",IF(Sheet1[[#This Row],[age]]&lt;=60,"46-60","60+"))))</f>
        <v>31-45</v>
      </c>
      <c r="M559" s="2" t="str">
        <f>IF(Sheet1[[#This Row],[risk_score]]&lt;0.3,"Low",IF(Sheet1[[#This Row],[risk_score]]&lt;0.7,"Medium","High"))</f>
        <v>High</v>
      </c>
      <c r="N559">
        <f>YEAR(Sheet1[[#This Row],[date_joined]])</f>
        <v>2020</v>
      </c>
      <c r="O559" s="2" t="str">
        <f>TEXT(Sheet1[[#This Row],[date_joined]],"mmm")</f>
        <v>Jun</v>
      </c>
      <c r="P559" s="2" t="str">
        <f>"Q"&amp;ROUNDUP(MONTH(Sheet1[[#This Row],[date_joined]])/3,0)</f>
        <v>Q2</v>
      </c>
      <c r="Q559" s="2" t="str">
        <f>IF(Sheet1[[#This Row],[age]]&lt;30,"Young",IF(Sheet1[[#This Row],[age]]&lt;=50,"Adult","Senior"))</f>
        <v>Adult</v>
      </c>
      <c r="R559" s="2" t="str">
        <f t="shared" si="16"/>
        <v>Very High</v>
      </c>
      <c r="S559" s="2" t="str">
        <f t="shared" si="17"/>
        <v>East - Retired</v>
      </c>
    </row>
    <row r="560" spans="1:19" x14ac:dyDescent="0.3">
      <c r="A560" t="s">
        <v>1143</v>
      </c>
      <c r="B560" t="s">
        <v>1144</v>
      </c>
      <c r="C560">
        <v>45</v>
      </c>
      <c r="D560" s="2" t="s">
        <v>21</v>
      </c>
      <c r="E560" s="2" t="s">
        <v>14</v>
      </c>
      <c r="F560" s="2" t="s">
        <v>23</v>
      </c>
      <c r="G560" s="2" t="s">
        <v>66</v>
      </c>
      <c r="H560" s="2" t="s">
        <v>18</v>
      </c>
      <c r="I560" s="2" t="s">
        <v>18</v>
      </c>
      <c r="J560">
        <v>0.38</v>
      </c>
      <c r="K560" s="1">
        <v>43827</v>
      </c>
      <c r="L560" s="2" t="str">
        <f>IF(Sheet1[[#This Row],[age]]&lt;18, "Under 18",IF(Sheet1[[#This Row],[age]]&lt;=30,"18-30",IF(Sheet1[[#This Row],[age]]&lt;=45,"31-45",IF(Sheet1[[#This Row],[age]]&lt;=60,"46-60","60+"))))</f>
        <v>31-45</v>
      </c>
      <c r="M560" s="2" t="str">
        <f>IF(Sheet1[[#This Row],[risk_score]]&lt;0.3,"Low",IF(Sheet1[[#This Row],[risk_score]]&lt;0.7,"Medium","High"))</f>
        <v>Medium</v>
      </c>
      <c r="N560">
        <f>YEAR(Sheet1[[#This Row],[date_joined]])</f>
        <v>2019</v>
      </c>
      <c r="O560" s="2" t="str">
        <f>TEXT(Sheet1[[#This Row],[date_joined]],"mmm")</f>
        <v>Dec</v>
      </c>
      <c r="P560" s="2" t="str">
        <f>"Q"&amp;ROUNDUP(MONTH(Sheet1[[#This Row],[date_joined]])/3,0)</f>
        <v>Q4</v>
      </c>
      <c r="Q560" s="2" t="str">
        <f>IF(Sheet1[[#This Row],[age]]&lt;30,"Young",IF(Sheet1[[#This Row],[age]]&lt;=50,"Adult","Senior"))</f>
        <v>Adult</v>
      </c>
      <c r="R560" s="2" t="str">
        <f t="shared" si="16"/>
        <v>Very High</v>
      </c>
      <c r="S560" s="2" t="str">
        <f t="shared" si="17"/>
        <v>North-East - Salaried</v>
      </c>
    </row>
    <row r="561" spans="1:19" x14ac:dyDescent="0.3">
      <c r="A561" t="s">
        <v>1145</v>
      </c>
      <c r="B561" t="s">
        <v>1146</v>
      </c>
      <c r="C561">
        <v>34</v>
      </c>
      <c r="D561" s="2" t="s">
        <v>13</v>
      </c>
      <c r="E561" s="2" t="s">
        <v>14</v>
      </c>
      <c r="F561" s="2" t="s">
        <v>37</v>
      </c>
      <c r="G561" s="2" t="s">
        <v>32</v>
      </c>
      <c r="H561" s="2" t="s">
        <v>17</v>
      </c>
      <c r="I561" s="2" t="s">
        <v>17</v>
      </c>
      <c r="J561">
        <v>0.46</v>
      </c>
      <c r="K561" s="1">
        <v>43526</v>
      </c>
      <c r="L561" s="2" t="str">
        <f>IF(Sheet1[[#This Row],[age]]&lt;18, "Under 18",IF(Sheet1[[#This Row],[age]]&lt;=30,"18-30",IF(Sheet1[[#This Row],[age]]&lt;=45,"31-45",IF(Sheet1[[#This Row],[age]]&lt;=60,"46-60","60+"))))</f>
        <v>31-45</v>
      </c>
      <c r="M561" s="2" t="str">
        <f>IF(Sheet1[[#This Row],[risk_score]]&lt;0.3,"Low",IF(Sheet1[[#This Row],[risk_score]]&lt;0.7,"Medium","High"))</f>
        <v>Medium</v>
      </c>
      <c r="N561">
        <f>YEAR(Sheet1[[#This Row],[date_joined]])</f>
        <v>2019</v>
      </c>
      <c r="O561" s="2" t="str">
        <f>TEXT(Sheet1[[#This Row],[date_joined]],"mmm")</f>
        <v>Mar</v>
      </c>
      <c r="P561" s="2" t="str">
        <f>"Q"&amp;ROUNDUP(MONTH(Sheet1[[#This Row],[date_joined]])/3,0)</f>
        <v>Q1</v>
      </c>
      <c r="Q561" s="2" t="str">
        <f>IF(Sheet1[[#This Row],[age]]&lt;30,"Young",IF(Sheet1[[#This Row],[age]]&lt;=50,"Adult","Senior"))</f>
        <v>Adult</v>
      </c>
      <c r="R561" s="2" t="str">
        <f t="shared" si="16"/>
        <v>Low</v>
      </c>
      <c r="S561" s="2" t="str">
        <f t="shared" si="17"/>
        <v>South - Retired</v>
      </c>
    </row>
    <row r="562" spans="1:19" x14ac:dyDescent="0.3">
      <c r="A562" t="s">
        <v>1147</v>
      </c>
      <c r="B562" t="s">
        <v>1148</v>
      </c>
      <c r="C562">
        <v>32</v>
      </c>
      <c r="D562" s="2" t="s">
        <v>13</v>
      </c>
      <c r="E562" s="2" t="s">
        <v>22</v>
      </c>
      <c r="F562" s="2" t="s">
        <v>15</v>
      </c>
      <c r="G562" s="2" t="s">
        <v>24</v>
      </c>
      <c r="H562" s="2" t="s">
        <v>17</v>
      </c>
      <c r="I562" s="2" t="s">
        <v>17</v>
      </c>
      <c r="J562">
        <v>0.67</v>
      </c>
      <c r="K562" s="1">
        <v>44537</v>
      </c>
      <c r="L562" s="2" t="str">
        <f>IF(Sheet1[[#This Row],[age]]&lt;18, "Under 18",IF(Sheet1[[#This Row],[age]]&lt;=30,"18-30",IF(Sheet1[[#This Row],[age]]&lt;=45,"31-45",IF(Sheet1[[#This Row],[age]]&lt;=60,"46-60","60+"))))</f>
        <v>31-45</v>
      </c>
      <c r="M562" s="2" t="str">
        <f>IF(Sheet1[[#This Row],[risk_score]]&lt;0.3,"Low",IF(Sheet1[[#This Row],[risk_score]]&lt;0.7,"Medium","High"))</f>
        <v>Medium</v>
      </c>
      <c r="N562">
        <f>YEAR(Sheet1[[#This Row],[date_joined]])</f>
        <v>2021</v>
      </c>
      <c r="O562" s="2" t="str">
        <f>TEXT(Sheet1[[#This Row],[date_joined]],"mmm")</f>
        <v>Dec</v>
      </c>
      <c r="P562" s="2" t="str">
        <f>"Q"&amp;ROUNDUP(MONTH(Sheet1[[#This Row],[date_joined]])/3,0)</f>
        <v>Q4</v>
      </c>
      <c r="Q562" s="2" t="str">
        <f>IF(Sheet1[[#This Row],[age]]&lt;30,"Young",IF(Sheet1[[#This Row],[age]]&lt;=50,"Adult","Senior"))</f>
        <v>Adult</v>
      </c>
      <c r="R562" s="2" t="str">
        <f t="shared" si="16"/>
        <v>Low</v>
      </c>
      <c r="S562" s="2" t="str">
        <f t="shared" si="17"/>
        <v>East - Student</v>
      </c>
    </row>
    <row r="563" spans="1:19" x14ac:dyDescent="0.3">
      <c r="A563" t="s">
        <v>1149</v>
      </c>
      <c r="B563" t="s">
        <v>1150</v>
      </c>
      <c r="C563">
        <v>39</v>
      </c>
      <c r="D563" s="2" t="s">
        <v>21</v>
      </c>
      <c r="E563" s="2" t="s">
        <v>30</v>
      </c>
      <c r="F563" s="2" t="s">
        <v>15</v>
      </c>
      <c r="G563" s="2" t="s">
        <v>16</v>
      </c>
      <c r="H563" s="2" t="s">
        <v>18</v>
      </c>
      <c r="I563" s="2" t="s">
        <v>18</v>
      </c>
      <c r="J563">
        <v>0</v>
      </c>
      <c r="K563" s="1">
        <v>44930</v>
      </c>
      <c r="L563" s="2" t="str">
        <f>IF(Sheet1[[#This Row],[age]]&lt;18, "Under 18",IF(Sheet1[[#This Row],[age]]&lt;=30,"18-30",IF(Sheet1[[#This Row],[age]]&lt;=45,"31-45",IF(Sheet1[[#This Row],[age]]&lt;=60,"46-60","60+"))))</f>
        <v>31-45</v>
      </c>
      <c r="M563" s="2" t="str">
        <f>IF(Sheet1[[#This Row],[risk_score]]&lt;0.3,"Low",IF(Sheet1[[#This Row],[risk_score]]&lt;0.7,"Medium","High"))</f>
        <v>Low</v>
      </c>
      <c r="N563">
        <f>YEAR(Sheet1[[#This Row],[date_joined]])</f>
        <v>2023</v>
      </c>
      <c r="O563" s="2" t="str">
        <f>TEXT(Sheet1[[#This Row],[date_joined]],"mmm")</f>
        <v>Jan</v>
      </c>
      <c r="P563" s="2" t="str">
        <f>"Q"&amp;ROUNDUP(MONTH(Sheet1[[#This Row],[date_joined]])/3,0)</f>
        <v>Q1</v>
      </c>
      <c r="Q563" s="2" t="str">
        <f>IF(Sheet1[[#This Row],[age]]&lt;30,"Young",IF(Sheet1[[#This Row],[age]]&lt;=50,"Adult","Senior"))</f>
        <v>Adult</v>
      </c>
      <c r="R563" s="2" t="str">
        <f t="shared" si="16"/>
        <v>Very High</v>
      </c>
      <c r="S563" s="2" t="str">
        <f t="shared" si="17"/>
        <v>West - Student</v>
      </c>
    </row>
    <row r="564" spans="1:19" x14ac:dyDescent="0.3">
      <c r="A564" t="s">
        <v>1151</v>
      </c>
      <c r="B564" t="s">
        <v>1152</v>
      </c>
      <c r="C564">
        <v>45</v>
      </c>
      <c r="D564" s="2" t="s">
        <v>21</v>
      </c>
      <c r="E564" s="2" t="s">
        <v>30</v>
      </c>
      <c r="F564" s="2" t="s">
        <v>31</v>
      </c>
      <c r="G564" s="2" t="s">
        <v>16</v>
      </c>
      <c r="H564" s="2" t="s">
        <v>17</v>
      </c>
      <c r="I564" s="2" t="s">
        <v>17</v>
      </c>
      <c r="J564">
        <v>0.28999999999999998</v>
      </c>
      <c r="K564" s="1">
        <v>44454</v>
      </c>
      <c r="L564" s="2" t="str">
        <f>IF(Sheet1[[#This Row],[age]]&lt;18, "Under 18",IF(Sheet1[[#This Row],[age]]&lt;=30,"18-30",IF(Sheet1[[#This Row],[age]]&lt;=45,"31-45",IF(Sheet1[[#This Row],[age]]&lt;=60,"46-60","60+"))))</f>
        <v>31-45</v>
      </c>
      <c r="M564" s="2" t="str">
        <f>IF(Sheet1[[#This Row],[risk_score]]&lt;0.3,"Low",IF(Sheet1[[#This Row],[risk_score]]&lt;0.7,"Medium","High"))</f>
        <v>Low</v>
      </c>
      <c r="N564">
        <f>YEAR(Sheet1[[#This Row],[date_joined]])</f>
        <v>2021</v>
      </c>
      <c r="O564" s="2" t="str">
        <f>TEXT(Sheet1[[#This Row],[date_joined]],"mmm")</f>
        <v>Sep</v>
      </c>
      <c r="P564" s="2" t="str">
        <f>"Q"&amp;ROUNDUP(MONTH(Sheet1[[#This Row],[date_joined]])/3,0)</f>
        <v>Q3</v>
      </c>
      <c r="Q564" s="2" t="str">
        <f>IF(Sheet1[[#This Row],[age]]&lt;30,"Young",IF(Sheet1[[#This Row],[age]]&lt;=50,"Adult","Senior"))</f>
        <v>Adult</v>
      </c>
      <c r="R564" s="2" t="str">
        <f t="shared" si="16"/>
        <v>Low</v>
      </c>
      <c r="S564" s="2" t="str">
        <f t="shared" si="17"/>
        <v>West - Self-employed</v>
      </c>
    </row>
    <row r="565" spans="1:19" x14ac:dyDescent="0.3">
      <c r="A565" t="s">
        <v>1153</v>
      </c>
      <c r="B565" t="s">
        <v>1154</v>
      </c>
      <c r="C565">
        <v>21</v>
      </c>
      <c r="D565" s="2" t="s">
        <v>21</v>
      </c>
      <c r="E565" s="2" t="s">
        <v>14</v>
      </c>
      <c r="F565" s="2" t="s">
        <v>31</v>
      </c>
      <c r="G565" s="2" t="s">
        <v>16</v>
      </c>
      <c r="H565" s="2" t="s">
        <v>18</v>
      </c>
      <c r="I565" s="2" t="s">
        <v>18</v>
      </c>
      <c r="J565">
        <v>0.71</v>
      </c>
      <c r="K565" s="1">
        <v>44863</v>
      </c>
      <c r="L565" s="2" t="str">
        <f>IF(Sheet1[[#This Row],[age]]&lt;18, "Under 18",IF(Sheet1[[#This Row],[age]]&lt;=30,"18-30",IF(Sheet1[[#This Row],[age]]&lt;=45,"31-45",IF(Sheet1[[#This Row],[age]]&lt;=60,"46-60","60+"))))</f>
        <v>18-30</v>
      </c>
      <c r="M565" s="2" t="str">
        <f>IF(Sheet1[[#This Row],[risk_score]]&lt;0.3,"Low",IF(Sheet1[[#This Row],[risk_score]]&lt;0.7,"Medium","High"))</f>
        <v>High</v>
      </c>
      <c r="N565">
        <f>YEAR(Sheet1[[#This Row],[date_joined]])</f>
        <v>2022</v>
      </c>
      <c r="O565" s="2" t="str">
        <f>TEXT(Sheet1[[#This Row],[date_joined]],"mmm")</f>
        <v>Oct</v>
      </c>
      <c r="P565" s="2" t="str">
        <f>"Q"&amp;ROUNDUP(MONTH(Sheet1[[#This Row],[date_joined]])/3,0)</f>
        <v>Q4</v>
      </c>
      <c r="Q565" s="2" t="str">
        <f>IF(Sheet1[[#This Row],[age]]&lt;30,"Young",IF(Sheet1[[#This Row],[age]]&lt;=50,"Adult","Senior"))</f>
        <v>Young</v>
      </c>
      <c r="R565" s="2" t="str">
        <f t="shared" si="16"/>
        <v>Very High</v>
      </c>
      <c r="S565" s="2" t="str">
        <f t="shared" si="17"/>
        <v>West - Self-employed</v>
      </c>
    </row>
    <row r="566" spans="1:19" x14ac:dyDescent="0.3">
      <c r="A566" t="s">
        <v>1155</v>
      </c>
      <c r="B566" t="s">
        <v>1156</v>
      </c>
      <c r="C566">
        <v>24</v>
      </c>
      <c r="D566" s="2" t="s">
        <v>13</v>
      </c>
      <c r="E566" s="2" t="s">
        <v>22</v>
      </c>
      <c r="F566" s="2" t="s">
        <v>23</v>
      </c>
      <c r="G566" s="2" t="s">
        <v>81</v>
      </c>
      <c r="H566" s="2" t="s">
        <v>18</v>
      </c>
      <c r="I566" s="2" t="s">
        <v>17</v>
      </c>
      <c r="J566">
        <v>0.48</v>
      </c>
      <c r="K566" s="1">
        <v>43103</v>
      </c>
      <c r="L566" s="2" t="str">
        <f>IF(Sheet1[[#This Row],[age]]&lt;18, "Under 18",IF(Sheet1[[#This Row],[age]]&lt;=30,"18-30",IF(Sheet1[[#This Row],[age]]&lt;=45,"31-45",IF(Sheet1[[#This Row],[age]]&lt;=60,"46-60","60+"))))</f>
        <v>18-30</v>
      </c>
      <c r="M566" s="2" t="str">
        <f>IF(Sheet1[[#This Row],[risk_score]]&lt;0.3,"Low",IF(Sheet1[[#This Row],[risk_score]]&lt;0.7,"Medium","High"))</f>
        <v>Medium</v>
      </c>
      <c r="N566">
        <f>YEAR(Sheet1[[#This Row],[date_joined]])</f>
        <v>2018</v>
      </c>
      <c r="O566" s="2" t="str">
        <f>TEXT(Sheet1[[#This Row],[date_joined]],"mmm")</f>
        <v>Jan</v>
      </c>
      <c r="P566" s="2" t="str">
        <f>"Q"&amp;ROUNDUP(MONTH(Sheet1[[#This Row],[date_joined]])/3,0)</f>
        <v>Q1</v>
      </c>
      <c r="Q566" s="2" t="str">
        <f>IF(Sheet1[[#This Row],[age]]&lt;30,"Young",IF(Sheet1[[#This Row],[age]]&lt;=50,"Adult","Senior"))</f>
        <v>Young</v>
      </c>
      <c r="R566" s="2" t="str">
        <f t="shared" si="16"/>
        <v>High</v>
      </c>
      <c r="S566" s="2" t="str">
        <f t="shared" si="17"/>
        <v>Central - Salaried</v>
      </c>
    </row>
    <row r="567" spans="1:19" x14ac:dyDescent="0.3">
      <c r="A567" t="s">
        <v>1157</v>
      </c>
      <c r="B567" t="s">
        <v>1158</v>
      </c>
      <c r="C567">
        <v>29</v>
      </c>
      <c r="D567" s="2" t="s">
        <v>13</v>
      </c>
      <c r="E567" s="2" t="s">
        <v>14</v>
      </c>
      <c r="F567" s="2" t="s">
        <v>15</v>
      </c>
      <c r="G567" s="2" t="s">
        <v>24</v>
      </c>
      <c r="H567" s="2" t="s">
        <v>18</v>
      </c>
      <c r="I567" s="2" t="s">
        <v>17</v>
      </c>
      <c r="J567">
        <v>0.52</v>
      </c>
      <c r="K567" s="1">
        <v>44104</v>
      </c>
      <c r="L567" s="2" t="str">
        <f>IF(Sheet1[[#This Row],[age]]&lt;18, "Under 18",IF(Sheet1[[#This Row],[age]]&lt;=30,"18-30",IF(Sheet1[[#This Row],[age]]&lt;=45,"31-45",IF(Sheet1[[#This Row],[age]]&lt;=60,"46-60","60+"))))</f>
        <v>18-30</v>
      </c>
      <c r="M567" s="2" t="str">
        <f>IF(Sheet1[[#This Row],[risk_score]]&lt;0.3,"Low",IF(Sheet1[[#This Row],[risk_score]]&lt;0.7,"Medium","High"))</f>
        <v>Medium</v>
      </c>
      <c r="N567">
        <f>YEAR(Sheet1[[#This Row],[date_joined]])</f>
        <v>2020</v>
      </c>
      <c r="O567" s="2" t="str">
        <f>TEXT(Sheet1[[#This Row],[date_joined]],"mmm")</f>
        <v>Sep</v>
      </c>
      <c r="P567" s="2" t="str">
        <f>"Q"&amp;ROUNDUP(MONTH(Sheet1[[#This Row],[date_joined]])/3,0)</f>
        <v>Q3</v>
      </c>
      <c r="Q567" s="2" t="str">
        <f>IF(Sheet1[[#This Row],[age]]&lt;30,"Young",IF(Sheet1[[#This Row],[age]]&lt;=50,"Adult","Senior"))</f>
        <v>Young</v>
      </c>
      <c r="R567" s="2" t="str">
        <f t="shared" si="16"/>
        <v>High</v>
      </c>
      <c r="S567" s="2" t="str">
        <f t="shared" si="17"/>
        <v>East - Student</v>
      </c>
    </row>
    <row r="568" spans="1:19" x14ac:dyDescent="0.3">
      <c r="A568" t="s">
        <v>1159</v>
      </c>
      <c r="B568" t="s">
        <v>1160</v>
      </c>
      <c r="C568">
        <v>55</v>
      </c>
      <c r="D568" s="2" t="s">
        <v>21</v>
      </c>
      <c r="E568" s="2" t="s">
        <v>30</v>
      </c>
      <c r="F568" s="2" t="s">
        <v>23</v>
      </c>
      <c r="G568" s="2" t="s">
        <v>24</v>
      </c>
      <c r="H568" s="2" t="s">
        <v>18</v>
      </c>
      <c r="I568" s="2" t="s">
        <v>18</v>
      </c>
      <c r="J568">
        <v>0.5</v>
      </c>
      <c r="K568" s="1">
        <v>44287</v>
      </c>
      <c r="L568" s="2" t="str">
        <f>IF(Sheet1[[#This Row],[age]]&lt;18, "Under 18",IF(Sheet1[[#This Row],[age]]&lt;=30,"18-30",IF(Sheet1[[#This Row],[age]]&lt;=45,"31-45",IF(Sheet1[[#This Row],[age]]&lt;=60,"46-60","60+"))))</f>
        <v>46-60</v>
      </c>
      <c r="M568" s="2" t="str">
        <f>IF(Sheet1[[#This Row],[risk_score]]&lt;0.3,"Low",IF(Sheet1[[#This Row],[risk_score]]&lt;0.7,"Medium","High"))</f>
        <v>Medium</v>
      </c>
      <c r="N568">
        <f>YEAR(Sheet1[[#This Row],[date_joined]])</f>
        <v>2021</v>
      </c>
      <c r="O568" s="2" t="str">
        <f>TEXT(Sheet1[[#This Row],[date_joined]],"mmm")</f>
        <v>Apr</v>
      </c>
      <c r="P568" s="2" t="str">
        <f>"Q"&amp;ROUNDUP(MONTH(Sheet1[[#This Row],[date_joined]])/3,0)</f>
        <v>Q2</v>
      </c>
      <c r="Q568" s="2" t="str">
        <f>IF(Sheet1[[#This Row],[age]]&lt;30,"Young",IF(Sheet1[[#This Row],[age]]&lt;=50,"Adult","Senior"))</f>
        <v>Senior</v>
      </c>
      <c r="R568" s="2" t="str">
        <f t="shared" si="16"/>
        <v>Very High</v>
      </c>
      <c r="S568" s="2" t="str">
        <f t="shared" si="17"/>
        <v>East - Salaried</v>
      </c>
    </row>
    <row r="569" spans="1:19" x14ac:dyDescent="0.3">
      <c r="A569" t="s">
        <v>1161</v>
      </c>
      <c r="B569" t="s">
        <v>1162</v>
      </c>
      <c r="C569">
        <v>48</v>
      </c>
      <c r="D569" s="2" t="s">
        <v>13</v>
      </c>
      <c r="E569" s="2" t="s">
        <v>30</v>
      </c>
      <c r="F569" s="2" t="s">
        <v>23</v>
      </c>
      <c r="G569" s="2" t="s">
        <v>24</v>
      </c>
      <c r="H569" s="2" t="s">
        <v>17</v>
      </c>
      <c r="I569" s="2" t="s">
        <v>18</v>
      </c>
      <c r="J569">
        <v>0.75</v>
      </c>
      <c r="K569" s="1">
        <v>44807</v>
      </c>
      <c r="L569" s="2" t="str">
        <f>IF(Sheet1[[#This Row],[age]]&lt;18, "Under 18",IF(Sheet1[[#This Row],[age]]&lt;=30,"18-30",IF(Sheet1[[#This Row],[age]]&lt;=45,"31-45",IF(Sheet1[[#This Row],[age]]&lt;=60,"46-60","60+"))))</f>
        <v>46-60</v>
      </c>
      <c r="M569" s="2" t="str">
        <f>IF(Sheet1[[#This Row],[risk_score]]&lt;0.3,"Low",IF(Sheet1[[#This Row],[risk_score]]&lt;0.7,"Medium","High"))</f>
        <v>High</v>
      </c>
      <c r="N569">
        <f>YEAR(Sheet1[[#This Row],[date_joined]])</f>
        <v>2022</v>
      </c>
      <c r="O569" s="2" t="str">
        <f>TEXT(Sheet1[[#This Row],[date_joined]],"mmm")</f>
        <v>Sep</v>
      </c>
      <c r="P569" s="2" t="str">
        <f>"Q"&amp;ROUNDUP(MONTH(Sheet1[[#This Row],[date_joined]])/3,0)</f>
        <v>Q3</v>
      </c>
      <c r="Q569" s="2" t="str">
        <f>IF(Sheet1[[#This Row],[age]]&lt;30,"Young",IF(Sheet1[[#This Row],[age]]&lt;=50,"Adult","Senior"))</f>
        <v>Adult</v>
      </c>
      <c r="R569" s="2" t="str">
        <f t="shared" si="16"/>
        <v>High</v>
      </c>
      <c r="S569" s="2" t="str">
        <f t="shared" si="17"/>
        <v>East - Salaried</v>
      </c>
    </row>
    <row r="570" spans="1:19" x14ac:dyDescent="0.3">
      <c r="A570" t="s">
        <v>1163</v>
      </c>
      <c r="B570" t="s">
        <v>1164</v>
      </c>
      <c r="C570">
        <v>51</v>
      </c>
      <c r="D570" s="2" t="s">
        <v>13</v>
      </c>
      <c r="E570" s="2" t="s">
        <v>22</v>
      </c>
      <c r="F570" s="2" t="s">
        <v>15</v>
      </c>
      <c r="G570" s="2" t="s">
        <v>66</v>
      </c>
      <c r="H570" s="2" t="s">
        <v>17</v>
      </c>
      <c r="I570" s="2" t="s">
        <v>18</v>
      </c>
      <c r="J570">
        <v>0.33</v>
      </c>
      <c r="K570" s="1">
        <v>43412</v>
      </c>
      <c r="L570" s="2" t="str">
        <f>IF(Sheet1[[#This Row],[age]]&lt;18, "Under 18",IF(Sheet1[[#This Row],[age]]&lt;=30,"18-30",IF(Sheet1[[#This Row],[age]]&lt;=45,"31-45",IF(Sheet1[[#This Row],[age]]&lt;=60,"46-60","60+"))))</f>
        <v>46-60</v>
      </c>
      <c r="M570" s="2" t="str">
        <f>IF(Sheet1[[#This Row],[risk_score]]&lt;0.3,"Low",IF(Sheet1[[#This Row],[risk_score]]&lt;0.7,"Medium","High"))</f>
        <v>Medium</v>
      </c>
      <c r="N570">
        <f>YEAR(Sheet1[[#This Row],[date_joined]])</f>
        <v>2018</v>
      </c>
      <c r="O570" s="2" t="str">
        <f>TEXT(Sheet1[[#This Row],[date_joined]],"mmm")</f>
        <v>Nov</v>
      </c>
      <c r="P570" s="2" t="str">
        <f>"Q"&amp;ROUNDUP(MONTH(Sheet1[[#This Row],[date_joined]])/3,0)</f>
        <v>Q4</v>
      </c>
      <c r="Q570" s="2" t="str">
        <f>IF(Sheet1[[#This Row],[age]]&lt;30,"Young",IF(Sheet1[[#This Row],[age]]&lt;=50,"Adult","Senior"))</f>
        <v>Senior</v>
      </c>
      <c r="R570" s="2" t="str">
        <f t="shared" si="16"/>
        <v>High</v>
      </c>
      <c r="S570" s="2" t="str">
        <f t="shared" si="17"/>
        <v>North-East - Student</v>
      </c>
    </row>
    <row r="571" spans="1:19" x14ac:dyDescent="0.3">
      <c r="A571" t="s">
        <v>1165</v>
      </c>
      <c r="B571" t="s">
        <v>1166</v>
      </c>
      <c r="C571">
        <v>25</v>
      </c>
      <c r="D571" s="2" t="s">
        <v>21</v>
      </c>
      <c r="E571" s="2" t="s">
        <v>30</v>
      </c>
      <c r="F571" s="2" t="s">
        <v>31</v>
      </c>
      <c r="G571" s="2" t="s">
        <v>16</v>
      </c>
      <c r="H571" s="2" t="s">
        <v>17</v>
      </c>
      <c r="I571" s="2" t="s">
        <v>17</v>
      </c>
      <c r="J571">
        <v>0.23</v>
      </c>
      <c r="K571" s="1">
        <v>43940</v>
      </c>
      <c r="L571" s="2" t="str">
        <f>IF(Sheet1[[#This Row],[age]]&lt;18, "Under 18",IF(Sheet1[[#This Row],[age]]&lt;=30,"18-30",IF(Sheet1[[#This Row],[age]]&lt;=45,"31-45",IF(Sheet1[[#This Row],[age]]&lt;=60,"46-60","60+"))))</f>
        <v>18-30</v>
      </c>
      <c r="M571" s="2" t="str">
        <f>IF(Sheet1[[#This Row],[risk_score]]&lt;0.3,"Low",IF(Sheet1[[#This Row],[risk_score]]&lt;0.7,"Medium","High"))</f>
        <v>Low</v>
      </c>
      <c r="N571">
        <f>YEAR(Sheet1[[#This Row],[date_joined]])</f>
        <v>2020</v>
      </c>
      <c r="O571" s="2" t="str">
        <f>TEXT(Sheet1[[#This Row],[date_joined]],"mmm")</f>
        <v>Apr</v>
      </c>
      <c r="P571" s="2" t="str">
        <f>"Q"&amp;ROUNDUP(MONTH(Sheet1[[#This Row],[date_joined]])/3,0)</f>
        <v>Q2</v>
      </c>
      <c r="Q571" s="2" t="str">
        <f>IF(Sheet1[[#This Row],[age]]&lt;30,"Young",IF(Sheet1[[#This Row],[age]]&lt;=50,"Adult","Senior"))</f>
        <v>Young</v>
      </c>
      <c r="R571" s="2" t="str">
        <f t="shared" si="16"/>
        <v>Low</v>
      </c>
      <c r="S571" s="2" t="str">
        <f t="shared" si="17"/>
        <v>West - Self-employed</v>
      </c>
    </row>
    <row r="572" spans="1:19" x14ac:dyDescent="0.3">
      <c r="A572" t="s">
        <v>1167</v>
      </c>
      <c r="B572" t="s">
        <v>1168</v>
      </c>
      <c r="C572">
        <v>61</v>
      </c>
      <c r="D572" s="2" t="s">
        <v>21</v>
      </c>
      <c r="E572" s="2" t="s">
        <v>22</v>
      </c>
      <c r="F572" s="2" t="s">
        <v>37</v>
      </c>
      <c r="G572" s="2" t="s">
        <v>81</v>
      </c>
      <c r="H572" s="2" t="s">
        <v>17</v>
      </c>
      <c r="I572" s="2" t="s">
        <v>17</v>
      </c>
      <c r="J572">
        <v>0.4</v>
      </c>
      <c r="K572" s="1">
        <v>45173</v>
      </c>
      <c r="L572" s="2" t="str">
        <f>IF(Sheet1[[#This Row],[age]]&lt;18, "Under 18",IF(Sheet1[[#This Row],[age]]&lt;=30,"18-30",IF(Sheet1[[#This Row],[age]]&lt;=45,"31-45",IF(Sheet1[[#This Row],[age]]&lt;=60,"46-60","60+"))))</f>
        <v>60+</v>
      </c>
      <c r="M572" s="2" t="str">
        <f>IF(Sheet1[[#This Row],[risk_score]]&lt;0.3,"Low",IF(Sheet1[[#This Row],[risk_score]]&lt;0.7,"Medium","High"))</f>
        <v>Medium</v>
      </c>
      <c r="N572">
        <f>YEAR(Sheet1[[#This Row],[date_joined]])</f>
        <v>2023</v>
      </c>
      <c r="O572" s="2" t="str">
        <f>TEXT(Sheet1[[#This Row],[date_joined]],"mmm")</f>
        <v>Sep</v>
      </c>
      <c r="P572" s="2" t="str">
        <f>"Q"&amp;ROUNDUP(MONTH(Sheet1[[#This Row],[date_joined]])/3,0)</f>
        <v>Q3</v>
      </c>
      <c r="Q572" s="2" t="str">
        <f>IF(Sheet1[[#This Row],[age]]&lt;30,"Young",IF(Sheet1[[#This Row],[age]]&lt;=50,"Adult","Senior"))</f>
        <v>Senior</v>
      </c>
      <c r="R572" s="2" t="str">
        <f t="shared" si="16"/>
        <v>Low</v>
      </c>
      <c r="S572" s="2" t="str">
        <f t="shared" si="17"/>
        <v>Central - Retired</v>
      </c>
    </row>
    <row r="573" spans="1:19" x14ac:dyDescent="0.3">
      <c r="A573" t="s">
        <v>1169</v>
      </c>
      <c r="B573" t="s">
        <v>1170</v>
      </c>
      <c r="C573">
        <v>31</v>
      </c>
      <c r="D573" s="2" t="s">
        <v>21</v>
      </c>
      <c r="E573" s="2" t="s">
        <v>30</v>
      </c>
      <c r="F573" s="2" t="s">
        <v>37</v>
      </c>
      <c r="G573" s="2" t="s">
        <v>66</v>
      </c>
      <c r="H573" s="2" t="s">
        <v>17</v>
      </c>
      <c r="I573" s="2" t="s">
        <v>18</v>
      </c>
      <c r="J573">
        <v>0.68</v>
      </c>
      <c r="K573" s="1">
        <v>44883</v>
      </c>
      <c r="L573" s="2" t="str">
        <f>IF(Sheet1[[#This Row],[age]]&lt;18, "Under 18",IF(Sheet1[[#This Row],[age]]&lt;=30,"18-30",IF(Sheet1[[#This Row],[age]]&lt;=45,"31-45",IF(Sheet1[[#This Row],[age]]&lt;=60,"46-60","60+"))))</f>
        <v>31-45</v>
      </c>
      <c r="M573" s="2" t="str">
        <f>IF(Sheet1[[#This Row],[risk_score]]&lt;0.3,"Low",IF(Sheet1[[#This Row],[risk_score]]&lt;0.7,"Medium","High"))</f>
        <v>Medium</v>
      </c>
      <c r="N573">
        <f>YEAR(Sheet1[[#This Row],[date_joined]])</f>
        <v>2022</v>
      </c>
      <c r="O573" s="2" t="str">
        <f>TEXT(Sheet1[[#This Row],[date_joined]],"mmm")</f>
        <v>Nov</v>
      </c>
      <c r="P573" s="2" t="str">
        <f>"Q"&amp;ROUNDUP(MONTH(Sheet1[[#This Row],[date_joined]])/3,0)</f>
        <v>Q4</v>
      </c>
      <c r="Q573" s="2" t="str">
        <f>IF(Sheet1[[#This Row],[age]]&lt;30,"Young",IF(Sheet1[[#This Row],[age]]&lt;=50,"Adult","Senior"))</f>
        <v>Adult</v>
      </c>
      <c r="R573" s="2" t="str">
        <f t="shared" si="16"/>
        <v>High</v>
      </c>
      <c r="S573" s="2" t="str">
        <f t="shared" si="17"/>
        <v>North-East - Retired</v>
      </c>
    </row>
    <row r="574" spans="1:19" x14ac:dyDescent="0.3">
      <c r="A574" t="s">
        <v>1171</v>
      </c>
      <c r="B574" t="s">
        <v>1172</v>
      </c>
      <c r="C574">
        <v>35</v>
      </c>
      <c r="D574" s="2" t="s">
        <v>13</v>
      </c>
      <c r="E574" s="2" t="s">
        <v>22</v>
      </c>
      <c r="F574" s="2" t="s">
        <v>37</v>
      </c>
      <c r="G574" s="2" t="s">
        <v>32</v>
      </c>
      <c r="H574" s="2" t="s">
        <v>17</v>
      </c>
      <c r="I574" s="2" t="s">
        <v>17</v>
      </c>
      <c r="J574">
        <v>0.59</v>
      </c>
      <c r="K574" s="1">
        <v>44128</v>
      </c>
      <c r="L574" s="2" t="str">
        <f>IF(Sheet1[[#This Row],[age]]&lt;18, "Under 18",IF(Sheet1[[#This Row],[age]]&lt;=30,"18-30",IF(Sheet1[[#This Row],[age]]&lt;=45,"31-45",IF(Sheet1[[#This Row],[age]]&lt;=60,"46-60","60+"))))</f>
        <v>31-45</v>
      </c>
      <c r="M574" s="2" t="str">
        <f>IF(Sheet1[[#This Row],[risk_score]]&lt;0.3,"Low",IF(Sheet1[[#This Row],[risk_score]]&lt;0.7,"Medium","High"))</f>
        <v>Medium</v>
      </c>
      <c r="N574">
        <f>YEAR(Sheet1[[#This Row],[date_joined]])</f>
        <v>2020</v>
      </c>
      <c r="O574" s="2" t="str">
        <f>TEXT(Sheet1[[#This Row],[date_joined]],"mmm")</f>
        <v>Oct</v>
      </c>
      <c r="P574" s="2" t="str">
        <f>"Q"&amp;ROUNDUP(MONTH(Sheet1[[#This Row],[date_joined]])/3,0)</f>
        <v>Q4</v>
      </c>
      <c r="Q574" s="2" t="str">
        <f>IF(Sheet1[[#This Row],[age]]&lt;30,"Young",IF(Sheet1[[#This Row],[age]]&lt;=50,"Adult","Senior"))</f>
        <v>Adult</v>
      </c>
      <c r="R574" s="2" t="str">
        <f t="shared" si="16"/>
        <v>Low</v>
      </c>
      <c r="S574" s="2" t="str">
        <f t="shared" si="17"/>
        <v>South - Retired</v>
      </c>
    </row>
    <row r="575" spans="1:19" x14ac:dyDescent="0.3">
      <c r="A575" t="s">
        <v>1173</v>
      </c>
      <c r="B575" t="s">
        <v>1174</v>
      </c>
      <c r="C575">
        <v>25</v>
      </c>
      <c r="D575" s="2" t="s">
        <v>21</v>
      </c>
      <c r="E575" s="2" t="s">
        <v>30</v>
      </c>
      <c r="F575" s="2" t="s">
        <v>15</v>
      </c>
      <c r="G575" s="2" t="s">
        <v>24</v>
      </c>
      <c r="H575" s="2" t="s">
        <v>18</v>
      </c>
      <c r="I575" s="2" t="s">
        <v>17</v>
      </c>
      <c r="J575">
        <v>0.57999999999999996</v>
      </c>
      <c r="K575" s="1">
        <v>43747</v>
      </c>
      <c r="L575" s="2" t="str">
        <f>IF(Sheet1[[#This Row],[age]]&lt;18, "Under 18",IF(Sheet1[[#This Row],[age]]&lt;=30,"18-30",IF(Sheet1[[#This Row],[age]]&lt;=45,"31-45",IF(Sheet1[[#This Row],[age]]&lt;=60,"46-60","60+"))))</f>
        <v>18-30</v>
      </c>
      <c r="M575" s="2" t="str">
        <f>IF(Sheet1[[#This Row],[risk_score]]&lt;0.3,"Low",IF(Sheet1[[#This Row],[risk_score]]&lt;0.7,"Medium","High"))</f>
        <v>Medium</v>
      </c>
      <c r="N575">
        <f>YEAR(Sheet1[[#This Row],[date_joined]])</f>
        <v>2019</v>
      </c>
      <c r="O575" s="2" t="str">
        <f>TEXT(Sheet1[[#This Row],[date_joined]],"mmm")</f>
        <v>Oct</v>
      </c>
      <c r="P575" s="2" t="str">
        <f>"Q"&amp;ROUNDUP(MONTH(Sheet1[[#This Row],[date_joined]])/3,0)</f>
        <v>Q4</v>
      </c>
      <c r="Q575" s="2" t="str">
        <f>IF(Sheet1[[#This Row],[age]]&lt;30,"Young",IF(Sheet1[[#This Row],[age]]&lt;=50,"Adult","Senior"))</f>
        <v>Young</v>
      </c>
      <c r="R575" s="2" t="str">
        <f t="shared" si="16"/>
        <v>High</v>
      </c>
      <c r="S575" s="2" t="str">
        <f t="shared" si="17"/>
        <v>East - Student</v>
      </c>
    </row>
    <row r="576" spans="1:19" x14ac:dyDescent="0.3">
      <c r="A576" t="s">
        <v>1175</v>
      </c>
      <c r="B576" t="s">
        <v>1176</v>
      </c>
      <c r="C576">
        <v>52</v>
      </c>
      <c r="D576" s="2" t="s">
        <v>21</v>
      </c>
      <c r="E576" s="2" t="s">
        <v>30</v>
      </c>
      <c r="F576" s="2" t="s">
        <v>23</v>
      </c>
      <c r="G576" s="2" t="s">
        <v>81</v>
      </c>
      <c r="H576" s="2" t="s">
        <v>18</v>
      </c>
      <c r="I576" s="2" t="s">
        <v>17</v>
      </c>
      <c r="J576">
        <v>0.46</v>
      </c>
      <c r="K576" s="1">
        <v>44461</v>
      </c>
      <c r="L576" s="2" t="str">
        <f>IF(Sheet1[[#This Row],[age]]&lt;18, "Under 18",IF(Sheet1[[#This Row],[age]]&lt;=30,"18-30",IF(Sheet1[[#This Row],[age]]&lt;=45,"31-45",IF(Sheet1[[#This Row],[age]]&lt;=60,"46-60","60+"))))</f>
        <v>46-60</v>
      </c>
      <c r="M576" s="2" t="str">
        <f>IF(Sheet1[[#This Row],[risk_score]]&lt;0.3,"Low",IF(Sheet1[[#This Row],[risk_score]]&lt;0.7,"Medium","High"))</f>
        <v>Medium</v>
      </c>
      <c r="N576">
        <f>YEAR(Sheet1[[#This Row],[date_joined]])</f>
        <v>2021</v>
      </c>
      <c r="O576" s="2" t="str">
        <f>TEXT(Sheet1[[#This Row],[date_joined]],"mmm")</f>
        <v>Sep</v>
      </c>
      <c r="P576" s="2" t="str">
        <f>"Q"&amp;ROUNDUP(MONTH(Sheet1[[#This Row],[date_joined]])/3,0)</f>
        <v>Q3</v>
      </c>
      <c r="Q576" s="2" t="str">
        <f>IF(Sheet1[[#This Row],[age]]&lt;30,"Young",IF(Sheet1[[#This Row],[age]]&lt;=50,"Adult","Senior"))</f>
        <v>Senior</v>
      </c>
      <c r="R576" s="2" t="str">
        <f t="shared" si="16"/>
        <v>High</v>
      </c>
      <c r="S576" s="2" t="str">
        <f t="shared" si="17"/>
        <v>Central - Salaried</v>
      </c>
    </row>
    <row r="577" spans="1:19" x14ac:dyDescent="0.3">
      <c r="A577" t="s">
        <v>1177</v>
      </c>
      <c r="B577" t="s">
        <v>1178</v>
      </c>
      <c r="C577">
        <v>25</v>
      </c>
      <c r="D577" s="2" t="s">
        <v>13</v>
      </c>
      <c r="E577" s="2" t="s">
        <v>30</v>
      </c>
      <c r="F577" s="2" t="s">
        <v>23</v>
      </c>
      <c r="G577" s="2" t="s">
        <v>24</v>
      </c>
      <c r="H577" s="2" t="s">
        <v>17</v>
      </c>
      <c r="I577" s="2" t="s">
        <v>17</v>
      </c>
      <c r="J577">
        <v>0.48</v>
      </c>
      <c r="K577" s="1">
        <v>43565</v>
      </c>
      <c r="L577" s="2" t="str">
        <f>IF(Sheet1[[#This Row],[age]]&lt;18, "Under 18",IF(Sheet1[[#This Row],[age]]&lt;=30,"18-30",IF(Sheet1[[#This Row],[age]]&lt;=45,"31-45",IF(Sheet1[[#This Row],[age]]&lt;=60,"46-60","60+"))))</f>
        <v>18-30</v>
      </c>
      <c r="M577" s="2" t="str">
        <f>IF(Sheet1[[#This Row],[risk_score]]&lt;0.3,"Low",IF(Sheet1[[#This Row],[risk_score]]&lt;0.7,"Medium","High"))</f>
        <v>Medium</v>
      </c>
      <c r="N577">
        <f>YEAR(Sheet1[[#This Row],[date_joined]])</f>
        <v>2019</v>
      </c>
      <c r="O577" s="2" t="str">
        <f>TEXT(Sheet1[[#This Row],[date_joined]],"mmm")</f>
        <v>Apr</v>
      </c>
      <c r="P577" s="2" t="str">
        <f>"Q"&amp;ROUNDUP(MONTH(Sheet1[[#This Row],[date_joined]])/3,0)</f>
        <v>Q2</v>
      </c>
      <c r="Q577" s="2" t="str">
        <f>IF(Sheet1[[#This Row],[age]]&lt;30,"Young",IF(Sheet1[[#This Row],[age]]&lt;=50,"Adult","Senior"))</f>
        <v>Young</v>
      </c>
      <c r="R577" s="2" t="str">
        <f t="shared" si="16"/>
        <v>Low</v>
      </c>
      <c r="S577" s="2" t="str">
        <f t="shared" si="17"/>
        <v>East - Salaried</v>
      </c>
    </row>
    <row r="578" spans="1:19" x14ac:dyDescent="0.3">
      <c r="A578" t="s">
        <v>1179</v>
      </c>
      <c r="B578" t="s">
        <v>1180</v>
      </c>
      <c r="C578">
        <v>52</v>
      </c>
      <c r="D578" s="2" t="s">
        <v>21</v>
      </c>
      <c r="E578" s="2" t="s">
        <v>22</v>
      </c>
      <c r="F578" s="2" t="s">
        <v>23</v>
      </c>
      <c r="G578" s="2" t="s">
        <v>81</v>
      </c>
      <c r="H578" s="2" t="s">
        <v>18</v>
      </c>
      <c r="I578" s="2" t="s">
        <v>17</v>
      </c>
      <c r="J578">
        <v>0.65</v>
      </c>
      <c r="K578" s="1">
        <v>44341</v>
      </c>
      <c r="L578" s="2" t="str">
        <f>IF(Sheet1[[#This Row],[age]]&lt;18, "Under 18",IF(Sheet1[[#This Row],[age]]&lt;=30,"18-30",IF(Sheet1[[#This Row],[age]]&lt;=45,"31-45",IF(Sheet1[[#This Row],[age]]&lt;=60,"46-60","60+"))))</f>
        <v>46-60</v>
      </c>
      <c r="M578" s="2" t="str">
        <f>IF(Sheet1[[#This Row],[risk_score]]&lt;0.3,"Low",IF(Sheet1[[#This Row],[risk_score]]&lt;0.7,"Medium","High"))</f>
        <v>Medium</v>
      </c>
      <c r="N578">
        <f>YEAR(Sheet1[[#This Row],[date_joined]])</f>
        <v>2021</v>
      </c>
      <c r="O578" s="2" t="str">
        <f>TEXT(Sheet1[[#This Row],[date_joined]],"mmm")</f>
        <v>May</v>
      </c>
      <c r="P578" s="2" t="str">
        <f>"Q"&amp;ROUNDUP(MONTH(Sheet1[[#This Row],[date_joined]])/3,0)</f>
        <v>Q2</v>
      </c>
      <c r="Q578" s="2" t="str">
        <f>IF(Sheet1[[#This Row],[age]]&lt;30,"Young",IF(Sheet1[[#This Row],[age]]&lt;=50,"Adult","Senior"))</f>
        <v>Senior</v>
      </c>
      <c r="R578" s="2" t="str">
        <f t="shared" ref="R578:R641" si="18">IF(AND(H578="Yes",I578="Yes"),"Very High",
IF(OR(H578="Yes",I578="Yes"),"High","Low"))</f>
        <v>High</v>
      </c>
      <c r="S578" s="2" t="str">
        <f t="shared" ref="S578:S641" si="19">G578&amp;" - "&amp;F578</f>
        <v>Central - Salaried</v>
      </c>
    </row>
    <row r="579" spans="1:19" x14ac:dyDescent="0.3">
      <c r="A579" t="s">
        <v>1181</v>
      </c>
      <c r="B579" t="s">
        <v>1182</v>
      </c>
      <c r="C579">
        <v>31</v>
      </c>
      <c r="D579" s="2" t="s">
        <v>13</v>
      </c>
      <c r="E579" s="2" t="s">
        <v>30</v>
      </c>
      <c r="F579" s="2" t="s">
        <v>15</v>
      </c>
      <c r="G579" s="2" t="s">
        <v>32</v>
      </c>
      <c r="H579" s="2" t="s">
        <v>17</v>
      </c>
      <c r="I579" s="2" t="s">
        <v>18</v>
      </c>
      <c r="J579">
        <v>0.53</v>
      </c>
      <c r="K579" s="1">
        <v>43652</v>
      </c>
      <c r="L579" s="2" t="str">
        <f>IF(Sheet1[[#This Row],[age]]&lt;18, "Under 18",IF(Sheet1[[#This Row],[age]]&lt;=30,"18-30",IF(Sheet1[[#This Row],[age]]&lt;=45,"31-45",IF(Sheet1[[#This Row],[age]]&lt;=60,"46-60","60+"))))</f>
        <v>31-45</v>
      </c>
      <c r="M579" s="2" t="str">
        <f>IF(Sheet1[[#This Row],[risk_score]]&lt;0.3,"Low",IF(Sheet1[[#This Row],[risk_score]]&lt;0.7,"Medium","High"))</f>
        <v>Medium</v>
      </c>
      <c r="N579">
        <f>YEAR(Sheet1[[#This Row],[date_joined]])</f>
        <v>2019</v>
      </c>
      <c r="O579" s="2" t="str">
        <f>TEXT(Sheet1[[#This Row],[date_joined]],"mmm")</f>
        <v>Jul</v>
      </c>
      <c r="P579" s="2" t="str">
        <f>"Q"&amp;ROUNDUP(MONTH(Sheet1[[#This Row],[date_joined]])/3,0)</f>
        <v>Q3</v>
      </c>
      <c r="Q579" s="2" t="str">
        <f>IF(Sheet1[[#This Row],[age]]&lt;30,"Young",IF(Sheet1[[#This Row],[age]]&lt;=50,"Adult","Senior"))</f>
        <v>Adult</v>
      </c>
      <c r="R579" s="2" t="str">
        <f t="shared" si="18"/>
        <v>High</v>
      </c>
      <c r="S579" s="2" t="str">
        <f t="shared" si="19"/>
        <v>South - Student</v>
      </c>
    </row>
    <row r="580" spans="1:19" x14ac:dyDescent="0.3">
      <c r="A580" t="s">
        <v>1183</v>
      </c>
      <c r="B580" t="s">
        <v>1184</v>
      </c>
      <c r="C580">
        <v>30</v>
      </c>
      <c r="D580" s="2" t="s">
        <v>13</v>
      </c>
      <c r="E580" s="2" t="s">
        <v>14</v>
      </c>
      <c r="F580" s="2" t="s">
        <v>37</v>
      </c>
      <c r="G580" s="2" t="s">
        <v>32</v>
      </c>
      <c r="H580" s="2" t="s">
        <v>17</v>
      </c>
      <c r="I580" s="2" t="s">
        <v>17</v>
      </c>
      <c r="J580">
        <v>0.37</v>
      </c>
      <c r="K580" s="1">
        <v>44386</v>
      </c>
      <c r="L580" s="2" t="str">
        <f>IF(Sheet1[[#This Row],[age]]&lt;18, "Under 18",IF(Sheet1[[#This Row],[age]]&lt;=30,"18-30",IF(Sheet1[[#This Row],[age]]&lt;=45,"31-45",IF(Sheet1[[#This Row],[age]]&lt;=60,"46-60","60+"))))</f>
        <v>18-30</v>
      </c>
      <c r="M580" s="2" t="str">
        <f>IF(Sheet1[[#This Row],[risk_score]]&lt;0.3,"Low",IF(Sheet1[[#This Row],[risk_score]]&lt;0.7,"Medium","High"))</f>
        <v>Medium</v>
      </c>
      <c r="N580">
        <f>YEAR(Sheet1[[#This Row],[date_joined]])</f>
        <v>2021</v>
      </c>
      <c r="O580" s="2" t="str">
        <f>TEXT(Sheet1[[#This Row],[date_joined]],"mmm")</f>
        <v>Jul</v>
      </c>
      <c r="P580" s="2" t="str">
        <f>"Q"&amp;ROUNDUP(MONTH(Sheet1[[#This Row],[date_joined]])/3,0)</f>
        <v>Q3</v>
      </c>
      <c r="Q580" s="2" t="str">
        <f>IF(Sheet1[[#This Row],[age]]&lt;30,"Young",IF(Sheet1[[#This Row],[age]]&lt;=50,"Adult","Senior"))</f>
        <v>Adult</v>
      </c>
      <c r="R580" s="2" t="str">
        <f t="shared" si="18"/>
        <v>Low</v>
      </c>
      <c r="S580" s="2" t="str">
        <f t="shared" si="19"/>
        <v>South - Retired</v>
      </c>
    </row>
    <row r="581" spans="1:19" x14ac:dyDescent="0.3">
      <c r="A581" t="s">
        <v>1185</v>
      </c>
      <c r="B581" t="s">
        <v>1186</v>
      </c>
      <c r="C581">
        <v>62</v>
      </c>
      <c r="D581" s="2" t="s">
        <v>13</v>
      </c>
      <c r="E581" s="2" t="s">
        <v>22</v>
      </c>
      <c r="F581" s="2" t="s">
        <v>15</v>
      </c>
      <c r="G581" s="2" t="s">
        <v>32</v>
      </c>
      <c r="H581" s="2" t="s">
        <v>18</v>
      </c>
      <c r="I581" s="2" t="s">
        <v>18</v>
      </c>
      <c r="J581">
        <v>0.5</v>
      </c>
      <c r="K581" s="1">
        <v>44753</v>
      </c>
      <c r="L581" s="2" t="str">
        <f>IF(Sheet1[[#This Row],[age]]&lt;18, "Under 18",IF(Sheet1[[#This Row],[age]]&lt;=30,"18-30",IF(Sheet1[[#This Row],[age]]&lt;=45,"31-45",IF(Sheet1[[#This Row],[age]]&lt;=60,"46-60","60+"))))</f>
        <v>60+</v>
      </c>
      <c r="M581" s="2" t="str">
        <f>IF(Sheet1[[#This Row],[risk_score]]&lt;0.3,"Low",IF(Sheet1[[#This Row],[risk_score]]&lt;0.7,"Medium","High"))</f>
        <v>Medium</v>
      </c>
      <c r="N581">
        <f>YEAR(Sheet1[[#This Row],[date_joined]])</f>
        <v>2022</v>
      </c>
      <c r="O581" s="2" t="str">
        <f>TEXT(Sheet1[[#This Row],[date_joined]],"mmm")</f>
        <v>Jul</v>
      </c>
      <c r="P581" s="2" t="str">
        <f>"Q"&amp;ROUNDUP(MONTH(Sheet1[[#This Row],[date_joined]])/3,0)</f>
        <v>Q3</v>
      </c>
      <c r="Q581" s="2" t="str">
        <f>IF(Sheet1[[#This Row],[age]]&lt;30,"Young",IF(Sheet1[[#This Row],[age]]&lt;=50,"Adult","Senior"))</f>
        <v>Senior</v>
      </c>
      <c r="R581" s="2" t="str">
        <f t="shared" si="18"/>
        <v>Very High</v>
      </c>
      <c r="S581" s="2" t="str">
        <f t="shared" si="19"/>
        <v>South - Student</v>
      </c>
    </row>
    <row r="582" spans="1:19" x14ac:dyDescent="0.3">
      <c r="A582" t="s">
        <v>1187</v>
      </c>
      <c r="B582" t="s">
        <v>1188</v>
      </c>
      <c r="C582">
        <v>45</v>
      </c>
      <c r="D582" s="2" t="s">
        <v>13</v>
      </c>
      <c r="E582" s="2" t="s">
        <v>22</v>
      </c>
      <c r="F582" s="2" t="s">
        <v>15</v>
      </c>
      <c r="G582" s="2" t="s">
        <v>81</v>
      </c>
      <c r="H582" s="2" t="s">
        <v>17</v>
      </c>
      <c r="I582" s="2" t="s">
        <v>17</v>
      </c>
      <c r="J582">
        <v>0.46</v>
      </c>
      <c r="K582" s="1">
        <v>45028</v>
      </c>
      <c r="L582" s="2" t="str">
        <f>IF(Sheet1[[#This Row],[age]]&lt;18, "Under 18",IF(Sheet1[[#This Row],[age]]&lt;=30,"18-30",IF(Sheet1[[#This Row],[age]]&lt;=45,"31-45",IF(Sheet1[[#This Row],[age]]&lt;=60,"46-60","60+"))))</f>
        <v>31-45</v>
      </c>
      <c r="M582" s="2" t="str">
        <f>IF(Sheet1[[#This Row],[risk_score]]&lt;0.3,"Low",IF(Sheet1[[#This Row],[risk_score]]&lt;0.7,"Medium","High"))</f>
        <v>Medium</v>
      </c>
      <c r="N582">
        <f>YEAR(Sheet1[[#This Row],[date_joined]])</f>
        <v>2023</v>
      </c>
      <c r="O582" s="2" t="str">
        <f>TEXT(Sheet1[[#This Row],[date_joined]],"mmm")</f>
        <v>Apr</v>
      </c>
      <c r="P582" s="2" t="str">
        <f>"Q"&amp;ROUNDUP(MONTH(Sheet1[[#This Row],[date_joined]])/3,0)</f>
        <v>Q2</v>
      </c>
      <c r="Q582" s="2" t="str">
        <f>IF(Sheet1[[#This Row],[age]]&lt;30,"Young",IF(Sheet1[[#This Row],[age]]&lt;=50,"Adult","Senior"))</f>
        <v>Adult</v>
      </c>
      <c r="R582" s="2" t="str">
        <f t="shared" si="18"/>
        <v>Low</v>
      </c>
      <c r="S582" s="2" t="str">
        <f t="shared" si="19"/>
        <v>Central - Student</v>
      </c>
    </row>
    <row r="583" spans="1:19" x14ac:dyDescent="0.3">
      <c r="A583" t="s">
        <v>1189</v>
      </c>
      <c r="B583" t="s">
        <v>1190</v>
      </c>
      <c r="C583">
        <v>42</v>
      </c>
      <c r="D583" s="2" t="s">
        <v>13</v>
      </c>
      <c r="E583" s="2" t="s">
        <v>22</v>
      </c>
      <c r="F583" s="2" t="s">
        <v>15</v>
      </c>
      <c r="G583" s="2" t="s">
        <v>32</v>
      </c>
      <c r="H583" s="2" t="s">
        <v>17</v>
      </c>
      <c r="I583" s="2" t="s">
        <v>17</v>
      </c>
      <c r="J583">
        <v>0.43</v>
      </c>
      <c r="K583" s="1">
        <v>44114</v>
      </c>
      <c r="L583" s="2" t="str">
        <f>IF(Sheet1[[#This Row],[age]]&lt;18, "Under 18",IF(Sheet1[[#This Row],[age]]&lt;=30,"18-30",IF(Sheet1[[#This Row],[age]]&lt;=45,"31-45",IF(Sheet1[[#This Row],[age]]&lt;=60,"46-60","60+"))))</f>
        <v>31-45</v>
      </c>
      <c r="M583" s="2" t="str">
        <f>IF(Sheet1[[#This Row],[risk_score]]&lt;0.3,"Low",IF(Sheet1[[#This Row],[risk_score]]&lt;0.7,"Medium","High"))</f>
        <v>Medium</v>
      </c>
      <c r="N583">
        <f>YEAR(Sheet1[[#This Row],[date_joined]])</f>
        <v>2020</v>
      </c>
      <c r="O583" s="2" t="str">
        <f>TEXT(Sheet1[[#This Row],[date_joined]],"mmm")</f>
        <v>Oct</v>
      </c>
      <c r="P583" s="2" t="str">
        <f>"Q"&amp;ROUNDUP(MONTH(Sheet1[[#This Row],[date_joined]])/3,0)</f>
        <v>Q4</v>
      </c>
      <c r="Q583" s="2" t="str">
        <f>IF(Sheet1[[#This Row],[age]]&lt;30,"Young",IF(Sheet1[[#This Row],[age]]&lt;=50,"Adult","Senior"))</f>
        <v>Adult</v>
      </c>
      <c r="R583" s="2" t="str">
        <f t="shared" si="18"/>
        <v>Low</v>
      </c>
      <c r="S583" s="2" t="str">
        <f t="shared" si="19"/>
        <v>South - Student</v>
      </c>
    </row>
    <row r="584" spans="1:19" x14ac:dyDescent="0.3">
      <c r="A584" t="s">
        <v>1191</v>
      </c>
      <c r="B584" t="s">
        <v>1192</v>
      </c>
      <c r="C584">
        <v>54</v>
      </c>
      <c r="D584" s="2" t="s">
        <v>13</v>
      </c>
      <c r="E584" s="2" t="s">
        <v>22</v>
      </c>
      <c r="F584" s="2" t="s">
        <v>15</v>
      </c>
      <c r="G584" s="2" t="s">
        <v>16</v>
      </c>
      <c r="H584" s="2" t="s">
        <v>18</v>
      </c>
      <c r="I584" s="2" t="s">
        <v>18</v>
      </c>
      <c r="J584">
        <v>0.65</v>
      </c>
      <c r="K584" s="1">
        <v>44892</v>
      </c>
      <c r="L584" s="2" t="str">
        <f>IF(Sheet1[[#This Row],[age]]&lt;18, "Under 18",IF(Sheet1[[#This Row],[age]]&lt;=30,"18-30",IF(Sheet1[[#This Row],[age]]&lt;=45,"31-45",IF(Sheet1[[#This Row],[age]]&lt;=60,"46-60","60+"))))</f>
        <v>46-60</v>
      </c>
      <c r="M584" s="2" t="str">
        <f>IF(Sheet1[[#This Row],[risk_score]]&lt;0.3,"Low",IF(Sheet1[[#This Row],[risk_score]]&lt;0.7,"Medium","High"))</f>
        <v>Medium</v>
      </c>
      <c r="N584">
        <f>YEAR(Sheet1[[#This Row],[date_joined]])</f>
        <v>2022</v>
      </c>
      <c r="O584" s="2" t="str">
        <f>TEXT(Sheet1[[#This Row],[date_joined]],"mmm")</f>
        <v>Nov</v>
      </c>
      <c r="P584" s="2" t="str">
        <f>"Q"&amp;ROUNDUP(MONTH(Sheet1[[#This Row],[date_joined]])/3,0)</f>
        <v>Q4</v>
      </c>
      <c r="Q584" s="2" t="str">
        <f>IF(Sheet1[[#This Row],[age]]&lt;30,"Young",IF(Sheet1[[#This Row],[age]]&lt;=50,"Adult","Senior"))</f>
        <v>Senior</v>
      </c>
      <c r="R584" s="2" t="str">
        <f t="shared" si="18"/>
        <v>Very High</v>
      </c>
      <c r="S584" s="2" t="str">
        <f t="shared" si="19"/>
        <v>West - Student</v>
      </c>
    </row>
    <row r="585" spans="1:19" x14ac:dyDescent="0.3">
      <c r="A585" t="s">
        <v>1193</v>
      </c>
      <c r="B585" t="s">
        <v>1194</v>
      </c>
      <c r="C585">
        <v>51</v>
      </c>
      <c r="D585" s="2" t="s">
        <v>21</v>
      </c>
      <c r="E585" s="2" t="s">
        <v>30</v>
      </c>
      <c r="F585" s="2" t="s">
        <v>23</v>
      </c>
      <c r="G585" s="2" t="s">
        <v>27</v>
      </c>
      <c r="H585" s="2" t="s">
        <v>17</v>
      </c>
      <c r="I585" s="2" t="s">
        <v>17</v>
      </c>
      <c r="J585">
        <v>0.95</v>
      </c>
      <c r="K585" s="1">
        <v>44591</v>
      </c>
      <c r="L585" s="2" t="str">
        <f>IF(Sheet1[[#This Row],[age]]&lt;18, "Under 18",IF(Sheet1[[#This Row],[age]]&lt;=30,"18-30",IF(Sheet1[[#This Row],[age]]&lt;=45,"31-45",IF(Sheet1[[#This Row],[age]]&lt;=60,"46-60","60+"))))</f>
        <v>46-60</v>
      </c>
      <c r="M585" s="2" t="str">
        <f>IF(Sheet1[[#This Row],[risk_score]]&lt;0.3,"Low",IF(Sheet1[[#This Row],[risk_score]]&lt;0.7,"Medium","High"))</f>
        <v>High</v>
      </c>
      <c r="N585">
        <f>YEAR(Sheet1[[#This Row],[date_joined]])</f>
        <v>2022</v>
      </c>
      <c r="O585" s="2" t="str">
        <f>TEXT(Sheet1[[#This Row],[date_joined]],"mmm")</f>
        <v>Jan</v>
      </c>
      <c r="P585" s="2" t="str">
        <f>"Q"&amp;ROUNDUP(MONTH(Sheet1[[#This Row],[date_joined]])/3,0)</f>
        <v>Q1</v>
      </c>
      <c r="Q585" s="2" t="str">
        <f>IF(Sheet1[[#This Row],[age]]&lt;30,"Young",IF(Sheet1[[#This Row],[age]]&lt;=50,"Adult","Senior"))</f>
        <v>Senior</v>
      </c>
      <c r="R585" s="2" t="str">
        <f t="shared" si="18"/>
        <v>Low</v>
      </c>
      <c r="S585" s="2" t="str">
        <f t="shared" si="19"/>
        <v>North - Salaried</v>
      </c>
    </row>
    <row r="586" spans="1:19" x14ac:dyDescent="0.3">
      <c r="A586" t="s">
        <v>1195</v>
      </c>
      <c r="B586" t="s">
        <v>1196</v>
      </c>
      <c r="C586">
        <v>59</v>
      </c>
      <c r="D586" s="2" t="s">
        <v>13</v>
      </c>
      <c r="E586" s="2" t="s">
        <v>30</v>
      </c>
      <c r="F586" s="2" t="s">
        <v>31</v>
      </c>
      <c r="G586" s="2" t="s">
        <v>81</v>
      </c>
      <c r="H586" s="2" t="s">
        <v>17</v>
      </c>
      <c r="I586" s="2" t="s">
        <v>18</v>
      </c>
      <c r="J586">
        <v>0.3</v>
      </c>
      <c r="K586" s="1">
        <v>43212</v>
      </c>
      <c r="L586" s="2" t="str">
        <f>IF(Sheet1[[#This Row],[age]]&lt;18, "Under 18",IF(Sheet1[[#This Row],[age]]&lt;=30,"18-30",IF(Sheet1[[#This Row],[age]]&lt;=45,"31-45",IF(Sheet1[[#This Row],[age]]&lt;=60,"46-60","60+"))))</f>
        <v>46-60</v>
      </c>
      <c r="M586" s="2" t="str">
        <f>IF(Sheet1[[#This Row],[risk_score]]&lt;0.3,"Low",IF(Sheet1[[#This Row],[risk_score]]&lt;0.7,"Medium","High"))</f>
        <v>Medium</v>
      </c>
      <c r="N586">
        <f>YEAR(Sheet1[[#This Row],[date_joined]])</f>
        <v>2018</v>
      </c>
      <c r="O586" s="2" t="str">
        <f>TEXT(Sheet1[[#This Row],[date_joined]],"mmm")</f>
        <v>Apr</v>
      </c>
      <c r="P586" s="2" t="str">
        <f>"Q"&amp;ROUNDUP(MONTH(Sheet1[[#This Row],[date_joined]])/3,0)</f>
        <v>Q2</v>
      </c>
      <c r="Q586" s="2" t="str">
        <f>IF(Sheet1[[#This Row],[age]]&lt;30,"Young",IF(Sheet1[[#This Row],[age]]&lt;=50,"Adult","Senior"))</f>
        <v>Senior</v>
      </c>
      <c r="R586" s="2" t="str">
        <f t="shared" si="18"/>
        <v>High</v>
      </c>
      <c r="S586" s="2" t="str">
        <f t="shared" si="19"/>
        <v>Central - Self-employed</v>
      </c>
    </row>
    <row r="587" spans="1:19" x14ac:dyDescent="0.3">
      <c r="A587" t="s">
        <v>1197</v>
      </c>
      <c r="B587" t="s">
        <v>1198</v>
      </c>
      <c r="C587">
        <v>30</v>
      </c>
      <c r="D587" s="2" t="s">
        <v>13</v>
      </c>
      <c r="E587" s="2" t="s">
        <v>14</v>
      </c>
      <c r="F587" s="2" t="s">
        <v>15</v>
      </c>
      <c r="G587" s="2" t="s">
        <v>81</v>
      </c>
      <c r="H587" s="2" t="s">
        <v>18</v>
      </c>
      <c r="I587" s="2" t="s">
        <v>18</v>
      </c>
      <c r="J587">
        <v>0.63</v>
      </c>
      <c r="K587" s="1">
        <v>43705</v>
      </c>
      <c r="L587" s="2" t="str">
        <f>IF(Sheet1[[#This Row],[age]]&lt;18, "Under 18",IF(Sheet1[[#This Row],[age]]&lt;=30,"18-30",IF(Sheet1[[#This Row],[age]]&lt;=45,"31-45",IF(Sheet1[[#This Row],[age]]&lt;=60,"46-60","60+"))))</f>
        <v>18-30</v>
      </c>
      <c r="M587" s="2" t="str">
        <f>IF(Sheet1[[#This Row],[risk_score]]&lt;0.3,"Low",IF(Sheet1[[#This Row],[risk_score]]&lt;0.7,"Medium","High"))</f>
        <v>Medium</v>
      </c>
      <c r="N587">
        <f>YEAR(Sheet1[[#This Row],[date_joined]])</f>
        <v>2019</v>
      </c>
      <c r="O587" s="2" t="str">
        <f>TEXT(Sheet1[[#This Row],[date_joined]],"mmm")</f>
        <v>Aug</v>
      </c>
      <c r="P587" s="2" t="str">
        <f>"Q"&amp;ROUNDUP(MONTH(Sheet1[[#This Row],[date_joined]])/3,0)</f>
        <v>Q3</v>
      </c>
      <c r="Q587" s="2" t="str">
        <f>IF(Sheet1[[#This Row],[age]]&lt;30,"Young",IF(Sheet1[[#This Row],[age]]&lt;=50,"Adult","Senior"))</f>
        <v>Adult</v>
      </c>
      <c r="R587" s="2" t="str">
        <f t="shared" si="18"/>
        <v>Very High</v>
      </c>
      <c r="S587" s="2" t="str">
        <f t="shared" si="19"/>
        <v>Central - Student</v>
      </c>
    </row>
    <row r="588" spans="1:19" x14ac:dyDescent="0.3">
      <c r="A588" t="s">
        <v>1199</v>
      </c>
      <c r="B588" t="s">
        <v>1200</v>
      </c>
      <c r="C588">
        <v>64</v>
      </c>
      <c r="D588" s="2" t="s">
        <v>21</v>
      </c>
      <c r="E588" s="2" t="s">
        <v>30</v>
      </c>
      <c r="F588" s="2" t="s">
        <v>31</v>
      </c>
      <c r="G588" s="2" t="s">
        <v>16</v>
      </c>
      <c r="H588" s="2" t="s">
        <v>18</v>
      </c>
      <c r="I588" s="2" t="s">
        <v>17</v>
      </c>
      <c r="J588">
        <v>0.35</v>
      </c>
      <c r="K588" s="1">
        <v>44287</v>
      </c>
      <c r="L588" s="2" t="str">
        <f>IF(Sheet1[[#This Row],[age]]&lt;18, "Under 18",IF(Sheet1[[#This Row],[age]]&lt;=30,"18-30",IF(Sheet1[[#This Row],[age]]&lt;=45,"31-45",IF(Sheet1[[#This Row],[age]]&lt;=60,"46-60","60+"))))</f>
        <v>60+</v>
      </c>
      <c r="M588" s="2" t="str">
        <f>IF(Sheet1[[#This Row],[risk_score]]&lt;0.3,"Low",IF(Sheet1[[#This Row],[risk_score]]&lt;0.7,"Medium","High"))</f>
        <v>Medium</v>
      </c>
      <c r="N588">
        <f>YEAR(Sheet1[[#This Row],[date_joined]])</f>
        <v>2021</v>
      </c>
      <c r="O588" s="2" t="str">
        <f>TEXT(Sheet1[[#This Row],[date_joined]],"mmm")</f>
        <v>Apr</v>
      </c>
      <c r="P588" s="2" t="str">
        <f>"Q"&amp;ROUNDUP(MONTH(Sheet1[[#This Row],[date_joined]])/3,0)</f>
        <v>Q2</v>
      </c>
      <c r="Q588" s="2" t="str">
        <f>IF(Sheet1[[#This Row],[age]]&lt;30,"Young",IF(Sheet1[[#This Row],[age]]&lt;=50,"Adult","Senior"))</f>
        <v>Senior</v>
      </c>
      <c r="R588" s="2" t="str">
        <f t="shared" si="18"/>
        <v>High</v>
      </c>
      <c r="S588" s="2" t="str">
        <f t="shared" si="19"/>
        <v>West - Self-employed</v>
      </c>
    </row>
    <row r="589" spans="1:19" x14ac:dyDescent="0.3">
      <c r="A589" t="s">
        <v>1201</v>
      </c>
      <c r="B589" t="s">
        <v>1202</v>
      </c>
      <c r="C589">
        <v>24</v>
      </c>
      <c r="D589" s="2" t="s">
        <v>13</v>
      </c>
      <c r="E589" s="2" t="s">
        <v>22</v>
      </c>
      <c r="F589" s="2" t="s">
        <v>15</v>
      </c>
      <c r="G589" s="2" t="s">
        <v>32</v>
      </c>
      <c r="H589" s="2" t="s">
        <v>17</v>
      </c>
      <c r="I589" s="2" t="s">
        <v>17</v>
      </c>
      <c r="J589">
        <v>0.37</v>
      </c>
      <c r="K589" s="1">
        <v>43471</v>
      </c>
      <c r="L589" s="2" t="str">
        <f>IF(Sheet1[[#This Row],[age]]&lt;18, "Under 18",IF(Sheet1[[#This Row],[age]]&lt;=30,"18-30",IF(Sheet1[[#This Row],[age]]&lt;=45,"31-45",IF(Sheet1[[#This Row],[age]]&lt;=60,"46-60","60+"))))</f>
        <v>18-30</v>
      </c>
      <c r="M589" s="2" t="str">
        <f>IF(Sheet1[[#This Row],[risk_score]]&lt;0.3,"Low",IF(Sheet1[[#This Row],[risk_score]]&lt;0.7,"Medium","High"))</f>
        <v>Medium</v>
      </c>
      <c r="N589">
        <f>YEAR(Sheet1[[#This Row],[date_joined]])</f>
        <v>2019</v>
      </c>
      <c r="O589" s="2" t="str">
        <f>TEXT(Sheet1[[#This Row],[date_joined]],"mmm")</f>
        <v>Jan</v>
      </c>
      <c r="P589" s="2" t="str">
        <f>"Q"&amp;ROUNDUP(MONTH(Sheet1[[#This Row],[date_joined]])/3,0)</f>
        <v>Q1</v>
      </c>
      <c r="Q589" s="2" t="str">
        <f>IF(Sheet1[[#This Row],[age]]&lt;30,"Young",IF(Sheet1[[#This Row],[age]]&lt;=50,"Adult","Senior"))</f>
        <v>Young</v>
      </c>
      <c r="R589" s="2" t="str">
        <f t="shared" si="18"/>
        <v>Low</v>
      </c>
      <c r="S589" s="2" t="str">
        <f t="shared" si="19"/>
        <v>South - Student</v>
      </c>
    </row>
    <row r="590" spans="1:19" x14ac:dyDescent="0.3">
      <c r="A590" t="s">
        <v>1203</v>
      </c>
      <c r="B590" t="s">
        <v>1204</v>
      </c>
      <c r="C590">
        <v>55</v>
      </c>
      <c r="D590" s="2" t="s">
        <v>21</v>
      </c>
      <c r="E590" s="2" t="s">
        <v>22</v>
      </c>
      <c r="F590" s="2" t="s">
        <v>37</v>
      </c>
      <c r="G590" s="2" t="s">
        <v>32</v>
      </c>
      <c r="H590" s="2" t="s">
        <v>18</v>
      </c>
      <c r="I590" s="2" t="s">
        <v>17</v>
      </c>
      <c r="J590">
        <v>0.09</v>
      </c>
      <c r="K590" s="1">
        <v>43902</v>
      </c>
      <c r="L590" s="2" t="str">
        <f>IF(Sheet1[[#This Row],[age]]&lt;18, "Under 18",IF(Sheet1[[#This Row],[age]]&lt;=30,"18-30",IF(Sheet1[[#This Row],[age]]&lt;=45,"31-45",IF(Sheet1[[#This Row],[age]]&lt;=60,"46-60","60+"))))</f>
        <v>46-60</v>
      </c>
      <c r="M590" s="2" t="str">
        <f>IF(Sheet1[[#This Row],[risk_score]]&lt;0.3,"Low",IF(Sheet1[[#This Row],[risk_score]]&lt;0.7,"Medium","High"))</f>
        <v>Low</v>
      </c>
      <c r="N590">
        <f>YEAR(Sheet1[[#This Row],[date_joined]])</f>
        <v>2020</v>
      </c>
      <c r="O590" s="2" t="str">
        <f>TEXT(Sheet1[[#This Row],[date_joined]],"mmm")</f>
        <v>Mar</v>
      </c>
      <c r="P590" s="2" t="str">
        <f>"Q"&amp;ROUNDUP(MONTH(Sheet1[[#This Row],[date_joined]])/3,0)</f>
        <v>Q1</v>
      </c>
      <c r="Q590" s="2" t="str">
        <f>IF(Sheet1[[#This Row],[age]]&lt;30,"Young",IF(Sheet1[[#This Row],[age]]&lt;=50,"Adult","Senior"))</f>
        <v>Senior</v>
      </c>
      <c r="R590" s="2" t="str">
        <f t="shared" si="18"/>
        <v>High</v>
      </c>
      <c r="S590" s="2" t="str">
        <f t="shared" si="19"/>
        <v>South - Retired</v>
      </c>
    </row>
    <row r="591" spans="1:19" x14ac:dyDescent="0.3">
      <c r="A591" t="s">
        <v>1205</v>
      </c>
      <c r="B591" t="s">
        <v>1206</v>
      </c>
      <c r="C591">
        <v>51</v>
      </c>
      <c r="D591" s="2" t="s">
        <v>21</v>
      </c>
      <c r="E591" s="2" t="s">
        <v>30</v>
      </c>
      <c r="F591" s="2" t="s">
        <v>15</v>
      </c>
      <c r="G591" s="2" t="s">
        <v>32</v>
      </c>
      <c r="H591" s="2" t="s">
        <v>17</v>
      </c>
      <c r="I591" s="2" t="s">
        <v>18</v>
      </c>
      <c r="J591">
        <v>0.64</v>
      </c>
      <c r="K591" s="1">
        <v>44620</v>
      </c>
      <c r="L591" s="2" t="str">
        <f>IF(Sheet1[[#This Row],[age]]&lt;18, "Under 18",IF(Sheet1[[#This Row],[age]]&lt;=30,"18-30",IF(Sheet1[[#This Row],[age]]&lt;=45,"31-45",IF(Sheet1[[#This Row],[age]]&lt;=60,"46-60","60+"))))</f>
        <v>46-60</v>
      </c>
      <c r="M591" s="2" t="str">
        <f>IF(Sheet1[[#This Row],[risk_score]]&lt;0.3,"Low",IF(Sheet1[[#This Row],[risk_score]]&lt;0.7,"Medium","High"))</f>
        <v>Medium</v>
      </c>
      <c r="N591">
        <f>YEAR(Sheet1[[#This Row],[date_joined]])</f>
        <v>2022</v>
      </c>
      <c r="O591" s="2" t="str">
        <f>TEXT(Sheet1[[#This Row],[date_joined]],"mmm")</f>
        <v>Feb</v>
      </c>
      <c r="P591" s="2" t="str">
        <f>"Q"&amp;ROUNDUP(MONTH(Sheet1[[#This Row],[date_joined]])/3,0)</f>
        <v>Q1</v>
      </c>
      <c r="Q591" s="2" t="str">
        <f>IF(Sheet1[[#This Row],[age]]&lt;30,"Young",IF(Sheet1[[#This Row],[age]]&lt;=50,"Adult","Senior"))</f>
        <v>Senior</v>
      </c>
      <c r="R591" s="2" t="str">
        <f t="shared" si="18"/>
        <v>High</v>
      </c>
      <c r="S591" s="2" t="str">
        <f t="shared" si="19"/>
        <v>South - Student</v>
      </c>
    </row>
    <row r="592" spans="1:19" x14ac:dyDescent="0.3">
      <c r="A592" t="s">
        <v>1207</v>
      </c>
      <c r="B592" t="s">
        <v>1208</v>
      </c>
      <c r="C592">
        <v>39</v>
      </c>
      <c r="D592" s="2" t="s">
        <v>13</v>
      </c>
      <c r="E592" s="2" t="s">
        <v>30</v>
      </c>
      <c r="F592" s="2" t="s">
        <v>23</v>
      </c>
      <c r="G592" s="2" t="s">
        <v>24</v>
      </c>
      <c r="H592" s="2" t="s">
        <v>18</v>
      </c>
      <c r="I592" s="2" t="s">
        <v>18</v>
      </c>
      <c r="J592">
        <v>0</v>
      </c>
      <c r="K592" s="1">
        <v>43287</v>
      </c>
      <c r="L592" s="2" t="str">
        <f>IF(Sheet1[[#This Row],[age]]&lt;18, "Under 18",IF(Sheet1[[#This Row],[age]]&lt;=30,"18-30",IF(Sheet1[[#This Row],[age]]&lt;=45,"31-45",IF(Sheet1[[#This Row],[age]]&lt;=60,"46-60","60+"))))</f>
        <v>31-45</v>
      </c>
      <c r="M592" s="2" t="str">
        <f>IF(Sheet1[[#This Row],[risk_score]]&lt;0.3,"Low",IF(Sheet1[[#This Row],[risk_score]]&lt;0.7,"Medium","High"))</f>
        <v>Low</v>
      </c>
      <c r="N592">
        <f>YEAR(Sheet1[[#This Row],[date_joined]])</f>
        <v>2018</v>
      </c>
      <c r="O592" s="2" t="str">
        <f>TEXT(Sheet1[[#This Row],[date_joined]],"mmm")</f>
        <v>Jul</v>
      </c>
      <c r="P592" s="2" t="str">
        <f>"Q"&amp;ROUNDUP(MONTH(Sheet1[[#This Row],[date_joined]])/3,0)</f>
        <v>Q3</v>
      </c>
      <c r="Q592" s="2" t="str">
        <f>IF(Sheet1[[#This Row],[age]]&lt;30,"Young",IF(Sheet1[[#This Row],[age]]&lt;=50,"Adult","Senior"))</f>
        <v>Adult</v>
      </c>
      <c r="R592" s="2" t="str">
        <f t="shared" si="18"/>
        <v>Very High</v>
      </c>
      <c r="S592" s="2" t="str">
        <f t="shared" si="19"/>
        <v>East - Salaried</v>
      </c>
    </row>
    <row r="593" spans="1:19" x14ac:dyDescent="0.3">
      <c r="A593" t="s">
        <v>1209</v>
      </c>
      <c r="B593" t="s">
        <v>1210</v>
      </c>
      <c r="C593">
        <v>50</v>
      </c>
      <c r="D593" s="2" t="s">
        <v>21</v>
      </c>
      <c r="E593" s="2" t="s">
        <v>22</v>
      </c>
      <c r="F593" s="2" t="s">
        <v>15</v>
      </c>
      <c r="G593" s="2" t="s">
        <v>16</v>
      </c>
      <c r="H593" s="2" t="s">
        <v>18</v>
      </c>
      <c r="I593" s="2" t="s">
        <v>18</v>
      </c>
      <c r="J593">
        <v>0.17</v>
      </c>
      <c r="K593" s="1">
        <v>43627</v>
      </c>
      <c r="L593" s="2" t="str">
        <f>IF(Sheet1[[#This Row],[age]]&lt;18, "Under 18",IF(Sheet1[[#This Row],[age]]&lt;=30,"18-30",IF(Sheet1[[#This Row],[age]]&lt;=45,"31-45",IF(Sheet1[[#This Row],[age]]&lt;=60,"46-60","60+"))))</f>
        <v>46-60</v>
      </c>
      <c r="M593" s="2" t="str">
        <f>IF(Sheet1[[#This Row],[risk_score]]&lt;0.3,"Low",IF(Sheet1[[#This Row],[risk_score]]&lt;0.7,"Medium","High"))</f>
        <v>Low</v>
      </c>
      <c r="N593">
        <f>YEAR(Sheet1[[#This Row],[date_joined]])</f>
        <v>2019</v>
      </c>
      <c r="O593" s="2" t="str">
        <f>TEXT(Sheet1[[#This Row],[date_joined]],"mmm")</f>
        <v>Jun</v>
      </c>
      <c r="P593" s="2" t="str">
        <f>"Q"&amp;ROUNDUP(MONTH(Sheet1[[#This Row],[date_joined]])/3,0)</f>
        <v>Q2</v>
      </c>
      <c r="Q593" s="2" t="str">
        <f>IF(Sheet1[[#This Row],[age]]&lt;30,"Young",IF(Sheet1[[#This Row],[age]]&lt;=50,"Adult","Senior"))</f>
        <v>Adult</v>
      </c>
      <c r="R593" s="2" t="str">
        <f t="shared" si="18"/>
        <v>Very High</v>
      </c>
      <c r="S593" s="2" t="str">
        <f t="shared" si="19"/>
        <v>West - Student</v>
      </c>
    </row>
    <row r="594" spans="1:19" x14ac:dyDescent="0.3">
      <c r="A594" t="s">
        <v>1211</v>
      </c>
      <c r="B594" t="s">
        <v>1212</v>
      </c>
      <c r="C594">
        <v>59</v>
      </c>
      <c r="D594" s="2" t="s">
        <v>13</v>
      </c>
      <c r="E594" s="2" t="s">
        <v>30</v>
      </c>
      <c r="F594" s="2" t="s">
        <v>15</v>
      </c>
      <c r="G594" s="2" t="s">
        <v>81</v>
      </c>
      <c r="H594" s="2" t="s">
        <v>18</v>
      </c>
      <c r="I594" s="2" t="s">
        <v>17</v>
      </c>
      <c r="J594">
        <v>0.54</v>
      </c>
      <c r="K594" s="1">
        <v>43216</v>
      </c>
      <c r="L594" s="2" t="str">
        <f>IF(Sheet1[[#This Row],[age]]&lt;18, "Under 18",IF(Sheet1[[#This Row],[age]]&lt;=30,"18-30",IF(Sheet1[[#This Row],[age]]&lt;=45,"31-45",IF(Sheet1[[#This Row],[age]]&lt;=60,"46-60","60+"))))</f>
        <v>46-60</v>
      </c>
      <c r="M594" s="2" t="str">
        <f>IF(Sheet1[[#This Row],[risk_score]]&lt;0.3,"Low",IF(Sheet1[[#This Row],[risk_score]]&lt;0.7,"Medium","High"))</f>
        <v>Medium</v>
      </c>
      <c r="N594">
        <f>YEAR(Sheet1[[#This Row],[date_joined]])</f>
        <v>2018</v>
      </c>
      <c r="O594" s="2" t="str">
        <f>TEXT(Sheet1[[#This Row],[date_joined]],"mmm")</f>
        <v>Apr</v>
      </c>
      <c r="P594" s="2" t="str">
        <f>"Q"&amp;ROUNDUP(MONTH(Sheet1[[#This Row],[date_joined]])/3,0)</f>
        <v>Q2</v>
      </c>
      <c r="Q594" s="2" t="str">
        <f>IF(Sheet1[[#This Row],[age]]&lt;30,"Young",IF(Sheet1[[#This Row],[age]]&lt;=50,"Adult","Senior"))</f>
        <v>Senior</v>
      </c>
      <c r="R594" s="2" t="str">
        <f t="shared" si="18"/>
        <v>High</v>
      </c>
      <c r="S594" s="2" t="str">
        <f t="shared" si="19"/>
        <v>Central - Student</v>
      </c>
    </row>
    <row r="595" spans="1:19" x14ac:dyDescent="0.3">
      <c r="A595" t="s">
        <v>1213</v>
      </c>
      <c r="B595" t="s">
        <v>1214</v>
      </c>
      <c r="C595">
        <v>66</v>
      </c>
      <c r="D595" s="2" t="s">
        <v>13</v>
      </c>
      <c r="E595" s="2" t="s">
        <v>30</v>
      </c>
      <c r="F595" s="2" t="s">
        <v>37</v>
      </c>
      <c r="G595" s="2" t="s">
        <v>32</v>
      </c>
      <c r="H595" s="2" t="s">
        <v>17</v>
      </c>
      <c r="I595" s="2" t="s">
        <v>18</v>
      </c>
      <c r="J595">
        <v>0.33</v>
      </c>
      <c r="K595" s="1">
        <v>43558</v>
      </c>
      <c r="L595" s="2" t="str">
        <f>IF(Sheet1[[#This Row],[age]]&lt;18, "Under 18",IF(Sheet1[[#This Row],[age]]&lt;=30,"18-30",IF(Sheet1[[#This Row],[age]]&lt;=45,"31-45",IF(Sheet1[[#This Row],[age]]&lt;=60,"46-60","60+"))))</f>
        <v>60+</v>
      </c>
      <c r="M595" s="2" t="str">
        <f>IF(Sheet1[[#This Row],[risk_score]]&lt;0.3,"Low",IF(Sheet1[[#This Row],[risk_score]]&lt;0.7,"Medium","High"))</f>
        <v>Medium</v>
      </c>
      <c r="N595">
        <f>YEAR(Sheet1[[#This Row],[date_joined]])</f>
        <v>2019</v>
      </c>
      <c r="O595" s="2" t="str">
        <f>TEXT(Sheet1[[#This Row],[date_joined]],"mmm")</f>
        <v>Apr</v>
      </c>
      <c r="P595" s="2" t="str">
        <f>"Q"&amp;ROUNDUP(MONTH(Sheet1[[#This Row],[date_joined]])/3,0)</f>
        <v>Q2</v>
      </c>
      <c r="Q595" s="2" t="str">
        <f>IF(Sheet1[[#This Row],[age]]&lt;30,"Young",IF(Sheet1[[#This Row],[age]]&lt;=50,"Adult","Senior"))</f>
        <v>Senior</v>
      </c>
      <c r="R595" s="2" t="str">
        <f t="shared" si="18"/>
        <v>High</v>
      </c>
      <c r="S595" s="2" t="str">
        <f t="shared" si="19"/>
        <v>South - Retired</v>
      </c>
    </row>
    <row r="596" spans="1:19" x14ac:dyDescent="0.3">
      <c r="A596" t="s">
        <v>1215</v>
      </c>
      <c r="B596" t="s">
        <v>1216</v>
      </c>
      <c r="C596">
        <v>35</v>
      </c>
      <c r="D596" s="2" t="s">
        <v>13</v>
      </c>
      <c r="E596" s="2" t="s">
        <v>30</v>
      </c>
      <c r="F596" s="2" t="s">
        <v>31</v>
      </c>
      <c r="G596" s="2" t="s">
        <v>27</v>
      </c>
      <c r="H596" s="2" t="s">
        <v>17</v>
      </c>
      <c r="I596" s="2" t="s">
        <v>18</v>
      </c>
      <c r="J596">
        <v>0.2</v>
      </c>
      <c r="K596" s="1">
        <v>43245</v>
      </c>
      <c r="L596" s="2" t="str">
        <f>IF(Sheet1[[#This Row],[age]]&lt;18, "Under 18",IF(Sheet1[[#This Row],[age]]&lt;=30,"18-30",IF(Sheet1[[#This Row],[age]]&lt;=45,"31-45",IF(Sheet1[[#This Row],[age]]&lt;=60,"46-60","60+"))))</f>
        <v>31-45</v>
      </c>
      <c r="M596" s="2" t="str">
        <f>IF(Sheet1[[#This Row],[risk_score]]&lt;0.3,"Low",IF(Sheet1[[#This Row],[risk_score]]&lt;0.7,"Medium","High"))</f>
        <v>Low</v>
      </c>
      <c r="N596">
        <f>YEAR(Sheet1[[#This Row],[date_joined]])</f>
        <v>2018</v>
      </c>
      <c r="O596" s="2" t="str">
        <f>TEXT(Sheet1[[#This Row],[date_joined]],"mmm")</f>
        <v>May</v>
      </c>
      <c r="P596" s="2" t="str">
        <f>"Q"&amp;ROUNDUP(MONTH(Sheet1[[#This Row],[date_joined]])/3,0)</f>
        <v>Q2</v>
      </c>
      <c r="Q596" s="2" t="str">
        <f>IF(Sheet1[[#This Row],[age]]&lt;30,"Young",IF(Sheet1[[#This Row],[age]]&lt;=50,"Adult","Senior"))</f>
        <v>Adult</v>
      </c>
      <c r="R596" s="2" t="str">
        <f t="shared" si="18"/>
        <v>High</v>
      </c>
      <c r="S596" s="2" t="str">
        <f t="shared" si="19"/>
        <v>North - Self-employed</v>
      </c>
    </row>
    <row r="597" spans="1:19" x14ac:dyDescent="0.3">
      <c r="A597" t="s">
        <v>1217</v>
      </c>
      <c r="B597" t="s">
        <v>1218</v>
      </c>
      <c r="C597">
        <v>66</v>
      </c>
      <c r="D597" s="2" t="s">
        <v>21</v>
      </c>
      <c r="E597" s="2" t="s">
        <v>22</v>
      </c>
      <c r="F597" s="2" t="s">
        <v>31</v>
      </c>
      <c r="G597" s="2" t="s">
        <v>27</v>
      </c>
      <c r="H597" s="2" t="s">
        <v>17</v>
      </c>
      <c r="I597" s="2" t="s">
        <v>17</v>
      </c>
      <c r="J597">
        <v>0.47</v>
      </c>
      <c r="K597" s="1">
        <v>45156</v>
      </c>
      <c r="L597" s="2" t="str">
        <f>IF(Sheet1[[#This Row],[age]]&lt;18, "Under 18",IF(Sheet1[[#This Row],[age]]&lt;=30,"18-30",IF(Sheet1[[#This Row],[age]]&lt;=45,"31-45",IF(Sheet1[[#This Row],[age]]&lt;=60,"46-60","60+"))))</f>
        <v>60+</v>
      </c>
      <c r="M597" s="2" t="str">
        <f>IF(Sheet1[[#This Row],[risk_score]]&lt;0.3,"Low",IF(Sheet1[[#This Row],[risk_score]]&lt;0.7,"Medium","High"))</f>
        <v>Medium</v>
      </c>
      <c r="N597">
        <f>YEAR(Sheet1[[#This Row],[date_joined]])</f>
        <v>2023</v>
      </c>
      <c r="O597" s="2" t="str">
        <f>TEXT(Sheet1[[#This Row],[date_joined]],"mmm")</f>
        <v>Aug</v>
      </c>
      <c r="P597" s="2" t="str">
        <f>"Q"&amp;ROUNDUP(MONTH(Sheet1[[#This Row],[date_joined]])/3,0)</f>
        <v>Q3</v>
      </c>
      <c r="Q597" s="2" t="str">
        <f>IF(Sheet1[[#This Row],[age]]&lt;30,"Young",IF(Sheet1[[#This Row],[age]]&lt;=50,"Adult","Senior"))</f>
        <v>Senior</v>
      </c>
      <c r="R597" s="2" t="str">
        <f t="shared" si="18"/>
        <v>Low</v>
      </c>
      <c r="S597" s="2" t="str">
        <f t="shared" si="19"/>
        <v>North - Self-employed</v>
      </c>
    </row>
    <row r="598" spans="1:19" x14ac:dyDescent="0.3">
      <c r="A598" t="s">
        <v>1219</v>
      </c>
      <c r="B598" t="s">
        <v>1220</v>
      </c>
      <c r="C598">
        <v>52</v>
      </c>
      <c r="D598" s="2" t="s">
        <v>13</v>
      </c>
      <c r="E598" s="2" t="s">
        <v>30</v>
      </c>
      <c r="F598" s="2" t="s">
        <v>23</v>
      </c>
      <c r="G598" s="2" t="s">
        <v>16</v>
      </c>
      <c r="H598" s="2" t="s">
        <v>17</v>
      </c>
      <c r="I598" s="2" t="s">
        <v>18</v>
      </c>
      <c r="J598">
        <v>0.4</v>
      </c>
      <c r="K598" s="1">
        <v>43915</v>
      </c>
      <c r="L598" s="2" t="str">
        <f>IF(Sheet1[[#This Row],[age]]&lt;18, "Under 18",IF(Sheet1[[#This Row],[age]]&lt;=30,"18-30",IF(Sheet1[[#This Row],[age]]&lt;=45,"31-45",IF(Sheet1[[#This Row],[age]]&lt;=60,"46-60","60+"))))</f>
        <v>46-60</v>
      </c>
      <c r="M598" s="2" t="str">
        <f>IF(Sheet1[[#This Row],[risk_score]]&lt;0.3,"Low",IF(Sheet1[[#This Row],[risk_score]]&lt;0.7,"Medium","High"))</f>
        <v>Medium</v>
      </c>
      <c r="N598">
        <f>YEAR(Sheet1[[#This Row],[date_joined]])</f>
        <v>2020</v>
      </c>
      <c r="O598" s="2" t="str">
        <f>TEXT(Sheet1[[#This Row],[date_joined]],"mmm")</f>
        <v>Mar</v>
      </c>
      <c r="P598" s="2" t="str">
        <f>"Q"&amp;ROUNDUP(MONTH(Sheet1[[#This Row],[date_joined]])/3,0)</f>
        <v>Q1</v>
      </c>
      <c r="Q598" s="2" t="str">
        <f>IF(Sheet1[[#This Row],[age]]&lt;30,"Young",IF(Sheet1[[#This Row],[age]]&lt;=50,"Adult","Senior"))</f>
        <v>Senior</v>
      </c>
      <c r="R598" s="2" t="str">
        <f t="shared" si="18"/>
        <v>High</v>
      </c>
      <c r="S598" s="2" t="str">
        <f t="shared" si="19"/>
        <v>West - Salaried</v>
      </c>
    </row>
    <row r="599" spans="1:19" x14ac:dyDescent="0.3">
      <c r="A599" t="s">
        <v>1221</v>
      </c>
      <c r="B599" t="s">
        <v>1222</v>
      </c>
      <c r="C599">
        <v>54</v>
      </c>
      <c r="D599" s="2" t="s">
        <v>21</v>
      </c>
      <c r="E599" s="2" t="s">
        <v>30</v>
      </c>
      <c r="F599" s="2" t="s">
        <v>37</v>
      </c>
      <c r="G599" s="2" t="s">
        <v>66</v>
      </c>
      <c r="H599" s="2" t="s">
        <v>17</v>
      </c>
      <c r="I599" s="2" t="s">
        <v>18</v>
      </c>
      <c r="J599">
        <v>0.46</v>
      </c>
      <c r="K599" s="1">
        <v>44735</v>
      </c>
      <c r="L599" s="2" t="str">
        <f>IF(Sheet1[[#This Row],[age]]&lt;18, "Under 18",IF(Sheet1[[#This Row],[age]]&lt;=30,"18-30",IF(Sheet1[[#This Row],[age]]&lt;=45,"31-45",IF(Sheet1[[#This Row],[age]]&lt;=60,"46-60","60+"))))</f>
        <v>46-60</v>
      </c>
      <c r="M599" s="2" t="str">
        <f>IF(Sheet1[[#This Row],[risk_score]]&lt;0.3,"Low",IF(Sheet1[[#This Row],[risk_score]]&lt;0.7,"Medium","High"))</f>
        <v>Medium</v>
      </c>
      <c r="N599">
        <f>YEAR(Sheet1[[#This Row],[date_joined]])</f>
        <v>2022</v>
      </c>
      <c r="O599" s="2" t="str">
        <f>TEXT(Sheet1[[#This Row],[date_joined]],"mmm")</f>
        <v>Jun</v>
      </c>
      <c r="P599" s="2" t="str">
        <f>"Q"&amp;ROUNDUP(MONTH(Sheet1[[#This Row],[date_joined]])/3,0)</f>
        <v>Q2</v>
      </c>
      <c r="Q599" s="2" t="str">
        <f>IF(Sheet1[[#This Row],[age]]&lt;30,"Young",IF(Sheet1[[#This Row],[age]]&lt;=50,"Adult","Senior"))</f>
        <v>Senior</v>
      </c>
      <c r="R599" s="2" t="str">
        <f t="shared" si="18"/>
        <v>High</v>
      </c>
      <c r="S599" s="2" t="str">
        <f t="shared" si="19"/>
        <v>North-East - Retired</v>
      </c>
    </row>
    <row r="600" spans="1:19" x14ac:dyDescent="0.3">
      <c r="A600" t="s">
        <v>1223</v>
      </c>
      <c r="B600" t="s">
        <v>1224</v>
      </c>
      <c r="C600">
        <v>69</v>
      </c>
      <c r="D600" s="2" t="s">
        <v>21</v>
      </c>
      <c r="E600" s="2" t="s">
        <v>30</v>
      </c>
      <c r="F600" s="2" t="s">
        <v>37</v>
      </c>
      <c r="G600" s="2" t="s">
        <v>24</v>
      </c>
      <c r="H600" s="2" t="s">
        <v>17</v>
      </c>
      <c r="I600" s="2" t="s">
        <v>17</v>
      </c>
      <c r="J600">
        <v>0.4</v>
      </c>
      <c r="K600" s="1">
        <v>44098</v>
      </c>
      <c r="L600" s="2" t="str">
        <f>IF(Sheet1[[#This Row],[age]]&lt;18, "Under 18",IF(Sheet1[[#This Row],[age]]&lt;=30,"18-30",IF(Sheet1[[#This Row],[age]]&lt;=45,"31-45",IF(Sheet1[[#This Row],[age]]&lt;=60,"46-60","60+"))))</f>
        <v>60+</v>
      </c>
      <c r="M600" s="2" t="str">
        <f>IF(Sheet1[[#This Row],[risk_score]]&lt;0.3,"Low",IF(Sheet1[[#This Row],[risk_score]]&lt;0.7,"Medium","High"))</f>
        <v>Medium</v>
      </c>
      <c r="N600">
        <f>YEAR(Sheet1[[#This Row],[date_joined]])</f>
        <v>2020</v>
      </c>
      <c r="O600" s="2" t="str">
        <f>TEXT(Sheet1[[#This Row],[date_joined]],"mmm")</f>
        <v>Sep</v>
      </c>
      <c r="P600" s="2" t="str">
        <f>"Q"&amp;ROUNDUP(MONTH(Sheet1[[#This Row],[date_joined]])/3,0)</f>
        <v>Q3</v>
      </c>
      <c r="Q600" s="2" t="str">
        <f>IF(Sheet1[[#This Row],[age]]&lt;30,"Young",IF(Sheet1[[#This Row],[age]]&lt;=50,"Adult","Senior"))</f>
        <v>Senior</v>
      </c>
      <c r="R600" s="2" t="str">
        <f t="shared" si="18"/>
        <v>Low</v>
      </c>
      <c r="S600" s="2" t="str">
        <f t="shared" si="19"/>
        <v>East - Retired</v>
      </c>
    </row>
    <row r="601" spans="1:19" x14ac:dyDescent="0.3">
      <c r="A601" t="s">
        <v>1225</v>
      </c>
      <c r="B601" t="s">
        <v>1226</v>
      </c>
      <c r="C601">
        <v>48</v>
      </c>
      <c r="D601" s="2" t="s">
        <v>21</v>
      </c>
      <c r="E601" s="2" t="s">
        <v>30</v>
      </c>
      <c r="F601" s="2" t="s">
        <v>23</v>
      </c>
      <c r="G601" s="2" t="s">
        <v>27</v>
      </c>
      <c r="H601" s="2" t="s">
        <v>17</v>
      </c>
      <c r="I601" s="2" t="s">
        <v>17</v>
      </c>
      <c r="J601">
        <v>0.62</v>
      </c>
      <c r="K601" s="1">
        <v>45072</v>
      </c>
      <c r="L601" s="2" t="str">
        <f>IF(Sheet1[[#This Row],[age]]&lt;18, "Under 18",IF(Sheet1[[#This Row],[age]]&lt;=30,"18-30",IF(Sheet1[[#This Row],[age]]&lt;=45,"31-45",IF(Sheet1[[#This Row],[age]]&lt;=60,"46-60","60+"))))</f>
        <v>46-60</v>
      </c>
      <c r="M601" s="2" t="str">
        <f>IF(Sheet1[[#This Row],[risk_score]]&lt;0.3,"Low",IF(Sheet1[[#This Row],[risk_score]]&lt;0.7,"Medium","High"))</f>
        <v>Medium</v>
      </c>
      <c r="N601">
        <f>YEAR(Sheet1[[#This Row],[date_joined]])</f>
        <v>2023</v>
      </c>
      <c r="O601" s="2" t="str">
        <f>TEXT(Sheet1[[#This Row],[date_joined]],"mmm")</f>
        <v>May</v>
      </c>
      <c r="P601" s="2" t="str">
        <f>"Q"&amp;ROUNDUP(MONTH(Sheet1[[#This Row],[date_joined]])/3,0)</f>
        <v>Q2</v>
      </c>
      <c r="Q601" s="2" t="str">
        <f>IF(Sheet1[[#This Row],[age]]&lt;30,"Young",IF(Sheet1[[#This Row],[age]]&lt;=50,"Adult","Senior"))</f>
        <v>Adult</v>
      </c>
      <c r="R601" s="2" t="str">
        <f t="shared" si="18"/>
        <v>Low</v>
      </c>
      <c r="S601" s="2" t="str">
        <f t="shared" si="19"/>
        <v>North - Salaried</v>
      </c>
    </row>
    <row r="602" spans="1:19" x14ac:dyDescent="0.3">
      <c r="A602" t="s">
        <v>1227</v>
      </c>
      <c r="B602" t="s">
        <v>1228</v>
      </c>
      <c r="C602">
        <v>23</v>
      </c>
      <c r="D602" s="2" t="s">
        <v>13</v>
      </c>
      <c r="E602" s="2" t="s">
        <v>30</v>
      </c>
      <c r="F602" s="2" t="s">
        <v>23</v>
      </c>
      <c r="G602" s="2" t="s">
        <v>24</v>
      </c>
      <c r="H602" s="2" t="s">
        <v>18</v>
      </c>
      <c r="I602" s="2" t="s">
        <v>18</v>
      </c>
      <c r="J602">
        <v>0.5</v>
      </c>
      <c r="K602" s="1">
        <v>44445</v>
      </c>
      <c r="L602" s="2" t="str">
        <f>IF(Sheet1[[#This Row],[age]]&lt;18, "Under 18",IF(Sheet1[[#This Row],[age]]&lt;=30,"18-30",IF(Sheet1[[#This Row],[age]]&lt;=45,"31-45",IF(Sheet1[[#This Row],[age]]&lt;=60,"46-60","60+"))))</f>
        <v>18-30</v>
      </c>
      <c r="M602" s="2" t="str">
        <f>IF(Sheet1[[#This Row],[risk_score]]&lt;0.3,"Low",IF(Sheet1[[#This Row],[risk_score]]&lt;0.7,"Medium","High"))</f>
        <v>Medium</v>
      </c>
      <c r="N602">
        <f>YEAR(Sheet1[[#This Row],[date_joined]])</f>
        <v>2021</v>
      </c>
      <c r="O602" s="2" t="str">
        <f>TEXT(Sheet1[[#This Row],[date_joined]],"mmm")</f>
        <v>Sep</v>
      </c>
      <c r="P602" s="2" t="str">
        <f>"Q"&amp;ROUNDUP(MONTH(Sheet1[[#This Row],[date_joined]])/3,0)</f>
        <v>Q3</v>
      </c>
      <c r="Q602" s="2" t="str">
        <f>IF(Sheet1[[#This Row],[age]]&lt;30,"Young",IF(Sheet1[[#This Row],[age]]&lt;=50,"Adult","Senior"))</f>
        <v>Young</v>
      </c>
      <c r="R602" s="2" t="str">
        <f t="shared" si="18"/>
        <v>Very High</v>
      </c>
      <c r="S602" s="2" t="str">
        <f t="shared" si="19"/>
        <v>East - Salaried</v>
      </c>
    </row>
    <row r="603" spans="1:19" x14ac:dyDescent="0.3">
      <c r="A603" t="s">
        <v>1229</v>
      </c>
      <c r="B603" t="s">
        <v>1230</v>
      </c>
      <c r="C603">
        <v>69</v>
      </c>
      <c r="D603" s="2" t="s">
        <v>13</v>
      </c>
      <c r="E603" s="2" t="s">
        <v>14</v>
      </c>
      <c r="F603" s="2" t="s">
        <v>37</v>
      </c>
      <c r="G603" s="2" t="s">
        <v>24</v>
      </c>
      <c r="H603" s="2" t="s">
        <v>17</v>
      </c>
      <c r="I603" s="2" t="s">
        <v>18</v>
      </c>
      <c r="J603">
        <v>0.33</v>
      </c>
      <c r="K603" s="1">
        <v>43966</v>
      </c>
      <c r="L603" s="2" t="str">
        <f>IF(Sheet1[[#This Row],[age]]&lt;18, "Under 18",IF(Sheet1[[#This Row],[age]]&lt;=30,"18-30",IF(Sheet1[[#This Row],[age]]&lt;=45,"31-45",IF(Sheet1[[#This Row],[age]]&lt;=60,"46-60","60+"))))</f>
        <v>60+</v>
      </c>
      <c r="M603" s="2" t="str">
        <f>IF(Sheet1[[#This Row],[risk_score]]&lt;0.3,"Low",IF(Sheet1[[#This Row],[risk_score]]&lt;0.7,"Medium","High"))</f>
        <v>Medium</v>
      </c>
      <c r="N603">
        <f>YEAR(Sheet1[[#This Row],[date_joined]])</f>
        <v>2020</v>
      </c>
      <c r="O603" s="2" t="str">
        <f>TEXT(Sheet1[[#This Row],[date_joined]],"mmm")</f>
        <v>May</v>
      </c>
      <c r="P603" s="2" t="str">
        <f>"Q"&amp;ROUNDUP(MONTH(Sheet1[[#This Row],[date_joined]])/3,0)</f>
        <v>Q2</v>
      </c>
      <c r="Q603" s="2" t="str">
        <f>IF(Sheet1[[#This Row],[age]]&lt;30,"Young",IF(Sheet1[[#This Row],[age]]&lt;=50,"Adult","Senior"))</f>
        <v>Senior</v>
      </c>
      <c r="R603" s="2" t="str">
        <f t="shared" si="18"/>
        <v>High</v>
      </c>
      <c r="S603" s="2" t="str">
        <f t="shared" si="19"/>
        <v>East - Retired</v>
      </c>
    </row>
    <row r="604" spans="1:19" x14ac:dyDescent="0.3">
      <c r="A604" t="s">
        <v>1231</v>
      </c>
      <c r="B604" t="s">
        <v>1232</v>
      </c>
      <c r="C604">
        <v>46</v>
      </c>
      <c r="D604" s="2" t="s">
        <v>21</v>
      </c>
      <c r="E604" s="2" t="s">
        <v>30</v>
      </c>
      <c r="F604" s="2" t="s">
        <v>37</v>
      </c>
      <c r="G604" s="2" t="s">
        <v>24</v>
      </c>
      <c r="H604" s="2" t="s">
        <v>17</v>
      </c>
      <c r="I604" s="2" t="s">
        <v>18</v>
      </c>
      <c r="J604">
        <v>0.69</v>
      </c>
      <c r="K604" s="1">
        <v>43291</v>
      </c>
      <c r="L604" s="2" t="str">
        <f>IF(Sheet1[[#This Row],[age]]&lt;18, "Under 18",IF(Sheet1[[#This Row],[age]]&lt;=30,"18-30",IF(Sheet1[[#This Row],[age]]&lt;=45,"31-45",IF(Sheet1[[#This Row],[age]]&lt;=60,"46-60","60+"))))</f>
        <v>46-60</v>
      </c>
      <c r="M604" s="2" t="str">
        <f>IF(Sheet1[[#This Row],[risk_score]]&lt;0.3,"Low",IF(Sheet1[[#This Row],[risk_score]]&lt;0.7,"Medium","High"))</f>
        <v>Medium</v>
      </c>
      <c r="N604">
        <f>YEAR(Sheet1[[#This Row],[date_joined]])</f>
        <v>2018</v>
      </c>
      <c r="O604" s="2" t="str">
        <f>TEXT(Sheet1[[#This Row],[date_joined]],"mmm")</f>
        <v>Jul</v>
      </c>
      <c r="P604" s="2" t="str">
        <f>"Q"&amp;ROUNDUP(MONTH(Sheet1[[#This Row],[date_joined]])/3,0)</f>
        <v>Q3</v>
      </c>
      <c r="Q604" s="2" t="str">
        <f>IF(Sheet1[[#This Row],[age]]&lt;30,"Young",IF(Sheet1[[#This Row],[age]]&lt;=50,"Adult","Senior"))</f>
        <v>Adult</v>
      </c>
      <c r="R604" s="2" t="str">
        <f t="shared" si="18"/>
        <v>High</v>
      </c>
      <c r="S604" s="2" t="str">
        <f t="shared" si="19"/>
        <v>East - Retired</v>
      </c>
    </row>
    <row r="605" spans="1:19" x14ac:dyDescent="0.3">
      <c r="A605" t="s">
        <v>1233</v>
      </c>
      <c r="B605" t="s">
        <v>1234</v>
      </c>
      <c r="C605">
        <v>30</v>
      </c>
      <c r="D605" s="2" t="s">
        <v>13</v>
      </c>
      <c r="E605" s="2" t="s">
        <v>14</v>
      </c>
      <c r="F605" s="2" t="s">
        <v>37</v>
      </c>
      <c r="G605" s="2" t="s">
        <v>27</v>
      </c>
      <c r="H605" s="2" t="s">
        <v>18</v>
      </c>
      <c r="I605" s="2" t="s">
        <v>17</v>
      </c>
      <c r="J605">
        <v>0.31</v>
      </c>
      <c r="K605" s="1">
        <v>43451</v>
      </c>
      <c r="L605" s="2" t="str">
        <f>IF(Sheet1[[#This Row],[age]]&lt;18, "Under 18",IF(Sheet1[[#This Row],[age]]&lt;=30,"18-30",IF(Sheet1[[#This Row],[age]]&lt;=45,"31-45",IF(Sheet1[[#This Row],[age]]&lt;=60,"46-60","60+"))))</f>
        <v>18-30</v>
      </c>
      <c r="M605" s="2" t="str">
        <f>IF(Sheet1[[#This Row],[risk_score]]&lt;0.3,"Low",IF(Sheet1[[#This Row],[risk_score]]&lt;0.7,"Medium","High"))</f>
        <v>Medium</v>
      </c>
      <c r="N605">
        <f>YEAR(Sheet1[[#This Row],[date_joined]])</f>
        <v>2018</v>
      </c>
      <c r="O605" s="2" t="str">
        <f>TEXT(Sheet1[[#This Row],[date_joined]],"mmm")</f>
        <v>Dec</v>
      </c>
      <c r="P605" s="2" t="str">
        <f>"Q"&amp;ROUNDUP(MONTH(Sheet1[[#This Row],[date_joined]])/3,0)</f>
        <v>Q4</v>
      </c>
      <c r="Q605" s="2" t="str">
        <f>IF(Sheet1[[#This Row],[age]]&lt;30,"Young",IF(Sheet1[[#This Row],[age]]&lt;=50,"Adult","Senior"))</f>
        <v>Adult</v>
      </c>
      <c r="R605" s="2" t="str">
        <f t="shared" si="18"/>
        <v>High</v>
      </c>
      <c r="S605" s="2" t="str">
        <f t="shared" si="19"/>
        <v>North - Retired</v>
      </c>
    </row>
    <row r="606" spans="1:19" x14ac:dyDescent="0.3">
      <c r="A606" t="s">
        <v>1235</v>
      </c>
      <c r="B606" t="s">
        <v>1236</v>
      </c>
      <c r="C606">
        <v>36</v>
      </c>
      <c r="D606" s="2" t="s">
        <v>21</v>
      </c>
      <c r="E606" s="2" t="s">
        <v>14</v>
      </c>
      <c r="F606" s="2" t="s">
        <v>15</v>
      </c>
      <c r="G606" s="2" t="s">
        <v>66</v>
      </c>
      <c r="H606" s="2" t="s">
        <v>17</v>
      </c>
      <c r="I606" s="2" t="s">
        <v>18</v>
      </c>
      <c r="J606">
        <v>0.59</v>
      </c>
      <c r="K606" s="1">
        <v>43579</v>
      </c>
      <c r="L606" s="2" t="str">
        <f>IF(Sheet1[[#This Row],[age]]&lt;18, "Under 18",IF(Sheet1[[#This Row],[age]]&lt;=30,"18-30",IF(Sheet1[[#This Row],[age]]&lt;=45,"31-45",IF(Sheet1[[#This Row],[age]]&lt;=60,"46-60","60+"))))</f>
        <v>31-45</v>
      </c>
      <c r="M606" s="2" t="str">
        <f>IF(Sheet1[[#This Row],[risk_score]]&lt;0.3,"Low",IF(Sheet1[[#This Row],[risk_score]]&lt;0.7,"Medium","High"))</f>
        <v>Medium</v>
      </c>
      <c r="N606">
        <f>YEAR(Sheet1[[#This Row],[date_joined]])</f>
        <v>2019</v>
      </c>
      <c r="O606" s="2" t="str">
        <f>TEXT(Sheet1[[#This Row],[date_joined]],"mmm")</f>
        <v>Apr</v>
      </c>
      <c r="P606" s="2" t="str">
        <f>"Q"&amp;ROUNDUP(MONTH(Sheet1[[#This Row],[date_joined]])/3,0)</f>
        <v>Q2</v>
      </c>
      <c r="Q606" s="2" t="str">
        <f>IF(Sheet1[[#This Row],[age]]&lt;30,"Young",IF(Sheet1[[#This Row],[age]]&lt;=50,"Adult","Senior"))</f>
        <v>Adult</v>
      </c>
      <c r="R606" s="2" t="str">
        <f t="shared" si="18"/>
        <v>High</v>
      </c>
      <c r="S606" s="2" t="str">
        <f t="shared" si="19"/>
        <v>North-East - Student</v>
      </c>
    </row>
    <row r="607" spans="1:19" x14ac:dyDescent="0.3">
      <c r="A607" t="s">
        <v>1237</v>
      </c>
      <c r="B607" t="s">
        <v>1238</v>
      </c>
      <c r="C607">
        <v>63</v>
      </c>
      <c r="D607" s="2" t="s">
        <v>21</v>
      </c>
      <c r="E607" s="2" t="s">
        <v>30</v>
      </c>
      <c r="F607" s="2" t="s">
        <v>23</v>
      </c>
      <c r="G607" s="2" t="s">
        <v>81</v>
      </c>
      <c r="H607" s="2" t="s">
        <v>18</v>
      </c>
      <c r="I607" s="2" t="s">
        <v>17</v>
      </c>
      <c r="J607">
        <v>0.5</v>
      </c>
      <c r="K607" s="1">
        <v>43570</v>
      </c>
      <c r="L607" s="2" t="str">
        <f>IF(Sheet1[[#This Row],[age]]&lt;18, "Under 18",IF(Sheet1[[#This Row],[age]]&lt;=30,"18-30",IF(Sheet1[[#This Row],[age]]&lt;=45,"31-45",IF(Sheet1[[#This Row],[age]]&lt;=60,"46-60","60+"))))</f>
        <v>60+</v>
      </c>
      <c r="M607" s="2" t="str">
        <f>IF(Sheet1[[#This Row],[risk_score]]&lt;0.3,"Low",IF(Sheet1[[#This Row],[risk_score]]&lt;0.7,"Medium","High"))</f>
        <v>Medium</v>
      </c>
      <c r="N607">
        <f>YEAR(Sheet1[[#This Row],[date_joined]])</f>
        <v>2019</v>
      </c>
      <c r="O607" s="2" t="str">
        <f>TEXT(Sheet1[[#This Row],[date_joined]],"mmm")</f>
        <v>Apr</v>
      </c>
      <c r="P607" s="2" t="str">
        <f>"Q"&amp;ROUNDUP(MONTH(Sheet1[[#This Row],[date_joined]])/3,0)</f>
        <v>Q2</v>
      </c>
      <c r="Q607" s="2" t="str">
        <f>IF(Sheet1[[#This Row],[age]]&lt;30,"Young",IF(Sheet1[[#This Row],[age]]&lt;=50,"Adult","Senior"))</f>
        <v>Senior</v>
      </c>
      <c r="R607" s="2" t="str">
        <f t="shared" si="18"/>
        <v>High</v>
      </c>
      <c r="S607" s="2" t="str">
        <f t="shared" si="19"/>
        <v>Central - Salaried</v>
      </c>
    </row>
    <row r="608" spans="1:19" x14ac:dyDescent="0.3">
      <c r="A608" t="s">
        <v>1239</v>
      </c>
      <c r="B608" t="s">
        <v>1240</v>
      </c>
      <c r="C608">
        <v>49</v>
      </c>
      <c r="D608" s="2" t="s">
        <v>13</v>
      </c>
      <c r="E608" s="2" t="s">
        <v>30</v>
      </c>
      <c r="F608" s="2" t="s">
        <v>37</v>
      </c>
      <c r="G608" s="2" t="s">
        <v>66</v>
      </c>
      <c r="H608" s="2" t="s">
        <v>17</v>
      </c>
      <c r="I608" s="2" t="s">
        <v>17</v>
      </c>
      <c r="J608">
        <v>0.5</v>
      </c>
      <c r="K608" s="1">
        <v>43466</v>
      </c>
      <c r="L608" s="2" t="str">
        <f>IF(Sheet1[[#This Row],[age]]&lt;18, "Under 18",IF(Sheet1[[#This Row],[age]]&lt;=30,"18-30",IF(Sheet1[[#This Row],[age]]&lt;=45,"31-45",IF(Sheet1[[#This Row],[age]]&lt;=60,"46-60","60+"))))</f>
        <v>46-60</v>
      </c>
      <c r="M608" s="2" t="str">
        <f>IF(Sheet1[[#This Row],[risk_score]]&lt;0.3,"Low",IF(Sheet1[[#This Row],[risk_score]]&lt;0.7,"Medium","High"))</f>
        <v>Medium</v>
      </c>
      <c r="N608">
        <f>YEAR(Sheet1[[#This Row],[date_joined]])</f>
        <v>2019</v>
      </c>
      <c r="O608" s="2" t="str">
        <f>TEXT(Sheet1[[#This Row],[date_joined]],"mmm")</f>
        <v>Jan</v>
      </c>
      <c r="P608" s="2" t="str">
        <f>"Q"&amp;ROUNDUP(MONTH(Sheet1[[#This Row],[date_joined]])/3,0)</f>
        <v>Q1</v>
      </c>
      <c r="Q608" s="2" t="str">
        <f>IF(Sheet1[[#This Row],[age]]&lt;30,"Young",IF(Sheet1[[#This Row],[age]]&lt;=50,"Adult","Senior"))</f>
        <v>Adult</v>
      </c>
      <c r="R608" s="2" t="str">
        <f t="shared" si="18"/>
        <v>Low</v>
      </c>
      <c r="S608" s="2" t="str">
        <f t="shared" si="19"/>
        <v>North-East - Retired</v>
      </c>
    </row>
    <row r="609" spans="1:19" x14ac:dyDescent="0.3">
      <c r="A609" t="s">
        <v>1241</v>
      </c>
      <c r="B609" t="s">
        <v>1242</v>
      </c>
      <c r="C609">
        <v>68</v>
      </c>
      <c r="D609" s="2" t="s">
        <v>13</v>
      </c>
      <c r="E609" s="2" t="s">
        <v>14</v>
      </c>
      <c r="F609" s="2" t="s">
        <v>23</v>
      </c>
      <c r="G609" s="2" t="s">
        <v>24</v>
      </c>
      <c r="H609" s="2" t="s">
        <v>17</v>
      </c>
      <c r="I609" s="2" t="s">
        <v>17</v>
      </c>
      <c r="J609">
        <v>0.15</v>
      </c>
      <c r="K609" s="1">
        <v>43239</v>
      </c>
      <c r="L609" s="2" t="str">
        <f>IF(Sheet1[[#This Row],[age]]&lt;18, "Under 18",IF(Sheet1[[#This Row],[age]]&lt;=30,"18-30",IF(Sheet1[[#This Row],[age]]&lt;=45,"31-45",IF(Sheet1[[#This Row],[age]]&lt;=60,"46-60","60+"))))</f>
        <v>60+</v>
      </c>
      <c r="M609" s="2" t="str">
        <f>IF(Sheet1[[#This Row],[risk_score]]&lt;0.3,"Low",IF(Sheet1[[#This Row],[risk_score]]&lt;0.7,"Medium","High"))</f>
        <v>Low</v>
      </c>
      <c r="N609">
        <f>YEAR(Sheet1[[#This Row],[date_joined]])</f>
        <v>2018</v>
      </c>
      <c r="O609" s="2" t="str">
        <f>TEXT(Sheet1[[#This Row],[date_joined]],"mmm")</f>
        <v>May</v>
      </c>
      <c r="P609" s="2" t="str">
        <f>"Q"&amp;ROUNDUP(MONTH(Sheet1[[#This Row],[date_joined]])/3,0)</f>
        <v>Q2</v>
      </c>
      <c r="Q609" s="2" t="str">
        <f>IF(Sheet1[[#This Row],[age]]&lt;30,"Young",IF(Sheet1[[#This Row],[age]]&lt;=50,"Adult","Senior"))</f>
        <v>Senior</v>
      </c>
      <c r="R609" s="2" t="str">
        <f t="shared" si="18"/>
        <v>Low</v>
      </c>
      <c r="S609" s="2" t="str">
        <f t="shared" si="19"/>
        <v>East - Salaried</v>
      </c>
    </row>
    <row r="610" spans="1:19" x14ac:dyDescent="0.3">
      <c r="A610" t="s">
        <v>1243</v>
      </c>
      <c r="B610" t="s">
        <v>1244</v>
      </c>
      <c r="C610">
        <v>22</v>
      </c>
      <c r="D610" s="2" t="s">
        <v>13</v>
      </c>
      <c r="E610" s="2" t="s">
        <v>14</v>
      </c>
      <c r="F610" s="2" t="s">
        <v>15</v>
      </c>
      <c r="G610" s="2" t="s">
        <v>27</v>
      </c>
      <c r="H610" s="2" t="s">
        <v>17</v>
      </c>
      <c r="I610" s="2" t="s">
        <v>18</v>
      </c>
      <c r="J610">
        <v>0.74</v>
      </c>
      <c r="K610" s="1">
        <v>44675</v>
      </c>
      <c r="L610" s="2" t="str">
        <f>IF(Sheet1[[#This Row],[age]]&lt;18, "Under 18",IF(Sheet1[[#This Row],[age]]&lt;=30,"18-30",IF(Sheet1[[#This Row],[age]]&lt;=45,"31-45",IF(Sheet1[[#This Row],[age]]&lt;=60,"46-60","60+"))))</f>
        <v>18-30</v>
      </c>
      <c r="M610" s="2" t="str">
        <f>IF(Sheet1[[#This Row],[risk_score]]&lt;0.3,"Low",IF(Sheet1[[#This Row],[risk_score]]&lt;0.7,"Medium","High"))</f>
        <v>High</v>
      </c>
      <c r="N610">
        <f>YEAR(Sheet1[[#This Row],[date_joined]])</f>
        <v>2022</v>
      </c>
      <c r="O610" s="2" t="str">
        <f>TEXT(Sheet1[[#This Row],[date_joined]],"mmm")</f>
        <v>Apr</v>
      </c>
      <c r="P610" s="2" t="str">
        <f>"Q"&amp;ROUNDUP(MONTH(Sheet1[[#This Row],[date_joined]])/3,0)</f>
        <v>Q2</v>
      </c>
      <c r="Q610" s="2" t="str">
        <f>IF(Sheet1[[#This Row],[age]]&lt;30,"Young",IF(Sheet1[[#This Row],[age]]&lt;=50,"Adult","Senior"))</f>
        <v>Young</v>
      </c>
      <c r="R610" s="2" t="str">
        <f t="shared" si="18"/>
        <v>High</v>
      </c>
      <c r="S610" s="2" t="str">
        <f t="shared" si="19"/>
        <v>North - Student</v>
      </c>
    </row>
    <row r="611" spans="1:19" x14ac:dyDescent="0.3">
      <c r="A611" t="s">
        <v>1245</v>
      </c>
      <c r="B611" t="s">
        <v>1246</v>
      </c>
      <c r="C611">
        <v>45</v>
      </c>
      <c r="D611" s="2" t="s">
        <v>21</v>
      </c>
      <c r="E611" s="2" t="s">
        <v>22</v>
      </c>
      <c r="F611" s="2" t="s">
        <v>37</v>
      </c>
      <c r="G611" s="2" t="s">
        <v>81</v>
      </c>
      <c r="H611" s="2" t="s">
        <v>18</v>
      </c>
      <c r="I611" s="2" t="s">
        <v>17</v>
      </c>
      <c r="J611">
        <v>0.6</v>
      </c>
      <c r="K611" s="1">
        <v>44891</v>
      </c>
      <c r="L611" s="2" t="str">
        <f>IF(Sheet1[[#This Row],[age]]&lt;18, "Under 18",IF(Sheet1[[#This Row],[age]]&lt;=30,"18-30",IF(Sheet1[[#This Row],[age]]&lt;=45,"31-45",IF(Sheet1[[#This Row],[age]]&lt;=60,"46-60","60+"))))</f>
        <v>31-45</v>
      </c>
      <c r="M611" s="2" t="str">
        <f>IF(Sheet1[[#This Row],[risk_score]]&lt;0.3,"Low",IF(Sheet1[[#This Row],[risk_score]]&lt;0.7,"Medium","High"))</f>
        <v>Medium</v>
      </c>
      <c r="N611">
        <f>YEAR(Sheet1[[#This Row],[date_joined]])</f>
        <v>2022</v>
      </c>
      <c r="O611" s="2" t="str">
        <f>TEXT(Sheet1[[#This Row],[date_joined]],"mmm")</f>
        <v>Nov</v>
      </c>
      <c r="P611" s="2" t="str">
        <f>"Q"&amp;ROUNDUP(MONTH(Sheet1[[#This Row],[date_joined]])/3,0)</f>
        <v>Q4</v>
      </c>
      <c r="Q611" s="2" t="str">
        <f>IF(Sheet1[[#This Row],[age]]&lt;30,"Young",IF(Sheet1[[#This Row],[age]]&lt;=50,"Adult","Senior"))</f>
        <v>Adult</v>
      </c>
      <c r="R611" s="2" t="str">
        <f t="shared" si="18"/>
        <v>High</v>
      </c>
      <c r="S611" s="2" t="str">
        <f t="shared" si="19"/>
        <v>Central - Retired</v>
      </c>
    </row>
    <row r="612" spans="1:19" x14ac:dyDescent="0.3">
      <c r="A612" t="s">
        <v>1247</v>
      </c>
      <c r="B612" t="s">
        <v>1248</v>
      </c>
      <c r="C612">
        <v>18</v>
      </c>
      <c r="D612" s="2" t="s">
        <v>21</v>
      </c>
      <c r="E612" s="2" t="s">
        <v>22</v>
      </c>
      <c r="F612" s="2" t="s">
        <v>23</v>
      </c>
      <c r="G612" s="2" t="s">
        <v>66</v>
      </c>
      <c r="H612" s="2" t="s">
        <v>18</v>
      </c>
      <c r="I612" s="2" t="s">
        <v>17</v>
      </c>
      <c r="J612">
        <v>0.68</v>
      </c>
      <c r="K612" s="1">
        <v>43965</v>
      </c>
      <c r="L612" s="2" t="str">
        <f>IF(Sheet1[[#This Row],[age]]&lt;18, "Under 18",IF(Sheet1[[#This Row],[age]]&lt;=30,"18-30",IF(Sheet1[[#This Row],[age]]&lt;=45,"31-45",IF(Sheet1[[#This Row],[age]]&lt;=60,"46-60","60+"))))</f>
        <v>18-30</v>
      </c>
      <c r="M612" s="2" t="str">
        <f>IF(Sheet1[[#This Row],[risk_score]]&lt;0.3,"Low",IF(Sheet1[[#This Row],[risk_score]]&lt;0.7,"Medium","High"))</f>
        <v>Medium</v>
      </c>
      <c r="N612">
        <f>YEAR(Sheet1[[#This Row],[date_joined]])</f>
        <v>2020</v>
      </c>
      <c r="O612" s="2" t="str">
        <f>TEXT(Sheet1[[#This Row],[date_joined]],"mmm")</f>
        <v>May</v>
      </c>
      <c r="P612" s="2" t="str">
        <f>"Q"&amp;ROUNDUP(MONTH(Sheet1[[#This Row],[date_joined]])/3,0)</f>
        <v>Q2</v>
      </c>
      <c r="Q612" s="2" t="str">
        <f>IF(Sheet1[[#This Row],[age]]&lt;30,"Young",IF(Sheet1[[#This Row],[age]]&lt;=50,"Adult","Senior"))</f>
        <v>Young</v>
      </c>
      <c r="R612" s="2" t="str">
        <f t="shared" si="18"/>
        <v>High</v>
      </c>
      <c r="S612" s="2" t="str">
        <f t="shared" si="19"/>
        <v>North-East - Salaried</v>
      </c>
    </row>
    <row r="613" spans="1:19" x14ac:dyDescent="0.3">
      <c r="A613" t="s">
        <v>1249</v>
      </c>
      <c r="B613" t="s">
        <v>1250</v>
      </c>
      <c r="C613">
        <v>19</v>
      </c>
      <c r="D613" s="2" t="s">
        <v>13</v>
      </c>
      <c r="E613" s="2" t="s">
        <v>30</v>
      </c>
      <c r="F613" s="2" t="s">
        <v>37</v>
      </c>
      <c r="G613" s="2" t="s">
        <v>16</v>
      </c>
      <c r="H613" s="2" t="s">
        <v>18</v>
      </c>
      <c r="I613" s="2" t="s">
        <v>18</v>
      </c>
      <c r="J613">
        <v>0.31</v>
      </c>
      <c r="K613" s="1">
        <v>44347</v>
      </c>
      <c r="L613" s="2" t="str">
        <f>IF(Sheet1[[#This Row],[age]]&lt;18, "Under 18",IF(Sheet1[[#This Row],[age]]&lt;=30,"18-30",IF(Sheet1[[#This Row],[age]]&lt;=45,"31-45",IF(Sheet1[[#This Row],[age]]&lt;=60,"46-60","60+"))))</f>
        <v>18-30</v>
      </c>
      <c r="M613" s="2" t="str">
        <f>IF(Sheet1[[#This Row],[risk_score]]&lt;0.3,"Low",IF(Sheet1[[#This Row],[risk_score]]&lt;0.7,"Medium","High"))</f>
        <v>Medium</v>
      </c>
      <c r="N613">
        <f>YEAR(Sheet1[[#This Row],[date_joined]])</f>
        <v>2021</v>
      </c>
      <c r="O613" s="2" t="str">
        <f>TEXT(Sheet1[[#This Row],[date_joined]],"mmm")</f>
        <v>May</v>
      </c>
      <c r="P613" s="2" t="str">
        <f>"Q"&amp;ROUNDUP(MONTH(Sheet1[[#This Row],[date_joined]])/3,0)</f>
        <v>Q2</v>
      </c>
      <c r="Q613" s="2" t="str">
        <f>IF(Sheet1[[#This Row],[age]]&lt;30,"Young",IF(Sheet1[[#This Row],[age]]&lt;=50,"Adult","Senior"))</f>
        <v>Young</v>
      </c>
      <c r="R613" s="2" t="str">
        <f t="shared" si="18"/>
        <v>Very High</v>
      </c>
      <c r="S613" s="2" t="str">
        <f t="shared" si="19"/>
        <v>West - Retired</v>
      </c>
    </row>
    <row r="614" spans="1:19" x14ac:dyDescent="0.3">
      <c r="A614" t="s">
        <v>1251</v>
      </c>
      <c r="B614" t="s">
        <v>1252</v>
      </c>
      <c r="C614">
        <v>51</v>
      </c>
      <c r="D614" s="2" t="s">
        <v>21</v>
      </c>
      <c r="E614" s="2" t="s">
        <v>30</v>
      </c>
      <c r="F614" s="2" t="s">
        <v>23</v>
      </c>
      <c r="G614" s="2" t="s">
        <v>16</v>
      </c>
      <c r="H614" s="2" t="s">
        <v>18</v>
      </c>
      <c r="I614" s="2" t="s">
        <v>18</v>
      </c>
      <c r="J614">
        <v>0.67</v>
      </c>
      <c r="K614" s="1">
        <v>44066</v>
      </c>
      <c r="L614" s="2" t="str">
        <f>IF(Sheet1[[#This Row],[age]]&lt;18, "Under 18",IF(Sheet1[[#This Row],[age]]&lt;=30,"18-30",IF(Sheet1[[#This Row],[age]]&lt;=45,"31-45",IF(Sheet1[[#This Row],[age]]&lt;=60,"46-60","60+"))))</f>
        <v>46-60</v>
      </c>
      <c r="M614" s="2" t="str">
        <f>IF(Sheet1[[#This Row],[risk_score]]&lt;0.3,"Low",IF(Sheet1[[#This Row],[risk_score]]&lt;0.7,"Medium","High"))</f>
        <v>Medium</v>
      </c>
      <c r="N614">
        <f>YEAR(Sheet1[[#This Row],[date_joined]])</f>
        <v>2020</v>
      </c>
      <c r="O614" s="2" t="str">
        <f>TEXT(Sheet1[[#This Row],[date_joined]],"mmm")</f>
        <v>Aug</v>
      </c>
      <c r="P614" s="2" t="str">
        <f>"Q"&amp;ROUNDUP(MONTH(Sheet1[[#This Row],[date_joined]])/3,0)</f>
        <v>Q3</v>
      </c>
      <c r="Q614" s="2" t="str">
        <f>IF(Sheet1[[#This Row],[age]]&lt;30,"Young",IF(Sheet1[[#This Row],[age]]&lt;=50,"Adult","Senior"))</f>
        <v>Senior</v>
      </c>
      <c r="R614" s="2" t="str">
        <f t="shared" si="18"/>
        <v>Very High</v>
      </c>
      <c r="S614" s="2" t="str">
        <f t="shared" si="19"/>
        <v>West - Salaried</v>
      </c>
    </row>
    <row r="615" spans="1:19" x14ac:dyDescent="0.3">
      <c r="A615" t="s">
        <v>1253</v>
      </c>
      <c r="B615" t="s">
        <v>1254</v>
      </c>
      <c r="C615">
        <v>25</v>
      </c>
      <c r="D615" s="2" t="s">
        <v>21</v>
      </c>
      <c r="E615" s="2" t="s">
        <v>14</v>
      </c>
      <c r="F615" s="2" t="s">
        <v>37</v>
      </c>
      <c r="G615" s="2" t="s">
        <v>66</v>
      </c>
      <c r="H615" s="2" t="s">
        <v>18</v>
      </c>
      <c r="I615" s="2" t="s">
        <v>17</v>
      </c>
      <c r="J615">
        <v>0.48</v>
      </c>
      <c r="K615" s="1">
        <v>44215</v>
      </c>
      <c r="L615" s="2" t="str">
        <f>IF(Sheet1[[#This Row],[age]]&lt;18, "Under 18",IF(Sheet1[[#This Row],[age]]&lt;=30,"18-30",IF(Sheet1[[#This Row],[age]]&lt;=45,"31-45",IF(Sheet1[[#This Row],[age]]&lt;=60,"46-60","60+"))))</f>
        <v>18-30</v>
      </c>
      <c r="M615" s="2" t="str">
        <f>IF(Sheet1[[#This Row],[risk_score]]&lt;0.3,"Low",IF(Sheet1[[#This Row],[risk_score]]&lt;0.7,"Medium","High"))</f>
        <v>Medium</v>
      </c>
      <c r="N615">
        <f>YEAR(Sheet1[[#This Row],[date_joined]])</f>
        <v>2021</v>
      </c>
      <c r="O615" s="2" t="str">
        <f>TEXT(Sheet1[[#This Row],[date_joined]],"mmm")</f>
        <v>Jan</v>
      </c>
      <c r="P615" s="2" t="str">
        <f>"Q"&amp;ROUNDUP(MONTH(Sheet1[[#This Row],[date_joined]])/3,0)</f>
        <v>Q1</v>
      </c>
      <c r="Q615" s="2" t="str">
        <f>IF(Sheet1[[#This Row],[age]]&lt;30,"Young",IF(Sheet1[[#This Row],[age]]&lt;=50,"Adult","Senior"))</f>
        <v>Young</v>
      </c>
      <c r="R615" s="2" t="str">
        <f t="shared" si="18"/>
        <v>High</v>
      </c>
      <c r="S615" s="2" t="str">
        <f t="shared" si="19"/>
        <v>North-East - Retired</v>
      </c>
    </row>
    <row r="616" spans="1:19" x14ac:dyDescent="0.3">
      <c r="A616" t="s">
        <v>1255</v>
      </c>
      <c r="B616" t="s">
        <v>1256</v>
      </c>
      <c r="C616">
        <v>35</v>
      </c>
      <c r="D616" s="2" t="s">
        <v>21</v>
      </c>
      <c r="E616" s="2" t="s">
        <v>22</v>
      </c>
      <c r="F616" s="2" t="s">
        <v>31</v>
      </c>
      <c r="G616" s="2" t="s">
        <v>24</v>
      </c>
      <c r="H616" s="2" t="s">
        <v>18</v>
      </c>
      <c r="I616" s="2" t="s">
        <v>17</v>
      </c>
      <c r="J616">
        <v>0.61</v>
      </c>
      <c r="K616" s="1">
        <v>43142</v>
      </c>
      <c r="L616" s="2" t="str">
        <f>IF(Sheet1[[#This Row],[age]]&lt;18, "Under 18",IF(Sheet1[[#This Row],[age]]&lt;=30,"18-30",IF(Sheet1[[#This Row],[age]]&lt;=45,"31-45",IF(Sheet1[[#This Row],[age]]&lt;=60,"46-60","60+"))))</f>
        <v>31-45</v>
      </c>
      <c r="M616" s="2" t="str">
        <f>IF(Sheet1[[#This Row],[risk_score]]&lt;0.3,"Low",IF(Sheet1[[#This Row],[risk_score]]&lt;0.7,"Medium","High"))</f>
        <v>Medium</v>
      </c>
      <c r="N616">
        <f>YEAR(Sheet1[[#This Row],[date_joined]])</f>
        <v>2018</v>
      </c>
      <c r="O616" s="2" t="str">
        <f>TEXT(Sheet1[[#This Row],[date_joined]],"mmm")</f>
        <v>Feb</v>
      </c>
      <c r="P616" s="2" t="str">
        <f>"Q"&amp;ROUNDUP(MONTH(Sheet1[[#This Row],[date_joined]])/3,0)</f>
        <v>Q1</v>
      </c>
      <c r="Q616" s="2" t="str">
        <f>IF(Sheet1[[#This Row],[age]]&lt;30,"Young",IF(Sheet1[[#This Row],[age]]&lt;=50,"Adult","Senior"))</f>
        <v>Adult</v>
      </c>
      <c r="R616" s="2" t="str">
        <f t="shared" si="18"/>
        <v>High</v>
      </c>
      <c r="S616" s="2" t="str">
        <f t="shared" si="19"/>
        <v>East - Self-employed</v>
      </c>
    </row>
    <row r="617" spans="1:19" x14ac:dyDescent="0.3">
      <c r="A617" t="s">
        <v>1257</v>
      </c>
      <c r="B617" t="s">
        <v>1258</v>
      </c>
      <c r="C617">
        <v>58</v>
      </c>
      <c r="D617" s="2" t="s">
        <v>21</v>
      </c>
      <c r="E617" s="2" t="s">
        <v>14</v>
      </c>
      <c r="F617" s="2" t="s">
        <v>23</v>
      </c>
      <c r="G617" s="2" t="s">
        <v>16</v>
      </c>
      <c r="H617" s="2" t="s">
        <v>17</v>
      </c>
      <c r="I617" s="2" t="s">
        <v>18</v>
      </c>
      <c r="J617">
        <v>0.18</v>
      </c>
      <c r="K617" s="1">
        <v>44013</v>
      </c>
      <c r="L617" s="2" t="str">
        <f>IF(Sheet1[[#This Row],[age]]&lt;18, "Under 18",IF(Sheet1[[#This Row],[age]]&lt;=30,"18-30",IF(Sheet1[[#This Row],[age]]&lt;=45,"31-45",IF(Sheet1[[#This Row],[age]]&lt;=60,"46-60","60+"))))</f>
        <v>46-60</v>
      </c>
      <c r="M617" s="2" t="str">
        <f>IF(Sheet1[[#This Row],[risk_score]]&lt;0.3,"Low",IF(Sheet1[[#This Row],[risk_score]]&lt;0.7,"Medium","High"))</f>
        <v>Low</v>
      </c>
      <c r="N617">
        <f>YEAR(Sheet1[[#This Row],[date_joined]])</f>
        <v>2020</v>
      </c>
      <c r="O617" s="2" t="str">
        <f>TEXT(Sheet1[[#This Row],[date_joined]],"mmm")</f>
        <v>Jul</v>
      </c>
      <c r="P617" s="2" t="str">
        <f>"Q"&amp;ROUNDUP(MONTH(Sheet1[[#This Row],[date_joined]])/3,0)</f>
        <v>Q3</v>
      </c>
      <c r="Q617" s="2" t="str">
        <f>IF(Sheet1[[#This Row],[age]]&lt;30,"Young",IF(Sheet1[[#This Row],[age]]&lt;=50,"Adult","Senior"))</f>
        <v>Senior</v>
      </c>
      <c r="R617" s="2" t="str">
        <f t="shared" si="18"/>
        <v>High</v>
      </c>
      <c r="S617" s="2" t="str">
        <f t="shared" si="19"/>
        <v>West - Salaried</v>
      </c>
    </row>
    <row r="618" spans="1:19" x14ac:dyDescent="0.3">
      <c r="A618" t="s">
        <v>1259</v>
      </c>
      <c r="B618" t="s">
        <v>1260</v>
      </c>
      <c r="C618">
        <v>62</v>
      </c>
      <c r="D618" s="2" t="s">
        <v>13</v>
      </c>
      <c r="E618" s="2" t="s">
        <v>14</v>
      </c>
      <c r="F618" s="2" t="s">
        <v>37</v>
      </c>
      <c r="G618" s="2" t="s">
        <v>16</v>
      </c>
      <c r="H618" s="2" t="s">
        <v>18</v>
      </c>
      <c r="I618" s="2" t="s">
        <v>18</v>
      </c>
      <c r="J618">
        <v>0.43</v>
      </c>
      <c r="K618" s="1">
        <v>43493</v>
      </c>
      <c r="L618" s="2" t="str">
        <f>IF(Sheet1[[#This Row],[age]]&lt;18, "Under 18",IF(Sheet1[[#This Row],[age]]&lt;=30,"18-30",IF(Sheet1[[#This Row],[age]]&lt;=45,"31-45",IF(Sheet1[[#This Row],[age]]&lt;=60,"46-60","60+"))))</f>
        <v>60+</v>
      </c>
      <c r="M618" s="2" t="str">
        <f>IF(Sheet1[[#This Row],[risk_score]]&lt;0.3,"Low",IF(Sheet1[[#This Row],[risk_score]]&lt;0.7,"Medium","High"))</f>
        <v>Medium</v>
      </c>
      <c r="N618">
        <f>YEAR(Sheet1[[#This Row],[date_joined]])</f>
        <v>2019</v>
      </c>
      <c r="O618" s="2" t="str">
        <f>TEXT(Sheet1[[#This Row],[date_joined]],"mmm")</f>
        <v>Jan</v>
      </c>
      <c r="P618" s="2" t="str">
        <f>"Q"&amp;ROUNDUP(MONTH(Sheet1[[#This Row],[date_joined]])/3,0)</f>
        <v>Q1</v>
      </c>
      <c r="Q618" s="2" t="str">
        <f>IF(Sheet1[[#This Row],[age]]&lt;30,"Young",IF(Sheet1[[#This Row],[age]]&lt;=50,"Adult","Senior"))</f>
        <v>Senior</v>
      </c>
      <c r="R618" s="2" t="str">
        <f t="shared" si="18"/>
        <v>Very High</v>
      </c>
      <c r="S618" s="2" t="str">
        <f t="shared" si="19"/>
        <v>West - Retired</v>
      </c>
    </row>
    <row r="619" spans="1:19" x14ac:dyDescent="0.3">
      <c r="A619" t="s">
        <v>1261</v>
      </c>
      <c r="B619" t="s">
        <v>1262</v>
      </c>
      <c r="C619">
        <v>53</v>
      </c>
      <c r="D619" s="2" t="s">
        <v>21</v>
      </c>
      <c r="E619" s="2" t="s">
        <v>14</v>
      </c>
      <c r="F619" s="2" t="s">
        <v>23</v>
      </c>
      <c r="G619" s="2" t="s">
        <v>16</v>
      </c>
      <c r="H619" s="2" t="s">
        <v>17</v>
      </c>
      <c r="I619" s="2" t="s">
        <v>17</v>
      </c>
      <c r="J619">
        <v>0.5</v>
      </c>
      <c r="K619" s="1">
        <v>44170</v>
      </c>
      <c r="L619" s="2" t="str">
        <f>IF(Sheet1[[#This Row],[age]]&lt;18, "Under 18",IF(Sheet1[[#This Row],[age]]&lt;=30,"18-30",IF(Sheet1[[#This Row],[age]]&lt;=45,"31-45",IF(Sheet1[[#This Row],[age]]&lt;=60,"46-60","60+"))))</f>
        <v>46-60</v>
      </c>
      <c r="M619" s="2" t="str">
        <f>IF(Sheet1[[#This Row],[risk_score]]&lt;0.3,"Low",IF(Sheet1[[#This Row],[risk_score]]&lt;0.7,"Medium","High"))</f>
        <v>Medium</v>
      </c>
      <c r="N619">
        <f>YEAR(Sheet1[[#This Row],[date_joined]])</f>
        <v>2020</v>
      </c>
      <c r="O619" s="2" t="str">
        <f>TEXT(Sheet1[[#This Row],[date_joined]],"mmm")</f>
        <v>Dec</v>
      </c>
      <c r="P619" s="2" t="str">
        <f>"Q"&amp;ROUNDUP(MONTH(Sheet1[[#This Row],[date_joined]])/3,0)</f>
        <v>Q4</v>
      </c>
      <c r="Q619" s="2" t="str">
        <f>IF(Sheet1[[#This Row],[age]]&lt;30,"Young",IF(Sheet1[[#This Row],[age]]&lt;=50,"Adult","Senior"))</f>
        <v>Senior</v>
      </c>
      <c r="R619" s="2" t="str">
        <f t="shared" si="18"/>
        <v>Low</v>
      </c>
      <c r="S619" s="2" t="str">
        <f t="shared" si="19"/>
        <v>West - Salaried</v>
      </c>
    </row>
    <row r="620" spans="1:19" x14ac:dyDescent="0.3">
      <c r="A620" t="s">
        <v>1263</v>
      </c>
      <c r="B620" t="s">
        <v>1264</v>
      </c>
      <c r="C620">
        <v>24</v>
      </c>
      <c r="D620" s="2" t="s">
        <v>21</v>
      </c>
      <c r="E620" s="2" t="s">
        <v>30</v>
      </c>
      <c r="F620" s="2" t="s">
        <v>31</v>
      </c>
      <c r="G620" s="2" t="s">
        <v>24</v>
      </c>
      <c r="H620" s="2" t="s">
        <v>17</v>
      </c>
      <c r="I620" s="2" t="s">
        <v>18</v>
      </c>
      <c r="J620">
        <v>0.27</v>
      </c>
      <c r="K620" s="1">
        <v>43558</v>
      </c>
      <c r="L620" s="2" t="str">
        <f>IF(Sheet1[[#This Row],[age]]&lt;18, "Under 18",IF(Sheet1[[#This Row],[age]]&lt;=30,"18-30",IF(Sheet1[[#This Row],[age]]&lt;=45,"31-45",IF(Sheet1[[#This Row],[age]]&lt;=60,"46-60","60+"))))</f>
        <v>18-30</v>
      </c>
      <c r="M620" s="2" t="str">
        <f>IF(Sheet1[[#This Row],[risk_score]]&lt;0.3,"Low",IF(Sheet1[[#This Row],[risk_score]]&lt;0.7,"Medium","High"))</f>
        <v>Low</v>
      </c>
      <c r="N620">
        <f>YEAR(Sheet1[[#This Row],[date_joined]])</f>
        <v>2019</v>
      </c>
      <c r="O620" s="2" t="str">
        <f>TEXT(Sheet1[[#This Row],[date_joined]],"mmm")</f>
        <v>Apr</v>
      </c>
      <c r="P620" s="2" t="str">
        <f>"Q"&amp;ROUNDUP(MONTH(Sheet1[[#This Row],[date_joined]])/3,0)</f>
        <v>Q2</v>
      </c>
      <c r="Q620" s="2" t="str">
        <f>IF(Sheet1[[#This Row],[age]]&lt;30,"Young",IF(Sheet1[[#This Row],[age]]&lt;=50,"Adult","Senior"))</f>
        <v>Young</v>
      </c>
      <c r="R620" s="2" t="str">
        <f t="shared" si="18"/>
        <v>High</v>
      </c>
      <c r="S620" s="2" t="str">
        <f t="shared" si="19"/>
        <v>East - Self-employed</v>
      </c>
    </row>
    <row r="621" spans="1:19" x14ac:dyDescent="0.3">
      <c r="A621" t="s">
        <v>1265</v>
      </c>
      <c r="B621" t="s">
        <v>1266</v>
      </c>
      <c r="C621">
        <v>24</v>
      </c>
      <c r="D621" s="2" t="s">
        <v>13</v>
      </c>
      <c r="E621" s="2" t="s">
        <v>30</v>
      </c>
      <c r="F621" s="2" t="s">
        <v>31</v>
      </c>
      <c r="G621" s="2" t="s">
        <v>16</v>
      </c>
      <c r="H621" s="2" t="s">
        <v>18</v>
      </c>
      <c r="I621" s="2" t="s">
        <v>18</v>
      </c>
      <c r="J621">
        <v>0.76</v>
      </c>
      <c r="K621" s="1">
        <v>44908</v>
      </c>
      <c r="L621" s="2" t="str">
        <f>IF(Sheet1[[#This Row],[age]]&lt;18, "Under 18",IF(Sheet1[[#This Row],[age]]&lt;=30,"18-30",IF(Sheet1[[#This Row],[age]]&lt;=45,"31-45",IF(Sheet1[[#This Row],[age]]&lt;=60,"46-60","60+"))))</f>
        <v>18-30</v>
      </c>
      <c r="M621" s="2" t="str">
        <f>IF(Sheet1[[#This Row],[risk_score]]&lt;0.3,"Low",IF(Sheet1[[#This Row],[risk_score]]&lt;0.7,"Medium","High"))</f>
        <v>High</v>
      </c>
      <c r="N621">
        <f>YEAR(Sheet1[[#This Row],[date_joined]])</f>
        <v>2022</v>
      </c>
      <c r="O621" s="2" t="str">
        <f>TEXT(Sheet1[[#This Row],[date_joined]],"mmm")</f>
        <v>Dec</v>
      </c>
      <c r="P621" s="2" t="str">
        <f>"Q"&amp;ROUNDUP(MONTH(Sheet1[[#This Row],[date_joined]])/3,0)</f>
        <v>Q4</v>
      </c>
      <c r="Q621" s="2" t="str">
        <f>IF(Sheet1[[#This Row],[age]]&lt;30,"Young",IF(Sheet1[[#This Row],[age]]&lt;=50,"Adult","Senior"))</f>
        <v>Young</v>
      </c>
      <c r="R621" s="2" t="str">
        <f t="shared" si="18"/>
        <v>Very High</v>
      </c>
      <c r="S621" s="2" t="str">
        <f t="shared" si="19"/>
        <v>West - Self-employed</v>
      </c>
    </row>
    <row r="622" spans="1:19" x14ac:dyDescent="0.3">
      <c r="A622" t="s">
        <v>1267</v>
      </c>
      <c r="B622" t="s">
        <v>1268</v>
      </c>
      <c r="C622">
        <v>45</v>
      </c>
      <c r="D622" s="2" t="s">
        <v>21</v>
      </c>
      <c r="E622" s="2" t="s">
        <v>22</v>
      </c>
      <c r="F622" s="2" t="s">
        <v>37</v>
      </c>
      <c r="G622" s="2" t="s">
        <v>16</v>
      </c>
      <c r="H622" s="2" t="s">
        <v>17</v>
      </c>
      <c r="I622" s="2" t="s">
        <v>17</v>
      </c>
      <c r="J622">
        <v>0.56999999999999995</v>
      </c>
      <c r="K622" s="1">
        <v>43253</v>
      </c>
      <c r="L622" s="2" t="str">
        <f>IF(Sheet1[[#This Row],[age]]&lt;18, "Under 18",IF(Sheet1[[#This Row],[age]]&lt;=30,"18-30",IF(Sheet1[[#This Row],[age]]&lt;=45,"31-45",IF(Sheet1[[#This Row],[age]]&lt;=60,"46-60","60+"))))</f>
        <v>31-45</v>
      </c>
      <c r="M622" s="2" t="str">
        <f>IF(Sheet1[[#This Row],[risk_score]]&lt;0.3,"Low",IF(Sheet1[[#This Row],[risk_score]]&lt;0.7,"Medium","High"))</f>
        <v>Medium</v>
      </c>
      <c r="N622">
        <f>YEAR(Sheet1[[#This Row],[date_joined]])</f>
        <v>2018</v>
      </c>
      <c r="O622" s="2" t="str">
        <f>TEXT(Sheet1[[#This Row],[date_joined]],"mmm")</f>
        <v>Jun</v>
      </c>
      <c r="P622" s="2" t="str">
        <f>"Q"&amp;ROUNDUP(MONTH(Sheet1[[#This Row],[date_joined]])/3,0)</f>
        <v>Q2</v>
      </c>
      <c r="Q622" s="2" t="str">
        <f>IF(Sheet1[[#This Row],[age]]&lt;30,"Young",IF(Sheet1[[#This Row],[age]]&lt;=50,"Adult","Senior"))</f>
        <v>Adult</v>
      </c>
      <c r="R622" s="2" t="str">
        <f t="shared" si="18"/>
        <v>Low</v>
      </c>
      <c r="S622" s="2" t="str">
        <f t="shared" si="19"/>
        <v>West - Retired</v>
      </c>
    </row>
    <row r="623" spans="1:19" x14ac:dyDescent="0.3">
      <c r="A623" t="s">
        <v>1269</v>
      </c>
      <c r="B623" t="s">
        <v>1270</v>
      </c>
      <c r="C623">
        <v>42</v>
      </c>
      <c r="D623" s="2" t="s">
        <v>13</v>
      </c>
      <c r="E623" s="2" t="s">
        <v>22</v>
      </c>
      <c r="F623" s="2" t="s">
        <v>15</v>
      </c>
      <c r="G623" s="2" t="s">
        <v>27</v>
      </c>
      <c r="H623" s="2" t="s">
        <v>17</v>
      </c>
      <c r="I623" s="2" t="s">
        <v>18</v>
      </c>
      <c r="J623">
        <v>0.64</v>
      </c>
      <c r="K623" s="1">
        <v>44004</v>
      </c>
      <c r="L623" s="2" t="str">
        <f>IF(Sheet1[[#This Row],[age]]&lt;18, "Under 18",IF(Sheet1[[#This Row],[age]]&lt;=30,"18-30",IF(Sheet1[[#This Row],[age]]&lt;=45,"31-45",IF(Sheet1[[#This Row],[age]]&lt;=60,"46-60","60+"))))</f>
        <v>31-45</v>
      </c>
      <c r="M623" s="2" t="str">
        <f>IF(Sheet1[[#This Row],[risk_score]]&lt;0.3,"Low",IF(Sheet1[[#This Row],[risk_score]]&lt;0.7,"Medium","High"))</f>
        <v>Medium</v>
      </c>
      <c r="N623">
        <f>YEAR(Sheet1[[#This Row],[date_joined]])</f>
        <v>2020</v>
      </c>
      <c r="O623" s="2" t="str">
        <f>TEXT(Sheet1[[#This Row],[date_joined]],"mmm")</f>
        <v>Jun</v>
      </c>
      <c r="P623" s="2" t="str">
        <f>"Q"&amp;ROUNDUP(MONTH(Sheet1[[#This Row],[date_joined]])/3,0)</f>
        <v>Q2</v>
      </c>
      <c r="Q623" s="2" t="str">
        <f>IF(Sheet1[[#This Row],[age]]&lt;30,"Young",IF(Sheet1[[#This Row],[age]]&lt;=50,"Adult","Senior"))</f>
        <v>Adult</v>
      </c>
      <c r="R623" s="2" t="str">
        <f t="shared" si="18"/>
        <v>High</v>
      </c>
      <c r="S623" s="2" t="str">
        <f t="shared" si="19"/>
        <v>North - Student</v>
      </c>
    </row>
    <row r="624" spans="1:19" x14ac:dyDescent="0.3">
      <c r="A624" t="s">
        <v>1271</v>
      </c>
      <c r="B624" t="s">
        <v>1272</v>
      </c>
      <c r="C624">
        <v>46</v>
      </c>
      <c r="D624" s="2" t="s">
        <v>21</v>
      </c>
      <c r="E624" s="2" t="s">
        <v>30</v>
      </c>
      <c r="F624" s="2" t="s">
        <v>23</v>
      </c>
      <c r="G624" s="2" t="s">
        <v>24</v>
      </c>
      <c r="H624" s="2" t="s">
        <v>17</v>
      </c>
      <c r="I624" s="2" t="s">
        <v>18</v>
      </c>
      <c r="J624">
        <v>0.39</v>
      </c>
      <c r="K624" s="1">
        <v>44616</v>
      </c>
      <c r="L624" s="2" t="str">
        <f>IF(Sheet1[[#This Row],[age]]&lt;18, "Under 18",IF(Sheet1[[#This Row],[age]]&lt;=30,"18-30",IF(Sheet1[[#This Row],[age]]&lt;=45,"31-45",IF(Sheet1[[#This Row],[age]]&lt;=60,"46-60","60+"))))</f>
        <v>46-60</v>
      </c>
      <c r="M624" s="2" t="str">
        <f>IF(Sheet1[[#This Row],[risk_score]]&lt;0.3,"Low",IF(Sheet1[[#This Row],[risk_score]]&lt;0.7,"Medium","High"))</f>
        <v>Medium</v>
      </c>
      <c r="N624">
        <f>YEAR(Sheet1[[#This Row],[date_joined]])</f>
        <v>2022</v>
      </c>
      <c r="O624" s="2" t="str">
        <f>TEXT(Sheet1[[#This Row],[date_joined]],"mmm")</f>
        <v>Feb</v>
      </c>
      <c r="P624" s="2" t="str">
        <f>"Q"&amp;ROUNDUP(MONTH(Sheet1[[#This Row],[date_joined]])/3,0)</f>
        <v>Q1</v>
      </c>
      <c r="Q624" s="2" t="str">
        <f>IF(Sheet1[[#This Row],[age]]&lt;30,"Young",IF(Sheet1[[#This Row],[age]]&lt;=50,"Adult","Senior"))</f>
        <v>Adult</v>
      </c>
      <c r="R624" s="2" t="str">
        <f t="shared" si="18"/>
        <v>High</v>
      </c>
      <c r="S624" s="2" t="str">
        <f t="shared" si="19"/>
        <v>East - Salaried</v>
      </c>
    </row>
    <row r="625" spans="1:19" x14ac:dyDescent="0.3">
      <c r="A625" t="s">
        <v>1273</v>
      </c>
      <c r="B625" t="s">
        <v>1274</v>
      </c>
      <c r="C625">
        <v>35</v>
      </c>
      <c r="D625" s="2" t="s">
        <v>13</v>
      </c>
      <c r="E625" s="2" t="s">
        <v>30</v>
      </c>
      <c r="F625" s="2" t="s">
        <v>37</v>
      </c>
      <c r="G625" s="2" t="s">
        <v>24</v>
      </c>
      <c r="H625" s="2" t="s">
        <v>17</v>
      </c>
      <c r="I625" s="2" t="s">
        <v>18</v>
      </c>
      <c r="J625">
        <v>0.57999999999999996</v>
      </c>
      <c r="K625" s="1">
        <v>44797</v>
      </c>
      <c r="L625" s="2" t="str">
        <f>IF(Sheet1[[#This Row],[age]]&lt;18, "Under 18",IF(Sheet1[[#This Row],[age]]&lt;=30,"18-30",IF(Sheet1[[#This Row],[age]]&lt;=45,"31-45",IF(Sheet1[[#This Row],[age]]&lt;=60,"46-60","60+"))))</f>
        <v>31-45</v>
      </c>
      <c r="M625" s="2" t="str">
        <f>IF(Sheet1[[#This Row],[risk_score]]&lt;0.3,"Low",IF(Sheet1[[#This Row],[risk_score]]&lt;0.7,"Medium","High"))</f>
        <v>Medium</v>
      </c>
      <c r="N625">
        <f>YEAR(Sheet1[[#This Row],[date_joined]])</f>
        <v>2022</v>
      </c>
      <c r="O625" s="2" t="str">
        <f>TEXT(Sheet1[[#This Row],[date_joined]],"mmm")</f>
        <v>Aug</v>
      </c>
      <c r="P625" s="2" t="str">
        <f>"Q"&amp;ROUNDUP(MONTH(Sheet1[[#This Row],[date_joined]])/3,0)</f>
        <v>Q3</v>
      </c>
      <c r="Q625" s="2" t="str">
        <f>IF(Sheet1[[#This Row],[age]]&lt;30,"Young",IF(Sheet1[[#This Row],[age]]&lt;=50,"Adult","Senior"))</f>
        <v>Adult</v>
      </c>
      <c r="R625" s="2" t="str">
        <f t="shared" si="18"/>
        <v>High</v>
      </c>
      <c r="S625" s="2" t="str">
        <f t="shared" si="19"/>
        <v>East - Retired</v>
      </c>
    </row>
    <row r="626" spans="1:19" x14ac:dyDescent="0.3">
      <c r="A626" t="s">
        <v>1275</v>
      </c>
      <c r="B626" t="s">
        <v>1276</v>
      </c>
      <c r="C626">
        <v>42</v>
      </c>
      <c r="D626" s="2" t="s">
        <v>21</v>
      </c>
      <c r="E626" s="2" t="s">
        <v>22</v>
      </c>
      <c r="F626" s="2" t="s">
        <v>37</v>
      </c>
      <c r="G626" s="2" t="s">
        <v>24</v>
      </c>
      <c r="H626" s="2" t="s">
        <v>18</v>
      </c>
      <c r="I626" s="2" t="s">
        <v>18</v>
      </c>
      <c r="J626">
        <v>0.68</v>
      </c>
      <c r="K626" s="1">
        <v>43998</v>
      </c>
      <c r="L626" s="2" t="str">
        <f>IF(Sheet1[[#This Row],[age]]&lt;18, "Under 18",IF(Sheet1[[#This Row],[age]]&lt;=30,"18-30",IF(Sheet1[[#This Row],[age]]&lt;=45,"31-45",IF(Sheet1[[#This Row],[age]]&lt;=60,"46-60","60+"))))</f>
        <v>31-45</v>
      </c>
      <c r="M626" s="2" t="str">
        <f>IF(Sheet1[[#This Row],[risk_score]]&lt;0.3,"Low",IF(Sheet1[[#This Row],[risk_score]]&lt;0.7,"Medium","High"))</f>
        <v>Medium</v>
      </c>
      <c r="N626">
        <f>YEAR(Sheet1[[#This Row],[date_joined]])</f>
        <v>2020</v>
      </c>
      <c r="O626" s="2" t="str">
        <f>TEXT(Sheet1[[#This Row],[date_joined]],"mmm")</f>
        <v>Jun</v>
      </c>
      <c r="P626" s="2" t="str">
        <f>"Q"&amp;ROUNDUP(MONTH(Sheet1[[#This Row],[date_joined]])/3,0)</f>
        <v>Q2</v>
      </c>
      <c r="Q626" s="2" t="str">
        <f>IF(Sheet1[[#This Row],[age]]&lt;30,"Young",IF(Sheet1[[#This Row],[age]]&lt;=50,"Adult","Senior"))</f>
        <v>Adult</v>
      </c>
      <c r="R626" s="2" t="str">
        <f t="shared" si="18"/>
        <v>Very High</v>
      </c>
      <c r="S626" s="2" t="str">
        <f t="shared" si="19"/>
        <v>East - Retired</v>
      </c>
    </row>
    <row r="627" spans="1:19" x14ac:dyDescent="0.3">
      <c r="A627" t="s">
        <v>1277</v>
      </c>
      <c r="B627" t="s">
        <v>1278</v>
      </c>
      <c r="C627">
        <v>20</v>
      </c>
      <c r="D627" s="2" t="s">
        <v>21</v>
      </c>
      <c r="E627" s="2" t="s">
        <v>22</v>
      </c>
      <c r="F627" s="2" t="s">
        <v>23</v>
      </c>
      <c r="G627" s="2" t="s">
        <v>24</v>
      </c>
      <c r="H627" s="2" t="s">
        <v>17</v>
      </c>
      <c r="I627" s="2" t="s">
        <v>17</v>
      </c>
      <c r="J627">
        <v>0.45</v>
      </c>
      <c r="K627" s="1">
        <v>43654</v>
      </c>
      <c r="L627" s="2" t="str">
        <f>IF(Sheet1[[#This Row],[age]]&lt;18, "Under 18",IF(Sheet1[[#This Row],[age]]&lt;=30,"18-30",IF(Sheet1[[#This Row],[age]]&lt;=45,"31-45",IF(Sheet1[[#This Row],[age]]&lt;=60,"46-60","60+"))))</f>
        <v>18-30</v>
      </c>
      <c r="M627" s="2" t="str">
        <f>IF(Sheet1[[#This Row],[risk_score]]&lt;0.3,"Low",IF(Sheet1[[#This Row],[risk_score]]&lt;0.7,"Medium","High"))</f>
        <v>Medium</v>
      </c>
      <c r="N627">
        <f>YEAR(Sheet1[[#This Row],[date_joined]])</f>
        <v>2019</v>
      </c>
      <c r="O627" s="2" t="str">
        <f>TEXT(Sheet1[[#This Row],[date_joined]],"mmm")</f>
        <v>Jul</v>
      </c>
      <c r="P627" s="2" t="str">
        <f>"Q"&amp;ROUNDUP(MONTH(Sheet1[[#This Row],[date_joined]])/3,0)</f>
        <v>Q3</v>
      </c>
      <c r="Q627" s="2" t="str">
        <f>IF(Sheet1[[#This Row],[age]]&lt;30,"Young",IF(Sheet1[[#This Row],[age]]&lt;=50,"Adult","Senior"))</f>
        <v>Young</v>
      </c>
      <c r="R627" s="2" t="str">
        <f t="shared" si="18"/>
        <v>Low</v>
      </c>
      <c r="S627" s="2" t="str">
        <f t="shared" si="19"/>
        <v>East - Salaried</v>
      </c>
    </row>
    <row r="628" spans="1:19" x14ac:dyDescent="0.3">
      <c r="A628" t="s">
        <v>1279</v>
      </c>
      <c r="B628" t="s">
        <v>1280</v>
      </c>
      <c r="C628">
        <v>41</v>
      </c>
      <c r="D628" s="2" t="s">
        <v>13</v>
      </c>
      <c r="E628" s="2" t="s">
        <v>22</v>
      </c>
      <c r="F628" s="2" t="s">
        <v>31</v>
      </c>
      <c r="G628" s="2" t="s">
        <v>81</v>
      </c>
      <c r="H628" s="2" t="s">
        <v>18</v>
      </c>
      <c r="I628" s="2" t="s">
        <v>17</v>
      </c>
      <c r="J628">
        <v>0.46</v>
      </c>
      <c r="K628" s="1">
        <v>44110</v>
      </c>
      <c r="L628" s="2" t="str">
        <f>IF(Sheet1[[#This Row],[age]]&lt;18, "Under 18",IF(Sheet1[[#This Row],[age]]&lt;=30,"18-30",IF(Sheet1[[#This Row],[age]]&lt;=45,"31-45",IF(Sheet1[[#This Row],[age]]&lt;=60,"46-60","60+"))))</f>
        <v>31-45</v>
      </c>
      <c r="M628" s="2" t="str">
        <f>IF(Sheet1[[#This Row],[risk_score]]&lt;0.3,"Low",IF(Sheet1[[#This Row],[risk_score]]&lt;0.7,"Medium","High"))</f>
        <v>Medium</v>
      </c>
      <c r="N628">
        <f>YEAR(Sheet1[[#This Row],[date_joined]])</f>
        <v>2020</v>
      </c>
      <c r="O628" s="2" t="str">
        <f>TEXT(Sheet1[[#This Row],[date_joined]],"mmm")</f>
        <v>Oct</v>
      </c>
      <c r="P628" s="2" t="str">
        <f>"Q"&amp;ROUNDUP(MONTH(Sheet1[[#This Row],[date_joined]])/3,0)</f>
        <v>Q4</v>
      </c>
      <c r="Q628" s="2" t="str">
        <f>IF(Sheet1[[#This Row],[age]]&lt;30,"Young",IF(Sheet1[[#This Row],[age]]&lt;=50,"Adult","Senior"))</f>
        <v>Adult</v>
      </c>
      <c r="R628" s="2" t="str">
        <f t="shared" si="18"/>
        <v>High</v>
      </c>
      <c r="S628" s="2" t="str">
        <f t="shared" si="19"/>
        <v>Central - Self-employed</v>
      </c>
    </row>
    <row r="629" spans="1:19" x14ac:dyDescent="0.3">
      <c r="A629" t="s">
        <v>1281</v>
      </c>
      <c r="B629" t="s">
        <v>1282</v>
      </c>
      <c r="C629">
        <v>19</v>
      </c>
      <c r="D629" s="2" t="s">
        <v>21</v>
      </c>
      <c r="E629" s="2" t="s">
        <v>30</v>
      </c>
      <c r="F629" s="2" t="s">
        <v>31</v>
      </c>
      <c r="G629" s="2" t="s">
        <v>24</v>
      </c>
      <c r="H629" s="2" t="s">
        <v>18</v>
      </c>
      <c r="I629" s="2" t="s">
        <v>17</v>
      </c>
      <c r="J629">
        <v>0.31</v>
      </c>
      <c r="K629" s="1">
        <v>44808</v>
      </c>
      <c r="L629" s="2" t="str">
        <f>IF(Sheet1[[#This Row],[age]]&lt;18, "Under 18",IF(Sheet1[[#This Row],[age]]&lt;=30,"18-30",IF(Sheet1[[#This Row],[age]]&lt;=45,"31-45",IF(Sheet1[[#This Row],[age]]&lt;=60,"46-60","60+"))))</f>
        <v>18-30</v>
      </c>
      <c r="M629" s="2" t="str">
        <f>IF(Sheet1[[#This Row],[risk_score]]&lt;0.3,"Low",IF(Sheet1[[#This Row],[risk_score]]&lt;0.7,"Medium","High"))</f>
        <v>Medium</v>
      </c>
      <c r="N629">
        <f>YEAR(Sheet1[[#This Row],[date_joined]])</f>
        <v>2022</v>
      </c>
      <c r="O629" s="2" t="str">
        <f>TEXT(Sheet1[[#This Row],[date_joined]],"mmm")</f>
        <v>Sep</v>
      </c>
      <c r="P629" s="2" t="str">
        <f>"Q"&amp;ROUNDUP(MONTH(Sheet1[[#This Row],[date_joined]])/3,0)</f>
        <v>Q3</v>
      </c>
      <c r="Q629" s="2" t="str">
        <f>IF(Sheet1[[#This Row],[age]]&lt;30,"Young",IF(Sheet1[[#This Row],[age]]&lt;=50,"Adult","Senior"))</f>
        <v>Young</v>
      </c>
      <c r="R629" s="2" t="str">
        <f t="shared" si="18"/>
        <v>High</v>
      </c>
      <c r="S629" s="2" t="str">
        <f t="shared" si="19"/>
        <v>East - Self-employed</v>
      </c>
    </row>
    <row r="630" spans="1:19" x14ac:dyDescent="0.3">
      <c r="A630" t="s">
        <v>1283</v>
      </c>
      <c r="B630" t="s">
        <v>1284</v>
      </c>
      <c r="C630">
        <v>47</v>
      </c>
      <c r="D630" s="2" t="s">
        <v>21</v>
      </c>
      <c r="E630" s="2" t="s">
        <v>14</v>
      </c>
      <c r="F630" s="2" t="s">
        <v>37</v>
      </c>
      <c r="G630" s="2" t="s">
        <v>32</v>
      </c>
      <c r="H630" s="2" t="s">
        <v>17</v>
      </c>
      <c r="I630" s="2" t="s">
        <v>17</v>
      </c>
      <c r="J630">
        <v>0.53</v>
      </c>
      <c r="K630" s="1">
        <v>44499</v>
      </c>
      <c r="L630" s="2" t="str">
        <f>IF(Sheet1[[#This Row],[age]]&lt;18, "Under 18",IF(Sheet1[[#This Row],[age]]&lt;=30,"18-30",IF(Sheet1[[#This Row],[age]]&lt;=45,"31-45",IF(Sheet1[[#This Row],[age]]&lt;=60,"46-60","60+"))))</f>
        <v>46-60</v>
      </c>
      <c r="M630" s="2" t="str">
        <f>IF(Sheet1[[#This Row],[risk_score]]&lt;0.3,"Low",IF(Sheet1[[#This Row],[risk_score]]&lt;0.7,"Medium","High"))</f>
        <v>Medium</v>
      </c>
      <c r="N630">
        <f>YEAR(Sheet1[[#This Row],[date_joined]])</f>
        <v>2021</v>
      </c>
      <c r="O630" s="2" t="str">
        <f>TEXT(Sheet1[[#This Row],[date_joined]],"mmm")</f>
        <v>Oct</v>
      </c>
      <c r="P630" s="2" t="str">
        <f>"Q"&amp;ROUNDUP(MONTH(Sheet1[[#This Row],[date_joined]])/3,0)</f>
        <v>Q4</v>
      </c>
      <c r="Q630" s="2" t="str">
        <f>IF(Sheet1[[#This Row],[age]]&lt;30,"Young",IF(Sheet1[[#This Row],[age]]&lt;=50,"Adult","Senior"))</f>
        <v>Adult</v>
      </c>
      <c r="R630" s="2" t="str">
        <f t="shared" si="18"/>
        <v>Low</v>
      </c>
      <c r="S630" s="2" t="str">
        <f t="shared" si="19"/>
        <v>South - Retired</v>
      </c>
    </row>
    <row r="631" spans="1:19" x14ac:dyDescent="0.3">
      <c r="A631" t="s">
        <v>1285</v>
      </c>
      <c r="B631" t="s">
        <v>1286</v>
      </c>
      <c r="C631">
        <v>20</v>
      </c>
      <c r="D631" s="2" t="s">
        <v>21</v>
      </c>
      <c r="E631" s="2" t="s">
        <v>14</v>
      </c>
      <c r="F631" s="2" t="s">
        <v>31</v>
      </c>
      <c r="G631" s="2" t="s">
        <v>32</v>
      </c>
      <c r="H631" s="2" t="s">
        <v>17</v>
      </c>
      <c r="I631" s="2" t="s">
        <v>18</v>
      </c>
      <c r="J631">
        <v>1</v>
      </c>
      <c r="K631" s="1">
        <v>43462</v>
      </c>
      <c r="L631" s="2" t="str">
        <f>IF(Sheet1[[#This Row],[age]]&lt;18, "Under 18",IF(Sheet1[[#This Row],[age]]&lt;=30,"18-30",IF(Sheet1[[#This Row],[age]]&lt;=45,"31-45",IF(Sheet1[[#This Row],[age]]&lt;=60,"46-60","60+"))))</f>
        <v>18-30</v>
      </c>
      <c r="M631" s="2" t="str">
        <f>IF(Sheet1[[#This Row],[risk_score]]&lt;0.3,"Low",IF(Sheet1[[#This Row],[risk_score]]&lt;0.7,"Medium","High"))</f>
        <v>High</v>
      </c>
      <c r="N631">
        <f>YEAR(Sheet1[[#This Row],[date_joined]])</f>
        <v>2018</v>
      </c>
      <c r="O631" s="2" t="str">
        <f>TEXT(Sheet1[[#This Row],[date_joined]],"mmm")</f>
        <v>Dec</v>
      </c>
      <c r="P631" s="2" t="str">
        <f>"Q"&amp;ROUNDUP(MONTH(Sheet1[[#This Row],[date_joined]])/3,0)</f>
        <v>Q4</v>
      </c>
      <c r="Q631" s="2" t="str">
        <f>IF(Sheet1[[#This Row],[age]]&lt;30,"Young",IF(Sheet1[[#This Row],[age]]&lt;=50,"Adult","Senior"))</f>
        <v>Young</v>
      </c>
      <c r="R631" s="2" t="str">
        <f t="shared" si="18"/>
        <v>High</v>
      </c>
      <c r="S631" s="2" t="str">
        <f t="shared" si="19"/>
        <v>South - Self-employed</v>
      </c>
    </row>
    <row r="632" spans="1:19" x14ac:dyDescent="0.3">
      <c r="A632" t="s">
        <v>1287</v>
      </c>
      <c r="B632" t="s">
        <v>1288</v>
      </c>
      <c r="C632">
        <v>47</v>
      </c>
      <c r="D632" s="2" t="s">
        <v>21</v>
      </c>
      <c r="E632" s="2" t="s">
        <v>22</v>
      </c>
      <c r="F632" s="2" t="s">
        <v>31</v>
      </c>
      <c r="G632" s="2" t="s">
        <v>66</v>
      </c>
      <c r="H632" s="2" t="s">
        <v>18</v>
      </c>
      <c r="I632" s="2" t="s">
        <v>17</v>
      </c>
      <c r="J632">
        <v>0.31</v>
      </c>
      <c r="K632" s="1">
        <v>43741</v>
      </c>
      <c r="L632" s="2" t="str">
        <f>IF(Sheet1[[#This Row],[age]]&lt;18, "Under 18",IF(Sheet1[[#This Row],[age]]&lt;=30,"18-30",IF(Sheet1[[#This Row],[age]]&lt;=45,"31-45",IF(Sheet1[[#This Row],[age]]&lt;=60,"46-60","60+"))))</f>
        <v>46-60</v>
      </c>
      <c r="M632" s="2" t="str">
        <f>IF(Sheet1[[#This Row],[risk_score]]&lt;0.3,"Low",IF(Sheet1[[#This Row],[risk_score]]&lt;0.7,"Medium","High"))</f>
        <v>Medium</v>
      </c>
      <c r="N632">
        <f>YEAR(Sheet1[[#This Row],[date_joined]])</f>
        <v>2019</v>
      </c>
      <c r="O632" s="2" t="str">
        <f>TEXT(Sheet1[[#This Row],[date_joined]],"mmm")</f>
        <v>Oct</v>
      </c>
      <c r="P632" s="2" t="str">
        <f>"Q"&amp;ROUNDUP(MONTH(Sheet1[[#This Row],[date_joined]])/3,0)</f>
        <v>Q4</v>
      </c>
      <c r="Q632" s="2" t="str">
        <f>IF(Sheet1[[#This Row],[age]]&lt;30,"Young",IF(Sheet1[[#This Row],[age]]&lt;=50,"Adult","Senior"))</f>
        <v>Adult</v>
      </c>
      <c r="R632" s="2" t="str">
        <f t="shared" si="18"/>
        <v>High</v>
      </c>
      <c r="S632" s="2" t="str">
        <f t="shared" si="19"/>
        <v>North-East - Self-employed</v>
      </c>
    </row>
    <row r="633" spans="1:19" x14ac:dyDescent="0.3">
      <c r="A633" t="s">
        <v>1289</v>
      </c>
      <c r="B633" t="s">
        <v>1290</v>
      </c>
      <c r="C633">
        <v>28</v>
      </c>
      <c r="D633" s="2" t="s">
        <v>13</v>
      </c>
      <c r="E633" s="2" t="s">
        <v>22</v>
      </c>
      <c r="F633" s="2" t="s">
        <v>31</v>
      </c>
      <c r="G633" s="2" t="s">
        <v>66</v>
      </c>
      <c r="H633" s="2" t="s">
        <v>18</v>
      </c>
      <c r="I633" s="2" t="s">
        <v>17</v>
      </c>
      <c r="J633">
        <v>0.28000000000000003</v>
      </c>
      <c r="K633" s="1">
        <v>45269</v>
      </c>
      <c r="L633" s="2" t="str">
        <f>IF(Sheet1[[#This Row],[age]]&lt;18, "Under 18",IF(Sheet1[[#This Row],[age]]&lt;=30,"18-30",IF(Sheet1[[#This Row],[age]]&lt;=45,"31-45",IF(Sheet1[[#This Row],[age]]&lt;=60,"46-60","60+"))))</f>
        <v>18-30</v>
      </c>
      <c r="M633" s="2" t="str">
        <f>IF(Sheet1[[#This Row],[risk_score]]&lt;0.3,"Low",IF(Sheet1[[#This Row],[risk_score]]&lt;0.7,"Medium","High"))</f>
        <v>Low</v>
      </c>
      <c r="N633">
        <f>YEAR(Sheet1[[#This Row],[date_joined]])</f>
        <v>2023</v>
      </c>
      <c r="O633" s="2" t="str">
        <f>TEXT(Sheet1[[#This Row],[date_joined]],"mmm")</f>
        <v>Dec</v>
      </c>
      <c r="P633" s="2" t="str">
        <f>"Q"&amp;ROUNDUP(MONTH(Sheet1[[#This Row],[date_joined]])/3,0)</f>
        <v>Q4</v>
      </c>
      <c r="Q633" s="2" t="str">
        <f>IF(Sheet1[[#This Row],[age]]&lt;30,"Young",IF(Sheet1[[#This Row],[age]]&lt;=50,"Adult","Senior"))</f>
        <v>Young</v>
      </c>
      <c r="R633" s="2" t="str">
        <f t="shared" si="18"/>
        <v>High</v>
      </c>
      <c r="S633" s="2" t="str">
        <f t="shared" si="19"/>
        <v>North-East - Self-employed</v>
      </c>
    </row>
    <row r="634" spans="1:19" x14ac:dyDescent="0.3">
      <c r="A634" t="s">
        <v>1291</v>
      </c>
      <c r="B634" t="s">
        <v>1292</v>
      </c>
      <c r="C634">
        <v>62</v>
      </c>
      <c r="D634" s="2" t="s">
        <v>13</v>
      </c>
      <c r="E634" s="2" t="s">
        <v>22</v>
      </c>
      <c r="F634" s="2" t="s">
        <v>31</v>
      </c>
      <c r="G634" s="2" t="s">
        <v>32</v>
      </c>
      <c r="H634" s="2" t="s">
        <v>17</v>
      </c>
      <c r="I634" s="2" t="s">
        <v>17</v>
      </c>
      <c r="J634">
        <v>0.47</v>
      </c>
      <c r="K634" s="1">
        <v>43749</v>
      </c>
      <c r="L634" s="2" t="str">
        <f>IF(Sheet1[[#This Row],[age]]&lt;18, "Under 18",IF(Sheet1[[#This Row],[age]]&lt;=30,"18-30",IF(Sheet1[[#This Row],[age]]&lt;=45,"31-45",IF(Sheet1[[#This Row],[age]]&lt;=60,"46-60","60+"))))</f>
        <v>60+</v>
      </c>
      <c r="M634" s="2" t="str">
        <f>IF(Sheet1[[#This Row],[risk_score]]&lt;0.3,"Low",IF(Sheet1[[#This Row],[risk_score]]&lt;0.7,"Medium","High"))</f>
        <v>Medium</v>
      </c>
      <c r="N634">
        <f>YEAR(Sheet1[[#This Row],[date_joined]])</f>
        <v>2019</v>
      </c>
      <c r="O634" s="2" t="str">
        <f>TEXT(Sheet1[[#This Row],[date_joined]],"mmm")</f>
        <v>Oct</v>
      </c>
      <c r="P634" s="2" t="str">
        <f>"Q"&amp;ROUNDUP(MONTH(Sheet1[[#This Row],[date_joined]])/3,0)</f>
        <v>Q4</v>
      </c>
      <c r="Q634" s="2" t="str">
        <f>IF(Sheet1[[#This Row],[age]]&lt;30,"Young",IF(Sheet1[[#This Row],[age]]&lt;=50,"Adult","Senior"))</f>
        <v>Senior</v>
      </c>
      <c r="R634" s="2" t="str">
        <f t="shared" si="18"/>
        <v>Low</v>
      </c>
      <c r="S634" s="2" t="str">
        <f t="shared" si="19"/>
        <v>South - Self-employed</v>
      </c>
    </row>
    <row r="635" spans="1:19" x14ac:dyDescent="0.3">
      <c r="A635" t="s">
        <v>1293</v>
      </c>
      <c r="B635" t="s">
        <v>1294</v>
      </c>
      <c r="C635">
        <v>50</v>
      </c>
      <c r="D635" s="2" t="s">
        <v>21</v>
      </c>
      <c r="E635" s="2" t="s">
        <v>22</v>
      </c>
      <c r="F635" s="2" t="s">
        <v>15</v>
      </c>
      <c r="G635" s="2" t="s">
        <v>16</v>
      </c>
      <c r="H635" s="2" t="s">
        <v>17</v>
      </c>
      <c r="I635" s="2" t="s">
        <v>17</v>
      </c>
      <c r="J635">
        <v>0.79</v>
      </c>
      <c r="K635" s="1">
        <v>44476</v>
      </c>
      <c r="L635" s="2" t="str">
        <f>IF(Sheet1[[#This Row],[age]]&lt;18, "Under 18",IF(Sheet1[[#This Row],[age]]&lt;=30,"18-30",IF(Sheet1[[#This Row],[age]]&lt;=45,"31-45",IF(Sheet1[[#This Row],[age]]&lt;=60,"46-60","60+"))))</f>
        <v>46-60</v>
      </c>
      <c r="M635" s="2" t="str">
        <f>IF(Sheet1[[#This Row],[risk_score]]&lt;0.3,"Low",IF(Sheet1[[#This Row],[risk_score]]&lt;0.7,"Medium","High"))</f>
        <v>High</v>
      </c>
      <c r="N635">
        <f>YEAR(Sheet1[[#This Row],[date_joined]])</f>
        <v>2021</v>
      </c>
      <c r="O635" s="2" t="str">
        <f>TEXT(Sheet1[[#This Row],[date_joined]],"mmm")</f>
        <v>Oct</v>
      </c>
      <c r="P635" s="2" t="str">
        <f>"Q"&amp;ROUNDUP(MONTH(Sheet1[[#This Row],[date_joined]])/3,0)</f>
        <v>Q4</v>
      </c>
      <c r="Q635" s="2" t="str">
        <f>IF(Sheet1[[#This Row],[age]]&lt;30,"Young",IF(Sheet1[[#This Row],[age]]&lt;=50,"Adult","Senior"))</f>
        <v>Adult</v>
      </c>
      <c r="R635" s="2" t="str">
        <f t="shared" si="18"/>
        <v>Low</v>
      </c>
      <c r="S635" s="2" t="str">
        <f t="shared" si="19"/>
        <v>West - Student</v>
      </c>
    </row>
    <row r="636" spans="1:19" x14ac:dyDescent="0.3">
      <c r="A636" t="s">
        <v>1295</v>
      </c>
      <c r="B636" t="s">
        <v>1296</v>
      </c>
      <c r="C636">
        <v>38</v>
      </c>
      <c r="D636" s="2" t="s">
        <v>13</v>
      </c>
      <c r="E636" s="2" t="s">
        <v>22</v>
      </c>
      <c r="F636" s="2" t="s">
        <v>37</v>
      </c>
      <c r="G636" s="2" t="s">
        <v>24</v>
      </c>
      <c r="H636" s="2" t="s">
        <v>18</v>
      </c>
      <c r="I636" s="2" t="s">
        <v>18</v>
      </c>
      <c r="J636">
        <v>0.43</v>
      </c>
      <c r="K636" s="1">
        <v>43925</v>
      </c>
      <c r="L636" s="2" t="str">
        <f>IF(Sheet1[[#This Row],[age]]&lt;18, "Under 18",IF(Sheet1[[#This Row],[age]]&lt;=30,"18-30",IF(Sheet1[[#This Row],[age]]&lt;=45,"31-45",IF(Sheet1[[#This Row],[age]]&lt;=60,"46-60","60+"))))</f>
        <v>31-45</v>
      </c>
      <c r="M636" s="2" t="str">
        <f>IF(Sheet1[[#This Row],[risk_score]]&lt;0.3,"Low",IF(Sheet1[[#This Row],[risk_score]]&lt;0.7,"Medium","High"))</f>
        <v>Medium</v>
      </c>
      <c r="N636">
        <f>YEAR(Sheet1[[#This Row],[date_joined]])</f>
        <v>2020</v>
      </c>
      <c r="O636" s="2" t="str">
        <f>TEXT(Sheet1[[#This Row],[date_joined]],"mmm")</f>
        <v>Apr</v>
      </c>
      <c r="P636" s="2" t="str">
        <f>"Q"&amp;ROUNDUP(MONTH(Sheet1[[#This Row],[date_joined]])/3,0)</f>
        <v>Q2</v>
      </c>
      <c r="Q636" s="2" t="str">
        <f>IF(Sheet1[[#This Row],[age]]&lt;30,"Young",IF(Sheet1[[#This Row],[age]]&lt;=50,"Adult","Senior"))</f>
        <v>Adult</v>
      </c>
      <c r="R636" s="2" t="str">
        <f t="shared" si="18"/>
        <v>Very High</v>
      </c>
      <c r="S636" s="2" t="str">
        <f t="shared" si="19"/>
        <v>East - Retired</v>
      </c>
    </row>
    <row r="637" spans="1:19" x14ac:dyDescent="0.3">
      <c r="A637" t="s">
        <v>1297</v>
      </c>
      <c r="B637" t="s">
        <v>1298</v>
      </c>
      <c r="C637">
        <v>56</v>
      </c>
      <c r="D637" s="2" t="s">
        <v>21</v>
      </c>
      <c r="E637" s="2" t="s">
        <v>30</v>
      </c>
      <c r="F637" s="2" t="s">
        <v>37</v>
      </c>
      <c r="G637" s="2" t="s">
        <v>66</v>
      </c>
      <c r="H637" s="2" t="s">
        <v>17</v>
      </c>
      <c r="I637" s="2" t="s">
        <v>18</v>
      </c>
      <c r="J637">
        <v>0.39</v>
      </c>
      <c r="K637" s="1">
        <v>44752</v>
      </c>
      <c r="L637" s="2" t="str">
        <f>IF(Sheet1[[#This Row],[age]]&lt;18, "Under 18",IF(Sheet1[[#This Row],[age]]&lt;=30,"18-30",IF(Sheet1[[#This Row],[age]]&lt;=45,"31-45",IF(Sheet1[[#This Row],[age]]&lt;=60,"46-60","60+"))))</f>
        <v>46-60</v>
      </c>
      <c r="M637" s="2" t="str">
        <f>IF(Sheet1[[#This Row],[risk_score]]&lt;0.3,"Low",IF(Sheet1[[#This Row],[risk_score]]&lt;0.7,"Medium","High"))</f>
        <v>Medium</v>
      </c>
      <c r="N637">
        <f>YEAR(Sheet1[[#This Row],[date_joined]])</f>
        <v>2022</v>
      </c>
      <c r="O637" s="2" t="str">
        <f>TEXT(Sheet1[[#This Row],[date_joined]],"mmm")</f>
        <v>Jul</v>
      </c>
      <c r="P637" s="2" t="str">
        <f>"Q"&amp;ROUNDUP(MONTH(Sheet1[[#This Row],[date_joined]])/3,0)</f>
        <v>Q3</v>
      </c>
      <c r="Q637" s="2" t="str">
        <f>IF(Sheet1[[#This Row],[age]]&lt;30,"Young",IF(Sheet1[[#This Row],[age]]&lt;=50,"Adult","Senior"))</f>
        <v>Senior</v>
      </c>
      <c r="R637" s="2" t="str">
        <f t="shared" si="18"/>
        <v>High</v>
      </c>
      <c r="S637" s="2" t="str">
        <f t="shared" si="19"/>
        <v>North-East - Retired</v>
      </c>
    </row>
    <row r="638" spans="1:19" x14ac:dyDescent="0.3">
      <c r="A638" t="s">
        <v>1299</v>
      </c>
      <c r="B638" t="s">
        <v>1300</v>
      </c>
      <c r="C638">
        <v>19</v>
      </c>
      <c r="D638" s="2" t="s">
        <v>21</v>
      </c>
      <c r="E638" s="2" t="s">
        <v>22</v>
      </c>
      <c r="F638" s="2" t="s">
        <v>37</v>
      </c>
      <c r="G638" s="2" t="s">
        <v>66</v>
      </c>
      <c r="H638" s="2" t="s">
        <v>18</v>
      </c>
      <c r="I638" s="2" t="s">
        <v>17</v>
      </c>
      <c r="J638">
        <v>0.48</v>
      </c>
      <c r="K638" s="1">
        <v>44042</v>
      </c>
      <c r="L638" s="2" t="str">
        <f>IF(Sheet1[[#This Row],[age]]&lt;18, "Under 18",IF(Sheet1[[#This Row],[age]]&lt;=30,"18-30",IF(Sheet1[[#This Row],[age]]&lt;=45,"31-45",IF(Sheet1[[#This Row],[age]]&lt;=60,"46-60","60+"))))</f>
        <v>18-30</v>
      </c>
      <c r="M638" s="2" t="str">
        <f>IF(Sheet1[[#This Row],[risk_score]]&lt;0.3,"Low",IF(Sheet1[[#This Row],[risk_score]]&lt;0.7,"Medium","High"))</f>
        <v>Medium</v>
      </c>
      <c r="N638">
        <f>YEAR(Sheet1[[#This Row],[date_joined]])</f>
        <v>2020</v>
      </c>
      <c r="O638" s="2" t="str">
        <f>TEXT(Sheet1[[#This Row],[date_joined]],"mmm")</f>
        <v>Jul</v>
      </c>
      <c r="P638" s="2" t="str">
        <f>"Q"&amp;ROUNDUP(MONTH(Sheet1[[#This Row],[date_joined]])/3,0)</f>
        <v>Q3</v>
      </c>
      <c r="Q638" s="2" t="str">
        <f>IF(Sheet1[[#This Row],[age]]&lt;30,"Young",IF(Sheet1[[#This Row],[age]]&lt;=50,"Adult","Senior"))</f>
        <v>Young</v>
      </c>
      <c r="R638" s="2" t="str">
        <f t="shared" si="18"/>
        <v>High</v>
      </c>
      <c r="S638" s="2" t="str">
        <f t="shared" si="19"/>
        <v>North-East - Retired</v>
      </c>
    </row>
    <row r="639" spans="1:19" x14ac:dyDescent="0.3">
      <c r="A639" t="s">
        <v>1301</v>
      </c>
      <c r="B639" t="s">
        <v>1302</v>
      </c>
      <c r="C639">
        <v>57</v>
      </c>
      <c r="D639" s="2" t="s">
        <v>21</v>
      </c>
      <c r="E639" s="2" t="s">
        <v>22</v>
      </c>
      <c r="F639" s="2" t="s">
        <v>23</v>
      </c>
      <c r="G639" s="2" t="s">
        <v>24</v>
      </c>
      <c r="H639" s="2" t="s">
        <v>18</v>
      </c>
      <c r="I639" s="2" t="s">
        <v>17</v>
      </c>
      <c r="J639">
        <v>0.6</v>
      </c>
      <c r="K639" s="1">
        <v>43269</v>
      </c>
      <c r="L639" s="2" t="str">
        <f>IF(Sheet1[[#This Row],[age]]&lt;18, "Under 18",IF(Sheet1[[#This Row],[age]]&lt;=30,"18-30",IF(Sheet1[[#This Row],[age]]&lt;=45,"31-45",IF(Sheet1[[#This Row],[age]]&lt;=60,"46-60","60+"))))</f>
        <v>46-60</v>
      </c>
      <c r="M639" s="2" t="str">
        <f>IF(Sheet1[[#This Row],[risk_score]]&lt;0.3,"Low",IF(Sheet1[[#This Row],[risk_score]]&lt;0.7,"Medium","High"))</f>
        <v>Medium</v>
      </c>
      <c r="N639">
        <f>YEAR(Sheet1[[#This Row],[date_joined]])</f>
        <v>2018</v>
      </c>
      <c r="O639" s="2" t="str">
        <f>TEXT(Sheet1[[#This Row],[date_joined]],"mmm")</f>
        <v>Jun</v>
      </c>
      <c r="P639" s="2" t="str">
        <f>"Q"&amp;ROUNDUP(MONTH(Sheet1[[#This Row],[date_joined]])/3,0)</f>
        <v>Q2</v>
      </c>
      <c r="Q639" s="2" t="str">
        <f>IF(Sheet1[[#This Row],[age]]&lt;30,"Young",IF(Sheet1[[#This Row],[age]]&lt;=50,"Adult","Senior"))</f>
        <v>Senior</v>
      </c>
      <c r="R639" s="2" t="str">
        <f t="shared" si="18"/>
        <v>High</v>
      </c>
      <c r="S639" s="2" t="str">
        <f t="shared" si="19"/>
        <v>East - Salaried</v>
      </c>
    </row>
    <row r="640" spans="1:19" x14ac:dyDescent="0.3">
      <c r="A640" t="s">
        <v>1303</v>
      </c>
      <c r="B640" t="s">
        <v>1304</v>
      </c>
      <c r="C640">
        <v>41</v>
      </c>
      <c r="D640" s="2" t="s">
        <v>13</v>
      </c>
      <c r="E640" s="2" t="s">
        <v>22</v>
      </c>
      <c r="F640" s="2" t="s">
        <v>31</v>
      </c>
      <c r="G640" s="2" t="s">
        <v>32</v>
      </c>
      <c r="H640" s="2" t="s">
        <v>18</v>
      </c>
      <c r="I640" s="2" t="s">
        <v>18</v>
      </c>
      <c r="J640">
        <v>0.28000000000000003</v>
      </c>
      <c r="K640" s="1">
        <v>44407</v>
      </c>
      <c r="L640" s="2" t="str">
        <f>IF(Sheet1[[#This Row],[age]]&lt;18, "Under 18",IF(Sheet1[[#This Row],[age]]&lt;=30,"18-30",IF(Sheet1[[#This Row],[age]]&lt;=45,"31-45",IF(Sheet1[[#This Row],[age]]&lt;=60,"46-60","60+"))))</f>
        <v>31-45</v>
      </c>
      <c r="M640" s="2" t="str">
        <f>IF(Sheet1[[#This Row],[risk_score]]&lt;0.3,"Low",IF(Sheet1[[#This Row],[risk_score]]&lt;0.7,"Medium","High"))</f>
        <v>Low</v>
      </c>
      <c r="N640">
        <f>YEAR(Sheet1[[#This Row],[date_joined]])</f>
        <v>2021</v>
      </c>
      <c r="O640" s="2" t="str">
        <f>TEXT(Sheet1[[#This Row],[date_joined]],"mmm")</f>
        <v>Jul</v>
      </c>
      <c r="P640" s="2" t="str">
        <f>"Q"&amp;ROUNDUP(MONTH(Sheet1[[#This Row],[date_joined]])/3,0)</f>
        <v>Q3</v>
      </c>
      <c r="Q640" s="2" t="str">
        <f>IF(Sheet1[[#This Row],[age]]&lt;30,"Young",IF(Sheet1[[#This Row],[age]]&lt;=50,"Adult","Senior"))</f>
        <v>Adult</v>
      </c>
      <c r="R640" s="2" t="str">
        <f t="shared" si="18"/>
        <v>Very High</v>
      </c>
      <c r="S640" s="2" t="str">
        <f t="shared" si="19"/>
        <v>South - Self-employed</v>
      </c>
    </row>
    <row r="641" spans="1:19" x14ac:dyDescent="0.3">
      <c r="A641" t="s">
        <v>1305</v>
      </c>
      <c r="B641" t="s">
        <v>1306</v>
      </c>
      <c r="C641">
        <v>40</v>
      </c>
      <c r="D641" s="2" t="s">
        <v>13</v>
      </c>
      <c r="E641" s="2" t="s">
        <v>22</v>
      </c>
      <c r="F641" s="2" t="s">
        <v>23</v>
      </c>
      <c r="G641" s="2" t="s">
        <v>27</v>
      </c>
      <c r="H641" s="2" t="s">
        <v>17</v>
      </c>
      <c r="I641" s="2" t="s">
        <v>17</v>
      </c>
      <c r="J641">
        <v>0.32</v>
      </c>
      <c r="K641" s="1">
        <v>44246</v>
      </c>
      <c r="L641" s="2" t="str">
        <f>IF(Sheet1[[#This Row],[age]]&lt;18, "Under 18",IF(Sheet1[[#This Row],[age]]&lt;=30,"18-30",IF(Sheet1[[#This Row],[age]]&lt;=45,"31-45",IF(Sheet1[[#This Row],[age]]&lt;=60,"46-60","60+"))))</f>
        <v>31-45</v>
      </c>
      <c r="M641" s="2" t="str">
        <f>IF(Sheet1[[#This Row],[risk_score]]&lt;0.3,"Low",IF(Sheet1[[#This Row],[risk_score]]&lt;0.7,"Medium","High"))</f>
        <v>Medium</v>
      </c>
      <c r="N641">
        <f>YEAR(Sheet1[[#This Row],[date_joined]])</f>
        <v>2021</v>
      </c>
      <c r="O641" s="2" t="str">
        <f>TEXT(Sheet1[[#This Row],[date_joined]],"mmm")</f>
        <v>Feb</v>
      </c>
      <c r="P641" s="2" t="str">
        <f>"Q"&amp;ROUNDUP(MONTH(Sheet1[[#This Row],[date_joined]])/3,0)</f>
        <v>Q1</v>
      </c>
      <c r="Q641" s="2" t="str">
        <f>IF(Sheet1[[#This Row],[age]]&lt;30,"Young",IF(Sheet1[[#This Row],[age]]&lt;=50,"Adult","Senior"))</f>
        <v>Adult</v>
      </c>
      <c r="R641" s="2" t="str">
        <f t="shared" si="18"/>
        <v>Low</v>
      </c>
      <c r="S641" s="2" t="str">
        <f t="shared" si="19"/>
        <v>North - Salaried</v>
      </c>
    </row>
    <row r="642" spans="1:19" x14ac:dyDescent="0.3">
      <c r="A642" t="s">
        <v>1307</v>
      </c>
      <c r="B642" t="s">
        <v>1308</v>
      </c>
      <c r="C642">
        <v>58</v>
      </c>
      <c r="D642" s="2" t="s">
        <v>13</v>
      </c>
      <c r="E642" s="2" t="s">
        <v>22</v>
      </c>
      <c r="F642" s="2" t="s">
        <v>37</v>
      </c>
      <c r="G642" s="2" t="s">
        <v>32</v>
      </c>
      <c r="H642" s="2" t="s">
        <v>18</v>
      </c>
      <c r="I642" s="2" t="s">
        <v>18</v>
      </c>
      <c r="J642">
        <v>0.23</v>
      </c>
      <c r="K642" s="1">
        <v>44549</v>
      </c>
      <c r="L642" s="2" t="str">
        <f>IF(Sheet1[[#This Row],[age]]&lt;18, "Under 18",IF(Sheet1[[#This Row],[age]]&lt;=30,"18-30",IF(Sheet1[[#This Row],[age]]&lt;=45,"31-45",IF(Sheet1[[#This Row],[age]]&lt;=60,"46-60","60+"))))</f>
        <v>46-60</v>
      </c>
      <c r="M642" s="2" t="str">
        <f>IF(Sheet1[[#This Row],[risk_score]]&lt;0.3,"Low",IF(Sheet1[[#This Row],[risk_score]]&lt;0.7,"Medium","High"))</f>
        <v>Low</v>
      </c>
      <c r="N642">
        <f>YEAR(Sheet1[[#This Row],[date_joined]])</f>
        <v>2021</v>
      </c>
      <c r="O642" s="2" t="str">
        <f>TEXT(Sheet1[[#This Row],[date_joined]],"mmm")</f>
        <v>Dec</v>
      </c>
      <c r="P642" s="2" t="str">
        <f>"Q"&amp;ROUNDUP(MONTH(Sheet1[[#This Row],[date_joined]])/3,0)</f>
        <v>Q4</v>
      </c>
      <c r="Q642" s="2" t="str">
        <f>IF(Sheet1[[#This Row],[age]]&lt;30,"Young",IF(Sheet1[[#This Row],[age]]&lt;=50,"Adult","Senior"))</f>
        <v>Senior</v>
      </c>
      <c r="R642" s="2" t="str">
        <f t="shared" ref="R642:R705" si="20">IF(AND(H642="Yes",I642="Yes"),"Very High",
IF(OR(H642="Yes",I642="Yes"),"High","Low"))</f>
        <v>Very High</v>
      </c>
      <c r="S642" s="2" t="str">
        <f t="shared" ref="S642:S705" si="21">G642&amp;" - "&amp;F642</f>
        <v>South - Retired</v>
      </c>
    </row>
    <row r="643" spans="1:19" x14ac:dyDescent="0.3">
      <c r="A643" t="s">
        <v>1309</v>
      </c>
      <c r="B643" t="s">
        <v>1310</v>
      </c>
      <c r="C643">
        <v>36</v>
      </c>
      <c r="D643" s="2" t="s">
        <v>21</v>
      </c>
      <c r="E643" s="2" t="s">
        <v>22</v>
      </c>
      <c r="F643" s="2" t="s">
        <v>31</v>
      </c>
      <c r="G643" s="2" t="s">
        <v>81</v>
      </c>
      <c r="H643" s="2" t="s">
        <v>17</v>
      </c>
      <c r="I643" s="2" t="s">
        <v>18</v>
      </c>
      <c r="J643">
        <v>0.23</v>
      </c>
      <c r="K643" s="1">
        <v>44573</v>
      </c>
      <c r="L643" s="2" t="str">
        <f>IF(Sheet1[[#This Row],[age]]&lt;18, "Under 18",IF(Sheet1[[#This Row],[age]]&lt;=30,"18-30",IF(Sheet1[[#This Row],[age]]&lt;=45,"31-45",IF(Sheet1[[#This Row],[age]]&lt;=60,"46-60","60+"))))</f>
        <v>31-45</v>
      </c>
      <c r="M643" s="2" t="str">
        <f>IF(Sheet1[[#This Row],[risk_score]]&lt;0.3,"Low",IF(Sheet1[[#This Row],[risk_score]]&lt;0.7,"Medium","High"))</f>
        <v>Low</v>
      </c>
      <c r="N643">
        <f>YEAR(Sheet1[[#This Row],[date_joined]])</f>
        <v>2022</v>
      </c>
      <c r="O643" s="2" t="str">
        <f>TEXT(Sheet1[[#This Row],[date_joined]],"mmm")</f>
        <v>Jan</v>
      </c>
      <c r="P643" s="2" t="str">
        <f>"Q"&amp;ROUNDUP(MONTH(Sheet1[[#This Row],[date_joined]])/3,0)</f>
        <v>Q1</v>
      </c>
      <c r="Q643" s="2" t="str">
        <f>IF(Sheet1[[#This Row],[age]]&lt;30,"Young",IF(Sheet1[[#This Row],[age]]&lt;=50,"Adult","Senior"))</f>
        <v>Adult</v>
      </c>
      <c r="R643" s="2" t="str">
        <f t="shared" si="20"/>
        <v>High</v>
      </c>
      <c r="S643" s="2" t="str">
        <f t="shared" si="21"/>
        <v>Central - Self-employed</v>
      </c>
    </row>
    <row r="644" spans="1:19" x14ac:dyDescent="0.3">
      <c r="A644" t="s">
        <v>1311</v>
      </c>
      <c r="B644" t="s">
        <v>1312</v>
      </c>
      <c r="C644">
        <v>62</v>
      </c>
      <c r="D644" s="2" t="s">
        <v>21</v>
      </c>
      <c r="E644" s="2" t="s">
        <v>14</v>
      </c>
      <c r="F644" s="2" t="s">
        <v>37</v>
      </c>
      <c r="G644" s="2" t="s">
        <v>27</v>
      </c>
      <c r="H644" s="2" t="s">
        <v>17</v>
      </c>
      <c r="I644" s="2" t="s">
        <v>18</v>
      </c>
      <c r="J644">
        <v>0.27</v>
      </c>
      <c r="K644" s="1">
        <v>43189</v>
      </c>
      <c r="L644" s="2" t="str">
        <f>IF(Sheet1[[#This Row],[age]]&lt;18, "Under 18",IF(Sheet1[[#This Row],[age]]&lt;=30,"18-30",IF(Sheet1[[#This Row],[age]]&lt;=45,"31-45",IF(Sheet1[[#This Row],[age]]&lt;=60,"46-60","60+"))))</f>
        <v>60+</v>
      </c>
      <c r="M644" s="2" t="str">
        <f>IF(Sheet1[[#This Row],[risk_score]]&lt;0.3,"Low",IF(Sheet1[[#This Row],[risk_score]]&lt;0.7,"Medium","High"))</f>
        <v>Low</v>
      </c>
      <c r="N644">
        <f>YEAR(Sheet1[[#This Row],[date_joined]])</f>
        <v>2018</v>
      </c>
      <c r="O644" s="2" t="str">
        <f>TEXT(Sheet1[[#This Row],[date_joined]],"mmm")</f>
        <v>Mar</v>
      </c>
      <c r="P644" s="2" t="str">
        <f>"Q"&amp;ROUNDUP(MONTH(Sheet1[[#This Row],[date_joined]])/3,0)</f>
        <v>Q1</v>
      </c>
      <c r="Q644" s="2" t="str">
        <f>IF(Sheet1[[#This Row],[age]]&lt;30,"Young",IF(Sheet1[[#This Row],[age]]&lt;=50,"Adult","Senior"))</f>
        <v>Senior</v>
      </c>
      <c r="R644" s="2" t="str">
        <f t="shared" si="20"/>
        <v>High</v>
      </c>
      <c r="S644" s="2" t="str">
        <f t="shared" si="21"/>
        <v>North - Retired</v>
      </c>
    </row>
    <row r="645" spans="1:19" x14ac:dyDescent="0.3">
      <c r="A645" t="s">
        <v>1313</v>
      </c>
      <c r="B645" t="s">
        <v>1314</v>
      </c>
      <c r="C645">
        <v>43</v>
      </c>
      <c r="D645" s="2" t="s">
        <v>21</v>
      </c>
      <c r="E645" s="2" t="s">
        <v>30</v>
      </c>
      <c r="F645" s="2" t="s">
        <v>23</v>
      </c>
      <c r="G645" s="2" t="s">
        <v>81</v>
      </c>
      <c r="H645" s="2" t="s">
        <v>17</v>
      </c>
      <c r="I645" s="2" t="s">
        <v>18</v>
      </c>
      <c r="J645">
        <v>0.48</v>
      </c>
      <c r="K645" s="1">
        <v>44066</v>
      </c>
      <c r="L645" s="2" t="str">
        <f>IF(Sheet1[[#This Row],[age]]&lt;18, "Under 18",IF(Sheet1[[#This Row],[age]]&lt;=30,"18-30",IF(Sheet1[[#This Row],[age]]&lt;=45,"31-45",IF(Sheet1[[#This Row],[age]]&lt;=60,"46-60","60+"))))</f>
        <v>31-45</v>
      </c>
      <c r="M645" s="2" t="str">
        <f>IF(Sheet1[[#This Row],[risk_score]]&lt;0.3,"Low",IF(Sheet1[[#This Row],[risk_score]]&lt;0.7,"Medium","High"))</f>
        <v>Medium</v>
      </c>
      <c r="N645">
        <f>YEAR(Sheet1[[#This Row],[date_joined]])</f>
        <v>2020</v>
      </c>
      <c r="O645" s="2" t="str">
        <f>TEXT(Sheet1[[#This Row],[date_joined]],"mmm")</f>
        <v>Aug</v>
      </c>
      <c r="P645" s="2" t="str">
        <f>"Q"&amp;ROUNDUP(MONTH(Sheet1[[#This Row],[date_joined]])/3,0)</f>
        <v>Q3</v>
      </c>
      <c r="Q645" s="2" t="str">
        <f>IF(Sheet1[[#This Row],[age]]&lt;30,"Young",IF(Sheet1[[#This Row],[age]]&lt;=50,"Adult","Senior"))</f>
        <v>Adult</v>
      </c>
      <c r="R645" s="2" t="str">
        <f t="shared" si="20"/>
        <v>High</v>
      </c>
      <c r="S645" s="2" t="str">
        <f t="shared" si="21"/>
        <v>Central - Salaried</v>
      </c>
    </row>
    <row r="646" spans="1:19" x14ac:dyDescent="0.3">
      <c r="A646" t="s">
        <v>1315</v>
      </c>
      <c r="B646" t="s">
        <v>1316</v>
      </c>
      <c r="C646">
        <v>26</v>
      </c>
      <c r="D646" s="2" t="s">
        <v>21</v>
      </c>
      <c r="E646" s="2" t="s">
        <v>30</v>
      </c>
      <c r="F646" s="2" t="s">
        <v>23</v>
      </c>
      <c r="G646" s="2" t="s">
        <v>24</v>
      </c>
      <c r="H646" s="2" t="s">
        <v>17</v>
      </c>
      <c r="I646" s="2" t="s">
        <v>18</v>
      </c>
      <c r="J646">
        <v>0.47</v>
      </c>
      <c r="K646" s="1">
        <v>43679</v>
      </c>
      <c r="L646" s="2" t="str">
        <f>IF(Sheet1[[#This Row],[age]]&lt;18, "Under 18",IF(Sheet1[[#This Row],[age]]&lt;=30,"18-30",IF(Sheet1[[#This Row],[age]]&lt;=45,"31-45",IF(Sheet1[[#This Row],[age]]&lt;=60,"46-60","60+"))))</f>
        <v>18-30</v>
      </c>
      <c r="M646" s="2" t="str">
        <f>IF(Sheet1[[#This Row],[risk_score]]&lt;0.3,"Low",IF(Sheet1[[#This Row],[risk_score]]&lt;0.7,"Medium","High"))</f>
        <v>Medium</v>
      </c>
      <c r="N646">
        <f>YEAR(Sheet1[[#This Row],[date_joined]])</f>
        <v>2019</v>
      </c>
      <c r="O646" s="2" t="str">
        <f>TEXT(Sheet1[[#This Row],[date_joined]],"mmm")</f>
        <v>Aug</v>
      </c>
      <c r="P646" s="2" t="str">
        <f>"Q"&amp;ROUNDUP(MONTH(Sheet1[[#This Row],[date_joined]])/3,0)</f>
        <v>Q3</v>
      </c>
      <c r="Q646" s="2" t="str">
        <f>IF(Sheet1[[#This Row],[age]]&lt;30,"Young",IF(Sheet1[[#This Row],[age]]&lt;=50,"Adult","Senior"))</f>
        <v>Young</v>
      </c>
      <c r="R646" s="2" t="str">
        <f t="shared" si="20"/>
        <v>High</v>
      </c>
      <c r="S646" s="2" t="str">
        <f t="shared" si="21"/>
        <v>East - Salaried</v>
      </c>
    </row>
    <row r="647" spans="1:19" x14ac:dyDescent="0.3">
      <c r="A647" t="s">
        <v>1317</v>
      </c>
      <c r="B647" t="s">
        <v>1318</v>
      </c>
      <c r="C647">
        <v>61</v>
      </c>
      <c r="D647" s="2" t="s">
        <v>21</v>
      </c>
      <c r="E647" s="2" t="s">
        <v>22</v>
      </c>
      <c r="F647" s="2" t="s">
        <v>31</v>
      </c>
      <c r="G647" s="2" t="s">
        <v>32</v>
      </c>
      <c r="H647" s="2" t="s">
        <v>17</v>
      </c>
      <c r="I647" s="2" t="s">
        <v>17</v>
      </c>
      <c r="J647">
        <v>0.27</v>
      </c>
      <c r="K647" s="1">
        <v>43640</v>
      </c>
      <c r="L647" s="2" t="str">
        <f>IF(Sheet1[[#This Row],[age]]&lt;18, "Under 18",IF(Sheet1[[#This Row],[age]]&lt;=30,"18-30",IF(Sheet1[[#This Row],[age]]&lt;=45,"31-45",IF(Sheet1[[#This Row],[age]]&lt;=60,"46-60","60+"))))</f>
        <v>60+</v>
      </c>
      <c r="M647" s="2" t="str">
        <f>IF(Sheet1[[#This Row],[risk_score]]&lt;0.3,"Low",IF(Sheet1[[#This Row],[risk_score]]&lt;0.7,"Medium","High"))</f>
        <v>Low</v>
      </c>
      <c r="N647">
        <f>YEAR(Sheet1[[#This Row],[date_joined]])</f>
        <v>2019</v>
      </c>
      <c r="O647" s="2" t="str">
        <f>TEXT(Sheet1[[#This Row],[date_joined]],"mmm")</f>
        <v>Jun</v>
      </c>
      <c r="P647" s="2" t="str">
        <f>"Q"&amp;ROUNDUP(MONTH(Sheet1[[#This Row],[date_joined]])/3,0)</f>
        <v>Q2</v>
      </c>
      <c r="Q647" s="2" t="str">
        <f>IF(Sheet1[[#This Row],[age]]&lt;30,"Young",IF(Sheet1[[#This Row],[age]]&lt;=50,"Adult","Senior"))</f>
        <v>Senior</v>
      </c>
      <c r="R647" s="2" t="str">
        <f t="shared" si="20"/>
        <v>Low</v>
      </c>
      <c r="S647" s="2" t="str">
        <f t="shared" si="21"/>
        <v>South - Self-employed</v>
      </c>
    </row>
    <row r="648" spans="1:19" x14ac:dyDescent="0.3">
      <c r="A648" t="s">
        <v>1319</v>
      </c>
      <c r="B648" t="s">
        <v>1320</v>
      </c>
      <c r="C648">
        <v>68</v>
      </c>
      <c r="D648" s="2" t="s">
        <v>13</v>
      </c>
      <c r="E648" s="2" t="s">
        <v>30</v>
      </c>
      <c r="F648" s="2" t="s">
        <v>23</v>
      </c>
      <c r="G648" s="2" t="s">
        <v>66</v>
      </c>
      <c r="H648" s="2" t="s">
        <v>18</v>
      </c>
      <c r="I648" s="2" t="s">
        <v>17</v>
      </c>
      <c r="J648">
        <v>0.56999999999999995</v>
      </c>
      <c r="K648" s="1">
        <v>43507</v>
      </c>
      <c r="L648" s="2" t="str">
        <f>IF(Sheet1[[#This Row],[age]]&lt;18, "Under 18",IF(Sheet1[[#This Row],[age]]&lt;=30,"18-30",IF(Sheet1[[#This Row],[age]]&lt;=45,"31-45",IF(Sheet1[[#This Row],[age]]&lt;=60,"46-60","60+"))))</f>
        <v>60+</v>
      </c>
      <c r="M648" s="2" t="str">
        <f>IF(Sheet1[[#This Row],[risk_score]]&lt;0.3,"Low",IF(Sheet1[[#This Row],[risk_score]]&lt;0.7,"Medium","High"))</f>
        <v>Medium</v>
      </c>
      <c r="N648">
        <f>YEAR(Sheet1[[#This Row],[date_joined]])</f>
        <v>2019</v>
      </c>
      <c r="O648" s="2" t="str">
        <f>TEXT(Sheet1[[#This Row],[date_joined]],"mmm")</f>
        <v>Feb</v>
      </c>
      <c r="P648" s="2" t="str">
        <f>"Q"&amp;ROUNDUP(MONTH(Sheet1[[#This Row],[date_joined]])/3,0)</f>
        <v>Q1</v>
      </c>
      <c r="Q648" s="2" t="str">
        <f>IF(Sheet1[[#This Row],[age]]&lt;30,"Young",IF(Sheet1[[#This Row],[age]]&lt;=50,"Adult","Senior"))</f>
        <v>Senior</v>
      </c>
      <c r="R648" s="2" t="str">
        <f t="shared" si="20"/>
        <v>High</v>
      </c>
      <c r="S648" s="2" t="str">
        <f t="shared" si="21"/>
        <v>North-East - Salaried</v>
      </c>
    </row>
    <row r="649" spans="1:19" x14ac:dyDescent="0.3">
      <c r="A649" t="s">
        <v>1321</v>
      </c>
      <c r="B649" t="s">
        <v>1322</v>
      </c>
      <c r="C649">
        <v>55</v>
      </c>
      <c r="D649" s="2" t="s">
        <v>21</v>
      </c>
      <c r="E649" s="2" t="s">
        <v>14</v>
      </c>
      <c r="F649" s="2" t="s">
        <v>23</v>
      </c>
      <c r="G649" s="2" t="s">
        <v>27</v>
      </c>
      <c r="H649" s="2" t="s">
        <v>17</v>
      </c>
      <c r="I649" s="2" t="s">
        <v>17</v>
      </c>
      <c r="J649">
        <v>0.51</v>
      </c>
      <c r="K649" s="1">
        <v>43854</v>
      </c>
      <c r="L649" s="2" t="str">
        <f>IF(Sheet1[[#This Row],[age]]&lt;18, "Under 18",IF(Sheet1[[#This Row],[age]]&lt;=30,"18-30",IF(Sheet1[[#This Row],[age]]&lt;=45,"31-45",IF(Sheet1[[#This Row],[age]]&lt;=60,"46-60","60+"))))</f>
        <v>46-60</v>
      </c>
      <c r="M649" s="2" t="str">
        <f>IF(Sheet1[[#This Row],[risk_score]]&lt;0.3,"Low",IF(Sheet1[[#This Row],[risk_score]]&lt;0.7,"Medium","High"))</f>
        <v>Medium</v>
      </c>
      <c r="N649">
        <f>YEAR(Sheet1[[#This Row],[date_joined]])</f>
        <v>2020</v>
      </c>
      <c r="O649" s="2" t="str">
        <f>TEXT(Sheet1[[#This Row],[date_joined]],"mmm")</f>
        <v>Jan</v>
      </c>
      <c r="P649" s="2" t="str">
        <f>"Q"&amp;ROUNDUP(MONTH(Sheet1[[#This Row],[date_joined]])/3,0)</f>
        <v>Q1</v>
      </c>
      <c r="Q649" s="2" t="str">
        <f>IF(Sheet1[[#This Row],[age]]&lt;30,"Young",IF(Sheet1[[#This Row],[age]]&lt;=50,"Adult","Senior"))</f>
        <v>Senior</v>
      </c>
      <c r="R649" s="2" t="str">
        <f t="shared" si="20"/>
        <v>Low</v>
      </c>
      <c r="S649" s="2" t="str">
        <f t="shared" si="21"/>
        <v>North - Salaried</v>
      </c>
    </row>
    <row r="650" spans="1:19" x14ac:dyDescent="0.3">
      <c r="A650" t="s">
        <v>1323</v>
      </c>
      <c r="B650" t="s">
        <v>1324</v>
      </c>
      <c r="C650">
        <v>50</v>
      </c>
      <c r="D650" s="2" t="s">
        <v>13</v>
      </c>
      <c r="E650" s="2" t="s">
        <v>30</v>
      </c>
      <c r="F650" s="2" t="s">
        <v>23</v>
      </c>
      <c r="G650" s="2" t="s">
        <v>16</v>
      </c>
      <c r="H650" s="2" t="s">
        <v>18</v>
      </c>
      <c r="I650" s="2" t="s">
        <v>18</v>
      </c>
      <c r="J650">
        <v>0.48</v>
      </c>
      <c r="K650" s="1">
        <v>44292</v>
      </c>
      <c r="L650" s="2" t="str">
        <f>IF(Sheet1[[#This Row],[age]]&lt;18, "Under 18",IF(Sheet1[[#This Row],[age]]&lt;=30,"18-30",IF(Sheet1[[#This Row],[age]]&lt;=45,"31-45",IF(Sheet1[[#This Row],[age]]&lt;=60,"46-60","60+"))))</f>
        <v>46-60</v>
      </c>
      <c r="M650" s="2" t="str">
        <f>IF(Sheet1[[#This Row],[risk_score]]&lt;0.3,"Low",IF(Sheet1[[#This Row],[risk_score]]&lt;0.7,"Medium","High"))</f>
        <v>Medium</v>
      </c>
      <c r="N650">
        <f>YEAR(Sheet1[[#This Row],[date_joined]])</f>
        <v>2021</v>
      </c>
      <c r="O650" s="2" t="str">
        <f>TEXT(Sheet1[[#This Row],[date_joined]],"mmm")</f>
        <v>Apr</v>
      </c>
      <c r="P650" s="2" t="str">
        <f>"Q"&amp;ROUNDUP(MONTH(Sheet1[[#This Row],[date_joined]])/3,0)</f>
        <v>Q2</v>
      </c>
      <c r="Q650" s="2" t="str">
        <f>IF(Sheet1[[#This Row],[age]]&lt;30,"Young",IF(Sheet1[[#This Row],[age]]&lt;=50,"Adult","Senior"))</f>
        <v>Adult</v>
      </c>
      <c r="R650" s="2" t="str">
        <f t="shared" si="20"/>
        <v>Very High</v>
      </c>
      <c r="S650" s="2" t="str">
        <f t="shared" si="21"/>
        <v>West - Salaried</v>
      </c>
    </row>
    <row r="651" spans="1:19" x14ac:dyDescent="0.3">
      <c r="A651" t="s">
        <v>1325</v>
      </c>
      <c r="B651" t="s">
        <v>1326</v>
      </c>
      <c r="C651">
        <v>22</v>
      </c>
      <c r="D651" s="2" t="s">
        <v>21</v>
      </c>
      <c r="E651" s="2" t="s">
        <v>14</v>
      </c>
      <c r="F651" s="2" t="s">
        <v>37</v>
      </c>
      <c r="G651" s="2" t="s">
        <v>32</v>
      </c>
      <c r="H651" s="2" t="s">
        <v>18</v>
      </c>
      <c r="I651" s="2" t="s">
        <v>18</v>
      </c>
      <c r="J651">
        <v>0.56999999999999995</v>
      </c>
      <c r="K651" s="1">
        <v>43142</v>
      </c>
      <c r="L651" s="2" t="str">
        <f>IF(Sheet1[[#This Row],[age]]&lt;18, "Under 18",IF(Sheet1[[#This Row],[age]]&lt;=30,"18-30",IF(Sheet1[[#This Row],[age]]&lt;=45,"31-45",IF(Sheet1[[#This Row],[age]]&lt;=60,"46-60","60+"))))</f>
        <v>18-30</v>
      </c>
      <c r="M651" s="2" t="str">
        <f>IF(Sheet1[[#This Row],[risk_score]]&lt;0.3,"Low",IF(Sheet1[[#This Row],[risk_score]]&lt;0.7,"Medium","High"))</f>
        <v>Medium</v>
      </c>
      <c r="N651">
        <f>YEAR(Sheet1[[#This Row],[date_joined]])</f>
        <v>2018</v>
      </c>
      <c r="O651" s="2" t="str">
        <f>TEXT(Sheet1[[#This Row],[date_joined]],"mmm")</f>
        <v>Feb</v>
      </c>
      <c r="P651" s="2" t="str">
        <f>"Q"&amp;ROUNDUP(MONTH(Sheet1[[#This Row],[date_joined]])/3,0)</f>
        <v>Q1</v>
      </c>
      <c r="Q651" s="2" t="str">
        <f>IF(Sheet1[[#This Row],[age]]&lt;30,"Young",IF(Sheet1[[#This Row],[age]]&lt;=50,"Adult","Senior"))</f>
        <v>Young</v>
      </c>
      <c r="R651" s="2" t="str">
        <f t="shared" si="20"/>
        <v>Very High</v>
      </c>
      <c r="S651" s="2" t="str">
        <f t="shared" si="21"/>
        <v>South - Retired</v>
      </c>
    </row>
    <row r="652" spans="1:19" x14ac:dyDescent="0.3">
      <c r="A652" t="s">
        <v>1327</v>
      </c>
      <c r="B652" t="s">
        <v>1328</v>
      </c>
      <c r="C652">
        <v>36</v>
      </c>
      <c r="D652" s="2" t="s">
        <v>13</v>
      </c>
      <c r="E652" s="2" t="s">
        <v>14</v>
      </c>
      <c r="F652" s="2" t="s">
        <v>23</v>
      </c>
      <c r="G652" s="2" t="s">
        <v>24</v>
      </c>
      <c r="H652" s="2" t="s">
        <v>17</v>
      </c>
      <c r="I652" s="2" t="s">
        <v>18</v>
      </c>
      <c r="J652">
        <v>0.25</v>
      </c>
      <c r="K652" s="1">
        <v>44730</v>
      </c>
      <c r="L652" s="2" t="str">
        <f>IF(Sheet1[[#This Row],[age]]&lt;18, "Under 18",IF(Sheet1[[#This Row],[age]]&lt;=30,"18-30",IF(Sheet1[[#This Row],[age]]&lt;=45,"31-45",IF(Sheet1[[#This Row],[age]]&lt;=60,"46-60","60+"))))</f>
        <v>31-45</v>
      </c>
      <c r="M652" s="2" t="str">
        <f>IF(Sheet1[[#This Row],[risk_score]]&lt;0.3,"Low",IF(Sheet1[[#This Row],[risk_score]]&lt;0.7,"Medium","High"))</f>
        <v>Low</v>
      </c>
      <c r="N652">
        <f>YEAR(Sheet1[[#This Row],[date_joined]])</f>
        <v>2022</v>
      </c>
      <c r="O652" s="2" t="str">
        <f>TEXT(Sheet1[[#This Row],[date_joined]],"mmm")</f>
        <v>Jun</v>
      </c>
      <c r="P652" s="2" t="str">
        <f>"Q"&amp;ROUNDUP(MONTH(Sheet1[[#This Row],[date_joined]])/3,0)</f>
        <v>Q2</v>
      </c>
      <c r="Q652" s="2" t="str">
        <f>IF(Sheet1[[#This Row],[age]]&lt;30,"Young",IF(Sheet1[[#This Row],[age]]&lt;=50,"Adult","Senior"))</f>
        <v>Adult</v>
      </c>
      <c r="R652" s="2" t="str">
        <f t="shared" si="20"/>
        <v>High</v>
      </c>
      <c r="S652" s="2" t="str">
        <f t="shared" si="21"/>
        <v>East - Salaried</v>
      </c>
    </row>
    <row r="653" spans="1:19" x14ac:dyDescent="0.3">
      <c r="A653" t="s">
        <v>1329</v>
      </c>
      <c r="B653" t="s">
        <v>1330</v>
      </c>
      <c r="C653">
        <v>27</v>
      </c>
      <c r="D653" s="2" t="s">
        <v>13</v>
      </c>
      <c r="E653" s="2" t="s">
        <v>30</v>
      </c>
      <c r="F653" s="2" t="s">
        <v>23</v>
      </c>
      <c r="G653" s="2" t="s">
        <v>66</v>
      </c>
      <c r="H653" s="2" t="s">
        <v>18</v>
      </c>
      <c r="I653" s="2" t="s">
        <v>17</v>
      </c>
      <c r="J653">
        <v>0.21</v>
      </c>
      <c r="K653" s="1">
        <v>45118</v>
      </c>
      <c r="L653" s="2" t="str">
        <f>IF(Sheet1[[#This Row],[age]]&lt;18, "Under 18",IF(Sheet1[[#This Row],[age]]&lt;=30,"18-30",IF(Sheet1[[#This Row],[age]]&lt;=45,"31-45",IF(Sheet1[[#This Row],[age]]&lt;=60,"46-60","60+"))))</f>
        <v>18-30</v>
      </c>
      <c r="M653" s="2" t="str">
        <f>IF(Sheet1[[#This Row],[risk_score]]&lt;0.3,"Low",IF(Sheet1[[#This Row],[risk_score]]&lt;0.7,"Medium","High"))</f>
        <v>Low</v>
      </c>
      <c r="N653">
        <f>YEAR(Sheet1[[#This Row],[date_joined]])</f>
        <v>2023</v>
      </c>
      <c r="O653" s="2" t="str">
        <f>TEXT(Sheet1[[#This Row],[date_joined]],"mmm")</f>
        <v>Jul</v>
      </c>
      <c r="P653" s="2" t="str">
        <f>"Q"&amp;ROUNDUP(MONTH(Sheet1[[#This Row],[date_joined]])/3,0)</f>
        <v>Q3</v>
      </c>
      <c r="Q653" s="2" t="str">
        <f>IF(Sheet1[[#This Row],[age]]&lt;30,"Young",IF(Sheet1[[#This Row],[age]]&lt;=50,"Adult","Senior"))</f>
        <v>Young</v>
      </c>
      <c r="R653" s="2" t="str">
        <f t="shared" si="20"/>
        <v>High</v>
      </c>
      <c r="S653" s="2" t="str">
        <f t="shared" si="21"/>
        <v>North-East - Salaried</v>
      </c>
    </row>
    <row r="654" spans="1:19" x14ac:dyDescent="0.3">
      <c r="A654" t="s">
        <v>1331</v>
      </c>
      <c r="B654" t="s">
        <v>1332</v>
      </c>
      <c r="C654">
        <v>29</v>
      </c>
      <c r="D654" s="2" t="s">
        <v>21</v>
      </c>
      <c r="E654" s="2" t="s">
        <v>22</v>
      </c>
      <c r="F654" s="2" t="s">
        <v>37</v>
      </c>
      <c r="G654" s="2" t="s">
        <v>66</v>
      </c>
      <c r="H654" s="2" t="s">
        <v>17</v>
      </c>
      <c r="I654" s="2" t="s">
        <v>18</v>
      </c>
      <c r="J654">
        <v>0.32</v>
      </c>
      <c r="K654" s="1">
        <v>43359</v>
      </c>
      <c r="L654" s="2" t="str">
        <f>IF(Sheet1[[#This Row],[age]]&lt;18, "Under 18",IF(Sheet1[[#This Row],[age]]&lt;=30,"18-30",IF(Sheet1[[#This Row],[age]]&lt;=45,"31-45",IF(Sheet1[[#This Row],[age]]&lt;=60,"46-60","60+"))))</f>
        <v>18-30</v>
      </c>
      <c r="M654" s="2" t="str">
        <f>IF(Sheet1[[#This Row],[risk_score]]&lt;0.3,"Low",IF(Sheet1[[#This Row],[risk_score]]&lt;0.7,"Medium","High"))</f>
        <v>Medium</v>
      </c>
      <c r="N654">
        <f>YEAR(Sheet1[[#This Row],[date_joined]])</f>
        <v>2018</v>
      </c>
      <c r="O654" s="2" t="str">
        <f>TEXT(Sheet1[[#This Row],[date_joined]],"mmm")</f>
        <v>Sep</v>
      </c>
      <c r="P654" s="2" t="str">
        <f>"Q"&amp;ROUNDUP(MONTH(Sheet1[[#This Row],[date_joined]])/3,0)</f>
        <v>Q3</v>
      </c>
      <c r="Q654" s="2" t="str">
        <f>IF(Sheet1[[#This Row],[age]]&lt;30,"Young",IF(Sheet1[[#This Row],[age]]&lt;=50,"Adult","Senior"))</f>
        <v>Young</v>
      </c>
      <c r="R654" s="2" t="str">
        <f t="shared" si="20"/>
        <v>High</v>
      </c>
      <c r="S654" s="2" t="str">
        <f t="shared" si="21"/>
        <v>North-East - Retired</v>
      </c>
    </row>
    <row r="655" spans="1:19" x14ac:dyDescent="0.3">
      <c r="A655" t="s">
        <v>1333</v>
      </c>
      <c r="B655" t="s">
        <v>1334</v>
      </c>
      <c r="C655">
        <v>22</v>
      </c>
      <c r="D655" s="2" t="s">
        <v>13</v>
      </c>
      <c r="E655" s="2" t="s">
        <v>14</v>
      </c>
      <c r="F655" s="2" t="s">
        <v>15</v>
      </c>
      <c r="G655" s="2" t="s">
        <v>32</v>
      </c>
      <c r="H655" s="2" t="s">
        <v>18</v>
      </c>
      <c r="I655" s="2" t="s">
        <v>17</v>
      </c>
      <c r="J655">
        <v>0.22</v>
      </c>
      <c r="K655" s="1">
        <v>43814</v>
      </c>
      <c r="L655" s="2" t="str">
        <f>IF(Sheet1[[#This Row],[age]]&lt;18, "Under 18",IF(Sheet1[[#This Row],[age]]&lt;=30,"18-30",IF(Sheet1[[#This Row],[age]]&lt;=45,"31-45",IF(Sheet1[[#This Row],[age]]&lt;=60,"46-60","60+"))))</f>
        <v>18-30</v>
      </c>
      <c r="M655" s="2" t="str">
        <f>IF(Sheet1[[#This Row],[risk_score]]&lt;0.3,"Low",IF(Sheet1[[#This Row],[risk_score]]&lt;0.7,"Medium","High"))</f>
        <v>Low</v>
      </c>
      <c r="N655">
        <f>YEAR(Sheet1[[#This Row],[date_joined]])</f>
        <v>2019</v>
      </c>
      <c r="O655" s="2" t="str">
        <f>TEXT(Sheet1[[#This Row],[date_joined]],"mmm")</f>
        <v>Dec</v>
      </c>
      <c r="P655" s="2" t="str">
        <f>"Q"&amp;ROUNDUP(MONTH(Sheet1[[#This Row],[date_joined]])/3,0)</f>
        <v>Q4</v>
      </c>
      <c r="Q655" s="2" t="str">
        <f>IF(Sheet1[[#This Row],[age]]&lt;30,"Young",IF(Sheet1[[#This Row],[age]]&lt;=50,"Adult","Senior"))</f>
        <v>Young</v>
      </c>
      <c r="R655" s="2" t="str">
        <f t="shared" si="20"/>
        <v>High</v>
      </c>
      <c r="S655" s="2" t="str">
        <f t="shared" si="21"/>
        <v>South - Student</v>
      </c>
    </row>
    <row r="656" spans="1:19" x14ac:dyDescent="0.3">
      <c r="A656" t="s">
        <v>1335</v>
      </c>
      <c r="B656" t="s">
        <v>1336</v>
      </c>
      <c r="C656">
        <v>34</v>
      </c>
      <c r="D656" s="2" t="s">
        <v>13</v>
      </c>
      <c r="E656" s="2" t="s">
        <v>22</v>
      </c>
      <c r="F656" s="2" t="s">
        <v>31</v>
      </c>
      <c r="G656" s="2" t="s">
        <v>32</v>
      </c>
      <c r="H656" s="2" t="s">
        <v>18</v>
      </c>
      <c r="I656" s="2" t="s">
        <v>17</v>
      </c>
      <c r="J656">
        <v>0.62</v>
      </c>
      <c r="K656" s="1">
        <v>43816</v>
      </c>
      <c r="L656" s="2" t="str">
        <f>IF(Sheet1[[#This Row],[age]]&lt;18, "Under 18",IF(Sheet1[[#This Row],[age]]&lt;=30,"18-30",IF(Sheet1[[#This Row],[age]]&lt;=45,"31-45",IF(Sheet1[[#This Row],[age]]&lt;=60,"46-60","60+"))))</f>
        <v>31-45</v>
      </c>
      <c r="M656" s="2" t="str">
        <f>IF(Sheet1[[#This Row],[risk_score]]&lt;0.3,"Low",IF(Sheet1[[#This Row],[risk_score]]&lt;0.7,"Medium","High"))</f>
        <v>Medium</v>
      </c>
      <c r="N656">
        <f>YEAR(Sheet1[[#This Row],[date_joined]])</f>
        <v>2019</v>
      </c>
      <c r="O656" s="2" t="str">
        <f>TEXT(Sheet1[[#This Row],[date_joined]],"mmm")</f>
        <v>Dec</v>
      </c>
      <c r="P656" s="2" t="str">
        <f>"Q"&amp;ROUNDUP(MONTH(Sheet1[[#This Row],[date_joined]])/3,0)</f>
        <v>Q4</v>
      </c>
      <c r="Q656" s="2" t="str">
        <f>IF(Sheet1[[#This Row],[age]]&lt;30,"Young",IF(Sheet1[[#This Row],[age]]&lt;=50,"Adult","Senior"))</f>
        <v>Adult</v>
      </c>
      <c r="R656" s="2" t="str">
        <f t="shared" si="20"/>
        <v>High</v>
      </c>
      <c r="S656" s="2" t="str">
        <f t="shared" si="21"/>
        <v>South - Self-employed</v>
      </c>
    </row>
    <row r="657" spans="1:19" x14ac:dyDescent="0.3">
      <c r="A657" t="s">
        <v>1337</v>
      </c>
      <c r="B657" t="s">
        <v>1338</v>
      </c>
      <c r="C657">
        <v>27</v>
      </c>
      <c r="D657" s="2" t="s">
        <v>21</v>
      </c>
      <c r="E657" s="2" t="s">
        <v>30</v>
      </c>
      <c r="F657" s="2" t="s">
        <v>23</v>
      </c>
      <c r="G657" s="2" t="s">
        <v>27</v>
      </c>
      <c r="H657" s="2" t="s">
        <v>17</v>
      </c>
      <c r="I657" s="2" t="s">
        <v>18</v>
      </c>
      <c r="J657">
        <v>0.47</v>
      </c>
      <c r="K657" s="1">
        <v>44312</v>
      </c>
      <c r="L657" s="2" t="str">
        <f>IF(Sheet1[[#This Row],[age]]&lt;18, "Under 18",IF(Sheet1[[#This Row],[age]]&lt;=30,"18-30",IF(Sheet1[[#This Row],[age]]&lt;=45,"31-45",IF(Sheet1[[#This Row],[age]]&lt;=60,"46-60","60+"))))</f>
        <v>18-30</v>
      </c>
      <c r="M657" s="2" t="str">
        <f>IF(Sheet1[[#This Row],[risk_score]]&lt;0.3,"Low",IF(Sheet1[[#This Row],[risk_score]]&lt;0.7,"Medium","High"))</f>
        <v>Medium</v>
      </c>
      <c r="N657">
        <f>YEAR(Sheet1[[#This Row],[date_joined]])</f>
        <v>2021</v>
      </c>
      <c r="O657" s="2" t="str">
        <f>TEXT(Sheet1[[#This Row],[date_joined]],"mmm")</f>
        <v>Apr</v>
      </c>
      <c r="P657" s="2" t="str">
        <f>"Q"&amp;ROUNDUP(MONTH(Sheet1[[#This Row],[date_joined]])/3,0)</f>
        <v>Q2</v>
      </c>
      <c r="Q657" s="2" t="str">
        <f>IF(Sheet1[[#This Row],[age]]&lt;30,"Young",IF(Sheet1[[#This Row],[age]]&lt;=50,"Adult","Senior"))</f>
        <v>Young</v>
      </c>
      <c r="R657" s="2" t="str">
        <f t="shared" si="20"/>
        <v>High</v>
      </c>
      <c r="S657" s="2" t="str">
        <f t="shared" si="21"/>
        <v>North - Salaried</v>
      </c>
    </row>
    <row r="658" spans="1:19" x14ac:dyDescent="0.3">
      <c r="A658" t="s">
        <v>1339</v>
      </c>
      <c r="B658" t="s">
        <v>1340</v>
      </c>
      <c r="C658">
        <v>27</v>
      </c>
      <c r="D658" s="2" t="s">
        <v>21</v>
      </c>
      <c r="E658" s="2" t="s">
        <v>30</v>
      </c>
      <c r="F658" s="2" t="s">
        <v>37</v>
      </c>
      <c r="G658" s="2" t="s">
        <v>32</v>
      </c>
      <c r="H658" s="2" t="s">
        <v>18</v>
      </c>
      <c r="I658" s="2" t="s">
        <v>17</v>
      </c>
      <c r="J658">
        <v>0.4</v>
      </c>
      <c r="K658" s="1">
        <v>44376</v>
      </c>
      <c r="L658" s="2" t="str">
        <f>IF(Sheet1[[#This Row],[age]]&lt;18, "Under 18",IF(Sheet1[[#This Row],[age]]&lt;=30,"18-30",IF(Sheet1[[#This Row],[age]]&lt;=45,"31-45",IF(Sheet1[[#This Row],[age]]&lt;=60,"46-60","60+"))))</f>
        <v>18-30</v>
      </c>
      <c r="M658" s="2" t="str">
        <f>IF(Sheet1[[#This Row],[risk_score]]&lt;0.3,"Low",IF(Sheet1[[#This Row],[risk_score]]&lt;0.7,"Medium","High"))</f>
        <v>Medium</v>
      </c>
      <c r="N658">
        <f>YEAR(Sheet1[[#This Row],[date_joined]])</f>
        <v>2021</v>
      </c>
      <c r="O658" s="2" t="str">
        <f>TEXT(Sheet1[[#This Row],[date_joined]],"mmm")</f>
        <v>Jun</v>
      </c>
      <c r="P658" s="2" t="str">
        <f>"Q"&amp;ROUNDUP(MONTH(Sheet1[[#This Row],[date_joined]])/3,0)</f>
        <v>Q2</v>
      </c>
      <c r="Q658" s="2" t="str">
        <f>IF(Sheet1[[#This Row],[age]]&lt;30,"Young",IF(Sheet1[[#This Row],[age]]&lt;=50,"Adult","Senior"))</f>
        <v>Young</v>
      </c>
      <c r="R658" s="2" t="str">
        <f t="shared" si="20"/>
        <v>High</v>
      </c>
      <c r="S658" s="2" t="str">
        <f t="shared" si="21"/>
        <v>South - Retired</v>
      </c>
    </row>
    <row r="659" spans="1:19" x14ac:dyDescent="0.3">
      <c r="A659" t="s">
        <v>1341</v>
      </c>
      <c r="B659" t="s">
        <v>1342</v>
      </c>
      <c r="C659">
        <v>48</v>
      </c>
      <c r="D659" s="2" t="s">
        <v>21</v>
      </c>
      <c r="E659" s="2" t="s">
        <v>22</v>
      </c>
      <c r="F659" s="2" t="s">
        <v>37</v>
      </c>
      <c r="G659" s="2" t="s">
        <v>16</v>
      </c>
      <c r="H659" s="2" t="s">
        <v>18</v>
      </c>
      <c r="I659" s="2" t="s">
        <v>18</v>
      </c>
      <c r="J659">
        <v>0.31</v>
      </c>
      <c r="K659" s="1">
        <v>45048</v>
      </c>
      <c r="L659" s="2" t="str">
        <f>IF(Sheet1[[#This Row],[age]]&lt;18, "Under 18",IF(Sheet1[[#This Row],[age]]&lt;=30,"18-30",IF(Sheet1[[#This Row],[age]]&lt;=45,"31-45",IF(Sheet1[[#This Row],[age]]&lt;=60,"46-60","60+"))))</f>
        <v>46-60</v>
      </c>
      <c r="M659" s="2" t="str">
        <f>IF(Sheet1[[#This Row],[risk_score]]&lt;0.3,"Low",IF(Sheet1[[#This Row],[risk_score]]&lt;0.7,"Medium","High"))</f>
        <v>Medium</v>
      </c>
      <c r="N659">
        <f>YEAR(Sheet1[[#This Row],[date_joined]])</f>
        <v>2023</v>
      </c>
      <c r="O659" s="2" t="str">
        <f>TEXT(Sheet1[[#This Row],[date_joined]],"mmm")</f>
        <v>May</v>
      </c>
      <c r="P659" s="2" t="str">
        <f>"Q"&amp;ROUNDUP(MONTH(Sheet1[[#This Row],[date_joined]])/3,0)</f>
        <v>Q2</v>
      </c>
      <c r="Q659" s="2" t="str">
        <f>IF(Sheet1[[#This Row],[age]]&lt;30,"Young",IF(Sheet1[[#This Row],[age]]&lt;=50,"Adult","Senior"))</f>
        <v>Adult</v>
      </c>
      <c r="R659" s="2" t="str">
        <f t="shared" si="20"/>
        <v>Very High</v>
      </c>
      <c r="S659" s="2" t="str">
        <f t="shared" si="21"/>
        <v>West - Retired</v>
      </c>
    </row>
    <row r="660" spans="1:19" x14ac:dyDescent="0.3">
      <c r="A660" t="s">
        <v>1343</v>
      </c>
      <c r="B660" t="s">
        <v>1344</v>
      </c>
      <c r="C660">
        <v>47</v>
      </c>
      <c r="D660" s="2" t="s">
        <v>13</v>
      </c>
      <c r="E660" s="2" t="s">
        <v>30</v>
      </c>
      <c r="F660" s="2" t="s">
        <v>37</v>
      </c>
      <c r="G660" s="2" t="s">
        <v>24</v>
      </c>
      <c r="H660" s="2" t="s">
        <v>17</v>
      </c>
      <c r="I660" s="2" t="s">
        <v>18</v>
      </c>
      <c r="J660">
        <v>0.49</v>
      </c>
      <c r="K660" s="1">
        <v>44248</v>
      </c>
      <c r="L660" s="2" t="str">
        <f>IF(Sheet1[[#This Row],[age]]&lt;18, "Under 18",IF(Sheet1[[#This Row],[age]]&lt;=30,"18-30",IF(Sheet1[[#This Row],[age]]&lt;=45,"31-45",IF(Sheet1[[#This Row],[age]]&lt;=60,"46-60","60+"))))</f>
        <v>46-60</v>
      </c>
      <c r="M660" s="2" t="str">
        <f>IF(Sheet1[[#This Row],[risk_score]]&lt;0.3,"Low",IF(Sheet1[[#This Row],[risk_score]]&lt;0.7,"Medium","High"))</f>
        <v>Medium</v>
      </c>
      <c r="N660">
        <f>YEAR(Sheet1[[#This Row],[date_joined]])</f>
        <v>2021</v>
      </c>
      <c r="O660" s="2" t="str">
        <f>TEXT(Sheet1[[#This Row],[date_joined]],"mmm")</f>
        <v>Feb</v>
      </c>
      <c r="P660" s="2" t="str">
        <f>"Q"&amp;ROUNDUP(MONTH(Sheet1[[#This Row],[date_joined]])/3,0)</f>
        <v>Q1</v>
      </c>
      <c r="Q660" s="2" t="str">
        <f>IF(Sheet1[[#This Row],[age]]&lt;30,"Young",IF(Sheet1[[#This Row],[age]]&lt;=50,"Adult","Senior"))</f>
        <v>Adult</v>
      </c>
      <c r="R660" s="2" t="str">
        <f t="shared" si="20"/>
        <v>High</v>
      </c>
      <c r="S660" s="2" t="str">
        <f t="shared" si="21"/>
        <v>East - Retired</v>
      </c>
    </row>
    <row r="661" spans="1:19" x14ac:dyDescent="0.3">
      <c r="A661" t="s">
        <v>1345</v>
      </c>
      <c r="B661" t="s">
        <v>1346</v>
      </c>
      <c r="C661">
        <v>26</v>
      </c>
      <c r="D661" s="2" t="s">
        <v>13</v>
      </c>
      <c r="E661" s="2" t="s">
        <v>22</v>
      </c>
      <c r="F661" s="2" t="s">
        <v>15</v>
      </c>
      <c r="G661" s="2" t="s">
        <v>66</v>
      </c>
      <c r="H661" s="2" t="s">
        <v>17</v>
      </c>
      <c r="I661" s="2" t="s">
        <v>18</v>
      </c>
      <c r="J661">
        <v>0.92</v>
      </c>
      <c r="K661" s="1">
        <v>43323</v>
      </c>
      <c r="L661" s="2" t="str">
        <f>IF(Sheet1[[#This Row],[age]]&lt;18, "Under 18",IF(Sheet1[[#This Row],[age]]&lt;=30,"18-30",IF(Sheet1[[#This Row],[age]]&lt;=45,"31-45",IF(Sheet1[[#This Row],[age]]&lt;=60,"46-60","60+"))))</f>
        <v>18-30</v>
      </c>
      <c r="M661" s="2" t="str">
        <f>IF(Sheet1[[#This Row],[risk_score]]&lt;0.3,"Low",IF(Sheet1[[#This Row],[risk_score]]&lt;0.7,"Medium","High"))</f>
        <v>High</v>
      </c>
      <c r="N661">
        <f>YEAR(Sheet1[[#This Row],[date_joined]])</f>
        <v>2018</v>
      </c>
      <c r="O661" s="2" t="str">
        <f>TEXT(Sheet1[[#This Row],[date_joined]],"mmm")</f>
        <v>Aug</v>
      </c>
      <c r="P661" s="2" t="str">
        <f>"Q"&amp;ROUNDUP(MONTH(Sheet1[[#This Row],[date_joined]])/3,0)</f>
        <v>Q3</v>
      </c>
      <c r="Q661" s="2" t="str">
        <f>IF(Sheet1[[#This Row],[age]]&lt;30,"Young",IF(Sheet1[[#This Row],[age]]&lt;=50,"Adult","Senior"))</f>
        <v>Young</v>
      </c>
      <c r="R661" s="2" t="str">
        <f t="shared" si="20"/>
        <v>High</v>
      </c>
      <c r="S661" s="2" t="str">
        <f t="shared" si="21"/>
        <v>North-East - Student</v>
      </c>
    </row>
    <row r="662" spans="1:19" x14ac:dyDescent="0.3">
      <c r="A662" t="s">
        <v>1347</v>
      </c>
      <c r="B662" t="s">
        <v>1348</v>
      </c>
      <c r="C662">
        <v>21</v>
      </c>
      <c r="D662" s="2" t="s">
        <v>13</v>
      </c>
      <c r="E662" s="2" t="s">
        <v>14</v>
      </c>
      <c r="F662" s="2" t="s">
        <v>15</v>
      </c>
      <c r="G662" s="2" t="s">
        <v>32</v>
      </c>
      <c r="H662" s="2" t="s">
        <v>18</v>
      </c>
      <c r="I662" s="2" t="s">
        <v>18</v>
      </c>
      <c r="J662">
        <v>0.5</v>
      </c>
      <c r="K662" s="1">
        <v>44030</v>
      </c>
      <c r="L662" s="2" t="str">
        <f>IF(Sheet1[[#This Row],[age]]&lt;18, "Under 18",IF(Sheet1[[#This Row],[age]]&lt;=30,"18-30",IF(Sheet1[[#This Row],[age]]&lt;=45,"31-45",IF(Sheet1[[#This Row],[age]]&lt;=60,"46-60","60+"))))</f>
        <v>18-30</v>
      </c>
      <c r="M662" s="2" t="str">
        <f>IF(Sheet1[[#This Row],[risk_score]]&lt;0.3,"Low",IF(Sheet1[[#This Row],[risk_score]]&lt;0.7,"Medium","High"))</f>
        <v>Medium</v>
      </c>
      <c r="N662">
        <f>YEAR(Sheet1[[#This Row],[date_joined]])</f>
        <v>2020</v>
      </c>
      <c r="O662" s="2" t="str">
        <f>TEXT(Sheet1[[#This Row],[date_joined]],"mmm")</f>
        <v>Jul</v>
      </c>
      <c r="P662" s="2" t="str">
        <f>"Q"&amp;ROUNDUP(MONTH(Sheet1[[#This Row],[date_joined]])/3,0)</f>
        <v>Q3</v>
      </c>
      <c r="Q662" s="2" t="str">
        <f>IF(Sheet1[[#This Row],[age]]&lt;30,"Young",IF(Sheet1[[#This Row],[age]]&lt;=50,"Adult","Senior"))</f>
        <v>Young</v>
      </c>
      <c r="R662" s="2" t="str">
        <f t="shared" si="20"/>
        <v>Very High</v>
      </c>
      <c r="S662" s="2" t="str">
        <f t="shared" si="21"/>
        <v>South - Student</v>
      </c>
    </row>
    <row r="663" spans="1:19" x14ac:dyDescent="0.3">
      <c r="A663" t="s">
        <v>1349</v>
      </c>
      <c r="B663" t="s">
        <v>1350</v>
      </c>
      <c r="C663">
        <v>28</v>
      </c>
      <c r="D663" s="2" t="s">
        <v>21</v>
      </c>
      <c r="E663" s="2" t="s">
        <v>22</v>
      </c>
      <c r="F663" s="2" t="s">
        <v>23</v>
      </c>
      <c r="G663" s="2" t="s">
        <v>24</v>
      </c>
      <c r="H663" s="2" t="s">
        <v>18</v>
      </c>
      <c r="I663" s="2" t="s">
        <v>18</v>
      </c>
      <c r="J663">
        <v>0.74</v>
      </c>
      <c r="K663" s="1">
        <v>44069</v>
      </c>
      <c r="L663" s="2" t="str">
        <f>IF(Sheet1[[#This Row],[age]]&lt;18, "Under 18",IF(Sheet1[[#This Row],[age]]&lt;=30,"18-30",IF(Sheet1[[#This Row],[age]]&lt;=45,"31-45",IF(Sheet1[[#This Row],[age]]&lt;=60,"46-60","60+"))))</f>
        <v>18-30</v>
      </c>
      <c r="M663" s="2" t="str">
        <f>IF(Sheet1[[#This Row],[risk_score]]&lt;0.3,"Low",IF(Sheet1[[#This Row],[risk_score]]&lt;0.7,"Medium","High"))</f>
        <v>High</v>
      </c>
      <c r="N663">
        <f>YEAR(Sheet1[[#This Row],[date_joined]])</f>
        <v>2020</v>
      </c>
      <c r="O663" s="2" t="str">
        <f>TEXT(Sheet1[[#This Row],[date_joined]],"mmm")</f>
        <v>Aug</v>
      </c>
      <c r="P663" s="2" t="str">
        <f>"Q"&amp;ROUNDUP(MONTH(Sheet1[[#This Row],[date_joined]])/3,0)</f>
        <v>Q3</v>
      </c>
      <c r="Q663" s="2" t="str">
        <f>IF(Sheet1[[#This Row],[age]]&lt;30,"Young",IF(Sheet1[[#This Row],[age]]&lt;=50,"Adult","Senior"))</f>
        <v>Young</v>
      </c>
      <c r="R663" s="2" t="str">
        <f t="shared" si="20"/>
        <v>Very High</v>
      </c>
      <c r="S663" s="2" t="str">
        <f t="shared" si="21"/>
        <v>East - Salaried</v>
      </c>
    </row>
    <row r="664" spans="1:19" x14ac:dyDescent="0.3">
      <c r="A664" t="s">
        <v>1351</v>
      </c>
      <c r="B664" t="s">
        <v>1352</v>
      </c>
      <c r="C664">
        <v>41</v>
      </c>
      <c r="D664" s="2" t="s">
        <v>13</v>
      </c>
      <c r="E664" s="2" t="s">
        <v>30</v>
      </c>
      <c r="F664" s="2" t="s">
        <v>15</v>
      </c>
      <c r="G664" s="2" t="s">
        <v>81</v>
      </c>
      <c r="H664" s="2" t="s">
        <v>17</v>
      </c>
      <c r="I664" s="2" t="s">
        <v>17</v>
      </c>
      <c r="J664">
        <v>0.24</v>
      </c>
      <c r="K664" s="1">
        <v>43176</v>
      </c>
      <c r="L664" s="2" t="str">
        <f>IF(Sheet1[[#This Row],[age]]&lt;18, "Under 18",IF(Sheet1[[#This Row],[age]]&lt;=30,"18-30",IF(Sheet1[[#This Row],[age]]&lt;=45,"31-45",IF(Sheet1[[#This Row],[age]]&lt;=60,"46-60","60+"))))</f>
        <v>31-45</v>
      </c>
      <c r="M664" s="2" t="str">
        <f>IF(Sheet1[[#This Row],[risk_score]]&lt;0.3,"Low",IF(Sheet1[[#This Row],[risk_score]]&lt;0.7,"Medium","High"))</f>
        <v>Low</v>
      </c>
      <c r="N664">
        <f>YEAR(Sheet1[[#This Row],[date_joined]])</f>
        <v>2018</v>
      </c>
      <c r="O664" s="2" t="str">
        <f>TEXT(Sheet1[[#This Row],[date_joined]],"mmm")</f>
        <v>Mar</v>
      </c>
      <c r="P664" s="2" t="str">
        <f>"Q"&amp;ROUNDUP(MONTH(Sheet1[[#This Row],[date_joined]])/3,0)</f>
        <v>Q1</v>
      </c>
      <c r="Q664" s="2" t="str">
        <f>IF(Sheet1[[#This Row],[age]]&lt;30,"Young",IF(Sheet1[[#This Row],[age]]&lt;=50,"Adult","Senior"))</f>
        <v>Adult</v>
      </c>
      <c r="R664" s="2" t="str">
        <f t="shared" si="20"/>
        <v>Low</v>
      </c>
      <c r="S664" s="2" t="str">
        <f t="shared" si="21"/>
        <v>Central - Student</v>
      </c>
    </row>
    <row r="665" spans="1:19" x14ac:dyDescent="0.3">
      <c r="A665" t="s">
        <v>1353</v>
      </c>
      <c r="B665" t="s">
        <v>1354</v>
      </c>
      <c r="C665">
        <v>58</v>
      </c>
      <c r="D665" s="2" t="s">
        <v>13</v>
      </c>
      <c r="E665" s="2" t="s">
        <v>14</v>
      </c>
      <c r="F665" s="2" t="s">
        <v>37</v>
      </c>
      <c r="G665" s="2" t="s">
        <v>32</v>
      </c>
      <c r="H665" s="2" t="s">
        <v>18</v>
      </c>
      <c r="I665" s="2" t="s">
        <v>17</v>
      </c>
      <c r="J665">
        <v>0.5</v>
      </c>
      <c r="K665" s="1">
        <v>43782</v>
      </c>
      <c r="L665" s="2" t="str">
        <f>IF(Sheet1[[#This Row],[age]]&lt;18, "Under 18",IF(Sheet1[[#This Row],[age]]&lt;=30,"18-30",IF(Sheet1[[#This Row],[age]]&lt;=45,"31-45",IF(Sheet1[[#This Row],[age]]&lt;=60,"46-60","60+"))))</f>
        <v>46-60</v>
      </c>
      <c r="M665" s="2" t="str">
        <f>IF(Sheet1[[#This Row],[risk_score]]&lt;0.3,"Low",IF(Sheet1[[#This Row],[risk_score]]&lt;0.7,"Medium","High"))</f>
        <v>Medium</v>
      </c>
      <c r="N665">
        <f>YEAR(Sheet1[[#This Row],[date_joined]])</f>
        <v>2019</v>
      </c>
      <c r="O665" s="2" t="str">
        <f>TEXT(Sheet1[[#This Row],[date_joined]],"mmm")</f>
        <v>Nov</v>
      </c>
      <c r="P665" s="2" t="str">
        <f>"Q"&amp;ROUNDUP(MONTH(Sheet1[[#This Row],[date_joined]])/3,0)</f>
        <v>Q4</v>
      </c>
      <c r="Q665" s="2" t="str">
        <f>IF(Sheet1[[#This Row],[age]]&lt;30,"Young",IF(Sheet1[[#This Row],[age]]&lt;=50,"Adult","Senior"))</f>
        <v>Senior</v>
      </c>
      <c r="R665" s="2" t="str">
        <f t="shared" si="20"/>
        <v>High</v>
      </c>
      <c r="S665" s="2" t="str">
        <f t="shared" si="21"/>
        <v>South - Retired</v>
      </c>
    </row>
    <row r="666" spans="1:19" x14ac:dyDescent="0.3">
      <c r="A666" t="s">
        <v>1355</v>
      </c>
      <c r="B666" t="s">
        <v>1356</v>
      </c>
      <c r="C666">
        <v>40</v>
      </c>
      <c r="D666" s="2" t="s">
        <v>13</v>
      </c>
      <c r="E666" s="2" t="s">
        <v>30</v>
      </c>
      <c r="F666" s="2" t="s">
        <v>23</v>
      </c>
      <c r="G666" s="2" t="s">
        <v>66</v>
      </c>
      <c r="H666" s="2" t="s">
        <v>18</v>
      </c>
      <c r="I666" s="2" t="s">
        <v>18</v>
      </c>
      <c r="J666">
        <v>0.08</v>
      </c>
      <c r="K666" s="1">
        <v>44689</v>
      </c>
      <c r="L666" s="2" t="str">
        <f>IF(Sheet1[[#This Row],[age]]&lt;18, "Under 18",IF(Sheet1[[#This Row],[age]]&lt;=30,"18-30",IF(Sheet1[[#This Row],[age]]&lt;=45,"31-45",IF(Sheet1[[#This Row],[age]]&lt;=60,"46-60","60+"))))</f>
        <v>31-45</v>
      </c>
      <c r="M666" s="2" t="str">
        <f>IF(Sheet1[[#This Row],[risk_score]]&lt;0.3,"Low",IF(Sheet1[[#This Row],[risk_score]]&lt;0.7,"Medium","High"))</f>
        <v>Low</v>
      </c>
      <c r="N666">
        <f>YEAR(Sheet1[[#This Row],[date_joined]])</f>
        <v>2022</v>
      </c>
      <c r="O666" s="2" t="str">
        <f>TEXT(Sheet1[[#This Row],[date_joined]],"mmm")</f>
        <v>May</v>
      </c>
      <c r="P666" s="2" t="str">
        <f>"Q"&amp;ROUNDUP(MONTH(Sheet1[[#This Row],[date_joined]])/3,0)</f>
        <v>Q2</v>
      </c>
      <c r="Q666" s="2" t="str">
        <f>IF(Sheet1[[#This Row],[age]]&lt;30,"Young",IF(Sheet1[[#This Row],[age]]&lt;=50,"Adult","Senior"))</f>
        <v>Adult</v>
      </c>
      <c r="R666" s="2" t="str">
        <f t="shared" si="20"/>
        <v>Very High</v>
      </c>
      <c r="S666" s="2" t="str">
        <f t="shared" si="21"/>
        <v>North-East - Salaried</v>
      </c>
    </row>
    <row r="667" spans="1:19" x14ac:dyDescent="0.3">
      <c r="A667" t="s">
        <v>1357</v>
      </c>
      <c r="B667" t="s">
        <v>1358</v>
      </c>
      <c r="C667">
        <v>29</v>
      </c>
      <c r="D667" s="2" t="s">
        <v>21</v>
      </c>
      <c r="E667" s="2" t="s">
        <v>14</v>
      </c>
      <c r="F667" s="2" t="s">
        <v>37</v>
      </c>
      <c r="G667" s="2" t="s">
        <v>27</v>
      </c>
      <c r="H667" s="2" t="s">
        <v>18</v>
      </c>
      <c r="I667" s="2" t="s">
        <v>18</v>
      </c>
      <c r="J667">
        <v>0.46</v>
      </c>
      <c r="K667" s="1">
        <v>43532</v>
      </c>
      <c r="L667" s="2" t="str">
        <f>IF(Sheet1[[#This Row],[age]]&lt;18, "Under 18",IF(Sheet1[[#This Row],[age]]&lt;=30,"18-30",IF(Sheet1[[#This Row],[age]]&lt;=45,"31-45",IF(Sheet1[[#This Row],[age]]&lt;=60,"46-60","60+"))))</f>
        <v>18-30</v>
      </c>
      <c r="M667" s="2" t="str">
        <f>IF(Sheet1[[#This Row],[risk_score]]&lt;0.3,"Low",IF(Sheet1[[#This Row],[risk_score]]&lt;0.7,"Medium","High"))</f>
        <v>Medium</v>
      </c>
      <c r="N667">
        <f>YEAR(Sheet1[[#This Row],[date_joined]])</f>
        <v>2019</v>
      </c>
      <c r="O667" s="2" t="str">
        <f>TEXT(Sheet1[[#This Row],[date_joined]],"mmm")</f>
        <v>Mar</v>
      </c>
      <c r="P667" s="2" t="str">
        <f>"Q"&amp;ROUNDUP(MONTH(Sheet1[[#This Row],[date_joined]])/3,0)</f>
        <v>Q1</v>
      </c>
      <c r="Q667" s="2" t="str">
        <f>IF(Sheet1[[#This Row],[age]]&lt;30,"Young",IF(Sheet1[[#This Row],[age]]&lt;=50,"Adult","Senior"))</f>
        <v>Young</v>
      </c>
      <c r="R667" s="2" t="str">
        <f t="shared" si="20"/>
        <v>Very High</v>
      </c>
      <c r="S667" s="2" t="str">
        <f t="shared" si="21"/>
        <v>North - Retired</v>
      </c>
    </row>
    <row r="668" spans="1:19" x14ac:dyDescent="0.3">
      <c r="A668" t="s">
        <v>1359</v>
      </c>
      <c r="B668" t="s">
        <v>1360</v>
      </c>
      <c r="C668">
        <v>47</v>
      </c>
      <c r="D668" s="2" t="s">
        <v>13</v>
      </c>
      <c r="E668" s="2" t="s">
        <v>14</v>
      </c>
      <c r="F668" s="2" t="s">
        <v>15</v>
      </c>
      <c r="G668" s="2" t="s">
        <v>27</v>
      </c>
      <c r="H668" s="2" t="s">
        <v>17</v>
      </c>
      <c r="I668" s="2" t="s">
        <v>18</v>
      </c>
      <c r="J668">
        <v>0.03</v>
      </c>
      <c r="K668" s="1">
        <v>44309</v>
      </c>
      <c r="L668" s="2" t="str">
        <f>IF(Sheet1[[#This Row],[age]]&lt;18, "Under 18",IF(Sheet1[[#This Row],[age]]&lt;=30,"18-30",IF(Sheet1[[#This Row],[age]]&lt;=45,"31-45",IF(Sheet1[[#This Row],[age]]&lt;=60,"46-60","60+"))))</f>
        <v>46-60</v>
      </c>
      <c r="M668" s="2" t="str">
        <f>IF(Sheet1[[#This Row],[risk_score]]&lt;0.3,"Low",IF(Sheet1[[#This Row],[risk_score]]&lt;0.7,"Medium","High"))</f>
        <v>Low</v>
      </c>
      <c r="N668">
        <f>YEAR(Sheet1[[#This Row],[date_joined]])</f>
        <v>2021</v>
      </c>
      <c r="O668" s="2" t="str">
        <f>TEXT(Sheet1[[#This Row],[date_joined]],"mmm")</f>
        <v>Apr</v>
      </c>
      <c r="P668" s="2" t="str">
        <f>"Q"&amp;ROUNDUP(MONTH(Sheet1[[#This Row],[date_joined]])/3,0)</f>
        <v>Q2</v>
      </c>
      <c r="Q668" s="2" t="str">
        <f>IF(Sheet1[[#This Row],[age]]&lt;30,"Young",IF(Sheet1[[#This Row],[age]]&lt;=50,"Adult","Senior"))</f>
        <v>Adult</v>
      </c>
      <c r="R668" s="2" t="str">
        <f t="shared" si="20"/>
        <v>High</v>
      </c>
      <c r="S668" s="2" t="str">
        <f t="shared" si="21"/>
        <v>North - Student</v>
      </c>
    </row>
    <row r="669" spans="1:19" x14ac:dyDescent="0.3">
      <c r="A669" t="s">
        <v>1361</v>
      </c>
      <c r="B669" t="s">
        <v>1362</v>
      </c>
      <c r="C669">
        <v>47</v>
      </c>
      <c r="D669" s="2" t="s">
        <v>21</v>
      </c>
      <c r="E669" s="2" t="s">
        <v>30</v>
      </c>
      <c r="F669" s="2" t="s">
        <v>37</v>
      </c>
      <c r="G669" s="2" t="s">
        <v>27</v>
      </c>
      <c r="H669" s="2" t="s">
        <v>17</v>
      </c>
      <c r="I669" s="2" t="s">
        <v>18</v>
      </c>
      <c r="J669">
        <v>0.54</v>
      </c>
      <c r="K669" s="1">
        <v>44583</v>
      </c>
      <c r="L669" s="2" t="str">
        <f>IF(Sheet1[[#This Row],[age]]&lt;18, "Under 18",IF(Sheet1[[#This Row],[age]]&lt;=30,"18-30",IF(Sheet1[[#This Row],[age]]&lt;=45,"31-45",IF(Sheet1[[#This Row],[age]]&lt;=60,"46-60","60+"))))</f>
        <v>46-60</v>
      </c>
      <c r="M669" s="2" t="str">
        <f>IF(Sheet1[[#This Row],[risk_score]]&lt;0.3,"Low",IF(Sheet1[[#This Row],[risk_score]]&lt;0.7,"Medium","High"))</f>
        <v>Medium</v>
      </c>
      <c r="N669">
        <f>YEAR(Sheet1[[#This Row],[date_joined]])</f>
        <v>2022</v>
      </c>
      <c r="O669" s="2" t="str">
        <f>TEXT(Sheet1[[#This Row],[date_joined]],"mmm")</f>
        <v>Jan</v>
      </c>
      <c r="P669" s="2" t="str">
        <f>"Q"&amp;ROUNDUP(MONTH(Sheet1[[#This Row],[date_joined]])/3,0)</f>
        <v>Q1</v>
      </c>
      <c r="Q669" s="2" t="str">
        <f>IF(Sheet1[[#This Row],[age]]&lt;30,"Young",IF(Sheet1[[#This Row],[age]]&lt;=50,"Adult","Senior"))</f>
        <v>Adult</v>
      </c>
      <c r="R669" s="2" t="str">
        <f t="shared" si="20"/>
        <v>High</v>
      </c>
      <c r="S669" s="2" t="str">
        <f t="shared" si="21"/>
        <v>North - Retired</v>
      </c>
    </row>
    <row r="670" spans="1:19" x14ac:dyDescent="0.3">
      <c r="A670" t="s">
        <v>1363</v>
      </c>
      <c r="B670" t="s">
        <v>1364</v>
      </c>
      <c r="C670">
        <v>66</v>
      </c>
      <c r="D670" s="2" t="s">
        <v>13</v>
      </c>
      <c r="E670" s="2" t="s">
        <v>22</v>
      </c>
      <c r="F670" s="2" t="s">
        <v>23</v>
      </c>
      <c r="G670" s="2" t="s">
        <v>81</v>
      </c>
      <c r="H670" s="2" t="s">
        <v>18</v>
      </c>
      <c r="I670" s="2" t="s">
        <v>18</v>
      </c>
      <c r="J670">
        <v>0.28000000000000003</v>
      </c>
      <c r="K670" s="1">
        <v>44463</v>
      </c>
      <c r="L670" s="2" t="str">
        <f>IF(Sheet1[[#This Row],[age]]&lt;18, "Under 18",IF(Sheet1[[#This Row],[age]]&lt;=30,"18-30",IF(Sheet1[[#This Row],[age]]&lt;=45,"31-45",IF(Sheet1[[#This Row],[age]]&lt;=60,"46-60","60+"))))</f>
        <v>60+</v>
      </c>
      <c r="M670" s="2" t="str">
        <f>IF(Sheet1[[#This Row],[risk_score]]&lt;0.3,"Low",IF(Sheet1[[#This Row],[risk_score]]&lt;0.7,"Medium","High"))</f>
        <v>Low</v>
      </c>
      <c r="N670">
        <f>YEAR(Sheet1[[#This Row],[date_joined]])</f>
        <v>2021</v>
      </c>
      <c r="O670" s="2" t="str">
        <f>TEXT(Sheet1[[#This Row],[date_joined]],"mmm")</f>
        <v>Sep</v>
      </c>
      <c r="P670" s="2" t="str">
        <f>"Q"&amp;ROUNDUP(MONTH(Sheet1[[#This Row],[date_joined]])/3,0)</f>
        <v>Q3</v>
      </c>
      <c r="Q670" s="2" t="str">
        <f>IF(Sheet1[[#This Row],[age]]&lt;30,"Young",IF(Sheet1[[#This Row],[age]]&lt;=50,"Adult","Senior"))</f>
        <v>Senior</v>
      </c>
      <c r="R670" s="2" t="str">
        <f t="shared" si="20"/>
        <v>Very High</v>
      </c>
      <c r="S670" s="2" t="str">
        <f t="shared" si="21"/>
        <v>Central - Salaried</v>
      </c>
    </row>
    <row r="671" spans="1:19" x14ac:dyDescent="0.3">
      <c r="A671" t="s">
        <v>1365</v>
      </c>
      <c r="B671" t="s">
        <v>1366</v>
      </c>
      <c r="C671">
        <v>28</v>
      </c>
      <c r="D671" s="2" t="s">
        <v>13</v>
      </c>
      <c r="E671" s="2" t="s">
        <v>30</v>
      </c>
      <c r="F671" s="2" t="s">
        <v>37</v>
      </c>
      <c r="G671" s="2" t="s">
        <v>27</v>
      </c>
      <c r="H671" s="2" t="s">
        <v>17</v>
      </c>
      <c r="I671" s="2" t="s">
        <v>17</v>
      </c>
      <c r="J671">
        <v>0.53</v>
      </c>
      <c r="K671" s="1">
        <v>44078</v>
      </c>
      <c r="L671" s="2" t="str">
        <f>IF(Sheet1[[#This Row],[age]]&lt;18, "Under 18",IF(Sheet1[[#This Row],[age]]&lt;=30,"18-30",IF(Sheet1[[#This Row],[age]]&lt;=45,"31-45",IF(Sheet1[[#This Row],[age]]&lt;=60,"46-60","60+"))))</f>
        <v>18-30</v>
      </c>
      <c r="M671" s="2" t="str">
        <f>IF(Sheet1[[#This Row],[risk_score]]&lt;0.3,"Low",IF(Sheet1[[#This Row],[risk_score]]&lt;0.7,"Medium","High"))</f>
        <v>Medium</v>
      </c>
      <c r="N671">
        <f>YEAR(Sheet1[[#This Row],[date_joined]])</f>
        <v>2020</v>
      </c>
      <c r="O671" s="2" t="str">
        <f>TEXT(Sheet1[[#This Row],[date_joined]],"mmm")</f>
        <v>Sep</v>
      </c>
      <c r="P671" s="2" t="str">
        <f>"Q"&amp;ROUNDUP(MONTH(Sheet1[[#This Row],[date_joined]])/3,0)</f>
        <v>Q3</v>
      </c>
      <c r="Q671" s="2" t="str">
        <f>IF(Sheet1[[#This Row],[age]]&lt;30,"Young",IF(Sheet1[[#This Row],[age]]&lt;=50,"Adult","Senior"))</f>
        <v>Young</v>
      </c>
      <c r="R671" s="2" t="str">
        <f t="shared" si="20"/>
        <v>Low</v>
      </c>
      <c r="S671" s="2" t="str">
        <f t="shared" si="21"/>
        <v>North - Retired</v>
      </c>
    </row>
    <row r="672" spans="1:19" x14ac:dyDescent="0.3">
      <c r="A672" t="s">
        <v>1367</v>
      </c>
      <c r="B672" t="s">
        <v>1368</v>
      </c>
      <c r="C672">
        <v>30</v>
      </c>
      <c r="D672" s="2" t="s">
        <v>21</v>
      </c>
      <c r="E672" s="2" t="s">
        <v>14</v>
      </c>
      <c r="F672" s="2" t="s">
        <v>37</v>
      </c>
      <c r="G672" s="2" t="s">
        <v>27</v>
      </c>
      <c r="H672" s="2" t="s">
        <v>18</v>
      </c>
      <c r="I672" s="2" t="s">
        <v>18</v>
      </c>
      <c r="J672">
        <v>0.33</v>
      </c>
      <c r="K672" s="1">
        <v>43715</v>
      </c>
      <c r="L672" s="2" t="str">
        <f>IF(Sheet1[[#This Row],[age]]&lt;18, "Under 18",IF(Sheet1[[#This Row],[age]]&lt;=30,"18-30",IF(Sheet1[[#This Row],[age]]&lt;=45,"31-45",IF(Sheet1[[#This Row],[age]]&lt;=60,"46-60","60+"))))</f>
        <v>18-30</v>
      </c>
      <c r="M672" s="2" t="str">
        <f>IF(Sheet1[[#This Row],[risk_score]]&lt;0.3,"Low",IF(Sheet1[[#This Row],[risk_score]]&lt;0.7,"Medium","High"))</f>
        <v>Medium</v>
      </c>
      <c r="N672">
        <f>YEAR(Sheet1[[#This Row],[date_joined]])</f>
        <v>2019</v>
      </c>
      <c r="O672" s="2" t="str">
        <f>TEXT(Sheet1[[#This Row],[date_joined]],"mmm")</f>
        <v>Sep</v>
      </c>
      <c r="P672" s="2" t="str">
        <f>"Q"&amp;ROUNDUP(MONTH(Sheet1[[#This Row],[date_joined]])/3,0)</f>
        <v>Q3</v>
      </c>
      <c r="Q672" s="2" t="str">
        <f>IF(Sheet1[[#This Row],[age]]&lt;30,"Young",IF(Sheet1[[#This Row],[age]]&lt;=50,"Adult","Senior"))</f>
        <v>Adult</v>
      </c>
      <c r="R672" s="2" t="str">
        <f t="shared" si="20"/>
        <v>Very High</v>
      </c>
      <c r="S672" s="2" t="str">
        <f t="shared" si="21"/>
        <v>North - Retired</v>
      </c>
    </row>
    <row r="673" spans="1:19" x14ac:dyDescent="0.3">
      <c r="A673" t="s">
        <v>1369</v>
      </c>
      <c r="B673" t="s">
        <v>1370</v>
      </c>
      <c r="C673">
        <v>18</v>
      </c>
      <c r="D673" s="2" t="s">
        <v>21</v>
      </c>
      <c r="E673" s="2" t="s">
        <v>30</v>
      </c>
      <c r="F673" s="2" t="s">
        <v>15</v>
      </c>
      <c r="G673" s="2" t="s">
        <v>27</v>
      </c>
      <c r="H673" s="2" t="s">
        <v>18</v>
      </c>
      <c r="I673" s="2" t="s">
        <v>17</v>
      </c>
      <c r="J673">
        <v>0.53</v>
      </c>
      <c r="K673" s="1">
        <v>43787</v>
      </c>
      <c r="L673" s="2" t="str">
        <f>IF(Sheet1[[#This Row],[age]]&lt;18, "Under 18",IF(Sheet1[[#This Row],[age]]&lt;=30,"18-30",IF(Sheet1[[#This Row],[age]]&lt;=45,"31-45",IF(Sheet1[[#This Row],[age]]&lt;=60,"46-60","60+"))))</f>
        <v>18-30</v>
      </c>
      <c r="M673" s="2" t="str">
        <f>IF(Sheet1[[#This Row],[risk_score]]&lt;0.3,"Low",IF(Sheet1[[#This Row],[risk_score]]&lt;0.7,"Medium","High"))</f>
        <v>Medium</v>
      </c>
      <c r="N673">
        <f>YEAR(Sheet1[[#This Row],[date_joined]])</f>
        <v>2019</v>
      </c>
      <c r="O673" s="2" t="str">
        <f>TEXT(Sheet1[[#This Row],[date_joined]],"mmm")</f>
        <v>Nov</v>
      </c>
      <c r="P673" s="2" t="str">
        <f>"Q"&amp;ROUNDUP(MONTH(Sheet1[[#This Row],[date_joined]])/3,0)</f>
        <v>Q4</v>
      </c>
      <c r="Q673" s="2" t="str">
        <f>IF(Sheet1[[#This Row],[age]]&lt;30,"Young",IF(Sheet1[[#This Row],[age]]&lt;=50,"Adult","Senior"))</f>
        <v>Young</v>
      </c>
      <c r="R673" s="2" t="str">
        <f t="shared" si="20"/>
        <v>High</v>
      </c>
      <c r="S673" s="2" t="str">
        <f t="shared" si="21"/>
        <v>North - Student</v>
      </c>
    </row>
    <row r="674" spans="1:19" x14ac:dyDescent="0.3">
      <c r="A674" t="s">
        <v>1371</v>
      </c>
      <c r="B674" t="s">
        <v>1372</v>
      </c>
      <c r="C674">
        <v>57</v>
      </c>
      <c r="D674" s="2" t="s">
        <v>13</v>
      </c>
      <c r="E674" s="2" t="s">
        <v>30</v>
      </c>
      <c r="F674" s="2" t="s">
        <v>15</v>
      </c>
      <c r="G674" s="2" t="s">
        <v>16</v>
      </c>
      <c r="H674" s="2" t="s">
        <v>17</v>
      </c>
      <c r="I674" s="2" t="s">
        <v>17</v>
      </c>
      <c r="J674">
        <v>0.65</v>
      </c>
      <c r="K674" s="1">
        <v>43433</v>
      </c>
      <c r="L674" s="2" t="str">
        <f>IF(Sheet1[[#This Row],[age]]&lt;18, "Under 18",IF(Sheet1[[#This Row],[age]]&lt;=30,"18-30",IF(Sheet1[[#This Row],[age]]&lt;=45,"31-45",IF(Sheet1[[#This Row],[age]]&lt;=60,"46-60","60+"))))</f>
        <v>46-60</v>
      </c>
      <c r="M674" s="2" t="str">
        <f>IF(Sheet1[[#This Row],[risk_score]]&lt;0.3,"Low",IF(Sheet1[[#This Row],[risk_score]]&lt;0.7,"Medium","High"))</f>
        <v>Medium</v>
      </c>
      <c r="N674">
        <f>YEAR(Sheet1[[#This Row],[date_joined]])</f>
        <v>2018</v>
      </c>
      <c r="O674" s="2" t="str">
        <f>TEXT(Sheet1[[#This Row],[date_joined]],"mmm")</f>
        <v>Nov</v>
      </c>
      <c r="P674" s="2" t="str">
        <f>"Q"&amp;ROUNDUP(MONTH(Sheet1[[#This Row],[date_joined]])/3,0)</f>
        <v>Q4</v>
      </c>
      <c r="Q674" s="2" t="str">
        <f>IF(Sheet1[[#This Row],[age]]&lt;30,"Young",IF(Sheet1[[#This Row],[age]]&lt;=50,"Adult","Senior"))</f>
        <v>Senior</v>
      </c>
      <c r="R674" s="2" t="str">
        <f t="shared" si="20"/>
        <v>Low</v>
      </c>
      <c r="S674" s="2" t="str">
        <f t="shared" si="21"/>
        <v>West - Student</v>
      </c>
    </row>
    <row r="675" spans="1:19" x14ac:dyDescent="0.3">
      <c r="A675" t="s">
        <v>1373</v>
      </c>
      <c r="B675" t="s">
        <v>1374</v>
      </c>
      <c r="C675">
        <v>31</v>
      </c>
      <c r="D675" s="2" t="s">
        <v>13</v>
      </c>
      <c r="E675" s="2" t="s">
        <v>30</v>
      </c>
      <c r="F675" s="2" t="s">
        <v>23</v>
      </c>
      <c r="G675" s="2" t="s">
        <v>24</v>
      </c>
      <c r="H675" s="2" t="s">
        <v>17</v>
      </c>
      <c r="I675" s="2" t="s">
        <v>18</v>
      </c>
      <c r="J675">
        <v>0.28000000000000003</v>
      </c>
      <c r="K675" s="1">
        <v>44743</v>
      </c>
      <c r="L675" s="2" t="str">
        <f>IF(Sheet1[[#This Row],[age]]&lt;18, "Under 18",IF(Sheet1[[#This Row],[age]]&lt;=30,"18-30",IF(Sheet1[[#This Row],[age]]&lt;=45,"31-45",IF(Sheet1[[#This Row],[age]]&lt;=60,"46-60","60+"))))</f>
        <v>31-45</v>
      </c>
      <c r="M675" s="2" t="str">
        <f>IF(Sheet1[[#This Row],[risk_score]]&lt;0.3,"Low",IF(Sheet1[[#This Row],[risk_score]]&lt;0.7,"Medium","High"))</f>
        <v>Low</v>
      </c>
      <c r="N675">
        <f>YEAR(Sheet1[[#This Row],[date_joined]])</f>
        <v>2022</v>
      </c>
      <c r="O675" s="2" t="str">
        <f>TEXT(Sheet1[[#This Row],[date_joined]],"mmm")</f>
        <v>Jul</v>
      </c>
      <c r="P675" s="2" t="str">
        <f>"Q"&amp;ROUNDUP(MONTH(Sheet1[[#This Row],[date_joined]])/3,0)</f>
        <v>Q3</v>
      </c>
      <c r="Q675" s="2" t="str">
        <f>IF(Sheet1[[#This Row],[age]]&lt;30,"Young",IF(Sheet1[[#This Row],[age]]&lt;=50,"Adult","Senior"))</f>
        <v>Adult</v>
      </c>
      <c r="R675" s="2" t="str">
        <f t="shared" si="20"/>
        <v>High</v>
      </c>
      <c r="S675" s="2" t="str">
        <f t="shared" si="21"/>
        <v>East - Salaried</v>
      </c>
    </row>
    <row r="676" spans="1:19" x14ac:dyDescent="0.3">
      <c r="A676" t="s">
        <v>1375</v>
      </c>
      <c r="B676" t="s">
        <v>1376</v>
      </c>
      <c r="C676">
        <v>45</v>
      </c>
      <c r="D676" s="2" t="s">
        <v>13</v>
      </c>
      <c r="E676" s="2" t="s">
        <v>14</v>
      </c>
      <c r="F676" s="2" t="s">
        <v>15</v>
      </c>
      <c r="G676" s="2" t="s">
        <v>27</v>
      </c>
      <c r="H676" s="2" t="s">
        <v>17</v>
      </c>
      <c r="I676" s="2" t="s">
        <v>18</v>
      </c>
      <c r="J676">
        <v>0.67</v>
      </c>
      <c r="K676" s="1">
        <v>43484</v>
      </c>
      <c r="L676" s="2" t="str">
        <f>IF(Sheet1[[#This Row],[age]]&lt;18, "Under 18",IF(Sheet1[[#This Row],[age]]&lt;=30,"18-30",IF(Sheet1[[#This Row],[age]]&lt;=45,"31-45",IF(Sheet1[[#This Row],[age]]&lt;=60,"46-60","60+"))))</f>
        <v>31-45</v>
      </c>
      <c r="M676" s="2" t="str">
        <f>IF(Sheet1[[#This Row],[risk_score]]&lt;0.3,"Low",IF(Sheet1[[#This Row],[risk_score]]&lt;0.7,"Medium","High"))</f>
        <v>Medium</v>
      </c>
      <c r="N676">
        <f>YEAR(Sheet1[[#This Row],[date_joined]])</f>
        <v>2019</v>
      </c>
      <c r="O676" s="2" t="str">
        <f>TEXT(Sheet1[[#This Row],[date_joined]],"mmm")</f>
        <v>Jan</v>
      </c>
      <c r="P676" s="2" t="str">
        <f>"Q"&amp;ROUNDUP(MONTH(Sheet1[[#This Row],[date_joined]])/3,0)</f>
        <v>Q1</v>
      </c>
      <c r="Q676" s="2" t="str">
        <f>IF(Sheet1[[#This Row],[age]]&lt;30,"Young",IF(Sheet1[[#This Row],[age]]&lt;=50,"Adult","Senior"))</f>
        <v>Adult</v>
      </c>
      <c r="R676" s="2" t="str">
        <f t="shared" si="20"/>
        <v>High</v>
      </c>
      <c r="S676" s="2" t="str">
        <f t="shared" si="21"/>
        <v>North - Student</v>
      </c>
    </row>
    <row r="677" spans="1:19" x14ac:dyDescent="0.3">
      <c r="A677" t="s">
        <v>1377</v>
      </c>
      <c r="B677" t="s">
        <v>1378</v>
      </c>
      <c r="C677">
        <v>45</v>
      </c>
      <c r="D677" s="2" t="s">
        <v>13</v>
      </c>
      <c r="E677" s="2" t="s">
        <v>30</v>
      </c>
      <c r="F677" s="2" t="s">
        <v>31</v>
      </c>
      <c r="G677" s="2" t="s">
        <v>66</v>
      </c>
      <c r="H677" s="2" t="s">
        <v>17</v>
      </c>
      <c r="I677" s="2" t="s">
        <v>18</v>
      </c>
      <c r="J677">
        <v>0.49</v>
      </c>
      <c r="K677" s="1">
        <v>43744</v>
      </c>
      <c r="L677" s="2" t="str">
        <f>IF(Sheet1[[#This Row],[age]]&lt;18, "Under 18",IF(Sheet1[[#This Row],[age]]&lt;=30,"18-30",IF(Sheet1[[#This Row],[age]]&lt;=45,"31-45",IF(Sheet1[[#This Row],[age]]&lt;=60,"46-60","60+"))))</f>
        <v>31-45</v>
      </c>
      <c r="M677" s="2" t="str">
        <f>IF(Sheet1[[#This Row],[risk_score]]&lt;0.3,"Low",IF(Sheet1[[#This Row],[risk_score]]&lt;0.7,"Medium","High"))</f>
        <v>Medium</v>
      </c>
      <c r="N677">
        <f>YEAR(Sheet1[[#This Row],[date_joined]])</f>
        <v>2019</v>
      </c>
      <c r="O677" s="2" t="str">
        <f>TEXT(Sheet1[[#This Row],[date_joined]],"mmm")</f>
        <v>Oct</v>
      </c>
      <c r="P677" s="2" t="str">
        <f>"Q"&amp;ROUNDUP(MONTH(Sheet1[[#This Row],[date_joined]])/3,0)</f>
        <v>Q4</v>
      </c>
      <c r="Q677" s="2" t="str">
        <f>IF(Sheet1[[#This Row],[age]]&lt;30,"Young",IF(Sheet1[[#This Row],[age]]&lt;=50,"Adult","Senior"))</f>
        <v>Adult</v>
      </c>
      <c r="R677" s="2" t="str">
        <f t="shared" si="20"/>
        <v>High</v>
      </c>
      <c r="S677" s="2" t="str">
        <f t="shared" si="21"/>
        <v>North-East - Self-employed</v>
      </c>
    </row>
    <row r="678" spans="1:19" x14ac:dyDescent="0.3">
      <c r="A678" t="s">
        <v>1379</v>
      </c>
      <c r="B678" t="s">
        <v>1380</v>
      </c>
      <c r="C678">
        <v>37</v>
      </c>
      <c r="D678" s="2" t="s">
        <v>21</v>
      </c>
      <c r="E678" s="2" t="s">
        <v>22</v>
      </c>
      <c r="F678" s="2" t="s">
        <v>37</v>
      </c>
      <c r="G678" s="2" t="s">
        <v>24</v>
      </c>
      <c r="H678" s="2" t="s">
        <v>17</v>
      </c>
      <c r="I678" s="2" t="s">
        <v>17</v>
      </c>
      <c r="J678">
        <v>0.78</v>
      </c>
      <c r="K678" s="1">
        <v>44901</v>
      </c>
      <c r="L678" s="2" t="str">
        <f>IF(Sheet1[[#This Row],[age]]&lt;18, "Under 18",IF(Sheet1[[#This Row],[age]]&lt;=30,"18-30",IF(Sheet1[[#This Row],[age]]&lt;=45,"31-45",IF(Sheet1[[#This Row],[age]]&lt;=60,"46-60","60+"))))</f>
        <v>31-45</v>
      </c>
      <c r="M678" s="2" t="str">
        <f>IF(Sheet1[[#This Row],[risk_score]]&lt;0.3,"Low",IF(Sheet1[[#This Row],[risk_score]]&lt;0.7,"Medium","High"))</f>
        <v>High</v>
      </c>
      <c r="N678">
        <f>YEAR(Sheet1[[#This Row],[date_joined]])</f>
        <v>2022</v>
      </c>
      <c r="O678" s="2" t="str">
        <f>TEXT(Sheet1[[#This Row],[date_joined]],"mmm")</f>
        <v>Dec</v>
      </c>
      <c r="P678" s="2" t="str">
        <f>"Q"&amp;ROUNDUP(MONTH(Sheet1[[#This Row],[date_joined]])/3,0)</f>
        <v>Q4</v>
      </c>
      <c r="Q678" s="2" t="str">
        <f>IF(Sheet1[[#This Row],[age]]&lt;30,"Young",IF(Sheet1[[#This Row],[age]]&lt;=50,"Adult","Senior"))</f>
        <v>Adult</v>
      </c>
      <c r="R678" s="2" t="str">
        <f t="shared" si="20"/>
        <v>Low</v>
      </c>
      <c r="S678" s="2" t="str">
        <f t="shared" si="21"/>
        <v>East - Retired</v>
      </c>
    </row>
    <row r="679" spans="1:19" x14ac:dyDescent="0.3">
      <c r="A679" t="s">
        <v>1381</v>
      </c>
      <c r="B679" t="s">
        <v>1382</v>
      </c>
      <c r="C679">
        <v>26</v>
      </c>
      <c r="D679" s="2" t="s">
        <v>21</v>
      </c>
      <c r="E679" s="2" t="s">
        <v>30</v>
      </c>
      <c r="F679" s="2" t="s">
        <v>23</v>
      </c>
      <c r="G679" s="2" t="s">
        <v>81</v>
      </c>
      <c r="H679" s="2" t="s">
        <v>17</v>
      </c>
      <c r="I679" s="2" t="s">
        <v>17</v>
      </c>
      <c r="J679">
        <v>0.56000000000000005</v>
      </c>
      <c r="K679" s="1">
        <v>43121</v>
      </c>
      <c r="L679" s="2" t="str">
        <f>IF(Sheet1[[#This Row],[age]]&lt;18, "Under 18",IF(Sheet1[[#This Row],[age]]&lt;=30,"18-30",IF(Sheet1[[#This Row],[age]]&lt;=45,"31-45",IF(Sheet1[[#This Row],[age]]&lt;=60,"46-60","60+"))))</f>
        <v>18-30</v>
      </c>
      <c r="M679" s="2" t="str">
        <f>IF(Sheet1[[#This Row],[risk_score]]&lt;0.3,"Low",IF(Sheet1[[#This Row],[risk_score]]&lt;0.7,"Medium","High"))</f>
        <v>Medium</v>
      </c>
      <c r="N679">
        <f>YEAR(Sheet1[[#This Row],[date_joined]])</f>
        <v>2018</v>
      </c>
      <c r="O679" s="2" t="str">
        <f>TEXT(Sheet1[[#This Row],[date_joined]],"mmm")</f>
        <v>Jan</v>
      </c>
      <c r="P679" s="2" t="str">
        <f>"Q"&amp;ROUNDUP(MONTH(Sheet1[[#This Row],[date_joined]])/3,0)</f>
        <v>Q1</v>
      </c>
      <c r="Q679" s="2" t="str">
        <f>IF(Sheet1[[#This Row],[age]]&lt;30,"Young",IF(Sheet1[[#This Row],[age]]&lt;=50,"Adult","Senior"))</f>
        <v>Young</v>
      </c>
      <c r="R679" s="2" t="str">
        <f t="shared" si="20"/>
        <v>Low</v>
      </c>
      <c r="S679" s="2" t="str">
        <f t="shared" si="21"/>
        <v>Central - Salaried</v>
      </c>
    </row>
    <row r="680" spans="1:19" x14ac:dyDescent="0.3">
      <c r="A680" t="s">
        <v>1383</v>
      </c>
      <c r="B680" t="s">
        <v>1384</v>
      </c>
      <c r="C680">
        <v>45</v>
      </c>
      <c r="D680" s="2" t="s">
        <v>13</v>
      </c>
      <c r="E680" s="2" t="s">
        <v>30</v>
      </c>
      <c r="F680" s="2" t="s">
        <v>23</v>
      </c>
      <c r="G680" s="2" t="s">
        <v>27</v>
      </c>
      <c r="H680" s="2" t="s">
        <v>18</v>
      </c>
      <c r="I680" s="2" t="s">
        <v>17</v>
      </c>
      <c r="J680">
        <v>0.46</v>
      </c>
      <c r="K680" s="1">
        <v>44752</v>
      </c>
      <c r="L680" s="2" t="str">
        <f>IF(Sheet1[[#This Row],[age]]&lt;18, "Under 18",IF(Sheet1[[#This Row],[age]]&lt;=30,"18-30",IF(Sheet1[[#This Row],[age]]&lt;=45,"31-45",IF(Sheet1[[#This Row],[age]]&lt;=60,"46-60","60+"))))</f>
        <v>31-45</v>
      </c>
      <c r="M680" s="2" t="str">
        <f>IF(Sheet1[[#This Row],[risk_score]]&lt;0.3,"Low",IF(Sheet1[[#This Row],[risk_score]]&lt;0.7,"Medium","High"))</f>
        <v>Medium</v>
      </c>
      <c r="N680">
        <f>YEAR(Sheet1[[#This Row],[date_joined]])</f>
        <v>2022</v>
      </c>
      <c r="O680" s="2" t="str">
        <f>TEXT(Sheet1[[#This Row],[date_joined]],"mmm")</f>
        <v>Jul</v>
      </c>
      <c r="P680" s="2" t="str">
        <f>"Q"&amp;ROUNDUP(MONTH(Sheet1[[#This Row],[date_joined]])/3,0)</f>
        <v>Q3</v>
      </c>
      <c r="Q680" s="2" t="str">
        <f>IF(Sheet1[[#This Row],[age]]&lt;30,"Young",IF(Sheet1[[#This Row],[age]]&lt;=50,"Adult","Senior"))</f>
        <v>Adult</v>
      </c>
      <c r="R680" s="2" t="str">
        <f t="shared" si="20"/>
        <v>High</v>
      </c>
      <c r="S680" s="2" t="str">
        <f t="shared" si="21"/>
        <v>North - Salaried</v>
      </c>
    </row>
    <row r="681" spans="1:19" x14ac:dyDescent="0.3">
      <c r="A681" t="s">
        <v>1385</v>
      </c>
      <c r="B681" t="s">
        <v>1386</v>
      </c>
      <c r="C681">
        <v>40</v>
      </c>
      <c r="D681" s="2" t="s">
        <v>13</v>
      </c>
      <c r="E681" s="2" t="s">
        <v>30</v>
      </c>
      <c r="F681" s="2" t="s">
        <v>23</v>
      </c>
      <c r="G681" s="2" t="s">
        <v>16</v>
      </c>
      <c r="H681" s="2" t="s">
        <v>18</v>
      </c>
      <c r="I681" s="2" t="s">
        <v>18</v>
      </c>
      <c r="J681">
        <v>0.37</v>
      </c>
      <c r="K681" s="1">
        <v>43251</v>
      </c>
      <c r="L681" s="2" t="str">
        <f>IF(Sheet1[[#This Row],[age]]&lt;18, "Under 18",IF(Sheet1[[#This Row],[age]]&lt;=30,"18-30",IF(Sheet1[[#This Row],[age]]&lt;=45,"31-45",IF(Sheet1[[#This Row],[age]]&lt;=60,"46-60","60+"))))</f>
        <v>31-45</v>
      </c>
      <c r="M681" s="2" t="str">
        <f>IF(Sheet1[[#This Row],[risk_score]]&lt;0.3,"Low",IF(Sheet1[[#This Row],[risk_score]]&lt;0.7,"Medium","High"))</f>
        <v>Medium</v>
      </c>
      <c r="N681">
        <f>YEAR(Sheet1[[#This Row],[date_joined]])</f>
        <v>2018</v>
      </c>
      <c r="O681" s="2" t="str">
        <f>TEXT(Sheet1[[#This Row],[date_joined]],"mmm")</f>
        <v>May</v>
      </c>
      <c r="P681" s="2" t="str">
        <f>"Q"&amp;ROUNDUP(MONTH(Sheet1[[#This Row],[date_joined]])/3,0)</f>
        <v>Q2</v>
      </c>
      <c r="Q681" s="2" t="str">
        <f>IF(Sheet1[[#This Row],[age]]&lt;30,"Young",IF(Sheet1[[#This Row],[age]]&lt;=50,"Adult","Senior"))</f>
        <v>Adult</v>
      </c>
      <c r="R681" s="2" t="str">
        <f t="shared" si="20"/>
        <v>Very High</v>
      </c>
      <c r="S681" s="2" t="str">
        <f t="shared" si="21"/>
        <v>West - Salaried</v>
      </c>
    </row>
    <row r="682" spans="1:19" x14ac:dyDescent="0.3">
      <c r="A682" t="s">
        <v>1387</v>
      </c>
      <c r="B682" t="s">
        <v>1388</v>
      </c>
      <c r="C682">
        <v>41</v>
      </c>
      <c r="D682" s="2" t="s">
        <v>13</v>
      </c>
      <c r="E682" s="2" t="s">
        <v>30</v>
      </c>
      <c r="F682" s="2" t="s">
        <v>31</v>
      </c>
      <c r="G682" s="2" t="s">
        <v>27</v>
      </c>
      <c r="H682" s="2" t="s">
        <v>18</v>
      </c>
      <c r="I682" s="2" t="s">
        <v>17</v>
      </c>
      <c r="J682">
        <v>0.55000000000000004</v>
      </c>
      <c r="K682" s="1">
        <v>45026</v>
      </c>
      <c r="L682" s="2" t="str">
        <f>IF(Sheet1[[#This Row],[age]]&lt;18, "Under 18",IF(Sheet1[[#This Row],[age]]&lt;=30,"18-30",IF(Sheet1[[#This Row],[age]]&lt;=45,"31-45",IF(Sheet1[[#This Row],[age]]&lt;=60,"46-60","60+"))))</f>
        <v>31-45</v>
      </c>
      <c r="M682" s="2" t="str">
        <f>IF(Sheet1[[#This Row],[risk_score]]&lt;0.3,"Low",IF(Sheet1[[#This Row],[risk_score]]&lt;0.7,"Medium","High"))</f>
        <v>Medium</v>
      </c>
      <c r="N682">
        <f>YEAR(Sheet1[[#This Row],[date_joined]])</f>
        <v>2023</v>
      </c>
      <c r="O682" s="2" t="str">
        <f>TEXT(Sheet1[[#This Row],[date_joined]],"mmm")</f>
        <v>Apr</v>
      </c>
      <c r="P682" s="2" t="str">
        <f>"Q"&amp;ROUNDUP(MONTH(Sheet1[[#This Row],[date_joined]])/3,0)</f>
        <v>Q2</v>
      </c>
      <c r="Q682" s="2" t="str">
        <f>IF(Sheet1[[#This Row],[age]]&lt;30,"Young",IF(Sheet1[[#This Row],[age]]&lt;=50,"Adult","Senior"))</f>
        <v>Adult</v>
      </c>
      <c r="R682" s="2" t="str">
        <f t="shared" si="20"/>
        <v>High</v>
      </c>
      <c r="S682" s="2" t="str">
        <f t="shared" si="21"/>
        <v>North - Self-employed</v>
      </c>
    </row>
    <row r="683" spans="1:19" x14ac:dyDescent="0.3">
      <c r="A683" t="s">
        <v>1389</v>
      </c>
      <c r="B683" t="s">
        <v>1390</v>
      </c>
      <c r="C683">
        <v>64</v>
      </c>
      <c r="D683" s="2" t="s">
        <v>21</v>
      </c>
      <c r="E683" s="2" t="s">
        <v>30</v>
      </c>
      <c r="F683" s="2" t="s">
        <v>15</v>
      </c>
      <c r="G683" s="2" t="s">
        <v>24</v>
      </c>
      <c r="H683" s="2" t="s">
        <v>18</v>
      </c>
      <c r="I683" s="2" t="s">
        <v>18</v>
      </c>
      <c r="J683">
        <v>0.34</v>
      </c>
      <c r="K683" s="1">
        <v>43361</v>
      </c>
      <c r="L683" s="2" t="str">
        <f>IF(Sheet1[[#This Row],[age]]&lt;18, "Under 18",IF(Sheet1[[#This Row],[age]]&lt;=30,"18-30",IF(Sheet1[[#This Row],[age]]&lt;=45,"31-45",IF(Sheet1[[#This Row],[age]]&lt;=60,"46-60","60+"))))</f>
        <v>60+</v>
      </c>
      <c r="M683" s="2" t="str">
        <f>IF(Sheet1[[#This Row],[risk_score]]&lt;0.3,"Low",IF(Sheet1[[#This Row],[risk_score]]&lt;0.7,"Medium","High"))</f>
        <v>Medium</v>
      </c>
      <c r="N683">
        <f>YEAR(Sheet1[[#This Row],[date_joined]])</f>
        <v>2018</v>
      </c>
      <c r="O683" s="2" t="str">
        <f>TEXT(Sheet1[[#This Row],[date_joined]],"mmm")</f>
        <v>Sep</v>
      </c>
      <c r="P683" s="2" t="str">
        <f>"Q"&amp;ROUNDUP(MONTH(Sheet1[[#This Row],[date_joined]])/3,0)</f>
        <v>Q3</v>
      </c>
      <c r="Q683" s="2" t="str">
        <f>IF(Sheet1[[#This Row],[age]]&lt;30,"Young",IF(Sheet1[[#This Row],[age]]&lt;=50,"Adult","Senior"))</f>
        <v>Senior</v>
      </c>
      <c r="R683" s="2" t="str">
        <f t="shared" si="20"/>
        <v>Very High</v>
      </c>
      <c r="S683" s="2" t="str">
        <f t="shared" si="21"/>
        <v>East - Student</v>
      </c>
    </row>
    <row r="684" spans="1:19" x14ac:dyDescent="0.3">
      <c r="A684" t="s">
        <v>1391</v>
      </c>
      <c r="B684" t="s">
        <v>1392</v>
      </c>
      <c r="C684">
        <v>33</v>
      </c>
      <c r="D684" s="2" t="s">
        <v>13</v>
      </c>
      <c r="E684" s="2" t="s">
        <v>22</v>
      </c>
      <c r="F684" s="2" t="s">
        <v>37</v>
      </c>
      <c r="G684" s="2" t="s">
        <v>24</v>
      </c>
      <c r="H684" s="2" t="s">
        <v>18</v>
      </c>
      <c r="I684" s="2" t="s">
        <v>17</v>
      </c>
      <c r="J684">
        <v>1</v>
      </c>
      <c r="K684" s="1">
        <v>43335</v>
      </c>
      <c r="L684" s="2" t="str">
        <f>IF(Sheet1[[#This Row],[age]]&lt;18, "Under 18",IF(Sheet1[[#This Row],[age]]&lt;=30,"18-30",IF(Sheet1[[#This Row],[age]]&lt;=45,"31-45",IF(Sheet1[[#This Row],[age]]&lt;=60,"46-60","60+"))))</f>
        <v>31-45</v>
      </c>
      <c r="M684" s="2" t="str">
        <f>IF(Sheet1[[#This Row],[risk_score]]&lt;0.3,"Low",IF(Sheet1[[#This Row],[risk_score]]&lt;0.7,"Medium","High"))</f>
        <v>High</v>
      </c>
      <c r="N684">
        <f>YEAR(Sheet1[[#This Row],[date_joined]])</f>
        <v>2018</v>
      </c>
      <c r="O684" s="2" t="str">
        <f>TEXT(Sheet1[[#This Row],[date_joined]],"mmm")</f>
        <v>Aug</v>
      </c>
      <c r="P684" s="2" t="str">
        <f>"Q"&amp;ROUNDUP(MONTH(Sheet1[[#This Row],[date_joined]])/3,0)</f>
        <v>Q3</v>
      </c>
      <c r="Q684" s="2" t="str">
        <f>IF(Sheet1[[#This Row],[age]]&lt;30,"Young",IF(Sheet1[[#This Row],[age]]&lt;=50,"Adult","Senior"))</f>
        <v>Adult</v>
      </c>
      <c r="R684" s="2" t="str">
        <f t="shared" si="20"/>
        <v>High</v>
      </c>
      <c r="S684" s="2" t="str">
        <f t="shared" si="21"/>
        <v>East - Retired</v>
      </c>
    </row>
    <row r="685" spans="1:19" x14ac:dyDescent="0.3">
      <c r="A685" t="s">
        <v>1393</v>
      </c>
      <c r="B685" t="s">
        <v>1394</v>
      </c>
      <c r="C685">
        <v>51</v>
      </c>
      <c r="D685" s="2" t="s">
        <v>21</v>
      </c>
      <c r="E685" s="2" t="s">
        <v>14</v>
      </c>
      <c r="F685" s="2" t="s">
        <v>37</v>
      </c>
      <c r="G685" s="2" t="s">
        <v>66</v>
      </c>
      <c r="H685" s="2" t="s">
        <v>18</v>
      </c>
      <c r="I685" s="2" t="s">
        <v>17</v>
      </c>
      <c r="J685">
        <v>0.01</v>
      </c>
      <c r="K685" s="1">
        <v>43386</v>
      </c>
      <c r="L685" s="2" t="str">
        <f>IF(Sheet1[[#This Row],[age]]&lt;18, "Under 18",IF(Sheet1[[#This Row],[age]]&lt;=30,"18-30",IF(Sheet1[[#This Row],[age]]&lt;=45,"31-45",IF(Sheet1[[#This Row],[age]]&lt;=60,"46-60","60+"))))</f>
        <v>46-60</v>
      </c>
      <c r="M685" s="2" t="str">
        <f>IF(Sheet1[[#This Row],[risk_score]]&lt;0.3,"Low",IF(Sheet1[[#This Row],[risk_score]]&lt;0.7,"Medium","High"))</f>
        <v>Low</v>
      </c>
      <c r="N685">
        <f>YEAR(Sheet1[[#This Row],[date_joined]])</f>
        <v>2018</v>
      </c>
      <c r="O685" s="2" t="str">
        <f>TEXT(Sheet1[[#This Row],[date_joined]],"mmm")</f>
        <v>Oct</v>
      </c>
      <c r="P685" s="2" t="str">
        <f>"Q"&amp;ROUNDUP(MONTH(Sheet1[[#This Row],[date_joined]])/3,0)</f>
        <v>Q4</v>
      </c>
      <c r="Q685" s="2" t="str">
        <f>IF(Sheet1[[#This Row],[age]]&lt;30,"Young",IF(Sheet1[[#This Row],[age]]&lt;=50,"Adult","Senior"))</f>
        <v>Senior</v>
      </c>
      <c r="R685" s="2" t="str">
        <f t="shared" si="20"/>
        <v>High</v>
      </c>
      <c r="S685" s="2" t="str">
        <f t="shared" si="21"/>
        <v>North-East - Retired</v>
      </c>
    </row>
    <row r="686" spans="1:19" x14ac:dyDescent="0.3">
      <c r="A686" t="s">
        <v>1395</v>
      </c>
      <c r="B686" t="s">
        <v>1396</v>
      </c>
      <c r="C686">
        <v>50</v>
      </c>
      <c r="D686" s="2" t="s">
        <v>13</v>
      </c>
      <c r="E686" s="2" t="s">
        <v>30</v>
      </c>
      <c r="F686" s="2" t="s">
        <v>31</v>
      </c>
      <c r="G686" s="2" t="s">
        <v>32</v>
      </c>
      <c r="H686" s="2" t="s">
        <v>18</v>
      </c>
      <c r="I686" s="2" t="s">
        <v>18</v>
      </c>
      <c r="J686">
        <v>0.4</v>
      </c>
      <c r="K686" s="1">
        <v>44843</v>
      </c>
      <c r="L686" s="2" t="str">
        <f>IF(Sheet1[[#This Row],[age]]&lt;18, "Under 18",IF(Sheet1[[#This Row],[age]]&lt;=30,"18-30",IF(Sheet1[[#This Row],[age]]&lt;=45,"31-45",IF(Sheet1[[#This Row],[age]]&lt;=60,"46-60","60+"))))</f>
        <v>46-60</v>
      </c>
      <c r="M686" s="2" t="str">
        <f>IF(Sheet1[[#This Row],[risk_score]]&lt;0.3,"Low",IF(Sheet1[[#This Row],[risk_score]]&lt;0.7,"Medium","High"))</f>
        <v>Medium</v>
      </c>
      <c r="N686">
        <f>YEAR(Sheet1[[#This Row],[date_joined]])</f>
        <v>2022</v>
      </c>
      <c r="O686" s="2" t="str">
        <f>TEXT(Sheet1[[#This Row],[date_joined]],"mmm")</f>
        <v>Oct</v>
      </c>
      <c r="P686" s="2" t="str">
        <f>"Q"&amp;ROUNDUP(MONTH(Sheet1[[#This Row],[date_joined]])/3,0)</f>
        <v>Q4</v>
      </c>
      <c r="Q686" s="2" t="str">
        <f>IF(Sheet1[[#This Row],[age]]&lt;30,"Young",IF(Sheet1[[#This Row],[age]]&lt;=50,"Adult","Senior"))</f>
        <v>Adult</v>
      </c>
      <c r="R686" s="2" t="str">
        <f t="shared" si="20"/>
        <v>Very High</v>
      </c>
      <c r="S686" s="2" t="str">
        <f t="shared" si="21"/>
        <v>South - Self-employed</v>
      </c>
    </row>
    <row r="687" spans="1:19" x14ac:dyDescent="0.3">
      <c r="A687" t="s">
        <v>1397</v>
      </c>
      <c r="B687" t="s">
        <v>1398</v>
      </c>
      <c r="C687">
        <v>36</v>
      </c>
      <c r="D687" s="2" t="s">
        <v>21</v>
      </c>
      <c r="E687" s="2" t="s">
        <v>14</v>
      </c>
      <c r="F687" s="2" t="s">
        <v>23</v>
      </c>
      <c r="G687" s="2" t="s">
        <v>27</v>
      </c>
      <c r="H687" s="2" t="s">
        <v>17</v>
      </c>
      <c r="I687" s="2" t="s">
        <v>17</v>
      </c>
      <c r="J687">
        <v>0.26</v>
      </c>
      <c r="K687" s="1">
        <v>44740</v>
      </c>
      <c r="L687" s="2" t="str">
        <f>IF(Sheet1[[#This Row],[age]]&lt;18, "Under 18",IF(Sheet1[[#This Row],[age]]&lt;=30,"18-30",IF(Sheet1[[#This Row],[age]]&lt;=45,"31-45",IF(Sheet1[[#This Row],[age]]&lt;=60,"46-60","60+"))))</f>
        <v>31-45</v>
      </c>
      <c r="M687" s="2" t="str">
        <f>IF(Sheet1[[#This Row],[risk_score]]&lt;0.3,"Low",IF(Sheet1[[#This Row],[risk_score]]&lt;0.7,"Medium","High"))</f>
        <v>Low</v>
      </c>
      <c r="N687">
        <f>YEAR(Sheet1[[#This Row],[date_joined]])</f>
        <v>2022</v>
      </c>
      <c r="O687" s="2" t="str">
        <f>TEXT(Sheet1[[#This Row],[date_joined]],"mmm")</f>
        <v>Jun</v>
      </c>
      <c r="P687" s="2" t="str">
        <f>"Q"&amp;ROUNDUP(MONTH(Sheet1[[#This Row],[date_joined]])/3,0)</f>
        <v>Q2</v>
      </c>
      <c r="Q687" s="2" t="str">
        <f>IF(Sheet1[[#This Row],[age]]&lt;30,"Young",IF(Sheet1[[#This Row],[age]]&lt;=50,"Adult","Senior"))</f>
        <v>Adult</v>
      </c>
      <c r="R687" s="2" t="str">
        <f t="shared" si="20"/>
        <v>Low</v>
      </c>
      <c r="S687" s="2" t="str">
        <f t="shared" si="21"/>
        <v>North - Salaried</v>
      </c>
    </row>
    <row r="688" spans="1:19" x14ac:dyDescent="0.3">
      <c r="A688" t="s">
        <v>1399</v>
      </c>
      <c r="B688" t="s">
        <v>1400</v>
      </c>
      <c r="C688">
        <v>29</v>
      </c>
      <c r="D688" s="2" t="s">
        <v>21</v>
      </c>
      <c r="E688" s="2" t="s">
        <v>22</v>
      </c>
      <c r="F688" s="2" t="s">
        <v>15</v>
      </c>
      <c r="G688" s="2" t="s">
        <v>16</v>
      </c>
      <c r="H688" s="2" t="s">
        <v>17</v>
      </c>
      <c r="I688" s="2" t="s">
        <v>18</v>
      </c>
      <c r="J688">
        <v>0.42</v>
      </c>
      <c r="K688" s="1">
        <v>43365</v>
      </c>
      <c r="L688" s="2" t="str">
        <f>IF(Sheet1[[#This Row],[age]]&lt;18, "Under 18",IF(Sheet1[[#This Row],[age]]&lt;=30,"18-30",IF(Sheet1[[#This Row],[age]]&lt;=45,"31-45",IF(Sheet1[[#This Row],[age]]&lt;=60,"46-60","60+"))))</f>
        <v>18-30</v>
      </c>
      <c r="M688" s="2" t="str">
        <f>IF(Sheet1[[#This Row],[risk_score]]&lt;0.3,"Low",IF(Sheet1[[#This Row],[risk_score]]&lt;0.7,"Medium","High"))</f>
        <v>Medium</v>
      </c>
      <c r="N688">
        <f>YEAR(Sheet1[[#This Row],[date_joined]])</f>
        <v>2018</v>
      </c>
      <c r="O688" s="2" t="str">
        <f>TEXT(Sheet1[[#This Row],[date_joined]],"mmm")</f>
        <v>Sep</v>
      </c>
      <c r="P688" s="2" t="str">
        <f>"Q"&amp;ROUNDUP(MONTH(Sheet1[[#This Row],[date_joined]])/3,0)</f>
        <v>Q3</v>
      </c>
      <c r="Q688" s="2" t="str">
        <f>IF(Sheet1[[#This Row],[age]]&lt;30,"Young",IF(Sheet1[[#This Row],[age]]&lt;=50,"Adult","Senior"))</f>
        <v>Young</v>
      </c>
      <c r="R688" s="2" t="str">
        <f t="shared" si="20"/>
        <v>High</v>
      </c>
      <c r="S688" s="2" t="str">
        <f t="shared" si="21"/>
        <v>West - Student</v>
      </c>
    </row>
    <row r="689" spans="1:19" x14ac:dyDescent="0.3">
      <c r="A689" t="s">
        <v>1401</v>
      </c>
      <c r="B689" t="s">
        <v>1402</v>
      </c>
      <c r="C689">
        <v>44</v>
      </c>
      <c r="D689" s="2" t="s">
        <v>13</v>
      </c>
      <c r="E689" s="2" t="s">
        <v>30</v>
      </c>
      <c r="F689" s="2" t="s">
        <v>37</v>
      </c>
      <c r="G689" s="2" t="s">
        <v>27</v>
      </c>
      <c r="H689" s="2" t="s">
        <v>18</v>
      </c>
      <c r="I689" s="2" t="s">
        <v>18</v>
      </c>
      <c r="J689">
        <v>0.27</v>
      </c>
      <c r="K689" s="1">
        <v>45049</v>
      </c>
      <c r="L689" s="2" t="str">
        <f>IF(Sheet1[[#This Row],[age]]&lt;18, "Under 18",IF(Sheet1[[#This Row],[age]]&lt;=30,"18-30",IF(Sheet1[[#This Row],[age]]&lt;=45,"31-45",IF(Sheet1[[#This Row],[age]]&lt;=60,"46-60","60+"))))</f>
        <v>31-45</v>
      </c>
      <c r="M689" s="2" t="str">
        <f>IF(Sheet1[[#This Row],[risk_score]]&lt;0.3,"Low",IF(Sheet1[[#This Row],[risk_score]]&lt;0.7,"Medium","High"))</f>
        <v>Low</v>
      </c>
      <c r="N689">
        <f>YEAR(Sheet1[[#This Row],[date_joined]])</f>
        <v>2023</v>
      </c>
      <c r="O689" s="2" t="str">
        <f>TEXT(Sheet1[[#This Row],[date_joined]],"mmm")</f>
        <v>May</v>
      </c>
      <c r="P689" s="2" t="str">
        <f>"Q"&amp;ROUNDUP(MONTH(Sheet1[[#This Row],[date_joined]])/3,0)</f>
        <v>Q2</v>
      </c>
      <c r="Q689" s="2" t="str">
        <f>IF(Sheet1[[#This Row],[age]]&lt;30,"Young",IF(Sheet1[[#This Row],[age]]&lt;=50,"Adult","Senior"))</f>
        <v>Adult</v>
      </c>
      <c r="R689" s="2" t="str">
        <f t="shared" si="20"/>
        <v>Very High</v>
      </c>
      <c r="S689" s="2" t="str">
        <f t="shared" si="21"/>
        <v>North - Retired</v>
      </c>
    </row>
    <row r="690" spans="1:19" x14ac:dyDescent="0.3">
      <c r="A690" t="s">
        <v>1403</v>
      </c>
      <c r="B690" t="s">
        <v>1404</v>
      </c>
      <c r="C690">
        <v>33</v>
      </c>
      <c r="D690" s="2" t="s">
        <v>13</v>
      </c>
      <c r="E690" s="2" t="s">
        <v>14</v>
      </c>
      <c r="F690" s="2" t="s">
        <v>37</v>
      </c>
      <c r="G690" s="2" t="s">
        <v>66</v>
      </c>
      <c r="H690" s="2" t="s">
        <v>17</v>
      </c>
      <c r="I690" s="2" t="s">
        <v>18</v>
      </c>
      <c r="J690">
        <v>0.45</v>
      </c>
      <c r="K690" s="1">
        <v>43531</v>
      </c>
      <c r="L690" s="2" t="str">
        <f>IF(Sheet1[[#This Row],[age]]&lt;18, "Under 18",IF(Sheet1[[#This Row],[age]]&lt;=30,"18-30",IF(Sheet1[[#This Row],[age]]&lt;=45,"31-45",IF(Sheet1[[#This Row],[age]]&lt;=60,"46-60","60+"))))</f>
        <v>31-45</v>
      </c>
      <c r="M690" s="2" t="str">
        <f>IF(Sheet1[[#This Row],[risk_score]]&lt;0.3,"Low",IF(Sheet1[[#This Row],[risk_score]]&lt;0.7,"Medium","High"))</f>
        <v>Medium</v>
      </c>
      <c r="N690">
        <f>YEAR(Sheet1[[#This Row],[date_joined]])</f>
        <v>2019</v>
      </c>
      <c r="O690" s="2" t="str">
        <f>TEXT(Sheet1[[#This Row],[date_joined]],"mmm")</f>
        <v>Mar</v>
      </c>
      <c r="P690" s="2" t="str">
        <f>"Q"&amp;ROUNDUP(MONTH(Sheet1[[#This Row],[date_joined]])/3,0)</f>
        <v>Q1</v>
      </c>
      <c r="Q690" s="2" t="str">
        <f>IF(Sheet1[[#This Row],[age]]&lt;30,"Young",IF(Sheet1[[#This Row],[age]]&lt;=50,"Adult","Senior"))</f>
        <v>Adult</v>
      </c>
      <c r="R690" s="2" t="str">
        <f t="shared" si="20"/>
        <v>High</v>
      </c>
      <c r="S690" s="2" t="str">
        <f t="shared" si="21"/>
        <v>North-East - Retired</v>
      </c>
    </row>
    <row r="691" spans="1:19" x14ac:dyDescent="0.3">
      <c r="A691" t="s">
        <v>1405</v>
      </c>
      <c r="B691" t="s">
        <v>1406</v>
      </c>
      <c r="C691">
        <v>41</v>
      </c>
      <c r="D691" s="2" t="s">
        <v>13</v>
      </c>
      <c r="E691" s="2" t="s">
        <v>30</v>
      </c>
      <c r="F691" s="2" t="s">
        <v>23</v>
      </c>
      <c r="G691" s="2" t="s">
        <v>66</v>
      </c>
      <c r="H691" s="2" t="s">
        <v>17</v>
      </c>
      <c r="I691" s="2" t="s">
        <v>17</v>
      </c>
      <c r="J691">
        <v>0.14000000000000001</v>
      </c>
      <c r="K691" s="1">
        <v>44416</v>
      </c>
      <c r="L691" s="2" t="str">
        <f>IF(Sheet1[[#This Row],[age]]&lt;18, "Under 18",IF(Sheet1[[#This Row],[age]]&lt;=30,"18-30",IF(Sheet1[[#This Row],[age]]&lt;=45,"31-45",IF(Sheet1[[#This Row],[age]]&lt;=60,"46-60","60+"))))</f>
        <v>31-45</v>
      </c>
      <c r="M691" s="2" t="str">
        <f>IF(Sheet1[[#This Row],[risk_score]]&lt;0.3,"Low",IF(Sheet1[[#This Row],[risk_score]]&lt;0.7,"Medium","High"))</f>
        <v>Low</v>
      </c>
      <c r="N691">
        <f>YEAR(Sheet1[[#This Row],[date_joined]])</f>
        <v>2021</v>
      </c>
      <c r="O691" s="2" t="str">
        <f>TEXT(Sheet1[[#This Row],[date_joined]],"mmm")</f>
        <v>Aug</v>
      </c>
      <c r="P691" s="2" t="str">
        <f>"Q"&amp;ROUNDUP(MONTH(Sheet1[[#This Row],[date_joined]])/3,0)</f>
        <v>Q3</v>
      </c>
      <c r="Q691" s="2" t="str">
        <f>IF(Sheet1[[#This Row],[age]]&lt;30,"Young",IF(Sheet1[[#This Row],[age]]&lt;=50,"Adult","Senior"))</f>
        <v>Adult</v>
      </c>
      <c r="R691" s="2" t="str">
        <f t="shared" si="20"/>
        <v>Low</v>
      </c>
      <c r="S691" s="2" t="str">
        <f t="shared" si="21"/>
        <v>North-East - Salaried</v>
      </c>
    </row>
    <row r="692" spans="1:19" x14ac:dyDescent="0.3">
      <c r="A692" t="s">
        <v>1407</v>
      </c>
      <c r="B692" t="s">
        <v>1408</v>
      </c>
      <c r="C692">
        <v>36</v>
      </c>
      <c r="D692" s="2" t="s">
        <v>21</v>
      </c>
      <c r="E692" s="2" t="s">
        <v>22</v>
      </c>
      <c r="F692" s="2" t="s">
        <v>15</v>
      </c>
      <c r="G692" s="2" t="s">
        <v>27</v>
      </c>
      <c r="H692" s="2" t="s">
        <v>18</v>
      </c>
      <c r="I692" s="2" t="s">
        <v>18</v>
      </c>
      <c r="J692">
        <v>0.74</v>
      </c>
      <c r="K692" s="1">
        <v>43157</v>
      </c>
      <c r="L692" s="2" t="str">
        <f>IF(Sheet1[[#This Row],[age]]&lt;18, "Under 18",IF(Sheet1[[#This Row],[age]]&lt;=30,"18-30",IF(Sheet1[[#This Row],[age]]&lt;=45,"31-45",IF(Sheet1[[#This Row],[age]]&lt;=60,"46-60","60+"))))</f>
        <v>31-45</v>
      </c>
      <c r="M692" s="2" t="str">
        <f>IF(Sheet1[[#This Row],[risk_score]]&lt;0.3,"Low",IF(Sheet1[[#This Row],[risk_score]]&lt;0.7,"Medium","High"))</f>
        <v>High</v>
      </c>
      <c r="N692">
        <f>YEAR(Sheet1[[#This Row],[date_joined]])</f>
        <v>2018</v>
      </c>
      <c r="O692" s="2" t="str">
        <f>TEXT(Sheet1[[#This Row],[date_joined]],"mmm")</f>
        <v>Feb</v>
      </c>
      <c r="P692" s="2" t="str">
        <f>"Q"&amp;ROUNDUP(MONTH(Sheet1[[#This Row],[date_joined]])/3,0)</f>
        <v>Q1</v>
      </c>
      <c r="Q692" s="2" t="str">
        <f>IF(Sheet1[[#This Row],[age]]&lt;30,"Young",IF(Sheet1[[#This Row],[age]]&lt;=50,"Adult","Senior"))</f>
        <v>Adult</v>
      </c>
      <c r="R692" s="2" t="str">
        <f t="shared" si="20"/>
        <v>Very High</v>
      </c>
      <c r="S692" s="2" t="str">
        <f t="shared" si="21"/>
        <v>North - Student</v>
      </c>
    </row>
    <row r="693" spans="1:19" x14ac:dyDescent="0.3">
      <c r="A693" t="s">
        <v>1409</v>
      </c>
      <c r="B693" t="s">
        <v>1410</v>
      </c>
      <c r="C693">
        <v>58</v>
      </c>
      <c r="D693" s="2" t="s">
        <v>21</v>
      </c>
      <c r="E693" s="2" t="s">
        <v>14</v>
      </c>
      <c r="F693" s="2" t="s">
        <v>37</v>
      </c>
      <c r="G693" s="2" t="s">
        <v>66</v>
      </c>
      <c r="H693" s="2" t="s">
        <v>17</v>
      </c>
      <c r="I693" s="2" t="s">
        <v>17</v>
      </c>
      <c r="J693">
        <v>0.41</v>
      </c>
      <c r="K693" s="1">
        <v>45101</v>
      </c>
      <c r="L693" s="2" t="str">
        <f>IF(Sheet1[[#This Row],[age]]&lt;18, "Under 18",IF(Sheet1[[#This Row],[age]]&lt;=30,"18-30",IF(Sheet1[[#This Row],[age]]&lt;=45,"31-45",IF(Sheet1[[#This Row],[age]]&lt;=60,"46-60","60+"))))</f>
        <v>46-60</v>
      </c>
      <c r="M693" s="2" t="str">
        <f>IF(Sheet1[[#This Row],[risk_score]]&lt;0.3,"Low",IF(Sheet1[[#This Row],[risk_score]]&lt;0.7,"Medium","High"))</f>
        <v>Medium</v>
      </c>
      <c r="N693">
        <f>YEAR(Sheet1[[#This Row],[date_joined]])</f>
        <v>2023</v>
      </c>
      <c r="O693" s="2" t="str">
        <f>TEXT(Sheet1[[#This Row],[date_joined]],"mmm")</f>
        <v>Jun</v>
      </c>
      <c r="P693" s="2" t="str">
        <f>"Q"&amp;ROUNDUP(MONTH(Sheet1[[#This Row],[date_joined]])/3,0)</f>
        <v>Q2</v>
      </c>
      <c r="Q693" s="2" t="str">
        <f>IF(Sheet1[[#This Row],[age]]&lt;30,"Young",IF(Sheet1[[#This Row],[age]]&lt;=50,"Adult","Senior"))</f>
        <v>Senior</v>
      </c>
      <c r="R693" s="2" t="str">
        <f t="shared" si="20"/>
        <v>Low</v>
      </c>
      <c r="S693" s="2" t="str">
        <f t="shared" si="21"/>
        <v>North-East - Retired</v>
      </c>
    </row>
    <row r="694" spans="1:19" x14ac:dyDescent="0.3">
      <c r="A694" t="s">
        <v>1411</v>
      </c>
      <c r="B694" t="s">
        <v>1412</v>
      </c>
      <c r="C694">
        <v>55</v>
      </c>
      <c r="D694" s="2" t="s">
        <v>21</v>
      </c>
      <c r="E694" s="2" t="s">
        <v>30</v>
      </c>
      <c r="F694" s="2" t="s">
        <v>31</v>
      </c>
      <c r="G694" s="2" t="s">
        <v>32</v>
      </c>
      <c r="H694" s="2" t="s">
        <v>17</v>
      </c>
      <c r="I694" s="2" t="s">
        <v>18</v>
      </c>
      <c r="J694">
        <v>0.63</v>
      </c>
      <c r="K694" s="1">
        <v>44621</v>
      </c>
      <c r="L694" s="2" t="str">
        <f>IF(Sheet1[[#This Row],[age]]&lt;18, "Under 18",IF(Sheet1[[#This Row],[age]]&lt;=30,"18-30",IF(Sheet1[[#This Row],[age]]&lt;=45,"31-45",IF(Sheet1[[#This Row],[age]]&lt;=60,"46-60","60+"))))</f>
        <v>46-60</v>
      </c>
      <c r="M694" s="2" t="str">
        <f>IF(Sheet1[[#This Row],[risk_score]]&lt;0.3,"Low",IF(Sheet1[[#This Row],[risk_score]]&lt;0.7,"Medium","High"))</f>
        <v>Medium</v>
      </c>
      <c r="N694">
        <f>YEAR(Sheet1[[#This Row],[date_joined]])</f>
        <v>2022</v>
      </c>
      <c r="O694" s="2" t="str">
        <f>TEXT(Sheet1[[#This Row],[date_joined]],"mmm")</f>
        <v>Mar</v>
      </c>
      <c r="P694" s="2" t="str">
        <f>"Q"&amp;ROUNDUP(MONTH(Sheet1[[#This Row],[date_joined]])/3,0)</f>
        <v>Q1</v>
      </c>
      <c r="Q694" s="2" t="str">
        <f>IF(Sheet1[[#This Row],[age]]&lt;30,"Young",IF(Sheet1[[#This Row],[age]]&lt;=50,"Adult","Senior"))</f>
        <v>Senior</v>
      </c>
      <c r="R694" s="2" t="str">
        <f t="shared" si="20"/>
        <v>High</v>
      </c>
      <c r="S694" s="2" t="str">
        <f t="shared" si="21"/>
        <v>South - Self-employed</v>
      </c>
    </row>
    <row r="695" spans="1:19" x14ac:dyDescent="0.3">
      <c r="A695" t="s">
        <v>1413</v>
      </c>
      <c r="B695" t="s">
        <v>1414</v>
      </c>
      <c r="C695">
        <v>21</v>
      </c>
      <c r="D695" s="2" t="s">
        <v>21</v>
      </c>
      <c r="E695" s="2" t="s">
        <v>14</v>
      </c>
      <c r="F695" s="2" t="s">
        <v>15</v>
      </c>
      <c r="G695" s="2" t="s">
        <v>81</v>
      </c>
      <c r="H695" s="2" t="s">
        <v>17</v>
      </c>
      <c r="I695" s="2" t="s">
        <v>18</v>
      </c>
      <c r="J695">
        <v>0.39</v>
      </c>
      <c r="K695" s="1">
        <v>43485</v>
      </c>
      <c r="L695" s="2" t="str">
        <f>IF(Sheet1[[#This Row],[age]]&lt;18, "Under 18",IF(Sheet1[[#This Row],[age]]&lt;=30,"18-30",IF(Sheet1[[#This Row],[age]]&lt;=45,"31-45",IF(Sheet1[[#This Row],[age]]&lt;=60,"46-60","60+"))))</f>
        <v>18-30</v>
      </c>
      <c r="M695" s="2" t="str">
        <f>IF(Sheet1[[#This Row],[risk_score]]&lt;0.3,"Low",IF(Sheet1[[#This Row],[risk_score]]&lt;0.7,"Medium","High"))</f>
        <v>Medium</v>
      </c>
      <c r="N695">
        <f>YEAR(Sheet1[[#This Row],[date_joined]])</f>
        <v>2019</v>
      </c>
      <c r="O695" s="2" t="str">
        <f>TEXT(Sheet1[[#This Row],[date_joined]],"mmm")</f>
        <v>Jan</v>
      </c>
      <c r="P695" s="2" t="str">
        <f>"Q"&amp;ROUNDUP(MONTH(Sheet1[[#This Row],[date_joined]])/3,0)</f>
        <v>Q1</v>
      </c>
      <c r="Q695" s="2" t="str">
        <f>IF(Sheet1[[#This Row],[age]]&lt;30,"Young",IF(Sheet1[[#This Row],[age]]&lt;=50,"Adult","Senior"))</f>
        <v>Young</v>
      </c>
      <c r="R695" s="2" t="str">
        <f t="shared" si="20"/>
        <v>High</v>
      </c>
      <c r="S695" s="2" t="str">
        <f t="shared" si="21"/>
        <v>Central - Student</v>
      </c>
    </row>
    <row r="696" spans="1:19" x14ac:dyDescent="0.3">
      <c r="A696" t="s">
        <v>1415</v>
      </c>
      <c r="B696" t="s">
        <v>1416</v>
      </c>
      <c r="C696">
        <v>37</v>
      </c>
      <c r="D696" s="2" t="s">
        <v>21</v>
      </c>
      <c r="E696" s="2" t="s">
        <v>22</v>
      </c>
      <c r="F696" s="2" t="s">
        <v>37</v>
      </c>
      <c r="G696" s="2" t="s">
        <v>32</v>
      </c>
      <c r="H696" s="2" t="s">
        <v>17</v>
      </c>
      <c r="I696" s="2" t="s">
        <v>18</v>
      </c>
      <c r="J696">
        <v>0.5</v>
      </c>
      <c r="K696" s="1">
        <v>43414</v>
      </c>
      <c r="L696" s="2" t="str">
        <f>IF(Sheet1[[#This Row],[age]]&lt;18, "Under 18",IF(Sheet1[[#This Row],[age]]&lt;=30,"18-30",IF(Sheet1[[#This Row],[age]]&lt;=45,"31-45",IF(Sheet1[[#This Row],[age]]&lt;=60,"46-60","60+"))))</f>
        <v>31-45</v>
      </c>
      <c r="M696" s="2" t="str">
        <f>IF(Sheet1[[#This Row],[risk_score]]&lt;0.3,"Low",IF(Sheet1[[#This Row],[risk_score]]&lt;0.7,"Medium","High"))</f>
        <v>Medium</v>
      </c>
      <c r="N696">
        <f>YEAR(Sheet1[[#This Row],[date_joined]])</f>
        <v>2018</v>
      </c>
      <c r="O696" s="2" t="str">
        <f>TEXT(Sheet1[[#This Row],[date_joined]],"mmm")</f>
        <v>Nov</v>
      </c>
      <c r="P696" s="2" t="str">
        <f>"Q"&amp;ROUNDUP(MONTH(Sheet1[[#This Row],[date_joined]])/3,0)</f>
        <v>Q4</v>
      </c>
      <c r="Q696" s="2" t="str">
        <f>IF(Sheet1[[#This Row],[age]]&lt;30,"Young",IF(Sheet1[[#This Row],[age]]&lt;=50,"Adult","Senior"))</f>
        <v>Adult</v>
      </c>
      <c r="R696" s="2" t="str">
        <f t="shared" si="20"/>
        <v>High</v>
      </c>
      <c r="S696" s="2" t="str">
        <f t="shared" si="21"/>
        <v>South - Retired</v>
      </c>
    </row>
    <row r="697" spans="1:19" x14ac:dyDescent="0.3">
      <c r="A697" t="s">
        <v>1417</v>
      </c>
      <c r="B697" t="s">
        <v>1418</v>
      </c>
      <c r="C697">
        <v>29</v>
      </c>
      <c r="D697" s="2" t="s">
        <v>21</v>
      </c>
      <c r="E697" s="2" t="s">
        <v>22</v>
      </c>
      <c r="F697" s="2" t="s">
        <v>23</v>
      </c>
      <c r="G697" s="2" t="s">
        <v>66</v>
      </c>
      <c r="H697" s="2" t="s">
        <v>17</v>
      </c>
      <c r="I697" s="2" t="s">
        <v>18</v>
      </c>
      <c r="J697">
        <v>0.65</v>
      </c>
      <c r="K697" s="1">
        <v>43188</v>
      </c>
      <c r="L697" s="2" t="str">
        <f>IF(Sheet1[[#This Row],[age]]&lt;18, "Under 18",IF(Sheet1[[#This Row],[age]]&lt;=30,"18-30",IF(Sheet1[[#This Row],[age]]&lt;=45,"31-45",IF(Sheet1[[#This Row],[age]]&lt;=60,"46-60","60+"))))</f>
        <v>18-30</v>
      </c>
      <c r="M697" s="2" t="str">
        <f>IF(Sheet1[[#This Row],[risk_score]]&lt;0.3,"Low",IF(Sheet1[[#This Row],[risk_score]]&lt;0.7,"Medium","High"))</f>
        <v>Medium</v>
      </c>
      <c r="N697">
        <f>YEAR(Sheet1[[#This Row],[date_joined]])</f>
        <v>2018</v>
      </c>
      <c r="O697" s="2" t="str">
        <f>TEXT(Sheet1[[#This Row],[date_joined]],"mmm")</f>
        <v>Mar</v>
      </c>
      <c r="P697" s="2" t="str">
        <f>"Q"&amp;ROUNDUP(MONTH(Sheet1[[#This Row],[date_joined]])/3,0)</f>
        <v>Q1</v>
      </c>
      <c r="Q697" s="2" t="str">
        <f>IF(Sheet1[[#This Row],[age]]&lt;30,"Young",IF(Sheet1[[#This Row],[age]]&lt;=50,"Adult","Senior"))</f>
        <v>Young</v>
      </c>
      <c r="R697" s="2" t="str">
        <f t="shared" si="20"/>
        <v>High</v>
      </c>
      <c r="S697" s="2" t="str">
        <f t="shared" si="21"/>
        <v>North-East - Salaried</v>
      </c>
    </row>
    <row r="698" spans="1:19" x14ac:dyDescent="0.3">
      <c r="A698" t="s">
        <v>1419</v>
      </c>
      <c r="B698" t="s">
        <v>1420</v>
      </c>
      <c r="C698">
        <v>50</v>
      </c>
      <c r="D698" s="2" t="s">
        <v>21</v>
      </c>
      <c r="E698" s="2" t="s">
        <v>22</v>
      </c>
      <c r="F698" s="2" t="s">
        <v>37</v>
      </c>
      <c r="G698" s="2" t="s">
        <v>27</v>
      </c>
      <c r="H698" s="2" t="s">
        <v>17</v>
      </c>
      <c r="I698" s="2" t="s">
        <v>17</v>
      </c>
      <c r="J698">
        <v>0.61</v>
      </c>
      <c r="K698" s="1">
        <v>43728</v>
      </c>
      <c r="L698" s="2" t="str">
        <f>IF(Sheet1[[#This Row],[age]]&lt;18, "Under 18",IF(Sheet1[[#This Row],[age]]&lt;=30,"18-30",IF(Sheet1[[#This Row],[age]]&lt;=45,"31-45",IF(Sheet1[[#This Row],[age]]&lt;=60,"46-60","60+"))))</f>
        <v>46-60</v>
      </c>
      <c r="M698" s="2" t="str">
        <f>IF(Sheet1[[#This Row],[risk_score]]&lt;0.3,"Low",IF(Sheet1[[#This Row],[risk_score]]&lt;0.7,"Medium","High"))</f>
        <v>Medium</v>
      </c>
      <c r="N698">
        <f>YEAR(Sheet1[[#This Row],[date_joined]])</f>
        <v>2019</v>
      </c>
      <c r="O698" s="2" t="str">
        <f>TEXT(Sheet1[[#This Row],[date_joined]],"mmm")</f>
        <v>Sep</v>
      </c>
      <c r="P698" s="2" t="str">
        <f>"Q"&amp;ROUNDUP(MONTH(Sheet1[[#This Row],[date_joined]])/3,0)</f>
        <v>Q3</v>
      </c>
      <c r="Q698" s="2" t="str">
        <f>IF(Sheet1[[#This Row],[age]]&lt;30,"Young",IF(Sheet1[[#This Row],[age]]&lt;=50,"Adult","Senior"))</f>
        <v>Adult</v>
      </c>
      <c r="R698" s="2" t="str">
        <f t="shared" si="20"/>
        <v>Low</v>
      </c>
      <c r="S698" s="2" t="str">
        <f t="shared" si="21"/>
        <v>North - Retired</v>
      </c>
    </row>
    <row r="699" spans="1:19" x14ac:dyDescent="0.3">
      <c r="A699" t="s">
        <v>1421</v>
      </c>
      <c r="B699" t="s">
        <v>1422</v>
      </c>
      <c r="C699">
        <v>39</v>
      </c>
      <c r="D699" s="2" t="s">
        <v>13</v>
      </c>
      <c r="E699" s="2" t="s">
        <v>22</v>
      </c>
      <c r="F699" s="2" t="s">
        <v>37</v>
      </c>
      <c r="G699" s="2" t="s">
        <v>16</v>
      </c>
      <c r="H699" s="2" t="s">
        <v>18</v>
      </c>
      <c r="I699" s="2" t="s">
        <v>17</v>
      </c>
      <c r="J699">
        <v>0.57999999999999996</v>
      </c>
      <c r="K699" s="1">
        <v>44732</v>
      </c>
      <c r="L699" s="2" t="str">
        <f>IF(Sheet1[[#This Row],[age]]&lt;18, "Under 18",IF(Sheet1[[#This Row],[age]]&lt;=30,"18-30",IF(Sheet1[[#This Row],[age]]&lt;=45,"31-45",IF(Sheet1[[#This Row],[age]]&lt;=60,"46-60","60+"))))</f>
        <v>31-45</v>
      </c>
      <c r="M699" s="2" t="str">
        <f>IF(Sheet1[[#This Row],[risk_score]]&lt;0.3,"Low",IF(Sheet1[[#This Row],[risk_score]]&lt;0.7,"Medium","High"))</f>
        <v>Medium</v>
      </c>
      <c r="N699">
        <f>YEAR(Sheet1[[#This Row],[date_joined]])</f>
        <v>2022</v>
      </c>
      <c r="O699" s="2" t="str">
        <f>TEXT(Sheet1[[#This Row],[date_joined]],"mmm")</f>
        <v>Jun</v>
      </c>
      <c r="P699" s="2" t="str">
        <f>"Q"&amp;ROUNDUP(MONTH(Sheet1[[#This Row],[date_joined]])/3,0)</f>
        <v>Q2</v>
      </c>
      <c r="Q699" s="2" t="str">
        <f>IF(Sheet1[[#This Row],[age]]&lt;30,"Young",IF(Sheet1[[#This Row],[age]]&lt;=50,"Adult","Senior"))</f>
        <v>Adult</v>
      </c>
      <c r="R699" s="2" t="str">
        <f t="shared" si="20"/>
        <v>High</v>
      </c>
      <c r="S699" s="2" t="str">
        <f t="shared" si="21"/>
        <v>West - Retired</v>
      </c>
    </row>
    <row r="700" spans="1:19" x14ac:dyDescent="0.3">
      <c r="A700" t="s">
        <v>1423</v>
      </c>
      <c r="B700" t="s">
        <v>1424</v>
      </c>
      <c r="C700">
        <v>18</v>
      </c>
      <c r="D700" s="2" t="s">
        <v>21</v>
      </c>
      <c r="E700" s="2" t="s">
        <v>22</v>
      </c>
      <c r="F700" s="2" t="s">
        <v>23</v>
      </c>
      <c r="G700" s="2" t="s">
        <v>27</v>
      </c>
      <c r="H700" s="2" t="s">
        <v>17</v>
      </c>
      <c r="I700" s="2" t="s">
        <v>17</v>
      </c>
      <c r="J700">
        <v>0.18</v>
      </c>
      <c r="K700" s="1">
        <v>43245</v>
      </c>
      <c r="L700" s="2" t="str">
        <f>IF(Sheet1[[#This Row],[age]]&lt;18, "Under 18",IF(Sheet1[[#This Row],[age]]&lt;=30,"18-30",IF(Sheet1[[#This Row],[age]]&lt;=45,"31-45",IF(Sheet1[[#This Row],[age]]&lt;=60,"46-60","60+"))))</f>
        <v>18-30</v>
      </c>
      <c r="M700" s="2" t="str">
        <f>IF(Sheet1[[#This Row],[risk_score]]&lt;0.3,"Low",IF(Sheet1[[#This Row],[risk_score]]&lt;0.7,"Medium","High"))</f>
        <v>Low</v>
      </c>
      <c r="N700">
        <f>YEAR(Sheet1[[#This Row],[date_joined]])</f>
        <v>2018</v>
      </c>
      <c r="O700" s="2" t="str">
        <f>TEXT(Sheet1[[#This Row],[date_joined]],"mmm")</f>
        <v>May</v>
      </c>
      <c r="P700" s="2" t="str">
        <f>"Q"&amp;ROUNDUP(MONTH(Sheet1[[#This Row],[date_joined]])/3,0)</f>
        <v>Q2</v>
      </c>
      <c r="Q700" s="2" t="str">
        <f>IF(Sheet1[[#This Row],[age]]&lt;30,"Young",IF(Sheet1[[#This Row],[age]]&lt;=50,"Adult","Senior"))</f>
        <v>Young</v>
      </c>
      <c r="R700" s="2" t="str">
        <f t="shared" si="20"/>
        <v>Low</v>
      </c>
      <c r="S700" s="2" t="str">
        <f t="shared" si="21"/>
        <v>North - Salaried</v>
      </c>
    </row>
    <row r="701" spans="1:19" x14ac:dyDescent="0.3">
      <c r="A701" t="s">
        <v>1425</v>
      </c>
      <c r="B701" t="s">
        <v>1426</v>
      </c>
      <c r="C701">
        <v>21</v>
      </c>
      <c r="D701" s="2" t="s">
        <v>13</v>
      </c>
      <c r="E701" s="2" t="s">
        <v>14</v>
      </c>
      <c r="F701" s="2" t="s">
        <v>23</v>
      </c>
      <c r="G701" s="2" t="s">
        <v>32</v>
      </c>
      <c r="H701" s="2" t="s">
        <v>18</v>
      </c>
      <c r="I701" s="2" t="s">
        <v>17</v>
      </c>
      <c r="J701">
        <v>0.82</v>
      </c>
      <c r="K701" s="1">
        <v>44461</v>
      </c>
      <c r="L701" s="2" t="str">
        <f>IF(Sheet1[[#This Row],[age]]&lt;18, "Under 18",IF(Sheet1[[#This Row],[age]]&lt;=30,"18-30",IF(Sheet1[[#This Row],[age]]&lt;=45,"31-45",IF(Sheet1[[#This Row],[age]]&lt;=60,"46-60","60+"))))</f>
        <v>18-30</v>
      </c>
      <c r="M701" s="2" t="str">
        <f>IF(Sheet1[[#This Row],[risk_score]]&lt;0.3,"Low",IF(Sheet1[[#This Row],[risk_score]]&lt;0.7,"Medium","High"))</f>
        <v>High</v>
      </c>
      <c r="N701">
        <f>YEAR(Sheet1[[#This Row],[date_joined]])</f>
        <v>2021</v>
      </c>
      <c r="O701" s="2" t="str">
        <f>TEXT(Sheet1[[#This Row],[date_joined]],"mmm")</f>
        <v>Sep</v>
      </c>
      <c r="P701" s="2" t="str">
        <f>"Q"&amp;ROUNDUP(MONTH(Sheet1[[#This Row],[date_joined]])/3,0)</f>
        <v>Q3</v>
      </c>
      <c r="Q701" s="2" t="str">
        <f>IF(Sheet1[[#This Row],[age]]&lt;30,"Young",IF(Sheet1[[#This Row],[age]]&lt;=50,"Adult","Senior"))</f>
        <v>Young</v>
      </c>
      <c r="R701" s="2" t="str">
        <f t="shared" si="20"/>
        <v>High</v>
      </c>
      <c r="S701" s="2" t="str">
        <f t="shared" si="21"/>
        <v>South - Salaried</v>
      </c>
    </row>
    <row r="702" spans="1:19" x14ac:dyDescent="0.3">
      <c r="A702" t="s">
        <v>1427</v>
      </c>
      <c r="B702" t="s">
        <v>1428</v>
      </c>
      <c r="C702">
        <v>40</v>
      </c>
      <c r="D702" s="2" t="s">
        <v>13</v>
      </c>
      <c r="E702" s="2" t="s">
        <v>30</v>
      </c>
      <c r="F702" s="2" t="s">
        <v>15</v>
      </c>
      <c r="G702" s="2" t="s">
        <v>16</v>
      </c>
      <c r="H702" s="2" t="s">
        <v>17</v>
      </c>
      <c r="I702" s="2" t="s">
        <v>18</v>
      </c>
      <c r="J702">
        <v>0.54</v>
      </c>
      <c r="K702" s="1">
        <v>44519</v>
      </c>
      <c r="L702" s="2" t="str">
        <f>IF(Sheet1[[#This Row],[age]]&lt;18, "Under 18",IF(Sheet1[[#This Row],[age]]&lt;=30,"18-30",IF(Sheet1[[#This Row],[age]]&lt;=45,"31-45",IF(Sheet1[[#This Row],[age]]&lt;=60,"46-60","60+"))))</f>
        <v>31-45</v>
      </c>
      <c r="M702" s="2" t="str">
        <f>IF(Sheet1[[#This Row],[risk_score]]&lt;0.3,"Low",IF(Sheet1[[#This Row],[risk_score]]&lt;0.7,"Medium","High"))</f>
        <v>Medium</v>
      </c>
      <c r="N702">
        <f>YEAR(Sheet1[[#This Row],[date_joined]])</f>
        <v>2021</v>
      </c>
      <c r="O702" s="2" t="str">
        <f>TEXT(Sheet1[[#This Row],[date_joined]],"mmm")</f>
        <v>Nov</v>
      </c>
      <c r="P702" s="2" t="str">
        <f>"Q"&amp;ROUNDUP(MONTH(Sheet1[[#This Row],[date_joined]])/3,0)</f>
        <v>Q4</v>
      </c>
      <c r="Q702" s="2" t="str">
        <f>IF(Sheet1[[#This Row],[age]]&lt;30,"Young",IF(Sheet1[[#This Row],[age]]&lt;=50,"Adult","Senior"))</f>
        <v>Adult</v>
      </c>
      <c r="R702" s="2" t="str">
        <f t="shared" si="20"/>
        <v>High</v>
      </c>
      <c r="S702" s="2" t="str">
        <f t="shared" si="21"/>
        <v>West - Student</v>
      </c>
    </row>
    <row r="703" spans="1:19" x14ac:dyDescent="0.3">
      <c r="A703" t="s">
        <v>1429</v>
      </c>
      <c r="B703" t="s">
        <v>1430</v>
      </c>
      <c r="C703">
        <v>43</v>
      </c>
      <c r="D703" s="2" t="s">
        <v>13</v>
      </c>
      <c r="E703" s="2" t="s">
        <v>22</v>
      </c>
      <c r="F703" s="2" t="s">
        <v>31</v>
      </c>
      <c r="G703" s="2" t="s">
        <v>81</v>
      </c>
      <c r="H703" s="2" t="s">
        <v>17</v>
      </c>
      <c r="I703" s="2" t="s">
        <v>17</v>
      </c>
      <c r="J703">
        <v>0.44</v>
      </c>
      <c r="K703" s="1">
        <v>43605</v>
      </c>
      <c r="L703" s="2" t="str">
        <f>IF(Sheet1[[#This Row],[age]]&lt;18, "Under 18",IF(Sheet1[[#This Row],[age]]&lt;=30,"18-30",IF(Sheet1[[#This Row],[age]]&lt;=45,"31-45",IF(Sheet1[[#This Row],[age]]&lt;=60,"46-60","60+"))))</f>
        <v>31-45</v>
      </c>
      <c r="M703" s="2" t="str">
        <f>IF(Sheet1[[#This Row],[risk_score]]&lt;0.3,"Low",IF(Sheet1[[#This Row],[risk_score]]&lt;0.7,"Medium","High"))</f>
        <v>Medium</v>
      </c>
      <c r="N703">
        <f>YEAR(Sheet1[[#This Row],[date_joined]])</f>
        <v>2019</v>
      </c>
      <c r="O703" s="2" t="str">
        <f>TEXT(Sheet1[[#This Row],[date_joined]],"mmm")</f>
        <v>May</v>
      </c>
      <c r="P703" s="2" t="str">
        <f>"Q"&amp;ROUNDUP(MONTH(Sheet1[[#This Row],[date_joined]])/3,0)</f>
        <v>Q2</v>
      </c>
      <c r="Q703" s="2" t="str">
        <f>IF(Sheet1[[#This Row],[age]]&lt;30,"Young",IF(Sheet1[[#This Row],[age]]&lt;=50,"Adult","Senior"))</f>
        <v>Adult</v>
      </c>
      <c r="R703" s="2" t="str">
        <f t="shared" si="20"/>
        <v>Low</v>
      </c>
      <c r="S703" s="2" t="str">
        <f t="shared" si="21"/>
        <v>Central - Self-employed</v>
      </c>
    </row>
    <row r="704" spans="1:19" x14ac:dyDescent="0.3">
      <c r="A704" t="s">
        <v>1431</v>
      </c>
      <c r="B704" t="s">
        <v>1432</v>
      </c>
      <c r="C704">
        <v>58</v>
      </c>
      <c r="D704" s="2" t="s">
        <v>21</v>
      </c>
      <c r="E704" s="2" t="s">
        <v>14</v>
      </c>
      <c r="F704" s="2" t="s">
        <v>15</v>
      </c>
      <c r="G704" s="2" t="s">
        <v>66</v>
      </c>
      <c r="H704" s="2" t="s">
        <v>18</v>
      </c>
      <c r="I704" s="2" t="s">
        <v>17</v>
      </c>
      <c r="J704">
        <v>7.0000000000000007E-2</v>
      </c>
      <c r="K704" s="1">
        <v>43477</v>
      </c>
      <c r="L704" s="2" t="str">
        <f>IF(Sheet1[[#This Row],[age]]&lt;18, "Under 18",IF(Sheet1[[#This Row],[age]]&lt;=30,"18-30",IF(Sheet1[[#This Row],[age]]&lt;=45,"31-45",IF(Sheet1[[#This Row],[age]]&lt;=60,"46-60","60+"))))</f>
        <v>46-60</v>
      </c>
      <c r="M704" s="2" t="str">
        <f>IF(Sheet1[[#This Row],[risk_score]]&lt;0.3,"Low",IF(Sheet1[[#This Row],[risk_score]]&lt;0.7,"Medium","High"))</f>
        <v>Low</v>
      </c>
      <c r="N704">
        <f>YEAR(Sheet1[[#This Row],[date_joined]])</f>
        <v>2019</v>
      </c>
      <c r="O704" s="2" t="str">
        <f>TEXT(Sheet1[[#This Row],[date_joined]],"mmm")</f>
        <v>Jan</v>
      </c>
      <c r="P704" s="2" t="str">
        <f>"Q"&amp;ROUNDUP(MONTH(Sheet1[[#This Row],[date_joined]])/3,0)</f>
        <v>Q1</v>
      </c>
      <c r="Q704" s="2" t="str">
        <f>IF(Sheet1[[#This Row],[age]]&lt;30,"Young",IF(Sheet1[[#This Row],[age]]&lt;=50,"Adult","Senior"))</f>
        <v>Senior</v>
      </c>
      <c r="R704" s="2" t="str">
        <f t="shared" si="20"/>
        <v>High</v>
      </c>
      <c r="S704" s="2" t="str">
        <f t="shared" si="21"/>
        <v>North-East - Student</v>
      </c>
    </row>
    <row r="705" spans="1:19" x14ac:dyDescent="0.3">
      <c r="A705" t="s">
        <v>1433</v>
      </c>
      <c r="B705" t="s">
        <v>1434</v>
      </c>
      <c r="C705">
        <v>69</v>
      </c>
      <c r="D705" s="2" t="s">
        <v>13</v>
      </c>
      <c r="E705" s="2" t="s">
        <v>30</v>
      </c>
      <c r="F705" s="2" t="s">
        <v>15</v>
      </c>
      <c r="G705" s="2" t="s">
        <v>32</v>
      </c>
      <c r="H705" s="2" t="s">
        <v>17</v>
      </c>
      <c r="I705" s="2" t="s">
        <v>17</v>
      </c>
      <c r="J705">
        <v>0.91</v>
      </c>
      <c r="K705" s="1">
        <v>43837</v>
      </c>
      <c r="L705" s="2" t="str">
        <f>IF(Sheet1[[#This Row],[age]]&lt;18, "Under 18",IF(Sheet1[[#This Row],[age]]&lt;=30,"18-30",IF(Sheet1[[#This Row],[age]]&lt;=45,"31-45",IF(Sheet1[[#This Row],[age]]&lt;=60,"46-60","60+"))))</f>
        <v>60+</v>
      </c>
      <c r="M705" s="2" t="str">
        <f>IF(Sheet1[[#This Row],[risk_score]]&lt;0.3,"Low",IF(Sheet1[[#This Row],[risk_score]]&lt;0.7,"Medium","High"))</f>
        <v>High</v>
      </c>
      <c r="N705">
        <f>YEAR(Sheet1[[#This Row],[date_joined]])</f>
        <v>2020</v>
      </c>
      <c r="O705" s="2" t="str">
        <f>TEXT(Sheet1[[#This Row],[date_joined]],"mmm")</f>
        <v>Jan</v>
      </c>
      <c r="P705" s="2" t="str">
        <f>"Q"&amp;ROUNDUP(MONTH(Sheet1[[#This Row],[date_joined]])/3,0)</f>
        <v>Q1</v>
      </c>
      <c r="Q705" s="2" t="str">
        <f>IF(Sheet1[[#This Row],[age]]&lt;30,"Young",IF(Sheet1[[#This Row],[age]]&lt;=50,"Adult","Senior"))</f>
        <v>Senior</v>
      </c>
      <c r="R705" s="2" t="str">
        <f t="shared" si="20"/>
        <v>Low</v>
      </c>
      <c r="S705" s="2" t="str">
        <f t="shared" si="21"/>
        <v>South - Student</v>
      </c>
    </row>
    <row r="706" spans="1:19" x14ac:dyDescent="0.3">
      <c r="A706" t="s">
        <v>1435</v>
      </c>
      <c r="B706" t="s">
        <v>1436</v>
      </c>
      <c r="C706">
        <v>49</v>
      </c>
      <c r="D706" s="2" t="s">
        <v>13</v>
      </c>
      <c r="E706" s="2" t="s">
        <v>14</v>
      </c>
      <c r="F706" s="2" t="s">
        <v>15</v>
      </c>
      <c r="G706" s="2" t="s">
        <v>81</v>
      </c>
      <c r="H706" s="2" t="s">
        <v>18</v>
      </c>
      <c r="I706" s="2" t="s">
        <v>17</v>
      </c>
      <c r="J706">
        <v>0.39</v>
      </c>
      <c r="K706" s="1">
        <v>44169</v>
      </c>
      <c r="L706" s="2" t="str">
        <f>IF(Sheet1[[#This Row],[age]]&lt;18, "Under 18",IF(Sheet1[[#This Row],[age]]&lt;=30,"18-30",IF(Sheet1[[#This Row],[age]]&lt;=45,"31-45",IF(Sheet1[[#This Row],[age]]&lt;=60,"46-60","60+"))))</f>
        <v>46-60</v>
      </c>
      <c r="M706" s="2" t="str">
        <f>IF(Sheet1[[#This Row],[risk_score]]&lt;0.3,"Low",IF(Sheet1[[#This Row],[risk_score]]&lt;0.7,"Medium","High"))</f>
        <v>Medium</v>
      </c>
      <c r="N706">
        <f>YEAR(Sheet1[[#This Row],[date_joined]])</f>
        <v>2020</v>
      </c>
      <c r="O706" s="2" t="str">
        <f>TEXT(Sheet1[[#This Row],[date_joined]],"mmm")</f>
        <v>Dec</v>
      </c>
      <c r="P706" s="2" t="str">
        <f>"Q"&amp;ROUNDUP(MONTH(Sheet1[[#This Row],[date_joined]])/3,0)</f>
        <v>Q4</v>
      </c>
      <c r="Q706" s="2" t="str">
        <f>IF(Sheet1[[#This Row],[age]]&lt;30,"Young",IF(Sheet1[[#This Row],[age]]&lt;=50,"Adult","Senior"))</f>
        <v>Adult</v>
      </c>
      <c r="R706" s="2" t="str">
        <f t="shared" ref="R706:R769" si="22">IF(AND(H706="Yes",I706="Yes"),"Very High",
IF(OR(H706="Yes",I706="Yes"),"High","Low"))</f>
        <v>High</v>
      </c>
      <c r="S706" s="2" t="str">
        <f t="shared" ref="S706:S769" si="23">G706&amp;" - "&amp;F706</f>
        <v>Central - Student</v>
      </c>
    </row>
    <row r="707" spans="1:19" x14ac:dyDescent="0.3">
      <c r="A707" t="s">
        <v>1437</v>
      </c>
      <c r="B707" t="s">
        <v>1438</v>
      </c>
      <c r="C707">
        <v>31</v>
      </c>
      <c r="D707" s="2" t="s">
        <v>13</v>
      </c>
      <c r="E707" s="2" t="s">
        <v>30</v>
      </c>
      <c r="F707" s="2" t="s">
        <v>15</v>
      </c>
      <c r="G707" s="2" t="s">
        <v>27</v>
      </c>
      <c r="H707" s="2" t="s">
        <v>17</v>
      </c>
      <c r="I707" s="2" t="s">
        <v>18</v>
      </c>
      <c r="J707">
        <v>0.64</v>
      </c>
      <c r="K707" s="1">
        <v>44503</v>
      </c>
      <c r="L707" s="2" t="str">
        <f>IF(Sheet1[[#This Row],[age]]&lt;18, "Under 18",IF(Sheet1[[#This Row],[age]]&lt;=30,"18-30",IF(Sheet1[[#This Row],[age]]&lt;=45,"31-45",IF(Sheet1[[#This Row],[age]]&lt;=60,"46-60","60+"))))</f>
        <v>31-45</v>
      </c>
      <c r="M707" s="2" t="str">
        <f>IF(Sheet1[[#This Row],[risk_score]]&lt;0.3,"Low",IF(Sheet1[[#This Row],[risk_score]]&lt;0.7,"Medium","High"))</f>
        <v>Medium</v>
      </c>
      <c r="N707">
        <f>YEAR(Sheet1[[#This Row],[date_joined]])</f>
        <v>2021</v>
      </c>
      <c r="O707" s="2" t="str">
        <f>TEXT(Sheet1[[#This Row],[date_joined]],"mmm")</f>
        <v>Nov</v>
      </c>
      <c r="P707" s="2" t="str">
        <f>"Q"&amp;ROUNDUP(MONTH(Sheet1[[#This Row],[date_joined]])/3,0)</f>
        <v>Q4</v>
      </c>
      <c r="Q707" s="2" t="str">
        <f>IF(Sheet1[[#This Row],[age]]&lt;30,"Young",IF(Sheet1[[#This Row],[age]]&lt;=50,"Adult","Senior"))</f>
        <v>Adult</v>
      </c>
      <c r="R707" s="2" t="str">
        <f t="shared" si="22"/>
        <v>High</v>
      </c>
      <c r="S707" s="2" t="str">
        <f t="shared" si="23"/>
        <v>North - Student</v>
      </c>
    </row>
    <row r="708" spans="1:19" x14ac:dyDescent="0.3">
      <c r="A708" t="s">
        <v>1439</v>
      </c>
      <c r="B708" t="s">
        <v>1440</v>
      </c>
      <c r="C708">
        <v>35</v>
      </c>
      <c r="D708" s="2" t="s">
        <v>13</v>
      </c>
      <c r="E708" s="2" t="s">
        <v>22</v>
      </c>
      <c r="F708" s="2" t="s">
        <v>37</v>
      </c>
      <c r="G708" s="2" t="s">
        <v>81</v>
      </c>
      <c r="H708" s="2" t="s">
        <v>18</v>
      </c>
      <c r="I708" s="2" t="s">
        <v>17</v>
      </c>
      <c r="J708">
        <v>0.69</v>
      </c>
      <c r="K708" s="1">
        <v>44027</v>
      </c>
      <c r="L708" s="2" t="str">
        <f>IF(Sheet1[[#This Row],[age]]&lt;18, "Under 18",IF(Sheet1[[#This Row],[age]]&lt;=30,"18-30",IF(Sheet1[[#This Row],[age]]&lt;=45,"31-45",IF(Sheet1[[#This Row],[age]]&lt;=60,"46-60","60+"))))</f>
        <v>31-45</v>
      </c>
      <c r="M708" s="2" t="str">
        <f>IF(Sheet1[[#This Row],[risk_score]]&lt;0.3,"Low",IF(Sheet1[[#This Row],[risk_score]]&lt;0.7,"Medium","High"))</f>
        <v>Medium</v>
      </c>
      <c r="N708">
        <f>YEAR(Sheet1[[#This Row],[date_joined]])</f>
        <v>2020</v>
      </c>
      <c r="O708" s="2" t="str">
        <f>TEXT(Sheet1[[#This Row],[date_joined]],"mmm")</f>
        <v>Jul</v>
      </c>
      <c r="P708" s="2" t="str">
        <f>"Q"&amp;ROUNDUP(MONTH(Sheet1[[#This Row],[date_joined]])/3,0)</f>
        <v>Q3</v>
      </c>
      <c r="Q708" s="2" t="str">
        <f>IF(Sheet1[[#This Row],[age]]&lt;30,"Young",IF(Sheet1[[#This Row],[age]]&lt;=50,"Adult","Senior"))</f>
        <v>Adult</v>
      </c>
      <c r="R708" s="2" t="str">
        <f t="shared" si="22"/>
        <v>High</v>
      </c>
      <c r="S708" s="2" t="str">
        <f t="shared" si="23"/>
        <v>Central - Retired</v>
      </c>
    </row>
    <row r="709" spans="1:19" x14ac:dyDescent="0.3">
      <c r="A709" t="s">
        <v>1441</v>
      </c>
      <c r="B709" t="s">
        <v>1442</v>
      </c>
      <c r="C709">
        <v>41</v>
      </c>
      <c r="D709" s="2" t="s">
        <v>13</v>
      </c>
      <c r="E709" s="2" t="s">
        <v>22</v>
      </c>
      <c r="F709" s="2" t="s">
        <v>37</v>
      </c>
      <c r="G709" s="2" t="s">
        <v>24</v>
      </c>
      <c r="H709" s="2" t="s">
        <v>17</v>
      </c>
      <c r="I709" s="2" t="s">
        <v>17</v>
      </c>
      <c r="J709">
        <v>0.36</v>
      </c>
      <c r="K709" s="1">
        <v>44017</v>
      </c>
      <c r="L709" s="2" t="str">
        <f>IF(Sheet1[[#This Row],[age]]&lt;18, "Under 18",IF(Sheet1[[#This Row],[age]]&lt;=30,"18-30",IF(Sheet1[[#This Row],[age]]&lt;=45,"31-45",IF(Sheet1[[#This Row],[age]]&lt;=60,"46-60","60+"))))</f>
        <v>31-45</v>
      </c>
      <c r="M709" s="2" t="str">
        <f>IF(Sheet1[[#This Row],[risk_score]]&lt;0.3,"Low",IF(Sheet1[[#This Row],[risk_score]]&lt;0.7,"Medium","High"))</f>
        <v>Medium</v>
      </c>
      <c r="N709">
        <f>YEAR(Sheet1[[#This Row],[date_joined]])</f>
        <v>2020</v>
      </c>
      <c r="O709" s="2" t="str">
        <f>TEXT(Sheet1[[#This Row],[date_joined]],"mmm")</f>
        <v>Jul</v>
      </c>
      <c r="P709" s="2" t="str">
        <f>"Q"&amp;ROUNDUP(MONTH(Sheet1[[#This Row],[date_joined]])/3,0)</f>
        <v>Q3</v>
      </c>
      <c r="Q709" s="2" t="str">
        <f>IF(Sheet1[[#This Row],[age]]&lt;30,"Young",IF(Sheet1[[#This Row],[age]]&lt;=50,"Adult","Senior"))</f>
        <v>Adult</v>
      </c>
      <c r="R709" s="2" t="str">
        <f t="shared" si="22"/>
        <v>Low</v>
      </c>
      <c r="S709" s="2" t="str">
        <f t="shared" si="23"/>
        <v>East - Retired</v>
      </c>
    </row>
    <row r="710" spans="1:19" x14ac:dyDescent="0.3">
      <c r="A710" t="s">
        <v>1443</v>
      </c>
      <c r="B710" t="s">
        <v>1444</v>
      </c>
      <c r="C710">
        <v>30</v>
      </c>
      <c r="D710" s="2" t="s">
        <v>21</v>
      </c>
      <c r="E710" s="2" t="s">
        <v>14</v>
      </c>
      <c r="F710" s="2" t="s">
        <v>31</v>
      </c>
      <c r="G710" s="2" t="s">
        <v>81</v>
      </c>
      <c r="H710" s="2" t="s">
        <v>18</v>
      </c>
      <c r="I710" s="2" t="s">
        <v>17</v>
      </c>
      <c r="J710">
        <v>0.62</v>
      </c>
      <c r="K710" s="1">
        <v>43393</v>
      </c>
      <c r="L710" s="2" t="str">
        <f>IF(Sheet1[[#This Row],[age]]&lt;18, "Under 18",IF(Sheet1[[#This Row],[age]]&lt;=30,"18-30",IF(Sheet1[[#This Row],[age]]&lt;=45,"31-45",IF(Sheet1[[#This Row],[age]]&lt;=60,"46-60","60+"))))</f>
        <v>18-30</v>
      </c>
      <c r="M710" s="2" t="str">
        <f>IF(Sheet1[[#This Row],[risk_score]]&lt;0.3,"Low",IF(Sheet1[[#This Row],[risk_score]]&lt;0.7,"Medium","High"))</f>
        <v>Medium</v>
      </c>
      <c r="N710">
        <f>YEAR(Sheet1[[#This Row],[date_joined]])</f>
        <v>2018</v>
      </c>
      <c r="O710" s="2" t="str">
        <f>TEXT(Sheet1[[#This Row],[date_joined]],"mmm")</f>
        <v>Oct</v>
      </c>
      <c r="P710" s="2" t="str">
        <f>"Q"&amp;ROUNDUP(MONTH(Sheet1[[#This Row],[date_joined]])/3,0)</f>
        <v>Q4</v>
      </c>
      <c r="Q710" s="2" t="str">
        <f>IF(Sheet1[[#This Row],[age]]&lt;30,"Young",IF(Sheet1[[#This Row],[age]]&lt;=50,"Adult","Senior"))</f>
        <v>Adult</v>
      </c>
      <c r="R710" s="2" t="str">
        <f t="shared" si="22"/>
        <v>High</v>
      </c>
      <c r="S710" s="2" t="str">
        <f t="shared" si="23"/>
        <v>Central - Self-employed</v>
      </c>
    </row>
    <row r="711" spans="1:19" x14ac:dyDescent="0.3">
      <c r="A711" t="s">
        <v>1445</v>
      </c>
      <c r="B711" t="s">
        <v>1446</v>
      </c>
      <c r="C711">
        <v>53</v>
      </c>
      <c r="D711" s="2" t="s">
        <v>13</v>
      </c>
      <c r="E711" s="2" t="s">
        <v>22</v>
      </c>
      <c r="F711" s="2" t="s">
        <v>31</v>
      </c>
      <c r="G711" s="2" t="s">
        <v>27</v>
      </c>
      <c r="H711" s="2" t="s">
        <v>18</v>
      </c>
      <c r="I711" s="2" t="s">
        <v>17</v>
      </c>
      <c r="J711">
        <v>0.56999999999999995</v>
      </c>
      <c r="K711" s="1">
        <v>43525</v>
      </c>
      <c r="L711" s="2" t="str">
        <f>IF(Sheet1[[#This Row],[age]]&lt;18, "Under 18",IF(Sheet1[[#This Row],[age]]&lt;=30,"18-30",IF(Sheet1[[#This Row],[age]]&lt;=45,"31-45",IF(Sheet1[[#This Row],[age]]&lt;=60,"46-60","60+"))))</f>
        <v>46-60</v>
      </c>
      <c r="M711" s="2" t="str">
        <f>IF(Sheet1[[#This Row],[risk_score]]&lt;0.3,"Low",IF(Sheet1[[#This Row],[risk_score]]&lt;0.7,"Medium","High"))</f>
        <v>Medium</v>
      </c>
      <c r="N711">
        <f>YEAR(Sheet1[[#This Row],[date_joined]])</f>
        <v>2019</v>
      </c>
      <c r="O711" s="2" t="str">
        <f>TEXT(Sheet1[[#This Row],[date_joined]],"mmm")</f>
        <v>Mar</v>
      </c>
      <c r="P711" s="2" t="str">
        <f>"Q"&amp;ROUNDUP(MONTH(Sheet1[[#This Row],[date_joined]])/3,0)</f>
        <v>Q1</v>
      </c>
      <c r="Q711" s="2" t="str">
        <f>IF(Sheet1[[#This Row],[age]]&lt;30,"Young",IF(Sheet1[[#This Row],[age]]&lt;=50,"Adult","Senior"))</f>
        <v>Senior</v>
      </c>
      <c r="R711" s="2" t="str">
        <f t="shared" si="22"/>
        <v>High</v>
      </c>
      <c r="S711" s="2" t="str">
        <f t="shared" si="23"/>
        <v>North - Self-employed</v>
      </c>
    </row>
    <row r="712" spans="1:19" x14ac:dyDescent="0.3">
      <c r="A712" t="s">
        <v>1447</v>
      </c>
      <c r="B712" t="s">
        <v>1448</v>
      </c>
      <c r="C712">
        <v>21</v>
      </c>
      <c r="D712" s="2" t="s">
        <v>13</v>
      </c>
      <c r="E712" s="2" t="s">
        <v>22</v>
      </c>
      <c r="F712" s="2" t="s">
        <v>23</v>
      </c>
      <c r="G712" s="2" t="s">
        <v>32</v>
      </c>
      <c r="H712" s="2" t="s">
        <v>18</v>
      </c>
      <c r="I712" s="2" t="s">
        <v>18</v>
      </c>
      <c r="J712">
        <v>0.63</v>
      </c>
      <c r="K712" s="1">
        <v>43538</v>
      </c>
      <c r="L712" s="2" t="str">
        <f>IF(Sheet1[[#This Row],[age]]&lt;18, "Under 18",IF(Sheet1[[#This Row],[age]]&lt;=30,"18-30",IF(Sheet1[[#This Row],[age]]&lt;=45,"31-45",IF(Sheet1[[#This Row],[age]]&lt;=60,"46-60","60+"))))</f>
        <v>18-30</v>
      </c>
      <c r="M712" s="2" t="str">
        <f>IF(Sheet1[[#This Row],[risk_score]]&lt;0.3,"Low",IF(Sheet1[[#This Row],[risk_score]]&lt;0.7,"Medium","High"))</f>
        <v>Medium</v>
      </c>
      <c r="N712">
        <f>YEAR(Sheet1[[#This Row],[date_joined]])</f>
        <v>2019</v>
      </c>
      <c r="O712" s="2" t="str">
        <f>TEXT(Sheet1[[#This Row],[date_joined]],"mmm")</f>
        <v>Mar</v>
      </c>
      <c r="P712" s="2" t="str">
        <f>"Q"&amp;ROUNDUP(MONTH(Sheet1[[#This Row],[date_joined]])/3,0)</f>
        <v>Q1</v>
      </c>
      <c r="Q712" s="2" t="str">
        <f>IF(Sheet1[[#This Row],[age]]&lt;30,"Young",IF(Sheet1[[#This Row],[age]]&lt;=50,"Adult","Senior"))</f>
        <v>Young</v>
      </c>
      <c r="R712" s="2" t="str">
        <f t="shared" si="22"/>
        <v>Very High</v>
      </c>
      <c r="S712" s="2" t="str">
        <f t="shared" si="23"/>
        <v>South - Salaried</v>
      </c>
    </row>
    <row r="713" spans="1:19" x14ac:dyDescent="0.3">
      <c r="A713" t="s">
        <v>1449</v>
      </c>
      <c r="B713" t="s">
        <v>1450</v>
      </c>
      <c r="C713">
        <v>43</v>
      </c>
      <c r="D713" s="2" t="s">
        <v>13</v>
      </c>
      <c r="E713" s="2" t="s">
        <v>30</v>
      </c>
      <c r="F713" s="2" t="s">
        <v>37</v>
      </c>
      <c r="G713" s="2" t="s">
        <v>32</v>
      </c>
      <c r="H713" s="2" t="s">
        <v>17</v>
      </c>
      <c r="I713" s="2" t="s">
        <v>18</v>
      </c>
      <c r="J713">
        <v>0.72</v>
      </c>
      <c r="K713" s="1">
        <v>43830</v>
      </c>
      <c r="L713" s="2" t="str">
        <f>IF(Sheet1[[#This Row],[age]]&lt;18, "Under 18",IF(Sheet1[[#This Row],[age]]&lt;=30,"18-30",IF(Sheet1[[#This Row],[age]]&lt;=45,"31-45",IF(Sheet1[[#This Row],[age]]&lt;=60,"46-60","60+"))))</f>
        <v>31-45</v>
      </c>
      <c r="M713" s="2" t="str">
        <f>IF(Sheet1[[#This Row],[risk_score]]&lt;0.3,"Low",IF(Sheet1[[#This Row],[risk_score]]&lt;0.7,"Medium","High"))</f>
        <v>High</v>
      </c>
      <c r="N713">
        <f>YEAR(Sheet1[[#This Row],[date_joined]])</f>
        <v>2019</v>
      </c>
      <c r="O713" s="2" t="str">
        <f>TEXT(Sheet1[[#This Row],[date_joined]],"mmm")</f>
        <v>Dec</v>
      </c>
      <c r="P713" s="2" t="str">
        <f>"Q"&amp;ROUNDUP(MONTH(Sheet1[[#This Row],[date_joined]])/3,0)</f>
        <v>Q4</v>
      </c>
      <c r="Q713" s="2" t="str">
        <f>IF(Sheet1[[#This Row],[age]]&lt;30,"Young",IF(Sheet1[[#This Row],[age]]&lt;=50,"Adult","Senior"))</f>
        <v>Adult</v>
      </c>
      <c r="R713" s="2" t="str">
        <f t="shared" si="22"/>
        <v>High</v>
      </c>
      <c r="S713" s="2" t="str">
        <f t="shared" si="23"/>
        <v>South - Retired</v>
      </c>
    </row>
    <row r="714" spans="1:19" x14ac:dyDescent="0.3">
      <c r="A714" t="s">
        <v>1451</v>
      </c>
      <c r="B714" t="s">
        <v>1452</v>
      </c>
      <c r="C714">
        <v>38</v>
      </c>
      <c r="D714" s="2" t="s">
        <v>21</v>
      </c>
      <c r="E714" s="2" t="s">
        <v>30</v>
      </c>
      <c r="F714" s="2" t="s">
        <v>37</v>
      </c>
      <c r="G714" s="2" t="s">
        <v>81</v>
      </c>
      <c r="H714" s="2" t="s">
        <v>17</v>
      </c>
      <c r="I714" s="2" t="s">
        <v>18</v>
      </c>
      <c r="J714">
        <v>0.62</v>
      </c>
      <c r="K714" s="1">
        <v>43799</v>
      </c>
      <c r="L714" s="2" t="str">
        <f>IF(Sheet1[[#This Row],[age]]&lt;18, "Under 18",IF(Sheet1[[#This Row],[age]]&lt;=30,"18-30",IF(Sheet1[[#This Row],[age]]&lt;=45,"31-45",IF(Sheet1[[#This Row],[age]]&lt;=60,"46-60","60+"))))</f>
        <v>31-45</v>
      </c>
      <c r="M714" s="2" t="str">
        <f>IF(Sheet1[[#This Row],[risk_score]]&lt;0.3,"Low",IF(Sheet1[[#This Row],[risk_score]]&lt;0.7,"Medium","High"))</f>
        <v>Medium</v>
      </c>
      <c r="N714">
        <f>YEAR(Sheet1[[#This Row],[date_joined]])</f>
        <v>2019</v>
      </c>
      <c r="O714" s="2" t="str">
        <f>TEXT(Sheet1[[#This Row],[date_joined]],"mmm")</f>
        <v>Nov</v>
      </c>
      <c r="P714" s="2" t="str">
        <f>"Q"&amp;ROUNDUP(MONTH(Sheet1[[#This Row],[date_joined]])/3,0)</f>
        <v>Q4</v>
      </c>
      <c r="Q714" s="2" t="str">
        <f>IF(Sheet1[[#This Row],[age]]&lt;30,"Young",IF(Sheet1[[#This Row],[age]]&lt;=50,"Adult","Senior"))</f>
        <v>Adult</v>
      </c>
      <c r="R714" s="2" t="str">
        <f t="shared" si="22"/>
        <v>High</v>
      </c>
      <c r="S714" s="2" t="str">
        <f t="shared" si="23"/>
        <v>Central - Retired</v>
      </c>
    </row>
    <row r="715" spans="1:19" x14ac:dyDescent="0.3">
      <c r="A715" t="s">
        <v>1453</v>
      </c>
      <c r="B715" t="s">
        <v>1454</v>
      </c>
      <c r="C715">
        <v>57</v>
      </c>
      <c r="D715" s="2" t="s">
        <v>13</v>
      </c>
      <c r="E715" s="2" t="s">
        <v>14</v>
      </c>
      <c r="F715" s="2" t="s">
        <v>31</v>
      </c>
      <c r="G715" s="2" t="s">
        <v>32</v>
      </c>
      <c r="H715" s="2" t="s">
        <v>18</v>
      </c>
      <c r="I715" s="2" t="s">
        <v>18</v>
      </c>
      <c r="J715">
        <v>0.51</v>
      </c>
      <c r="K715" s="1">
        <v>43237</v>
      </c>
      <c r="L715" s="2" t="str">
        <f>IF(Sheet1[[#This Row],[age]]&lt;18, "Under 18",IF(Sheet1[[#This Row],[age]]&lt;=30,"18-30",IF(Sheet1[[#This Row],[age]]&lt;=45,"31-45",IF(Sheet1[[#This Row],[age]]&lt;=60,"46-60","60+"))))</f>
        <v>46-60</v>
      </c>
      <c r="M715" s="2" t="str">
        <f>IF(Sheet1[[#This Row],[risk_score]]&lt;0.3,"Low",IF(Sheet1[[#This Row],[risk_score]]&lt;0.7,"Medium","High"))</f>
        <v>Medium</v>
      </c>
      <c r="N715">
        <f>YEAR(Sheet1[[#This Row],[date_joined]])</f>
        <v>2018</v>
      </c>
      <c r="O715" s="2" t="str">
        <f>TEXT(Sheet1[[#This Row],[date_joined]],"mmm")</f>
        <v>May</v>
      </c>
      <c r="P715" s="2" t="str">
        <f>"Q"&amp;ROUNDUP(MONTH(Sheet1[[#This Row],[date_joined]])/3,0)</f>
        <v>Q2</v>
      </c>
      <c r="Q715" s="2" t="str">
        <f>IF(Sheet1[[#This Row],[age]]&lt;30,"Young",IF(Sheet1[[#This Row],[age]]&lt;=50,"Adult","Senior"))</f>
        <v>Senior</v>
      </c>
      <c r="R715" s="2" t="str">
        <f t="shared" si="22"/>
        <v>Very High</v>
      </c>
      <c r="S715" s="2" t="str">
        <f t="shared" si="23"/>
        <v>South - Self-employed</v>
      </c>
    </row>
    <row r="716" spans="1:19" x14ac:dyDescent="0.3">
      <c r="A716" t="s">
        <v>1455</v>
      </c>
      <c r="B716" t="s">
        <v>1456</v>
      </c>
      <c r="C716">
        <v>46</v>
      </c>
      <c r="D716" s="2" t="s">
        <v>21</v>
      </c>
      <c r="E716" s="2" t="s">
        <v>22</v>
      </c>
      <c r="F716" s="2" t="s">
        <v>15</v>
      </c>
      <c r="G716" s="2" t="s">
        <v>81</v>
      </c>
      <c r="H716" s="2" t="s">
        <v>18</v>
      </c>
      <c r="I716" s="2" t="s">
        <v>17</v>
      </c>
      <c r="J716">
        <v>0.45</v>
      </c>
      <c r="K716" s="1">
        <v>43795</v>
      </c>
      <c r="L716" s="2" t="str">
        <f>IF(Sheet1[[#This Row],[age]]&lt;18, "Under 18",IF(Sheet1[[#This Row],[age]]&lt;=30,"18-30",IF(Sheet1[[#This Row],[age]]&lt;=45,"31-45",IF(Sheet1[[#This Row],[age]]&lt;=60,"46-60","60+"))))</f>
        <v>46-60</v>
      </c>
      <c r="M716" s="2" t="str">
        <f>IF(Sheet1[[#This Row],[risk_score]]&lt;0.3,"Low",IF(Sheet1[[#This Row],[risk_score]]&lt;0.7,"Medium","High"))</f>
        <v>Medium</v>
      </c>
      <c r="N716">
        <f>YEAR(Sheet1[[#This Row],[date_joined]])</f>
        <v>2019</v>
      </c>
      <c r="O716" s="2" t="str">
        <f>TEXT(Sheet1[[#This Row],[date_joined]],"mmm")</f>
        <v>Nov</v>
      </c>
      <c r="P716" s="2" t="str">
        <f>"Q"&amp;ROUNDUP(MONTH(Sheet1[[#This Row],[date_joined]])/3,0)</f>
        <v>Q4</v>
      </c>
      <c r="Q716" s="2" t="str">
        <f>IF(Sheet1[[#This Row],[age]]&lt;30,"Young",IF(Sheet1[[#This Row],[age]]&lt;=50,"Adult","Senior"))</f>
        <v>Adult</v>
      </c>
      <c r="R716" s="2" t="str">
        <f t="shared" si="22"/>
        <v>High</v>
      </c>
      <c r="S716" s="2" t="str">
        <f t="shared" si="23"/>
        <v>Central - Student</v>
      </c>
    </row>
    <row r="717" spans="1:19" x14ac:dyDescent="0.3">
      <c r="A717" t="s">
        <v>1457</v>
      </c>
      <c r="B717" t="s">
        <v>1458</v>
      </c>
      <c r="C717">
        <v>19</v>
      </c>
      <c r="D717" s="2" t="s">
        <v>13</v>
      </c>
      <c r="E717" s="2" t="s">
        <v>14</v>
      </c>
      <c r="F717" s="2" t="s">
        <v>23</v>
      </c>
      <c r="G717" s="2" t="s">
        <v>16</v>
      </c>
      <c r="H717" s="2" t="s">
        <v>18</v>
      </c>
      <c r="I717" s="2" t="s">
        <v>18</v>
      </c>
      <c r="J717">
        <v>0.42</v>
      </c>
      <c r="K717" s="1">
        <v>44640</v>
      </c>
      <c r="L717" s="2" t="str">
        <f>IF(Sheet1[[#This Row],[age]]&lt;18, "Under 18",IF(Sheet1[[#This Row],[age]]&lt;=30,"18-30",IF(Sheet1[[#This Row],[age]]&lt;=45,"31-45",IF(Sheet1[[#This Row],[age]]&lt;=60,"46-60","60+"))))</f>
        <v>18-30</v>
      </c>
      <c r="M717" s="2" t="str">
        <f>IF(Sheet1[[#This Row],[risk_score]]&lt;0.3,"Low",IF(Sheet1[[#This Row],[risk_score]]&lt;0.7,"Medium","High"))</f>
        <v>Medium</v>
      </c>
      <c r="N717">
        <f>YEAR(Sheet1[[#This Row],[date_joined]])</f>
        <v>2022</v>
      </c>
      <c r="O717" s="2" t="str">
        <f>TEXT(Sheet1[[#This Row],[date_joined]],"mmm")</f>
        <v>Mar</v>
      </c>
      <c r="P717" s="2" t="str">
        <f>"Q"&amp;ROUNDUP(MONTH(Sheet1[[#This Row],[date_joined]])/3,0)</f>
        <v>Q1</v>
      </c>
      <c r="Q717" s="2" t="str">
        <f>IF(Sheet1[[#This Row],[age]]&lt;30,"Young",IF(Sheet1[[#This Row],[age]]&lt;=50,"Adult","Senior"))</f>
        <v>Young</v>
      </c>
      <c r="R717" s="2" t="str">
        <f t="shared" si="22"/>
        <v>Very High</v>
      </c>
      <c r="S717" s="2" t="str">
        <f t="shared" si="23"/>
        <v>West - Salaried</v>
      </c>
    </row>
    <row r="718" spans="1:19" x14ac:dyDescent="0.3">
      <c r="A718" t="s">
        <v>1459</v>
      </c>
      <c r="B718" t="s">
        <v>1460</v>
      </c>
      <c r="C718">
        <v>32</v>
      </c>
      <c r="D718" s="2" t="s">
        <v>13</v>
      </c>
      <c r="E718" s="2" t="s">
        <v>22</v>
      </c>
      <c r="F718" s="2" t="s">
        <v>23</v>
      </c>
      <c r="G718" s="2" t="s">
        <v>81</v>
      </c>
      <c r="H718" s="2" t="s">
        <v>18</v>
      </c>
      <c r="I718" s="2" t="s">
        <v>17</v>
      </c>
      <c r="J718">
        <v>0.85</v>
      </c>
      <c r="K718" s="1">
        <v>43377</v>
      </c>
      <c r="L718" s="2" t="str">
        <f>IF(Sheet1[[#This Row],[age]]&lt;18, "Under 18",IF(Sheet1[[#This Row],[age]]&lt;=30,"18-30",IF(Sheet1[[#This Row],[age]]&lt;=45,"31-45",IF(Sheet1[[#This Row],[age]]&lt;=60,"46-60","60+"))))</f>
        <v>31-45</v>
      </c>
      <c r="M718" s="2" t="str">
        <f>IF(Sheet1[[#This Row],[risk_score]]&lt;0.3,"Low",IF(Sheet1[[#This Row],[risk_score]]&lt;0.7,"Medium","High"))</f>
        <v>High</v>
      </c>
      <c r="N718">
        <f>YEAR(Sheet1[[#This Row],[date_joined]])</f>
        <v>2018</v>
      </c>
      <c r="O718" s="2" t="str">
        <f>TEXT(Sheet1[[#This Row],[date_joined]],"mmm")</f>
        <v>Oct</v>
      </c>
      <c r="P718" s="2" t="str">
        <f>"Q"&amp;ROUNDUP(MONTH(Sheet1[[#This Row],[date_joined]])/3,0)</f>
        <v>Q4</v>
      </c>
      <c r="Q718" s="2" t="str">
        <f>IF(Sheet1[[#This Row],[age]]&lt;30,"Young",IF(Sheet1[[#This Row],[age]]&lt;=50,"Adult","Senior"))</f>
        <v>Adult</v>
      </c>
      <c r="R718" s="2" t="str">
        <f t="shared" si="22"/>
        <v>High</v>
      </c>
      <c r="S718" s="2" t="str">
        <f t="shared" si="23"/>
        <v>Central - Salaried</v>
      </c>
    </row>
    <row r="719" spans="1:19" x14ac:dyDescent="0.3">
      <c r="A719" t="s">
        <v>1461</v>
      </c>
      <c r="B719" t="s">
        <v>1462</v>
      </c>
      <c r="C719">
        <v>35</v>
      </c>
      <c r="D719" s="2" t="s">
        <v>21</v>
      </c>
      <c r="E719" s="2" t="s">
        <v>14</v>
      </c>
      <c r="F719" s="2" t="s">
        <v>31</v>
      </c>
      <c r="G719" s="2" t="s">
        <v>27</v>
      </c>
      <c r="H719" s="2" t="s">
        <v>17</v>
      </c>
      <c r="I719" s="2" t="s">
        <v>17</v>
      </c>
      <c r="J719">
        <v>0.43</v>
      </c>
      <c r="K719" s="1">
        <v>44206</v>
      </c>
      <c r="L719" s="2" t="str">
        <f>IF(Sheet1[[#This Row],[age]]&lt;18, "Under 18",IF(Sheet1[[#This Row],[age]]&lt;=30,"18-30",IF(Sheet1[[#This Row],[age]]&lt;=45,"31-45",IF(Sheet1[[#This Row],[age]]&lt;=60,"46-60","60+"))))</f>
        <v>31-45</v>
      </c>
      <c r="M719" s="2" t="str">
        <f>IF(Sheet1[[#This Row],[risk_score]]&lt;0.3,"Low",IF(Sheet1[[#This Row],[risk_score]]&lt;0.7,"Medium","High"))</f>
        <v>Medium</v>
      </c>
      <c r="N719">
        <f>YEAR(Sheet1[[#This Row],[date_joined]])</f>
        <v>2021</v>
      </c>
      <c r="O719" s="2" t="str">
        <f>TEXT(Sheet1[[#This Row],[date_joined]],"mmm")</f>
        <v>Jan</v>
      </c>
      <c r="P719" s="2" t="str">
        <f>"Q"&amp;ROUNDUP(MONTH(Sheet1[[#This Row],[date_joined]])/3,0)</f>
        <v>Q1</v>
      </c>
      <c r="Q719" s="2" t="str">
        <f>IF(Sheet1[[#This Row],[age]]&lt;30,"Young",IF(Sheet1[[#This Row],[age]]&lt;=50,"Adult","Senior"))</f>
        <v>Adult</v>
      </c>
      <c r="R719" s="2" t="str">
        <f t="shared" si="22"/>
        <v>Low</v>
      </c>
      <c r="S719" s="2" t="str">
        <f t="shared" si="23"/>
        <v>North - Self-employed</v>
      </c>
    </row>
    <row r="720" spans="1:19" x14ac:dyDescent="0.3">
      <c r="A720" t="s">
        <v>1463</v>
      </c>
      <c r="B720" t="s">
        <v>1464</v>
      </c>
      <c r="C720">
        <v>43</v>
      </c>
      <c r="D720" s="2" t="s">
        <v>13</v>
      </c>
      <c r="E720" s="2" t="s">
        <v>22</v>
      </c>
      <c r="F720" s="2" t="s">
        <v>37</v>
      </c>
      <c r="G720" s="2" t="s">
        <v>81</v>
      </c>
      <c r="H720" s="2" t="s">
        <v>17</v>
      </c>
      <c r="I720" s="2" t="s">
        <v>17</v>
      </c>
      <c r="J720">
        <v>0.53</v>
      </c>
      <c r="K720" s="1">
        <v>43793</v>
      </c>
      <c r="L720" s="2" t="str">
        <f>IF(Sheet1[[#This Row],[age]]&lt;18, "Under 18",IF(Sheet1[[#This Row],[age]]&lt;=30,"18-30",IF(Sheet1[[#This Row],[age]]&lt;=45,"31-45",IF(Sheet1[[#This Row],[age]]&lt;=60,"46-60","60+"))))</f>
        <v>31-45</v>
      </c>
      <c r="M720" s="2" t="str">
        <f>IF(Sheet1[[#This Row],[risk_score]]&lt;0.3,"Low",IF(Sheet1[[#This Row],[risk_score]]&lt;0.7,"Medium","High"))</f>
        <v>Medium</v>
      </c>
      <c r="N720">
        <f>YEAR(Sheet1[[#This Row],[date_joined]])</f>
        <v>2019</v>
      </c>
      <c r="O720" s="2" t="str">
        <f>TEXT(Sheet1[[#This Row],[date_joined]],"mmm")</f>
        <v>Nov</v>
      </c>
      <c r="P720" s="2" t="str">
        <f>"Q"&amp;ROUNDUP(MONTH(Sheet1[[#This Row],[date_joined]])/3,0)</f>
        <v>Q4</v>
      </c>
      <c r="Q720" s="2" t="str">
        <f>IF(Sheet1[[#This Row],[age]]&lt;30,"Young",IF(Sheet1[[#This Row],[age]]&lt;=50,"Adult","Senior"))</f>
        <v>Adult</v>
      </c>
      <c r="R720" s="2" t="str">
        <f t="shared" si="22"/>
        <v>Low</v>
      </c>
      <c r="S720" s="2" t="str">
        <f t="shared" si="23"/>
        <v>Central - Retired</v>
      </c>
    </row>
    <row r="721" spans="1:19" x14ac:dyDescent="0.3">
      <c r="A721" t="s">
        <v>1465</v>
      </c>
      <c r="B721" t="s">
        <v>1466</v>
      </c>
      <c r="C721">
        <v>32</v>
      </c>
      <c r="D721" s="2" t="s">
        <v>21</v>
      </c>
      <c r="E721" s="2" t="s">
        <v>30</v>
      </c>
      <c r="F721" s="2" t="s">
        <v>37</v>
      </c>
      <c r="G721" s="2" t="s">
        <v>24</v>
      </c>
      <c r="H721" s="2" t="s">
        <v>18</v>
      </c>
      <c r="I721" s="2" t="s">
        <v>17</v>
      </c>
      <c r="J721">
        <v>0.22</v>
      </c>
      <c r="K721" s="1">
        <v>45100</v>
      </c>
      <c r="L721" s="2" t="str">
        <f>IF(Sheet1[[#This Row],[age]]&lt;18, "Under 18",IF(Sheet1[[#This Row],[age]]&lt;=30,"18-30",IF(Sheet1[[#This Row],[age]]&lt;=45,"31-45",IF(Sheet1[[#This Row],[age]]&lt;=60,"46-60","60+"))))</f>
        <v>31-45</v>
      </c>
      <c r="M721" s="2" t="str">
        <f>IF(Sheet1[[#This Row],[risk_score]]&lt;0.3,"Low",IF(Sheet1[[#This Row],[risk_score]]&lt;0.7,"Medium","High"))</f>
        <v>Low</v>
      </c>
      <c r="N721">
        <f>YEAR(Sheet1[[#This Row],[date_joined]])</f>
        <v>2023</v>
      </c>
      <c r="O721" s="2" t="str">
        <f>TEXT(Sheet1[[#This Row],[date_joined]],"mmm")</f>
        <v>Jun</v>
      </c>
      <c r="P721" s="2" t="str">
        <f>"Q"&amp;ROUNDUP(MONTH(Sheet1[[#This Row],[date_joined]])/3,0)</f>
        <v>Q2</v>
      </c>
      <c r="Q721" s="2" t="str">
        <f>IF(Sheet1[[#This Row],[age]]&lt;30,"Young",IF(Sheet1[[#This Row],[age]]&lt;=50,"Adult","Senior"))</f>
        <v>Adult</v>
      </c>
      <c r="R721" s="2" t="str">
        <f t="shared" si="22"/>
        <v>High</v>
      </c>
      <c r="S721" s="2" t="str">
        <f t="shared" si="23"/>
        <v>East - Retired</v>
      </c>
    </row>
    <row r="722" spans="1:19" x14ac:dyDescent="0.3">
      <c r="A722" t="s">
        <v>1467</v>
      </c>
      <c r="B722" t="s">
        <v>1468</v>
      </c>
      <c r="C722">
        <v>57</v>
      </c>
      <c r="D722" s="2" t="s">
        <v>13</v>
      </c>
      <c r="E722" s="2" t="s">
        <v>14</v>
      </c>
      <c r="F722" s="2" t="s">
        <v>37</v>
      </c>
      <c r="G722" s="2" t="s">
        <v>81</v>
      </c>
      <c r="H722" s="2" t="s">
        <v>18</v>
      </c>
      <c r="I722" s="2" t="s">
        <v>18</v>
      </c>
      <c r="J722">
        <v>0.56000000000000005</v>
      </c>
      <c r="K722" s="1">
        <v>45194</v>
      </c>
      <c r="L722" s="2" t="str">
        <f>IF(Sheet1[[#This Row],[age]]&lt;18, "Under 18",IF(Sheet1[[#This Row],[age]]&lt;=30,"18-30",IF(Sheet1[[#This Row],[age]]&lt;=45,"31-45",IF(Sheet1[[#This Row],[age]]&lt;=60,"46-60","60+"))))</f>
        <v>46-60</v>
      </c>
      <c r="M722" s="2" t="str">
        <f>IF(Sheet1[[#This Row],[risk_score]]&lt;0.3,"Low",IF(Sheet1[[#This Row],[risk_score]]&lt;0.7,"Medium","High"))</f>
        <v>Medium</v>
      </c>
      <c r="N722">
        <f>YEAR(Sheet1[[#This Row],[date_joined]])</f>
        <v>2023</v>
      </c>
      <c r="O722" s="2" t="str">
        <f>TEXT(Sheet1[[#This Row],[date_joined]],"mmm")</f>
        <v>Sep</v>
      </c>
      <c r="P722" s="2" t="str">
        <f>"Q"&amp;ROUNDUP(MONTH(Sheet1[[#This Row],[date_joined]])/3,0)</f>
        <v>Q3</v>
      </c>
      <c r="Q722" s="2" t="str">
        <f>IF(Sheet1[[#This Row],[age]]&lt;30,"Young",IF(Sheet1[[#This Row],[age]]&lt;=50,"Adult","Senior"))</f>
        <v>Senior</v>
      </c>
      <c r="R722" s="2" t="str">
        <f t="shared" si="22"/>
        <v>Very High</v>
      </c>
      <c r="S722" s="2" t="str">
        <f t="shared" si="23"/>
        <v>Central - Retired</v>
      </c>
    </row>
    <row r="723" spans="1:19" x14ac:dyDescent="0.3">
      <c r="A723" t="s">
        <v>1469</v>
      </c>
      <c r="B723" t="s">
        <v>1470</v>
      </c>
      <c r="C723">
        <v>26</v>
      </c>
      <c r="D723" s="2" t="s">
        <v>13</v>
      </c>
      <c r="E723" s="2" t="s">
        <v>22</v>
      </c>
      <c r="F723" s="2" t="s">
        <v>31</v>
      </c>
      <c r="G723" s="2" t="s">
        <v>81</v>
      </c>
      <c r="H723" s="2" t="s">
        <v>18</v>
      </c>
      <c r="I723" s="2" t="s">
        <v>17</v>
      </c>
      <c r="J723">
        <v>0.53</v>
      </c>
      <c r="K723" s="1">
        <v>43338</v>
      </c>
      <c r="L723" s="2" t="str">
        <f>IF(Sheet1[[#This Row],[age]]&lt;18, "Under 18",IF(Sheet1[[#This Row],[age]]&lt;=30,"18-30",IF(Sheet1[[#This Row],[age]]&lt;=45,"31-45",IF(Sheet1[[#This Row],[age]]&lt;=60,"46-60","60+"))))</f>
        <v>18-30</v>
      </c>
      <c r="M723" s="2" t="str">
        <f>IF(Sheet1[[#This Row],[risk_score]]&lt;0.3,"Low",IF(Sheet1[[#This Row],[risk_score]]&lt;0.7,"Medium","High"))</f>
        <v>Medium</v>
      </c>
      <c r="N723">
        <f>YEAR(Sheet1[[#This Row],[date_joined]])</f>
        <v>2018</v>
      </c>
      <c r="O723" s="2" t="str">
        <f>TEXT(Sheet1[[#This Row],[date_joined]],"mmm")</f>
        <v>Aug</v>
      </c>
      <c r="P723" s="2" t="str">
        <f>"Q"&amp;ROUNDUP(MONTH(Sheet1[[#This Row],[date_joined]])/3,0)</f>
        <v>Q3</v>
      </c>
      <c r="Q723" s="2" t="str">
        <f>IF(Sheet1[[#This Row],[age]]&lt;30,"Young",IF(Sheet1[[#This Row],[age]]&lt;=50,"Adult","Senior"))</f>
        <v>Young</v>
      </c>
      <c r="R723" s="2" t="str">
        <f t="shared" si="22"/>
        <v>High</v>
      </c>
      <c r="S723" s="2" t="str">
        <f t="shared" si="23"/>
        <v>Central - Self-employed</v>
      </c>
    </row>
    <row r="724" spans="1:19" x14ac:dyDescent="0.3">
      <c r="A724" t="s">
        <v>1471</v>
      </c>
      <c r="B724" t="s">
        <v>1472</v>
      </c>
      <c r="C724">
        <v>63</v>
      </c>
      <c r="D724" s="2" t="s">
        <v>21</v>
      </c>
      <c r="E724" s="2" t="s">
        <v>14</v>
      </c>
      <c r="F724" s="2" t="s">
        <v>15</v>
      </c>
      <c r="G724" s="2" t="s">
        <v>16</v>
      </c>
      <c r="H724" s="2" t="s">
        <v>17</v>
      </c>
      <c r="I724" s="2" t="s">
        <v>17</v>
      </c>
      <c r="J724">
        <v>0.54</v>
      </c>
      <c r="K724" s="1">
        <v>43350</v>
      </c>
      <c r="L724" s="2" t="str">
        <f>IF(Sheet1[[#This Row],[age]]&lt;18, "Under 18",IF(Sheet1[[#This Row],[age]]&lt;=30,"18-30",IF(Sheet1[[#This Row],[age]]&lt;=45,"31-45",IF(Sheet1[[#This Row],[age]]&lt;=60,"46-60","60+"))))</f>
        <v>60+</v>
      </c>
      <c r="M724" s="2" t="str">
        <f>IF(Sheet1[[#This Row],[risk_score]]&lt;0.3,"Low",IF(Sheet1[[#This Row],[risk_score]]&lt;0.7,"Medium","High"))</f>
        <v>Medium</v>
      </c>
      <c r="N724">
        <f>YEAR(Sheet1[[#This Row],[date_joined]])</f>
        <v>2018</v>
      </c>
      <c r="O724" s="2" t="str">
        <f>TEXT(Sheet1[[#This Row],[date_joined]],"mmm")</f>
        <v>Sep</v>
      </c>
      <c r="P724" s="2" t="str">
        <f>"Q"&amp;ROUNDUP(MONTH(Sheet1[[#This Row],[date_joined]])/3,0)</f>
        <v>Q3</v>
      </c>
      <c r="Q724" s="2" t="str">
        <f>IF(Sheet1[[#This Row],[age]]&lt;30,"Young",IF(Sheet1[[#This Row],[age]]&lt;=50,"Adult","Senior"))</f>
        <v>Senior</v>
      </c>
      <c r="R724" s="2" t="str">
        <f t="shared" si="22"/>
        <v>Low</v>
      </c>
      <c r="S724" s="2" t="str">
        <f t="shared" si="23"/>
        <v>West - Student</v>
      </c>
    </row>
    <row r="725" spans="1:19" x14ac:dyDescent="0.3">
      <c r="A725" t="s">
        <v>1473</v>
      </c>
      <c r="B725" t="s">
        <v>1474</v>
      </c>
      <c r="C725">
        <v>45</v>
      </c>
      <c r="D725" s="2" t="s">
        <v>13</v>
      </c>
      <c r="E725" s="2" t="s">
        <v>14</v>
      </c>
      <c r="F725" s="2" t="s">
        <v>37</v>
      </c>
      <c r="G725" s="2" t="s">
        <v>24</v>
      </c>
      <c r="H725" s="2" t="s">
        <v>18</v>
      </c>
      <c r="I725" s="2" t="s">
        <v>18</v>
      </c>
      <c r="J725">
        <v>0.61</v>
      </c>
      <c r="K725" s="1">
        <v>44104</v>
      </c>
      <c r="L725" s="2" t="str">
        <f>IF(Sheet1[[#This Row],[age]]&lt;18, "Under 18",IF(Sheet1[[#This Row],[age]]&lt;=30,"18-30",IF(Sheet1[[#This Row],[age]]&lt;=45,"31-45",IF(Sheet1[[#This Row],[age]]&lt;=60,"46-60","60+"))))</f>
        <v>31-45</v>
      </c>
      <c r="M725" s="2" t="str">
        <f>IF(Sheet1[[#This Row],[risk_score]]&lt;0.3,"Low",IF(Sheet1[[#This Row],[risk_score]]&lt;0.7,"Medium","High"))</f>
        <v>Medium</v>
      </c>
      <c r="N725">
        <f>YEAR(Sheet1[[#This Row],[date_joined]])</f>
        <v>2020</v>
      </c>
      <c r="O725" s="2" t="str">
        <f>TEXT(Sheet1[[#This Row],[date_joined]],"mmm")</f>
        <v>Sep</v>
      </c>
      <c r="P725" s="2" t="str">
        <f>"Q"&amp;ROUNDUP(MONTH(Sheet1[[#This Row],[date_joined]])/3,0)</f>
        <v>Q3</v>
      </c>
      <c r="Q725" s="2" t="str">
        <f>IF(Sheet1[[#This Row],[age]]&lt;30,"Young",IF(Sheet1[[#This Row],[age]]&lt;=50,"Adult","Senior"))</f>
        <v>Adult</v>
      </c>
      <c r="R725" s="2" t="str">
        <f t="shared" si="22"/>
        <v>Very High</v>
      </c>
      <c r="S725" s="2" t="str">
        <f t="shared" si="23"/>
        <v>East - Retired</v>
      </c>
    </row>
    <row r="726" spans="1:19" x14ac:dyDescent="0.3">
      <c r="A726" t="s">
        <v>1475</v>
      </c>
      <c r="B726" t="s">
        <v>1476</v>
      </c>
      <c r="C726">
        <v>54</v>
      </c>
      <c r="D726" s="2" t="s">
        <v>21</v>
      </c>
      <c r="E726" s="2" t="s">
        <v>14</v>
      </c>
      <c r="F726" s="2" t="s">
        <v>23</v>
      </c>
      <c r="G726" s="2" t="s">
        <v>32</v>
      </c>
      <c r="H726" s="2" t="s">
        <v>17</v>
      </c>
      <c r="I726" s="2" t="s">
        <v>18</v>
      </c>
      <c r="J726">
        <v>0.69</v>
      </c>
      <c r="K726" s="1">
        <v>44044</v>
      </c>
      <c r="L726" s="2" t="str">
        <f>IF(Sheet1[[#This Row],[age]]&lt;18, "Under 18",IF(Sheet1[[#This Row],[age]]&lt;=30,"18-30",IF(Sheet1[[#This Row],[age]]&lt;=45,"31-45",IF(Sheet1[[#This Row],[age]]&lt;=60,"46-60","60+"))))</f>
        <v>46-60</v>
      </c>
      <c r="M726" s="2" t="str">
        <f>IF(Sheet1[[#This Row],[risk_score]]&lt;0.3,"Low",IF(Sheet1[[#This Row],[risk_score]]&lt;0.7,"Medium","High"))</f>
        <v>Medium</v>
      </c>
      <c r="N726">
        <f>YEAR(Sheet1[[#This Row],[date_joined]])</f>
        <v>2020</v>
      </c>
      <c r="O726" s="2" t="str">
        <f>TEXT(Sheet1[[#This Row],[date_joined]],"mmm")</f>
        <v>Aug</v>
      </c>
      <c r="P726" s="2" t="str">
        <f>"Q"&amp;ROUNDUP(MONTH(Sheet1[[#This Row],[date_joined]])/3,0)</f>
        <v>Q3</v>
      </c>
      <c r="Q726" s="2" t="str">
        <f>IF(Sheet1[[#This Row],[age]]&lt;30,"Young",IF(Sheet1[[#This Row],[age]]&lt;=50,"Adult","Senior"))</f>
        <v>Senior</v>
      </c>
      <c r="R726" s="2" t="str">
        <f t="shared" si="22"/>
        <v>High</v>
      </c>
      <c r="S726" s="2" t="str">
        <f t="shared" si="23"/>
        <v>South - Salaried</v>
      </c>
    </row>
    <row r="727" spans="1:19" x14ac:dyDescent="0.3">
      <c r="A727" t="s">
        <v>1477</v>
      </c>
      <c r="B727" t="s">
        <v>1478</v>
      </c>
      <c r="C727">
        <v>29</v>
      </c>
      <c r="D727" s="2" t="s">
        <v>21</v>
      </c>
      <c r="E727" s="2" t="s">
        <v>30</v>
      </c>
      <c r="F727" s="2" t="s">
        <v>23</v>
      </c>
      <c r="G727" s="2" t="s">
        <v>16</v>
      </c>
      <c r="H727" s="2" t="s">
        <v>18</v>
      </c>
      <c r="I727" s="2" t="s">
        <v>18</v>
      </c>
      <c r="J727">
        <v>0.5</v>
      </c>
      <c r="K727" s="1">
        <v>45090</v>
      </c>
      <c r="L727" s="2" t="str">
        <f>IF(Sheet1[[#This Row],[age]]&lt;18, "Under 18",IF(Sheet1[[#This Row],[age]]&lt;=30,"18-30",IF(Sheet1[[#This Row],[age]]&lt;=45,"31-45",IF(Sheet1[[#This Row],[age]]&lt;=60,"46-60","60+"))))</f>
        <v>18-30</v>
      </c>
      <c r="M727" s="2" t="str">
        <f>IF(Sheet1[[#This Row],[risk_score]]&lt;0.3,"Low",IF(Sheet1[[#This Row],[risk_score]]&lt;0.7,"Medium","High"))</f>
        <v>Medium</v>
      </c>
      <c r="N727">
        <f>YEAR(Sheet1[[#This Row],[date_joined]])</f>
        <v>2023</v>
      </c>
      <c r="O727" s="2" t="str">
        <f>TEXT(Sheet1[[#This Row],[date_joined]],"mmm")</f>
        <v>Jun</v>
      </c>
      <c r="P727" s="2" t="str">
        <f>"Q"&amp;ROUNDUP(MONTH(Sheet1[[#This Row],[date_joined]])/3,0)</f>
        <v>Q2</v>
      </c>
      <c r="Q727" s="2" t="str">
        <f>IF(Sheet1[[#This Row],[age]]&lt;30,"Young",IF(Sheet1[[#This Row],[age]]&lt;=50,"Adult","Senior"))</f>
        <v>Young</v>
      </c>
      <c r="R727" s="2" t="str">
        <f t="shared" si="22"/>
        <v>Very High</v>
      </c>
      <c r="S727" s="2" t="str">
        <f t="shared" si="23"/>
        <v>West - Salaried</v>
      </c>
    </row>
    <row r="728" spans="1:19" x14ac:dyDescent="0.3">
      <c r="A728" t="s">
        <v>1479</v>
      </c>
      <c r="B728" t="s">
        <v>1480</v>
      </c>
      <c r="C728">
        <v>57</v>
      </c>
      <c r="D728" s="2" t="s">
        <v>21</v>
      </c>
      <c r="E728" s="2" t="s">
        <v>14</v>
      </c>
      <c r="F728" s="2" t="s">
        <v>37</v>
      </c>
      <c r="G728" s="2" t="s">
        <v>16</v>
      </c>
      <c r="H728" s="2" t="s">
        <v>17</v>
      </c>
      <c r="I728" s="2" t="s">
        <v>18</v>
      </c>
      <c r="J728">
        <v>0.57999999999999996</v>
      </c>
      <c r="K728" s="1">
        <v>44323</v>
      </c>
      <c r="L728" s="2" t="str">
        <f>IF(Sheet1[[#This Row],[age]]&lt;18, "Under 18",IF(Sheet1[[#This Row],[age]]&lt;=30,"18-30",IF(Sheet1[[#This Row],[age]]&lt;=45,"31-45",IF(Sheet1[[#This Row],[age]]&lt;=60,"46-60","60+"))))</f>
        <v>46-60</v>
      </c>
      <c r="M728" s="2" t="str">
        <f>IF(Sheet1[[#This Row],[risk_score]]&lt;0.3,"Low",IF(Sheet1[[#This Row],[risk_score]]&lt;0.7,"Medium","High"))</f>
        <v>Medium</v>
      </c>
      <c r="N728">
        <f>YEAR(Sheet1[[#This Row],[date_joined]])</f>
        <v>2021</v>
      </c>
      <c r="O728" s="2" t="str">
        <f>TEXT(Sheet1[[#This Row],[date_joined]],"mmm")</f>
        <v>May</v>
      </c>
      <c r="P728" s="2" t="str">
        <f>"Q"&amp;ROUNDUP(MONTH(Sheet1[[#This Row],[date_joined]])/3,0)</f>
        <v>Q2</v>
      </c>
      <c r="Q728" s="2" t="str">
        <f>IF(Sheet1[[#This Row],[age]]&lt;30,"Young",IF(Sheet1[[#This Row],[age]]&lt;=50,"Adult","Senior"))</f>
        <v>Senior</v>
      </c>
      <c r="R728" s="2" t="str">
        <f t="shared" si="22"/>
        <v>High</v>
      </c>
      <c r="S728" s="2" t="str">
        <f t="shared" si="23"/>
        <v>West - Retired</v>
      </c>
    </row>
    <row r="729" spans="1:19" x14ac:dyDescent="0.3">
      <c r="A729" t="s">
        <v>1481</v>
      </c>
      <c r="B729" t="s">
        <v>1482</v>
      </c>
      <c r="C729">
        <v>60</v>
      </c>
      <c r="D729" s="2" t="s">
        <v>21</v>
      </c>
      <c r="E729" s="2" t="s">
        <v>22</v>
      </c>
      <c r="F729" s="2" t="s">
        <v>37</v>
      </c>
      <c r="G729" s="2" t="s">
        <v>16</v>
      </c>
      <c r="H729" s="2" t="s">
        <v>18</v>
      </c>
      <c r="I729" s="2" t="s">
        <v>18</v>
      </c>
      <c r="J729">
        <v>0.36</v>
      </c>
      <c r="K729" s="1">
        <v>44576</v>
      </c>
      <c r="L729" s="2" t="str">
        <f>IF(Sheet1[[#This Row],[age]]&lt;18, "Under 18",IF(Sheet1[[#This Row],[age]]&lt;=30,"18-30",IF(Sheet1[[#This Row],[age]]&lt;=45,"31-45",IF(Sheet1[[#This Row],[age]]&lt;=60,"46-60","60+"))))</f>
        <v>46-60</v>
      </c>
      <c r="M729" s="2" t="str">
        <f>IF(Sheet1[[#This Row],[risk_score]]&lt;0.3,"Low",IF(Sheet1[[#This Row],[risk_score]]&lt;0.7,"Medium","High"))</f>
        <v>Medium</v>
      </c>
      <c r="N729">
        <f>YEAR(Sheet1[[#This Row],[date_joined]])</f>
        <v>2022</v>
      </c>
      <c r="O729" s="2" t="str">
        <f>TEXT(Sheet1[[#This Row],[date_joined]],"mmm")</f>
        <v>Jan</v>
      </c>
      <c r="P729" s="2" t="str">
        <f>"Q"&amp;ROUNDUP(MONTH(Sheet1[[#This Row],[date_joined]])/3,0)</f>
        <v>Q1</v>
      </c>
      <c r="Q729" s="2" t="str">
        <f>IF(Sheet1[[#This Row],[age]]&lt;30,"Young",IF(Sheet1[[#This Row],[age]]&lt;=50,"Adult","Senior"))</f>
        <v>Senior</v>
      </c>
      <c r="R729" s="2" t="str">
        <f t="shared" si="22"/>
        <v>Very High</v>
      </c>
      <c r="S729" s="2" t="str">
        <f t="shared" si="23"/>
        <v>West - Retired</v>
      </c>
    </row>
    <row r="730" spans="1:19" x14ac:dyDescent="0.3">
      <c r="A730" t="s">
        <v>1483</v>
      </c>
      <c r="B730" t="s">
        <v>1484</v>
      </c>
      <c r="C730">
        <v>49</v>
      </c>
      <c r="D730" s="2" t="s">
        <v>21</v>
      </c>
      <c r="E730" s="2" t="s">
        <v>14</v>
      </c>
      <c r="F730" s="2" t="s">
        <v>15</v>
      </c>
      <c r="G730" s="2" t="s">
        <v>24</v>
      </c>
      <c r="H730" s="2" t="s">
        <v>18</v>
      </c>
      <c r="I730" s="2" t="s">
        <v>18</v>
      </c>
      <c r="J730">
        <v>0.72</v>
      </c>
      <c r="K730" s="1">
        <v>44474</v>
      </c>
      <c r="L730" s="2" t="str">
        <f>IF(Sheet1[[#This Row],[age]]&lt;18, "Under 18",IF(Sheet1[[#This Row],[age]]&lt;=30,"18-30",IF(Sheet1[[#This Row],[age]]&lt;=45,"31-45",IF(Sheet1[[#This Row],[age]]&lt;=60,"46-60","60+"))))</f>
        <v>46-60</v>
      </c>
      <c r="M730" s="2" t="str">
        <f>IF(Sheet1[[#This Row],[risk_score]]&lt;0.3,"Low",IF(Sheet1[[#This Row],[risk_score]]&lt;0.7,"Medium","High"))</f>
        <v>High</v>
      </c>
      <c r="N730">
        <f>YEAR(Sheet1[[#This Row],[date_joined]])</f>
        <v>2021</v>
      </c>
      <c r="O730" s="2" t="str">
        <f>TEXT(Sheet1[[#This Row],[date_joined]],"mmm")</f>
        <v>Oct</v>
      </c>
      <c r="P730" s="2" t="str">
        <f>"Q"&amp;ROUNDUP(MONTH(Sheet1[[#This Row],[date_joined]])/3,0)</f>
        <v>Q4</v>
      </c>
      <c r="Q730" s="2" t="str">
        <f>IF(Sheet1[[#This Row],[age]]&lt;30,"Young",IF(Sheet1[[#This Row],[age]]&lt;=50,"Adult","Senior"))</f>
        <v>Adult</v>
      </c>
      <c r="R730" s="2" t="str">
        <f t="shared" si="22"/>
        <v>Very High</v>
      </c>
      <c r="S730" s="2" t="str">
        <f t="shared" si="23"/>
        <v>East - Student</v>
      </c>
    </row>
    <row r="731" spans="1:19" x14ac:dyDescent="0.3">
      <c r="A731" t="s">
        <v>1485</v>
      </c>
      <c r="B731" t="s">
        <v>1486</v>
      </c>
      <c r="C731">
        <v>18</v>
      </c>
      <c r="D731" s="2" t="s">
        <v>13</v>
      </c>
      <c r="E731" s="2" t="s">
        <v>30</v>
      </c>
      <c r="F731" s="2" t="s">
        <v>15</v>
      </c>
      <c r="G731" s="2" t="s">
        <v>81</v>
      </c>
      <c r="H731" s="2" t="s">
        <v>18</v>
      </c>
      <c r="I731" s="2" t="s">
        <v>18</v>
      </c>
      <c r="J731">
        <v>0.73</v>
      </c>
      <c r="K731" s="1">
        <v>43200</v>
      </c>
      <c r="L731" s="2" t="str">
        <f>IF(Sheet1[[#This Row],[age]]&lt;18, "Under 18",IF(Sheet1[[#This Row],[age]]&lt;=30,"18-30",IF(Sheet1[[#This Row],[age]]&lt;=45,"31-45",IF(Sheet1[[#This Row],[age]]&lt;=60,"46-60","60+"))))</f>
        <v>18-30</v>
      </c>
      <c r="M731" s="2" t="str">
        <f>IF(Sheet1[[#This Row],[risk_score]]&lt;0.3,"Low",IF(Sheet1[[#This Row],[risk_score]]&lt;0.7,"Medium","High"))</f>
        <v>High</v>
      </c>
      <c r="N731">
        <f>YEAR(Sheet1[[#This Row],[date_joined]])</f>
        <v>2018</v>
      </c>
      <c r="O731" s="2" t="str">
        <f>TEXT(Sheet1[[#This Row],[date_joined]],"mmm")</f>
        <v>Apr</v>
      </c>
      <c r="P731" s="2" t="str">
        <f>"Q"&amp;ROUNDUP(MONTH(Sheet1[[#This Row],[date_joined]])/3,0)</f>
        <v>Q2</v>
      </c>
      <c r="Q731" s="2" t="str">
        <f>IF(Sheet1[[#This Row],[age]]&lt;30,"Young",IF(Sheet1[[#This Row],[age]]&lt;=50,"Adult","Senior"))</f>
        <v>Young</v>
      </c>
      <c r="R731" s="2" t="str">
        <f t="shared" si="22"/>
        <v>Very High</v>
      </c>
      <c r="S731" s="2" t="str">
        <f t="shared" si="23"/>
        <v>Central - Student</v>
      </c>
    </row>
    <row r="732" spans="1:19" x14ac:dyDescent="0.3">
      <c r="A732" t="s">
        <v>1487</v>
      </c>
      <c r="B732" t="s">
        <v>1488</v>
      </c>
      <c r="C732">
        <v>29</v>
      </c>
      <c r="D732" s="2" t="s">
        <v>13</v>
      </c>
      <c r="E732" s="2" t="s">
        <v>30</v>
      </c>
      <c r="F732" s="2" t="s">
        <v>37</v>
      </c>
      <c r="G732" s="2" t="s">
        <v>27</v>
      </c>
      <c r="H732" s="2" t="s">
        <v>18</v>
      </c>
      <c r="I732" s="2" t="s">
        <v>17</v>
      </c>
      <c r="J732">
        <v>0.56000000000000005</v>
      </c>
      <c r="K732" s="1">
        <v>44178</v>
      </c>
      <c r="L732" s="2" t="str">
        <f>IF(Sheet1[[#This Row],[age]]&lt;18, "Under 18",IF(Sheet1[[#This Row],[age]]&lt;=30,"18-30",IF(Sheet1[[#This Row],[age]]&lt;=45,"31-45",IF(Sheet1[[#This Row],[age]]&lt;=60,"46-60","60+"))))</f>
        <v>18-30</v>
      </c>
      <c r="M732" s="2" t="str">
        <f>IF(Sheet1[[#This Row],[risk_score]]&lt;0.3,"Low",IF(Sheet1[[#This Row],[risk_score]]&lt;0.7,"Medium","High"))</f>
        <v>Medium</v>
      </c>
      <c r="N732">
        <f>YEAR(Sheet1[[#This Row],[date_joined]])</f>
        <v>2020</v>
      </c>
      <c r="O732" s="2" t="str">
        <f>TEXT(Sheet1[[#This Row],[date_joined]],"mmm")</f>
        <v>Dec</v>
      </c>
      <c r="P732" s="2" t="str">
        <f>"Q"&amp;ROUNDUP(MONTH(Sheet1[[#This Row],[date_joined]])/3,0)</f>
        <v>Q4</v>
      </c>
      <c r="Q732" s="2" t="str">
        <f>IF(Sheet1[[#This Row],[age]]&lt;30,"Young",IF(Sheet1[[#This Row],[age]]&lt;=50,"Adult","Senior"))</f>
        <v>Young</v>
      </c>
      <c r="R732" s="2" t="str">
        <f t="shared" si="22"/>
        <v>High</v>
      </c>
      <c r="S732" s="2" t="str">
        <f t="shared" si="23"/>
        <v>North - Retired</v>
      </c>
    </row>
    <row r="733" spans="1:19" x14ac:dyDescent="0.3">
      <c r="A733" t="s">
        <v>1489</v>
      </c>
      <c r="B733" t="s">
        <v>1490</v>
      </c>
      <c r="C733">
        <v>35</v>
      </c>
      <c r="D733" s="2" t="s">
        <v>21</v>
      </c>
      <c r="E733" s="2" t="s">
        <v>30</v>
      </c>
      <c r="F733" s="2" t="s">
        <v>15</v>
      </c>
      <c r="G733" s="2" t="s">
        <v>24</v>
      </c>
      <c r="H733" s="2" t="s">
        <v>17</v>
      </c>
      <c r="I733" s="2" t="s">
        <v>18</v>
      </c>
      <c r="J733">
        <v>0.36</v>
      </c>
      <c r="K733" s="1">
        <v>44932</v>
      </c>
      <c r="L733" s="2" t="str">
        <f>IF(Sheet1[[#This Row],[age]]&lt;18, "Under 18",IF(Sheet1[[#This Row],[age]]&lt;=30,"18-30",IF(Sheet1[[#This Row],[age]]&lt;=45,"31-45",IF(Sheet1[[#This Row],[age]]&lt;=60,"46-60","60+"))))</f>
        <v>31-45</v>
      </c>
      <c r="M733" s="2" t="str">
        <f>IF(Sheet1[[#This Row],[risk_score]]&lt;0.3,"Low",IF(Sheet1[[#This Row],[risk_score]]&lt;0.7,"Medium","High"))</f>
        <v>Medium</v>
      </c>
      <c r="N733">
        <f>YEAR(Sheet1[[#This Row],[date_joined]])</f>
        <v>2023</v>
      </c>
      <c r="O733" s="2" t="str">
        <f>TEXT(Sheet1[[#This Row],[date_joined]],"mmm")</f>
        <v>Jan</v>
      </c>
      <c r="P733" s="2" t="str">
        <f>"Q"&amp;ROUNDUP(MONTH(Sheet1[[#This Row],[date_joined]])/3,0)</f>
        <v>Q1</v>
      </c>
      <c r="Q733" s="2" t="str">
        <f>IF(Sheet1[[#This Row],[age]]&lt;30,"Young",IF(Sheet1[[#This Row],[age]]&lt;=50,"Adult","Senior"))</f>
        <v>Adult</v>
      </c>
      <c r="R733" s="2" t="str">
        <f t="shared" si="22"/>
        <v>High</v>
      </c>
      <c r="S733" s="2" t="str">
        <f t="shared" si="23"/>
        <v>East - Student</v>
      </c>
    </row>
    <row r="734" spans="1:19" x14ac:dyDescent="0.3">
      <c r="A734" t="s">
        <v>1491</v>
      </c>
      <c r="B734" t="s">
        <v>1492</v>
      </c>
      <c r="C734">
        <v>59</v>
      </c>
      <c r="D734" s="2" t="s">
        <v>21</v>
      </c>
      <c r="E734" s="2" t="s">
        <v>30</v>
      </c>
      <c r="F734" s="2" t="s">
        <v>31</v>
      </c>
      <c r="G734" s="2" t="s">
        <v>27</v>
      </c>
      <c r="H734" s="2" t="s">
        <v>17</v>
      </c>
      <c r="I734" s="2" t="s">
        <v>17</v>
      </c>
      <c r="J734">
        <v>0.44</v>
      </c>
      <c r="K734" s="1">
        <v>43328</v>
      </c>
      <c r="L734" s="2" t="str">
        <f>IF(Sheet1[[#This Row],[age]]&lt;18, "Under 18",IF(Sheet1[[#This Row],[age]]&lt;=30,"18-30",IF(Sheet1[[#This Row],[age]]&lt;=45,"31-45",IF(Sheet1[[#This Row],[age]]&lt;=60,"46-60","60+"))))</f>
        <v>46-60</v>
      </c>
      <c r="M734" s="2" t="str">
        <f>IF(Sheet1[[#This Row],[risk_score]]&lt;0.3,"Low",IF(Sheet1[[#This Row],[risk_score]]&lt;0.7,"Medium","High"))</f>
        <v>Medium</v>
      </c>
      <c r="N734">
        <f>YEAR(Sheet1[[#This Row],[date_joined]])</f>
        <v>2018</v>
      </c>
      <c r="O734" s="2" t="str">
        <f>TEXT(Sheet1[[#This Row],[date_joined]],"mmm")</f>
        <v>Aug</v>
      </c>
      <c r="P734" s="2" t="str">
        <f>"Q"&amp;ROUNDUP(MONTH(Sheet1[[#This Row],[date_joined]])/3,0)</f>
        <v>Q3</v>
      </c>
      <c r="Q734" s="2" t="str">
        <f>IF(Sheet1[[#This Row],[age]]&lt;30,"Young",IF(Sheet1[[#This Row],[age]]&lt;=50,"Adult","Senior"))</f>
        <v>Senior</v>
      </c>
      <c r="R734" s="2" t="str">
        <f t="shared" si="22"/>
        <v>Low</v>
      </c>
      <c r="S734" s="2" t="str">
        <f t="shared" si="23"/>
        <v>North - Self-employed</v>
      </c>
    </row>
    <row r="735" spans="1:19" x14ac:dyDescent="0.3">
      <c r="A735" t="s">
        <v>1493</v>
      </c>
      <c r="B735" t="s">
        <v>1494</v>
      </c>
      <c r="C735">
        <v>40</v>
      </c>
      <c r="D735" s="2" t="s">
        <v>21</v>
      </c>
      <c r="E735" s="2" t="s">
        <v>14</v>
      </c>
      <c r="F735" s="2" t="s">
        <v>37</v>
      </c>
      <c r="G735" s="2" t="s">
        <v>66</v>
      </c>
      <c r="H735" s="2" t="s">
        <v>17</v>
      </c>
      <c r="I735" s="2" t="s">
        <v>17</v>
      </c>
      <c r="J735">
        <v>0.56000000000000005</v>
      </c>
      <c r="K735" s="1">
        <v>45084</v>
      </c>
      <c r="L735" s="2" t="str">
        <f>IF(Sheet1[[#This Row],[age]]&lt;18, "Under 18",IF(Sheet1[[#This Row],[age]]&lt;=30,"18-30",IF(Sheet1[[#This Row],[age]]&lt;=45,"31-45",IF(Sheet1[[#This Row],[age]]&lt;=60,"46-60","60+"))))</f>
        <v>31-45</v>
      </c>
      <c r="M735" s="2" t="str">
        <f>IF(Sheet1[[#This Row],[risk_score]]&lt;0.3,"Low",IF(Sheet1[[#This Row],[risk_score]]&lt;0.7,"Medium","High"))</f>
        <v>Medium</v>
      </c>
      <c r="N735">
        <f>YEAR(Sheet1[[#This Row],[date_joined]])</f>
        <v>2023</v>
      </c>
      <c r="O735" s="2" t="str">
        <f>TEXT(Sheet1[[#This Row],[date_joined]],"mmm")</f>
        <v>Jun</v>
      </c>
      <c r="P735" s="2" t="str">
        <f>"Q"&amp;ROUNDUP(MONTH(Sheet1[[#This Row],[date_joined]])/3,0)</f>
        <v>Q2</v>
      </c>
      <c r="Q735" s="2" t="str">
        <f>IF(Sheet1[[#This Row],[age]]&lt;30,"Young",IF(Sheet1[[#This Row],[age]]&lt;=50,"Adult","Senior"))</f>
        <v>Adult</v>
      </c>
      <c r="R735" s="2" t="str">
        <f t="shared" si="22"/>
        <v>Low</v>
      </c>
      <c r="S735" s="2" t="str">
        <f t="shared" si="23"/>
        <v>North-East - Retired</v>
      </c>
    </row>
    <row r="736" spans="1:19" x14ac:dyDescent="0.3">
      <c r="A736" t="s">
        <v>1495</v>
      </c>
      <c r="B736" t="s">
        <v>1496</v>
      </c>
      <c r="C736">
        <v>60</v>
      </c>
      <c r="D736" s="2" t="s">
        <v>21</v>
      </c>
      <c r="E736" s="2" t="s">
        <v>22</v>
      </c>
      <c r="F736" s="2" t="s">
        <v>31</v>
      </c>
      <c r="G736" s="2" t="s">
        <v>27</v>
      </c>
      <c r="H736" s="2" t="s">
        <v>18</v>
      </c>
      <c r="I736" s="2" t="s">
        <v>18</v>
      </c>
      <c r="J736">
        <v>0.69</v>
      </c>
      <c r="K736" s="1">
        <v>44018</v>
      </c>
      <c r="L736" s="2" t="str">
        <f>IF(Sheet1[[#This Row],[age]]&lt;18, "Under 18",IF(Sheet1[[#This Row],[age]]&lt;=30,"18-30",IF(Sheet1[[#This Row],[age]]&lt;=45,"31-45",IF(Sheet1[[#This Row],[age]]&lt;=60,"46-60","60+"))))</f>
        <v>46-60</v>
      </c>
      <c r="M736" s="2" t="str">
        <f>IF(Sheet1[[#This Row],[risk_score]]&lt;0.3,"Low",IF(Sheet1[[#This Row],[risk_score]]&lt;0.7,"Medium","High"))</f>
        <v>Medium</v>
      </c>
      <c r="N736">
        <f>YEAR(Sheet1[[#This Row],[date_joined]])</f>
        <v>2020</v>
      </c>
      <c r="O736" s="2" t="str">
        <f>TEXT(Sheet1[[#This Row],[date_joined]],"mmm")</f>
        <v>Jul</v>
      </c>
      <c r="P736" s="2" t="str">
        <f>"Q"&amp;ROUNDUP(MONTH(Sheet1[[#This Row],[date_joined]])/3,0)</f>
        <v>Q3</v>
      </c>
      <c r="Q736" s="2" t="str">
        <f>IF(Sheet1[[#This Row],[age]]&lt;30,"Young",IF(Sheet1[[#This Row],[age]]&lt;=50,"Adult","Senior"))</f>
        <v>Senior</v>
      </c>
      <c r="R736" s="2" t="str">
        <f t="shared" si="22"/>
        <v>Very High</v>
      </c>
      <c r="S736" s="2" t="str">
        <f t="shared" si="23"/>
        <v>North - Self-employed</v>
      </c>
    </row>
    <row r="737" spans="1:19" x14ac:dyDescent="0.3">
      <c r="A737" t="s">
        <v>1497</v>
      </c>
      <c r="B737" t="s">
        <v>1498</v>
      </c>
      <c r="C737">
        <v>66</v>
      </c>
      <c r="D737" s="2" t="s">
        <v>21</v>
      </c>
      <c r="E737" s="2" t="s">
        <v>22</v>
      </c>
      <c r="F737" s="2" t="s">
        <v>15</v>
      </c>
      <c r="G737" s="2" t="s">
        <v>27</v>
      </c>
      <c r="H737" s="2" t="s">
        <v>18</v>
      </c>
      <c r="I737" s="2" t="s">
        <v>17</v>
      </c>
      <c r="J737">
        <v>0</v>
      </c>
      <c r="K737" s="1">
        <v>44214</v>
      </c>
      <c r="L737" s="2" t="str">
        <f>IF(Sheet1[[#This Row],[age]]&lt;18, "Under 18",IF(Sheet1[[#This Row],[age]]&lt;=30,"18-30",IF(Sheet1[[#This Row],[age]]&lt;=45,"31-45",IF(Sheet1[[#This Row],[age]]&lt;=60,"46-60","60+"))))</f>
        <v>60+</v>
      </c>
      <c r="M737" s="2" t="str">
        <f>IF(Sheet1[[#This Row],[risk_score]]&lt;0.3,"Low",IF(Sheet1[[#This Row],[risk_score]]&lt;0.7,"Medium","High"))</f>
        <v>Low</v>
      </c>
      <c r="N737">
        <f>YEAR(Sheet1[[#This Row],[date_joined]])</f>
        <v>2021</v>
      </c>
      <c r="O737" s="2" t="str">
        <f>TEXT(Sheet1[[#This Row],[date_joined]],"mmm")</f>
        <v>Jan</v>
      </c>
      <c r="P737" s="2" t="str">
        <f>"Q"&amp;ROUNDUP(MONTH(Sheet1[[#This Row],[date_joined]])/3,0)</f>
        <v>Q1</v>
      </c>
      <c r="Q737" s="2" t="str">
        <f>IF(Sheet1[[#This Row],[age]]&lt;30,"Young",IF(Sheet1[[#This Row],[age]]&lt;=50,"Adult","Senior"))</f>
        <v>Senior</v>
      </c>
      <c r="R737" s="2" t="str">
        <f t="shared" si="22"/>
        <v>High</v>
      </c>
      <c r="S737" s="2" t="str">
        <f t="shared" si="23"/>
        <v>North - Student</v>
      </c>
    </row>
    <row r="738" spans="1:19" x14ac:dyDescent="0.3">
      <c r="A738" t="s">
        <v>1499</v>
      </c>
      <c r="B738" t="s">
        <v>1500</v>
      </c>
      <c r="C738">
        <v>55</v>
      </c>
      <c r="D738" s="2" t="s">
        <v>21</v>
      </c>
      <c r="E738" s="2" t="s">
        <v>30</v>
      </c>
      <c r="F738" s="2" t="s">
        <v>37</v>
      </c>
      <c r="G738" s="2" t="s">
        <v>81</v>
      </c>
      <c r="H738" s="2" t="s">
        <v>17</v>
      </c>
      <c r="I738" s="2" t="s">
        <v>18</v>
      </c>
      <c r="J738">
        <v>0.3</v>
      </c>
      <c r="K738" s="1">
        <v>43301</v>
      </c>
      <c r="L738" s="2" t="str">
        <f>IF(Sheet1[[#This Row],[age]]&lt;18, "Under 18",IF(Sheet1[[#This Row],[age]]&lt;=30,"18-30",IF(Sheet1[[#This Row],[age]]&lt;=45,"31-45",IF(Sheet1[[#This Row],[age]]&lt;=60,"46-60","60+"))))</f>
        <v>46-60</v>
      </c>
      <c r="M738" s="2" t="str">
        <f>IF(Sheet1[[#This Row],[risk_score]]&lt;0.3,"Low",IF(Sheet1[[#This Row],[risk_score]]&lt;0.7,"Medium","High"))</f>
        <v>Medium</v>
      </c>
      <c r="N738">
        <f>YEAR(Sheet1[[#This Row],[date_joined]])</f>
        <v>2018</v>
      </c>
      <c r="O738" s="2" t="str">
        <f>TEXT(Sheet1[[#This Row],[date_joined]],"mmm")</f>
        <v>Jul</v>
      </c>
      <c r="P738" s="2" t="str">
        <f>"Q"&amp;ROUNDUP(MONTH(Sheet1[[#This Row],[date_joined]])/3,0)</f>
        <v>Q3</v>
      </c>
      <c r="Q738" s="2" t="str">
        <f>IF(Sheet1[[#This Row],[age]]&lt;30,"Young",IF(Sheet1[[#This Row],[age]]&lt;=50,"Adult","Senior"))</f>
        <v>Senior</v>
      </c>
      <c r="R738" s="2" t="str">
        <f t="shared" si="22"/>
        <v>High</v>
      </c>
      <c r="S738" s="2" t="str">
        <f t="shared" si="23"/>
        <v>Central - Retired</v>
      </c>
    </row>
    <row r="739" spans="1:19" x14ac:dyDescent="0.3">
      <c r="A739" t="s">
        <v>1501</v>
      </c>
      <c r="B739" t="s">
        <v>1502</v>
      </c>
      <c r="C739">
        <v>53</v>
      </c>
      <c r="D739" s="2" t="s">
        <v>13</v>
      </c>
      <c r="E739" s="2" t="s">
        <v>14</v>
      </c>
      <c r="F739" s="2" t="s">
        <v>37</v>
      </c>
      <c r="G739" s="2" t="s">
        <v>27</v>
      </c>
      <c r="H739" s="2" t="s">
        <v>18</v>
      </c>
      <c r="I739" s="2" t="s">
        <v>17</v>
      </c>
      <c r="J739">
        <v>0.25</v>
      </c>
      <c r="K739" s="1">
        <v>44789</v>
      </c>
      <c r="L739" s="2" t="str">
        <f>IF(Sheet1[[#This Row],[age]]&lt;18, "Under 18",IF(Sheet1[[#This Row],[age]]&lt;=30,"18-30",IF(Sheet1[[#This Row],[age]]&lt;=45,"31-45",IF(Sheet1[[#This Row],[age]]&lt;=60,"46-60","60+"))))</f>
        <v>46-60</v>
      </c>
      <c r="M739" s="2" t="str">
        <f>IF(Sheet1[[#This Row],[risk_score]]&lt;0.3,"Low",IF(Sheet1[[#This Row],[risk_score]]&lt;0.7,"Medium","High"))</f>
        <v>Low</v>
      </c>
      <c r="N739">
        <f>YEAR(Sheet1[[#This Row],[date_joined]])</f>
        <v>2022</v>
      </c>
      <c r="O739" s="2" t="str">
        <f>TEXT(Sheet1[[#This Row],[date_joined]],"mmm")</f>
        <v>Aug</v>
      </c>
      <c r="P739" s="2" t="str">
        <f>"Q"&amp;ROUNDUP(MONTH(Sheet1[[#This Row],[date_joined]])/3,0)</f>
        <v>Q3</v>
      </c>
      <c r="Q739" s="2" t="str">
        <f>IF(Sheet1[[#This Row],[age]]&lt;30,"Young",IF(Sheet1[[#This Row],[age]]&lt;=50,"Adult","Senior"))</f>
        <v>Senior</v>
      </c>
      <c r="R739" s="2" t="str">
        <f t="shared" si="22"/>
        <v>High</v>
      </c>
      <c r="S739" s="2" t="str">
        <f t="shared" si="23"/>
        <v>North - Retired</v>
      </c>
    </row>
    <row r="740" spans="1:19" x14ac:dyDescent="0.3">
      <c r="A740" t="s">
        <v>1503</v>
      </c>
      <c r="B740" t="s">
        <v>1504</v>
      </c>
      <c r="C740">
        <v>65</v>
      </c>
      <c r="D740" s="2" t="s">
        <v>21</v>
      </c>
      <c r="E740" s="2" t="s">
        <v>30</v>
      </c>
      <c r="F740" s="2" t="s">
        <v>37</v>
      </c>
      <c r="G740" s="2" t="s">
        <v>81</v>
      </c>
      <c r="H740" s="2" t="s">
        <v>17</v>
      </c>
      <c r="I740" s="2" t="s">
        <v>17</v>
      </c>
      <c r="J740">
        <v>0.25</v>
      </c>
      <c r="K740" s="1">
        <v>45265</v>
      </c>
      <c r="L740" s="2" t="str">
        <f>IF(Sheet1[[#This Row],[age]]&lt;18, "Under 18",IF(Sheet1[[#This Row],[age]]&lt;=30,"18-30",IF(Sheet1[[#This Row],[age]]&lt;=45,"31-45",IF(Sheet1[[#This Row],[age]]&lt;=60,"46-60","60+"))))</f>
        <v>60+</v>
      </c>
      <c r="M740" s="2" t="str">
        <f>IF(Sheet1[[#This Row],[risk_score]]&lt;0.3,"Low",IF(Sheet1[[#This Row],[risk_score]]&lt;0.7,"Medium","High"))</f>
        <v>Low</v>
      </c>
      <c r="N740">
        <f>YEAR(Sheet1[[#This Row],[date_joined]])</f>
        <v>2023</v>
      </c>
      <c r="O740" s="2" t="str">
        <f>TEXT(Sheet1[[#This Row],[date_joined]],"mmm")</f>
        <v>Dec</v>
      </c>
      <c r="P740" s="2" t="str">
        <f>"Q"&amp;ROUNDUP(MONTH(Sheet1[[#This Row],[date_joined]])/3,0)</f>
        <v>Q4</v>
      </c>
      <c r="Q740" s="2" t="str">
        <f>IF(Sheet1[[#This Row],[age]]&lt;30,"Young",IF(Sheet1[[#This Row],[age]]&lt;=50,"Adult","Senior"))</f>
        <v>Senior</v>
      </c>
      <c r="R740" s="2" t="str">
        <f t="shared" si="22"/>
        <v>Low</v>
      </c>
      <c r="S740" s="2" t="str">
        <f t="shared" si="23"/>
        <v>Central - Retired</v>
      </c>
    </row>
    <row r="741" spans="1:19" x14ac:dyDescent="0.3">
      <c r="A741" t="s">
        <v>1505</v>
      </c>
      <c r="B741" t="s">
        <v>1506</v>
      </c>
      <c r="C741">
        <v>62</v>
      </c>
      <c r="D741" s="2" t="s">
        <v>13</v>
      </c>
      <c r="E741" s="2" t="s">
        <v>30</v>
      </c>
      <c r="F741" s="2" t="s">
        <v>15</v>
      </c>
      <c r="G741" s="2" t="s">
        <v>24</v>
      </c>
      <c r="H741" s="2" t="s">
        <v>18</v>
      </c>
      <c r="I741" s="2" t="s">
        <v>17</v>
      </c>
      <c r="J741">
        <v>0.7</v>
      </c>
      <c r="K741" s="1">
        <v>44765</v>
      </c>
      <c r="L741" s="2" t="str">
        <f>IF(Sheet1[[#This Row],[age]]&lt;18, "Under 18",IF(Sheet1[[#This Row],[age]]&lt;=30,"18-30",IF(Sheet1[[#This Row],[age]]&lt;=45,"31-45",IF(Sheet1[[#This Row],[age]]&lt;=60,"46-60","60+"))))</f>
        <v>60+</v>
      </c>
      <c r="M741" s="2" t="str">
        <f>IF(Sheet1[[#This Row],[risk_score]]&lt;0.3,"Low",IF(Sheet1[[#This Row],[risk_score]]&lt;0.7,"Medium","High"))</f>
        <v>High</v>
      </c>
      <c r="N741">
        <f>YEAR(Sheet1[[#This Row],[date_joined]])</f>
        <v>2022</v>
      </c>
      <c r="O741" s="2" t="str">
        <f>TEXT(Sheet1[[#This Row],[date_joined]],"mmm")</f>
        <v>Jul</v>
      </c>
      <c r="P741" s="2" t="str">
        <f>"Q"&amp;ROUNDUP(MONTH(Sheet1[[#This Row],[date_joined]])/3,0)</f>
        <v>Q3</v>
      </c>
      <c r="Q741" s="2" t="str">
        <f>IF(Sheet1[[#This Row],[age]]&lt;30,"Young",IF(Sheet1[[#This Row],[age]]&lt;=50,"Adult","Senior"))</f>
        <v>Senior</v>
      </c>
      <c r="R741" s="2" t="str">
        <f t="shared" si="22"/>
        <v>High</v>
      </c>
      <c r="S741" s="2" t="str">
        <f t="shared" si="23"/>
        <v>East - Student</v>
      </c>
    </row>
    <row r="742" spans="1:19" x14ac:dyDescent="0.3">
      <c r="A742" t="s">
        <v>1507</v>
      </c>
      <c r="B742" t="s">
        <v>1508</v>
      </c>
      <c r="C742">
        <v>19</v>
      </c>
      <c r="D742" s="2" t="s">
        <v>13</v>
      </c>
      <c r="E742" s="2" t="s">
        <v>30</v>
      </c>
      <c r="F742" s="2" t="s">
        <v>31</v>
      </c>
      <c r="G742" s="2" t="s">
        <v>24</v>
      </c>
      <c r="H742" s="2" t="s">
        <v>17</v>
      </c>
      <c r="I742" s="2" t="s">
        <v>17</v>
      </c>
      <c r="J742">
        <v>0.33</v>
      </c>
      <c r="K742" s="1">
        <v>43652</v>
      </c>
      <c r="L742" s="2" t="str">
        <f>IF(Sheet1[[#This Row],[age]]&lt;18, "Under 18",IF(Sheet1[[#This Row],[age]]&lt;=30,"18-30",IF(Sheet1[[#This Row],[age]]&lt;=45,"31-45",IF(Sheet1[[#This Row],[age]]&lt;=60,"46-60","60+"))))</f>
        <v>18-30</v>
      </c>
      <c r="M742" s="2" t="str">
        <f>IF(Sheet1[[#This Row],[risk_score]]&lt;0.3,"Low",IF(Sheet1[[#This Row],[risk_score]]&lt;0.7,"Medium","High"))</f>
        <v>Medium</v>
      </c>
      <c r="N742">
        <f>YEAR(Sheet1[[#This Row],[date_joined]])</f>
        <v>2019</v>
      </c>
      <c r="O742" s="2" t="str">
        <f>TEXT(Sheet1[[#This Row],[date_joined]],"mmm")</f>
        <v>Jul</v>
      </c>
      <c r="P742" s="2" t="str">
        <f>"Q"&amp;ROUNDUP(MONTH(Sheet1[[#This Row],[date_joined]])/3,0)</f>
        <v>Q3</v>
      </c>
      <c r="Q742" s="2" t="str">
        <f>IF(Sheet1[[#This Row],[age]]&lt;30,"Young",IF(Sheet1[[#This Row],[age]]&lt;=50,"Adult","Senior"))</f>
        <v>Young</v>
      </c>
      <c r="R742" s="2" t="str">
        <f t="shared" si="22"/>
        <v>Low</v>
      </c>
      <c r="S742" s="2" t="str">
        <f t="shared" si="23"/>
        <v>East - Self-employed</v>
      </c>
    </row>
    <row r="743" spans="1:19" x14ac:dyDescent="0.3">
      <c r="A743" t="s">
        <v>1509</v>
      </c>
      <c r="B743" t="s">
        <v>1510</v>
      </c>
      <c r="C743">
        <v>55</v>
      </c>
      <c r="D743" s="2" t="s">
        <v>13</v>
      </c>
      <c r="E743" s="2" t="s">
        <v>22</v>
      </c>
      <c r="F743" s="2" t="s">
        <v>15</v>
      </c>
      <c r="G743" s="2" t="s">
        <v>81</v>
      </c>
      <c r="H743" s="2" t="s">
        <v>17</v>
      </c>
      <c r="I743" s="2" t="s">
        <v>18</v>
      </c>
      <c r="J743">
        <v>0.72</v>
      </c>
      <c r="K743" s="1">
        <v>43466</v>
      </c>
      <c r="L743" s="2" t="str">
        <f>IF(Sheet1[[#This Row],[age]]&lt;18, "Under 18",IF(Sheet1[[#This Row],[age]]&lt;=30,"18-30",IF(Sheet1[[#This Row],[age]]&lt;=45,"31-45",IF(Sheet1[[#This Row],[age]]&lt;=60,"46-60","60+"))))</f>
        <v>46-60</v>
      </c>
      <c r="M743" s="2" t="str">
        <f>IF(Sheet1[[#This Row],[risk_score]]&lt;0.3,"Low",IF(Sheet1[[#This Row],[risk_score]]&lt;0.7,"Medium","High"))</f>
        <v>High</v>
      </c>
      <c r="N743">
        <f>YEAR(Sheet1[[#This Row],[date_joined]])</f>
        <v>2019</v>
      </c>
      <c r="O743" s="2" t="str">
        <f>TEXT(Sheet1[[#This Row],[date_joined]],"mmm")</f>
        <v>Jan</v>
      </c>
      <c r="P743" s="2" t="str">
        <f>"Q"&amp;ROUNDUP(MONTH(Sheet1[[#This Row],[date_joined]])/3,0)</f>
        <v>Q1</v>
      </c>
      <c r="Q743" s="2" t="str">
        <f>IF(Sheet1[[#This Row],[age]]&lt;30,"Young",IF(Sheet1[[#This Row],[age]]&lt;=50,"Adult","Senior"))</f>
        <v>Senior</v>
      </c>
      <c r="R743" s="2" t="str">
        <f t="shared" si="22"/>
        <v>High</v>
      </c>
      <c r="S743" s="2" t="str">
        <f t="shared" si="23"/>
        <v>Central - Student</v>
      </c>
    </row>
    <row r="744" spans="1:19" x14ac:dyDescent="0.3">
      <c r="A744" t="s">
        <v>1511</v>
      </c>
      <c r="B744" t="s">
        <v>1512</v>
      </c>
      <c r="C744">
        <v>42</v>
      </c>
      <c r="D744" s="2" t="s">
        <v>13</v>
      </c>
      <c r="E744" s="2" t="s">
        <v>14</v>
      </c>
      <c r="F744" s="2" t="s">
        <v>23</v>
      </c>
      <c r="G744" s="2" t="s">
        <v>16</v>
      </c>
      <c r="H744" s="2" t="s">
        <v>17</v>
      </c>
      <c r="I744" s="2" t="s">
        <v>18</v>
      </c>
      <c r="J744">
        <v>0.48</v>
      </c>
      <c r="K744" s="1">
        <v>44628</v>
      </c>
      <c r="L744" s="2" t="str">
        <f>IF(Sheet1[[#This Row],[age]]&lt;18, "Under 18",IF(Sheet1[[#This Row],[age]]&lt;=30,"18-30",IF(Sheet1[[#This Row],[age]]&lt;=45,"31-45",IF(Sheet1[[#This Row],[age]]&lt;=60,"46-60","60+"))))</f>
        <v>31-45</v>
      </c>
      <c r="M744" s="2" t="str">
        <f>IF(Sheet1[[#This Row],[risk_score]]&lt;0.3,"Low",IF(Sheet1[[#This Row],[risk_score]]&lt;0.7,"Medium","High"))</f>
        <v>Medium</v>
      </c>
      <c r="N744">
        <f>YEAR(Sheet1[[#This Row],[date_joined]])</f>
        <v>2022</v>
      </c>
      <c r="O744" s="2" t="str">
        <f>TEXT(Sheet1[[#This Row],[date_joined]],"mmm")</f>
        <v>Mar</v>
      </c>
      <c r="P744" s="2" t="str">
        <f>"Q"&amp;ROUNDUP(MONTH(Sheet1[[#This Row],[date_joined]])/3,0)</f>
        <v>Q1</v>
      </c>
      <c r="Q744" s="2" t="str">
        <f>IF(Sheet1[[#This Row],[age]]&lt;30,"Young",IF(Sheet1[[#This Row],[age]]&lt;=50,"Adult","Senior"))</f>
        <v>Adult</v>
      </c>
      <c r="R744" s="2" t="str">
        <f t="shared" si="22"/>
        <v>High</v>
      </c>
      <c r="S744" s="2" t="str">
        <f t="shared" si="23"/>
        <v>West - Salaried</v>
      </c>
    </row>
    <row r="745" spans="1:19" x14ac:dyDescent="0.3">
      <c r="A745" t="s">
        <v>1513</v>
      </c>
      <c r="B745" t="s">
        <v>1514</v>
      </c>
      <c r="C745">
        <v>39</v>
      </c>
      <c r="D745" s="2" t="s">
        <v>13</v>
      </c>
      <c r="E745" s="2" t="s">
        <v>14</v>
      </c>
      <c r="F745" s="2" t="s">
        <v>37</v>
      </c>
      <c r="G745" s="2" t="s">
        <v>27</v>
      </c>
      <c r="H745" s="2" t="s">
        <v>17</v>
      </c>
      <c r="I745" s="2" t="s">
        <v>18</v>
      </c>
      <c r="J745">
        <v>0.41</v>
      </c>
      <c r="K745" s="1">
        <v>45137</v>
      </c>
      <c r="L745" s="2" t="str">
        <f>IF(Sheet1[[#This Row],[age]]&lt;18, "Under 18",IF(Sheet1[[#This Row],[age]]&lt;=30,"18-30",IF(Sheet1[[#This Row],[age]]&lt;=45,"31-45",IF(Sheet1[[#This Row],[age]]&lt;=60,"46-60","60+"))))</f>
        <v>31-45</v>
      </c>
      <c r="M745" s="2" t="str">
        <f>IF(Sheet1[[#This Row],[risk_score]]&lt;0.3,"Low",IF(Sheet1[[#This Row],[risk_score]]&lt;0.7,"Medium","High"))</f>
        <v>Medium</v>
      </c>
      <c r="N745">
        <f>YEAR(Sheet1[[#This Row],[date_joined]])</f>
        <v>2023</v>
      </c>
      <c r="O745" s="2" t="str">
        <f>TEXT(Sheet1[[#This Row],[date_joined]],"mmm")</f>
        <v>Jul</v>
      </c>
      <c r="P745" s="2" t="str">
        <f>"Q"&amp;ROUNDUP(MONTH(Sheet1[[#This Row],[date_joined]])/3,0)</f>
        <v>Q3</v>
      </c>
      <c r="Q745" s="2" t="str">
        <f>IF(Sheet1[[#This Row],[age]]&lt;30,"Young",IF(Sheet1[[#This Row],[age]]&lt;=50,"Adult","Senior"))</f>
        <v>Adult</v>
      </c>
      <c r="R745" s="2" t="str">
        <f t="shared" si="22"/>
        <v>High</v>
      </c>
      <c r="S745" s="2" t="str">
        <f t="shared" si="23"/>
        <v>North - Retired</v>
      </c>
    </row>
    <row r="746" spans="1:19" x14ac:dyDescent="0.3">
      <c r="A746" t="s">
        <v>1515</v>
      </c>
      <c r="B746" t="s">
        <v>1516</v>
      </c>
      <c r="C746">
        <v>42</v>
      </c>
      <c r="D746" s="2" t="s">
        <v>21</v>
      </c>
      <c r="E746" s="2" t="s">
        <v>14</v>
      </c>
      <c r="F746" s="2" t="s">
        <v>23</v>
      </c>
      <c r="G746" s="2" t="s">
        <v>66</v>
      </c>
      <c r="H746" s="2" t="s">
        <v>18</v>
      </c>
      <c r="I746" s="2" t="s">
        <v>18</v>
      </c>
      <c r="J746">
        <v>0.36</v>
      </c>
      <c r="K746" s="1">
        <v>43741</v>
      </c>
      <c r="L746" s="2" t="str">
        <f>IF(Sheet1[[#This Row],[age]]&lt;18, "Under 18",IF(Sheet1[[#This Row],[age]]&lt;=30,"18-30",IF(Sheet1[[#This Row],[age]]&lt;=45,"31-45",IF(Sheet1[[#This Row],[age]]&lt;=60,"46-60","60+"))))</f>
        <v>31-45</v>
      </c>
      <c r="M746" s="2" t="str">
        <f>IF(Sheet1[[#This Row],[risk_score]]&lt;0.3,"Low",IF(Sheet1[[#This Row],[risk_score]]&lt;0.7,"Medium","High"))</f>
        <v>Medium</v>
      </c>
      <c r="N746">
        <f>YEAR(Sheet1[[#This Row],[date_joined]])</f>
        <v>2019</v>
      </c>
      <c r="O746" s="2" t="str">
        <f>TEXT(Sheet1[[#This Row],[date_joined]],"mmm")</f>
        <v>Oct</v>
      </c>
      <c r="P746" s="2" t="str">
        <f>"Q"&amp;ROUNDUP(MONTH(Sheet1[[#This Row],[date_joined]])/3,0)</f>
        <v>Q4</v>
      </c>
      <c r="Q746" s="2" t="str">
        <f>IF(Sheet1[[#This Row],[age]]&lt;30,"Young",IF(Sheet1[[#This Row],[age]]&lt;=50,"Adult","Senior"))</f>
        <v>Adult</v>
      </c>
      <c r="R746" s="2" t="str">
        <f t="shared" si="22"/>
        <v>Very High</v>
      </c>
      <c r="S746" s="2" t="str">
        <f t="shared" si="23"/>
        <v>North-East - Salaried</v>
      </c>
    </row>
    <row r="747" spans="1:19" x14ac:dyDescent="0.3">
      <c r="A747" t="s">
        <v>1517</v>
      </c>
      <c r="B747" t="s">
        <v>1518</v>
      </c>
      <c r="C747">
        <v>69</v>
      </c>
      <c r="D747" s="2" t="s">
        <v>13</v>
      </c>
      <c r="E747" s="2" t="s">
        <v>14</v>
      </c>
      <c r="F747" s="2" t="s">
        <v>15</v>
      </c>
      <c r="G747" s="2" t="s">
        <v>16</v>
      </c>
      <c r="H747" s="2" t="s">
        <v>17</v>
      </c>
      <c r="I747" s="2" t="s">
        <v>18</v>
      </c>
      <c r="J747">
        <v>0</v>
      </c>
      <c r="K747" s="1">
        <v>43765</v>
      </c>
      <c r="L747" s="2" t="str">
        <f>IF(Sheet1[[#This Row],[age]]&lt;18, "Under 18",IF(Sheet1[[#This Row],[age]]&lt;=30,"18-30",IF(Sheet1[[#This Row],[age]]&lt;=45,"31-45",IF(Sheet1[[#This Row],[age]]&lt;=60,"46-60","60+"))))</f>
        <v>60+</v>
      </c>
      <c r="M747" s="2" t="str">
        <f>IF(Sheet1[[#This Row],[risk_score]]&lt;0.3,"Low",IF(Sheet1[[#This Row],[risk_score]]&lt;0.7,"Medium","High"))</f>
        <v>Low</v>
      </c>
      <c r="N747">
        <f>YEAR(Sheet1[[#This Row],[date_joined]])</f>
        <v>2019</v>
      </c>
      <c r="O747" s="2" t="str">
        <f>TEXT(Sheet1[[#This Row],[date_joined]],"mmm")</f>
        <v>Oct</v>
      </c>
      <c r="P747" s="2" t="str">
        <f>"Q"&amp;ROUNDUP(MONTH(Sheet1[[#This Row],[date_joined]])/3,0)</f>
        <v>Q4</v>
      </c>
      <c r="Q747" s="2" t="str">
        <f>IF(Sheet1[[#This Row],[age]]&lt;30,"Young",IF(Sheet1[[#This Row],[age]]&lt;=50,"Adult","Senior"))</f>
        <v>Senior</v>
      </c>
      <c r="R747" s="2" t="str">
        <f t="shared" si="22"/>
        <v>High</v>
      </c>
      <c r="S747" s="2" t="str">
        <f t="shared" si="23"/>
        <v>West - Student</v>
      </c>
    </row>
    <row r="748" spans="1:19" x14ac:dyDescent="0.3">
      <c r="A748" t="s">
        <v>1519</v>
      </c>
      <c r="B748" t="s">
        <v>1520</v>
      </c>
      <c r="C748">
        <v>52</v>
      </c>
      <c r="D748" s="2" t="s">
        <v>21</v>
      </c>
      <c r="E748" s="2" t="s">
        <v>30</v>
      </c>
      <c r="F748" s="2" t="s">
        <v>15</v>
      </c>
      <c r="G748" s="2" t="s">
        <v>27</v>
      </c>
      <c r="H748" s="2" t="s">
        <v>17</v>
      </c>
      <c r="I748" s="2" t="s">
        <v>17</v>
      </c>
      <c r="J748">
        <v>0.41</v>
      </c>
      <c r="K748" s="1">
        <v>44299</v>
      </c>
      <c r="L748" s="2" t="str">
        <f>IF(Sheet1[[#This Row],[age]]&lt;18, "Under 18",IF(Sheet1[[#This Row],[age]]&lt;=30,"18-30",IF(Sheet1[[#This Row],[age]]&lt;=45,"31-45",IF(Sheet1[[#This Row],[age]]&lt;=60,"46-60","60+"))))</f>
        <v>46-60</v>
      </c>
      <c r="M748" s="2" t="str">
        <f>IF(Sheet1[[#This Row],[risk_score]]&lt;0.3,"Low",IF(Sheet1[[#This Row],[risk_score]]&lt;0.7,"Medium","High"))</f>
        <v>Medium</v>
      </c>
      <c r="N748">
        <f>YEAR(Sheet1[[#This Row],[date_joined]])</f>
        <v>2021</v>
      </c>
      <c r="O748" s="2" t="str">
        <f>TEXT(Sheet1[[#This Row],[date_joined]],"mmm")</f>
        <v>Apr</v>
      </c>
      <c r="P748" s="2" t="str">
        <f>"Q"&amp;ROUNDUP(MONTH(Sheet1[[#This Row],[date_joined]])/3,0)</f>
        <v>Q2</v>
      </c>
      <c r="Q748" s="2" t="str">
        <f>IF(Sheet1[[#This Row],[age]]&lt;30,"Young",IF(Sheet1[[#This Row],[age]]&lt;=50,"Adult","Senior"))</f>
        <v>Senior</v>
      </c>
      <c r="R748" s="2" t="str">
        <f t="shared" si="22"/>
        <v>Low</v>
      </c>
      <c r="S748" s="2" t="str">
        <f t="shared" si="23"/>
        <v>North - Student</v>
      </c>
    </row>
    <row r="749" spans="1:19" x14ac:dyDescent="0.3">
      <c r="A749" t="s">
        <v>1521</v>
      </c>
      <c r="B749" t="s">
        <v>1522</v>
      </c>
      <c r="C749">
        <v>65</v>
      </c>
      <c r="D749" s="2" t="s">
        <v>21</v>
      </c>
      <c r="E749" s="2" t="s">
        <v>30</v>
      </c>
      <c r="F749" s="2" t="s">
        <v>15</v>
      </c>
      <c r="G749" s="2" t="s">
        <v>24</v>
      </c>
      <c r="H749" s="2" t="s">
        <v>17</v>
      </c>
      <c r="I749" s="2" t="s">
        <v>18</v>
      </c>
      <c r="J749">
        <v>0.79</v>
      </c>
      <c r="K749" s="1">
        <v>44130</v>
      </c>
      <c r="L749" s="2" t="str">
        <f>IF(Sheet1[[#This Row],[age]]&lt;18, "Under 18",IF(Sheet1[[#This Row],[age]]&lt;=30,"18-30",IF(Sheet1[[#This Row],[age]]&lt;=45,"31-45",IF(Sheet1[[#This Row],[age]]&lt;=60,"46-60","60+"))))</f>
        <v>60+</v>
      </c>
      <c r="M749" s="2" t="str">
        <f>IF(Sheet1[[#This Row],[risk_score]]&lt;0.3,"Low",IF(Sheet1[[#This Row],[risk_score]]&lt;0.7,"Medium","High"))</f>
        <v>High</v>
      </c>
      <c r="N749">
        <f>YEAR(Sheet1[[#This Row],[date_joined]])</f>
        <v>2020</v>
      </c>
      <c r="O749" s="2" t="str">
        <f>TEXT(Sheet1[[#This Row],[date_joined]],"mmm")</f>
        <v>Oct</v>
      </c>
      <c r="P749" s="2" t="str">
        <f>"Q"&amp;ROUNDUP(MONTH(Sheet1[[#This Row],[date_joined]])/3,0)</f>
        <v>Q4</v>
      </c>
      <c r="Q749" s="2" t="str">
        <f>IF(Sheet1[[#This Row],[age]]&lt;30,"Young",IF(Sheet1[[#This Row],[age]]&lt;=50,"Adult","Senior"))</f>
        <v>Senior</v>
      </c>
      <c r="R749" s="2" t="str">
        <f t="shared" si="22"/>
        <v>High</v>
      </c>
      <c r="S749" s="2" t="str">
        <f t="shared" si="23"/>
        <v>East - Student</v>
      </c>
    </row>
    <row r="750" spans="1:19" x14ac:dyDescent="0.3">
      <c r="A750" t="s">
        <v>1523</v>
      </c>
      <c r="B750" t="s">
        <v>1524</v>
      </c>
      <c r="C750">
        <v>20</v>
      </c>
      <c r="D750" s="2" t="s">
        <v>21</v>
      </c>
      <c r="E750" s="2" t="s">
        <v>14</v>
      </c>
      <c r="F750" s="2" t="s">
        <v>31</v>
      </c>
      <c r="G750" s="2" t="s">
        <v>32</v>
      </c>
      <c r="H750" s="2" t="s">
        <v>18</v>
      </c>
      <c r="I750" s="2" t="s">
        <v>18</v>
      </c>
      <c r="J750">
        <v>0.26</v>
      </c>
      <c r="K750" s="1">
        <v>44092</v>
      </c>
      <c r="L750" s="2" t="str">
        <f>IF(Sheet1[[#This Row],[age]]&lt;18, "Under 18",IF(Sheet1[[#This Row],[age]]&lt;=30,"18-30",IF(Sheet1[[#This Row],[age]]&lt;=45,"31-45",IF(Sheet1[[#This Row],[age]]&lt;=60,"46-60","60+"))))</f>
        <v>18-30</v>
      </c>
      <c r="M750" s="2" t="str">
        <f>IF(Sheet1[[#This Row],[risk_score]]&lt;0.3,"Low",IF(Sheet1[[#This Row],[risk_score]]&lt;0.7,"Medium","High"))</f>
        <v>Low</v>
      </c>
      <c r="N750">
        <f>YEAR(Sheet1[[#This Row],[date_joined]])</f>
        <v>2020</v>
      </c>
      <c r="O750" s="2" t="str">
        <f>TEXT(Sheet1[[#This Row],[date_joined]],"mmm")</f>
        <v>Sep</v>
      </c>
      <c r="P750" s="2" t="str">
        <f>"Q"&amp;ROUNDUP(MONTH(Sheet1[[#This Row],[date_joined]])/3,0)</f>
        <v>Q3</v>
      </c>
      <c r="Q750" s="2" t="str">
        <f>IF(Sheet1[[#This Row],[age]]&lt;30,"Young",IF(Sheet1[[#This Row],[age]]&lt;=50,"Adult","Senior"))</f>
        <v>Young</v>
      </c>
      <c r="R750" s="2" t="str">
        <f t="shared" si="22"/>
        <v>Very High</v>
      </c>
      <c r="S750" s="2" t="str">
        <f t="shared" si="23"/>
        <v>South - Self-employed</v>
      </c>
    </row>
    <row r="751" spans="1:19" x14ac:dyDescent="0.3">
      <c r="A751" t="s">
        <v>1525</v>
      </c>
      <c r="B751" t="s">
        <v>1526</v>
      </c>
      <c r="C751">
        <v>44</v>
      </c>
      <c r="D751" s="2" t="s">
        <v>21</v>
      </c>
      <c r="E751" s="2" t="s">
        <v>30</v>
      </c>
      <c r="F751" s="2" t="s">
        <v>31</v>
      </c>
      <c r="G751" s="2" t="s">
        <v>81</v>
      </c>
      <c r="H751" s="2" t="s">
        <v>18</v>
      </c>
      <c r="I751" s="2" t="s">
        <v>17</v>
      </c>
      <c r="J751">
        <v>0.44</v>
      </c>
      <c r="K751" s="1">
        <v>45161</v>
      </c>
      <c r="L751" s="2" t="str">
        <f>IF(Sheet1[[#This Row],[age]]&lt;18, "Under 18",IF(Sheet1[[#This Row],[age]]&lt;=30,"18-30",IF(Sheet1[[#This Row],[age]]&lt;=45,"31-45",IF(Sheet1[[#This Row],[age]]&lt;=60,"46-60","60+"))))</f>
        <v>31-45</v>
      </c>
      <c r="M751" s="2" t="str">
        <f>IF(Sheet1[[#This Row],[risk_score]]&lt;0.3,"Low",IF(Sheet1[[#This Row],[risk_score]]&lt;0.7,"Medium","High"))</f>
        <v>Medium</v>
      </c>
      <c r="N751">
        <f>YEAR(Sheet1[[#This Row],[date_joined]])</f>
        <v>2023</v>
      </c>
      <c r="O751" s="2" t="str">
        <f>TEXT(Sheet1[[#This Row],[date_joined]],"mmm")</f>
        <v>Aug</v>
      </c>
      <c r="P751" s="2" t="str">
        <f>"Q"&amp;ROUNDUP(MONTH(Sheet1[[#This Row],[date_joined]])/3,0)</f>
        <v>Q3</v>
      </c>
      <c r="Q751" s="2" t="str">
        <f>IF(Sheet1[[#This Row],[age]]&lt;30,"Young",IF(Sheet1[[#This Row],[age]]&lt;=50,"Adult","Senior"))</f>
        <v>Adult</v>
      </c>
      <c r="R751" s="2" t="str">
        <f t="shared" si="22"/>
        <v>High</v>
      </c>
      <c r="S751" s="2" t="str">
        <f t="shared" si="23"/>
        <v>Central - Self-employed</v>
      </c>
    </row>
    <row r="752" spans="1:19" x14ac:dyDescent="0.3">
      <c r="A752" t="s">
        <v>1527</v>
      </c>
      <c r="B752" t="s">
        <v>1528</v>
      </c>
      <c r="C752">
        <v>67</v>
      </c>
      <c r="D752" s="2" t="s">
        <v>21</v>
      </c>
      <c r="E752" s="2" t="s">
        <v>22</v>
      </c>
      <c r="F752" s="2" t="s">
        <v>23</v>
      </c>
      <c r="G752" s="2" t="s">
        <v>24</v>
      </c>
      <c r="H752" s="2" t="s">
        <v>18</v>
      </c>
      <c r="I752" s="2" t="s">
        <v>17</v>
      </c>
      <c r="J752">
        <v>0.39</v>
      </c>
      <c r="K752" s="1">
        <v>43707</v>
      </c>
      <c r="L752" s="2" t="str">
        <f>IF(Sheet1[[#This Row],[age]]&lt;18, "Under 18",IF(Sheet1[[#This Row],[age]]&lt;=30,"18-30",IF(Sheet1[[#This Row],[age]]&lt;=45,"31-45",IF(Sheet1[[#This Row],[age]]&lt;=60,"46-60","60+"))))</f>
        <v>60+</v>
      </c>
      <c r="M752" s="2" t="str">
        <f>IF(Sheet1[[#This Row],[risk_score]]&lt;0.3,"Low",IF(Sheet1[[#This Row],[risk_score]]&lt;0.7,"Medium","High"))</f>
        <v>Medium</v>
      </c>
      <c r="N752">
        <f>YEAR(Sheet1[[#This Row],[date_joined]])</f>
        <v>2019</v>
      </c>
      <c r="O752" s="2" t="str">
        <f>TEXT(Sheet1[[#This Row],[date_joined]],"mmm")</f>
        <v>Aug</v>
      </c>
      <c r="P752" s="2" t="str">
        <f>"Q"&amp;ROUNDUP(MONTH(Sheet1[[#This Row],[date_joined]])/3,0)</f>
        <v>Q3</v>
      </c>
      <c r="Q752" s="2" t="str">
        <f>IF(Sheet1[[#This Row],[age]]&lt;30,"Young",IF(Sheet1[[#This Row],[age]]&lt;=50,"Adult","Senior"))</f>
        <v>Senior</v>
      </c>
      <c r="R752" s="2" t="str">
        <f t="shared" si="22"/>
        <v>High</v>
      </c>
      <c r="S752" s="2" t="str">
        <f t="shared" si="23"/>
        <v>East - Salaried</v>
      </c>
    </row>
    <row r="753" spans="1:19" x14ac:dyDescent="0.3">
      <c r="A753" t="s">
        <v>1529</v>
      </c>
      <c r="B753" t="s">
        <v>1530</v>
      </c>
      <c r="C753">
        <v>60</v>
      </c>
      <c r="D753" s="2" t="s">
        <v>21</v>
      </c>
      <c r="E753" s="2" t="s">
        <v>14</v>
      </c>
      <c r="F753" s="2" t="s">
        <v>15</v>
      </c>
      <c r="G753" s="2" t="s">
        <v>24</v>
      </c>
      <c r="H753" s="2" t="s">
        <v>18</v>
      </c>
      <c r="I753" s="2" t="s">
        <v>17</v>
      </c>
      <c r="J753">
        <v>0.45</v>
      </c>
      <c r="K753" s="1">
        <v>43963</v>
      </c>
      <c r="L753" s="2" t="str">
        <f>IF(Sheet1[[#This Row],[age]]&lt;18, "Under 18",IF(Sheet1[[#This Row],[age]]&lt;=30,"18-30",IF(Sheet1[[#This Row],[age]]&lt;=45,"31-45",IF(Sheet1[[#This Row],[age]]&lt;=60,"46-60","60+"))))</f>
        <v>46-60</v>
      </c>
      <c r="M753" s="2" t="str">
        <f>IF(Sheet1[[#This Row],[risk_score]]&lt;0.3,"Low",IF(Sheet1[[#This Row],[risk_score]]&lt;0.7,"Medium","High"))</f>
        <v>Medium</v>
      </c>
      <c r="N753">
        <f>YEAR(Sheet1[[#This Row],[date_joined]])</f>
        <v>2020</v>
      </c>
      <c r="O753" s="2" t="str">
        <f>TEXT(Sheet1[[#This Row],[date_joined]],"mmm")</f>
        <v>May</v>
      </c>
      <c r="P753" s="2" t="str">
        <f>"Q"&amp;ROUNDUP(MONTH(Sheet1[[#This Row],[date_joined]])/3,0)</f>
        <v>Q2</v>
      </c>
      <c r="Q753" s="2" t="str">
        <f>IF(Sheet1[[#This Row],[age]]&lt;30,"Young",IF(Sheet1[[#This Row],[age]]&lt;=50,"Adult","Senior"))</f>
        <v>Senior</v>
      </c>
      <c r="R753" s="2" t="str">
        <f t="shared" si="22"/>
        <v>High</v>
      </c>
      <c r="S753" s="2" t="str">
        <f t="shared" si="23"/>
        <v>East - Student</v>
      </c>
    </row>
    <row r="754" spans="1:19" x14ac:dyDescent="0.3">
      <c r="A754" t="s">
        <v>1531</v>
      </c>
      <c r="B754" t="s">
        <v>1532</v>
      </c>
      <c r="C754">
        <v>32</v>
      </c>
      <c r="D754" s="2" t="s">
        <v>21</v>
      </c>
      <c r="E754" s="2" t="s">
        <v>22</v>
      </c>
      <c r="F754" s="2" t="s">
        <v>31</v>
      </c>
      <c r="G754" s="2" t="s">
        <v>66</v>
      </c>
      <c r="H754" s="2" t="s">
        <v>17</v>
      </c>
      <c r="I754" s="2" t="s">
        <v>17</v>
      </c>
      <c r="J754">
        <v>0.49</v>
      </c>
      <c r="K754" s="1">
        <v>43291</v>
      </c>
      <c r="L754" s="2" t="str">
        <f>IF(Sheet1[[#This Row],[age]]&lt;18, "Under 18",IF(Sheet1[[#This Row],[age]]&lt;=30,"18-30",IF(Sheet1[[#This Row],[age]]&lt;=45,"31-45",IF(Sheet1[[#This Row],[age]]&lt;=60,"46-60","60+"))))</f>
        <v>31-45</v>
      </c>
      <c r="M754" s="2" t="str">
        <f>IF(Sheet1[[#This Row],[risk_score]]&lt;0.3,"Low",IF(Sheet1[[#This Row],[risk_score]]&lt;0.7,"Medium","High"))</f>
        <v>Medium</v>
      </c>
      <c r="N754">
        <f>YEAR(Sheet1[[#This Row],[date_joined]])</f>
        <v>2018</v>
      </c>
      <c r="O754" s="2" t="str">
        <f>TEXT(Sheet1[[#This Row],[date_joined]],"mmm")</f>
        <v>Jul</v>
      </c>
      <c r="P754" s="2" t="str">
        <f>"Q"&amp;ROUNDUP(MONTH(Sheet1[[#This Row],[date_joined]])/3,0)</f>
        <v>Q3</v>
      </c>
      <c r="Q754" s="2" t="str">
        <f>IF(Sheet1[[#This Row],[age]]&lt;30,"Young",IF(Sheet1[[#This Row],[age]]&lt;=50,"Adult","Senior"))</f>
        <v>Adult</v>
      </c>
      <c r="R754" s="2" t="str">
        <f t="shared" si="22"/>
        <v>Low</v>
      </c>
      <c r="S754" s="2" t="str">
        <f t="shared" si="23"/>
        <v>North-East - Self-employed</v>
      </c>
    </row>
    <row r="755" spans="1:19" x14ac:dyDescent="0.3">
      <c r="A755" t="s">
        <v>1533</v>
      </c>
      <c r="B755" t="s">
        <v>1534</v>
      </c>
      <c r="C755">
        <v>39</v>
      </c>
      <c r="D755" s="2" t="s">
        <v>21</v>
      </c>
      <c r="E755" s="2" t="s">
        <v>30</v>
      </c>
      <c r="F755" s="2" t="s">
        <v>15</v>
      </c>
      <c r="G755" s="2" t="s">
        <v>16</v>
      </c>
      <c r="H755" s="2" t="s">
        <v>17</v>
      </c>
      <c r="I755" s="2" t="s">
        <v>18</v>
      </c>
      <c r="J755">
        <v>0.52</v>
      </c>
      <c r="K755" s="1">
        <v>44213</v>
      </c>
      <c r="L755" s="2" t="str">
        <f>IF(Sheet1[[#This Row],[age]]&lt;18, "Under 18",IF(Sheet1[[#This Row],[age]]&lt;=30,"18-30",IF(Sheet1[[#This Row],[age]]&lt;=45,"31-45",IF(Sheet1[[#This Row],[age]]&lt;=60,"46-60","60+"))))</f>
        <v>31-45</v>
      </c>
      <c r="M755" s="2" t="str">
        <f>IF(Sheet1[[#This Row],[risk_score]]&lt;0.3,"Low",IF(Sheet1[[#This Row],[risk_score]]&lt;0.7,"Medium","High"))</f>
        <v>Medium</v>
      </c>
      <c r="N755">
        <f>YEAR(Sheet1[[#This Row],[date_joined]])</f>
        <v>2021</v>
      </c>
      <c r="O755" s="2" t="str">
        <f>TEXT(Sheet1[[#This Row],[date_joined]],"mmm")</f>
        <v>Jan</v>
      </c>
      <c r="P755" s="2" t="str">
        <f>"Q"&amp;ROUNDUP(MONTH(Sheet1[[#This Row],[date_joined]])/3,0)</f>
        <v>Q1</v>
      </c>
      <c r="Q755" s="2" t="str">
        <f>IF(Sheet1[[#This Row],[age]]&lt;30,"Young",IF(Sheet1[[#This Row],[age]]&lt;=50,"Adult","Senior"))</f>
        <v>Adult</v>
      </c>
      <c r="R755" s="2" t="str">
        <f t="shared" si="22"/>
        <v>High</v>
      </c>
      <c r="S755" s="2" t="str">
        <f t="shared" si="23"/>
        <v>West - Student</v>
      </c>
    </row>
    <row r="756" spans="1:19" x14ac:dyDescent="0.3">
      <c r="A756" t="s">
        <v>1535</v>
      </c>
      <c r="B756" t="s">
        <v>1536</v>
      </c>
      <c r="C756">
        <v>48</v>
      </c>
      <c r="D756" s="2" t="s">
        <v>13</v>
      </c>
      <c r="E756" s="2" t="s">
        <v>30</v>
      </c>
      <c r="F756" s="2" t="s">
        <v>15</v>
      </c>
      <c r="G756" s="2" t="s">
        <v>16</v>
      </c>
      <c r="H756" s="2" t="s">
        <v>18</v>
      </c>
      <c r="I756" s="2" t="s">
        <v>18</v>
      </c>
      <c r="J756">
        <v>0.36</v>
      </c>
      <c r="K756" s="1">
        <v>44596</v>
      </c>
      <c r="L756" s="2" t="str">
        <f>IF(Sheet1[[#This Row],[age]]&lt;18, "Under 18",IF(Sheet1[[#This Row],[age]]&lt;=30,"18-30",IF(Sheet1[[#This Row],[age]]&lt;=45,"31-45",IF(Sheet1[[#This Row],[age]]&lt;=60,"46-60","60+"))))</f>
        <v>46-60</v>
      </c>
      <c r="M756" s="2" t="str">
        <f>IF(Sheet1[[#This Row],[risk_score]]&lt;0.3,"Low",IF(Sheet1[[#This Row],[risk_score]]&lt;0.7,"Medium","High"))</f>
        <v>Medium</v>
      </c>
      <c r="N756">
        <f>YEAR(Sheet1[[#This Row],[date_joined]])</f>
        <v>2022</v>
      </c>
      <c r="O756" s="2" t="str">
        <f>TEXT(Sheet1[[#This Row],[date_joined]],"mmm")</f>
        <v>Feb</v>
      </c>
      <c r="P756" s="2" t="str">
        <f>"Q"&amp;ROUNDUP(MONTH(Sheet1[[#This Row],[date_joined]])/3,0)</f>
        <v>Q1</v>
      </c>
      <c r="Q756" s="2" t="str">
        <f>IF(Sheet1[[#This Row],[age]]&lt;30,"Young",IF(Sheet1[[#This Row],[age]]&lt;=50,"Adult","Senior"))</f>
        <v>Adult</v>
      </c>
      <c r="R756" s="2" t="str">
        <f t="shared" si="22"/>
        <v>Very High</v>
      </c>
      <c r="S756" s="2" t="str">
        <f t="shared" si="23"/>
        <v>West - Student</v>
      </c>
    </row>
    <row r="757" spans="1:19" x14ac:dyDescent="0.3">
      <c r="A757" t="s">
        <v>1537</v>
      </c>
      <c r="B757" t="s">
        <v>1538</v>
      </c>
      <c r="C757">
        <v>67</v>
      </c>
      <c r="D757" s="2" t="s">
        <v>13</v>
      </c>
      <c r="E757" s="2" t="s">
        <v>22</v>
      </c>
      <c r="F757" s="2" t="s">
        <v>23</v>
      </c>
      <c r="G757" s="2" t="s">
        <v>24</v>
      </c>
      <c r="H757" s="2" t="s">
        <v>17</v>
      </c>
      <c r="I757" s="2" t="s">
        <v>17</v>
      </c>
      <c r="J757">
        <v>0.47</v>
      </c>
      <c r="K757" s="1">
        <v>44149</v>
      </c>
      <c r="L757" s="2" t="str">
        <f>IF(Sheet1[[#This Row],[age]]&lt;18, "Under 18",IF(Sheet1[[#This Row],[age]]&lt;=30,"18-30",IF(Sheet1[[#This Row],[age]]&lt;=45,"31-45",IF(Sheet1[[#This Row],[age]]&lt;=60,"46-60","60+"))))</f>
        <v>60+</v>
      </c>
      <c r="M757" s="2" t="str">
        <f>IF(Sheet1[[#This Row],[risk_score]]&lt;0.3,"Low",IF(Sheet1[[#This Row],[risk_score]]&lt;0.7,"Medium","High"))</f>
        <v>Medium</v>
      </c>
      <c r="N757">
        <f>YEAR(Sheet1[[#This Row],[date_joined]])</f>
        <v>2020</v>
      </c>
      <c r="O757" s="2" t="str">
        <f>TEXT(Sheet1[[#This Row],[date_joined]],"mmm")</f>
        <v>Nov</v>
      </c>
      <c r="P757" s="2" t="str">
        <f>"Q"&amp;ROUNDUP(MONTH(Sheet1[[#This Row],[date_joined]])/3,0)</f>
        <v>Q4</v>
      </c>
      <c r="Q757" s="2" t="str">
        <f>IF(Sheet1[[#This Row],[age]]&lt;30,"Young",IF(Sheet1[[#This Row],[age]]&lt;=50,"Adult","Senior"))</f>
        <v>Senior</v>
      </c>
      <c r="R757" s="2" t="str">
        <f t="shared" si="22"/>
        <v>Low</v>
      </c>
      <c r="S757" s="2" t="str">
        <f t="shared" si="23"/>
        <v>East - Salaried</v>
      </c>
    </row>
    <row r="758" spans="1:19" x14ac:dyDescent="0.3">
      <c r="A758" t="s">
        <v>1539</v>
      </c>
      <c r="B758" t="s">
        <v>1540</v>
      </c>
      <c r="C758">
        <v>21</v>
      </c>
      <c r="D758" s="2" t="s">
        <v>21</v>
      </c>
      <c r="E758" s="2" t="s">
        <v>14</v>
      </c>
      <c r="F758" s="2" t="s">
        <v>37</v>
      </c>
      <c r="G758" s="2" t="s">
        <v>16</v>
      </c>
      <c r="H758" s="2" t="s">
        <v>17</v>
      </c>
      <c r="I758" s="2" t="s">
        <v>18</v>
      </c>
      <c r="J758">
        <v>0.36</v>
      </c>
      <c r="K758" s="1">
        <v>44617</v>
      </c>
      <c r="L758" s="2" t="str">
        <f>IF(Sheet1[[#This Row],[age]]&lt;18, "Under 18",IF(Sheet1[[#This Row],[age]]&lt;=30,"18-30",IF(Sheet1[[#This Row],[age]]&lt;=45,"31-45",IF(Sheet1[[#This Row],[age]]&lt;=60,"46-60","60+"))))</f>
        <v>18-30</v>
      </c>
      <c r="M758" s="2" t="str">
        <f>IF(Sheet1[[#This Row],[risk_score]]&lt;0.3,"Low",IF(Sheet1[[#This Row],[risk_score]]&lt;0.7,"Medium","High"))</f>
        <v>Medium</v>
      </c>
      <c r="N758">
        <f>YEAR(Sheet1[[#This Row],[date_joined]])</f>
        <v>2022</v>
      </c>
      <c r="O758" s="2" t="str">
        <f>TEXT(Sheet1[[#This Row],[date_joined]],"mmm")</f>
        <v>Feb</v>
      </c>
      <c r="P758" s="2" t="str">
        <f>"Q"&amp;ROUNDUP(MONTH(Sheet1[[#This Row],[date_joined]])/3,0)</f>
        <v>Q1</v>
      </c>
      <c r="Q758" s="2" t="str">
        <f>IF(Sheet1[[#This Row],[age]]&lt;30,"Young",IF(Sheet1[[#This Row],[age]]&lt;=50,"Adult","Senior"))</f>
        <v>Young</v>
      </c>
      <c r="R758" s="2" t="str">
        <f t="shared" si="22"/>
        <v>High</v>
      </c>
      <c r="S758" s="2" t="str">
        <f t="shared" si="23"/>
        <v>West - Retired</v>
      </c>
    </row>
    <row r="759" spans="1:19" x14ac:dyDescent="0.3">
      <c r="A759" t="s">
        <v>1541</v>
      </c>
      <c r="B759" t="s">
        <v>1542</v>
      </c>
      <c r="C759">
        <v>54</v>
      </c>
      <c r="D759" s="2" t="s">
        <v>21</v>
      </c>
      <c r="E759" s="2" t="s">
        <v>22</v>
      </c>
      <c r="F759" s="2" t="s">
        <v>31</v>
      </c>
      <c r="G759" s="2" t="s">
        <v>16</v>
      </c>
      <c r="H759" s="2" t="s">
        <v>17</v>
      </c>
      <c r="I759" s="2" t="s">
        <v>17</v>
      </c>
      <c r="J759">
        <v>0.38</v>
      </c>
      <c r="K759" s="1">
        <v>44203</v>
      </c>
      <c r="L759" s="2" t="str">
        <f>IF(Sheet1[[#This Row],[age]]&lt;18, "Under 18",IF(Sheet1[[#This Row],[age]]&lt;=30,"18-30",IF(Sheet1[[#This Row],[age]]&lt;=45,"31-45",IF(Sheet1[[#This Row],[age]]&lt;=60,"46-60","60+"))))</f>
        <v>46-60</v>
      </c>
      <c r="M759" s="2" t="str">
        <f>IF(Sheet1[[#This Row],[risk_score]]&lt;0.3,"Low",IF(Sheet1[[#This Row],[risk_score]]&lt;0.7,"Medium","High"))</f>
        <v>Medium</v>
      </c>
      <c r="N759">
        <f>YEAR(Sheet1[[#This Row],[date_joined]])</f>
        <v>2021</v>
      </c>
      <c r="O759" s="2" t="str">
        <f>TEXT(Sheet1[[#This Row],[date_joined]],"mmm")</f>
        <v>Jan</v>
      </c>
      <c r="P759" s="2" t="str">
        <f>"Q"&amp;ROUNDUP(MONTH(Sheet1[[#This Row],[date_joined]])/3,0)</f>
        <v>Q1</v>
      </c>
      <c r="Q759" s="2" t="str">
        <f>IF(Sheet1[[#This Row],[age]]&lt;30,"Young",IF(Sheet1[[#This Row],[age]]&lt;=50,"Adult","Senior"))</f>
        <v>Senior</v>
      </c>
      <c r="R759" s="2" t="str">
        <f t="shared" si="22"/>
        <v>Low</v>
      </c>
      <c r="S759" s="2" t="str">
        <f t="shared" si="23"/>
        <v>West - Self-employed</v>
      </c>
    </row>
    <row r="760" spans="1:19" x14ac:dyDescent="0.3">
      <c r="A760" t="s">
        <v>1543</v>
      </c>
      <c r="B760" t="s">
        <v>1544</v>
      </c>
      <c r="C760">
        <v>21</v>
      </c>
      <c r="D760" s="2" t="s">
        <v>21</v>
      </c>
      <c r="E760" s="2" t="s">
        <v>30</v>
      </c>
      <c r="F760" s="2" t="s">
        <v>37</v>
      </c>
      <c r="G760" s="2" t="s">
        <v>66</v>
      </c>
      <c r="H760" s="2" t="s">
        <v>17</v>
      </c>
      <c r="I760" s="2" t="s">
        <v>17</v>
      </c>
      <c r="J760">
        <v>0.46</v>
      </c>
      <c r="K760" s="1">
        <v>44780</v>
      </c>
      <c r="L760" s="2" t="str">
        <f>IF(Sheet1[[#This Row],[age]]&lt;18, "Under 18",IF(Sheet1[[#This Row],[age]]&lt;=30,"18-30",IF(Sheet1[[#This Row],[age]]&lt;=45,"31-45",IF(Sheet1[[#This Row],[age]]&lt;=60,"46-60","60+"))))</f>
        <v>18-30</v>
      </c>
      <c r="M760" s="2" t="str">
        <f>IF(Sheet1[[#This Row],[risk_score]]&lt;0.3,"Low",IF(Sheet1[[#This Row],[risk_score]]&lt;0.7,"Medium","High"))</f>
        <v>Medium</v>
      </c>
      <c r="N760">
        <f>YEAR(Sheet1[[#This Row],[date_joined]])</f>
        <v>2022</v>
      </c>
      <c r="O760" s="2" t="str">
        <f>TEXT(Sheet1[[#This Row],[date_joined]],"mmm")</f>
        <v>Aug</v>
      </c>
      <c r="P760" s="2" t="str">
        <f>"Q"&amp;ROUNDUP(MONTH(Sheet1[[#This Row],[date_joined]])/3,0)</f>
        <v>Q3</v>
      </c>
      <c r="Q760" s="2" t="str">
        <f>IF(Sheet1[[#This Row],[age]]&lt;30,"Young",IF(Sheet1[[#This Row],[age]]&lt;=50,"Adult","Senior"))</f>
        <v>Young</v>
      </c>
      <c r="R760" s="2" t="str">
        <f t="shared" si="22"/>
        <v>Low</v>
      </c>
      <c r="S760" s="2" t="str">
        <f t="shared" si="23"/>
        <v>North-East - Retired</v>
      </c>
    </row>
    <row r="761" spans="1:19" x14ac:dyDescent="0.3">
      <c r="A761" t="s">
        <v>1545</v>
      </c>
      <c r="B761" t="s">
        <v>1546</v>
      </c>
      <c r="C761">
        <v>60</v>
      </c>
      <c r="D761" s="2" t="s">
        <v>21</v>
      </c>
      <c r="E761" s="2" t="s">
        <v>14</v>
      </c>
      <c r="F761" s="2" t="s">
        <v>37</v>
      </c>
      <c r="G761" s="2" t="s">
        <v>32</v>
      </c>
      <c r="H761" s="2" t="s">
        <v>18</v>
      </c>
      <c r="I761" s="2" t="s">
        <v>17</v>
      </c>
      <c r="J761">
        <v>0.36</v>
      </c>
      <c r="K761" s="1">
        <v>43758</v>
      </c>
      <c r="L761" s="2" t="str">
        <f>IF(Sheet1[[#This Row],[age]]&lt;18, "Under 18",IF(Sheet1[[#This Row],[age]]&lt;=30,"18-30",IF(Sheet1[[#This Row],[age]]&lt;=45,"31-45",IF(Sheet1[[#This Row],[age]]&lt;=60,"46-60","60+"))))</f>
        <v>46-60</v>
      </c>
      <c r="M761" s="2" t="str">
        <f>IF(Sheet1[[#This Row],[risk_score]]&lt;0.3,"Low",IF(Sheet1[[#This Row],[risk_score]]&lt;0.7,"Medium","High"))</f>
        <v>Medium</v>
      </c>
      <c r="N761">
        <f>YEAR(Sheet1[[#This Row],[date_joined]])</f>
        <v>2019</v>
      </c>
      <c r="O761" s="2" t="str">
        <f>TEXT(Sheet1[[#This Row],[date_joined]],"mmm")</f>
        <v>Oct</v>
      </c>
      <c r="P761" s="2" t="str">
        <f>"Q"&amp;ROUNDUP(MONTH(Sheet1[[#This Row],[date_joined]])/3,0)</f>
        <v>Q4</v>
      </c>
      <c r="Q761" s="2" t="str">
        <f>IF(Sheet1[[#This Row],[age]]&lt;30,"Young",IF(Sheet1[[#This Row],[age]]&lt;=50,"Adult","Senior"))</f>
        <v>Senior</v>
      </c>
      <c r="R761" s="2" t="str">
        <f t="shared" si="22"/>
        <v>High</v>
      </c>
      <c r="S761" s="2" t="str">
        <f t="shared" si="23"/>
        <v>South - Retired</v>
      </c>
    </row>
    <row r="762" spans="1:19" x14ac:dyDescent="0.3">
      <c r="A762" t="s">
        <v>1547</v>
      </c>
      <c r="B762" t="s">
        <v>1548</v>
      </c>
      <c r="C762">
        <v>29</v>
      </c>
      <c r="D762" s="2" t="s">
        <v>21</v>
      </c>
      <c r="E762" s="2" t="s">
        <v>14</v>
      </c>
      <c r="F762" s="2" t="s">
        <v>31</v>
      </c>
      <c r="G762" s="2" t="s">
        <v>16</v>
      </c>
      <c r="H762" s="2" t="s">
        <v>17</v>
      </c>
      <c r="I762" s="2" t="s">
        <v>18</v>
      </c>
      <c r="J762">
        <v>0.37</v>
      </c>
      <c r="K762" s="1">
        <v>43868</v>
      </c>
      <c r="L762" s="2" t="str">
        <f>IF(Sheet1[[#This Row],[age]]&lt;18, "Under 18",IF(Sheet1[[#This Row],[age]]&lt;=30,"18-30",IF(Sheet1[[#This Row],[age]]&lt;=45,"31-45",IF(Sheet1[[#This Row],[age]]&lt;=60,"46-60","60+"))))</f>
        <v>18-30</v>
      </c>
      <c r="M762" s="2" t="str">
        <f>IF(Sheet1[[#This Row],[risk_score]]&lt;0.3,"Low",IF(Sheet1[[#This Row],[risk_score]]&lt;0.7,"Medium","High"))</f>
        <v>Medium</v>
      </c>
      <c r="N762">
        <f>YEAR(Sheet1[[#This Row],[date_joined]])</f>
        <v>2020</v>
      </c>
      <c r="O762" s="2" t="str">
        <f>TEXT(Sheet1[[#This Row],[date_joined]],"mmm")</f>
        <v>Feb</v>
      </c>
      <c r="P762" s="2" t="str">
        <f>"Q"&amp;ROUNDUP(MONTH(Sheet1[[#This Row],[date_joined]])/3,0)</f>
        <v>Q1</v>
      </c>
      <c r="Q762" s="2" t="str">
        <f>IF(Sheet1[[#This Row],[age]]&lt;30,"Young",IF(Sheet1[[#This Row],[age]]&lt;=50,"Adult","Senior"))</f>
        <v>Young</v>
      </c>
      <c r="R762" s="2" t="str">
        <f t="shared" si="22"/>
        <v>High</v>
      </c>
      <c r="S762" s="2" t="str">
        <f t="shared" si="23"/>
        <v>West - Self-employed</v>
      </c>
    </row>
    <row r="763" spans="1:19" x14ac:dyDescent="0.3">
      <c r="A763" t="s">
        <v>1549</v>
      </c>
      <c r="B763" t="s">
        <v>1550</v>
      </c>
      <c r="C763">
        <v>19</v>
      </c>
      <c r="D763" s="2" t="s">
        <v>21</v>
      </c>
      <c r="E763" s="2" t="s">
        <v>14</v>
      </c>
      <c r="F763" s="2" t="s">
        <v>15</v>
      </c>
      <c r="G763" s="2" t="s">
        <v>16</v>
      </c>
      <c r="H763" s="2" t="s">
        <v>17</v>
      </c>
      <c r="I763" s="2" t="s">
        <v>17</v>
      </c>
      <c r="J763">
        <v>0.04</v>
      </c>
      <c r="K763" s="1">
        <v>43672</v>
      </c>
      <c r="L763" s="2" t="str">
        <f>IF(Sheet1[[#This Row],[age]]&lt;18, "Under 18",IF(Sheet1[[#This Row],[age]]&lt;=30,"18-30",IF(Sheet1[[#This Row],[age]]&lt;=45,"31-45",IF(Sheet1[[#This Row],[age]]&lt;=60,"46-60","60+"))))</f>
        <v>18-30</v>
      </c>
      <c r="M763" s="2" t="str">
        <f>IF(Sheet1[[#This Row],[risk_score]]&lt;0.3,"Low",IF(Sheet1[[#This Row],[risk_score]]&lt;0.7,"Medium","High"))</f>
        <v>Low</v>
      </c>
      <c r="N763">
        <f>YEAR(Sheet1[[#This Row],[date_joined]])</f>
        <v>2019</v>
      </c>
      <c r="O763" s="2" t="str">
        <f>TEXT(Sheet1[[#This Row],[date_joined]],"mmm")</f>
        <v>Jul</v>
      </c>
      <c r="P763" s="2" t="str">
        <f>"Q"&amp;ROUNDUP(MONTH(Sheet1[[#This Row],[date_joined]])/3,0)</f>
        <v>Q3</v>
      </c>
      <c r="Q763" s="2" t="str">
        <f>IF(Sheet1[[#This Row],[age]]&lt;30,"Young",IF(Sheet1[[#This Row],[age]]&lt;=50,"Adult","Senior"))</f>
        <v>Young</v>
      </c>
      <c r="R763" s="2" t="str">
        <f t="shared" si="22"/>
        <v>Low</v>
      </c>
      <c r="S763" s="2" t="str">
        <f t="shared" si="23"/>
        <v>West - Student</v>
      </c>
    </row>
    <row r="764" spans="1:19" x14ac:dyDescent="0.3">
      <c r="A764" t="s">
        <v>1551</v>
      </c>
      <c r="B764" t="s">
        <v>1552</v>
      </c>
      <c r="C764">
        <v>49</v>
      </c>
      <c r="D764" s="2" t="s">
        <v>13</v>
      </c>
      <c r="E764" s="2" t="s">
        <v>30</v>
      </c>
      <c r="F764" s="2" t="s">
        <v>15</v>
      </c>
      <c r="G764" s="2" t="s">
        <v>81</v>
      </c>
      <c r="H764" s="2" t="s">
        <v>17</v>
      </c>
      <c r="I764" s="2" t="s">
        <v>18</v>
      </c>
      <c r="J764">
        <v>0.5</v>
      </c>
      <c r="K764" s="1">
        <v>45068</v>
      </c>
      <c r="L764" s="2" t="str">
        <f>IF(Sheet1[[#This Row],[age]]&lt;18, "Under 18",IF(Sheet1[[#This Row],[age]]&lt;=30,"18-30",IF(Sheet1[[#This Row],[age]]&lt;=45,"31-45",IF(Sheet1[[#This Row],[age]]&lt;=60,"46-60","60+"))))</f>
        <v>46-60</v>
      </c>
      <c r="M764" s="2" t="str">
        <f>IF(Sheet1[[#This Row],[risk_score]]&lt;0.3,"Low",IF(Sheet1[[#This Row],[risk_score]]&lt;0.7,"Medium","High"))</f>
        <v>Medium</v>
      </c>
      <c r="N764">
        <f>YEAR(Sheet1[[#This Row],[date_joined]])</f>
        <v>2023</v>
      </c>
      <c r="O764" s="2" t="str">
        <f>TEXT(Sheet1[[#This Row],[date_joined]],"mmm")</f>
        <v>May</v>
      </c>
      <c r="P764" s="2" t="str">
        <f>"Q"&amp;ROUNDUP(MONTH(Sheet1[[#This Row],[date_joined]])/3,0)</f>
        <v>Q2</v>
      </c>
      <c r="Q764" s="2" t="str">
        <f>IF(Sheet1[[#This Row],[age]]&lt;30,"Young",IF(Sheet1[[#This Row],[age]]&lt;=50,"Adult","Senior"))</f>
        <v>Adult</v>
      </c>
      <c r="R764" s="2" t="str">
        <f t="shared" si="22"/>
        <v>High</v>
      </c>
      <c r="S764" s="2" t="str">
        <f t="shared" si="23"/>
        <v>Central - Student</v>
      </c>
    </row>
    <row r="765" spans="1:19" x14ac:dyDescent="0.3">
      <c r="A765" t="s">
        <v>1553</v>
      </c>
      <c r="B765" t="s">
        <v>1554</v>
      </c>
      <c r="C765">
        <v>56</v>
      </c>
      <c r="D765" s="2" t="s">
        <v>13</v>
      </c>
      <c r="E765" s="2" t="s">
        <v>14</v>
      </c>
      <c r="F765" s="2" t="s">
        <v>31</v>
      </c>
      <c r="G765" s="2" t="s">
        <v>66</v>
      </c>
      <c r="H765" s="2" t="s">
        <v>17</v>
      </c>
      <c r="I765" s="2" t="s">
        <v>18</v>
      </c>
      <c r="J765">
        <v>0.33</v>
      </c>
      <c r="K765" s="1">
        <v>43680</v>
      </c>
      <c r="L765" s="2" t="str">
        <f>IF(Sheet1[[#This Row],[age]]&lt;18, "Under 18",IF(Sheet1[[#This Row],[age]]&lt;=30,"18-30",IF(Sheet1[[#This Row],[age]]&lt;=45,"31-45",IF(Sheet1[[#This Row],[age]]&lt;=60,"46-60","60+"))))</f>
        <v>46-60</v>
      </c>
      <c r="M765" s="2" t="str">
        <f>IF(Sheet1[[#This Row],[risk_score]]&lt;0.3,"Low",IF(Sheet1[[#This Row],[risk_score]]&lt;0.7,"Medium","High"))</f>
        <v>Medium</v>
      </c>
      <c r="N765">
        <f>YEAR(Sheet1[[#This Row],[date_joined]])</f>
        <v>2019</v>
      </c>
      <c r="O765" s="2" t="str">
        <f>TEXT(Sheet1[[#This Row],[date_joined]],"mmm")</f>
        <v>Aug</v>
      </c>
      <c r="P765" s="2" t="str">
        <f>"Q"&amp;ROUNDUP(MONTH(Sheet1[[#This Row],[date_joined]])/3,0)</f>
        <v>Q3</v>
      </c>
      <c r="Q765" s="2" t="str">
        <f>IF(Sheet1[[#This Row],[age]]&lt;30,"Young",IF(Sheet1[[#This Row],[age]]&lt;=50,"Adult","Senior"))</f>
        <v>Senior</v>
      </c>
      <c r="R765" s="2" t="str">
        <f t="shared" si="22"/>
        <v>High</v>
      </c>
      <c r="S765" s="2" t="str">
        <f t="shared" si="23"/>
        <v>North-East - Self-employed</v>
      </c>
    </row>
    <row r="766" spans="1:19" x14ac:dyDescent="0.3">
      <c r="A766" t="s">
        <v>1555</v>
      </c>
      <c r="B766" t="s">
        <v>1556</v>
      </c>
      <c r="C766">
        <v>22</v>
      </c>
      <c r="D766" s="2" t="s">
        <v>13</v>
      </c>
      <c r="E766" s="2" t="s">
        <v>30</v>
      </c>
      <c r="F766" s="2" t="s">
        <v>37</v>
      </c>
      <c r="G766" s="2" t="s">
        <v>32</v>
      </c>
      <c r="H766" s="2" t="s">
        <v>18</v>
      </c>
      <c r="I766" s="2" t="s">
        <v>17</v>
      </c>
      <c r="J766">
        <v>0.12</v>
      </c>
      <c r="K766" s="1">
        <v>43820</v>
      </c>
      <c r="L766" s="2" t="str">
        <f>IF(Sheet1[[#This Row],[age]]&lt;18, "Under 18",IF(Sheet1[[#This Row],[age]]&lt;=30,"18-30",IF(Sheet1[[#This Row],[age]]&lt;=45,"31-45",IF(Sheet1[[#This Row],[age]]&lt;=60,"46-60","60+"))))</f>
        <v>18-30</v>
      </c>
      <c r="M766" s="2" t="str">
        <f>IF(Sheet1[[#This Row],[risk_score]]&lt;0.3,"Low",IF(Sheet1[[#This Row],[risk_score]]&lt;0.7,"Medium","High"))</f>
        <v>Low</v>
      </c>
      <c r="N766">
        <f>YEAR(Sheet1[[#This Row],[date_joined]])</f>
        <v>2019</v>
      </c>
      <c r="O766" s="2" t="str">
        <f>TEXT(Sheet1[[#This Row],[date_joined]],"mmm")</f>
        <v>Dec</v>
      </c>
      <c r="P766" s="2" t="str">
        <f>"Q"&amp;ROUNDUP(MONTH(Sheet1[[#This Row],[date_joined]])/3,0)</f>
        <v>Q4</v>
      </c>
      <c r="Q766" s="2" t="str">
        <f>IF(Sheet1[[#This Row],[age]]&lt;30,"Young",IF(Sheet1[[#This Row],[age]]&lt;=50,"Adult","Senior"))</f>
        <v>Young</v>
      </c>
      <c r="R766" s="2" t="str">
        <f t="shared" si="22"/>
        <v>High</v>
      </c>
      <c r="S766" s="2" t="str">
        <f t="shared" si="23"/>
        <v>South - Retired</v>
      </c>
    </row>
    <row r="767" spans="1:19" x14ac:dyDescent="0.3">
      <c r="A767" t="s">
        <v>1557</v>
      </c>
      <c r="B767" t="s">
        <v>1558</v>
      </c>
      <c r="C767">
        <v>39</v>
      </c>
      <c r="D767" s="2" t="s">
        <v>13</v>
      </c>
      <c r="E767" s="2" t="s">
        <v>30</v>
      </c>
      <c r="F767" s="2" t="s">
        <v>15</v>
      </c>
      <c r="G767" s="2" t="s">
        <v>24</v>
      </c>
      <c r="H767" s="2" t="s">
        <v>17</v>
      </c>
      <c r="I767" s="2" t="s">
        <v>18</v>
      </c>
      <c r="J767">
        <v>0.49</v>
      </c>
      <c r="K767" s="1">
        <v>43437</v>
      </c>
      <c r="L767" s="2" t="str">
        <f>IF(Sheet1[[#This Row],[age]]&lt;18, "Under 18",IF(Sheet1[[#This Row],[age]]&lt;=30,"18-30",IF(Sheet1[[#This Row],[age]]&lt;=45,"31-45",IF(Sheet1[[#This Row],[age]]&lt;=60,"46-60","60+"))))</f>
        <v>31-45</v>
      </c>
      <c r="M767" s="2" t="str">
        <f>IF(Sheet1[[#This Row],[risk_score]]&lt;0.3,"Low",IF(Sheet1[[#This Row],[risk_score]]&lt;0.7,"Medium","High"))</f>
        <v>Medium</v>
      </c>
      <c r="N767">
        <f>YEAR(Sheet1[[#This Row],[date_joined]])</f>
        <v>2018</v>
      </c>
      <c r="O767" s="2" t="str">
        <f>TEXT(Sheet1[[#This Row],[date_joined]],"mmm")</f>
        <v>Dec</v>
      </c>
      <c r="P767" s="2" t="str">
        <f>"Q"&amp;ROUNDUP(MONTH(Sheet1[[#This Row],[date_joined]])/3,0)</f>
        <v>Q4</v>
      </c>
      <c r="Q767" s="2" t="str">
        <f>IF(Sheet1[[#This Row],[age]]&lt;30,"Young",IF(Sheet1[[#This Row],[age]]&lt;=50,"Adult","Senior"))</f>
        <v>Adult</v>
      </c>
      <c r="R767" s="2" t="str">
        <f t="shared" si="22"/>
        <v>High</v>
      </c>
      <c r="S767" s="2" t="str">
        <f t="shared" si="23"/>
        <v>East - Student</v>
      </c>
    </row>
    <row r="768" spans="1:19" x14ac:dyDescent="0.3">
      <c r="A768" t="s">
        <v>1559</v>
      </c>
      <c r="B768" t="s">
        <v>1560</v>
      </c>
      <c r="C768">
        <v>38</v>
      </c>
      <c r="D768" s="2" t="s">
        <v>13</v>
      </c>
      <c r="E768" s="2" t="s">
        <v>14</v>
      </c>
      <c r="F768" s="2" t="s">
        <v>31</v>
      </c>
      <c r="G768" s="2" t="s">
        <v>32</v>
      </c>
      <c r="H768" s="2" t="s">
        <v>18</v>
      </c>
      <c r="I768" s="2" t="s">
        <v>17</v>
      </c>
      <c r="J768">
        <v>0.47</v>
      </c>
      <c r="K768" s="1">
        <v>44677</v>
      </c>
      <c r="L768" s="2" t="str">
        <f>IF(Sheet1[[#This Row],[age]]&lt;18, "Under 18",IF(Sheet1[[#This Row],[age]]&lt;=30,"18-30",IF(Sheet1[[#This Row],[age]]&lt;=45,"31-45",IF(Sheet1[[#This Row],[age]]&lt;=60,"46-60","60+"))))</f>
        <v>31-45</v>
      </c>
      <c r="M768" s="2" t="str">
        <f>IF(Sheet1[[#This Row],[risk_score]]&lt;0.3,"Low",IF(Sheet1[[#This Row],[risk_score]]&lt;0.7,"Medium","High"))</f>
        <v>Medium</v>
      </c>
      <c r="N768">
        <f>YEAR(Sheet1[[#This Row],[date_joined]])</f>
        <v>2022</v>
      </c>
      <c r="O768" s="2" t="str">
        <f>TEXT(Sheet1[[#This Row],[date_joined]],"mmm")</f>
        <v>Apr</v>
      </c>
      <c r="P768" s="2" t="str">
        <f>"Q"&amp;ROUNDUP(MONTH(Sheet1[[#This Row],[date_joined]])/3,0)</f>
        <v>Q2</v>
      </c>
      <c r="Q768" s="2" t="str">
        <f>IF(Sheet1[[#This Row],[age]]&lt;30,"Young",IF(Sheet1[[#This Row],[age]]&lt;=50,"Adult","Senior"))</f>
        <v>Adult</v>
      </c>
      <c r="R768" s="2" t="str">
        <f t="shared" si="22"/>
        <v>High</v>
      </c>
      <c r="S768" s="2" t="str">
        <f t="shared" si="23"/>
        <v>South - Self-employed</v>
      </c>
    </row>
    <row r="769" spans="1:19" x14ac:dyDescent="0.3">
      <c r="A769" t="s">
        <v>1561</v>
      </c>
      <c r="B769" t="s">
        <v>1562</v>
      </c>
      <c r="C769">
        <v>43</v>
      </c>
      <c r="D769" s="2" t="s">
        <v>21</v>
      </c>
      <c r="E769" s="2" t="s">
        <v>22</v>
      </c>
      <c r="F769" s="2" t="s">
        <v>15</v>
      </c>
      <c r="G769" s="2" t="s">
        <v>66</v>
      </c>
      <c r="H769" s="2" t="s">
        <v>17</v>
      </c>
      <c r="I769" s="2" t="s">
        <v>18</v>
      </c>
      <c r="J769">
        <v>0.39</v>
      </c>
      <c r="K769" s="1">
        <v>43989</v>
      </c>
      <c r="L769" s="2" t="str">
        <f>IF(Sheet1[[#This Row],[age]]&lt;18, "Under 18",IF(Sheet1[[#This Row],[age]]&lt;=30,"18-30",IF(Sheet1[[#This Row],[age]]&lt;=45,"31-45",IF(Sheet1[[#This Row],[age]]&lt;=60,"46-60","60+"))))</f>
        <v>31-45</v>
      </c>
      <c r="M769" s="2" t="str">
        <f>IF(Sheet1[[#This Row],[risk_score]]&lt;0.3,"Low",IF(Sheet1[[#This Row],[risk_score]]&lt;0.7,"Medium","High"))</f>
        <v>Medium</v>
      </c>
      <c r="N769">
        <f>YEAR(Sheet1[[#This Row],[date_joined]])</f>
        <v>2020</v>
      </c>
      <c r="O769" s="2" t="str">
        <f>TEXT(Sheet1[[#This Row],[date_joined]],"mmm")</f>
        <v>Jun</v>
      </c>
      <c r="P769" s="2" t="str">
        <f>"Q"&amp;ROUNDUP(MONTH(Sheet1[[#This Row],[date_joined]])/3,0)</f>
        <v>Q2</v>
      </c>
      <c r="Q769" s="2" t="str">
        <f>IF(Sheet1[[#This Row],[age]]&lt;30,"Young",IF(Sheet1[[#This Row],[age]]&lt;=50,"Adult","Senior"))</f>
        <v>Adult</v>
      </c>
      <c r="R769" s="2" t="str">
        <f t="shared" si="22"/>
        <v>High</v>
      </c>
      <c r="S769" s="2" t="str">
        <f t="shared" si="23"/>
        <v>North-East - Student</v>
      </c>
    </row>
    <row r="770" spans="1:19" x14ac:dyDescent="0.3">
      <c r="A770" t="s">
        <v>1563</v>
      </c>
      <c r="B770" t="s">
        <v>1564</v>
      </c>
      <c r="C770">
        <v>43</v>
      </c>
      <c r="D770" s="2" t="s">
        <v>21</v>
      </c>
      <c r="E770" s="2" t="s">
        <v>14</v>
      </c>
      <c r="F770" s="2" t="s">
        <v>31</v>
      </c>
      <c r="G770" s="2" t="s">
        <v>66</v>
      </c>
      <c r="H770" s="2" t="s">
        <v>17</v>
      </c>
      <c r="I770" s="2" t="s">
        <v>17</v>
      </c>
      <c r="J770">
        <v>0.68</v>
      </c>
      <c r="K770" s="1">
        <v>44276</v>
      </c>
      <c r="L770" s="2" t="str">
        <f>IF(Sheet1[[#This Row],[age]]&lt;18, "Under 18",IF(Sheet1[[#This Row],[age]]&lt;=30,"18-30",IF(Sheet1[[#This Row],[age]]&lt;=45,"31-45",IF(Sheet1[[#This Row],[age]]&lt;=60,"46-60","60+"))))</f>
        <v>31-45</v>
      </c>
      <c r="M770" s="2" t="str">
        <f>IF(Sheet1[[#This Row],[risk_score]]&lt;0.3,"Low",IF(Sheet1[[#This Row],[risk_score]]&lt;0.7,"Medium","High"))</f>
        <v>Medium</v>
      </c>
      <c r="N770">
        <f>YEAR(Sheet1[[#This Row],[date_joined]])</f>
        <v>2021</v>
      </c>
      <c r="O770" s="2" t="str">
        <f>TEXT(Sheet1[[#This Row],[date_joined]],"mmm")</f>
        <v>Mar</v>
      </c>
      <c r="P770" s="2" t="str">
        <f>"Q"&amp;ROUNDUP(MONTH(Sheet1[[#This Row],[date_joined]])/3,0)</f>
        <v>Q1</v>
      </c>
      <c r="Q770" s="2" t="str">
        <f>IF(Sheet1[[#This Row],[age]]&lt;30,"Young",IF(Sheet1[[#This Row],[age]]&lt;=50,"Adult","Senior"))</f>
        <v>Adult</v>
      </c>
      <c r="R770" s="2" t="str">
        <f t="shared" ref="R770:R833" si="24">IF(AND(H770="Yes",I770="Yes"),"Very High",
IF(OR(H770="Yes",I770="Yes"),"High","Low"))</f>
        <v>Low</v>
      </c>
      <c r="S770" s="2" t="str">
        <f t="shared" ref="S770:S833" si="25">G770&amp;" - "&amp;F770</f>
        <v>North-East - Self-employed</v>
      </c>
    </row>
    <row r="771" spans="1:19" x14ac:dyDescent="0.3">
      <c r="A771" t="s">
        <v>1565</v>
      </c>
      <c r="B771" t="s">
        <v>1566</v>
      </c>
      <c r="C771">
        <v>52</v>
      </c>
      <c r="D771" s="2" t="s">
        <v>13</v>
      </c>
      <c r="E771" s="2" t="s">
        <v>30</v>
      </c>
      <c r="F771" s="2" t="s">
        <v>37</v>
      </c>
      <c r="G771" s="2" t="s">
        <v>27</v>
      </c>
      <c r="H771" s="2" t="s">
        <v>18</v>
      </c>
      <c r="I771" s="2" t="s">
        <v>18</v>
      </c>
      <c r="J771">
        <v>0.43</v>
      </c>
      <c r="K771" s="1">
        <v>43835</v>
      </c>
      <c r="L771" s="2" t="str">
        <f>IF(Sheet1[[#This Row],[age]]&lt;18, "Under 18",IF(Sheet1[[#This Row],[age]]&lt;=30,"18-30",IF(Sheet1[[#This Row],[age]]&lt;=45,"31-45",IF(Sheet1[[#This Row],[age]]&lt;=60,"46-60","60+"))))</f>
        <v>46-60</v>
      </c>
      <c r="M771" s="2" t="str">
        <f>IF(Sheet1[[#This Row],[risk_score]]&lt;0.3,"Low",IF(Sheet1[[#This Row],[risk_score]]&lt;0.7,"Medium","High"))</f>
        <v>Medium</v>
      </c>
      <c r="N771">
        <f>YEAR(Sheet1[[#This Row],[date_joined]])</f>
        <v>2020</v>
      </c>
      <c r="O771" s="2" t="str">
        <f>TEXT(Sheet1[[#This Row],[date_joined]],"mmm")</f>
        <v>Jan</v>
      </c>
      <c r="P771" s="2" t="str">
        <f>"Q"&amp;ROUNDUP(MONTH(Sheet1[[#This Row],[date_joined]])/3,0)</f>
        <v>Q1</v>
      </c>
      <c r="Q771" s="2" t="str">
        <f>IF(Sheet1[[#This Row],[age]]&lt;30,"Young",IF(Sheet1[[#This Row],[age]]&lt;=50,"Adult","Senior"))</f>
        <v>Senior</v>
      </c>
      <c r="R771" s="2" t="str">
        <f t="shared" si="24"/>
        <v>Very High</v>
      </c>
      <c r="S771" s="2" t="str">
        <f t="shared" si="25"/>
        <v>North - Retired</v>
      </c>
    </row>
    <row r="772" spans="1:19" x14ac:dyDescent="0.3">
      <c r="A772" t="s">
        <v>1567</v>
      </c>
      <c r="B772" t="s">
        <v>1568</v>
      </c>
      <c r="C772">
        <v>53</v>
      </c>
      <c r="D772" s="2" t="s">
        <v>21</v>
      </c>
      <c r="E772" s="2" t="s">
        <v>30</v>
      </c>
      <c r="F772" s="2" t="s">
        <v>31</v>
      </c>
      <c r="G772" s="2" t="s">
        <v>66</v>
      </c>
      <c r="H772" s="2" t="s">
        <v>18</v>
      </c>
      <c r="I772" s="2" t="s">
        <v>17</v>
      </c>
      <c r="J772">
        <v>0.52</v>
      </c>
      <c r="K772" s="1">
        <v>43938</v>
      </c>
      <c r="L772" s="2" t="str">
        <f>IF(Sheet1[[#This Row],[age]]&lt;18, "Under 18",IF(Sheet1[[#This Row],[age]]&lt;=30,"18-30",IF(Sheet1[[#This Row],[age]]&lt;=45,"31-45",IF(Sheet1[[#This Row],[age]]&lt;=60,"46-60","60+"))))</f>
        <v>46-60</v>
      </c>
      <c r="M772" s="2" t="str">
        <f>IF(Sheet1[[#This Row],[risk_score]]&lt;0.3,"Low",IF(Sheet1[[#This Row],[risk_score]]&lt;0.7,"Medium","High"))</f>
        <v>Medium</v>
      </c>
      <c r="N772">
        <f>YEAR(Sheet1[[#This Row],[date_joined]])</f>
        <v>2020</v>
      </c>
      <c r="O772" s="2" t="str">
        <f>TEXT(Sheet1[[#This Row],[date_joined]],"mmm")</f>
        <v>Apr</v>
      </c>
      <c r="P772" s="2" t="str">
        <f>"Q"&amp;ROUNDUP(MONTH(Sheet1[[#This Row],[date_joined]])/3,0)</f>
        <v>Q2</v>
      </c>
      <c r="Q772" s="2" t="str">
        <f>IF(Sheet1[[#This Row],[age]]&lt;30,"Young",IF(Sheet1[[#This Row],[age]]&lt;=50,"Adult","Senior"))</f>
        <v>Senior</v>
      </c>
      <c r="R772" s="2" t="str">
        <f t="shared" si="24"/>
        <v>High</v>
      </c>
      <c r="S772" s="2" t="str">
        <f t="shared" si="25"/>
        <v>North-East - Self-employed</v>
      </c>
    </row>
    <row r="773" spans="1:19" x14ac:dyDescent="0.3">
      <c r="A773" t="s">
        <v>1569</v>
      </c>
      <c r="B773" t="s">
        <v>1570</v>
      </c>
      <c r="C773">
        <v>67</v>
      </c>
      <c r="D773" s="2" t="s">
        <v>13</v>
      </c>
      <c r="E773" s="2" t="s">
        <v>30</v>
      </c>
      <c r="F773" s="2" t="s">
        <v>31</v>
      </c>
      <c r="G773" s="2" t="s">
        <v>24</v>
      </c>
      <c r="H773" s="2" t="s">
        <v>18</v>
      </c>
      <c r="I773" s="2" t="s">
        <v>17</v>
      </c>
      <c r="J773">
        <v>0.12</v>
      </c>
      <c r="K773" s="1">
        <v>44544</v>
      </c>
      <c r="L773" s="2" t="str">
        <f>IF(Sheet1[[#This Row],[age]]&lt;18, "Under 18",IF(Sheet1[[#This Row],[age]]&lt;=30,"18-30",IF(Sheet1[[#This Row],[age]]&lt;=45,"31-45",IF(Sheet1[[#This Row],[age]]&lt;=60,"46-60","60+"))))</f>
        <v>60+</v>
      </c>
      <c r="M773" s="2" t="str">
        <f>IF(Sheet1[[#This Row],[risk_score]]&lt;0.3,"Low",IF(Sheet1[[#This Row],[risk_score]]&lt;0.7,"Medium","High"))</f>
        <v>Low</v>
      </c>
      <c r="N773">
        <f>YEAR(Sheet1[[#This Row],[date_joined]])</f>
        <v>2021</v>
      </c>
      <c r="O773" s="2" t="str">
        <f>TEXT(Sheet1[[#This Row],[date_joined]],"mmm")</f>
        <v>Dec</v>
      </c>
      <c r="P773" s="2" t="str">
        <f>"Q"&amp;ROUNDUP(MONTH(Sheet1[[#This Row],[date_joined]])/3,0)</f>
        <v>Q4</v>
      </c>
      <c r="Q773" s="2" t="str">
        <f>IF(Sheet1[[#This Row],[age]]&lt;30,"Young",IF(Sheet1[[#This Row],[age]]&lt;=50,"Adult","Senior"))</f>
        <v>Senior</v>
      </c>
      <c r="R773" s="2" t="str">
        <f t="shared" si="24"/>
        <v>High</v>
      </c>
      <c r="S773" s="2" t="str">
        <f t="shared" si="25"/>
        <v>East - Self-employed</v>
      </c>
    </row>
    <row r="774" spans="1:19" x14ac:dyDescent="0.3">
      <c r="A774" t="s">
        <v>1571</v>
      </c>
      <c r="B774" t="s">
        <v>1572</v>
      </c>
      <c r="C774">
        <v>56</v>
      </c>
      <c r="D774" s="2" t="s">
        <v>13</v>
      </c>
      <c r="E774" s="2" t="s">
        <v>22</v>
      </c>
      <c r="F774" s="2" t="s">
        <v>15</v>
      </c>
      <c r="G774" s="2" t="s">
        <v>32</v>
      </c>
      <c r="H774" s="2" t="s">
        <v>17</v>
      </c>
      <c r="I774" s="2" t="s">
        <v>17</v>
      </c>
      <c r="J774">
        <v>0.27</v>
      </c>
      <c r="K774" s="1">
        <v>45097</v>
      </c>
      <c r="L774" s="2" t="str">
        <f>IF(Sheet1[[#This Row],[age]]&lt;18, "Under 18",IF(Sheet1[[#This Row],[age]]&lt;=30,"18-30",IF(Sheet1[[#This Row],[age]]&lt;=45,"31-45",IF(Sheet1[[#This Row],[age]]&lt;=60,"46-60","60+"))))</f>
        <v>46-60</v>
      </c>
      <c r="M774" s="2" t="str">
        <f>IF(Sheet1[[#This Row],[risk_score]]&lt;0.3,"Low",IF(Sheet1[[#This Row],[risk_score]]&lt;0.7,"Medium","High"))</f>
        <v>Low</v>
      </c>
      <c r="N774">
        <f>YEAR(Sheet1[[#This Row],[date_joined]])</f>
        <v>2023</v>
      </c>
      <c r="O774" s="2" t="str">
        <f>TEXT(Sheet1[[#This Row],[date_joined]],"mmm")</f>
        <v>Jun</v>
      </c>
      <c r="P774" s="2" t="str">
        <f>"Q"&amp;ROUNDUP(MONTH(Sheet1[[#This Row],[date_joined]])/3,0)</f>
        <v>Q2</v>
      </c>
      <c r="Q774" s="2" t="str">
        <f>IF(Sheet1[[#This Row],[age]]&lt;30,"Young",IF(Sheet1[[#This Row],[age]]&lt;=50,"Adult","Senior"))</f>
        <v>Senior</v>
      </c>
      <c r="R774" s="2" t="str">
        <f t="shared" si="24"/>
        <v>Low</v>
      </c>
      <c r="S774" s="2" t="str">
        <f t="shared" si="25"/>
        <v>South - Student</v>
      </c>
    </row>
    <row r="775" spans="1:19" x14ac:dyDescent="0.3">
      <c r="A775" t="s">
        <v>1573</v>
      </c>
      <c r="B775" t="s">
        <v>1574</v>
      </c>
      <c r="C775">
        <v>18</v>
      </c>
      <c r="D775" s="2" t="s">
        <v>13</v>
      </c>
      <c r="E775" s="2" t="s">
        <v>22</v>
      </c>
      <c r="F775" s="2" t="s">
        <v>37</v>
      </c>
      <c r="G775" s="2" t="s">
        <v>81</v>
      </c>
      <c r="H775" s="2" t="s">
        <v>18</v>
      </c>
      <c r="I775" s="2" t="s">
        <v>18</v>
      </c>
      <c r="J775">
        <v>0.09</v>
      </c>
      <c r="K775" s="1">
        <v>45257</v>
      </c>
      <c r="L775" s="2" t="str">
        <f>IF(Sheet1[[#This Row],[age]]&lt;18, "Under 18",IF(Sheet1[[#This Row],[age]]&lt;=30,"18-30",IF(Sheet1[[#This Row],[age]]&lt;=45,"31-45",IF(Sheet1[[#This Row],[age]]&lt;=60,"46-60","60+"))))</f>
        <v>18-30</v>
      </c>
      <c r="M775" s="2" t="str">
        <f>IF(Sheet1[[#This Row],[risk_score]]&lt;0.3,"Low",IF(Sheet1[[#This Row],[risk_score]]&lt;0.7,"Medium","High"))</f>
        <v>Low</v>
      </c>
      <c r="N775">
        <f>YEAR(Sheet1[[#This Row],[date_joined]])</f>
        <v>2023</v>
      </c>
      <c r="O775" s="2" t="str">
        <f>TEXT(Sheet1[[#This Row],[date_joined]],"mmm")</f>
        <v>Nov</v>
      </c>
      <c r="P775" s="2" t="str">
        <f>"Q"&amp;ROUNDUP(MONTH(Sheet1[[#This Row],[date_joined]])/3,0)</f>
        <v>Q4</v>
      </c>
      <c r="Q775" s="2" t="str">
        <f>IF(Sheet1[[#This Row],[age]]&lt;30,"Young",IF(Sheet1[[#This Row],[age]]&lt;=50,"Adult","Senior"))</f>
        <v>Young</v>
      </c>
      <c r="R775" s="2" t="str">
        <f t="shared" si="24"/>
        <v>Very High</v>
      </c>
      <c r="S775" s="2" t="str">
        <f t="shared" si="25"/>
        <v>Central - Retired</v>
      </c>
    </row>
    <row r="776" spans="1:19" x14ac:dyDescent="0.3">
      <c r="A776" t="s">
        <v>1575</v>
      </c>
      <c r="B776" t="s">
        <v>1576</v>
      </c>
      <c r="C776">
        <v>32</v>
      </c>
      <c r="D776" s="2" t="s">
        <v>21</v>
      </c>
      <c r="E776" s="2" t="s">
        <v>30</v>
      </c>
      <c r="F776" s="2" t="s">
        <v>31</v>
      </c>
      <c r="G776" s="2" t="s">
        <v>81</v>
      </c>
      <c r="H776" s="2" t="s">
        <v>17</v>
      </c>
      <c r="I776" s="2" t="s">
        <v>17</v>
      </c>
      <c r="J776">
        <v>0.32</v>
      </c>
      <c r="K776" s="1">
        <v>44154</v>
      </c>
      <c r="L776" s="2" t="str">
        <f>IF(Sheet1[[#This Row],[age]]&lt;18, "Under 18",IF(Sheet1[[#This Row],[age]]&lt;=30,"18-30",IF(Sheet1[[#This Row],[age]]&lt;=45,"31-45",IF(Sheet1[[#This Row],[age]]&lt;=60,"46-60","60+"))))</f>
        <v>31-45</v>
      </c>
      <c r="M776" s="2" t="str">
        <f>IF(Sheet1[[#This Row],[risk_score]]&lt;0.3,"Low",IF(Sheet1[[#This Row],[risk_score]]&lt;0.7,"Medium","High"))</f>
        <v>Medium</v>
      </c>
      <c r="N776">
        <f>YEAR(Sheet1[[#This Row],[date_joined]])</f>
        <v>2020</v>
      </c>
      <c r="O776" s="2" t="str">
        <f>TEXT(Sheet1[[#This Row],[date_joined]],"mmm")</f>
        <v>Nov</v>
      </c>
      <c r="P776" s="2" t="str">
        <f>"Q"&amp;ROUNDUP(MONTH(Sheet1[[#This Row],[date_joined]])/3,0)</f>
        <v>Q4</v>
      </c>
      <c r="Q776" s="2" t="str">
        <f>IF(Sheet1[[#This Row],[age]]&lt;30,"Young",IF(Sheet1[[#This Row],[age]]&lt;=50,"Adult","Senior"))</f>
        <v>Adult</v>
      </c>
      <c r="R776" s="2" t="str">
        <f t="shared" si="24"/>
        <v>Low</v>
      </c>
      <c r="S776" s="2" t="str">
        <f t="shared" si="25"/>
        <v>Central - Self-employed</v>
      </c>
    </row>
    <row r="777" spans="1:19" x14ac:dyDescent="0.3">
      <c r="A777" t="s">
        <v>1577</v>
      </c>
      <c r="B777" t="s">
        <v>1578</v>
      </c>
      <c r="C777">
        <v>68</v>
      </c>
      <c r="D777" s="2" t="s">
        <v>21</v>
      </c>
      <c r="E777" s="2" t="s">
        <v>22</v>
      </c>
      <c r="F777" s="2" t="s">
        <v>15</v>
      </c>
      <c r="G777" s="2" t="s">
        <v>81</v>
      </c>
      <c r="H777" s="2" t="s">
        <v>18</v>
      </c>
      <c r="I777" s="2" t="s">
        <v>18</v>
      </c>
      <c r="J777">
        <v>0.06</v>
      </c>
      <c r="K777" s="1">
        <v>44307</v>
      </c>
      <c r="L777" s="2" t="str">
        <f>IF(Sheet1[[#This Row],[age]]&lt;18, "Under 18",IF(Sheet1[[#This Row],[age]]&lt;=30,"18-30",IF(Sheet1[[#This Row],[age]]&lt;=45,"31-45",IF(Sheet1[[#This Row],[age]]&lt;=60,"46-60","60+"))))</f>
        <v>60+</v>
      </c>
      <c r="M777" s="2" t="str">
        <f>IF(Sheet1[[#This Row],[risk_score]]&lt;0.3,"Low",IF(Sheet1[[#This Row],[risk_score]]&lt;0.7,"Medium","High"))</f>
        <v>Low</v>
      </c>
      <c r="N777">
        <f>YEAR(Sheet1[[#This Row],[date_joined]])</f>
        <v>2021</v>
      </c>
      <c r="O777" s="2" t="str">
        <f>TEXT(Sheet1[[#This Row],[date_joined]],"mmm")</f>
        <v>Apr</v>
      </c>
      <c r="P777" s="2" t="str">
        <f>"Q"&amp;ROUNDUP(MONTH(Sheet1[[#This Row],[date_joined]])/3,0)</f>
        <v>Q2</v>
      </c>
      <c r="Q777" s="2" t="str">
        <f>IF(Sheet1[[#This Row],[age]]&lt;30,"Young",IF(Sheet1[[#This Row],[age]]&lt;=50,"Adult","Senior"))</f>
        <v>Senior</v>
      </c>
      <c r="R777" s="2" t="str">
        <f t="shared" si="24"/>
        <v>Very High</v>
      </c>
      <c r="S777" s="2" t="str">
        <f t="shared" si="25"/>
        <v>Central - Student</v>
      </c>
    </row>
    <row r="778" spans="1:19" x14ac:dyDescent="0.3">
      <c r="A778" t="s">
        <v>1579</v>
      </c>
      <c r="B778" t="s">
        <v>1580</v>
      </c>
      <c r="C778">
        <v>52</v>
      </c>
      <c r="D778" s="2" t="s">
        <v>13</v>
      </c>
      <c r="E778" s="2" t="s">
        <v>30</v>
      </c>
      <c r="F778" s="2" t="s">
        <v>15</v>
      </c>
      <c r="G778" s="2" t="s">
        <v>66</v>
      </c>
      <c r="H778" s="2" t="s">
        <v>18</v>
      </c>
      <c r="I778" s="2" t="s">
        <v>17</v>
      </c>
      <c r="J778">
        <v>0.18</v>
      </c>
      <c r="K778" s="1">
        <v>44661</v>
      </c>
      <c r="L778" s="2" t="str">
        <f>IF(Sheet1[[#This Row],[age]]&lt;18, "Under 18",IF(Sheet1[[#This Row],[age]]&lt;=30,"18-30",IF(Sheet1[[#This Row],[age]]&lt;=45,"31-45",IF(Sheet1[[#This Row],[age]]&lt;=60,"46-60","60+"))))</f>
        <v>46-60</v>
      </c>
      <c r="M778" s="2" t="str">
        <f>IF(Sheet1[[#This Row],[risk_score]]&lt;0.3,"Low",IF(Sheet1[[#This Row],[risk_score]]&lt;0.7,"Medium","High"))</f>
        <v>Low</v>
      </c>
      <c r="N778">
        <f>YEAR(Sheet1[[#This Row],[date_joined]])</f>
        <v>2022</v>
      </c>
      <c r="O778" s="2" t="str">
        <f>TEXT(Sheet1[[#This Row],[date_joined]],"mmm")</f>
        <v>Apr</v>
      </c>
      <c r="P778" s="2" t="str">
        <f>"Q"&amp;ROUNDUP(MONTH(Sheet1[[#This Row],[date_joined]])/3,0)</f>
        <v>Q2</v>
      </c>
      <c r="Q778" s="2" t="str">
        <f>IF(Sheet1[[#This Row],[age]]&lt;30,"Young",IF(Sheet1[[#This Row],[age]]&lt;=50,"Adult","Senior"))</f>
        <v>Senior</v>
      </c>
      <c r="R778" s="2" t="str">
        <f t="shared" si="24"/>
        <v>High</v>
      </c>
      <c r="S778" s="2" t="str">
        <f t="shared" si="25"/>
        <v>North-East - Student</v>
      </c>
    </row>
    <row r="779" spans="1:19" x14ac:dyDescent="0.3">
      <c r="A779" t="s">
        <v>1581</v>
      </c>
      <c r="B779" t="s">
        <v>1582</v>
      </c>
      <c r="C779">
        <v>67</v>
      </c>
      <c r="D779" s="2" t="s">
        <v>21</v>
      </c>
      <c r="E779" s="2" t="s">
        <v>14</v>
      </c>
      <c r="F779" s="2" t="s">
        <v>37</v>
      </c>
      <c r="G779" s="2" t="s">
        <v>27</v>
      </c>
      <c r="H779" s="2" t="s">
        <v>17</v>
      </c>
      <c r="I779" s="2" t="s">
        <v>17</v>
      </c>
      <c r="J779">
        <v>0.76</v>
      </c>
      <c r="K779" s="1">
        <v>44003</v>
      </c>
      <c r="L779" s="2" t="str">
        <f>IF(Sheet1[[#This Row],[age]]&lt;18, "Under 18",IF(Sheet1[[#This Row],[age]]&lt;=30,"18-30",IF(Sheet1[[#This Row],[age]]&lt;=45,"31-45",IF(Sheet1[[#This Row],[age]]&lt;=60,"46-60","60+"))))</f>
        <v>60+</v>
      </c>
      <c r="M779" s="2" t="str">
        <f>IF(Sheet1[[#This Row],[risk_score]]&lt;0.3,"Low",IF(Sheet1[[#This Row],[risk_score]]&lt;0.7,"Medium","High"))</f>
        <v>High</v>
      </c>
      <c r="N779">
        <f>YEAR(Sheet1[[#This Row],[date_joined]])</f>
        <v>2020</v>
      </c>
      <c r="O779" s="2" t="str">
        <f>TEXT(Sheet1[[#This Row],[date_joined]],"mmm")</f>
        <v>Jun</v>
      </c>
      <c r="P779" s="2" t="str">
        <f>"Q"&amp;ROUNDUP(MONTH(Sheet1[[#This Row],[date_joined]])/3,0)</f>
        <v>Q2</v>
      </c>
      <c r="Q779" s="2" t="str">
        <f>IF(Sheet1[[#This Row],[age]]&lt;30,"Young",IF(Sheet1[[#This Row],[age]]&lt;=50,"Adult","Senior"))</f>
        <v>Senior</v>
      </c>
      <c r="R779" s="2" t="str">
        <f t="shared" si="24"/>
        <v>Low</v>
      </c>
      <c r="S779" s="2" t="str">
        <f t="shared" si="25"/>
        <v>North - Retired</v>
      </c>
    </row>
    <row r="780" spans="1:19" x14ac:dyDescent="0.3">
      <c r="A780" t="s">
        <v>1583</v>
      </c>
      <c r="B780" t="s">
        <v>1584</v>
      </c>
      <c r="C780">
        <v>20</v>
      </c>
      <c r="D780" s="2" t="s">
        <v>13</v>
      </c>
      <c r="E780" s="2" t="s">
        <v>22</v>
      </c>
      <c r="F780" s="2" t="s">
        <v>23</v>
      </c>
      <c r="G780" s="2" t="s">
        <v>32</v>
      </c>
      <c r="H780" s="2" t="s">
        <v>18</v>
      </c>
      <c r="I780" s="2" t="s">
        <v>17</v>
      </c>
      <c r="J780">
        <v>0.5</v>
      </c>
      <c r="K780" s="1">
        <v>43183</v>
      </c>
      <c r="L780" s="2" t="str">
        <f>IF(Sheet1[[#This Row],[age]]&lt;18, "Under 18",IF(Sheet1[[#This Row],[age]]&lt;=30,"18-30",IF(Sheet1[[#This Row],[age]]&lt;=45,"31-45",IF(Sheet1[[#This Row],[age]]&lt;=60,"46-60","60+"))))</f>
        <v>18-30</v>
      </c>
      <c r="M780" s="2" t="str">
        <f>IF(Sheet1[[#This Row],[risk_score]]&lt;0.3,"Low",IF(Sheet1[[#This Row],[risk_score]]&lt;0.7,"Medium","High"))</f>
        <v>Medium</v>
      </c>
      <c r="N780">
        <f>YEAR(Sheet1[[#This Row],[date_joined]])</f>
        <v>2018</v>
      </c>
      <c r="O780" s="2" t="str">
        <f>TEXT(Sheet1[[#This Row],[date_joined]],"mmm")</f>
        <v>Mar</v>
      </c>
      <c r="P780" s="2" t="str">
        <f>"Q"&amp;ROUNDUP(MONTH(Sheet1[[#This Row],[date_joined]])/3,0)</f>
        <v>Q1</v>
      </c>
      <c r="Q780" s="2" t="str">
        <f>IF(Sheet1[[#This Row],[age]]&lt;30,"Young",IF(Sheet1[[#This Row],[age]]&lt;=50,"Adult","Senior"))</f>
        <v>Young</v>
      </c>
      <c r="R780" s="2" t="str">
        <f t="shared" si="24"/>
        <v>High</v>
      </c>
      <c r="S780" s="2" t="str">
        <f t="shared" si="25"/>
        <v>South - Salaried</v>
      </c>
    </row>
    <row r="781" spans="1:19" x14ac:dyDescent="0.3">
      <c r="A781" t="s">
        <v>1585</v>
      </c>
      <c r="B781" t="s">
        <v>1586</v>
      </c>
      <c r="C781">
        <v>42</v>
      </c>
      <c r="D781" s="2" t="s">
        <v>21</v>
      </c>
      <c r="E781" s="2" t="s">
        <v>14</v>
      </c>
      <c r="F781" s="2" t="s">
        <v>23</v>
      </c>
      <c r="G781" s="2" t="s">
        <v>16</v>
      </c>
      <c r="H781" s="2" t="s">
        <v>18</v>
      </c>
      <c r="I781" s="2" t="s">
        <v>18</v>
      </c>
      <c r="J781">
        <v>0.47</v>
      </c>
      <c r="K781" s="1">
        <v>43652</v>
      </c>
      <c r="L781" s="2" t="str">
        <f>IF(Sheet1[[#This Row],[age]]&lt;18, "Under 18",IF(Sheet1[[#This Row],[age]]&lt;=30,"18-30",IF(Sheet1[[#This Row],[age]]&lt;=45,"31-45",IF(Sheet1[[#This Row],[age]]&lt;=60,"46-60","60+"))))</f>
        <v>31-45</v>
      </c>
      <c r="M781" s="2" t="str">
        <f>IF(Sheet1[[#This Row],[risk_score]]&lt;0.3,"Low",IF(Sheet1[[#This Row],[risk_score]]&lt;0.7,"Medium","High"))</f>
        <v>Medium</v>
      </c>
      <c r="N781">
        <f>YEAR(Sheet1[[#This Row],[date_joined]])</f>
        <v>2019</v>
      </c>
      <c r="O781" s="2" t="str">
        <f>TEXT(Sheet1[[#This Row],[date_joined]],"mmm")</f>
        <v>Jul</v>
      </c>
      <c r="P781" s="2" t="str">
        <f>"Q"&amp;ROUNDUP(MONTH(Sheet1[[#This Row],[date_joined]])/3,0)</f>
        <v>Q3</v>
      </c>
      <c r="Q781" s="2" t="str">
        <f>IF(Sheet1[[#This Row],[age]]&lt;30,"Young",IF(Sheet1[[#This Row],[age]]&lt;=50,"Adult","Senior"))</f>
        <v>Adult</v>
      </c>
      <c r="R781" s="2" t="str">
        <f t="shared" si="24"/>
        <v>Very High</v>
      </c>
      <c r="S781" s="2" t="str">
        <f t="shared" si="25"/>
        <v>West - Salaried</v>
      </c>
    </row>
    <row r="782" spans="1:19" x14ac:dyDescent="0.3">
      <c r="A782" t="s">
        <v>1587</v>
      </c>
      <c r="B782" t="s">
        <v>1588</v>
      </c>
      <c r="C782">
        <v>50</v>
      </c>
      <c r="D782" s="2" t="s">
        <v>21</v>
      </c>
      <c r="E782" s="2" t="s">
        <v>14</v>
      </c>
      <c r="F782" s="2" t="s">
        <v>31</v>
      </c>
      <c r="G782" s="2" t="s">
        <v>16</v>
      </c>
      <c r="H782" s="2" t="s">
        <v>18</v>
      </c>
      <c r="I782" s="2" t="s">
        <v>18</v>
      </c>
      <c r="J782">
        <v>0.6</v>
      </c>
      <c r="K782" s="1">
        <v>44830</v>
      </c>
      <c r="L782" s="2" t="str">
        <f>IF(Sheet1[[#This Row],[age]]&lt;18, "Under 18",IF(Sheet1[[#This Row],[age]]&lt;=30,"18-30",IF(Sheet1[[#This Row],[age]]&lt;=45,"31-45",IF(Sheet1[[#This Row],[age]]&lt;=60,"46-60","60+"))))</f>
        <v>46-60</v>
      </c>
      <c r="M782" s="2" t="str">
        <f>IF(Sheet1[[#This Row],[risk_score]]&lt;0.3,"Low",IF(Sheet1[[#This Row],[risk_score]]&lt;0.7,"Medium","High"))</f>
        <v>Medium</v>
      </c>
      <c r="N782">
        <f>YEAR(Sheet1[[#This Row],[date_joined]])</f>
        <v>2022</v>
      </c>
      <c r="O782" s="2" t="str">
        <f>TEXT(Sheet1[[#This Row],[date_joined]],"mmm")</f>
        <v>Sep</v>
      </c>
      <c r="P782" s="2" t="str">
        <f>"Q"&amp;ROUNDUP(MONTH(Sheet1[[#This Row],[date_joined]])/3,0)</f>
        <v>Q3</v>
      </c>
      <c r="Q782" s="2" t="str">
        <f>IF(Sheet1[[#This Row],[age]]&lt;30,"Young",IF(Sheet1[[#This Row],[age]]&lt;=50,"Adult","Senior"))</f>
        <v>Adult</v>
      </c>
      <c r="R782" s="2" t="str">
        <f t="shared" si="24"/>
        <v>Very High</v>
      </c>
      <c r="S782" s="2" t="str">
        <f t="shared" si="25"/>
        <v>West - Self-employed</v>
      </c>
    </row>
    <row r="783" spans="1:19" x14ac:dyDescent="0.3">
      <c r="A783" t="s">
        <v>1589</v>
      </c>
      <c r="B783" t="s">
        <v>1590</v>
      </c>
      <c r="C783">
        <v>58</v>
      </c>
      <c r="D783" s="2" t="s">
        <v>21</v>
      </c>
      <c r="E783" s="2" t="s">
        <v>14</v>
      </c>
      <c r="F783" s="2" t="s">
        <v>23</v>
      </c>
      <c r="G783" s="2" t="s">
        <v>81</v>
      </c>
      <c r="H783" s="2" t="s">
        <v>18</v>
      </c>
      <c r="I783" s="2" t="s">
        <v>17</v>
      </c>
      <c r="J783">
        <v>0.49</v>
      </c>
      <c r="K783" s="1">
        <v>43957</v>
      </c>
      <c r="L783" s="2" t="str">
        <f>IF(Sheet1[[#This Row],[age]]&lt;18, "Under 18",IF(Sheet1[[#This Row],[age]]&lt;=30,"18-30",IF(Sheet1[[#This Row],[age]]&lt;=45,"31-45",IF(Sheet1[[#This Row],[age]]&lt;=60,"46-60","60+"))))</f>
        <v>46-60</v>
      </c>
      <c r="M783" s="2" t="str">
        <f>IF(Sheet1[[#This Row],[risk_score]]&lt;0.3,"Low",IF(Sheet1[[#This Row],[risk_score]]&lt;0.7,"Medium","High"))</f>
        <v>Medium</v>
      </c>
      <c r="N783">
        <f>YEAR(Sheet1[[#This Row],[date_joined]])</f>
        <v>2020</v>
      </c>
      <c r="O783" s="2" t="str">
        <f>TEXT(Sheet1[[#This Row],[date_joined]],"mmm")</f>
        <v>May</v>
      </c>
      <c r="P783" s="2" t="str">
        <f>"Q"&amp;ROUNDUP(MONTH(Sheet1[[#This Row],[date_joined]])/3,0)</f>
        <v>Q2</v>
      </c>
      <c r="Q783" s="2" t="str">
        <f>IF(Sheet1[[#This Row],[age]]&lt;30,"Young",IF(Sheet1[[#This Row],[age]]&lt;=50,"Adult","Senior"))</f>
        <v>Senior</v>
      </c>
      <c r="R783" s="2" t="str">
        <f t="shared" si="24"/>
        <v>High</v>
      </c>
      <c r="S783" s="2" t="str">
        <f t="shared" si="25"/>
        <v>Central - Salaried</v>
      </c>
    </row>
    <row r="784" spans="1:19" x14ac:dyDescent="0.3">
      <c r="A784" t="s">
        <v>1591</v>
      </c>
      <c r="B784" t="s">
        <v>1592</v>
      </c>
      <c r="C784">
        <v>27</v>
      </c>
      <c r="D784" s="2" t="s">
        <v>21</v>
      </c>
      <c r="E784" s="2" t="s">
        <v>14</v>
      </c>
      <c r="F784" s="2" t="s">
        <v>23</v>
      </c>
      <c r="G784" s="2" t="s">
        <v>66</v>
      </c>
      <c r="H784" s="2" t="s">
        <v>18</v>
      </c>
      <c r="I784" s="2" t="s">
        <v>17</v>
      </c>
      <c r="J784">
        <v>0.14000000000000001</v>
      </c>
      <c r="K784" s="1">
        <v>44228</v>
      </c>
      <c r="L784" s="2" t="str">
        <f>IF(Sheet1[[#This Row],[age]]&lt;18, "Under 18",IF(Sheet1[[#This Row],[age]]&lt;=30,"18-30",IF(Sheet1[[#This Row],[age]]&lt;=45,"31-45",IF(Sheet1[[#This Row],[age]]&lt;=60,"46-60","60+"))))</f>
        <v>18-30</v>
      </c>
      <c r="M784" s="2" t="str">
        <f>IF(Sheet1[[#This Row],[risk_score]]&lt;0.3,"Low",IF(Sheet1[[#This Row],[risk_score]]&lt;0.7,"Medium","High"))</f>
        <v>Low</v>
      </c>
      <c r="N784">
        <f>YEAR(Sheet1[[#This Row],[date_joined]])</f>
        <v>2021</v>
      </c>
      <c r="O784" s="2" t="str">
        <f>TEXT(Sheet1[[#This Row],[date_joined]],"mmm")</f>
        <v>Feb</v>
      </c>
      <c r="P784" s="2" t="str">
        <f>"Q"&amp;ROUNDUP(MONTH(Sheet1[[#This Row],[date_joined]])/3,0)</f>
        <v>Q1</v>
      </c>
      <c r="Q784" s="2" t="str">
        <f>IF(Sheet1[[#This Row],[age]]&lt;30,"Young",IF(Sheet1[[#This Row],[age]]&lt;=50,"Adult","Senior"))</f>
        <v>Young</v>
      </c>
      <c r="R784" s="2" t="str">
        <f t="shared" si="24"/>
        <v>High</v>
      </c>
      <c r="S784" s="2" t="str">
        <f t="shared" si="25"/>
        <v>North-East - Salaried</v>
      </c>
    </row>
    <row r="785" spans="1:19" x14ac:dyDescent="0.3">
      <c r="A785" t="s">
        <v>1593</v>
      </c>
      <c r="B785" t="s">
        <v>1594</v>
      </c>
      <c r="C785">
        <v>46</v>
      </c>
      <c r="D785" s="2" t="s">
        <v>13</v>
      </c>
      <c r="E785" s="2" t="s">
        <v>14</v>
      </c>
      <c r="F785" s="2" t="s">
        <v>15</v>
      </c>
      <c r="G785" s="2" t="s">
        <v>24</v>
      </c>
      <c r="H785" s="2" t="s">
        <v>17</v>
      </c>
      <c r="I785" s="2" t="s">
        <v>18</v>
      </c>
      <c r="J785">
        <v>0.76</v>
      </c>
      <c r="K785" s="1">
        <v>45147</v>
      </c>
      <c r="L785" s="2" t="str">
        <f>IF(Sheet1[[#This Row],[age]]&lt;18, "Under 18",IF(Sheet1[[#This Row],[age]]&lt;=30,"18-30",IF(Sheet1[[#This Row],[age]]&lt;=45,"31-45",IF(Sheet1[[#This Row],[age]]&lt;=60,"46-60","60+"))))</f>
        <v>46-60</v>
      </c>
      <c r="M785" s="2" t="str">
        <f>IF(Sheet1[[#This Row],[risk_score]]&lt;0.3,"Low",IF(Sheet1[[#This Row],[risk_score]]&lt;0.7,"Medium","High"))</f>
        <v>High</v>
      </c>
      <c r="N785">
        <f>YEAR(Sheet1[[#This Row],[date_joined]])</f>
        <v>2023</v>
      </c>
      <c r="O785" s="2" t="str">
        <f>TEXT(Sheet1[[#This Row],[date_joined]],"mmm")</f>
        <v>Aug</v>
      </c>
      <c r="P785" s="2" t="str">
        <f>"Q"&amp;ROUNDUP(MONTH(Sheet1[[#This Row],[date_joined]])/3,0)</f>
        <v>Q3</v>
      </c>
      <c r="Q785" s="2" t="str">
        <f>IF(Sheet1[[#This Row],[age]]&lt;30,"Young",IF(Sheet1[[#This Row],[age]]&lt;=50,"Adult","Senior"))</f>
        <v>Adult</v>
      </c>
      <c r="R785" s="2" t="str">
        <f t="shared" si="24"/>
        <v>High</v>
      </c>
      <c r="S785" s="2" t="str">
        <f t="shared" si="25"/>
        <v>East - Student</v>
      </c>
    </row>
    <row r="786" spans="1:19" x14ac:dyDescent="0.3">
      <c r="A786" t="s">
        <v>1595</v>
      </c>
      <c r="B786" t="s">
        <v>1596</v>
      </c>
      <c r="C786">
        <v>66</v>
      </c>
      <c r="D786" s="2" t="s">
        <v>13</v>
      </c>
      <c r="E786" s="2" t="s">
        <v>14</v>
      </c>
      <c r="F786" s="2" t="s">
        <v>31</v>
      </c>
      <c r="G786" s="2" t="s">
        <v>27</v>
      </c>
      <c r="H786" s="2" t="s">
        <v>17</v>
      </c>
      <c r="I786" s="2" t="s">
        <v>18</v>
      </c>
      <c r="J786">
        <v>0.57999999999999996</v>
      </c>
      <c r="K786" s="1">
        <v>44957</v>
      </c>
      <c r="L786" s="2" t="str">
        <f>IF(Sheet1[[#This Row],[age]]&lt;18, "Under 18",IF(Sheet1[[#This Row],[age]]&lt;=30,"18-30",IF(Sheet1[[#This Row],[age]]&lt;=45,"31-45",IF(Sheet1[[#This Row],[age]]&lt;=60,"46-60","60+"))))</f>
        <v>60+</v>
      </c>
      <c r="M786" s="2" t="str">
        <f>IF(Sheet1[[#This Row],[risk_score]]&lt;0.3,"Low",IF(Sheet1[[#This Row],[risk_score]]&lt;0.7,"Medium","High"))</f>
        <v>Medium</v>
      </c>
      <c r="N786">
        <f>YEAR(Sheet1[[#This Row],[date_joined]])</f>
        <v>2023</v>
      </c>
      <c r="O786" s="2" t="str">
        <f>TEXT(Sheet1[[#This Row],[date_joined]],"mmm")</f>
        <v>Jan</v>
      </c>
      <c r="P786" s="2" t="str">
        <f>"Q"&amp;ROUNDUP(MONTH(Sheet1[[#This Row],[date_joined]])/3,0)</f>
        <v>Q1</v>
      </c>
      <c r="Q786" s="2" t="str">
        <f>IF(Sheet1[[#This Row],[age]]&lt;30,"Young",IF(Sheet1[[#This Row],[age]]&lt;=50,"Adult","Senior"))</f>
        <v>Senior</v>
      </c>
      <c r="R786" s="2" t="str">
        <f t="shared" si="24"/>
        <v>High</v>
      </c>
      <c r="S786" s="2" t="str">
        <f t="shared" si="25"/>
        <v>North - Self-employed</v>
      </c>
    </row>
    <row r="787" spans="1:19" x14ac:dyDescent="0.3">
      <c r="A787" t="s">
        <v>1597</v>
      </c>
      <c r="B787" t="s">
        <v>1598</v>
      </c>
      <c r="C787">
        <v>64</v>
      </c>
      <c r="D787" s="2" t="s">
        <v>13</v>
      </c>
      <c r="E787" s="2" t="s">
        <v>14</v>
      </c>
      <c r="F787" s="2" t="s">
        <v>15</v>
      </c>
      <c r="G787" s="2" t="s">
        <v>66</v>
      </c>
      <c r="H787" s="2" t="s">
        <v>18</v>
      </c>
      <c r="I787" s="2" t="s">
        <v>18</v>
      </c>
      <c r="J787">
        <v>0.62</v>
      </c>
      <c r="K787" s="1">
        <v>43124</v>
      </c>
      <c r="L787" s="2" t="str">
        <f>IF(Sheet1[[#This Row],[age]]&lt;18, "Under 18",IF(Sheet1[[#This Row],[age]]&lt;=30,"18-30",IF(Sheet1[[#This Row],[age]]&lt;=45,"31-45",IF(Sheet1[[#This Row],[age]]&lt;=60,"46-60","60+"))))</f>
        <v>60+</v>
      </c>
      <c r="M787" s="2" t="str">
        <f>IF(Sheet1[[#This Row],[risk_score]]&lt;0.3,"Low",IF(Sheet1[[#This Row],[risk_score]]&lt;0.7,"Medium","High"))</f>
        <v>Medium</v>
      </c>
      <c r="N787">
        <f>YEAR(Sheet1[[#This Row],[date_joined]])</f>
        <v>2018</v>
      </c>
      <c r="O787" s="2" t="str">
        <f>TEXT(Sheet1[[#This Row],[date_joined]],"mmm")</f>
        <v>Jan</v>
      </c>
      <c r="P787" s="2" t="str">
        <f>"Q"&amp;ROUNDUP(MONTH(Sheet1[[#This Row],[date_joined]])/3,0)</f>
        <v>Q1</v>
      </c>
      <c r="Q787" s="2" t="str">
        <f>IF(Sheet1[[#This Row],[age]]&lt;30,"Young",IF(Sheet1[[#This Row],[age]]&lt;=50,"Adult","Senior"))</f>
        <v>Senior</v>
      </c>
      <c r="R787" s="2" t="str">
        <f t="shared" si="24"/>
        <v>Very High</v>
      </c>
      <c r="S787" s="2" t="str">
        <f t="shared" si="25"/>
        <v>North-East - Student</v>
      </c>
    </row>
    <row r="788" spans="1:19" x14ac:dyDescent="0.3">
      <c r="A788" t="s">
        <v>1599</v>
      </c>
      <c r="B788" t="s">
        <v>1600</v>
      </c>
      <c r="C788">
        <v>67</v>
      </c>
      <c r="D788" s="2" t="s">
        <v>13</v>
      </c>
      <c r="E788" s="2" t="s">
        <v>22</v>
      </c>
      <c r="F788" s="2" t="s">
        <v>37</v>
      </c>
      <c r="G788" s="2" t="s">
        <v>81</v>
      </c>
      <c r="H788" s="2" t="s">
        <v>18</v>
      </c>
      <c r="I788" s="2" t="s">
        <v>17</v>
      </c>
      <c r="J788">
        <v>0.54</v>
      </c>
      <c r="K788" s="1">
        <v>43741</v>
      </c>
      <c r="L788" s="2" t="str">
        <f>IF(Sheet1[[#This Row],[age]]&lt;18, "Under 18",IF(Sheet1[[#This Row],[age]]&lt;=30,"18-30",IF(Sheet1[[#This Row],[age]]&lt;=45,"31-45",IF(Sheet1[[#This Row],[age]]&lt;=60,"46-60","60+"))))</f>
        <v>60+</v>
      </c>
      <c r="M788" s="2" t="str">
        <f>IF(Sheet1[[#This Row],[risk_score]]&lt;0.3,"Low",IF(Sheet1[[#This Row],[risk_score]]&lt;0.7,"Medium","High"))</f>
        <v>Medium</v>
      </c>
      <c r="N788">
        <f>YEAR(Sheet1[[#This Row],[date_joined]])</f>
        <v>2019</v>
      </c>
      <c r="O788" s="2" t="str">
        <f>TEXT(Sheet1[[#This Row],[date_joined]],"mmm")</f>
        <v>Oct</v>
      </c>
      <c r="P788" s="2" t="str">
        <f>"Q"&amp;ROUNDUP(MONTH(Sheet1[[#This Row],[date_joined]])/3,0)</f>
        <v>Q4</v>
      </c>
      <c r="Q788" s="2" t="str">
        <f>IF(Sheet1[[#This Row],[age]]&lt;30,"Young",IF(Sheet1[[#This Row],[age]]&lt;=50,"Adult","Senior"))</f>
        <v>Senior</v>
      </c>
      <c r="R788" s="2" t="str">
        <f t="shared" si="24"/>
        <v>High</v>
      </c>
      <c r="S788" s="2" t="str">
        <f t="shared" si="25"/>
        <v>Central - Retired</v>
      </c>
    </row>
    <row r="789" spans="1:19" x14ac:dyDescent="0.3">
      <c r="A789" t="s">
        <v>1601</v>
      </c>
      <c r="B789" t="s">
        <v>1602</v>
      </c>
      <c r="C789">
        <v>18</v>
      </c>
      <c r="D789" s="2" t="s">
        <v>13</v>
      </c>
      <c r="E789" s="2" t="s">
        <v>22</v>
      </c>
      <c r="F789" s="2" t="s">
        <v>31</v>
      </c>
      <c r="G789" s="2" t="s">
        <v>32</v>
      </c>
      <c r="H789" s="2" t="s">
        <v>17</v>
      </c>
      <c r="I789" s="2" t="s">
        <v>18</v>
      </c>
      <c r="J789">
        <v>0.65</v>
      </c>
      <c r="K789" s="1">
        <v>43101</v>
      </c>
      <c r="L789" s="2" t="str">
        <f>IF(Sheet1[[#This Row],[age]]&lt;18, "Under 18",IF(Sheet1[[#This Row],[age]]&lt;=30,"18-30",IF(Sheet1[[#This Row],[age]]&lt;=45,"31-45",IF(Sheet1[[#This Row],[age]]&lt;=60,"46-60","60+"))))</f>
        <v>18-30</v>
      </c>
      <c r="M789" s="2" t="str">
        <f>IF(Sheet1[[#This Row],[risk_score]]&lt;0.3,"Low",IF(Sheet1[[#This Row],[risk_score]]&lt;0.7,"Medium","High"))</f>
        <v>Medium</v>
      </c>
      <c r="N789">
        <f>YEAR(Sheet1[[#This Row],[date_joined]])</f>
        <v>2018</v>
      </c>
      <c r="O789" s="2" t="str">
        <f>TEXT(Sheet1[[#This Row],[date_joined]],"mmm")</f>
        <v>Jan</v>
      </c>
      <c r="P789" s="2" t="str">
        <f>"Q"&amp;ROUNDUP(MONTH(Sheet1[[#This Row],[date_joined]])/3,0)</f>
        <v>Q1</v>
      </c>
      <c r="Q789" s="2" t="str">
        <f>IF(Sheet1[[#This Row],[age]]&lt;30,"Young",IF(Sheet1[[#This Row],[age]]&lt;=50,"Adult","Senior"))</f>
        <v>Young</v>
      </c>
      <c r="R789" s="2" t="str">
        <f t="shared" si="24"/>
        <v>High</v>
      </c>
      <c r="S789" s="2" t="str">
        <f t="shared" si="25"/>
        <v>South - Self-employed</v>
      </c>
    </row>
    <row r="790" spans="1:19" x14ac:dyDescent="0.3">
      <c r="A790" t="s">
        <v>1603</v>
      </c>
      <c r="B790" t="s">
        <v>1604</v>
      </c>
      <c r="C790">
        <v>69</v>
      </c>
      <c r="D790" s="2" t="s">
        <v>21</v>
      </c>
      <c r="E790" s="2" t="s">
        <v>14</v>
      </c>
      <c r="F790" s="2" t="s">
        <v>31</v>
      </c>
      <c r="G790" s="2" t="s">
        <v>81</v>
      </c>
      <c r="H790" s="2" t="s">
        <v>17</v>
      </c>
      <c r="I790" s="2" t="s">
        <v>17</v>
      </c>
      <c r="J790">
        <v>0.49</v>
      </c>
      <c r="K790" s="1">
        <v>44206</v>
      </c>
      <c r="L790" s="2" t="str">
        <f>IF(Sheet1[[#This Row],[age]]&lt;18, "Under 18",IF(Sheet1[[#This Row],[age]]&lt;=30,"18-30",IF(Sheet1[[#This Row],[age]]&lt;=45,"31-45",IF(Sheet1[[#This Row],[age]]&lt;=60,"46-60","60+"))))</f>
        <v>60+</v>
      </c>
      <c r="M790" s="2" t="str">
        <f>IF(Sheet1[[#This Row],[risk_score]]&lt;0.3,"Low",IF(Sheet1[[#This Row],[risk_score]]&lt;0.7,"Medium","High"))</f>
        <v>Medium</v>
      </c>
      <c r="N790">
        <f>YEAR(Sheet1[[#This Row],[date_joined]])</f>
        <v>2021</v>
      </c>
      <c r="O790" s="2" t="str">
        <f>TEXT(Sheet1[[#This Row],[date_joined]],"mmm")</f>
        <v>Jan</v>
      </c>
      <c r="P790" s="2" t="str">
        <f>"Q"&amp;ROUNDUP(MONTH(Sheet1[[#This Row],[date_joined]])/3,0)</f>
        <v>Q1</v>
      </c>
      <c r="Q790" s="2" t="str">
        <f>IF(Sheet1[[#This Row],[age]]&lt;30,"Young",IF(Sheet1[[#This Row],[age]]&lt;=50,"Adult","Senior"))</f>
        <v>Senior</v>
      </c>
      <c r="R790" s="2" t="str">
        <f t="shared" si="24"/>
        <v>Low</v>
      </c>
      <c r="S790" s="2" t="str">
        <f t="shared" si="25"/>
        <v>Central - Self-employed</v>
      </c>
    </row>
    <row r="791" spans="1:19" x14ac:dyDescent="0.3">
      <c r="A791" t="s">
        <v>1605</v>
      </c>
      <c r="B791" t="s">
        <v>1606</v>
      </c>
      <c r="C791">
        <v>39</v>
      </c>
      <c r="D791" s="2" t="s">
        <v>21</v>
      </c>
      <c r="E791" s="2" t="s">
        <v>30</v>
      </c>
      <c r="F791" s="2" t="s">
        <v>23</v>
      </c>
      <c r="G791" s="2" t="s">
        <v>32</v>
      </c>
      <c r="H791" s="2" t="s">
        <v>17</v>
      </c>
      <c r="I791" s="2" t="s">
        <v>18</v>
      </c>
      <c r="J791">
        <v>0.41</v>
      </c>
      <c r="K791" s="1">
        <v>44210</v>
      </c>
      <c r="L791" s="2" t="str">
        <f>IF(Sheet1[[#This Row],[age]]&lt;18, "Under 18",IF(Sheet1[[#This Row],[age]]&lt;=30,"18-30",IF(Sheet1[[#This Row],[age]]&lt;=45,"31-45",IF(Sheet1[[#This Row],[age]]&lt;=60,"46-60","60+"))))</f>
        <v>31-45</v>
      </c>
      <c r="M791" s="2" t="str">
        <f>IF(Sheet1[[#This Row],[risk_score]]&lt;0.3,"Low",IF(Sheet1[[#This Row],[risk_score]]&lt;0.7,"Medium","High"))</f>
        <v>Medium</v>
      </c>
      <c r="N791">
        <f>YEAR(Sheet1[[#This Row],[date_joined]])</f>
        <v>2021</v>
      </c>
      <c r="O791" s="2" t="str">
        <f>TEXT(Sheet1[[#This Row],[date_joined]],"mmm")</f>
        <v>Jan</v>
      </c>
      <c r="P791" s="2" t="str">
        <f>"Q"&amp;ROUNDUP(MONTH(Sheet1[[#This Row],[date_joined]])/3,0)</f>
        <v>Q1</v>
      </c>
      <c r="Q791" s="2" t="str">
        <f>IF(Sheet1[[#This Row],[age]]&lt;30,"Young",IF(Sheet1[[#This Row],[age]]&lt;=50,"Adult","Senior"))</f>
        <v>Adult</v>
      </c>
      <c r="R791" s="2" t="str">
        <f t="shared" si="24"/>
        <v>High</v>
      </c>
      <c r="S791" s="2" t="str">
        <f t="shared" si="25"/>
        <v>South - Salaried</v>
      </c>
    </row>
    <row r="792" spans="1:19" x14ac:dyDescent="0.3">
      <c r="A792" t="s">
        <v>1607</v>
      </c>
      <c r="B792" t="s">
        <v>1608</v>
      </c>
      <c r="C792">
        <v>51</v>
      </c>
      <c r="D792" s="2" t="s">
        <v>13</v>
      </c>
      <c r="E792" s="2" t="s">
        <v>30</v>
      </c>
      <c r="F792" s="2" t="s">
        <v>23</v>
      </c>
      <c r="G792" s="2" t="s">
        <v>24</v>
      </c>
      <c r="H792" s="2" t="s">
        <v>17</v>
      </c>
      <c r="I792" s="2" t="s">
        <v>18</v>
      </c>
      <c r="J792">
        <v>0.38</v>
      </c>
      <c r="K792" s="1">
        <v>43363</v>
      </c>
      <c r="L792" s="2" t="str">
        <f>IF(Sheet1[[#This Row],[age]]&lt;18, "Under 18",IF(Sheet1[[#This Row],[age]]&lt;=30,"18-30",IF(Sheet1[[#This Row],[age]]&lt;=45,"31-45",IF(Sheet1[[#This Row],[age]]&lt;=60,"46-60","60+"))))</f>
        <v>46-60</v>
      </c>
      <c r="M792" s="2" t="str">
        <f>IF(Sheet1[[#This Row],[risk_score]]&lt;0.3,"Low",IF(Sheet1[[#This Row],[risk_score]]&lt;0.7,"Medium","High"))</f>
        <v>Medium</v>
      </c>
      <c r="N792">
        <f>YEAR(Sheet1[[#This Row],[date_joined]])</f>
        <v>2018</v>
      </c>
      <c r="O792" s="2" t="str">
        <f>TEXT(Sheet1[[#This Row],[date_joined]],"mmm")</f>
        <v>Sep</v>
      </c>
      <c r="P792" s="2" t="str">
        <f>"Q"&amp;ROUNDUP(MONTH(Sheet1[[#This Row],[date_joined]])/3,0)</f>
        <v>Q3</v>
      </c>
      <c r="Q792" s="2" t="str">
        <f>IF(Sheet1[[#This Row],[age]]&lt;30,"Young",IF(Sheet1[[#This Row],[age]]&lt;=50,"Adult","Senior"))</f>
        <v>Senior</v>
      </c>
      <c r="R792" s="2" t="str">
        <f t="shared" si="24"/>
        <v>High</v>
      </c>
      <c r="S792" s="2" t="str">
        <f t="shared" si="25"/>
        <v>East - Salaried</v>
      </c>
    </row>
    <row r="793" spans="1:19" x14ac:dyDescent="0.3">
      <c r="A793" t="s">
        <v>1609</v>
      </c>
      <c r="B793" t="s">
        <v>1610</v>
      </c>
      <c r="C793">
        <v>68</v>
      </c>
      <c r="D793" s="2" t="s">
        <v>13</v>
      </c>
      <c r="E793" s="2" t="s">
        <v>14</v>
      </c>
      <c r="F793" s="2" t="s">
        <v>37</v>
      </c>
      <c r="G793" s="2" t="s">
        <v>24</v>
      </c>
      <c r="H793" s="2" t="s">
        <v>18</v>
      </c>
      <c r="I793" s="2" t="s">
        <v>18</v>
      </c>
      <c r="J793">
        <v>0.71</v>
      </c>
      <c r="K793" s="1">
        <v>44394</v>
      </c>
      <c r="L793" s="2" t="str">
        <f>IF(Sheet1[[#This Row],[age]]&lt;18, "Under 18",IF(Sheet1[[#This Row],[age]]&lt;=30,"18-30",IF(Sheet1[[#This Row],[age]]&lt;=45,"31-45",IF(Sheet1[[#This Row],[age]]&lt;=60,"46-60","60+"))))</f>
        <v>60+</v>
      </c>
      <c r="M793" s="2" t="str">
        <f>IF(Sheet1[[#This Row],[risk_score]]&lt;0.3,"Low",IF(Sheet1[[#This Row],[risk_score]]&lt;0.7,"Medium","High"))</f>
        <v>High</v>
      </c>
      <c r="N793">
        <f>YEAR(Sheet1[[#This Row],[date_joined]])</f>
        <v>2021</v>
      </c>
      <c r="O793" s="2" t="str">
        <f>TEXT(Sheet1[[#This Row],[date_joined]],"mmm")</f>
        <v>Jul</v>
      </c>
      <c r="P793" s="2" t="str">
        <f>"Q"&amp;ROUNDUP(MONTH(Sheet1[[#This Row],[date_joined]])/3,0)</f>
        <v>Q3</v>
      </c>
      <c r="Q793" s="2" t="str">
        <f>IF(Sheet1[[#This Row],[age]]&lt;30,"Young",IF(Sheet1[[#This Row],[age]]&lt;=50,"Adult","Senior"))</f>
        <v>Senior</v>
      </c>
      <c r="R793" s="2" t="str">
        <f t="shared" si="24"/>
        <v>Very High</v>
      </c>
      <c r="S793" s="2" t="str">
        <f t="shared" si="25"/>
        <v>East - Retired</v>
      </c>
    </row>
    <row r="794" spans="1:19" x14ac:dyDescent="0.3">
      <c r="A794" t="s">
        <v>1611</v>
      </c>
      <c r="B794" t="s">
        <v>1612</v>
      </c>
      <c r="C794">
        <v>30</v>
      </c>
      <c r="D794" s="2" t="s">
        <v>13</v>
      </c>
      <c r="E794" s="2" t="s">
        <v>14</v>
      </c>
      <c r="F794" s="2" t="s">
        <v>23</v>
      </c>
      <c r="G794" s="2" t="s">
        <v>81</v>
      </c>
      <c r="H794" s="2" t="s">
        <v>17</v>
      </c>
      <c r="I794" s="2" t="s">
        <v>17</v>
      </c>
      <c r="J794">
        <v>0.64</v>
      </c>
      <c r="K794" s="1">
        <v>43339</v>
      </c>
      <c r="L794" s="2" t="str">
        <f>IF(Sheet1[[#This Row],[age]]&lt;18, "Under 18",IF(Sheet1[[#This Row],[age]]&lt;=30,"18-30",IF(Sheet1[[#This Row],[age]]&lt;=45,"31-45",IF(Sheet1[[#This Row],[age]]&lt;=60,"46-60","60+"))))</f>
        <v>18-30</v>
      </c>
      <c r="M794" s="2" t="str">
        <f>IF(Sheet1[[#This Row],[risk_score]]&lt;0.3,"Low",IF(Sheet1[[#This Row],[risk_score]]&lt;0.7,"Medium","High"))</f>
        <v>Medium</v>
      </c>
      <c r="N794">
        <f>YEAR(Sheet1[[#This Row],[date_joined]])</f>
        <v>2018</v>
      </c>
      <c r="O794" s="2" t="str">
        <f>TEXT(Sheet1[[#This Row],[date_joined]],"mmm")</f>
        <v>Aug</v>
      </c>
      <c r="P794" s="2" t="str">
        <f>"Q"&amp;ROUNDUP(MONTH(Sheet1[[#This Row],[date_joined]])/3,0)</f>
        <v>Q3</v>
      </c>
      <c r="Q794" s="2" t="str">
        <f>IF(Sheet1[[#This Row],[age]]&lt;30,"Young",IF(Sheet1[[#This Row],[age]]&lt;=50,"Adult","Senior"))</f>
        <v>Adult</v>
      </c>
      <c r="R794" s="2" t="str">
        <f t="shared" si="24"/>
        <v>Low</v>
      </c>
      <c r="S794" s="2" t="str">
        <f t="shared" si="25"/>
        <v>Central - Salaried</v>
      </c>
    </row>
    <row r="795" spans="1:19" x14ac:dyDescent="0.3">
      <c r="A795" t="s">
        <v>1613</v>
      </c>
      <c r="B795" t="s">
        <v>1614</v>
      </c>
      <c r="C795">
        <v>53</v>
      </c>
      <c r="D795" s="2" t="s">
        <v>21</v>
      </c>
      <c r="E795" s="2" t="s">
        <v>30</v>
      </c>
      <c r="F795" s="2" t="s">
        <v>31</v>
      </c>
      <c r="G795" s="2" t="s">
        <v>24</v>
      </c>
      <c r="H795" s="2" t="s">
        <v>17</v>
      </c>
      <c r="I795" s="2" t="s">
        <v>17</v>
      </c>
      <c r="J795">
        <v>0.64</v>
      </c>
      <c r="K795" s="1">
        <v>43134</v>
      </c>
      <c r="L795" s="2" t="str">
        <f>IF(Sheet1[[#This Row],[age]]&lt;18, "Under 18",IF(Sheet1[[#This Row],[age]]&lt;=30,"18-30",IF(Sheet1[[#This Row],[age]]&lt;=45,"31-45",IF(Sheet1[[#This Row],[age]]&lt;=60,"46-60","60+"))))</f>
        <v>46-60</v>
      </c>
      <c r="M795" s="2" t="str">
        <f>IF(Sheet1[[#This Row],[risk_score]]&lt;0.3,"Low",IF(Sheet1[[#This Row],[risk_score]]&lt;0.7,"Medium","High"))</f>
        <v>Medium</v>
      </c>
      <c r="N795">
        <f>YEAR(Sheet1[[#This Row],[date_joined]])</f>
        <v>2018</v>
      </c>
      <c r="O795" s="2" t="str">
        <f>TEXT(Sheet1[[#This Row],[date_joined]],"mmm")</f>
        <v>Feb</v>
      </c>
      <c r="P795" s="2" t="str">
        <f>"Q"&amp;ROUNDUP(MONTH(Sheet1[[#This Row],[date_joined]])/3,0)</f>
        <v>Q1</v>
      </c>
      <c r="Q795" s="2" t="str">
        <f>IF(Sheet1[[#This Row],[age]]&lt;30,"Young",IF(Sheet1[[#This Row],[age]]&lt;=50,"Adult","Senior"))</f>
        <v>Senior</v>
      </c>
      <c r="R795" s="2" t="str">
        <f t="shared" si="24"/>
        <v>Low</v>
      </c>
      <c r="S795" s="2" t="str">
        <f t="shared" si="25"/>
        <v>East - Self-employed</v>
      </c>
    </row>
    <row r="796" spans="1:19" x14ac:dyDescent="0.3">
      <c r="A796" t="s">
        <v>1615</v>
      </c>
      <c r="B796" t="s">
        <v>1616</v>
      </c>
      <c r="C796">
        <v>40</v>
      </c>
      <c r="D796" s="2" t="s">
        <v>21</v>
      </c>
      <c r="E796" s="2" t="s">
        <v>14</v>
      </c>
      <c r="F796" s="2" t="s">
        <v>31</v>
      </c>
      <c r="G796" s="2" t="s">
        <v>24</v>
      </c>
      <c r="H796" s="2" t="s">
        <v>17</v>
      </c>
      <c r="I796" s="2" t="s">
        <v>17</v>
      </c>
      <c r="J796">
        <v>0.62</v>
      </c>
      <c r="K796" s="1">
        <v>43334</v>
      </c>
      <c r="L796" s="2" t="str">
        <f>IF(Sheet1[[#This Row],[age]]&lt;18, "Under 18",IF(Sheet1[[#This Row],[age]]&lt;=30,"18-30",IF(Sheet1[[#This Row],[age]]&lt;=45,"31-45",IF(Sheet1[[#This Row],[age]]&lt;=60,"46-60","60+"))))</f>
        <v>31-45</v>
      </c>
      <c r="M796" s="2" t="str">
        <f>IF(Sheet1[[#This Row],[risk_score]]&lt;0.3,"Low",IF(Sheet1[[#This Row],[risk_score]]&lt;0.7,"Medium","High"))</f>
        <v>Medium</v>
      </c>
      <c r="N796">
        <f>YEAR(Sheet1[[#This Row],[date_joined]])</f>
        <v>2018</v>
      </c>
      <c r="O796" s="2" t="str">
        <f>TEXT(Sheet1[[#This Row],[date_joined]],"mmm")</f>
        <v>Aug</v>
      </c>
      <c r="P796" s="2" t="str">
        <f>"Q"&amp;ROUNDUP(MONTH(Sheet1[[#This Row],[date_joined]])/3,0)</f>
        <v>Q3</v>
      </c>
      <c r="Q796" s="2" t="str">
        <f>IF(Sheet1[[#This Row],[age]]&lt;30,"Young",IF(Sheet1[[#This Row],[age]]&lt;=50,"Adult","Senior"))</f>
        <v>Adult</v>
      </c>
      <c r="R796" s="2" t="str">
        <f t="shared" si="24"/>
        <v>Low</v>
      </c>
      <c r="S796" s="2" t="str">
        <f t="shared" si="25"/>
        <v>East - Self-employed</v>
      </c>
    </row>
    <row r="797" spans="1:19" x14ac:dyDescent="0.3">
      <c r="A797" t="s">
        <v>1617</v>
      </c>
      <c r="B797" t="s">
        <v>1618</v>
      </c>
      <c r="C797">
        <v>31</v>
      </c>
      <c r="D797" s="2" t="s">
        <v>21</v>
      </c>
      <c r="E797" s="2" t="s">
        <v>22</v>
      </c>
      <c r="F797" s="2" t="s">
        <v>37</v>
      </c>
      <c r="G797" s="2" t="s">
        <v>66</v>
      </c>
      <c r="H797" s="2" t="s">
        <v>17</v>
      </c>
      <c r="I797" s="2" t="s">
        <v>18</v>
      </c>
      <c r="J797">
        <v>0.7</v>
      </c>
      <c r="K797" s="1">
        <v>45116</v>
      </c>
      <c r="L797" s="2" t="str">
        <f>IF(Sheet1[[#This Row],[age]]&lt;18, "Under 18",IF(Sheet1[[#This Row],[age]]&lt;=30,"18-30",IF(Sheet1[[#This Row],[age]]&lt;=45,"31-45",IF(Sheet1[[#This Row],[age]]&lt;=60,"46-60","60+"))))</f>
        <v>31-45</v>
      </c>
      <c r="M797" s="2" t="str">
        <f>IF(Sheet1[[#This Row],[risk_score]]&lt;0.3,"Low",IF(Sheet1[[#This Row],[risk_score]]&lt;0.7,"Medium","High"))</f>
        <v>High</v>
      </c>
      <c r="N797">
        <f>YEAR(Sheet1[[#This Row],[date_joined]])</f>
        <v>2023</v>
      </c>
      <c r="O797" s="2" t="str">
        <f>TEXT(Sheet1[[#This Row],[date_joined]],"mmm")</f>
        <v>Jul</v>
      </c>
      <c r="P797" s="2" t="str">
        <f>"Q"&amp;ROUNDUP(MONTH(Sheet1[[#This Row],[date_joined]])/3,0)</f>
        <v>Q3</v>
      </c>
      <c r="Q797" s="2" t="str">
        <f>IF(Sheet1[[#This Row],[age]]&lt;30,"Young",IF(Sheet1[[#This Row],[age]]&lt;=50,"Adult","Senior"))</f>
        <v>Adult</v>
      </c>
      <c r="R797" s="2" t="str">
        <f t="shared" si="24"/>
        <v>High</v>
      </c>
      <c r="S797" s="2" t="str">
        <f t="shared" si="25"/>
        <v>North-East - Retired</v>
      </c>
    </row>
    <row r="798" spans="1:19" x14ac:dyDescent="0.3">
      <c r="A798" t="s">
        <v>1619</v>
      </c>
      <c r="B798" t="s">
        <v>1620</v>
      </c>
      <c r="C798">
        <v>25</v>
      </c>
      <c r="D798" s="2" t="s">
        <v>21</v>
      </c>
      <c r="E798" s="2" t="s">
        <v>30</v>
      </c>
      <c r="F798" s="2" t="s">
        <v>23</v>
      </c>
      <c r="G798" s="2" t="s">
        <v>66</v>
      </c>
      <c r="H798" s="2" t="s">
        <v>18</v>
      </c>
      <c r="I798" s="2" t="s">
        <v>17</v>
      </c>
      <c r="J798">
        <v>0.59</v>
      </c>
      <c r="K798" s="1">
        <v>45144</v>
      </c>
      <c r="L798" s="2" t="str">
        <f>IF(Sheet1[[#This Row],[age]]&lt;18, "Under 18",IF(Sheet1[[#This Row],[age]]&lt;=30,"18-30",IF(Sheet1[[#This Row],[age]]&lt;=45,"31-45",IF(Sheet1[[#This Row],[age]]&lt;=60,"46-60","60+"))))</f>
        <v>18-30</v>
      </c>
      <c r="M798" s="2" t="str">
        <f>IF(Sheet1[[#This Row],[risk_score]]&lt;0.3,"Low",IF(Sheet1[[#This Row],[risk_score]]&lt;0.7,"Medium","High"))</f>
        <v>Medium</v>
      </c>
      <c r="N798">
        <f>YEAR(Sheet1[[#This Row],[date_joined]])</f>
        <v>2023</v>
      </c>
      <c r="O798" s="2" t="str">
        <f>TEXT(Sheet1[[#This Row],[date_joined]],"mmm")</f>
        <v>Aug</v>
      </c>
      <c r="P798" s="2" t="str">
        <f>"Q"&amp;ROUNDUP(MONTH(Sheet1[[#This Row],[date_joined]])/3,0)</f>
        <v>Q3</v>
      </c>
      <c r="Q798" s="2" t="str">
        <f>IF(Sheet1[[#This Row],[age]]&lt;30,"Young",IF(Sheet1[[#This Row],[age]]&lt;=50,"Adult","Senior"))</f>
        <v>Young</v>
      </c>
      <c r="R798" s="2" t="str">
        <f t="shared" si="24"/>
        <v>High</v>
      </c>
      <c r="S798" s="2" t="str">
        <f t="shared" si="25"/>
        <v>North-East - Salaried</v>
      </c>
    </row>
    <row r="799" spans="1:19" x14ac:dyDescent="0.3">
      <c r="A799" t="s">
        <v>1621</v>
      </c>
      <c r="B799" t="s">
        <v>1622</v>
      </c>
      <c r="C799">
        <v>65</v>
      </c>
      <c r="D799" s="2" t="s">
        <v>13</v>
      </c>
      <c r="E799" s="2" t="s">
        <v>14</v>
      </c>
      <c r="F799" s="2" t="s">
        <v>37</v>
      </c>
      <c r="G799" s="2" t="s">
        <v>81</v>
      </c>
      <c r="H799" s="2" t="s">
        <v>18</v>
      </c>
      <c r="I799" s="2" t="s">
        <v>17</v>
      </c>
      <c r="J799">
        <v>0.75</v>
      </c>
      <c r="K799" s="1">
        <v>43328</v>
      </c>
      <c r="L799" s="2" t="str">
        <f>IF(Sheet1[[#This Row],[age]]&lt;18, "Under 18",IF(Sheet1[[#This Row],[age]]&lt;=30,"18-30",IF(Sheet1[[#This Row],[age]]&lt;=45,"31-45",IF(Sheet1[[#This Row],[age]]&lt;=60,"46-60","60+"))))</f>
        <v>60+</v>
      </c>
      <c r="M799" s="2" t="str">
        <f>IF(Sheet1[[#This Row],[risk_score]]&lt;0.3,"Low",IF(Sheet1[[#This Row],[risk_score]]&lt;0.7,"Medium","High"))</f>
        <v>High</v>
      </c>
      <c r="N799">
        <f>YEAR(Sheet1[[#This Row],[date_joined]])</f>
        <v>2018</v>
      </c>
      <c r="O799" s="2" t="str">
        <f>TEXT(Sheet1[[#This Row],[date_joined]],"mmm")</f>
        <v>Aug</v>
      </c>
      <c r="P799" s="2" t="str">
        <f>"Q"&amp;ROUNDUP(MONTH(Sheet1[[#This Row],[date_joined]])/3,0)</f>
        <v>Q3</v>
      </c>
      <c r="Q799" s="2" t="str">
        <f>IF(Sheet1[[#This Row],[age]]&lt;30,"Young",IF(Sheet1[[#This Row],[age]]&lt;=50,"Adult","Senior"))</f>
        <v>Senior</v>
      </c>
      <c r="R799" s="2" t="str">
        <f t="shared" si="24"/>
        <v>High</v>
      </c>
      <c r="S799" s="2" t="str">
        <f t="shared" si="25"/>
        <v>Central - Retired</v>
      </c>
    </row>
    <row r="800" spans="1:19" x14ac:dyDescent="0.3">
      <c r="A800" t="s">
        <v>1623</v>
      </c>
      <c r="B800" t="s">
        <v>1624</v>
      </c>
      <c r="C800">
        <v>58</v>
      </c>
      <c r="D800" s="2" t="s">
        <v>21</v>
      </c>
      <c r="E800" s="2" t="s">
        <v>22</v>
      </c>
      <c r="F800" s="2" t="s">
        <v>23</v>
      </c>
      <c r="G800" s="2" t="s">
        <v>27</v>
      </c>
      <c r="H800" s="2" t="s">
        <v>17</v>
      </c>
      <c r="I800" s="2" t="s">
        <v>17</v>
      </c>
      <c r="J800">
        <v>0.56000000000000005</v>
      </c>
      <c r="K800" s="1">
        <v>44551</v>
      </c>
      <c r="L800" s="2" t="str">
        <f>IF(Sheet1[[#This Row],[age]]&lt;18, "Under 18",IF(Sheet1[[#This Row],[age]]&lt;=30,"18-30",IF(Sheet1[[#This Row],[age]]&lt;=45,"31-45",IF(Sheet1[[#This Row],[age]]&lt;=60,"46-60","60+"))))</f>
        <v>46-60</v>
      </c>
      <c r="M800" s="2" t="str">
        <f>IF(Sheet1[[#This Row],[risk_score]]&lt;0.3,"Low",IF(Sheet1[[#This Row],[risk_score]]&lt;0.7,"Medium","High"))</f>
        <v>Medium</v>
      </c>
      <c r="N800">
        <f>YEAR(Sheet1[[#This Row],[date_joined]])</f>
        <v>2021</v>
      </c>
      <c r="O800" s="2" t="str">
        <f>TEXT(Sheet1[[#This Row],[date_joined]],"mmm")</f>
        <v>Dec</v>
      </c>
      <c r="P800" s="2" t="str">
        <f>"Q"&amp;ROUNDUP(MONTH(Sheet1[[#This Row],[date_joined]])/3,0)</f>
        <v>Q4</v>
      </c>
      <c r="Q800" s="2" t="str">
        <f>IF(Sheet1[[#This Row],[age]]&lt;30,"Young",IF(Sheet1[[#This Row],[age]]&lt;=50,"Adult","Senior"))</f>
        <v>Senior</v>
      </c>
      <c r="R800" s="2" t="str">
        <f t="shared" si="24"/>
        <v>Low</v>
      </c>
      <c r="S800" s="2" t="str">
        <f t="shared" si="25"/>
        <v>North - Salaried</v>
      </c>
    </row>
    <row r="801" spans="1:19" x14ac:dyDescent="0.3">
      <c r="A801" t="s">
        <v>1625</v>
      </c>
      <c r="B801" t="s">
        <v>1626</v>
      </c>
      <c r="C801">
        <v>59</v>
      </c>
      <c r="D801" s="2" t="s">
        <v>21</v>
      </c>
      <c r="E801" s="2" t="s">
        <v>14</v>
      </c>
      <c r="F801" s="2" t="s">
        <v>31</v>
      </c>
      <c r="G801" s="2" t="s">
        <v>16</v>
      </c>
      <c r="H801" s="2" t="s">
        <v>17</v>
      </c>
      <c r="I801" s="2" t="s">
        <v>17</v>
      </c>
      <c r="J801">
        <v>0.55000000000000004</v>
      </c>
      <c r="K801" s="1">
        <v>44436</v>
      </c>
      <c r="L801" s="2" t="str">
        <f>IF(Sheet1[[#This Row],[age]]&lt;18, "Under 18",IF(Sheet1[[#This Row],[age]]&lt;=30,"18-30",IF(Sheet1[[#This Row],[age]]&lt;=45,"31-45",IF(Sheet1[[#This Row],[age]]&lt;=60,"46-60","60+"))))</f>
        <v>46-60</v>
      </c>
      <c r="M801" s="2" t="str">
        <f>IF(Sheet1[[#This Row],[risk_score]]&lt;0.3,"Low",IF(Sheet1[[#This Row],[risk_score]]&lt;0.7,"Medium","High"))</f>
        <v>Medium</v>
      </c>
      <c r="N801">
        <f>YEAR(Sheet1[[#This Row],[date_joined]])</f>
        <v>2021</v>
      </c>
      <c r="O801" s="2" t="str">
        <f>TEXT(Sheet1[[#This Row],[date_joined]],"mmm")</f>
        <v>Aug</v>
      </c>
      <c r="P801" s="2" t="str">
        <f>"Q"&amp;ROUNDUP(MONTH(Sheet1[[#This Row],[date_joined]])/3,0)</f>
        <v>Q3</v>
      </c>
      <c r="Q801" s="2" t="str">
        <f>IF(Sheet1[[#This Row],[age]]&lt;30,"Young",IF(Sheet1[[#This Row],[age]]&lt;=50,"Adult","Senior"))</f>
        <v>Senior</v>
      </c>
      <c r="R801" s="2" t="str">
        <f t="shared" si="24"/>
        <v>Low</v>
      </c>
      <c r="S801" s="2" t="str">
        <f t="shared" si="25"/>
        <v>West - Self-employed</v>
      </c>
    </row>
    <row r="802" spans="1:19" x14ac:dyDescent="0.3">
      <c r="A802" t="s">
        <v>1627</v>
      </c>
      <c r="B802" t="s">
        <v>1628</v>
      </c>
      <c r="C802">
        <v>26</v>
      </c>
      <c r="D802" s="2" t="s">
        <v>21</v>
      </c>
      <c r="E802" s="2" t="s">
        <v>22</v>
      </c>
      <c r="F802" s="2" t="s">
        <v>23</v>
      </c>
      <c r="G802" s="2" t="s">
        <v>81</v>
      </c>
      <c r="H802" s="2" t="s">
        <v>18</v>
      </c>
      <c r="I802" s="2" t="s">
        <v>17</v>
      </c>
      <c r="J802">
        <v>0.5</v>
      </c>
      <c r="K802" s="1">
        <v>43279</v>
      </c>
      <c r="L802" s="2" t="str">
        <f>IF(Sheet1[[#This Row],[age]]&lt;18, "Under 18",IF(Sheet1[[#This Row],[age]]&lt;=30,"18-30",IF(Sheet1[[#This Row],[age]]&lt;=45,"31-45",IF(Sheet1[[#This Row],[age]]&lt;=60,"46-60","60+"))))</f>
        <v>18-30</v>
      </c>
      <c r="M802" s="2" t="str">
        <f>IF(Sheet1[[#This Row],[risk_score]]&lt;0.3,"Low",IF(Sheet1[[#This Row],[risk_score]]&lt;0.7,"Medium","High"))</f>
        <v>Medium</v>
      </c>
      <c r="N802">
        <f>YEAR(Sheet1[[#This Row],[date_joined]])</f>
        <v>2018</v>
      </c>
      <c r="O802" s="2" t="str">
        <f>TEXT(Sheet1[[#This Row],[date_joined]],"mmm")</f>
        <v>Jun</v>
      </c>
      <c r="P802" s="2" t="str">
        <f>"Q"&amp;ROUNDUP(MONTH(Sheet1[[#This Row],[date_joined]])/3,0)</f>
        <v>Q2</v>
      </c>
      <c r="Q802" s="2" t="str">
        <f>IF(Sheet1[[#This Row],[age]]&lt;30,"Young",IF(Sheet1[[#This Row],[age]]&lt;=50,"Adult","Senior"))</f>
        <v>Young</v>
      </c>
      <c r="R802" s="2" t="str">
        <f t="shared" si="24"/>
        <v>High</v>
      </c>
      <c r="S802" s="2" t="str">
        <f t="shared" si="25"/>
        <v>Central - Salaried</v>
      </c>
    </row>
    <row r="803" spans="1:19" x14ac:dyDescent="0.3">
      <c r="A803" t="s">
        <v>1629</v>
      </c>
      <c r="B803" t="s">
        <v>1630</v>
      </c>
      <c r="C803">
        <v>39</v>
      </c>
      <c r="D803" s="2" t="s">
        <v>21</v>
      </c>
      <c r="E803" s="2" t="s">
        <v>22</v>
      </c>
      <c r="F803" s="2" t="s">
        <v>37</v>
      </c>
      <c r="G803" s="2" t="s">
        <v>81</v>
      </c>
      <c r="H803" s="2" t="s">
        <v>17</v>
      </c>
      <c r="I803" s="2" t="s">
        <v>18</v>
      </c>
      <c r="J803">
        <v>0.39</v>
      </c>
      <c r="K803" s="1">
        <v>44302</v>
      </c>
      <c r="L803" s="2" t="str">
        <f>IF(Sheet1[[#This Row],[age]]&lt;18, "Under 18",IF(Sheet1[[#This Row],[age]]&lt;=30,"18-30",IF(Sheet1[[#This Row],[age]]&lt;=45,"31-45",IF(Sheet1[[#This Row],[age]]&lt;=60,"46-60","60+"))))</f>
        <v>31-45</v>
      </c>
      <c r="M803" s="2" t="str">
        <f>IF(Sheet1[[#This Row],[risk_score]]&lt;0.3,"Low",IF(Sheet1[[#This Row],[risk_score]]&lt;0.7,"Medium","High"))</f>
        <v>Medium</v>
      </c>
      <c r="N803">
        <f>YEAR(Sheet1[[#This Row],[date_joined]])</f>
        <v>2021</v>
      </c>
      <c r="O803" s="2" t="str">
        <f>TEXT(Sheet1[[#This Row],[date_joined]],"mmm")</f>
        <v>Apr</v>
      </c>
      <c r="P803" s="2" t="str">
        <f>"Q"&amp;ROUNDUP(MONTH(Sheet1[[#This Row],[date_joined]])/3,0)</f>
        <v>Q2</v>
      </c>
      <c r="Q803" s="2" t="str">
        <f>IF(Sheet1[[#This Row],[age]]&lt;30,"Young",IF(Sheet1[[#This Row],[age]]&lt;=50,"Adult","Senior"))</f>
        <v>Adult</v>
      </c>
      <c r="R803" s="2" t="str">
        <f t="shared" si="24"/>
        <v>High</v>
      </c>
      <c r="S803" s="2" t="str">
        <f t="shared" si="25"/>
        <v>Central - Retired</v>
      </c>
    </row>
    <row r="804" spans="1:19" x14ac:dyDescent="0.3">
      <c r="A804" t="s">
        <v>1631</v>
      </c>
      <c r="B804" t="s">
        <v>1632</v>
      </c>
      <c r="C804">
        <v>36</v>
      </c>
      <c r="D804" s="2" t="s">
        <v>13</v>
      </c>
      <c r="E804" s="2" t="s">
        <v>30</v>
      </c>
      <c r="F804" s="2" t="s">
        <v>15</v>
      </c>
      <c r="G804" s="2" t="s">
        <v>66</v>
      </c>
      <c r="H804" s="2" t="s">
        <v>18</v>
      </c>
      <c r="I804" s="2" t="s">
        <v>17</v>
      </c>
      <c r="J804">
        <v>0.35</v>
      </c>
      <c r="K804" s="1">
        <v>43144</v>
      </c>
      <c r="L804" s="2" t="str">
        <f>IF(Sheet1[[#This Row],[age]]&lt;18, "Under 18",IF(Sheet1[[#This Row],[age]]&lt;=30,"18-30",IF(Sheet1[[#This Row],[age]]&lt;=45,"31-45",IF(Sheet1[[#This Row],[age]]&lt;=60,"46-60","60+"))))</f>
        <v>31-45</v>
      </c>
      <c r="M804" s="2" t="str">
        <f>IF(Sheet1[[#This Row],[risk_score]]&lt;0.3,"Low",IF(Sheet1[[#This Row],[risk_score]]&lt;0.7,"Medium","High"))</f>
        <v>Medium</v>
      </c>
      <c r="N804">
        <f>YEAR(Sheet1[[#This Row],[date_joined]])</f>
        <v>2018</v>
      </c>
      <c r="O804" s="2" t="str">
        <f>TEXT(Sheet1[[#This Row],[date_joined]],"mmm")</f>
        <v>Feb</v>
      </c>
      <c r="P804" s="2" t="str">
        <f>"Q"&amp;ROUNDUP(MONTH(Sheet1[[#This Row],[date_joined]])/3,0)</f>
        <v>Q1</v>
      </c>
      <c r="Q804" s="2" t="str">
        <f>IF(Sheet1[[#This Row],[age]]&lt;30,"Young",IF(Sheet1[[#This Row],[age]]&lt;=50,"Adult","Senior"))</f>
        <v>Adult</v>
      </c>
      <c r="R804" s="2" t="str">
        <f t="shared" si="24"/>
        <v>High</v>
      </c>
      <c r="S804" s="2" t="str">
        <f t="shared" si="25"/>
        <v>North-East - Student</v>
      </c>
    </row>
    <row r="805" spans="1:19" x14ac:dyDescent="0.3">
      <c r="A805" t="s">
        <v>1633</v>
      </c>
      <c r="B805" t="s">
        <v>1634</v>
      </c>
      <c r="C805">
        <v>69</v>
      </c>
      <c r="D805" s="2" t="s">
        <v>21</v>
      </c>
      <c r="E805" s="2" t="s">
        <v>14</v>
      </c>
      <c r="F805" s="2" t="s">
        <v>31</v>
      </c>
      <c r="G805" s="2" t="s">
        <v>81</v>
      </c>
      <c r="H805" s="2" t="s">
        <v>17</v>
      </c>
      <c r="I805" s="2" t="s">
        <v>17</v>
      </c>
      <c r="J805">
        <v>0.5</v>
      </c>
      <c r="K805" s="1">
        <v>44784</v>
      </c>
      <c r="L805" s="2" t="str">
        <f>IF(Sheet1[[#This Row],[age]]&lt;18, "Under 18",IF(Sheet1[[#This Row],[age]]&lt;=30,"18-30",IF(Sheet1[[#This Row],[age]]&lt;=45,"31-45",IF(Sheet1[[#This Row],[age]]&lt;=60,"46-60","60+"))))</f>
        <v>60+</v>
      </c>
      <c r="M805" s="2" t="str">
        <f>IF(Sheet1[[#This Row],[risk_score]]&lt;0.3,"Low",IF(Sheet1[[#This Row],[risk_score]]&lt;0.7,"Medium","High"))</f>
        <v>Medium</v>
      </c>
      <c r="N805">
        <f>YEAR(Sheet1[[#This Row],[date_joined]])</f>
        <v>2022</v>
      </c>
      <c r="O805" s="2" t="str">
        <f>TEXT(Sheet1[[#This Row],[date_joined]],"mmm")</f>
        <v>Aug</v>
      </c>
      <c r="P805" s="2" t="str">
        <f>"Q"&amp;ROUNDUP(MONTH(Sheet1[[#This Row],[date_joined]])/3,0)</f>
        <v>Q3</v>
      </c>
      <c r="Q805" s="2" t="str">
        <f>IF(Sheet1[[#This Row],[age]]&lt;30,"Young",IF(Sheet1[[#This Row],[age]]&lt;=50,"Adult","Senior"))</f>
        <v>Senior</v>
      </c>
      <c r="R805" s="2" t="str">
        <f t="shared" si="24"/>
        <v>Low</v>
      </c>
      <c r="S805" s="2" t="str">
        <f t="shared" si="25"/>
        <v>Central - Self-employed</v>
      </c>
    </row>
    <row r="806" spans="1:19" x14ac:dyDescent="0.3">
      <c r="A806" t="s">
        <v>1635</v>
      </c>
      <c r="B806" t="s">
        <v>1636</v>
      </c>
      <c r="C806">
        <v>53</v>
      </c>
      <c r="D806" s="2" t="s">
        <v>13</v>
      </c>
      <c r="E806" s="2" t="s">
        <v>22</v>
      </c>
      <c r="F806" s="2" t="s">
        <v>23</v>
      </c>
      <c r="G806" s="2" t="s">
        <v>24</v>
      </c>
      <c r="H806" s="2" t="s">
        <v>17</v>
      </c>
      <c r="I806" s="2" t="s">
        <v>18</v>
      </c>
      <c r="J806">
        <v>0.2</v>
      </c>
      <c r="K806" s="1">
        <v>44981</v>
      </c>
      <c r="L806" s="2" t="str">
        <f>IF(Sheet1[[#This Row],[age]]&lt;18, "Under 18",IF(Sheet1[[#This Row],[age]]&lt;=30,"18-30",IF(Sheet1[[#This Row],[age]]&lt;=45,"31-45",IF(Sheet1[[#This Row],[age]]&lt;=60,"46-60","60+"))))</f>
        <v>46-60</v>
      </c>
      <c r="M806" s="2" t="str">
        <f>IF(Sheet1[[#This Row],[risk_score]]&lt;0.3,"Low",IF(Sheet1[[#This Row],[risk_score]]&lt;0.7,"Medium","High"))</f>
        <v>Low</v>
      </c>
      <c r="N806">
        <f>YEAR(Sheet1[[#This Row],[date_joined]])</f>
        <v>2023</v>
      </c>
      <c r="O806" s="2" t="str">
        <f>TEXT(Sheet1[[#This Row],[date_joined]],"mmm")</f>
        <v>Feb</v>
      </c>
      <c r="P806" s="2" t="str">
        <f>"Q"&amp;ROUNDUP(MONTH(Sheet1[[#This Row],[date_joined]])/3,0)</f>
        <v>Q1</v>
      </c>
      <c r="Q806" s="2" t="str">
        <f>IF(Sheet1[[#This Row],[age]]&lt;30,"Young",IF(Sheet1[[#This Row],[age]]&lt;=50,"Adult","Senior"))</f>
        <v>Senior</v>
      </c>
      <c r="R806" s="2" t="str">
        <f t="shared" si="24"/>
        <v>High</v>
      </c>
      <c r="S806" s="2" t="str">
        <f t="shared" si="25"/>
        <v>East - Salaried</v>
      </c>
    </row>
    <row r="807" spans="1:19" x14ac:dyDescent="0.3">
      <c r="A807" t="s">
        <v>1637</v>
      </c>
      <c r="B807" t="s">
        <v>1638</v>
      </c>
      <c r="C807">
        <v>21</v>
      </c>
      <c r="D807" s="2" t="s">
        <v>13</v>
      </c>
      <c r="E807" s="2" t="s">
        <v>22</v>
      </c>
      <c r="F807" s="2" t="s">
        <v>15</v>
      </c>
      <c r="G807" s="2" t="s">
        <v>24</v>
      </c>
      <c r="H807" s="2" t="s">
        <v>18</v>
      </c>
      <c r="I807" s="2" t="s">
        <v>18</v>
      </c>
      <c r="J807">
        <v>0.53</v>
      </c>
      <c r="K807" s="1">
        <v>43123</v>
      </c>
      <c r="L807" s="2" t="str">
        <f>IF(Sheet1[[#This Row],[age]]&lt;18, "Under 18",IF(Sheet1[[#This Row],[age]]&lt;=30,"18-30",IF(Sheet1[[#This Row],[age]]&lt;=45,"31-45",IF(Sheet1[[#This Row],[age]]&lt;=60,"46-60","60+"))))</f>
        <v>18-30</v>
      </c>
      <c r="M807" s="2" t="str">
        <f>IF(Sheet1[[#This Row],[risk_score]]&lt;0.3,"Low",IF(Sheet1[[#This Row],[risk_score]]&lt;0.7,"Medium","High"))</f>
        <v>Medium</v>
      </c>
      <c r="N807">
        <f>YEAR(Sheet1[[#This Row],[date_joined]])</f>
        <v>2018</v>
      </c>
      <c r="O807" s="2" t="str">
        <f>TEXT(Sheet1[[#This Row],[date_joined]],"mmm")</f>
        <v>Jan</v>
      </c>
      <c r="P807" s="2" t="str">
        <f>"Q"&amp;ROUNDUP(MONTH(Sheet1[[#This Row],[date_joined]])/3,0)</f>
        <v>Q1</v>
      </c>
      <c r="Q807" s="2" t="str">
        <f>IF(Sheet1[[#This Row],[age]]&lt;30,"Young",IF(Sheet1[[#This Row],[age]]&lt;=50,"Adult","Senior"))</f>
        <v>Young</v>
      </c>
      <c r="R807" s="2" t="str">
        <f t="shared" si="24"/>
        <v>Very High</v>
      </c>
      <c r="S807" s="2" t="str">
        <f t="shared" si="25"/>
        <v>East - Student</v>
      </c>
    </row>
    <row r="808" spans="1:19" x14ac:dyDescent="0.3">
      <c r="A808" t="s">
        <v>1639</v>
      </c>
      <c r="B808" t="s">
        <v>1640</v>
      </c>
      <c r="C808">
        <v>41</v>
      </c>
      <c r="D808" s="2" t="s">
        <v>21</v>
      </c>
      <c r="E808" s="2" t="s">
        <v>30</v>
      </c>
      <c r="F808" s="2" t="s">
        <v>23</v>
      </c>
      <c r="G808" s="2" t="s">
        <v>81</v>
      </c>
      <c r="H808" s="2" t="s">
        <v>17</v>
      </c>
      <c r="I808" s="2" t="s">
        <v>17</v>
      </c>
      <c r="J808">
        <v>0.95</v>
      </c>
      <c r="K808" s="1">
        <v>45076</v>
      </c>
      <c r="L808" s="2" t="str">
        <f>IF(Sheet1[[#This Row],[age]]&lt;18, "Under 18",IF(Sheet1[[#This Row],[age]]&lt;=30,"18-30",IF(Sheet1[[#This Row],[age]]&lt;=45,"31-45",IF(Sheet1[[#This Row],[age]]&lt;=60,"46-60","60+"))))</f>
        <v>31-45</v>
      </c>
      <c r="M808" s="2" t="str">
        <f>IF(Sheet1[[#This Row],[risk_score]]&lt;0.3,"Low",IF(Sheet1[[#This Row],[risk_score]]&lt;0.7,"Medium","High"))</f>
        <v>High</v>
      </c>
      <c r="N808">
        <f>YEAR(Sheet1[[#This Row],[date_joined]])</f>
        <v>2023</v>
      </c>
      <c r="O808" s="2" t="str">
        <f>TEXT(Sheet1[[#This Row],[date_joined]],"mmm")</f>
        <v>May</v>
      </c>
      <c r="P808" s="2" t="str">
        <f>"Q"&amp;ROUNDUP(MONTH(Sheet1[[#This Row],[date_joined]])/3,0)</f>
        <v>Q2</v>
      </c>
      <c r="Q808" s="2" t="str">
        <f>IF(Sheet1[[#This Row],[age]]&lt;30,"Young",IF(Sheet1[[#This Row],[age]]&lt;=50,"Adult","Senior"))</f>
        <v>Adult</v>
      </c>
      <c r="R808" s="2" t="str">
        <f t="shared" si="24"/>
        <v>Low</v>
      </c>
      <c r="S808" s="2" t="str">
        <f t="shared" si="25"/>
        <v>Central - Salaried</v>
      </c>
    </row>
    <row r="809" spans="1:19" x14ac:dyDescent="0.3">
      <c r="A809" t="s">
        <v>1641</v>
      </c>
      <c r="B809" t="s">
        <v>1642</v>
      </c>
      <c r="C809">
        <v>29</v>
      </c>
      <c r="D809" s="2" t="s">
        <v>13</v>
      </c>
      <c r="E809" s="2" t="s">
        <v>30</v>
      </c>
      <c r="F809" s="2" t="s">
        <v>15</v>
      </c>
      <c r="G809" s="2" t="s">
        <v>16</v>
      </c>
      <c r="H809" s="2" t="s">
        <v>18</v>
      </c>
      <c r="I809" s="2" t="s">
        <v>18</v>
      </c>
      <c r="J809">
        <v>0.33</v>
      </c>
      <c r="K809" s="1">
        <v>43753</v>
      </c>
      <c r="L809" s="2" t="str">
        <f>IF(Sheet1[[#This Row],[age]]&lt;18, "Under 18",IF(Sheet1[[#This Row],[age]]&lt;=30,"18-30",IF(Sheet1[[#This Row],[age]]&lt;=45,"31-45",IF(Sheet1[[#This Row],[age]]&lt;=60,"46-60","60+"))))</f>
        <v>18-30</v>
      </c>
      <c r="M809" s="2" t="str">
        <f>IF(Sheet1[[#This Row],[risk_score]]&lt;0.3,"Low",IF(Sheet1[[#This Row],[risk_score]]&lt;0.7,"Medium","High"))</f>
        <v>Medium</v>
      </c>
      <c r="N809">
        <f>YEAR(Sheet1[[#This Row],[date_joined]])</f>
        <v>2019</v>
      </c>
      <c r="O809" s="2" t="str">
        <f>TEXT(Sheet1[[#This Row],[date_joined]],"mmm")</f>
        <v>Oct</v>
      </c>
      <c r="P809" s="2" t="str">
        <f>"Q"&amp;ROUNDUP(MONTH(Sheet1[[#This Row],[date_joined]])/3,0)</f>
        <v>Q4</v>
      </c>
      <c r="Q809" s="2" t="str">
        <f>IF(Sheet1[[#This Row],[age]]&lt;30,"Young",IF(Sheet1[[#This Row],[age]]&lt;=50,"Adult","Senior"))</f>
        <v>Young</v>
      </c>
      <c r="R809" s="2" t="str">
        <f t="shared" si="24"/>
        <v>Very High</v>
      </c>
      <c r="S809" s="2" t="str">
        <f t="shared" si="25"/>
        <v>West - Student</v>
      </c>
    </row>
    <row r="810" spans="1:19" x14ac:dyDescent="0.3">
      <c r="A810" t="s">
        <v>1643</v>
      </c>
      <c r="B810" t="s">
        <v>1644</v>
      </c>
      <c r="C810">
        <v>49</v>
      </c>
      <c r="D810" s="2" t="s">
        <v>13</v>
      </c>
      <c r="E810" s="2" t="s">
        <v>22</v>
      </c>
      <c r="F810" s="2" t="s">
        <v>31</v>
      </c>
      <c r="G810" s="2" t="s">
        <v>24</v>
      </c>
      <c r="H810" s="2" t="s">
        <v>18</v>
      </c>
      <c r="I810" s="2" t="s">
        <v>17</v>
      </c>
      <c r="J810">
        <v>0.13</v>
      </c>
      <c r="K810" s="1">
        <v>43941</v>
      </c>
      <c r="L810" s="2" t="str">
        <f>IF(Sheet1[[#This Row],[age]]&lt;18, "Under 18",IF(Sheet1[[#This Row],[age]]&lt;=30,"18-30",IF(Sheet1[[#This Row],[age]]&lt;=45,"31-45",IF(Sheet1[[#This Row],[age]]&lt;=60,"46-60","60+"))))</f>
        <v>46-60</v>
      </c>
      <c r="M810" s="2" t="str">
        <f>IF(Sheet1[[#This Row],[risk_score]]&lt;0.3,"Low",IF(Sheet1[[#This Row],[risk_score]]&lt;0.7,"Medium","High"))</f>
        <v>Low</v>
      </c>
      <c r="N810">
        <f>YEAR(Sheet1[[#This Row],[date_joined]])</f>
        <v>2020</v>
      </c>
      <c r="O810" s="2" t="str">
        <f>TEXT(Sheet1[[#This Row],[date_joined]],"mmm")</f>
        <v>Apr</v>
      </c>
      <c r="P810" s="2" t="str">
        <f>"Q"&amp;ROUNDUP(MONTH(Sheet1[[#This Row],[date_joined]])/3,0)</f>
        <v>Q2</v>
      </c>
      <c r="Q810" s="2" t="str">
        <f>IF(Sheet1[[#This Row],[age]]&lt;30,"Young",IF(Sheet1[[#This Row],[age]]&lt;=50,"Adult","Senior"))</f>
        <v>Adult</v>
      </c>
      <c r="R810" s="2" t="str">
        <f t="shared" si="24"/>
        <v>High</v>
      </c>
      <c r="S810" s="2" t="str">
        <f t="shared" si="25"/>
        <v>East - Self-employed</v>
      </c>
    </row>
    <row r="811" spans="1:19" x14ac:dyDescent="0.3">
      <c r="A811" t="s">
        <v>1645</v>
      </c>
      <c r="B811" t="s">
        <v>1646</v>
      </c>
      <c r="C811">
        <v>36</v>
      </c>
      <c r="D811" s="2" t="s">
        <v>21</v>
      </c>
      <c r="E811" s="2" t="s">
        <v>30</v>
      </c>
      <c r="F811" s="2" t="s">
        <v>37</v>
      </c>
      <c r="G811" s="2" t="s">
        <v>66</v>
      </c>
      <c r="H811" s="2" t="s">
        <v>18</v>
      </c>
      <c r="I811" s="2" t="s">
        <v>18</v>
      </c>
      <c r="J811">
        <v>0.43</v>
      </c>
      <c r="K811" s="1">
        <v>43799</v>
      </c>
      <c r="L811" s="2" t="str">
        <f>IF(Sheet1[[#This Row],[age]]&lt;18, "Under 18",IF(Sheet1[[#This Row],[age]]&lt;=30,"18-30",IF(Sheet1[[#This Row],[age]]&lt;=45,"31-45",IF(Sheet1[[#This Row],[age]]&lt;=60,"46-60","60+"))))</f>
        <v>31-45</v>
      </c>
      <c r="M811" s="2" t="str">
        <f>IF(Sheet1[[#This Row],[risk_score]]&lt;0.3,"Low",IF(Sheet1[[#This Row],[risk_score]]&lt;0.7,"Medium","High"))</f>
        <v>Medium</v>
      </c>
      <c r="N811">
        <f>YEAR(Sheet1[[#This Row],[date_joined]])</f>
        <v>2019</v>
      </c>
      <c r="O811" s="2" t="str">
        <f>TEXT(Sheet1[[#This Row],[date_joined]],"mmm")</f>
        <v>Nov</v>
      </c>
      <c r="P811" s="2" t="str">
        <f>"Q"&amp;ROUNDUP(MONTH(Sheet1[[#This Row],[date_joined]])/3,0)</f>
        <v>Q4</v>
      </c>
      <c r="Q811" s="2" t="str">
        <f>IF(Sheet1[[#This Row],[age]]&lt;30,"Young",IF(Sheet1[[#This Row],[age]]&lt;=50,"Adult","Senior"))</f>
        <v>Adult</v>
      </c>
      <c r="R811" s="2" t="str">
        <f t="shared" si="24"/>
        <v>Very High</v>
      </c>
      <c r="S811" s="2" t="str">
        <f t="shared" si="25"/>
        <v>North-East - Retired</v>
      </c>
    </row>
    <row r="812" spans="1:19" x14ac:dyDescent="0.3">
      <c r="A812" t="s">
        <v>1647</v>
      </c>
      <c r="B812" t="s">
        <v>1648</v>
      </c>
      <c r="C812">
        <v>26</v>
      </c>
      <c r="D812" s="2" t="s">
        <v>13</v>
      </c>
      <c r="E812" s="2" t="s">
        <v>14</v>
      </c>
      <c r="F812" s="2" t="s">
        <v>31</v>
      </c>
      <c r="G812" s="2" t="s">
        <v>16</v>
      </c>
      <c r="H812" s="2" t="s">
        <v>18</v>
      </c>
      <c r="I812" s="2" t="s">
        <v>18</v>
      </c>
      <c r="J812">
        <v>0.41</v>
      </c>
      <c r="K812" s="1">
        <v>43257</v>
      </c>
      <c r="L812" s="2" t="str">
        <f>IF(Sheet1[[#This Row],[age]]&lt;18, "Under 18",IF(Sheet1[[#This Row],[age]]&lt;=30,"18-30",IF(Sheet1[[#This Row],[age]]&lt;=45,"31-45",IF(Sheet1[[#This Row],[age]]&lt;=60,"46-60","60+"))))</f>
        <v>18-30</v>
      </c>
      <c r="M812" s="2" t="str">
        <f>IF(Sheet1[[#This Row],[risk_score]]&lt;0.3,"Low",IF(Sheet1[[#This Row],[risk_score]]&lt;0.7,"Medium","High"))</f>
        <v>Medium</v>
      </c>
      <c r="N812">
        <f>YEAR(Sheet1[[#This Row],[date_joined]])</f>
        <v>2018</v>
      </c>
      <c r="O812" s="2" t="str">
        <f>TEXT(Sheet1[[#This Row],[date_joined]],"mmm")</f>
        <v>Jun</v>
      </c>
      <c r="P812" s="2" t="str">
        <f>"Q"&amp;ROUNDUP(MONTH(Sheet1[[#This Row],[date_joined]])/3,0)</f>
        <v>Q2</v>
      </c>
      <c r="Q812" s="2" t="str">
        <f>IF(Sheet1[[#This Row],[age]]&lt;30,"Young",IF(Sheet1[[#This Row],[age]]&lt;=50,"Adult","Senior"))</f>
        <v>Young</v>
      </c>
      <c r="R812" s="2" t="str">
        <f t="shared" si="24"/>
        <v>Very High</v>
      </c>
      <c r="S812" s="2" t="str">
        <f t="shared" si="25"/>
        <v>West - Self-employed</v>
      </c>
    </row>
    <row r="813" spans="1:19" x14ac:dyDescent="0.3">
      <c r="A813" t="s">
        <v>1649</v>
      </c>
      <c r="B813" t="s">
        <v>1650</v>
      </c>
      <c r="C813">
        <v>52</v>
      </c>
      <c r="D813" s="2" t="s">
        <v>13</v>
      </c>
      <c r="E813" s="2" t="s">
        <v>30</v>
      </c>
      <c r="F813" s="2" t="s">
        <v>15</v>
      </c>
      <c r="G813" s="2" t="s">
        <v>16</v>
      </c>
      <c r="H813" s="2" t="s">
        <v>18</v>
      </c>
      <c r="I813" s="2" t="s">
        <v>17</v>
      </c>
      <c r="J813">
        <v>0.45</v>
      </c>
      <c r="K813" s="1">
        <v>44794</v>
      </c>
      <c r="L813" s="2" t="str">
        <f>IF(Sheet1[[#This Row],[age]]&lt;18, "Under 18",IF(Sheet1[[#This Row],[age]]&lt;=30,"18-30",IF(Sheet1[[#This Row],[age]]&lt;=45,"31-45",IF(Sheet1[[#This Row],[age]]&lt;=60,"46-60","60+"))))</f>
        <v>46-60</v>
      </c>
      <c r="M813" s="2" t="str">
        <f>IF(Sheet1[[#This Row],[risk_score]]&lt;0.3,"Low",IF(Sheet1[[#This Row],[risk_score]]&lt;0.7,"Medium","High"))</f>
        <v>Medium</v>
      </c>
      <c r="N813">
        <f>YEAR(Sheet1[[#This Row],[date_joined]])</f>
        <v>2022</v>
      </c>
      <c r="O813" s="2" t="str">
        <f>TEXT(Sheet1[[#This Row],[date_joined]],"mmm")</f>
        <v>Aug</v>
      </c>
      <c r="P813" s="2" t="str">
        <f>"Q"&amp;ROUNDUP(MONTH(Sheet1[[#This Row],[date_joined]])/3,0)</f>
        <v>Q3</v>
      </c>
      <c r="Q813" s="2" t="str">
        <f>IF(Sheet1[[#This Row],[age]]&lt;30,"Young",IF(Sheet1[[#This Row],[age]]&lt;=50,"Adult","Senior"))</f>
        <v>Senior</v>
      </c>
      <c r="R813" s="2" t="str">
        <f t="shared" si="24"/>
        <v>High</v>
      </c>
      <c r="S813" s="2" t="str">
        <f t="shared" si="25"/>
        <v>West - Student</v>
      </c>
    </row>
    <row r="814" spans="1:19" x14ac:dyDescent="0.3">
      <c r="A814" t="s">
        <v>1651</v>
      </c>
      <c r="B814" t="s">
        <v>1652</v>
      </c>
      <c r="C814">
        <v>29</v>
      </c>
      <c r="D814" s="2" t="s">
        <v>13</v>
      </c>
      <c r="E814" s="2" t="s">
        <v>14</v>
      </c>
      <c r="F814" s="2" t="s">
        <v>37</v>
      </c>
      <c r="G814" s="2" t="s">
        <v>32</v>
      </c>
      <c r="H814" s="2" t="s">
        <v>17</v>
      </c>
      <c r="I814" s="2" t="s">
        <v>17</v>
      </c>
      <c r="J814">
        <v>0.22</v>
      </c>
      <c r="K814" s="1">
        <v>43871</v>
      </c>
      <c r="L814" s="2" t="str">
        <f>IF(Sheet1[[#This Row],[age]]&lt;18, "Under 18",IF(Sheet1[[#This Row],[age]]&lt;=30,"18-30",IF(Sheet1[[#This Row],[age]]&lt;=45,"31-45",IF(Sheet1[[#This Row],[age]]&lt;=60,"46-60","60+"))))</f>
        <v>18-30</v>
      </c>
      <c r="M814" s="2" t="str">
        <f>IF(Sheet1[[#This Row],[risk_score]]&lt;0.3,"Low",IF(Sheet1[[#This Row],[risk_score]]&lt;0.7,"Medium","High"))</f>
        <v>Low</v>
      </c>
      <c r="N814">
        <f>YEAR(Sheet1[[#This Row],[date_joined]])</f>
        <v>2020</v>
      </c>
      <c r="O814" s="2" t="str">
        <f>TEXT(Sheet1[[#This Row],[date_joined]],"mmm")</f>
        <v>Feb</v>
      </c>
      <c r="P814" s="2" t="str">
        <f>"Q"&amp;ROUNDUP(MONTH(Sheet1[[#This Row],[date_joined]])/3,0)</f>
        <v>Q1</v>
      </c>
      <c r="Q814" s="2" t="str">
        <f>IF(Sheet1[[#This Row],[age]]&lt;30,"Young",IF(Sheet1[[#This Row],[age]]&lt;=50,"Adult","Senior"))</f>
        <v>Young</v>
      </c>
      <c r="R814" s="2" t="str">
        <f t="shared" si="24"/>
        <v>Low</v>
      </c>
      <c r="S814" s="2" t="str">
        <f t="shared" si="25"/>
        <v>South - Retired</v>
      </c>
    </row>
    <row r="815" spans="1:19" x14ac:dyDescent="0.3">
      <c r="A815" t="s">
        <v>1653</v>
      </c>
      <c r="B815" t="s">
        <v>1654</v>
      </c>
      <c r="C815">
        <v>52</v>
      </c>
      <c r="D815" s="2" t="s">
        <v>13</v>
      </c>
      <c r="E815" s="2" t="s">
        <v>14</v>
      </c>
      <c r="F815" s="2" t="s">
        <v>31</v>
      </c>
      <c r="G815" s="2" t="s">
        <v>32</v>
      </c>
      <c r="H815" s="2" t="s">
        <v>17</v>
      </c>
      <c r="I815" s="2" t="s">
        <v>17</v>
      </c>
      <c r="J815">
        <v>0.35</v>
      </c>
      <c r="K815" s="1">
        <v>44573</v>
      </c>
      <c r="L815" s="2" t="str">
        <f>IF(Sheet1[[#This Row],[age]]&lt;18, "Under 18",IF(Sheet1[[#This Row],[age]]&lt;=30,"18-30",IF(Sheet1[[#This Row],[age]]&lt;=45,"31-45",IF(Sheet1[[#This Row],[age]]&lt;=60,"46-60","60+"))))</f>
        <v>46-60</v>
      </c>
      <c r="M815" s="2" t="str">
        <f>IF(Sheet1[[#This Row],[risk_score]]&lt;0.3,"Low",IF(Sheet1[[#This Row],[risk_score]]&lt;0.7,"Medium","High"))</f>
        <v>Medium</v>
      </c>
      <c r="N815">
        <f>YEAR(Sheet1[[#This Row],[date_joined]])</f>
        <v>2022</v>
      </c>
      <c r="O815" s="2" t="str">
        <f>TEXT(Sheet1[[#This Row],[date_joined]],"mmm")</f>
        <v>Jan</v>
      </c>
      <c r="P815" s="2" t="str">
        <f>"Q"&amp;ROUNDUP(MONTH(Sheet1[[#This Row],[date_joined]])/3,0)</f>
        <v>Q1</v>
      </c>
      <c r="Q815" s="2" t="str">
        <f>IF(Sheet1[[#This Row],[age]]&lt;30,"Young",IF(Sheet1[[#This Row],[age]]&lt;=50,"Adult","Senior"))</f>
        <v>Senior</v>
      </c>
      <c r="R815" s="2" t="str">
        <f t="shared" si="24"/>
        <v>Low</v>
      </c>
      <c r="S815" s="2" t="str">
        <f t="shared" si="25"/>
        <v>South - Self-employed</v>
      </c>
    </row>
    <row r="816" spans="1:19" x14ac:dyDescent="0.3">
      <c r="A816" t="s">
        <v>1655</v>
      </c>
      <c r="B816" t="s">
        <v>1656</v>
      </c>
      <c r="C816">
        <v>59</v>
      </c>
      <c r="D816" s="2" t="s">
        <v>21</v>
      </c>
      <c r="E816" s="2" t="s">
        <v>14</v>
      </c>
      <c r="F816" s="2" t="s">
        <v>15</v>
      </c>
      <c r="G816" s="2" t="s">
        <v>27</v>
      </c>
      <c r="H816" s="2" t="s">
        <v>18</v>
      </c>
      <c r="I816" s="2" t="s">
        <v>17</v>
      </c>
      <c r="J816">
        <v>0.57999999999999996</v>
      </c>
      <c r="K816" s="1">
        <v>43581</v>
      </c>
      <c r="L816" s="2" t="str">
        <f>IF(Sheet1[[#This Row],[age]]&lt;18, "Under 18",IF(Sheet1[[#This Row],[age]]&lt;=30,"18-30",IF(Sheet1[[#This Row],[age]]&lt;=45,"31-45",IF(Sheet1[[#This Row],[age]]&lt;=60,"46-60","60+"))))</f>
        <v>46-60</v>
      </c>
      <c r="M816" s="2" t="str">
        <f>IF(Sheet1[[#This Row],[risk_score]]&lt;0.3,"Low",IF(Sheet1[[#This Row],[risk_score]]&lt;0.7,"Medium","High"))</f>
        <v>Medium</v>
      </c>
      <c r="N816">
        <f>YEAR(Sheet1[[#This Row],[date_joined]])</f>
        <v>2019</v>
      </c>
      <c r="O816" s="2" t="str">
        <f>TEXT(Sheet1[[#This Row],[date_joined]],"mmm")</f>
        <v>Apr</v>
      </c>
      <c r="P816" s="2" t="str">
        <f>"Q"&amp;ROUNDUP(MONTH(Sheet1[[#This Row],[date_joined]])/3,0)</f>
        <v>Q2</v>
      </c>
      <c r="Q816" s="2" t="str">
        <f>IF(Sheet1[[#This Row],[age]]&lt;30,"Young",IF(Sheet1[[#This Row],[age]]&lt;=50,"Adult","Senior"))</f>
        <v>Senior</v>
      </c>
      <c r="R816" s="2" t="str">
        <f t="shared" si="24"/>
        <v>High</v>
      </c>
      <c r="S816" s="2" t="str">
        <f t="shared" si="25"/>
        <v>North - Student</v>
      </c>
    </row>
    <row r="817" spans="1:19" x14ac:dyDescent="0.3">
      <c r="A817" t="s">
        <v>1657</v>
      </c>
      <c r="B817" t="s">
        <v>1658</v>
      </c>
      <c r="C817">
        <v>36</v>
      </c>
      <c r="D817" s="2" t="s">
        <v>21</v>
      </c>
      <c r="E817" s="2" t="s">
        <v>14</v>
      </c>
      <c r="F817" s="2" t="s">
        <v>31</v>
      </c>
      <c r="G817" s="2" t="s">
        <v>27</v>
      </c>
      <c r="H817" s="2" t="s">
        <v>18</v>
      </c>
      <c r="I817" s="2" t="s">
        <v>17</v>
      </c>
      <c r="J817">
        <v>0.49</v>
      </c>
      <c r="K817" s="1">
        <v>44864</v>
      </c>
      <c r="L817" s="2" t="str">
        <f>IF(Sheet1[[#This Row],[age]]&lt;18, "Under 18",IF(Sheet1[[#This Row],[age]]&lt;=30,"18-30",IF(Sheet1[[#This Row],[age]]&lt;=45,"31-45",IF(Sheet1[[#This Row],[age]]&lt;=60,"46-60","60+"))))</f>
        <v>31-45</v>
      </c>
      <c r="M817" s="2" t="str">
        <f>IF(Sheet1[[#This Row],[risk_score]]&lt;0.3,"Low",IF(Sheet1[[#This Row],[risk_score]]&lt;0.7,"Medium","High"))</f>
        <v>Medium</v>
      </c>
      <c r="N817">
        <f>YEAR(Sheet1[[#This Row],[date_joined]])</f>
        <v>2022</v>
      </c>
      <c r="O817" s="2" t="str">
        <f>TEXT(Sheet1[[#This Row],[date_joined]],"mmm")</f>
        <v>Oct</v>
      </c>
      <c r="P817" s="2" t="str">
        <f>"Q"&amp;ROUNDUP(MONTH(Sheet1[[#This Row],[date_joined]])/3,0)</f>
        <v>Q4</v>
      </c>
      <c r="Q817" s="2" t="str">
        <f>IF(Sheet1[[#This Row],[age]]&lt;30,"Young",IF(Sheet1[[#This Row],[age]]&lt;=50,"Adult","Senior"))</f>
        <v>Adult</v>
      </c>
      <c r="R817" s="2" t="str">
        <f t="shared" si="24"/>
        <v>High</v>
      </c>
      <c r="S817" s="2" t="str">
        <f t="shared" si="25"/>
        <v>North - Self-employed</v>
      </c>
    </row>
    <row r="818" spans="1:19" x14ac:dyDescent="0.3">
      <c r="A818" t="s">
        <v>1659</v>
      </c>
      <c r="B818" t="s">
        <v>1660</v>
      </c>
      <c r="C818">
        <v>66</v>
      </c>
      <c r="D818" s="2" t="s">
        <v>21</v>
      </c>
      <c r="E818" s="2" t="s">
        <v>14</v>
      </c>
      <c r="F818" s="2" t="s">
        <v>15</v>
      </c>
      <c r="G818" s="2" t="s">
        <v>24</v>
      </c>
      <c r="H818" s="2" t="s">
        <v>18</v>
      </c>
      <c r="I818" s="2" t="s">
        <v>17</v>
      </c>
      <c r="J818">
        <v>0.18</v>
      </c>
      <c r="K818" s="1">
        <v>44628</v>
      </c>
      <c r="L818" s="2" t="str">
        <f>IF(Sheet1[[#This Row],[age]]&lt;18, "Under 18",IF(Sheet1[[#This Row],[age]]&lt;=30,"18-30",IF(Sheet1[[#This Row],[age]]&lt;=45,"31-45",IF(Sheet1[[#This Row],[age]]&lt;=60,"46-60","60+"))))</f>
        <v>60+</v>
      </c>
      <c r="M818" s="2" t="str">
        <f>IF(Sheet1[[#This Row],[risk_score]]&lt;0.3,"Low",IF(Sheet1[[#This Row],[risk_score]]&lt;0.7,"Medium","High"))</f>
        <v>Low</v>
      </c>
      <c r="N818">
        <f>YEAR(Sheet1[[#This Row],[date_joined]])</f>
        <v>2022</v>
      </c>
      <c r="O818" s="2" t="str">
        <f>TEXT(Sheet1[[#This Row],[date_joined]],"mmm")</f>
        <v>Mar</v>
      </c>
      <c r="P818" s="2" t="str">
        <f>"Q"&amp;ROUNDUP(MONTH(Sheet1[[#This Row],[date_joined]])/3,0)</f>
        <v>Q1</v>
      </c>
      <c r="Q818" s="2" t="str">
        <f>IF(Sheet1[[#This Row],[age]]&lt;30,"Young",IF(Sheet1[[#This Row],[age]]&lt;=50,"Adult","Senior"))</f>
        <v>Senior</v>
      </c>
      <c r="R818" s="2" t="str">
        <f t="shared" si="24"/>
        <v>High</v>
      </c>
      <c r="S818" s="2" t="str">
        <f t="shared" si="25"/>
        <v>East - Student</v>
      </c>
    </row>
    <row r="819" spans="1:19" x14ac:dyDescent="0.3">
      <c r="A819" t="s">
        <v>1661</v>
      </c>
      <c r="B819" t="s">
        <v>1662</v>
      </c>
      <c r="C819">
        <v>51</v>
      </c>
      <c r="D819" s="2" t="s">
        <v>13</v>
      </c>
      <c r="E819" s="2" t="s">
        <v>30</v>
      </c>
      <c r="F819" s="2" t="s">
        <v>37</v>
      </c>
      <c r="G819" s="2" t="s">
        <v>16</v>
      </c>
      <c r="H819" s="2" t="s">
        <v>18</v>
      </c>
      <c r="I819" s="2" t="s">
        <v>17</v>
      </c>
      <c r="J819">
        <v>0.56999999999999995</v>
      </c>
      <c r="K819" s="1">
        <v>44094</v>
      </c>
      <c r="L819" s="2" t="str">
        <f>IF(Sheet1[[#This Row],[age]]&lt;18, "Under 18",IF(Sheet1[[#This Row],[age]]&lt;=30,"18-30",IF(Sheet1[[#This Row],[age]]&lt;=45,"31-45",IF(Sheet1[[#This Row],[age]]&lt;=60,"46-60","60+"))))</f>
        <v>46-60</v>
      </c>
      <c r="M819" s="2" t="str">
        <f>IF(Sheet1[[#This Row],[risk_score]]&lt;0.3,"Low",IF(Sheet1[[#This Row],[risk_score]]&lt;0.7,"Medium","High"))</f>
        <v>Medium</v>
      </c>
      <c r="N819">
        <f>YEAR(Sheet1[[#This Row],[date_joined]])</f>
        <v>2020</v>
      </c>
      <c r="O819" s="2" t="str">
        <f>TEXT(Sheet1[[#This Row],[date_joined]],"mmm")</f>
        <v>Sep</v>
      </c>
      <c r="P819" s="2" t="str">
        <f>"Q"&amp;ROUNDUP(MONTH(Sheet1[[#This Row],[date_joined]])/3,0)</f>
        <v>Q3</v>
      </c>
      <c r="Q819" s="2" t="str">
        <f>IF(Sheet1[[#This Row],[age]]&lt;30,"Young",IF(Sheet1[[#This Row],[age]]&lt;=50,"Adult","Senior"))</f>
        <v>Senior</v>
      </c>
      <c r="R819" s="2" t="str">
        <f t="shared" si="24"/>
        <v>High</v>
      </c>
      <c r="S819" s="2" t="str">
        <f t="shared" si="25"/>
        <v>West - Retired</v>
      </c>
    </row>
    <row r="820" spans="1:19" x14ac:dyDescent="0.3">
      <c r="A820" t="s">
        <v>1663</v>
      </c>
      <c r="B820" t="s">
        <v>1664</v>
      </c>
      <c r="C820">
        <v>22</v>
      </c>
      <c r="D820" s="2" t="s">
        <v>13</v>
      </c>
      <c r="E820" s="2" t="s">
        <v>30</v>
      </c>
      <c r="F820" s="2" t="s">
        <v>15</v>
      </c>
      <c r="G820" s="2" t="s">
        <v>27</v>
      </c>
      <c r="H820" s="2" t="s">
        <v>18</v>
      </c>
      <c r="I820" s="2" t="s">
        <v>17</v>
      </c>
      <c r="J820">
        <v>0.7</v>
      </c>
      <c r="K820" s="1">
        <v>45270</v>
      </c>
      <c r="L820" s="2" t="str">
        <f>IF(Sheet1[[#This Row],[age]]&lt;18, "Under 18",IF(Sheet1[[#This Row],[age]]&lt;=30,"18-30",IF(Sheet1[[#This Row],[age]]&lt;=45,"31-45",IF(Sheet1[[#This Row],[age]]&lt;=60,"46-60","60+"))))</f>
        <v>18-30</v>
      </c>
      <c r="M820" s="2" t="str">
        <f>IF(Sheet1[[#This Row],[risk_score]]&lt;0.3,"Low",IF(Sheet1[[#This Row],[risk_score]]&lt;0.7,"Medium","High"))</f>
        <v>High</v>
      </c>
      <c r="N820">
        <f>YEAR(Sheet1[[#This Row],[date_joined]])</f>
        <v>2023</v>
      </c>
      <c r="O820" s="2" t="str">
        <f>TEXT(Sheet1[[#This Row],[date_joined]],"mmm")</f>
        <v>Dec</v>
      </c>
      <c r="P820" s="2" t="str">
        <f>"Q"&amp;ROUNDUP(MONTH(Sheet1[[#This Row],[date_joined]])/3,0)</f>
        <v>Q4</v>
      </c>
      <c r="Q820" s="2" t="str">
        <f>IF(Sheet1[[#This Row],[age]]&lt;30,"Young",IF(Sheet1[[#This Row],[age]]&lt;=50,"Adult","Senior"))</f>
        <v>Young</v>
      </c>
      <c r="R820" s="2" t="str">
        <f t="shared" si="24"/>
        <v>High</v>
      </c>
      <c r="S820" s="2" t="str">
        <f t="shared" si="25"/>
        <v>North - Student</v>
      </c>
    </row>
    <row r="821" spans="1:19" x14ac:dyDescent="0.3">
      <c r="A821" t="s">
        <v>1665</v>
      </c>
      <c r="B821" t="s">
        <v>1666</v>
      </c>
      <c r="C821">
        <v>53</v>
      </c>
      <c r="D821" s="2" t="s">
        <v>21</v>
      </c>
      <c r="E821" s="2" t="s">
        <v>30</v>
      </c>
      <c r="F821" s="2" t="s">
        <v>37</v>
      </c>
      <c r="G821" s="2" t="s">
        <v>16</v>
      </c>
      <c r="H821" s="2" t="s">
        <v>18</v>
      </c>
      <c r="I821" s="2" t="s">
        <v>18</v>
      </c>
      <c r="J821">
        <v>0.36</v>
      </c>
      <c r="K821" s="1">
        <v>44259</v>
      </c>
      <c r="L821" s="2" t="str">
        <f>IF(Sheet1[[#This Row],[age]]&lt;18, "Under 18",IF(Sheet1[[#This Row],[age]]&lt;=30,"18-30",IF(Sheet1[[#This Row],[age]]&lt;=45,"31-45",IF(Sheet1[[#This Row],[age]]&lt;=60,"46-60","60+"))))</f>
        <v>46-60</v>
      </c>
      <c r="M821" s="2" t="str">
        <f>IF(Sheet1[[#This Row],[risk_score]]&lt;0.3,"Low",IF(Sheet1[[#This Row],[risk_score]]&lt;0.7,"Medium","High"))</f>
        <v>Medium</v>
      </c>
      <c r="N821">
        <f>YEAR(Sheet1[[#This Row],[date_joined]])</f>
        <v>2021</v>
      </c>
      <c r="O821" s="2" t="str">
        <f>TEXT(Sheet1[[#This Row],[date_joined]],"mmm")</f>
        <v>Mar</v>
      </c>
      <c r="P821" s="2" t="str">
        <f>"Q"&amp;ROUNDUP(MONTH(Sheet1[[#This Row],[date_joined]])/3,0)</f>
        <v>Q1</v>
      </c>
      <c r="Q821" s="2" t="str">
        <f>IF(Sheet1[[#This Row],[age]]&lt;30,"Young",IF(Sheet1[[#This Row],[age]]&lt;=50,"Adult","Senior"))</f>
        <v>Senior</v>
      </c>
      <c r="R821" s="2" t="str">
        <f t="shared" si="24"/>
        <v>Very High</v>
      </c>
      <c r="S821" s="2" t="str">
        <f t="shared" si="25"/>
        <v>West - Retired</v>
      </c>
    </row>
    <row r="822" spans="1:19" x14ac:dyDescent="0.3">
      <c r="A822" t="s">
        <v>1667</v>
      </c>
      <c r="B822" t="s">
        <v>1668</v>
      </c>
      <c r="C822">
        <v>42</v>
      </c>
      <c r="D822" s="2" t="s">
        <v>13</v>
      </c>
      <c r="E822" s="2" t="s">
        <v>22</v>
      </c>
      <c r="F822" s="2" t="s">
        <v>37</v>
      </c>
      <c r="G822" s="2" t="s">
        <v>27</v>
      </c>
      <c r="H822" s="2" t="s">
        <v>17</v>
      </c>
      <c r="I822" s="2" t="s">
        <v>18</v>
      </c>
      <c r="J822">
        <v>0.78</v>
      </c>
      <c r="K822" s="1">
        <v>44511</v>
      </c>
      <c r="L822" s="2" t="str">
        <f>IF(Sheet1[[#This Row],[age]]&lt;18, "Under 18",IF(Sheet1[[#This Row],[age]]&lt;=30,"18-30",IF(Sheet1[[#This Row],[age]]&lt;=45,"31-45",IF(Sheet1[[#This Row],[age]]&lt;=60,"46-60","60+"))))</f>
        <v>31-45</v>
      </c>
      <c r="M822" s="2" t="str">
        <f>IF(Sheet1[[#This Row],[risk_score]]&lt;0.3,"Low",IF(Sheet1[[#This Row],[risk_score]]&lt;0.7,"Medium","High"))</f>
        <v>High</v>
      </c>
      <c r="N822">
        <f>YEAR(Sheet1[[#This Row],[date_joined]])</f>
        <v>2021</v>
      </c>
      <c r="O822" s="2" t="str">
        <f>TEXT(Sheet1[[#This Row],[date_joined]],"mmm")</f>
        <v>Nov</v>
      </c>
      <c r="P822" s="2" t="str">
        <f>"Q"&amp;ROUNDUP(MONTH(Sheet1[[#This Row],[date_joined]])/3,0)</f>
        <v>Q4</v>
      </c>
      <c r="Q822" s="2" t="str">
        <f>IF(Sheet1[[#This Row],[age]]&lt;30,"Young",IF(Sheet1[[#This Row],[age]]&lt;=50,"Adult","Senior"))</f>
        <v>Adult</v>
      </c>
      <c r="R822" s="2" t="str">
        <f t="shared" si="24"/>
        <v>High</v>
      </c>
      <c r="S822" s="2" t="str">
        <f t="shared" si="25"/>
        <v>North - Retired</v>
      </c>
    </row>
    <row r="823" spans="1:19" x14ac:dyDescent="0.3">
      <c r="A823" t="s">
        <v>1669</v>
      </c>
      <c r="B823" t="s">
        <v>1670</v>
      </c>
      <c r="C823">
        <v>28</v>
      </c>
      <c r="D823" s="2" t="s">
        <v>21</v>
      </c>
      <c r="E823" s="2" t="s">
        <v>14</v>
      </c>
      <c r="F823" s="2" t="s">
        <v>31</v>
      </c>
      <c r="G823" s="2" t="s">
        <v>27</v>
      </c>
      <c r="H823" s="2" t="s">
        <v>17</v>
      </c>
      <c r="I823" s="2" t="s">
        <v>18</v>
      </c>
      <c r="J823">
        <v>0.65</v>
      </c>
      <c r="K823" s="1">
        <v>44578</v>
      </c>
      <c r="L823" s="2" t="str">
        <f>IF(Sheet1[[#This Row],[age]]&lt;18, "Under 18",IF(Sheet1[[#This Row],[age]]&lt;=30,"18-30",IF(Sheet1[[#This Row],[age]]&lt;=45,"31-45",IF(Sheet1[[#This Row],[age]]&lt;=60,"46-60","60+"))))</f>
        <v>18-30</v>
      </c>
      <c r="M823" s="2" t="str">
        <f>IF(Sheet1[[#This Row],[risk_score]]&lt;0.3,"Low",IF(Sheet1[[#This Row],[risk_score]]&lt;0.7,"Medium","High"))</f>
        <v>Medium</v>
      </c>
      <c r="N823">
        <f>YEAR(Sheet1[[#This Row],[date_joined]])</f>
        <v>2022</v>
      </c>
      <c r="O823" s="2" t="str">
        <f>TEXT(Sheet1[[#This Row],[date_joined]],"mmm")</f>
        <v>Jan</v>
      </c>
      <c r="P823" s="2" t="str">
        <f>"Q"&amp;ROUNDUP(MONTH(Sheet1[[#This Row],[date_joined]])/3,0)</f>
        <v>Q1</v>
      </c>
      <c r="Q823" s="2" t="str">
        <f>IF(Sheet1[[#This Row],[age]]&lt;30,"Young",IF(Sheet1[[#This Row],[age]]&lt;=50,"Adult","Senior"))</f>
        <v>Young</v>
      </c>
      <c r="R823" s="2" t="str">
        <f t="shared" si="24"/>
        <v>High</v>
      </c>
      <c r="S823" s="2" t="str">
        <f t="shared" si="25"/>
        <v>North - Self-employed</v>
      </c>
    </row>
    <row r="824" spans="1:19" x14ac:dyDescent="0.3">
      <c r="A824" t="s">
        <v>1671</v>
      </c>
      <c r="B824" t="s">
        <v>1672</v>
      </c>
      <c r="C824">
        <v>29</v>
      </c>
      <c r="D824" s="2" t="s">
        <v>13</v>
      </c>
      <c r="E824" s="2" t="s">
        <v>30</v>
      </c>
      <c r="F824" s="2" t="s">
        <v>37</v>
      </c>
      <c r="G824" s="2" t="s">
        <v>27</v>
      </c>
      <c r="H824" s="2" t="s">
        <v>18</v>
      </c>
      <c r="I824" s="2" t="s">
        <v>18</v>
      </c>
      <c r="J824">
        <v>0.44</v>
      </c>
      <c r="K824" s="1">
        <v>44450</v>
      </c>
      <c r="L824" s="2" t="str">
        <f>IF(Sheet1[[#This Row],[age]]&lt;18, "Under 18",IF(Sheet1[[#This Row],[age]]&lt;=30,"18-30",IF(Sheet1[[#This Row],[age]]&lt;=45,"31-45",IF(Sheet1[[#This Row],[age]]&lt;=60,"46-60","60+"))))</f>
        <v>18-30</v>
      </c>
      <c r="M824" s="2" t="str">
        <f>IF(Sheet1[[#This Row],[risk_score]]&lt;0.3,"Low",IF(Sheet1[[#This Row],[risk_score]]&lt;0.7,"Medium","High"))</f>
        <v>Medium</v>
      </c>
      <c r="N824">
        <f>YEAR(Sheet1[[#This Row],[date_joined]])</f>
        <v>2021</v>
      </c>
      <c r="O824" s="2" t="str">
        <f>TEXT(Sheet1[[#This Row],[date_joined]],"mmm")</f>
        <v>Sep</v>
      </c>
      <c r="P824" s="2" t="str">
        <f>"Q"&amp;ROUNDUP(MONTH(Sheet1[[#This Row],[date_joined]])/3,0)</f>
        <v>Q3</v>
      </c>
      <c r="Q824" s="2" t="str">
        <f>IF(Sheet1[[#This Row],[age]]&lt;30,"Young",IF(Sheet1[[#This Row],[age]]&lt;=50,"Adult","Senior"))</f>
        <v>Young</v>
      </c>
      <c r="R824" s="2" t="str">
        <f t="shared" si="24"/>
        <v>Very High</v>
      </c>
      <c r="S824" s="2" t="str">
        <f t="shared" si="25"/>
        <v>North - Retired</v>
      </c>
    </row>
    <row r="825" spans="1:19" x14ac:dyDescent="0.3">
      <c r="A825" t="s">
        <v>1673</v>
      </c>
      <c r="B825" t="s">
        <v>1674</v>
      </c>
      <c r="C825">
        <v>26</v>
      </c>
      <c r="D825" s="2" t="s">
        <v>13</v>
      </c>
      <c r="E825" s="2" t="s">
        <v>30</v>
      </c>
      <c r="F825" s="2" t="s">
        <v>15</v>
      </c>
      <c r="G825" s="2" t="s">
        <v>27</v>
      </c>
      <c r="H825" s="2" t="s">
        <v>18</v>
      </c>
      <c r="I825" s="2" t="s">
        <v>17</v>
      </c>
      <c r="J825">
        <v>0.5</v>
      </c>
      <c r="K825" s="1">
        <v>45190</v>
      </c>
      <c r="L825" s="2" t="str">
        <f>IF(Sheet1[[#This Row],[age]]&lt;18, "Under 18",IF(Sheet1[[#This Row],[age]]&lt;=30,"18-30",IF(Sheet1[[#This Row],[age]]&lt;=45,"31-45",IF(Sheet1[[#This Row],[age]]&lt;=60,"46-60","60+"))))</f>
        <v>18-30</v>
      </c>
      <c r="M825" s="2" t="str">
        <f>IF(Sheet1[[#This Row],[risk_score]]&lt;0.3,"Low",IF(Sheet1[[#This Row],[risk_score]]&lt;0.7,"Medium","High"))</f>
        <v>Medium</v>
      </c>
      <c r="N825">
        <f>YEAR(Sheet1[[#This Row],[date_joined]])</f>
        <v>2023</v>
      </c>
      <c r="O825" s="2" t="str">
        <f>TEXT(Sheet1[[#This Row],[date_joined]],"mmm")</f>
        <v>Sep</v>
      </c>
      <c r="P825" s="2" t="str">
        <f>"Q"&amp;ROUNDUP(MONTH(Sheet1[[#This Row],[date_joined]])/3,0)</f>
        <v>Q3</v>
      </c>
      <c r="Q825" s="2" t="str">
        <f>IF(Sheet1[[#This Row],[age]]&lt;30,"Young",IF(Sheet1[[#This Row],[age]]&lt;=50,"Adult","Senior"))</f>
        <v>Young</v>
      </c>
      <c r="R825" s="2" t="str">
        <f t="shared" si="24"/>
        <v>High</v>
      </c>
      <c r="S825" s="2" t="str">
        <f t="shared" si="25"/>
        <v>North - Student</v>
      </c>
    </row>
    <row r="826" spans="1:19" x14ac:dyDescent="0.3">
      <c r="A826" t="s">
        <v>1675</v>
      </c>
      <c r="B826" t="s">
        <v>1676</v>
      </c>
      <c r="C826">
        <v>42</v>
      </c>
      <c r="D826" s="2" t="s">
        <v>21</v>
      </c>
      <c r="E826" s="2" t="s">
        <v>22</v>
      </c>
      <c r="F826" s="2" t="s">
        <v>37</v>
      </c>
      <c r="G826" s="2" t="s">
        <v>27</v>
      </c>
      <c r="H826" s="2" t="s">
        <v>17</v>
      </c>
      <c r="I826" s="2" t="s">
        <v>18</v>
      </c>
      <c r="J826">
        <v>0.68</v>
      </c>
      <c r="K826" s="1">
        <v>43954</v>
      </c>
      <c r="L826" s="2" t="str">
        <f>IF(Sheet1[[#This Row],[age]]&lt;18, "Under 18",IF(Sheet1[[#This Row],[age]]&lt;=30,"18-30",IF(Sheet1[[#This Row],[age]]&lt;=45,"31-45",IF(Sheet1[[#This Row],[age]]&lt;=60,"46-60","60+"))))</f>
        <v>31-45</v>
      </c>
      <c r="M826" s="2" t="str">
        <f>IF(Sheet1[[#This Row],[risk_score]]&lt;0.3,"Low",IF(Sheet1[[#This Row],[risk_score]]&lt;0.7,"Medium","High"))</f>
        <v>Medium</v>
      </c>
      <c r="N826">
        <f>YEAR(Sheet1[[#This Row],[date_joined]])</f>
        <v>2020</v>
      </c>
      <c r="O826" s="2" t="str">
        <f>TEXT(Sheet1[[#This Row],[date_joined]],"mmm")</f>
        <v>May</v>
      </c>
      <c r="P826" s="2" t="str">
        <f>"Q"&amp;ROUNDUP(MONTH(Sheet1[[#This Row],[date_joined]])/3,0)</f>
        <v>Q2</v>
      </c>
      <c r="Q826" s="2" t="str">
        <f>IF(Sheet1[[#This Row],[age]]&lt;30,"Young",IF(Sheet1[[#This Row],[age]]&lt;=50,"Adult","Senior"))</f>
        <v>Adult</v>
      </c>
      <c r="R826" s="2" t="str">
        <f t="shared" si="24"/>
        <v>High</v>
      </c>
      <c r="S826" s="2" t="str">
        <f t="shared" si="25"/>
        <v>North - Retired</v>
      </c>
    </row>
    <row r="827" spans="1:19" x14ac:dyDescent="0.3">
      <c r="A827" t="s">
        <v>1677</v>
      </c>
      <c r="B827" t="s">
        <v>1678</v>
      </c>
      <c r="C827">
        <v>63</v>
      </c>
      <c r="D827" s="2" t="s">
        <v>13</v>
      </c>
      <c r="E827" s="2" t="s">
        <v>22</v>
      </c>
      <c r="F827" s="2" t="s">
        <v>37</v>
      </c>
      <c r="G827" s="2" t="s">
        <v>27</v>
      </c>
      <c r="H827" s="2" t="s">
        <v>18</v>
      </c>
      <c r="I827" s="2" t="s">
        <v>17</v>
      </c>
      <c r="J827">
        <v>0.66</v>
      </c>
      <c r="K827" s="1">
        <v>43480</v>
      </c>
      <c r="L827" s="2" t="str">
        <f>IF(Sheet1[[#This Row],[age]]&lt;18, "Under 18",IF(Sheet1[[#This Row],[age]]&lt;=30,"18-30",IF(Sheet1[[#This Row],[age]]&lt;=45,"31-45",IF(Sheet1[[#This Row],[age]]&lt;=60,"46-60","60+"))))</f>
        <v>60+</v>
      </c>
      <c r="M827" s="2" t="str">
        <f>IF(Sheet1[[#This Row],[risk_score]]&lt;0.3,"Low",IF(Sheet1[[#This Row],[risk_score]]&lt;0.7,"Medium","High"))</f>
        <v>Medium</v>
      </c>
      <c r="N827">
        <f>YEAR(Sheet1[[#This Row],[date_joined]])</f>
        <v>2019</v>
      </c>
      <c r="O827" s="2" t="str">
        <f>TEXT(Sheet1[[#This Row],[date_joined]],"mmm")</f>
        <v>Jan</v>
      </c>
      <c r="P827" s="2" t="str">
        <f>"Q"&amp;ROUNDUP(MONTH(Sheet1[[#This Row],[date_joined]])/3,0)</f>
        <v>Q1</v>
      </c>
      <c r="Q827" s="2" t="str">
        <f>IF(Sheet1[[#This Row],[age]]&lt;30,"Young",IF(Sheet1[[#This Row],[age]]&lt;=50,"Adult","Senior"))</f>
        <v>Senior</v>
      </c>
      <c r="R827" s="2" t="str">
        <f t="shared" si="24"/>
        <v>High</v>
      </c>
      <c r="S827" s="2" t="str">
        <f t="shared" si="25"/>
        <v>North - Retired</v>
      </c>
    </row>
    <row r="828" spans="1:19" x14ac:dyDescent="0.3">
      <c r="A828" t="s">
        <v>1679</v>
      </c>
      <c r="B828" t="s">
        <v>1680</v>
      </c>
      <c r="C828">
        <v>24</v>
      </c>
      <c r="D828" s="2" t="s">
        <v>13</v>
      </c>
      <c r="E828" s="2" t="s">
        <v>30</v>
      </c>
      <c r="F828" s="2" t="s">
        <v>37</v>
      </c>
      <c r="G828" s="2" t="s">
        <v>27</v>
      </c>
      <c r="H828" s="2" t="s">
        <v>17</v>
      </c>
      <c r="I828" s="2" t="s">
        <v>17</v>
      </c>
      <c r="J828">
        <v>0.54</v>
      </c>
      <c r="K828" s="1">
        <v>43972</v>
      </c>
      <c r="L828" s="2" t="str">
        <f>IF(Sheet1[[#This Row],[age]]&lt;18, "Under 18",IF(Sheet1[[#This Row],[age]]&lt;=30,"18-30",IF(Sheet1[[#This Row],[age]]&lt;=45,"31-45",IF(Sheet1[[#This Row],[age]]&lt;=60,"46-60","60+"))))</f>
        <v>18-30</v>
      </c>
      <c r="M828" s="2" t="str">
        <f>IF(Sheet1[[#This Row],[risk_score]]&lt;0.3,"Low",IF(Sheet1[[#This Row],[risk_score]]&lt;0.7,"Medium","High"))</f>
        <v>Medium</v>
      </c>
      <c r="N828">
        <f>YEAR(Sheet1[[#This Row],[date_joined]])</f>
        <v>2020</v>
      </c>
      <c r="O828" s="2" t="str">
        <f>TEXT(Sheet1[[#This Row],[date_joined]],"mmm")</f>
        <v>May</v>
      </c>
      <c r="P828" s="2" t="str">
        <f>"Q"&amp;ROUNDUP(MONTH(Sheet1[[#This Row],[date_joined]])/3,0)</f>
        <v>Q2</v>
      </c>
      <c r="Q828" s="2" t="str">
        <f>IF(Sheet1[[#This Row],[age]]&lt;30,"Young",IF(Sheet1[[#This Row],[age]]&lt;=50,"Adult","Senior"))</f>
        <v>Young</v>
      </c>
      <c r="R828" s="2" t="str">
        <f t="shared" si="24"/>
        <v>Low</v>
      </c>
      <c r="S828" s="2" t="str">
        <f t="shared" si="25"/>
        <v>North - Retired</v>
      </c>
    </row>
    <row r="829" spans="1:19" x14ac:dyDescent="0.3">
      <c r="A829" t="s">
        <v>1681</v>
      </c>
      <c r="B829" t="s">
        <v>1682</v>
      </c>
      <c r="C829">
        <v>59</v>
      </c>
      <c r="D829" s="2" t="s">
        <v>13</v>
      </c>
      <c r="E829" s="2" t="s">
        <v>14</v>
      </c>
      <c r="F829" s="2" t="s">
        <v>15</v>
      </c>
      <c r="G829" s="2" t="s">
        <v>16</v>
      </c>
      <c r="H829" s="2" t="s">
        <v>18</v>
      </c>
      <c r="I829" s="2" t="s">
        <v>17</v>
      </c>
      <c r="J829">
        <v>0.51</v>
      </c>
      <c r="K829" s="1">
        <v>44187</v>
      </c>
      <c r="L829" s="2" t="str">
        <f>IF(Sheet1[[#This Row],[age]]&lt;18, "Under 18",IF(Sheet1[[#This Row],[age]]&lt;=30,"18-30",IF(Sheet1[[#This Row],[age]]&lt;=45,"31-45",IF(Sheet1[[#This Row],[age]]&lt;=60,"46-60","60+"))))</f>
        <v>46-60</v>
      </c>
      <c r="M829" s="2" t="str">
        <f>IF(Sheet1[[#This Row],[risk_score]]&lt;0.3,"Low",IF(Sheet1[[#This Row],[risk_score]]&lt;0.7,"Medium","High"))</f>
        <v>Medium</v>
      </c>
      <c r="N829">
        <f>YEAR(Sheet1[[#This Row],[date_joined]])</f>
        <v>2020</v>
      </c>
      <c r="O829" s="2" t="str">
        <f>TEXT(Sheet1[[#This Row],[date_joined]],"mmm")</f>
        <v>Dec</v>
      </c>
      <c r="P829" s="2" t="str">
        <f>"Q"&amp;ROUNDUP(MONTH(Sheet1[[#This Row],[date_joined]])/3,0)</f>
        <v>Q4</v>
      </c>
      <c r="Q829" s="2" t="str">
        <f>IF(Sheet1[[#This Row],[age]]&lt;30,"Young",IF(Sheet1[[#This Row],[age]]&lt;=50,"Adult","Senior"))</f>
        <v>Senior</v>
      </c>
      <c r="R829" s="2" t="str">
        <f t="shared" si="24"/>
        <v>High</v>
      </c>
      <c r="S829" s="2" t="str">
        <f t="shared" si="25"/>
        <v>West - Student</v>
      </c>
    </row>
    <row r="830" spans="1:19" x14ac:dyDescent="0.3">
      <c r="A830" t="s">
        <v>1683</v>
      </c>
      <c r="B830" t="s">
        <v>1684</v>
      </c>
      <c r="C830">
        <v>41</v>
      </c>
      <c r="D830" s="2" t="s">
        <v>21</v>
      </c>
      <c r="E830" s="2" t="s">
        <v>14</v>
      </c>
      <c r="F830" s="2" t="s">
        <v>15</v>
      </c>
      <c r="G830" s="2" t="s">
        <v>81</v>
      </c>
      <c r="H830" s="2" t="s">
        <v>18</v>
      </c>
      <c r="I830" s="2" t="s">
        <v>18</v>
      </c>
      <c r="J830">
        <v>0.62</v>
      </c>
      <c r="K830" s="1">
        <v>43718</v>
      </c>
      <c r="L830" s="2" t="str">
        <f>IF(Sheet1[[#This Row],[age]]&lt;18, "Under 18",IF(Sheet1[[#This Row],[age]]&lt;=30,"18-30",IF(Sheet1[[#This Row],[age]]&lt;=45,"31-45",IF(Sheet1[[#This Row],[age]]&lt;=60,"46-60","60+"))))</f>
        <v>31-45</v>
      </c>
      <c r="M830" s="2" t="str">
        <f>IF(Sheet1[[#This Row],[risk_score]]&lt;0.3,"Low",IF(Sheet1[[#This Row],[risk_score]]&lt;0.7,"Medium","High"))</f>
        <v>Medium</v>
      </c>
      <c r="N830">
        <f>YEAR(Sheet1[[#This Row],[date_joined]])</f>
        <v>2019</v>
      </c>
      <c r="O830" s="2" t="str">
        <f>TEXT(Sheet1[[#This Row],[date_joined]],"mmm")</f>
        <v>Sep</v>
      </c>
      <c r="P830" s="2" t="str">
        <f>"Q"&amp;ROUNDUP(MONTH(Sheet1[[#This Row],[date_joined]])/3,0)</f>
        <v>Q3</v>
      </c>
      <c r="Q830" s="2" t="str">
        <f>IF(Sheet1[[#This Row],[age]]&lt;30,"Young",IF(Sheet1[[#This Row],[age]]&lt;=50,"Adult","Senior"))</f>
        <v>Adult</v>
      </c>
      <c r="R830" s="2" t="str">
        <f t="shared" si="24"/>
        <v>Very High</v>
      </c>
      <c r="S830" s="2" t="str">
        <f t="shared" si="25"/>
        <v>Central - Student</v>
      </c>
    </row>
    <row r="831" spans="1:19" x14ac:dyDescent="0.3">
      <c r="A831" t="s">
        <v>1685</v>
      </c>
      <c r="B831" t="s">
        <v>1686</v>
      </c>
      <c r="C831">
        <v>36</v>
      </c>
      <c r="D831" s="2" t="s">
        <v>21</v>
      </c>
      <c r="E831" s="2" t="s">
        <v>14</v>
      </c>
      <c r="F831" s="2" t="s">
        <v>31</v>
      </c>
      <c r="G831" s="2" t="s">
        <v>81</v>
      </c>
      <c r="H831" s="2" t="s">
        <v>18</v>
      </c>
      <c r="I831" s="2" t="s">
        <v>17</v>
      </c>
      <c r="J831">
        <v>0.39</v>
      </c>
      <c r="K831" s="1">
        <v>43310</v>
      </c>
      <c r="L831" s="2" t="str">
        <f>IF(Sheet1[[#This Row],[age]]&lt;18, "Under 18",IF(Sheet1[[#This Row],[age]]&lt;=30,"18-30",IF(Sheet1[[#This Row],[age]]&lt;=45,"31-45",IF(Sheet1[[#This Row],[age]]&lt;=60,"46-60","60+"))))</f>
        <v>31-45</v>
      </c>
      <c r="M831" s="2" t="str">
        <f>IF(Sheet1[[#This Row],[risk_score]]&lt;0.3,"Low",IF(Sheet1[[#This Row],[risk_score]]&lt;0.7,"Medium","High"))</f>
        <v>Medium</v>
      </c>
      <c r="N831">
        <f>YEAR(Sheet1[[#This Row],[date_joined]])</f>
        <v>2018</v>
      </c>
      <c r="O831" s="2" t="str">
        <f>TEXT(Sheet1[[#This Row],[date_joined]],"mmm")</f>
        <v>Jul</v>
      </c>
      <c r="P831" s="2" t="str">
        <f>"Q"&amp;ROUNDUP(MONTH(Sheet1[[#This Row],[date_joined]])/3,0)</f>
        <v>Q3</v>
      </c>
      <c r="Q831" s="2" t="str">
        <f>IF(Sheet1[[#This Row],[age]]&lt;30,"Young",IF(Sheet1[[#This Row],[age]]&lt;=50,"Adult","Senior"))</f>
        <v>Adult</v>
      </c>
      <c r="R831" s="2" t="str">
        <f t="shared" si="24"/>
        <v>High</v>
      </c>
      <c r="S831" s="2" t="str">
        <f t="shared" si="25"/>
        <v>Central - Self-employed</v>
      </c>
    </row>
    <row r="832" spans="1:19" x14ac:dyDescent="0.3">
      <c r="A832" t="s">
        <v>1687</v>
      </c>
      <c r="B832" t="s">
        <v>1688</v>
      </c>
      <c r="C832">
        <v>29</v>
      </c>
      <c r="D832" s="2" t="s">
        <v>13</v>
      </c>
      <c r="E832" s="2" t="s">
        <v>30</v>
      </c>
      <c r="F832" s="2" t="s">
        <v>23</v>
      </c>
      <c r="G832" s="2" t="s">
        <v>32</v>
      </c>
      <c r="H832" s="2" t="s">
        <v>17</v>
      </c>
      <c r="I832" s="2" t="s">
        <v>18</v>
      </c>
      <c r="J832">
        <v>0.55000000000000004</v>
      </c>
      <c r="K832" s="1">
        <v>44317</v>
      </c>
      <c r="L832" s="2" t="str">
        <f>IF(Sheet1[[#This Row],[age]]&lt;18, "Under 18",IF(Sheet1[[#This Row],[age]]&lt;=30,"18-30",IF(Sheet1[[#This Row],[age]]&lt;=45,"31-45",IF(Sheet1[[#This Row],[age]]&lt;=60,"46-60","60+"))))</f>
        <v>18-30</v>
      </c>
      <c r="M832" s="2" t="str">
        <f>IF(Sheet1[[#This Row],[risk_score]]&lt;0.3,"Low",IF(Sheet1[[#This Row],[risk_score]]&lt;0.7,"Medium","High"))</f>
        <v>Medium</v>
      </c>
      <c r="N832">
        <f>YEAR(Sheet1[[#This Row],[date_joined]])</f>
        <v>2021</v>
      </c>
      <c r="O832" s="2" t="str">
        <f>TEXT(Sheet1[[#This Row],[date_joined]],"mmm")</f>
        <v>May</v>
      </c>
      <c r="P832" s="2" t="str">
        <f>"Q"&amp;ROUNDUP(MONTH(Sheet1[[#This Row],[date_joined]])/3,0)</f>
        <v>Q2</v>
      </c>
      <c r="Q832" s="2" t="str">
        <f>IF(Sheet1[[#This Row],[age]]&lt;30,"Young",IF(Sheet1[[#This Row],[age]]&lt;=50,"Adult","Senior"))</f>
        <v>Young</v>
      </c>
      <c r="R832" s="2" t="str">
        <f t="shared" si="24"/>
        <v>High</v>
      </c>
      <c r="S832" s="2" t="str">
        <f t="shared" si="25"/>
        <v>South - Salaried</v>
      </c>
    </row>
    <row r="833" spans="1:19" x14ac:dyDescent="0.3">
      <c r="A833" t="s">
        <v>1689</v>
      </c>
      <c r="B833" t="s">
        <v>1690</v>
      </c>
      <c r="C833">
        <v>54</v>
      </c>
      <c r="D833" s="2" t="s">
        <v>13</v>
      </c>
      <c r="E833" s="2" t="s">
        <v>14</v>
      </c>
      <c r="F833" s="2" t="s">
        <v>37</v>
      </c>
      <c r="G833" s="2" t="s">
        <v>81</v>
      </c>
      <c r="H833" s="2" t="s">
        <v>18</v>
      </c>
      <c r="I833" s="2" t="s">
        <v>18</v>
      </c>
      <c r="J833">
        <v>0.67</v>
      </c>
      <c r="K833" s="1">
        <v>44863</v>
      </c>
      <c r="L833" s="2" t="str">
        <f>IF(Sheet1[[#This Row],[age]]&lt;18, "Under 18",IF(Sheet1[[#This Row],[age]]&lt;=30,"18-30",IF(Sheet1[[#This Row],[age]]&lt;=45,"31-45",IF(Sheet1[[#This Row],[age]]&lt;=60,"46-60","60+"))))</f>
        <v>46-60</v>
      </c>
      <c r="M833" s="2" t="str">
        <f>IF(Sheet1[[#This Row],[risk_score]]&lt;0.3,"Low",IF(Sheet1[[#This Row],[risk_score]]&lt;0.7,"Medium","High"))</f>
        <v>Medium</v>
      </c>
      <c r="N833">
        <f>YEAR(Sheet1[[#This Row],[date_joined]])</f>
        <v>2022</v>
      </c>
      <c r="O833" s="2" t="str">
        <f>TEXT(Sheet1[[#This Row],[date_joined]],"mmm")</f>
        <v>Oct</v>
      </c>
      <c r="P833" s="2" t="str">
        <f>"Q"&amp;ROUNDUP(MONTH(Sheet1[[#This Row],[date_joined]])/3,0)</f>
        <v>Q4</v>
      </c>
      <c r="Q833" s="2" t="str">
        <f>IF(Sheet1[[#This Row],[age]]&lt;30,"Young",IF(Sheet1[[#This Row],[age]]&lt;=50,"Adult","Senior"))</f>
        <v>Senior</v>
      </c>
      <c r="R833" s="2" t="str">
        <f t="shared" si="24"/>
        <v>Very High</v>
      </c>
      <c r="S833" s="2" t="str">
        <f t="shared" si="25"/>
        <v>Central - Retired</v>
      </c>
    </row>
    <row r="834" spans="1:19" x14ac:dyDescent="0.3">
      <c r="A834" t="s">
        <v>1691</v>
      </c>
      <c r="B834" t="s">
        <v>1692</v>
      </c>
      <c r="C834">
        <v>67</v>
      </c>
      <c r="D834" s="2" t="s">
        <v>21</v>
      </c>
      <c r="E834" s="2" t="s">
        <v>22</v>
      </c>
      <c r="F834" s="2" t="s">
        <v>37</v>
      </c>
      <c r="G834" s="2" t="s">
        <v>32</v>
      </c>
      <c r="H834" s="2" t="s">
        <v>17</v>
      </c>
      <c r="I834" s="2" t="s">
        <v>17</v>
      </c>
      <c r="J834">
        <v>0.63</v>
      </c>
      <c r="K834" s="1">
        <v>43951</v>
      </c>
      <c r="L834" s="2" t="str">
        <f>IF(Sheet1[[#This Row],[age]]&lt;18, "Under 18",IF(Sheet1[[#This Row],[age]]&lt;=30,"18-30",IF(Sheet1[[#This Row],[age]]&lt;=45,"31-45",IF(Sheet1[[#This Row],[age]]&lt;=60,"46-60","60+"))))</f>
        <v>60+</v>
      </c>
      <c r="M834" s="2" t="str">
        <f>IF(Sheet1[[#This Row],[risk_score]]&lt;0.3,"Low",IF(Sheet1[[#This Row],[risk_score]]&lt;0.7,"Medium","High"))</f>
        <v>Medium</v>
      </c>
      <c r="N834">
        <f>YEAR(Sheet1[[#This Row],[date_joined]])</f>
        <v>2020</v>
      </c>
      <c r="O834" s="2" t="str">
        <f>TEXT(Sheet1[[#This Row],[date_joined]],"mmm")</f>
        <v>Apr</v>
      </c>
      <c r="P834" s="2" t="str">
        <f>"Q"&amp;ROUNDUP(MONTH(Sheet1[[#This Row],[date_joined]])/3,0)</f>
        <v>Q2</v>
      </c>
      <c r="Q834" s="2" t="str">
        <f>IF(Sheet1[[#This Row],[age]]&lt;30,"Young",IF(Sheet1[[#This Row],[age]]&lt;=50,"Adult","Senior"))</f>
        <v>Senior</v>
      </c>
      <c r="R834" s="2" t="str">
        <f t="shared" ref="R834:R897" si="26">IF(AND(H834="Yes",I834="Yes"),"Very High",
IF(OR(H834="Yes",I834="Yes"),"High","Low"))</f>
        <v>Low</v>
      </c>
      <c r="S834" s="2" t="str">
        <f t="shared" ref="S834:S897" si="27">G834&amp;" - "&amp;F834</f>
        <v>South - Retired</v>
      </c>
    </row>
    <row r="835" spans="1:19" x14ac:dyDescent="0.3">
      <c r="A835" t="s">
        <v>1693</v>
      </c>
      <c r="B835" t="s">
        <v>1694</v>
      </c>
      <c r="C835">
        <v>59</v>
      </c>
      <c r="D835" s="2" t="s">
        <v>21</v>
      </c>
      <c r="E835" s="2" t="s">
        <v>30</v>
      </c>
      <c r="F835" s="2" t="s">
        <v>31</v>
      </c>
      <c r="G835" s="2" t="s">
        <v>27</v>
      </c>
      <c r="H835" s="2" t="s">
        <v>17</v>
      </c>
      <c r="I835" s="2" t="s">
        <v>17</v>
      </c>
      <c r="J835">
        <v>0.56999999999999995</v>
      </c>
      <c r="K835" s="1">
        <v>44247</v>
      </c>
      <c r="L835" s="2" t="str">
        <f>IF(Sheet1[[#This Row],[age]]&lt;18, "Under 18",IF(Sheet1[[#This Row],[age]]&lt;=30,"18-30",IF(Sheet1[[#This Row],[age]]&lt;=45,"31-45",IF(Sheet1[[#This Row],[age]]&lt;=60,"46-60","60+"))))</f>
        <v>46-60</v>
      </c>
      <c r="M835" s="2" t="str">
        <f>IF(Sheet1[[#This Row],[risk_score]]&lt;0.3,"Low",IF(Sheet1[[#This Row],[risk_score]]&lt;0.7,"Medium","High"))</f>
        <v>Medium</v>
      </c>
      <c r="N835">
        <f>YEAR(Sheet1[[#This Row],[date_joined]])</f>
        <v>2021</v>
      </c>
      <c r="O835" s="2" t="str">
        <f>TEXT(Sheet1[[#This Row],[date_joined]],"mmm")</f>
        <v>Feb</v>
      </c>
      <c r="P835" s="2" t="str">
        <f>"Q"&amp;ROUNDUP(MONTH(Sheet1[[#This Row],[date_joined]])/3,0)</f>
        <v>Q1</v>
      </c>
      <c r="Q835" s="2" t="str">
        <f>IF(Sheet1[[#This Row],[age]]&lt;30,"Young",IF(Sheet1[[#This Row],[age]]&lt;=50,"Adult","Senior"))</f>
        <v>Senior</v>
      </c>
      <c r="R835" s="2" t="str">
        <f t="shared" si="26"/>
        <v>Low</v>
      </c>
      <c r="S835" s="2" t="str">
        <f t="shared" si="27"/>
        <v>North - Self-employed</v>
      </c>
    </row>
    <row r="836" spans="1:19" x14ac:dyDescent="0.3">
      <c r="A836" t="s">
        <v>1695</v>
      </c>
      <c r="B836" t="s">
        <v>1696</v>
      </c>
      <c r="C836">
        <v>46</v>
      </c>
      <c r="D836" s="2" t="s">
        <v>21</v>
      </c>
      <c r="E836" s="2" t="s">
        <v>30</v>
      </c>
      <c r="F836" s="2" t="s">
        <v>23</v>
      </c>
      <c r="G836" s="2" t="s">
        <v>24</v>
      </c>
      <c r="H836" s="2" t="s">
        <v>18</v>
      </c>
      <c r="I836" s="2" t="s">
        <v>17</v>
      </c>
      <c r="J836">
        <v>0.85</v>
      </c>
      <c r="K836" s="1">
        <v>43546</v>
      </c>
      <c r="L836" s="2" t="str">
        <f>IF(Sheet1[[#This Row],[age]]&lt;18, "Under 18",IF(Sheet1[[#This Row],[age]]&lt;=30,"18-30",IF(Sheet1[[#This Row],[age]]&lt;=45,"31-45",IF(Sheet1[[#This Row],[age]]&lt;=60,"46-60","60+"))))</f>
        <v>46-60</v>
      </c>
      <c r="M836" s="2" t="str">
        <f>IF(Sheet1[[#This Row],[risk_score]]&lt;0.3,"Low",IF(Sheet1[[#This Row],[risk_score]]&lt;0.7,"Medium","High"))</f>
        <v>High</v>
      </c>
      <c r="N836">
        <f>YEAR(Sheet1[[#This Row],[date_joined]])</f>
        <v>2019</v>
      </c>
      <c r="O836" s="2" t="str">
        <f>TEXT(Sheet1[[#This Row],[date_joined]],"mmm")</f>
        <v>Mar</v>
      </c>
      <c r="P836" s="2" t="str">
        <f>"Q"&amp;ROUNDUP(MONTH(Sheet1[[#This Row],[date_joined]])/3,0)</f>
        <v>Q1</v>
      </c>
      <c r="Q836" s="2" t="str">
        <f>IF(Sheet1[[#This Row],[age]]&lt;30,"Young",IF(Sheet1[[#This Row],[age]]&lt;=50,"Adult","Senior"))</f>
        <v>Adult</v>
      </c>
      <c r="R836" s="2" t="str">
        <f t="shared" si="26"/>
        <v>High</v>
      </c>
      <c r="S836" s="2" t="str">
        <f t="shared" si="27"/>
        <v>East - Salaried</v>
      </c>
    </row>
    <row r="837" spans="1:19" x14ac:dyDescent="0.3">
      <c r="A837" t="s">
        <v>1697</v>
      </c>
      <c r="B837" t="s">
        <v>1698</v>
      </c>
      <c r="C837">
        <v>29</v>
      </c>
      <c r="D837" s="2" t="s">
        <v>21</v>
      </c>
      <c r="E837" s="2" t="s">
        <v>14</v>
      </c>
      <c r="F837" s="2" t="s">
        <v>31</v>
      </c>
      <c r="G837" s="2" t="s">
        <v>66</v>
      </c>
      <c r="H837" s="2" t="s">
        <v>18</v>
      </c>
      <c r="I837" s="2" t="s">
        <v>18</v>
      </c>
      <c r="J837">
        <v>0.36</v>
      </c>
      <c r="K837" s="1">
        <v>43913</v>
      </c>
      <c r="L837" s="2" t="str">
        <f>IF(Sheet1[[#This Row],[age]]&lt;18, "Under 18",IF(Sheet1[[#This Row],[age]]&lt;=30,"18-30",IF(Sheet1[[#This Row],[age]]&lt;=45,"31-45",IF(Sheet1[[#This Row],[age]]&lt;=60,"46-60","60+"))))</f>
        <v>18-30</v>
      </c>
      <c r="M837" s="2" t="str">
        <f>IF(Sheet1[[#This Row],[risk_score]]&lt;0.3,"Low",IF(Sheet1[[#This Row],[risk_score]]&lt;0.7,"Medium","High"))</f>
        <v>Medium</v>
      </c>
      <c r="N837">
        <f>YEAR(Sheet1[[#This Row],[date_joined]])</f>
        <v>2020</v>
      </c>
      <c r="O837" s="2" t="str">
        <f>TEXT(Sheet1[[#This Row],[date_joined]],"mmm")</f>
        <v>Mar</v>
      </c>
      <c r="P837" s="2" t="str">
        <f>"Q"&amp;ROUNDUP(MONTH(Sheet1[[#This Row],[date_joined]])/3,0)</f>
        <v>Q1</v>
      </c>
      <c r="Q837" s="2" t="str">
        <f>IF(Sheet1[[#This Row],[age]]&lt;30,"Young",IF(Sheet1[[#This Row],[age]]&lt;=50,"Adult","Senior"))</f>
        <v>Young</v>
      </c>
      <c r="R837" s="2" t="str">
        <f t="shared" si="26"/>
        <v>Very High</v>
      </c>
      <c r="S837" s="2" t="str">
        <f t="shared" si="27"/>
        <v>North-East - Self-employed</v>
      </c>
    </row>
    <row r="838" spans="1:19" x14ac:dyDescent="0.3">
      <c r="A838" t="s">
        <v>1699</v>
      </c>
      <c r="B838" t="s">
        <v>1700</v>
      </c>
      <c r="C838">
        <v>64</v>
      </c>
      <c r="D838" s="2" t="s">
        <v>13</v>
      </c>
      <c r="E838" s="2" t="s">
        <v>30</v>
      </c>
      <c r="F838" s="2" t="s">
        <v>31</v>
      </c>
      <c r="G838" s="2" t="s">
        <v>32</v>
      </c>
      <c r="H838" s="2" t="s">
        <v>18</v>
      </c>
      <c r="I838" s="2" t="s">
        <v>18</v>
      </c>
      <c r="J838">
        <v>0.7</v>
      </c>
      <c r="K838" s="1">
        <v>45223</v>
      </c>
      <c r="L838" s="2" t="str">
        <f>IF(Sheet1[[#This Row],[age]]&lt;18, "Under 18",IF(Sheet1[[#This Row],[age]]&lt;=30,"18-30",IF(Sheet1[[#This Row],[age]]&lt;=45,"31-45",IF(Sheet1[[#This Row],[age]]&lt;=60,"46-60","60+"))))</f>
        <v>60+</v>
      </c>
      <c r="M838" s="2" t="str">
        <f>IF(Sheet1[[#This Row],[risk_score]]&lt;0.3,"Low",IF(Sheet1[[#This Row],[risk_score]]&lt;0.7,"Medium","High"))</f>
        <v>High</v>
      </c>
      <c r="N838">
        <f>YEAR(Sheet1[[#This Row],[date_joined]])</f>
        <v>2023</v>
      </c>
      <c r="O838" s="2" t="str">
        <f>TEXT(Sheet1[[#This Row],[date_joined]],"mmm")</f>
        <v>Oct</v>
      </c>
      <c r="P838" s="2" t="str">
        <f>"Q"&amp;ROUNDUP(MONTH(Sheet1[[#This Row],[date_joined]])/3,0)</f>
        <v>Q4</v>
      </c>
      <c r="Q838" s="2" t="str">
        <f>IF(Sheet1[[#This Row],[age]]&lt;30,"Young",IF(Sheet1[[#This Row],[age]]&lt;=50,"Adult","Senior"))</f>
        <v>Senior</v>
      </c>
      <c r="R838" s="2" t="str">
        <f t="shared" si="26"/>
        <v>Very High</v>
      </c>
      <c r="S838" s="2" t="str">
        <f t="shared" si="27"/>
        <v>South - Self-employed</v>
      </c>
    </row>
    <row r="839" spans="1:19" x14ac:dyDescent="0.3">
      <c r="A839" t="s">
        <v>1701</v>
      </c>
      <c r="B839" t="s">
        <v>1702</v>
      </c>
      <c r="C839">
        <v>64</v>
      </c>
      <c r="D839" s="2" t="s">
        <v>13</v>
      </c>
      <c r="E839" s="2" t="s">
        <v>14</v>
      </c>
      <c r="F839" s="2" t="s">
        <v>15</v>
      </c>
      <c r="G839" s="2" t="s">
        <v>27</v>
      </c>
      <c r="H839" s="2" t="s">
        <v>18</v>
      </c>
      <c r="I839" s="2" t="s">
        <v>17</v>
      </c>
      <c r="J839">
        <v>0.37</v>
      </c>
      <c r="K839" s="1">
        <v>43211</v>
      </c>
      <c r="L839" s="2" t="str">
        <f>IF(Sheet1[[#This Row],[age]]&lt;18, "Under 18",IF(Sheet1[[#This Row],[age]]&lt;=30,"18-30",IF(Sheet1[[#This Row],[age]]&lt;=45,"31-45",IF(Sheet1[[#This Row],[age]]&lt;=60,"46-60","60+"))))</f>
        <v>60+</v>
      </c>
      <c r="M839" s="2" t="str">
        <f>IF(Sheet1[[#This Row],[risk_score]]&lt;0.3,"Low",IF(Sheet1[[#This Row],[risk_score]]&lt;0.7,"Medium","High"))</f>
        <v>Medium</v>
      </c>
      <c r="N839">
        <f>YEAR(Sheet1[[#This Row],[date_joined]])</f>
        <v>2018</v>
      </c>
      <c r="O839" s="2" t="str">
        <f>TEXT(Sheet1[[#This Row],[date_joined]],"mmm")</f>
        <v>Apr</v>
      </c>
      <c r="P839" s="2" t="str">
        <f>"Q"&amp;ROUNDUP(MONTH(Sheet1[[#This Row],[date_joined]])/3,0)</f>
        <v>Q2</v>
      </c>
      <c r="Q839" s="2" t="str">
        <f>IF(Sheet1[[#This Row],[age]]&lt;30,"Young",IF(Sheet1[[#This Row],[age]]&lt;=50,"Adult","Senior"))</f>
        <v>Senior</v>
      </c>
      <c r="R839" s="2" t="str">
        <f t="shared" si="26"/>
        <v>High</v>
      </c>
      <c r="S839" s="2" t="str">
        <f t="shared" si="27"/>
        <v>North - Student</v>
      </c>
    </row>
    <row r="840" spans="1:19" x14ac:dyDescent="0.3">
      <c r="A840" t="s">
        <v>1703</v>
      </c>
      <c r="B840" t="s">
        <v>1704</v>
      </c>
      <c r="C840">
        <v>52</v>
      </c>
      <c r="D840" s="2" t="s">
        <v>13</v>
      </c>
      <c r="E840" s="2" t="s">
        <v>30</v>
      </c>
      <c r="F840" s="2" t="s">
        <v>23</v>
      </c>
      <c r="G840" s="2" t="s">
        <v>24</v>
      </c>
      <c r="H840" s="2" t="s">
        <v>18</v>
      </c>
      <c r="I840" s="2" t="s">
        <v>18</v>
      </c>
      <c r="J840">
        <v>0.81</v>
      </c>
      <c r="K840" s="1">
        <v>44372</v>
      </c>
      <c r="L840" s="2" t="str">
        <f>IF(Sheet1[[#This Row],[age]]&lt;18, "Under 18",IF(Sheet1[[#This Row],[age]]&lt;=30,"18-30",IF(Sheet1[[#This Row],[age]]&lt;=45,"31-45",IF(Sheet1[[#This Row],[age]]&lt;=60,"46-60","60+"))))</f>
        <v>46-60</v>
      </c>
      <c r="M840" s="2" t="str">
        <f>IF(Sheet1[[#This Row],[risk_score]]&lt;0.3,"Low",IF(Sheet1[[#This Row],[risk_score]]&lt;0.7,"Medium","High"))</f>
        <v>High</v>
      </c>
      <c r="N840">
        <f>YEAR(Sheet1[[#This Row],[date_joined]])</f>
        <v>2021</v>
      </c>
      <c r="O840" s="2" t="str">
        <f>TEXT(Sheet1[[#This Row],[date_joined]],"mmm")</f>
        <v>Jun</v>
      </c>
      <c r="P840" s="2" t="str">
        <f>"Q"&amp;ROUNDUP(MONTH(Sheet1[[#This Row],[date_joined]])/3,0)</f>
        <v>Q2</v>
      </c>
      <c r="Q840" s="2" t="str">
        <f>IF(Sheet1[[#This Row],[age]]&lt;30,"Young",IF(Sheet1[[#This Row],[age]]&lt;=50,"Adult","Senior"))</f>
        <v>Senior</v>
      </c>
      <c r="R840" s="2" t="str">
        <f t="shared" si="26"/>
        <v>Very High</v>
      </c>
      <c r="S840" s="2" t="str">
        <f t="shared" si="27"/>
        <v>East - Salaried</v>
      </c>
    </row>
    <row r="841" spans="1:19" x14ac:dyDescent="0.3">
      <c r="A841" t="s">
        <v>1705</v>
      </c>
      <c r="B841" t="s">
        <v>1706</v>
      </c>
      <c r="C841">
        <v>63</v>
      </c>
      <c r="D841" s="2" t="s">
        <v>13</v>
      </c>
      <c r="E841" s="2" t="s">
        <v>30</v>
      </c>
      <c r="F841" s="2" t="s">
        <v>31</v>
      </c>
      <c r="G841" s="2" t="s">
        <v>16</v>
      </c>
      <c r="H841" s="2" t="s">
        <v>18</v>
      </c>
      <c r="I841" s="2" t="s">
        <v>18</v>
      </c>
      <c r="J841">
        <v>0.35</v>
      </c>
      <c r="K841" s="1">
        <v>45001</v>
      </c>
      <c r="L841" s="2" t="str">
        <f>IF(Sheet1[[#This Row],[age]]&lt;18, "Under 18",IF(Sheet1[[#This Row],[age]]&lt;=30,"18-30",IF(Sheet1[[#This Row],[age]]&lt;=45,"31-45",IF(Sheet1[[#This Row],[age]]&lt;=60,"46-60","60+"))))</f>
        <v>60+</v>
      </c>
      <c r="M841" s="2" t="str">
        <f>IF(Sheet1[[#This Row],[risk_score]]&lt;0.3,"Low",IF(Sheet1[[#This Row],[risk_score]]&lt;0.7,"Medium","High"))</f>
        <v>Medium</v>
      </c>
      <c r="N841">
        <f>YEAR(Sheet1[[#This Row],[date_joined]])</f>
        <v>2023</v>
      </c>
      <c r="O841" s="2" t="str">
        <f>TEXT(Sheet1[[#This Row],[date_joined]],"mmm")</f>
        <v>Mar</v>
      </c>
      <c r="P841" s="2" t="str">
        <f>"Q"&amp;ROUNDUP(MONTH(Sheet1[[#This Row],[date_joined]])/3,0)</f>
        <v>Q1</v>
      </c>
      <c r="Q841" s="2" t="str">
        <f>IF(Sheet1[[#This Row],[age]]&lt;30,"Young",IF(Sheet1[[#This Row],[age]]&lt;=50,"Adult","Senior"))</f>
        <v>Senior</v>
      </c>
      <c r="R841" s="2" t="str">
        <f t="shared" si="26"/>
        <v>Very High</v>
      </c>
      <c r="S841" s="2" t="str">
        <f t="shared" si="27"/>
        <v>West - Self-employed</v>
      </c>
    </row>
    <row r="842" spans="1:19" x14ac:dyDescent="0.3">
      <c r="A842" t="s">
        <v>1707</v>
      </c>
      <c r="B842" t="s">
        <v>1708</v>
      </c>
      <c r="C842">
        <v>40</v>
      </c>
      <c r="D842" s="2" t="s">
        <v>13</v>
      </c>
      <c r="E842" s="2" t="s">
        <v>30</v>
      </c>
      <c r="F842" s="2" t="s">
        <v>15</v>
      </c>
      <c r="G842" s="2" t="s">
        <v>16</v>
      </c>
      <c r="H842" s="2" t="s">
        <v>18</v>
      </c>
      <c r="I842" s="2" t="s">
        <v>17</v>
      </c>
      <c r="J842">
        <v>0.06</v>
      </c>
      <c r="K842" s="1">
        <v>44583</v>
      </c>
      <c r="L842" s="2" t="str">
        <f>IF(Sheet1[[#This Row],[age]]&lt;18, "Under 18",IF(Sheet1[[#This Row],[age]]&lt;=30,"18-30",IF(Sheet1[[#This Row],[age]]&lt;=45,"31-45",IF(Sheet1[[#This Row],[age]]&lt;=60,"46-60","60+"))))</f>
        <v>31-45</v>
      </c>
      <c r="M842" s="2" t="str">
        <f>IF(Sheet1[[#This Row],[risk_score]]&lt;0.3,"Low",IF(Sheet1[[#This Row],[risk_score]]&lt;0.7,"Medium","High"))</f>
        <v>Low</v>
      </c>
      <c r="N842">
        <f>YEAR(Sheet1[[#This Row],[date_joined]])</f>
        <v>2022</v>
      </c>
      <c r="O842" s="2" t="str">
        <f>TEXT(Sheet1[[#This Row],[date_joined]],"mmm")</f>
        <v>Jan</v>
      </c>
      <c r="P842" s="2" t="str">
        <f>"Q"&amp;ROUNDUP(MONTH(Sheet1[[#This Row],[date_joined]])/3,0)</f>
        <v>Q1</v>
      </c>
      <c r="Q842" s="2" t="str">
        <f>IF(Sheet1[[#This Row],[age]]&lt;30,"Young",IF(Sheet1[[#This Row],[age]]&lt;=50,"Adult","Senior"))</f>
        <v>Adult</v>
      </c>
      <c r="R842" s="2" t="str">
        <f t="shared" si="26"/>
        <v>High</v>
      </c>
      <c r="S842" s="2" t="str">
        <f t="shared" si="27"/>
        <v>West - Student</v>
      </c>
    </row>
    <row r="843" spans="1:19" x14ac:dyDescent="0.3">
      <c r="A843" t="s">
        <v>1709</v>
      </c>
      <c r="B843" t="s">
        <v>1710</v>
      </c>
      <c r="C843">
        <v>40</v>
      </c>
      <c r="D843" s="2" t="s">
        <v>13</v>
      </c>
      <c r="E843" s="2" t="s">
        <v>22</v>
      </c>
      <c r="F843" s="2" t="s">
        <v>15</v>
      </c>
      <c r="G843" s="2" t="s">
        <v>32</v>
      </c>
      <c r="H843" s="2" t="s">
        <v>18</v>
      </c>
      <c r="I843" s="2" t="s">
        <v>18</v>
      </c>
      <c r="J843">
        <v>0.75</v>
      </c>
      <c r="K843" s="1">
        <v>45177</v>
      </c>
      <c r="L843" s="2" t="str">
        <f>IF(Sheet1[[#This Row],[age]]&lt;18, "Under 18",IF(Sheet1[[#This Row],[age]]&lt;=30,"18-30",IF(Sheet1[[#This Row],[age]]&lt;=45,"31-45",IF(Sheet1[[#This Row],[age]]&lt;=60,"46-60","60+"))))</f>
        <v>31-45</v>
      </c>
      <c r="M843" s="2" t="str">
        <f>IF(Sheet1[[#This Row],[risk_score]]&lt;0.3,"Low",IF(Sheet1[[#This Row],[risk_score]]&lt;0.7,"Medium","High"))</f>
        <v>High</v>
      </c>
      <c r="N843">
        <f>YEAR(Sheet1[[#This Row],[date_joined]])</f>
        <v>2023</v>
      </c>
      <c r="O843" s="2" t="str">
        <f>TEXT(Sheet1[[#This Row],[date_joined]],"mmm")</f>
        <v>Sep</v>
      </c>
      <c r="P843" s="2" t="str">
        <f>"Q"&amp;ROUNDUP(MONTH(Sheet1[[#This Row],[date_joined]])/3,0)</f>
        <v>Q3</v>
      </c>
      <c r="Q843" s="2" t="str">
        <f>IF(Sheet1[[#This Row],[age]]&lt;30,"Young",IF(Sheet1[[#This Row],[age]]&lt;=50,"Adult","Senior"))</f>
        <v>Adult</v>
      </c>
      <c r="R843" s="2" t="str">
        <f t="shared" si="26"/>
        <v>Very High</v>
      </c>
      <c r="S843" s="2" t="str">
        <f t="shared" si="27"/>
        <v>South - Student</v>
      </c>
    </row>
    <row r="844" spans="1:19" x14ac:dyDescent="0.3">
      <c r="A844" t="s">
        <v>1711</v>
      </c>
      <c r="B844" t="s">
        <v>1712</v>
      </c>
      <c r="C844">
        <v>40</v>
      </c>
      <c r="D844" s="2" t="s">
        <v>21</v>
      </c>
      <c r="E844" s="2" t="s">
        <v>14</v>
      </c>
      <c r="F844" s="2" t="s">
        <v>23</v>
      </c>
      <c r="G844" s="2" t="s">
        <v>16</v>
      </c>
      <c r="H844" s="2" t="s">
        <v>17</v>
      </c>
      <c r="I844" s="2" t="s">
        <v>18</v>
      </c>
      <c r="J844">
        <v>0.46</v>
      </c>
      <c r="K844" s="1">
        <v>43754</v>
      </c>
      <c r="L844" s="2" t="str">
        <f>IF(Sheet1[[#This Row],[age]]&lt;18, "Under 18",IF(Sheet1[[#This Row],[age]]&lt;=30,"18-30",IF(Sheet1[[#This Row],[age]]&lt;=45,"31-45",IF(Sheet1[[#This Row],[age]]&lt;=60,"46-60","60+"))))</f>
        <v>31-45</v>
      </c>
      <c r="M844" s="2" t="str">
        <f>IF(Sheet1[[#This Row],[risk_score]]&lt;0.3,"Low",IF(Sheet1[[#This Row],[risk_score]]&lt;0.7,"Medium","High"))</f>
        <v>Medium</v>
      </c>
      <c r="N844">
        <f>YEAR(Sheet1[[#This Row],[date_joined]])</f>
        <v>2019</v>
      </c>
      <c r="O844" s="2" t="str">
        <f>TEXT(Sheet1[[#This Row],[date_joined]],"mmm")</f>
        <v>Oct</v>
      </c>
      <c r="P844" s="2" t="str">
        <f>"Q"&amp;ROUNDUP(MONTH(Sheet1[[#This Row],[date_joined]])/3,0)</f>
        <v>Q4</v>
      </c>
      <c r="Q844" s="2" t="str">
        <f>IF(Sheet1[[#This Row],[age]]&lt;30,"Young",IF(Sheet1[[#This Row],[age]]&lt;=50,"Adult","Senior"))</f>
        <v>Adult</v>
      </c>
      <c r="R844" s="2" t="str">
        <f t="shared" si="26"/>
        <v>High</v>
      </c>
      <c r="S844" s="2" t="str">
        <f t="shared" si="27"/>
        <v>West - Salaried</v>
      </c>
    </row>
    <row r="845" spans="1:19" x14ac:dyDescent="0.3">
      <c r="A845" t="s">
        <v>1713</v>
      </c>
      <c r="B845" t="s">
        <v>1714</v>
      </c>
      <c r="C845">
        <v>21</v>
      </c>
      <c r="D845" s="2" t="s">
        <v>21</v>
      </c>
      <c r="E845" s="2" t="s">
        <v>22</v>
      </c>
      <c r="F845" s="2" t="s">
        <v>23</v>
      </c>
      <c r="G845" s="2" t="s">
        <v>24</v>
      </c>
      <c r="H845" s="2" t="s">
        <v>18</v>
      </c>
      <c r="I845" s="2" t="s">
        <v>17</v>
      </c>
      <c r="J845">
        <v>0.64</v>
      </c>
      <c r="K845" s="1">
        <v>43804</v>
      </c>
      <c r="L845" s="2" t="str">
        <f>IF(Sheet1[[#This Row],[age]]&lt;18, "Under 18",IF(Sheet1[[#This Row],[age]]&lt;=30,"18-30",IF(Sheet1[[#This Row],[age]]&lt;=45,"31-45",IF(Sheet1[[#This Row],[age]]&lt;=60,"46-60","60+"))))</f>
        <v>18-30</v>
      </c>
      <c r="M845" s="2" t="str">
        <f>IF(Sheet1[[#This Row],[risk_score]]&lt;0.3,"Low",IF(Sheet1[[#This Row],[risk_score]]&lt;0.7,"Medium","High"))</f>
        <v>Medium</v>
      </c>
      <c r="N845">
        <f>YEAR(Sheet1[[#This Row],[date_joined]])</f>
        <v>2019</v>
      </c>
      <c r="O845" s="2" t="str">
        <f>TEXT(Sheet1[[#This Row],[date_joined]],"mmm")</f>
        <v>Dec</v>
      </c>
      <c r="P845" s="2" t="str">
        <f>"Q"&amp;ROUNDUP(MONTH(Sheet1[[#This Row],[date_joined]])/3,0)</f>
        <v>Q4</v>
      </c>
      <c r="Q845" s="2" t="str">
        <f>IF(Sheet1[[#This Row],[age]]&lt;30,"Young",IF(Sheet1[[#This Row],[age]]&lt;=50,"Adult","Senior"))</f>
        <v>Young</v>
      </c>
      <c r="R845" s="2" t="str">
        <f t="shared" si="26"/>
        <v>High</v>
      </c>
      <c r="S845" s="2" t="str">
        <f t="shared" si="27"/>
        <v>East - Salaried</v>
      </c>
    </row>
    <row r="846" spans="1:19" x14ac:dyDescent="0.3">
      <c r="A846" t="s">
        <v>1715</v>
      </c>
      <c r="B846" t="s">
        <v>1716</v>
      </c>
      <c r="C846">
        <v>37</v>
      </c>
      <c r="D846" s="2" t="s">
        <v>21</v>
      </c>
      <c r="E846" s="2" t="s">
        <v>22</v>
      </c>
      <c r="F846" s="2" t="s">
        <v>31</v>
      </c>
      <c r="G846" s="2" t="s">
        <v>32</v>
      </c>
      <c r="H846" s="2" t="s">
        <v>17</v>
      </c>
      <c r="I846" s="2" t="s">
        <v>18</v>
      </c>
      <c r="J846">
        <v>0.57999999999999996</v>
      </c>
      <c r="K846" s="1">
        <v>44970</v>
      </c>
      <c r="L846" s="2" t="str">
        <f>IF(Sheet1[[#This Row],[age]]&lt;18, "Under 18",IF(Sheet1[[#This Row],[age]]&lt;=30,"18-30",IF(Sheet1[[#This Row],[age]]&lt;=45,"31-45",IF(Sheet1[[#This Row],[age]]&lt;=60,"46-60","60+"))))</f>
        <v>31-45</v>
      </c>
      <c r="M846" s="2" t="str">
        <f>IF(Sheet1[[#This Row],[risk_score]]&lt;0.3,"Low",IF(Sheet1[[#This Row],[risk_score]]&lt;0.7,"Medium","High"))</f>
        <v>Medium</v>
      </c>
      <c r="N846">
        <f>YEAR(Sheet1[[#This Row],[date_joined]])</f>
        <v>2023</v>
      </c>
      <c r="O846" s="2" t="str">
        <f>TEXT(Sheet1[[#This Row],[date_joined]],"mmm")</f>
        <v>Feb</v>
      </c>
      <c r="P846" s="2" t="str">
        <f>"Q"&amp;ROUNDUP(MONTH(Sheet1[[#This Row],[date_joined]])/3,0)</f>
        <v>Q1</v>
      </c>
      <c r="Q846" s="2" t="str">
        <f>IF(Sheet1[[#This Row],[age]]&lt;30,"Young",IF(Sheet1[[#This Row],[age]]&lt;=50,"Adult","Senior"))</f>
        <v>Adult</v>
      </c>
      <c r="R846" s="2" t="str">
        <f t="shared" si="26"/>
        <v>High</v>
      </c>
      <c r="S846" s="2" t="str">
        <f t="shared" si="27"/>
        <v>South - Self-employed</v>
      </c>
    </row>
    <row r="847" spans="1:19" x14ac:dyDescent="0.3">
      <c r="A847" t="s">
        <v>1717</v>
      </c>
      <c r="B847" t="s">
        <v>1718</v>
      </c>
      <c r="C847">
        <v>31</v>
      </c>
      <c r="D847" s="2" t="s">
        <v>13</v>
      </c>
      <c r="E847" s="2" t="s">
        <v>30</v>
      </c>
      <c r="F847" s="2" t="s">
        <v>23</v>
      </c>
      <c r="G847" s="2" t="s">
        <v>81</v>
      </c>
      <c r="H847" s="2" t="s">
        <v>17</v>
      </c>
      <c r="I847" s="2" t="s">
        <v>17</v>
      </c>
      <c r="J847">
        <v>0.36</v>
      </c>
      <c r="K847" s="1">
        <v>44155</v>
      </c>
      <c r="L847" s="2" t="str">
        <f>IF(Sheet1[[#This Row],[age]]&lt;18, "Under 18",IF(Sheet1[[#This Row],[age]]&lt;=30,"18-30",IF(Sheet1[[#This Row],[age]]&lt;=45,"31-45",IF(Sheet1[[#This Row],[age]]&lt;=60,"46-60","60+"))))</f>
        <v>31-45</v>
      </c>
      <c r="M847" s="2" t="str">
        <f>IF(Sheet1[[#This Row],[risk_score]]&lt;0.3,"Low",IF(Sheet1[[#This Row],[risk_score]]&lt;0.7,"Medium","High"))</f>
        <v>Medium</v>
      </c>
      <c r="N847">
        <f>YEAR(Sheet1[[#This Row],[date_joined]])</f>
        <v>2020</v>
      </c>
      <c r="O847" s="2" t="str">
        <f>TEXT(Sheet1[[#This Row],[date_joined]],"mmm")</f>
        <v>Nov</v>
      </c>
      <c r="P847" s="2" t="str">
        <f>"Q"&amp;ROUNDUP(MONTH(Sheet1[[#This Row],[date_joined]])/3,0)</f>
        <v>Q4</v>
      </c>
      <c r="Q847" s="2" t="str">
        <f>IF(Sheet1[[#This Row],[age]]&lt;30,"Young",IF(Sheet1[[#This Row],[age]]&lt;=50,"Adult","Senior"))</f>
        <v>Adult</v>
      </c>
      <c r="R847" s="2" t="str">
        <f t="shared" si="26"/>
        <v>Low</v>
      </c>
      <c r="S847" s="2" t="str">
        <f t="shared" si="27"/>
        <v>Central - Salaried</v>
      </c>
    </row>
    <row r="848" spans="1:19" x14ac:dyDescent="0.3">
      <c r="A848" t="s">
        <v>1719</v>
      </c>
      <c r="B848" t="s">
        <v>1720</v>
      </c>
      <c r="C848">
        <v>65</v>
      </c>
      <c r="D848" s="2" t="s">
        <v>21</v>
      </c>
      <c r="E848" s="2" t="s">
        <v>22</v>
      </c>
      <c r="F848" s="2" t="s">
        <v>23</v>
      </c>
      <c r="G848" s="2" t="s">
        <v>24</v>
      </c>
      <c r="H848" s="2" t="s">
        <v>18</v>
      </c>
      <c r="I848" s="2" t="s">
        <v>18</v>
      </c>
      <c r="J848">
        <v>0.5</v>
      </c>
      <c r="K848" s="1">
        <v>44145</v>
      </c>
      <c r="L848" s="2" t="str">
        <f>IF(Sheet1[[#This Row],[age]]&lt;18, "Under 18",IF(Sheet1[[#This Row],[age]]&lt;=30,"18-30",IF(Sheet1[[#This Row],[age]]&lt;=45,"31-45",IF(Sheet1[[#This Row],[age]]&lt;=60,"46-60","60+"))))</f>
        <v>60+</v>
      </c>
      <c r="M848" s="2" t="str">
        <f>IF(Sheet1[[#This Row],[risk_score]]&lt;0.3,"Low",IF(Sheet1[[#This Row],[risk_score]]&lt;0.7,"Medium","High"))</f>
        <v>Medium</v>
      </c>
      <c r="N848">
        <f>YEAR(Sheet1[[#This Row],[date_joined]])</f>
        <v>2020</v>
      </c>
      <c r="O848" s="2" t="str">
        <f>TEXT(Sheet1[[#This Row],[date_joined]],"mmm")</f>
        <v>Nov</v>
      </c>
      <c r="P848" s="2" t="str">
        <f>"Q"&amp;ROUNDUP(MONTH(Sheet1[[#This Row],[date_joined]])/3,0)</f>
        <v>Q4</v>
      </c>
      <c r="Q848" s="2" t="str">
        <f>IF(Sheet1[[#This Row],[age]]&lt;30,"Young",IF(Sheet1[[#This Row],[age]]&lt;=50,"Adult","Senior"))</f>
        <v>Senior</v>
      </c>
      <c r="R848" s="2" t="str">
        <f t="shared" si="26"/>
        <v>Very High</v>
      </c>
      <c r="S848" s="2" t="str">
        <f t="shared" si="27"/>
        <v>East - Salaried</v>
      </c>
    </row>
    <row r="849" spans="1:19" x14ac:dyDescent="0.3">
      <c r="A849" t="s">
        <v>1721</v>
      </c>
      <c r="B849" t="s">
        <v>1722</v>
      </c>
      <c r="C849">
        <v>47</v>
      </c>
      <c r="D849" s="2" t="s">
        <v>21</v>
      </c>
      <c r="E849" s="2" t="s">
        <v>30</v>
      </c>
      <c r="F849" s="2" t="s">
        <v>15</v>
      </c>
      <c r="G849" s="2" t="s">
        <v>66</v>
      </c>
      <c r="H849" s="2" t="s">
        <v>17</v>
      </c>
      <c r="I849" s="2" t="s">
        <v>18</v>
      </c>
      <c r="J849">
        <v>0.8</v>
      </c>
      <c r="K849" s="1">
        <v>44685</v>
      </c>
      <c r="L849" s="2" t="str">
        <f>IF(Sheet1[[#This Row],[age]]&lt;18, "Under 18",IF(Sheet1[[#This Row],[age]]&lt;=30,"18-30",IF(Sheet1[[#This Row],[age]]&lt;=45,"31-45",IF(Sheet1[[#This Row],[age]]&lt;=60,"46-60","60+"))))</f>
        <v>46-60</v>
      </c>
      <c r="M849" s="2" t="str">
        <f>IF(Sheet1[[#This Row],[risk_score]]&lt;0.3,"Low",IF(Sheet1[[#This Row],[risk_score]]&lt;0.7,"Medium","High"))</f>
        <v>High</v>
      </c>
      <c r="N849">
        <f>YEAR(Sheet1[[#This Row],[date_joined]])</f>
        <v>2022</v>
      </c>
      <c r="O849" s="2" t="str">
        <f>TEXT(Sheet1[[#This Row],[date_joined]],"mmm")</f>
        <v>May</v>
      </c>
      <c r="P849" s="2" t="str">
        <f>"Q"&amp;ROUNDUP(MONTH(Sheet1[[#This Row],[date_joined]])/3,0)</f>
        <v>Q2</v>
      </c>
      <c r="Q849" s="2" t="str">
        <f>IF(Sheet1[[#This Row],[age]]&lt;30,"Young",IF(Sheet1[[#This Row],[age]]&lt;=50,"Adult","Senior"))</f>
        <v>Adult</v>
      </c>
      <c r="R849" s="2" t="str">
        <f t="shared" si="26"/>
        <v>High</v>
      </c>
      <c r="S849" s="2" t="str">
        <f t="shared" si="27"/>
        <v>North-East - Student</v>
      </c>
    </row>
    <row r="850" spans="1:19" x14ac:dyDescent="0.3">
      <c r="A850" t="s">
        <v>1723</v>
      </c>
      <c r="B850" t="s">
        <v>1724</v>
      </c>
      <c r="C850">
        <v>47</v>
      </c>
      <c r="D850" s="2" t="s">
        <v>21</v>
      </c>
      <c r="E850" s="2" t="s">
        <v>14</v>
      </c>
      <c r="F850" s="2" t="s">
        <v>23</v>
      </c>
      <c r="G850" s="2" t="s">
        <v>81</v>
      </c>
      <c r="H850" s="2" t="s">
        <v>17</v>
      </c>
      <c r="I850" s="2" t="s">
        <v>18</v>
      </c>
      <c r="J850">
        <v>0.55000000000000004</v>
      </c>
      <c r="K850" s="1">
        <v>43967</v>
      </c>
      <c r="L850" s="2" t="str">
        <f>IF(Sheet1[[#This Row],[age]]&lt;18, "Under 18",IF(Sheet1[[#This Row],[age]]&lt;=30,"18-30",IF(Sheet1[[#This Row],[age]]&lt;=45,"31-45",IF(Sheet1[[#This Row],[age]]&lt;=60,"46-60","60+"))))</f>
        <v>46-60</v>
      </c>
      <c r="M850" s="2" t="str">
        <f>IF(Sheet1[[#This Row],[risk_score]]&lt;0.3,"Low",IF(Sheet1[[#This Row],[risk_score]]&lt;0.7,"Medium","High"))</f>
        <v>Medium</v>
      </c>
      <c r="N850">
        <f>YEAR(Sheet1[[#This Row],[date_joined]])</f>
        <v>2020</v>
      </c>
      <c r="O850" s="2" t="str">
        <f>TEXT(Sheet1[[#This Row],[date_joined]],"mmm")</f>
        <v>May</v>
      </c>
      <c r="P850" s="2" t="str">
        <f>"Q"&amp;ROUNDUP(MONTH(Sheet1[[#This Row],[date_joined]])/3,0)</f>
        <v>Q2</v>
      </c>
      <c r="Q850" s="2" t="str">
        <f>IF(Sheet1[[#This Row],[age]]&lt;30,"Young",IF(Sheet1[[#This Row],[age]]&lt;=50,"Adult","Senior"))</f>
        <v>Adult</v>
      </c>
      <c r="R850" s="2" t="str">
        <f t="shared" si="26"/>
        <v>High</v>
      </c>
      <c r="S850" s="2" t="str">
        <f t="shared" si="27"/>
        <v>Central - Salaried</v>
      </c>
    </row>
    <row r="851" spans="1:19" x14ac:dyDescent="0.3">
      <c r="A851" t="s">
        <v>1725</v>
      </c>
      <c r="B851" t="s">
        <v>1726</v>
      </c>
      <c r="C851">
        <v>67</v>
      </c>
      <c r="D851" s="2" t="s">
        <v>21</v>
      </c>
      <c r="E851" s="2" t="s">
        <v>22</v>
      </c>
      <c r="F851" s="2" t="s">
        <v>31</v>
      </c>
      <c r="G851" s="2" t="s">
        <v>66</v>
      </c>
      <c r="H851" s="2" t="s">
        <v>17</v>
      </c>
      <c r="I851" s="2" t="s">
        <v>18</v>
      </c>
      <c r="J851">
        <v>0.56999999999999995</v>
      </c>
      <c r="K851" s="1">
        <v>44898</v>
      </c>
      <c r="L851" s="2" t="str">
        <f>IF(Sheet1[[#This Row],[age]]&lt;18, "Under 18",IF(Sheet1[[#This Row],[age]]&lt;=30,"18-30",IF(Sheet1[[#This Row],[age]]&lt;=45,"31-45",IF(Sheet1[[#This Row],[age]]&lt;=60,"46-60","60+"))))</f>
        <v>60+</v>
      </c>
      <c r="M851" s="2" t="str">
        <f>IF(Sheet1[[#This Row],[risk_score]]&lt;0.3,"Low",IF(Sheet1[[#This Row],[risk_score]]&lt;0.7,"Medium","High"))</f>
        <v>Medium</v>
      </c>
      <c r="N851">
        <f>YEAR(Sheet1[[#This Row],[date_joined]])</f>
        <v>2022</v>
      </c>
      <c r="O851" s="2" t="str">
        <f>TEXT(Sheet1[[#This Row],[date_joined]],"mmm")</f>
        <v>Dec</v>
      </c>
      <c r="P851" s="2" t="str">
        <f>"Q"&amp;ROUNDUP(MONTH(Sheet1[[#This Row],[date_joined]])/3,0)</f>
        <v>Q4</v>
      </c>
      <c r="Q851" s="2" t="str">
        <f>IF(Sheet1[[#This Row],[age]]&lt;30,"Young",IF(Sheet1[[#This Row],[age]]&lt;=50,"Adult","Senior"))</f>
        <v>Senior</v>
      </c>
      <c r="R851" s="2" t="str">
        <f t="shared" si="26"/>
        <v>High</v>
      </c>
      <c r="S851" s="2" t="str">
        <f t="shared" si="27"/>
        <v>North-East - Self-employed</v>
      </c>
    </row>
    <row r="852" spans="1:19" x14ac:dyDescent="0.3">
      <c r="A852" t="s">
        <v>1727</v>
      </c>
      <c r="B852" t="s">
        <v>1728</v>
      </c>
      <c r="C852">
        <v>56</v>
      </c>
      <c r="D852" s="2" t="s">
        <v>13</v>
      </c>
      <c r="E852" s="2" t="s">
        <v>14</v>
      </c>
      <c r="F852" s="2" t="s">
        <v>15</v>
      </c>
      <c r="G852" s="2" t="s">
        <v>66</v>
      </c>
      <c r="H852" s="2" t="s">
        <v>17</v>
      </c>
      <c r="I852" s="2" t="s">
        <v>18</v>
      </c>
      <c r="J852">
        <v>0.31</v>
      </c>
      <c r="K852" s="1">
        <v>44277</v>
      </c>
      <c r="L852" s="2" t="str">
        <f>IF(Sheet1[[#This Row],[age]]&lt;18, "Under 18",IF(Sheet1[[#This Row],[age]]&lt;=30,"18-30",IF(Sheet1[[#This Row],[age]]&lt;=45,"31-45",IF(Sheet1[[#This Row],[age]]&lt;=60,"46-60","60+"))))</f>
        <v>46-60</v>
      </c>
      <c r="M852" s="2" t="str">
        <f>IF(Sheet1[[#This Row],[risk_score]]&lt;0.3,"Low",IF(Sheet1[[#This Row],[risk_score]]&lt;0.7,"Medium","High"))</f>
        <v>Medium</v>
      </c>
      <c r="N852">
        <f>YEAR(Sheet1[[#This Row],[date_joined]])</f>
        <v>2021</v>
      </c>
      <c r="O852" s="2" t="str">
        <f>TEXT(Sheet1[[#This Row],[date_joined]],"mmm")</f>
        <v>Mar</v>
      </c>
      <c r="P852" s="2" t="str">
        <f>"Q"&amp;ROUNDUP(MONTH(Sheet1[[#This Row],[date_joined]])/3,0)</f>
        <v>Q1</v>
      </c>
      <c r="Q852" s="2" t="str">
        <f>IF(Sheet1[[#This Row],[age]]&lt;30,"Young",IF(Sheet1[[#This Row],[age]]&lt;=50,"Adult","Senior"))</f>
        <v>Senior</v>
      </c>
      <c r="R852" s="2" t="str">
        <f t="shared" si="26"/>
        <v>High</v>
      </c>
      <c r="S852" s="2" t="str">
        <f t="shared" si="27"/>
        <v>North-East - Student</v>
      </c>
    </row>
    <row r="853" spans="1:19" x14ac:dyDescent="0.3">
      <c r="A853" t="s">
        <v>1729</v>
      </c>
      <c r="B853" t="s">
        <v>1730</v>
      </c>
      <c r="C853">
        <v>30</v>
      </c>
      <c r="D853" s="2" t="s">
        <v>13</v>
      </c>
      <c r="E853" s="2" t="s">
        <v>30</v>
      </c>
      <c r="F853" s="2" t="s">
        <v>37</v>
      </c>
      <c r="G853" s="2" t="s">
        <v>16</v>
      </c>
      <c r="H853" s="2" t="s">
        <v>18</v>
      </c>
      <c r="I853" s="2" t="s">
        <v>18</v>
      </c>
      <c r="J853">
        <v>0.75</v>
      </c>
      <c r="K853" s="1">
        <v>44901</v>
      </c>
      <c r="L853" s="2" t="str">
        <f>IF(Sheet1[[#This Row],[age]]&lt;18, "Under 18",IF(Sheet1[[#This Row],[age]]&lt;=30,"18-30",IF(Sheet1[[#This Row],[age]]&lt;=45,"31-45",IF(Sheet1[[#This Row],[age]]&lt;=60,"46-60","60+"))))</f>
        <v>18-30</v>
      </c>
      <c r="M853" s="2" t="str">
        <f>IF(Sheet1[[#This Row],[risk_score]]&lt;0.3,"Low",IF(Sheet1[[#This Row],[risk_score]]&lt;0.7,"Medium","High"))</f>
        <v>High</v>
      </c>
      <c r="N853">
        <f>YEAR(Sheet1[[#This Row],[date_joined]])</f>
        <v>2022</v>
      </c>
      <c r="O853" s="2" t="str">
        <f>TEXT(Sheet1[[#This Row],[date_joined]],"mmm")</f>
        <v>Dec</v>
      </c>
      <c r="P853" s="2" t="str">
        <f>"Q"&amp;ROUNDUP(MONTH(Sheet1[[#This Row],[date_joined]])/3,0)</f>
        <v>Q4</v>
      </c>
      <c r="Q853" s="2" t="str">
        <f>IF(Sheet1[[#This Row],[age]]&lt;30,"Young",IF(Sheet1[[#This Row],[age]]&lt;=50,"Adult","Senior"))</f>
        <v>Adult</v>
      </c>
      <c r="R853" s="2" t="str">
        <f t="shared" si="26"/>
        <v>Very High</v>
      </c>
      <c r="S853" s="2" t="str">
        <f t="shared" si="27"/>
        <v>West - Retired</v>
      </c>
    </row>
    <row r="854" spans="1:19" x14ac:dyDescent="0.3">
      <c r="A854" t="s">
        <v>1731</v>
      </c>
      <c r="B854" t="s">
        <v>1732</v>
      </c>
      <c r="C854">
        <v>69</v>
      </c>
      <c r="D854" s="2" t="s">
        <v>13</v>
      </c>
      <c r="E854" s="2" t="s">
        <v>22</v>
      </c>
      <c r="F854" s="2" t="s">
        <v>23</v>
      </c>
      <c r="G854" s="2" t="s">
        <v>24</v>
      </c>
      <c r="H854" s="2" t="s">
        <v>18</v>
      </c>
      <c r="I854" s="2" t="s">
        <v>18</v>
      </c>
      <c r="J854">
        <v>0.02</v>
      </c>
      <c r="K854" s="1">
        <v>45058</v>
      </c>
      <c r="L854" s="2" t="str">
        <f>IF(Sheet1[[#This Row],[age]]&lt;18, "Under 18",IF(Sheet1[[#This Row],[age]]&lt;=30,"18-30",IF(Sheet1[[#This Row],[age]]&lt;=45,"31-45",IF(Sheet1[[#This Row],[age]]&lt;=60,"46-60","60+"))))</f>
        <v>60+</v>
      </c>
      <c r="M854" s="2" t="str">
        <f>IF(Sheet1[[#This Row],[risk_score]]&lt;0.3,"Low",IF(Sheet1[[#This Row],[risk_score]]&lt;0.7,"Medium","High"))</f>
        <v>Low</v>
      </c>
      <c r="N854">
        <f>YEAR(Sheet1[[#This Row],[date_joined]])</f>
        <v>2023</v>
      </c>
      <c r="O854" s="2" t="str">
        <f>TEXT(Sheet1[[#This Row],[date_joined]],"mmm")</f>
        <v>May</v>
      </c>
      <c r="P854" s="2" t="str">
        <f>"Q"&amp;ROUNDUP(MONTH(Sheet1[[#This Row],[date_joined]])/3,0)</f>
        <v>Q2</v>
      </c>
      <c r="Q854" s="2" t="str">
        <f>IF(Sheet1[[#This Row],[age]]&lt;30,"Young",IF(Sheet1[[#This Row],[age]]&lt;=50,"Adult","Senior"))</f>
        <v>Senior</v>
      </c>
      <c r="R854" s="2" t="str">
        <f t="shared" si="26"/>
        <v>Very High</v>
      </c>
      <c r="S854" s="2" t="str">
        <f t="shared" si="27"/>
        <v>East - Salaried</v>
      </c>
    </row>
    <row r="855" spans="1:19" x14ac:dyDescent="0.3">
      <c r="A855" t="s">
        <v>1733</v>
      </c>
      <c r="B855" t="s">
        <v>1734</v>
      </c>
      <c r="C855">
        <v>30</v>
      </c>
      <c r="D855" s="2" t="s">
        <v>21</v>
      </c>
      <c r="E855" s="2" t="s">
        <v>30</v>
      </c>
      <c r="F855" s="2" t="s">
        <v>31</v>
      </c>
      <c r="G855" s="2" t="s">
        <v>24</v>
      </c>
      <c r="H855" s="2" t="s">
        <v>17</v>
      </c>
      <c r="I855" s="2" t="s">
        <v>17</v>
      </c>
      <c r="J855">
        <v>0.23</v>
      </c>
      <c r="K855" s="1">
        <v>44133</v>
      </c>
      <c r="L855" s="2" t="str">
        <f>IF(Sheet1[[#This Row],[age]]&lt;18, "Under 18",IF(Sheet1[[#This Row],[age]]&lt;=30,"18-30",IF(Sheet1[[#This Row],[age]]&lt;=45,"31-45",IF(Sheet1[[#This Row],[age]]&lt;=60,"46-60","60+"))))</f>
        <v>18-30</v>
      </c>
      <c r="M855" s="2" t="str">
        <f>IF(Sheet1[[#This Row],[risk_score]]&lt;0.3,"Low",IF(Sheet1[[#This Row],[risk_score]]&lt;0.7,"Medium","High"))</f>
        <v>Low</v>
      </c>
      <c r="N855">
        <f>YEAR(Sheet1[[#This Row],[date_joined]])</f>
        <v>2020</v>
      </c>
      <c r="O855" s="2" t="str">
        <f>TEXT(Sheet1[[#This Row],[date_joined]],"mmm")</f>
        <v>Oct</v>
      </c>
      <c r="P855" s="2" t="str">
        <f>"Q"&amp;ROUNDUP(MONTH(Sheet1[[#This Row],[date_joined]])/3,0)</f>
        <v>Q4</v>
      </c>
      <c r="Q855" s="2" t="str">
        <f>IF(Sheet1[[#This Row],[age]]&lt;30,"Young",IF(Sheet1[[#This Row],[age]]&lt;=50,"Adult","Senior"))</f>
        <v>Adult</v>
      </c>
      <c r="R855" s="2" t="str">
        <f t="shared" si="26"/>
        <v>Low</v>
      </c>
      <c r="S855" s="2" t="str">
        <f t="shared" si="27"/>
        <v>East - Self-employed</v>
      </c>
    </row>
    <row r="856" spans="1:19" x14ac:dyDescent="0.3">
      <c r="A856" t="s">
        <v>1735</v>
      </c>
      <c r="B856" t="s">
        <v>1736</v>
      </c>
      <c r="C856">
        <v>53</v>
      </c>
      <c r="D856" s="2" t="s">
        <v>13</v>
      </c>
      <c r="E856" s="2" t="s">
        <v>14</v>
      </c>
      <c r="F856" s="2" t="s">
        <v>23</v>
      </c>
      <c r="G856" s="2" t="s">
        <v>16</v>
      </c>
      <c r="H856" s="2" t="s">
        <v>18</v>
      </c>
      <c r="I856" s="2" t="s">
        <v>17</v>
      </c>
      <c r="J856">
        <v>0.35</v>
      </c>
      <c r="K856" s="1">
        <v>44026</v>
      </c>
      <c r="L856" s="2" t="str">
        <f>IF(Sheet1[[#This Row],[age]]&lt;18, "Under 18",IF(Sheet1[[#This Row],[age]]&lt;=30,"18-30",IF(Sheet1[[#This Row],[age]]&lt;=45,"31-45",IF(Sheet1[[#This Row],[age]]&lt;=60,"46-60","60+"))))</f>
        <v>46-60</v>
      </c>
      <c r="M856" s="2" t="str">
        <f>IF(Sheet1[[#This Row],[risk_score]]&lt;0.3,"Low",IF(Sheet1[[#This Row],[risk_score]]&lt;0.7,"Medium","High"))</f>
        <v>Medium</v>
      </c>
      <c r="N856">
        <f>YEAR(Sheet1[[#This Row],[date_joined]])</f>
        <v>2020</v>
      </c>
      <c r="O856" s="2" t="str">
        <f>TEXT(Sheet1[[#This Row],[date_joined]],"mmm")</f>
        <v>Jul</v>
      </c>
      <c r="P856" s="2" t="str">
        <f>"Q"&amp;ROUNDUP(MONTH(Sheet1[[#This Row],[date_joined]])/3,0)</f>
        <v>Q3</v>
      </c>
      <c r="Q856" s="2" t="str">
        <f>IF(Sheet1[[#This Row],[age]]&lt;30,"Young",IF(Sheet1[[#This Row],[age]]&lt;=50,"Adult","Senior"))</f>
        <v>Senior</v>
      </c>
      <c r="R856" s="2" t="str">
        <f t="shared" si="26"/>
        <v>High</v>
      </c>
      <c r="S856" s="2" t="str">
        <f t="shared" si="27"/>
        <v>West - Salaried</v>
      </c>
    </row>
    <row r="857" spans="1:19" x14ac:dyDescent="0.3">
      <c r="A857" t="s">
        <v>1737</v>
      </c>
      <c r="B857" t="s">
        <v>1738</v>
      </c>
      <c r="C857">
        <v>23</v>
      </c>
      <c r="D857" s="2" t="s">
        <v>13</v>
      </c>
      <c r="E857" s="2" t="s">
        <v>30</v>
      </c>
      <c r="F857" s="2" t="s">
        <v>15</v>
      </c>
      <c r="G857" s="2" t="s">
        <v>16</v>
      </c>
      <c r="H857" s="2" t="s">
        <v>17</v>
      </c>
      <c r="I857" s="2" t="s">
        <v>18</v>
      </c>
      <c r="J857">
        <v>0.27</v>
      </c>
      <c r="K857" s="1">
        <v>43232</v>
      </c>
      <c r="L857" s="2" t="str">
        <f>IF(Sheet1[[#This Row],[age]]&lt;18, "Under 18",IF(Sheet1[[#This Row],[age]]&lt;=30,"18-30",IF(Sheet1[[#This Row],[age]]&lt;=45,"31-45",IF(Sheet1[[#This Row],[age]]&lt;=60,"46-60","60+"))))</f>
        <v>18-30</v>
      </c>
      <c r="M857" s="2" t="str">
        <f>IF(Sheet1[[#This Row],[risk_score]]&lt;0.3,"Low",IF(Sheet1[[#This Row],[risk_score]]&lt;0.7,"Medium","High"))</f>
        <v>Low</v>
      </c>
      <c r="N857">
        <f>YEAR(Sheet1[[#This Row],[date_joined]])</f>
        <v>2018</v>
      </c>
      <c r="O857" s="2" t="str">
        <f>TEXT(Sheet1[[#This Row],[date_joined]],"mmm")</f>
        <v>May</v>
      </c>
      <c r="P857" s="2" t="str">
        <f>"Q"&amp;ROUNDUP(MONTH(Sheet1[[#This Row],[date_joined]])/3,0)</f>
        <v>Q2</v>
      </c>
      <c r="Q857" s="2" t="str">
        <f>IF(Sheet1[[#This Row],[age]]&lt;30,"Young",IF(Sheet1[[#This Row],[age]]&lt;=50,"Adult","Senior"))</f>
        <v>Young</v>
      </c>
      <c r="R857" s="2" t="str">
        <f t="shared" si="26"/>
        <v>High</v>
      </c>
      <c r="S857" s="2" t="str">
        <f t="shared" si="27"/>
        <v>West - Student</v>
      </c>
    </row>
    <row r="858" spans="1:19" x14ac:dyDescent="0.3">
      <c r="A858" t="s">
        <v>1739</v>
      </c>
      <c r="B858" t="s">
        <v>1740</v>
      </c>
      <c r="C858">
        <v>42</v>
      </c>
      <c r="D858" s="2" t="s">
        <v>21</v>
      </c>
      <c r="E858" s="2" t="s">
        <v>14</v>
      </c>
      <c r="F858" s="2" t="s">
        <v>15</v>
      </c>
      <c r="G858" s="2" t="s">
        <v>81</v>
      </c>
      <c r="H858" s="2" t="s">
        <v>17</v>
      </c>
      <c r="I858" s="2" t="s">
        <v>17</v>
      </c>
      <c r="J858">
        <v>0.15</v>
      </c>
      <c r="K858" s="1">
        <v>44137</v>
      </c>
      <c r="L858" s="2" t="str">
        <f>IF(Sheet1[[#This Row],[age]]&lt;18, "Under 18",IF(Sheet1[[#This Row],[age]]&lt;=30,"18-30",IF(Sheet1[[#This Row],[age]]&lt;=45,"31-45",IF(Sheet1[[#This Row],[age]]&lt;=60,"46-60","60+"))))</f>
        <v>31-45</v>
      </c>
      <c r="M858" s="2" t="str">
        <f>IF(Sheet1[[#This Row],[risk_score]]&lt;0.3,"Low",IF(Sheet1[[#This Row],[risk_score]]&lt;0.7,"Medium","High"))</f>
        <v>Low</v>
      </c>
      <c r="N858">
        <f>YEAR(Sheet1[[#This Row],[date_joined]])</f>
        <v>2020</v>
      </c>
      <c r="O858" s="2" t="str">
        <f>TEXT(Sheet1[[#This Row],[date_joined]],"mmm")</f>
        <v>Nov</v>
      </c>
      <c r="P858" s="2" t="str">
        <f>"Q"&amp;ROUNDUP(MONTH(Sheet1[[#This Row],[date_joined]])/3,0)</f>
        <v>Q4</v>
      </c>
      <c r="Q858" s="2" t="str">
        <f>IF(Sheet1[[#This Row],[age]]&lt;30,"Young",IF(Sheet1[[#This Row],[age]]&lt;=50,"Adult","Senior"))</f>
        <v>Adult</v>
      </c>
      <c r="R858" s="2" t="str">
        <f t="shared" si="26"/>
        <v>Low</v>
      </c>
      <c r="S858" s="2" t="str">
        <f t="shared" si="27"/>
        <v>Central - Student</v>
      </c>
    </row>
    <row r="859" spans="1:19" x14ac:dyDescent="0.3">
      <c r="A859" t="s">
        <v>1741</v>
      </c>
      <c r="B859" t="s">
        <v>1742</v>
      </c>
      <c r="C859">
        <v>38</v>
      </c>
      <c r="D859" s="2" t="s">
        <v>21</v>
      </c>
      <c r="E859" s="2" t="s">
        <v>14</v>
      </c>
      <c r="F859" s="2" t="s">
        <v>23</v>
      </c>
      <c r="G859" s="2" t="s">
        <v>81</v>
      </c>
      <c r="H859" s="2" t="s">
        <v>17</v>
      </c>
      <c r="I859" s="2" t="s">
        <v>17</v>
      </c>
      <c r="J859">
        <v>0.45</v>
      </c>
      <c r="K859" s="1">
        <v>44851</v>
      </c>
      <c r="L859" s="2" t="str">
        <f>IF(Sheet1[[#This Row],[age]]&lt;18, "Under 18",IF(Sheet1[[#This Row],[age]]&lt;=30,"18-30",IF(Sheet1[[#This Row],[age]]&lt;=45,"31-45",IF(Sheet1[[#This Row],[age]]&lt;=60,"46-60","60+"))))</f>
        <v>31-45</v>
      </c>
      <c r="M859" s="2" t="str">
        <f>IF(Sheet1[[#This Row],[risk_score]]&lt;0.3,"Low",IF(Sheet1[[#This Row],[risk_score]]&lt;0.7,"Medium","High"))</f>
        <v>Medium</v>
      </c>
      <c r="N859">
        <f>YEAR(Sheet1[[#This Row],[date_joined]])</f>
        <v>2022</v>
      </c>
      <c r="O859" s="2" t="str">
        <f>TEXT(Sheet1[[#This Row],[date_joined]],"mmm")</f>
        <v>Oct</v>
      </c>
      <c r="P859" s="2" t="str">
        <f>"Q"&amp;ROUNDUP(MONTH(Sheet1[[#This Row],[date_joined]])/3,0)</f>
        <v>Q4</v>
      </c>
      <c r="Q859" s="2" t="str">
        <f>IF(Sheet1[[#This Row],[age]]&lt;30,"Young",IF(Sheet1[[#This Row],[age]]&lt;=50,"Adult","Senior"))</f>
        <v>Adult</v>
      </c>
      <c r="R859" s="2" t="str">
        <f t="shared" si="26"/>
        <v>Low</v>
      </c>
      <c r="S859" s="2" t="str">
        <f t="shared" si="27"/>
        <v>Central - Salaried</v>
      </c>
    </row>
    <row r="860" spans="1:19" x14ac:dyDescent="0.3">
      <c r="A860" t="s">
        <v>1743</v>
      </c>
      <c r="B860" t="s">
        <v>1744</v>
      </c>
      <c r="C860">
        <v>62</v>
      </c>
      <c r="D860" s="2" t="s">
        <v>21</v>
      </c>
      <c r="E860" s="2" t="s">
        <v>22</v>
      </c>
      <c r="F860" s="2" t="s">
        <v>31</v>
      </c>
      <c r="G860" s="2" t="s">
        <v>24</v>
      </c>
      <c r="H860" s="2" t="s">
        <v>17</v>
      </c>
      <c r="I860" s="2" t="s">
        <v>17</v>
      </c>
      <c r="J860">
        <v>0.69</v>
      </c>
      <c r="K860" s="1">
        <v>43714</v>
      </c>
      <c r="L860" s="2" t="str">
        <f>IF(Sheet1[[#This Row],[age]]&lt;18, "Under 18",IF(Sheet1[[#This Row],[age]]&lt;=30,"18-30",IF(Sheet1[[#This Row],[age]]&lt;=45,"31-45",IF(Sheet1[[#This Row],[age]]&lt;=60,"46-60","60+"))))</f>
        <v>60+</v>
      </c>
      <c r="M860" s="2" t="str">
        <f>IF(Sheet1[[#This Row],[risk_score]]&lt;0.3,"Low",IF(Sheet1[[#This Row],[risk_score]]&lt;0.7,"Medium","High"))</f>
        <v>Medium</v>
      </c>
      <c r="N860">
        <f>YEAR(Sheet1[[#This Row],[date_joined]])</f>
        <v>2019</v>
      </c>
      <c r="O860" s="2" t="str">
        <f>TEXT(Sheet1[[#This Row],[date_joined]],"mmm")</f>
        <v>Sep</v>
      </c>
      <c r="P860" s="2" t="str">
        <f>"Q"&amp;ROUNDUP(MONTH(Sheet1[[#This Row],[date_joined]])/3,0)</f>
        <v>Q3</v>
      </c>
      <c r="Q860" s="2" t="str">
        <f>IF(Sheet1[[#This Row],[age]]&lt;30,"Young",IF(Sheet1[[#This Row],[age]]&lt;=50,"Adult","Senior"))</f>
        <v>Senior</v>
      </c>
      <c r="R860" s="2" t="str">
        <f t="shared" si="26"/>
        <v>Low</v>
      </c>
      <c r="S860" s="2" t="str">
        <f t="shared" si="27"/>
        <v>East - Self-employed</v>
      </c>
    </row>
    <row r="861" spans="1:19" x14ac:dyDescent="0.3">
      <c r="A861" t="s">
        <v>1745</v>
      </c>
      <c r="B861" t="s">
        <v>1746</v>
      </c>
      <c r="C861">
        <v>59</v>
      </c>
      <c r="D861" s="2" t="s">
        <v>21</v>
      </c>
      <c r="E861" s="2" t="s">
        <v>30</v>
      </c>
      <c r="F861" s="2" t="s">
        <v>15</v>
      </c>
      <c r="G861" s="2" t="s">
        <v>16</v>
      </c>
      <c r="H861" s="2" t="s">
        <v>17</v>
      </c>
      <c r="I861" s="2" t="s">
        <v>18</v>
      </c>
      <c r="J861">
        <v>0.34</v>
      </c>
      <c r="K861" s="1">
        <v>43832</v>
      </c>
      <c r="L861" s="2" t="str">
        <f>IF(Sheet1[[#This Row],[age]]&lt;18, "Under 18",IF(Sheet1[[#This Row],[age]]&lt;=30,"18-30",IF(Sheet1[[#This Row],[age]]&lt;=45,"31-45",IF(Sheet1[[#This Row],[age]]&lt;=60,"46-60","60+"))))</f>
        <v>46-60</v>
      </c>
      <c r="M861" s="2" t="str">
        <f>IF(Sheet1[[#This Row],[risk_score]]&lt;0.3,"Low",IF(Sheet1[[#This Row],[risk_score]]&lt;0.7,"Medium","High"))</f>
        <v>Medium</v>
      </c>
      <c r="N861">
        <f>YEAR(Sheet1[[#This Row],[date_joined]])</f>
        <v>2020</v>
      </c>
      <c r="O861" s="2" t="str">
        <f>TEXT(Sheet1[[#This Row],[date_joined]],"mmm")</f>
        <v>Jan</v>
      </c>
      <c r="P861" s="2" t="str">
        <f>"Q"&amp;ROUNDUP(MONTH(Sheet1[[#This Row],[date_joined]])/3,0)</f>
        <v>Q1</v>
      </c>
      <c r="Q861" s="2" t="str">
        <f>IF(Sheet1[[#This Row],[age]]&lt;30,"Young",IF(Sheet1[[#This Row],[age]]&lt;=50,"Adult","Senior"))</f>
        <v>Senior</v>
      </c>
      <c r="R861" s="2" t="str">
        <f t="shared" si="26"/>
        <v>High</v>
      </c>
      <c r="S861" s="2" t="str">
        <f t="shared" si="27"/>
        <v>West - Student</v>
      </c>
    </row>
    <row r="862" spans="1:19" x14ac:dyDescent="0.3">
      <c r="A862" t="s">
        <v>1747</v>
      </c>
      <c r="B862" t="s">
        <v>1748</v>
      </c>
      <c r="C862">
        <v>30</v>
      </c>
      <c r="D862" s="2" t="s">
        <v>13</v>
      </c>
      <c r="E862" s="2" t="s">
        <v>30</v>
      </c>
      <c r="F862" s="2" t="s">
        <v>31</v>
      </c>
      <c r="G862" s="2" t="s">
        <v>32</v>
      </c>
      <c r="H862" s="2" t="s">
        <v>17</v>
      </c>
      <c r="I862" s="2" t="s">
        <v>17</v>
      </c>
      <c r="J862">
        <v>0.41</v>
      </c>
      <c r="K862" s="1">
        <v>44212</v>
      </c>
      <c r="L862" s="2" t="str">
        <f>IF(Sheet1[[#This Row],[age]]&lt;18, "Under 18",IF(Sheet1[[#This Row],[age]]&lt;=30,"18-30",IF(Sheet1[[#This Row],[age]]&lt;=45,"31-45",IF(Sheet1[[#This Row],[age]]&lt;=60,"46-60","60+"))))</f>
        <v>18-30</v>
      </c>
      <c r="M862" s="2" t="str">
        <f>IF(Sheet1[[#This Row],[risk_score]]&lt;0.3,"Low",IF(Sheet1[[#This Row],[risk_score]]&lt;0.7,"Medium","High"))</f>
        <v>Medium</v>
      </c>
      <c r="N862">
        <f>YEAR(Sheet1[[#This Row],[date_joined]])</f>
        <v>2021</v>
      </c>
      <c r="O862" s="2" t="str">
        <f>TEXT(Sheet1[[#This Row],[date_joined]],"mmm")</f>
        <v>Jan</v>
      </c>
      <c r="P862" s="2" t="str">
        <f>"Q"&amp;ROUNDUP(MONTH(Sheet1[[#This Row],[date_joined]])/3,0)</f>
        <v>Q1</v>
      </c>
      <c r="Q862" s="2" t="str">
        <f>IF(Sheet1[[#This Row],[age]]&lt;30,"Young",IF(Sheet1[[#This Row],[age]]&lt;=50,"Adult","Senior"))</f>
        <v>Adult</v>
      </c>
      <c r="R862" s="2" t="str">
        <f t="shared" si="26"/>
        <v>Low</v>
      </c>
      <c r="S862" s="2" t="str">
        <f t="shared" si="27"/>
        <v>South - Self-employed</v>
      </c>
    </row>
    <row r="863" spans="1:19" x14ac:dyDescent="0.3">
      <c r="A863" t="s">
        <v>1749</v>
      </c>
      <c r="B863" t="s">
        <v>1750</v>
      </c>
      <c r="C863">
        <v>31</v>
      </c>
      <c r="D863" s="2" t="s">
        <v>13</v>
      </c>
      <c r="E863" s="2" t="s">
        <v>30</v>
      </c>
      <c r="F863" s="2" t="s">
        <v>23</v>
      </c>
      <c r="G863" s="2" t="s">
        <v>27</v>
      </c>
      <c r="H863" s="2" t="s">
        <v>17</v>
      </c>
      <c r="I863" s="2" t="s">
        <v>17</v>
      </c>
      <c r="J863">
        <v>0.53</v>
      </c>
      <c r="K863" s="1">
        <v>43527</v>
      </c>
      <c r="L863" s="2" t="str">
        <f>IF(Sheet1[[#This Row],[age]]&lt;18, "Under 18",IF(Sheet1[[#This Row],[age]]&lt;=30,"18-30",IF(Sheet1[[#This Row],[age]]&lt;=45,"31-45",IF(Sheet1[[#This Row],[age]]&lt;=60,"46-60","60+"))))</f>
        <v>31-45</v>
      </c>
      <c r="M863" s="2" t="str">
        <f>IF(Sheet1[[#This Row],[risk_score]]&lt;0.3,"Low",IF(Sheet1[[#This Row],[risk_score]]&lt;0.7,"Medium","High"))</f>
        <v>Medium</v>
      </c>
      <c r="N863">
        <f>YEAR(Sheet1[[#This Row],[date_joined]])</f>
        <v>2019</v>
      </c>
      <c r="O863" s="2" t="str">
        <f>TEXT(Sheet1[[#This Row],[date_joined]],"mmm")</f>
        <v>Mar</v>
      </c>
      <c r="P863" s="2" t="str">
        <f>"Q"&amp;ROUNDUP(MONTH(Sheet1[[#This Row],[date_joined]])/3,0)</f>
        <v>Q1</v>
      </c>
      <c r="Q863" s="2" t="str">
        <f>IF(Sheet1[[#This Row],[age]]&lt;30,"Young",IF(Sheet1[[#This Row],[age]]&lt;=50,"Adult","Senior"))</f>
        <v>Adult</v>
      </c>
      <c r="R863" s="2" t="str">
        <f t="shared" si="26"/>
        <v>Low</v>
      </c>
      <c r="S863" s="2" t="str">
        <f t="shared" si="27"/>
        <v>North - Salaried</v>
      </c>
    </row>
    <row r="864" spans="1:19" x14ac:dyDescent="0.3">
      <c r="A864" t="s">
        <v>1751</v>
      </c>
      <c r="B864" t="s">
        <v>1752</v>
      </c>
      <c r="C864">
        <v>41</v>
      </c>
      <c r="D864" s="2" t="s">
        <v>13</v>
      </c>
      <c r="E864" s="2" t="s">
        <v>22</v>
      </c>
      <c r="F864" s="2" t="s">
        <v>31</v>
      </c>
      <c r="G864" s="2" t="s">
        <v>16</v>
      </c>
      <c r="H864" s="2" t="s">
        <v>18</v>
      </c>
      <c r="I864" s="2" t="s">
        <v>17</v>
      </c>
      <c r="J864">
        <v>0.41</v>
      </c>
      <c r="K864" s="1">
        <v>45253</v>
      </c>
      <c r="L864" s="2" t="str">
        <f>IF(Sheet1[[#This Row],[age]]&lt;18, "Under 18",IF(Sheet1[[#This Row],[age]]&lt;=30,"18-30",IF(Sheet1[[#This Row],[age]]&lt;=45,"31-45",IF(Sheet1[[#This Row],[age]]&lt;=60,"46-60","60+"))))</f>
        <v>31-45</v>
      </c>
      <c r="M864" s="2" t="str">
        <f>IF(Sheet1[[#This Row],[risk_score]]&lt;0.3,"Low",IF(Sheet1[[#This Row],[risk_score]]&lt;0.7,"Medium","High"))</f>
        <v>Medium</v>
      </c>
      <c r="N864">
        <f>YEAR(Sheet1[[#This Row],[date_joined]])</f>
        <v>2023</v>
      </c>
      <c r="O864" s="2" t="str">
        <f>TEXT(Sheet1[[#This Row],[date_joined]],"mmm")</f>
        <v>Nov</v>
      </c>
      <c r="P864" s="2" t="str">
        <f>"Q"&amp;ROUNDUP(MONTH(Sheet1[[#This Row],[date_joined]])/3,0)</f>
        <v>Q4</v>
      </c>
      <c r="Q864" s="2" t="str">
        <f>IF(Sheet1[[#This Row],[age]]&lt;30,"Young",IF(Sheet1[[#This Row],[age]]&lt;=50,"Adult","Senior"))</f>
        <v>Adult</v>
      </c>
      <c r="R864" s="2" t="str">
        <f t="shared" si="26"/>
        <v>High</v>
      </c>
      <c r="S864" s="2" t="str">
        <f t="shared" si="27"/>
        <v>West - Self-employed</v>
      </c>
    </row>
    <row r="865" spans="1:19" x14ac:dyDescent="0.3">
      <c r="A865" t="s">
        <v>1753</v>
      </c>
      <c r="B865" t="s">
        <v>1754</v>
      </c>
      <c r="C865">
        <v>54</v>
      </c>
      <c r="D865" s="2" t="s">
        <v>13</v>
      </c>
      <c r="E865" s="2" t="s">
        <v>14</v>
      </c>
      <c r="F865" s="2" t="s">
        <v>31</v>
      </c>
      <c r="G865" s="2" t="s">
        <v>32</v>
      </c>
      <c r="H865" s="2" t="s">
        <v>17</v>
      </c>
      <c r="I865" s="2" t="s">
        <v>18</v>
      </c>
      <c r="J865">
        <v>0.28000000000000003</v>
      </c>
      <c r="K865" s="1">
        <v>43736</v>
      </c>
      <c r="L865" s="2" t="str">
        <f>IF(Sheet1[[#This Row],[age]]&lt;18, "Under 18",IF(Sheet1[[#This Row],[age]]&lt;=30,"18-30",IF(Sheet1[[#This Row],[age]]&lt;=45,"31-45",IF(Sheet1[[#This Row],[age]]&lt;=60,"46-60","60+"))))</f>
        <v>46-60</v>
      </c>
      <c r="M865" s="2" t="str">
        <f>IF(Sheet1[[#This Row],[risk_score]]&lt;0.3,"Low",IF(Sheet1[[#This Row],[risk_score]]&lt;0.7,"Medium","High"))</f>
        <v>Low</v>
      </c>
      <c r="N865">
        <f>YEAR(Sheet1[[#This Row],[date_joined]])</f>
        <v>2019</v>
      </c>
      <c r="O865" s="2" t="str">
        <f>TEXT(Sheet1[[#This Row],[date_joined]],"mmm")</f>
        <v>Sep</v>
      </c>
      <c r="P865" s="2" t="str">
        <f>"Q"&amp;ROUNDUP(MONTH(Sheet1[[#This Row],[date_joined]])/3,0)</f>
        <v>Q3</v>
      </c>
      <c r="Q865" s="2" t="str">
        <f>IF(Sheet1[[#This Row],[age]]&lt;30,"Young",IF(Sheet1[[#This Row],[age]]&lt;=50,"Adult","Senior"))</f>
        <v>Senior</v>
      </c>
      <c r="R865" s="2" t="str">
        <f t="shared" si="26"/>
        <v>High</v>
      </c>
      <c r="S865" s="2" t="str">
        <f t="shared" si="27"/>
        <v>South - Self-employed</v>
      </c>
    </row>
    <row r="866" spans="1:19" x14ac:dyDescent="0.3">
      <c r="A866" t="s">
        <v>1755</v>
      </c>
      <c r="B866" t="s">
        <v>1756</v>
      </c>
      <c r="C866">
        <v>20</v>
      </c>
      <c r="D866" s="2" t="s">
        <v>21</v>
      </c>
      <c r="E866" s="2" t="s">
        <v>22</v>
      </c>
      <c r="F866" s="2" t="s">
        <v>37</v>
      </c>
      <c r="G866" s="2" t="s">
        <v>16</v>
      </c>
      <c r="H866" s="2" t="s">
        <v>17</v>
      </c>
      <c r="I866" s="2" t="s">
        <v>18</v>
      </c>
      <c r="J866">
        <v>0.31</v>
      </c>
      <c r="K866" s="1">
        <v>44789</v>
      </c>
      <c r="L866" s="2" t="str">
        <f>IF(Sheet1[[#This Row],[age]]&lt;18, "Under 18",IF(Sheet1[[#This Row],[age]]&lt;=30,"18-30",IF(Sheet1[[#This Row],[age]]&lt;=45,"31-45",IF(Sheet1[[#This Row],[age]]&lt;=60,"46-60","60+"))))</f>
        <v>18-30</v>
      </c>
      <c r="M866" s="2" t="str">
        <f>IF(Sheet1[[#This Row],[risk_score]]&lt;0.3,"Low",IF(Sheet1[[#This Row],[risk_score]]&lt;0.7,"Medium","High"))</f>
        <v>Medium</v>
      </c>
      <c r="N866">
        <f>YEAR(Sheet1[[#This Row],[date_joined]])</f>
        <v>2022</v>
      </c>
      <c r="O866" s="2" t="str">
        <f>TEXT(Sheet1[[#This Row],[date_joined]],"mmm")</f>
        <v>Aug</v>
      </c>
      <c r="P866" s="2" t="str">
        <f>"Q"&amp;ROUNDUP(MONTH(Sheet1[[#This Row],[date_joined]])/3,0)</f>
        <v>Q3</v>
      </c>
      <c r="Q866" s="2" t="str">
        <f>IF(Sheet1[[#This Row],[age]]&lt;30,"Young",IF(Sheet1[[#This Row],[age]]&lt;=50,"Adult","Senior"))</f>
        <v>Young</v>
      </c>
      <c r="R866" s="2" t="str">
        <f t="shared" si="26"/>
        <v>High</v>
      </c>
      <c r="S866" s="2" t="str">
        <f t="shared" si="27"/>
        <v>West - Retired</v>
      </c>
    </row>
    <row r="867" spans="1:19" x14ac:dyDescent="0.3">
      <c r="A867" t="s">
        <v>1757</v>
      </c>
      <c r="B867" t="s">
        <v>1758</v>
      </c>
      <c r="C867">
        <v>27</v>
      </c>
      <c r="D867" s="2" t="s">
        <v>21</v>
      </c>
      <c r="E867" s="2" t="s">
        <v>14</v>
      </c>
      <c r="F867" s="2" t="s">
        <v>23</v>
      </c>
      <c r="G867" s="2" t="s">
        <v>32</v>
      </c>
      <c r="H867" s="2" t="s">
        <v>17</v>
      </c>
      <c r="I867" s="2" t="s">
        <v>17</v>
      </c>
      <c r="J867">
        <v>0.26</v>
      </c>
      <c r="K867" s="1">
        <v>44628</v>
      </c>
      <c r="L867" s="2" t="str">
        <f>IF(Sheet1[[#This Row],[age]]&lt;18, "Under 18",IF(Sheet1[[#This Row],[age]]&lt;=30,"18-30",IF(Sheet1[[#This Row],[age]]&lt;=45,"31-45",IF(Sheet1[[#This Row],[age]]&lt;=60,"46-60","60+"))))</f>
        <v>18-30</v>
      </c>
      <c r="M867" s="2" t="str">
        <f>IF(Sheet1[[#This Row],[risk_score]]&lt;0.3,"Low",IF(Sheet1[[#This Row],[risk_score]]&lt;0.7,"Medium","High"))</f>
        <v>Low</v>
      </c>
      <c r="N867">
        <f>YEAR(Sheet1[[#This Row],[date_joined]])</f>
        <v>2022</v>
      </c>
      <c r="O867" s="2" t="str">
        <f>TEXT(Sheet1[[#This Row],[date_joined]],"mmm")</f>
        <v>Mar</v>
      </c>
      <c r="P867" s="2" t="str">
        <f>"Q"&amp;ROUNDUP(MONTH(Sheet1[[#This Row],[date_joined]])/3,0)</f>
        <v>Q1</v>
      </c>
      <c r="Q867" s="2" t="str">
        <f>IF(Sheet1[[#This Row],[age]]&lt;30,"Young",IF(Sheet1[[#This Row],[age]]&lt;=50,"Adult","Senior"))</f>
        <v>Young</v>
      </c>
      <c r="R867" s="2" t="str">
        <f t="shared" si="26"/>
        <v>Low</v>
      </c>
      <c r="S867" s="2" t="str">
        <f t="shared" si="27"/>
        <v>South - Salaried</v>
      </c>
    </row>
    <row r="868" spans="1:19" x14ac:dyDescent="0.3">
      <c r="A868" t="s">
        <v>1759</v>
      </c>
      <c r="B868" t="s">
        <v>1760</v>
      </c>
      <c r="C868">
        <v>34</v>
      </c>
      <c r="D868" s="2" t="s">
        <v>21</v>
      </c>
      <c r="E868" s="2" t="s">
        <v>30</v>
      </c>
      <c r="F868" s="2" t="s">
        <v>23</v>
      </c>
      <c r="G868" s="2" t="s">
        <v>81</v>
      </c>
      <c r="H868" s="2" t="s">
        <v>17</v>
      </c>
      <c r="I868" s="2" t="s">
        <v>18</v>
      </c>
      <c r="J868">
        <v>0.5</v>
      </c>
      <c r="K868" s="1">
        <v>45110</v>
      </c>
      <c r="L868" s="2" t="str">
        <f>IF(Sheet1[[#This Row],[age]]&lt;18, "Under 18",IF(Sheet1[[#This Row],[age]]&lt;=30,"18-30",IF(Sheet1[[#This Row],[age]]&lt;=45,"31-45",IF(Sheet1[[#This Row],[age]]&lt;=60,"46-60","60+"))))</f>
        <v>31-45</v>
      </c>
      <c r="M868" s="2" t="str">
        <f>IF(Sheet1[[#This Row],[risk_score]]&lt;0.3,"Low",IF(Sheet1[[#This Row],[risk_score]]&lt;0.7,"Medium","High"))</f>
        <v>Medium</v>
      </c>
      <c r="N868">
        <f>YEAR(Sheet1[[#This Row],[date_joined]])</f>
        <v>2023</v>
      </c>
      <c r="O868" s="2" t="str">
        <f>TEXT(Sheet1[[#This Row],[date_joined]],"mmm")</f>
        <v>Jul</v>
      </c>
      <c r="P868" s="2" t="str">
        <f>"Q"&amp;ROUNDUP(MONTH(Sheet1[[#This Row],[date_joined]])/3,0)</f>
        <v>Q3</v>
      </c>
      <c r="Q868" s="2" t="str">
        <f>IF(Sheet1[[#This Row],[age]]&lt;30,"Young",IF(Sheet1[[#This Row],[age]]&lt;=50,"Adult","Senior"))</f>
        <v>Adult</v>
      </c>
      <c r="R868" s="2" t="str">
        <f t="shared" si="26"/>
        <v>High</v>
      </c>
      <c r="S868" s="2" t="str">
        <f t="shared" si="27"/>
        <v>Central - Salaried</v>
      </c>
    </row>
    <row r="869" spans="1:19" x14ac:dyDescent="0.3">
      <c r="A869" t="s">
        <v>1761</v>
      </c>
      <c r="B869" t="s">
        <v>1762</v>
      </c>
      <c r="C869">
        <v>41</v>
      </c>
      <c r="D869" s="2" t="s">
        <v>13</v>
      </c>
      <c r="E869" s="2" t="s">
        <v>22</v>
      </c>
      <c r="F869" s="2" t="s">
        <v>37</v>
      </c>
      <c r="G869" s="2" t="s">
        <v>81</v>
      </c>
      <c r="H869" s="2" t="s">
        <v>18</v>
      </c>
      <c r="I869" s="2" t="s">
        <v>17</v>
      </c>
      <c r="J869">
        <v>0.51</v>
      </c>
      <c r="K869" s="1">
        <v>43697</v>
      </c>
      <c r="L869" s="2" t="str">
        <f>IF(Sheet1[[#This Row],[age]]&lt;18, "Under 18",IF(Sheet1[[#This Row],[age]]&lt;=30,"18-30",IF(Sheet1[[#This Row],[age]]&lt;=45,"31-45",IF(Sheet1[[#This Row],[age]]&lt;=60,"46-60","60+"))))</f>
        <v>31-45</v>
      </c>
      <c r="M869" s="2" t="str">
        <f>IF(Sheet1[[#This Row],[risk_score]]&lt;0.3,"Low",IF(Sheet1[[#This Row],[risk_score]]&lt;0.7,"Medium","High"))</f>
        <v>Medium</v>
      </c>
      <c r="N869">
        <f>YEAR(Sheet1[[#This Row],[date_joined]])</f>
        <v>2019</v>
      </c>
      <c r="O869" s="2" t="str">
        <f>TEXT(Sheet1[[#This Row],[date_joined]],"mmm")</f>
        <v>Aug</v>
      </c>
      <c r="P869" s="2" t="str">
        <f>"Q"&amp;ROUNDUP(MONTH(Sheet1[[#This Row],[date_joined]])/3,0)</f>
        <v>Q3</v>
      </c>
      <c r="Q869" s="2" t="str">
        <f>IF(Sheet1[[#This Row],[age]]&lt;30,"Young",IF(Sheet1[[#This Row],[age]]&lt;=50,"Adult","Senior"))</f>
        <v>Adult</v>
      </c>
      <c r="R869" s="2" t="str">
        <f t="shared" si="26"/>
        <v>High</v>
      </c>
      <c r="S869" s="2" t="str">
        <f t="shared" si="27"/>
        <v>Central - Retired</v>
      </c>
    </row>
    <row r="870" spans="1:19" x14ac:dyDescent="0.3">
      <c r="A870" t="s">
        <v>1763</v>
      </c>
      <c r="B870" t="s">
        <v>1764</v>
      </c>
      <c r="C870">
        <v>63</v>
      </c>
      <c r="D870" s="2" t="s">
        <v>21</v>
      </c>
      <c r="E870" s="2" t="s">
        <v>14</v>
      </c>
      <c r="F870" s="2" t="s">
        <v>37</v>
      </c>
      <c r="G870" s="2" t="s">
        <v>27</v>
      </c>
      <c r="H870" s="2" t="s">
        <v>17</v>
      </c>
      <c r="I870" s="2" t="s">
        <v>18</v>
      </c>
      <c r="J870">
        <v>0.47</v>
      </c>
      <c r="K870" s="1">
        <v>43315</v>
      </c>
      <c r="L870" s="2" t="str">
        <f>IF(Sheet1[[#This Row],[age]]&lt;18, "Under 18",IF(Sheet1[[#This Row],[age]]&lt;=30,"18-30",IF(Sheet1[[#This Row],[age]]&lt;=45,"31-45",IF(Sheet1[[#This Row],[age]]&lt;=60,"46-60","60+"))))</f>
        <v>60+</v>
      </c>
      <c r="M870" s="2" t="str">
        <f>IF(Sheet1[[#This Row],[risk_score]]&lt;0.3,"Low",IF(Sheet1[[#This Row],[risk_score]]&lt;0.7,"Medium","High"))</f>
        <v>Medium</v>
      </c>
      <c r="N870">
        <f>YEAR(Sheet1[[#This Row],[date_joined]])</f>
        <v>2018</v>
      </c>
      <c r="O870" s="2" t="str">
        <f>TEXT(Sheet1[[#This Row],[date_joined]],"mmm")</f>
        <v>Aug</v>
      </c>
      <c r="P870" s="2" t="str">
        <f>"Q"&amp;ROUNDUP(MONTH(Sheet1[[#This Row],[date_joined]])/3,0)</f>
        <v>Q3</v>
      </c>
      <c r="Q870" s="2" t="str">
        <f>IF(Sheet1[[#This Row],[age]]&lt;30,"Young",IF(Sheet1[[#This Row],[age]]&lt;=50,"Adult","Senior"))</f>
        <v>Senior</v>
      </c>
      <c r="R870" s="2" t="str">
        <f t="shared" si="26"/>
        <v>High</v>
      </c>
      <c r="S870" s="2" t="str">
        <f t="shared" si="27"/>
        <v>North - Retired</v>
      </c>
    </row>
    <row r="871" spans="1:19" x14ac:dyDescent="0.3">
      <c r="A871" t="s">
        <v>1765</v>
      </c>
      <c r="B871" t="s">
        <v>1766</v>
      </c>
      <c r="C871">
        <v>23</v>
      </c>
      <c r="D871" s="2" t="s">
        <v>21</v>
      </c>
      <c r="E871" s="2" t="s">
        <v>14</v>
      </c>
      <c r="F871" s="2" t="s">
        <v>37</v>
      </c>
      <c r="G871" s="2" t="s">
        <v>81</v>
      </c>
      <c r="H871" s="2" t="s">
        <v>18</v>
      </c>
      <c r="I871" s="2" t="s">
        <v>18</v>
      </c>
      <c r="J871">
        <v>0.56999999999999995</v>
      </c>
      <c r="K871" s="1">
        <v>43127</v>
      </c>
      <c r="L871" s="2" t="str">
        <f>IF(Sheet1[[#This Row],[age]]&lt;18, "Under 18",IF(Sheet1[[#This Row],[age]]&lt;=30,"18-30",IF(Sheet1[[#This Row],[age]]&lt;=45,"31-45",IF(Sheet1[[#This Row],[age]]&lt;=60,"46-60","60+"))))</f>
        <v>18-30</v>
      </c>
      <c r="M871" s="2" t="str">
        <f>IF(Sheet1[[#This Row],[risk_score]]&lt;0.3,"Low",IF(Sheet1[[#This Row],[risk_score]]&lt;0.7,"Medium","High"))</f>
        <v>Medium</v>
      </c>
      <c r="N871">
        <f>YEAR(Sheet1[[#This Row],[date_joined]])</f>
        <v>2018</v>
      </c>
      <c r="O871" s="2" t="str">
        <f>TEXT(Sheet1[[#This Row],[date_joined]],"mmm")</f>
        <v>Jan</v>
      </c>
      <c r="P871" s="2" t="str">
        <f>"Q"&amp;ROUNDUP(MONTH(Sheet1[[#This Row],[date_joined]])/3,0)</f>
        <v>Q1</v>
      </c>
      <c r="Q871" s="2" t="str">
        <f>IF(Sheet1[[#This Row],[age]]&lt;30,"Young",IF(Sheet1[[#This Row],[age]]&lt;=50,"Adult","Senior"))</f>
        <v>Young</v>
      </c>
      <c r="R871" s="2" t="str">
        <f t="shared" si="26"/>
        <v>Very High</v>
      </c>
      <c r="S871" s="2" t="str">
        <f t="shared" si="27"/>
        <v>Central - Retired</v>
      </c>
    </row>
    <row r="872" spans="1:19" x14ac:dyDescent="0.3">
      <c r="A872" t="s">
        <v>1767</v>
      </c>
      <c r="B872" t="s">
        <v>1768</v>
      </c>
      <c r="C872">
        <v>26</v>
      </c>
      <c r="D872" s="2" t="s">
        <v>21</v>
      </c>
      <c r="E872" s="2" t="s">
        <v>30</v>
      </c>
      <c r="F872" s="2" t="s">
        <v>37</v>
      </c>
      <c r="G872" s="2" t="s">
        <v>66</v>
      </c>
      <c r="H872" s="2" t="s">
        <v>18</v>
      </c>
      <c r="I872" s="2" t="s">
        <v>18</v>
      </c>
      <c r="J872">
        <v>0.54</v>
      </c>
      <c r="K872" s="1">
        <v>43324</v>
      </c>
      <c r="L872" s="2" t="str">
        <f>IF(Sheet1[[#This Row],[age]]&lt;18, "Under 18",IF(Sheet1[[#This Row],[age]]&lt;=30,"18-30",IF(Sheet1[[#This Row],[age]]&lt;=45,"31-45",IF(Sheet1[[#This Row],[age]]&lt;=60,"46-60","60+"))))</f>
        <v>18-30</v>
      </c>
      <c r="M872" s="2" t="str">
        <f>IF(Sheet1[[#This Row],[risk_score]]&lt;0.3,"Low",IF(Sheet1[[#This Row],[risk_score]]&lt;0.7,"Medium","High"))</f>
        <v>Medium</v>
      </c>
      <c r="N872">
        <f>YEAR(Sheet1[[#This Row],[date_joined]])</f>
        <v>2018</v>
      </c>
      <c r="O872" s="2" t="str">
        <f>TEXT(Sheet1[[#This Row],[date_joined]],"mmm")</f>
        <v>Aug</v>
      </c>
      <c r="P872" s="2" t="str">
        <f>"Q"&amp;ROUNDUP(MONTH(Sheet1[[#This Row],[date_joined]])/3,0)</f>
        <v>Q3</v>
      </c>
      <c r="Q872" s="2" t="str">
        <f>IF(Sheet1[[#This Row],[age]]&lt;30,"Young",IF(Sheet1[[#This Row],[age]]&lt;=50,"Adult","Senior"))</f>
        <v>Young</v>
      </c>
      <c r="R872" s="2" t="str">
        <f t="shared" si="26"/>
        <v>Very High</v>
      </c>
      <c r="S872" s="2" t="str">
        <f t="shared" si="27"/>
        <v>North-East - Retired</v>
      </c>
    </row>
    <row r="873" spans="1:19" x14ac:dyDescent="0.3">
      <c r="A873" t="s">
        <v>1769</v>
      </c>
      <c r="B873" t="s">
        <v>1770</v>
      </c>
      <c r="C873">
        <v>69</v>
      </c>
      <c r="D873" s="2" t="s">
        <v>21</v>
      </c>
      <c r="E873" s="2" t="s">
        <v>22</v>
      </c>
      <c r="F873" s="2" t="s">
        <v>31</v>
      </c>
      <c r="G873" s="2" t="s">
        <v>27</v>
      </c>
      <c r="H873" s="2" t="s">
        <v>17</v>
      </c>
      <c r="I873" s="2" t="s">
        <v>18</v>
      </c>
      <c r="J873">
        <v>0.8</v>
      </c>
      <c r="K873" s="1">
        <v>43747</v>
      </c>
      <c r="L873" s="2" t="str">
        <f>IF(Sheet1[[#This Row],[age]]&lt;18, "Under 18",IF(Sheet1[[#This Row],[age]]&lt;=30,"18-30",IF(Sheet1[[#This Row],[age]]&lt;=45,"31-45",IF(Sheet1[[#This Row],[age]]&lt;=60,"46-60","60+"))))</f>
        <v>60+</v>
      </c>
      <c r="M873" s="2" t="str">
        <f>IF(Sheet1[[#This Row],[risk_score]]&lt;0.3,"Low",IF(Sheet1[[#This Row],[risk_score]]&lt;0.7,"Medium","High"))</f>
        <v>High</v>
      </c>
      <c r="N873">
        <f>YEAR(Sheet1[[#This Row],[date_joined]])</f>
        <v>2019</v>
      </c>
      <c r="O873" s="2" t="str">
        <f>TEXT(Sheet1[[#This Row],[date_joined]],"mmm")</f>
        <v>Oct</v>
      </c>
      <c r="P873" s="2" t="str">
        <f>"Q"&amp;ROUNDUP(MONTH(Sheet1[[#This Row],[date_joined]])/3,0)</f>
        <v>Q4</v>
      </c>
      <c r="Q873" s="2" t="str">
        <f>IF(Sheet1[[#This Row],[age]]&lt;30,"Young",IF(Sheet1[[#This Row],[age]]&lt;=50,"Adult","Senior"))</f>
        <v>Senior</v>
      </c>
      <c r="R873" s="2" t="str">
        <f t="shared" si="26"/>
        <v>High</v>
      </c>
      <c r="S873" s="2" t="str">
        <f t="shared" si="27"/>
        <v>North - Self-employed</v>
      </c>
    </row>
    <row r="874" spans="1:19" x14ac:dyDescent="0.3">
      <c r="A874" t="s">
        <v>1771</v>
      </c>
      <c r="B874" t="s">
        <v>1772</v>
      </c>
      <c r="C874">
        <v>63</v>
      </c>
      <c r="D874" s="2" t="s">
        <v>13</v>
      </c>
      <c r="E874" s="2" t="s">
        <v>30</v>
      </c>
      <c r="F874" s="2" t="s">
        <v>15</v>
      </c>
      <c r="G874" s="2" t="s">
        <v>24</v>
      </c>
      <c r="H874" s="2" t="s">
        <v>17</v>
      </c>
      <c r="I874" s="2" t="s">
        <v>18</v>
      </c>
      <c r="J874">
        <v>0.4</v>
      </c>
      <c r="K874" s="1">
        <v>43288</v>
      </c>
      <c r="L874" s="2" t="str">
        <f>IF(Sheet1[[#This Row],[age]]&lt;18, "Under 18",IF(Sheet1[[#This Row],[age]]&lt;=30,"18-30",IF(Sheet1[[#This Row],[age]]&lt;=45,"31-45",IF(Sheet1[[#This Row],[age]]&lt;=60,"46-60","60+"))))</f>
        <v>60+</v>
      </c>
      <c r="M874" s="2" t="str">
        <f>IF(Sheet1[[#This Row],[risk_score]]&lt;0.3,"Low",IF(Sheet1[[#This Row],[risk_score]]&lt;0.7,"Medium","High"))</f>
        <v>Medium</v>
      </c>
      <c r="N874">
        <f>YEAR(Sheet1[[#This Row],[date_joined]])</f>
        <v>2018</v>
      </c>
      <c r="O874" s="2" t="str">
        <f>TEXT(Sheet1[[#This Row],[date_joined]],"mmm")</f>
        <v>Jul</v>
      </c>
      <c r="P874" s="2" t="str">
        <f>"Q"&amp;ROUNDUP(MONTH(Sheet1[[#This Row],[date_joined]])/3,0)</f>
        <v>Q3</v>
      </c>
      <c r="Q874" s="2" t="str">
        <f>IF(Sheet1[[#This Row],[age]]&lt;30,"Young",IF(Sheet1[[#This Row],[age]]&lt;=50,"Adult","Senior"))</f>
        <v>Senior</v>
      </c>
      <c r="R874" s="2" t="str">
        <f t="shared" si="26"/>
        <v>High</v>
      </c>
      <c r="S874" s="2" t="str">
        <f t="shared" si="27"/>
        <v>East - Student</v>
      </c>
    </row>
    <row r="875" spans="1:19" x14ac:dyDescent="0.3">
      <c r="A875" t="s">
        <v>1773</v>
      </c>
      <c r="B875" t="s">
        <v>1774</v>
      </c>
      <c r="C875">
        <v>35</v>
      </c>
      <c r="D875" s="2" t="s">
        <v>21</v>
      </c>
      <c r="E875" s="2" t="s">
        <v>14</v>
      </c>
      <c r="F875" s="2" t="s">
        <v>15</v>
      </c>
      <c r="G875" s="2" t="s">
        <v>27</v>
      </c>
      <c r="H875" s="2" t="s">
        <v>18</v>
      </c>
      <c r="I875" s="2" t="s">
        <v>17</v>
      </c>
      <c r="J875">
        <v>0.54</v>
      </c>
      <c r="K875" s="1">
        <v>43482</v>
      </c>
      <c r="L875" s="2" t="str">
        <f>IF(Sheet1[[#This Row],[age]]&lt;18, "Under 18",IF(Sheet1[[#This Row],[age]]&lt;=30,"18-30",IF(Sheet1[[#This Row],[age]]&lt;=45,"31-45",IF(Sheet1[[#This Row],[age]]&lt;=60,"46-60","60+"))))</f>
        <v>31-45</v>
      </c>
      <c r="M875" s="2" t="str">
        <f>IF(Sheet1[[#This Row],[risk_score]]&lt;0.3,"Low",IF(Sheet1[[#This Row],[risk_score]]&lt;0.7,"Medium","High"))</f>
        <v>Medium</v>
      </c>
      <c r="N875">
        <f>YEAR(Sheet1[[#This Row],[date_joined]])</f>
        <v>2019</v>
      </c>
      <c r="O875" s="2" t="str">
        <f>TEXT(Sheet1[[#This Row],[date_joined]],"mmm")</f>
        <v>Jan</v>
      </c>
      <c r="P875" s="2" t="str">
        <f>"Q"&amp;ROUNDUP(MONTH(Sheet1[[#This Row],[date_joined]])/3,0)</f>
        <v>Q1</v>
      </c>
      <c r="Q875" s="2" t="str">
        <f>IF(Sheet1[[#This Row],[age]]&lt;30,"Young",IF(Sheet1[[#This Row],[age]]&lt;=50,"Adult","Senior"))</f>
        <v>Adult</v>
      </c>
      <c r="R875" s="2" t="str">
        <f t="shared" si="26"/>
        <v>High</v>
      </c>
      <c r="S875" s="2" t="str">
        <f t="shared" si="27"/>
        <v>North - Student</v>
      </c>
    </row>
    <row r="876" spans="1:19" x14ac:dyDescent="0.3">
      <c r="A876" t="s">
        <v>1775</v>
      </c>
      <c r="B876" t="s">
        <v>1776</v>
      </c>
      <c r="C876">
        <v>60</v>
      </c>
      <c r="D876" s="2" t="s">
        <v>13</v>
      </c>
      <c r="E876" s="2" t="s">
        <v>22</v>
      </c>
      <c r="F876" s="2" t="s">
        <v>37</v>
      </c>
      <c r="G876" s="2" t="s">
        <v>27</v>
      </c>
      <c r="H876" s="2" t="s">
        <v>18</v>
      </c>
      <c r="I876" s="2" t="s">
        <v>17</v>
      </c>
      <c r="J876">
        <v>0.66</v>
      </c>
      <c r="K876" s="1">
        <v>43238</v>
      </c>
      <c r="L876" s="2" t="str">
        <f>IF(Sheet1[[#This Row],[age]]&lt;18, "Under 18",IF(Sheet1[[#This Row],[age]]&lt;=30,"18-30",IF(Sheet1[[#This Row],[age]]&lt;=45,"31-45",IF(Sheet1[[#This Row],[age]]&lt;=60,"46-60","60+"))))</f>
        <v>46-60</v>
      </c>
      <c r="M876" s="2" t="str">
        <f>IF(Sheet1[[#This Row],[risk_score]]&lt;0.3,"Low",IF(Sheet1[[#This Row],[risk_score]]&lt;0.7,"Medium","High"))</f>
        <v>Medium</v>
      </c>
      <c r="N876">
        <f>YEAR(Sheet1[[#This Row],[date_joined]])</f>
        <v>2018</v>
      </c>
      <c r="O876" s="2" t="str">
        <f>TEXT(Sheet1[[#This Row],[date_joined]],"mmm")</f>
        <v>May</v>
      </c>
      <c r="P876" s="2" t="str">
        <f>"Q"&amp;ROUNDUP(MONTH(Sheet1[[#This Row],[date_joined]])/3,0)</f>
        <v>Q2</v>
      </c>
      <c r="Q876" s="2" t="str">
        <f>IF(Sheet1[[#This Row],[age]]&lt;30,"Young",IF(Sheet1[[#This Row],[age]]&lt;=50,"Adult","Senior"))</f>
        <v>Senior</v>
      </c>
      <c r="R876" s="2" t="str">
        <f t="shared" si="26"/>
        <v>High</v>
      </c>
      <c r="S876" s="2" t="str">
        <f t="shared" si="27"/>
        <v>North - Retired</v>
      </c>
    </row>
    <row r="877" spans="1:19" x14ac:dyDescent="0.3">
      <c r="A877" t="s">
        <v>1777</v>
      </c>
      <c r="B877" t="s">
        <v>1778</v>
      </c>
      <c r="C877">
        <v>40</v>
      </c>
      <c r="D877" s="2" t="s">
        <v>13</v>
      </c>
      <c r="E877" s="2" t="s">
        <v>30</v>
      </c>
      <c r="F877" s="2" t="s">
        <v>37</v>
      </c>
      <c r="G877" s="2" t="s">
        <v>32</v>
      </c>
      <c r="H877" s="2" t="s">
        <v>18</v>
      </c>
      <c r="I877" s="2" t="s">
        <v>17</v>
      </c>
      <c r="J877">
        <v>0.76</v>
      </c>
      <c r="K877" s="1">
        <v>44823</v>
      </c>
      <c r="L877" s="2" t="str">
        <f>IF(Sheet1[[#This Row],[age]]&lt;18, "Under 18",IF(Sheet1[[#This Row],[age]]&lt;=30,"18-30",IF(Sheet1[[#This Row],[age]]&lt;=45,"31-45",IF(Sheet1[[#This Row],[age]]&lt;=60,"46-60","60+"))))</f>
        <v>31-45</v>
      </c>
      <c r="M877" s="2" t="str">
        <f>IF(Sheet1[[#This Row],[risk_score]]&lt;0.3,"Low",IF(Sheet1[[#This Row],[risk_score]]&lt;0.7,"Medium","High"))</f>
        <v>High</v>
      </c>
      <c r="N877">
        <f>YEAR(Sheet1[[#This Row],[date_joined]])</f>
        <v>2022</v>
      </c>
      <c r="O877" s="2" t="str">
        <f>TEXT(Sheet1[[#This Row],[date_joined]],"mmm")</f>
        <v>Sep</v>
      </c>
      <c r="P877" s="2" t="str">
        <f>"Q"&amp;ROUNDUP(MONTH(Sheet1[[#This Row],[date_joined]])/3,0)</f>
        <v>Q3</v>
      </c>
      <c r="Q877" s="2" t="str">
        <f>IF(Sheet1[[#This Row],[age]]&lt;30,"Young",IF(Sheet1[[#This Row],[age]]&lt;=50,"Adult","Senior"))</f>
        <v>Adult</v>
      </c>
      <c r="R877" s="2" t="str">
        <f t="shared" si="26"/>
        <v>High</v>
      </c>
      <c r="S877" s="2" t="str">
        <f t="shared" si="27"/>
        <v>South - Retired</v>
      </c>
    </row>
    <row r="878" spans="1:19" x14ac:dyDescent="0.3">
      <c r="A878" t="s">
        <v>1779</v>
      </c>
      <c r="B878" t="s">
        <v>1780</v>
      </c>
      <c r="C878">
        <v>64</v>
      </c>
      <c r="D878" s="2" t="s">
        <v>21</v>
      </c>
      <c r="E878" s="2" t="s">
        <v>14</v>
      </c>
      <c r="F878" s="2" t="s">
        <v>37</v>
      </c>
      <c r="G878" s="2" t="s">
        <v>81</v>
      </c>
      <c r="H878" s="2" t="s">
        <v>17</v>
      </c>
      <c r="I878" s="2" t="s">
        <v>17</v>
      </c>
      <c r="J878">
        <v>0.6</v>
      </c>
      <c r="K878" s="1">
        <v>44487</v>
      </c>
      <c r="L878" s="2" t="str">
        <f>IF(Sheet1[[#This Row],[age]]&lt;18, "Under 18",IF(Sheet1[[#This Row],[age]]&lt;=30,"18-30",IF(Sheet1[[#This Row],[age]]&lt;=45,"31-45",IF(Sheet1[[#This Row],[age]]&lt;=60,"46-60","60+"))))</f>
        <v>60+</v>
      </c>
      <c r="M878" s="2" t="str">
        <f>IF(Sheet1[[#This Row],[risk_score]]&lt;0.3,"Low",IF(Sheet1[[#This Row],[risk_score]]&lt;0.7,"Medium","High"))</f>
        <v>Medium</v>
      </c>
      <c r="N878">
        <f>YEAR(Sheet1[[#This Row],[date_joined]])</f>
        <v>2021</v>
      </c>
      <c r="O878" s="2" t="str">
        <f>TEXT(Sheet1[[#This Row],[date_joined]],"mmm")</f>
        <v>Oct</v>
      </c>
      <c r="P878" s="2" t="str">
        <f>"Q"&amp;ROUNDUP(MONTH(Sheet1[[#This Row],[date_joined]])/3,0)</f>
        <v>Q4</v>
      </c>
      <c r="Q878" s="2" t="str">
        <f>IF(Sheet1[[#This Row],[age]]&lt;30,"Young",IF(Sheet1[[#This Row],[age]]&lt;=50,"Adult","Senior"))</f>
        <v>Senior</v>
      </c>
      <c r="R878" s="2" t="str">
        <f t="shared" si="26"/>
        <v>Low</v>
      </c>
      <c r="S878" s="2" t="str">
        <f t="shared" si="27"/>
        <v>Central - Retired</v>
      </c>
    </row>
    <row r="879" spans="1:19" x14ac:dyDescent="0.3">
      <c r="A879" t="s">
        <v>1781</v>
      </c>
      <c r="B879" t="s">
        <v>1782</v>
      </c>
      <c r="C879">
        <v>48</v>
      </c>
      <c r="D879" s="2" t="s">
        <v>13</v>
      </c>
      <c r="E879" s="2" t="s">
        <v>30</v>
      </c>
      <c r="F879" s="2" t="s">
        <v>37</v>
      </c>
      <c r="G879" s="2" t="s">
        <v>27</v>
      </c>
      <c r="H879" s="2" t="s">
        <v>17</v>
      </c>
      <c r="I879" s="2" t="s">
        <v>18</v>
      </c>
      <c r="J879">
        <v>0.47</v>
      </c>
      <c r="K879" s="1">
        <v>44266</v>
      </c>
      <c r="L879" s="2" t="str">
        <f>IF(Sheet1[[#This Row],[age]]&lt;18, "Under 18",IF(Sheet1[[#This Row],[age]]&lt;=30,"18-30",IF(Sheet1[[#This Row],[age]]&lt;=45,"31-45",IF(Sheet1[[#This Row],[age]]&lt;=60,"46-60","60+"))))</f>
        <v>46-60</v>
      </c>
      <c r="M879" s="2" t="str">
        <f>IF(Sheet1[[#This Row],[risk_score]]&lt;0.3,"Low",IF(Sheet1[[#This Row],[risk_score]]&lt;0.7,"Medium","High"))</f>
        <v>Medium</v>
      </c>
      <c r="N879">
        <f>YEAR(Sheet1[[#This Row],[date_joined]])</f>
        <v>2021</v>
      </c>
      <c r="O879" s="2" t="str">
        <f>TEXT(Sheet1[[#This Row],[date_joined]],"mmm")</f>
        <v>Mar</v>
      </c>
      <c r="P879" s="2" t="str">
        <f>"Q"&amp;ROUNDUP(MONTH(Sheet1[[#This Row],[date_joined]])/3,0)</f>
        <v>Q1</v>
      </c>
      <c r="Q879" s="2" t="str">
        <f>IF(Sheet1[[#This Row],[age]]&lt;30,"Young",IF(Sheet1[[#This Row],[age]]&lt;=50,"Adult","Senior"))</f>
        <v>Adult</v>
      </c>
      <c r="R879" s="2" t="str">
        <f t="shared" si="26"/>
        <v>High</v>
      </c>
      <c r="S879" s="2" t="str">
        <f t="shared" si="27"/>
        <v>North - Retired</v>
      </c>
    </row>
    <row r="880" spans="1:19" x14ac:dyDescent="0.3">
      <c r="A880" t="s">
        <v>1783</v>
      </c>
      <c r="B880" t="s">
        <v>1784</v>
      </c>
      <c r="C880">
        <v>54</v>
      </c>
      <c r="D880" s="2" t="s">
        <v>21</v>
      </c>
      <c r="E880" s="2" t="s">
        <v>30</v>
      </c>
      <c r="F880" s="2" t="s">
        <v>37</v>
      </c>
      <c r="G880" s="2" t="s">
        <v>27</v>
      </c>
      <c r="H880" s="2" t="s">
        <v>18</v>
      </c>
      <c r="I880" s="2" t="s">
        <v>17</v>
      </c>
      <c r="J880">
        <v>0.47</v>
      </c>
      <c r="K880" s="1">
        <v>43161</v>
      </c>
      <c r="L880" s="2" t="str">
        <f>IF(Sheet1[[#This Row],[age]]&lt;18, "Under 18",IF(Sheet1[[#This Row],[age]]&lt;=30,"18-30",IF(Sheet1[[#This Row],[age]]&lt;=45,"31-45",IF(Sheet1[[#This Row],[age]]&lt;=60,"46-60","60+"))))</f>
        <v>46-60</v>
      </c>
      <c r="M880" s="2" t="str">
        <f>IF(Sheet1[[#This Row],[risk_score]]&lt;0.3,"Low",IF(Sheet1[[#This Row],[risk_score]]&lt;0.7,"Medium","High"))</f>
        <v>Medium</v>
      </c>
      <c r="N880">
        <f>YEAR(Sheet1[[#This Row],[date_joined]])</f>
        <v>2018</v>
      </c>
      <c r="O880" s="2" t="str">
        <f>TEXT(Sheet1[[#This Row],[date_joined]],"mmm")</f>
        <v>Mar</v>
      </c>
      <c r="P880" s="2" t="str">
        <f>"Q"&amp;ROUNDUP(MONTH(Sheet1[[#This Row],[date_joined]])/3,0)</f>
        <v>Q1</v>
      </c>
      <c r="Q880" s="2" t="str">
        <f>IF(Sheet1[[#This Row],[age]]&lt;30,"Young",IF(Sheet1[[#This Row],[age]]&lt;=50,"Adult","Senior"))</f>
        <v>Senior</v>
      </c>
      <c r="R880" s="2" t="str">
        <f t="shared" si="26"/>
        <v>High</v>
      </c>
      <c r="S880" s="2" t="str">
        <f t="shared" si="27"/>
        <v>North - Retired</v>
      </c>
    </row>
    <row r="881" spans="1:19" x14ac:dyDescent="0.3">
      <c r="A881" t="s">
        <v>1785</v>
      </c>
      <c r="B881" t="s">
        <v>1786</v>
      </c>
      <c r="C881">
        <v>62</v>
      </c>
      <c r="D881" s="2" t="s">
        <v>13</v>
      </c>
      <c r="E881" s="2" t="s">
        <v>22</v>
      </c>
      <c r="F881" s="2" t="s">
        <v>37</v>
      </c>
      <c r="G881" s="2" t="s">
        <v>66</v>
      </c>
      <c r="H881" s="2" t="s">
        <v>17</v>
      </c>
      <c r="I881" s="2" t="s">
        <v>18</v>
      </c>
      <c r="J881">
        <v>0.8</v>
      </c>
      <c r="K881" s="1">
        <v>45142</v>
      </c>
      <c r="L881" s="2" t="str">
        <f>IF(Sheet1[[#This Row],[age]]&lt;18, "Under 18",IF(Sheet1[[#This Row],[age]]&lt;=30,"18-30",IF(Sheet1[[#This Row],[age]]&lt;=45,"31-45",IF(Sheet1[[#This Row],[age]]&lt;=60,"46-60","60+"))))</f>
        <v>60+</v>
      </c>
      <c r="M881" s="2" t="str">
        <f>IF(Sheet1[[#This Row],[risk_score]]&lt;0.3,"Low",IF(Sheet1[[#This Row],[risk_score]]&lt;0.7,"Medium","High"))</f>
        <v>High</v>
      </c>
      <c r="N881">
        <f>YEAR(Sheet1[[#This Row],[date_joined]])</f>
        <v>2023</v>
      </c>
      <c r="O881" s="2" t="str">
        <f>TEXT(Sheet1[[#This Row],[date_joined]],"mmm")</f>
        <v>Aug</v>
      </c>
      <c r="P881" s="2" t="str">
        <f>"Q"&amp;ROUNDUP(MONTH(Sheet1[[#This Row],[date_joined]])/3,0)</f>
        <v>Q3</v>
      </c>
      <c r="Q881" s="2" t="str">
        <f>IF(Sheet1[[#This Row],[age]]&lt;30,"Young",IF(Sheet1[[#This Row],[age]]&lt;=50,"Adult","Senior"))</f>
        <v>Senior</v>
      </c>
      <c r="R881" s="2" t="str">
        <f t="shared" si="26"/>
        <v>High</v>
      </c>
      <c r="S881" s="2" t="str">
        <f t="shared" si="27"/>
        <v>North-East - Retired</v>
      </c>
    </row>
    <row r="882" spans="1:19" x14ac:dyDescent="0.3">
      <c r="A882" t="s">
        <v>1787</v>
      </c>
      <c r="B882" t="s">
        <v>1788</v>
      </c>
      <c r="C882">
        <v>31</v>
      </c>
      <c r="D882" s="2" t="s">
        <v>21</v>
      </c>
      <c r="E882" s="2" t="s">
        <v>30</v>
      </c>
      <c r="F882" s="2" t="s">
        <v>15</v>
      </c>
      <c r="G882" s="2" t="s">
        <v>24</v>
      </c>
      <c r="H882" s="2" t="s">
        <v>18</v>
      </c>
      <c r="I882" s="2" t="s">
        <v>18</v>
      </c>
      <c r="J882">
        <v>0.49</v>
      </c>
      <c r="K882" s="1">
        <v>44167</v>
      </c>
      <c r="L882" s="2" t="str">
        <f>IF(Sheet1[[#This Row],[age]]&lt;18, "Under 18",IF(Sheet1[[#This Row],[age]]&lt;=30,"18-30",IF(Sheet1[[#This Row],[age]]&lt;=45,"31-45",IF(Sheet1[[#This Row],[age]]&lt;=60,"46-60","60+"))))</f>
        <v>31-45</v>
      </c>
      <c r="M882" s="2" t="str">
        <f>IF(Sheet1[[#This Row],[risk_score]]&lt;0.3,"Low",IF(Sheet1[[#This Row],[risk_score]]&lt;0.7,"Medium","High"))</f>
        <v>Medium</v>
      </c>
      <c r="N882">
        <f>YEAR(Sheet1[[#This Row],[date_joined]])</f>
        <v>2020</v>
      </c>
      <c r="O882" s="2" t="str">
        <f>TEXT(Sheet1[[#This Row],[date_joined]],"mmm")</f>
        <v>Dec</v>
      </c>
      <c r="P882" s="2" t="str">
        <f>"Q"&amp;ROUNDUP(MONTH(Sheet1[[#This Row],[date_joined]])/3,0)</f>
        <v>Q4</v>
      </c>
      <c r="Q882" s="2" t="str">
        <f>IF(Sheet1[[#This Row],[age]]&lt;30,"Young",IF(Sheet1[[#This Row],[age]]&lt;=50,"Adult","Senior"))</f>
        <v>Adult</v>
      </c>
      <c r="R882" s="2" t="str">
        <f t="shared" si="26"/>
        <v>Very High</v>
      </c>
      <c r="S882" s="2" t="str">
        <f t="shared" si="27"/>
        <v>East - Student</v>
      </c>
    </row>
    <row r="883" spans="1:19" x14ac:dyDescent="0.3">
      <c r="A883" t="s">
        <v>1789</v>
      </c>
      <c r="B883" t="s">
        <v>1790</v>
      </c>
      <c r="C883">
        <v>56</v>
      </c>
      <c r="D883" s="2" t="s">
        <v>13</v>
      </c>
      <c r="E883" s="2" t="s">
        <v>14</v>
      </c>
      <c r="F883" s="2" t="s">
        <v>15</v>
      </c>
      <c r="G883" s="2" t="s">
        <v>24</v>
      </c>
      <c r="H883" s="2" t="s">
        <v>18</v>
      </c>
      <c r="I883" s="2" t="s">
        <v>18</v>
      </c>
      <c r="J883">
        <v>0.67</v>
      </c>
      <c r="K883" s="1">
        <v>44109</v>
      </c>
      <c r="L883" s="2" t="str">
        <f>IF(Sheet1[[#This Row],[age]]&lt;18, "Under 18",IF(Sheet1[[#This Row],[age]]&lt;=30,"18-30",IF(Sheet1[[#This Row],[age]]&lt;=45,"31-45",IF(Sheet1[[#This Row],[age]]&lt;=60,"46-60","60+"))))</f>
        <v>46-60</v>
      </c>
      <c r="M883" s="2" t="str">
        <f>IF(Sheet1[[#This Row],[risk_score]]&lt;0.3,"Low",IF(Sheet1[[#This Row],[risk_score]]&lt;0.7,"Medium","High"))</f>
        <v>Medium</v>
      </c>
      <c r="N883">
        <f>YEAR(Sheet1[[#This Row],[date_joined]])</f>
        <v>2020</v>
      </c>
      <c r="O883" s="2" t="str">
        <f>TEXT(Sheet1[[#This Row],[date_joined]],"mmm")</f>
        <v>Oct</v>
      </c>
      <c r="P883" s="2" t="str">
        <f>"Q"&amp;ROUNDUP(MONTH(Sheet1[[#This Row],[date_joined]])/3,0)</f>
        <v>Q4</v>
      </c>
      <c r="Q883" s="2" t="str">
        <f>IF(Sheet1[[#This Row],[age]]&lt;30,"Young",IF(Sheet1[[#This Row],[age]]&lt;=50,"Adult","Senior"))</f>
        <v>Senior</v>
      </c>
      <c r="R883" s="2" t="str">
        <f t="shared" si="26"/>
        <v>Very High</v>
      </c>
      <c r="S883" s="2" t="str">
        <f t="shared" si="27"/>
        <v>East - Student</v>
      </c>
    </row>
    <row r="884" spans="1:19" x14ac:dyDescent="0.3">
      <c r="A884" t="s">
        <v>1791</v>
      </c>
      <c r="B884" t="s">
        <v>1792</v>
      </c>
      <c r="C884">
        <v>35</v>
      </c>
      <c r="D884" s="2" t="s">
        <v>21</v>
      </c>
      <c r="E884" s="2" t="s">
        <v>14</v>
      </c>
      <c r="F884" s="2" t="s">
        <v>37</v>
      </c>
      <c r="G884" s="2" t="s">
        <v>66</v>
      </c>
      <c r="H884" s="2" t="s">
        <v>17</v>
      </c>
      <c r="I884" s="2" t="s">
        <v>17</v>
      </c>
      <c r="J884">
        <v>0.53</v>
      </c>
      <c r="K884" s="1">
        <v>45070</v>
      </c>
      <c r="L884" s="2" t="str">
        <f>IF(Sheet1[[#This Row],[age]]&lt;18, "Under 18",IF(Sheet1[[#This Row],[age]]&lt;=30,"18-30",IF(Sheet1[[#This Row],[age]]&lt;=45,"31-45",IF(Sheet1[[#This Row],[age]]&lt;=60,"46-60","60+"))))</f>
        <v>31-45</v>
      </c>
      <c r="M884" s="2" t="str">
        <f>IF(Sheet1[[#This Row],[risk_score]]&lt;0.3,"Low",IF(Sheet1[[#This Row],[risk_score]]&lt;0.7,"Medium","High"))</f>
        <v>Medium</v>
      </c>
      <c r="N884">
        <f>YEAR(Sheet1[[#This Row],[date_joined]])</f>
        <v>2023</v>
      </c>
      <c r="O884" s="2" t="str">
        <f>TEXT(Sheet1[[#This Row],[date_joined]],"mmm")</f>
        <v>May</v>
      </c>
      <c r="P884" s="2" t="str">
        <f>"Q"&amp;ROUNDUP(MONTH(Sheet1[[#This Row],[date_joined]])/3,0)</f>
        <v>Q2</v>
      </c>
      <c r="Q884" s="2" t="str">
        <f>IF(Sheet1[[#This Row],[age]]&lt;30,"Young",IF(Sheet1[[#This Row],[age]]&lt;=50,"Adult","Senior"))</f>
        <v>Adult</v>
      </c>
      <c r="R884" s="2" t="str">
        <f t="shared" si="26"/>
        <v>Low</v>
      </c>
      <c r="S884" s="2" t="str">
        <f t="shared" si="27"/>
        <v>North-East - Retired</v>
      </c>
    </row>
    <row r="885" spans="1:19" x14ac:dyDescent="0.3">
      <c r="A885" t="s">
        <v>1793</v>
      </c>
      <c r="B885" t="s">
        <v>1794</v>
      </c>
      <c r="C885">
        <v>34</v>
      </c>
      <c r="D885" s="2" t="s">
        <v>21</v>
      </c>
      <c r="E885" s="2" t="s">
        <v>30</v>
      </c>
      <c r="F885" s="2" t="s">
        <v>23</v>
      </c>
      <c r="G885" s="2" t="s">
        <v>27</v>
      </c>
      <c r="H885" s="2" t="s">
        <v>18</v>
      </c>
      <c r="I885" s="2" t="s">
        <v>17</v>
      </c>
      <c r="J885">
        <v>0.43</v>
      </c>
      <c r="K885" s="1">
        <v>44295</v>
      </c>
      <c r="L885" s="2" t="str">
        <f>IF(Sheet1[[#This Row],[age]]&lt;18, "Under 18",IF(Sheet1[[#This Row],[age]]&lt;=30,"18-30",IF(Sheet1[[#This Row],[age]]&lt;=45,"31-45",IF(Sheet1[[#This Row],[age]]&lt;=60,"46-60","60+"))))</f>
        <v>31-45</v>
      </c>
      <c r="M885" s="2" t="str">
        <f>IF(Sheet1[[#This Row],[risk_score]]&lt;0.3,"Low",IF(Sheet1[[#This Row],[risk_score]]&lt;0.7,"Medium","High"))</f>
        <v>Medium</v>
      </c>
      <c r="N885">
        <f>YEAR(Sheet1[[#This Row],[date_joined]])</f>
        <v>2021</v>
      </c>
      <c r="O885" s="2" t="str">
        <f>TEXT(Sheet1[[#This Row],[date_joined]],"mmm")</f>
        <v>Apr</v>
      </c>
      <c r="P885" s="2" t="str">
        <f>"Q"&amp;ROUNDUP(MONTH(Sheet1[[#This Row],[date_joined]])/3,0)</f>
        <v>Q2</v>
      </c>
      <c r="Q885" s="2" t="str">
        <f>IF(Sheet1[[#This Row],[age]]&lt;30,"Young",IF(Sheet1[[#This Row],[age]]&lt;=50,"Adult","Senior"))</f>
        <v>Adult</v>
      </c>
      <c r="R885" s="2" t="str">
        <f t="shared" si="26"/>
        <v>High</v>
      </c>
      <c r="S885" s="2" t="str">
        <f t="shared" si="27"/>
        <v>North - Salaried</v>
      </c>
    </row>
    <row r="886" spans="1:19" x14ac:dyDescent="0.3">
      <c r="A886" t="s">
        <v>1795</v>
      </c>
      <c r="B886" t="s">
        <v>1796</v>
      </c>
      <c r="C886">
        <v>33</v>
      </c>
      <c r="D886" s="2" t="s">
        <v>21</v>
      </c>
      <c r="E886" s="2" t="s">
        <v>14</v>
      </c>
      <c r="F886" s="2" t="s">
        <v>31</v>
      </c>
      <c r="G886" s="2" t="s">
        <v>81</v>
      </c>
      <c r="H886" s="2" t="s">
        <v>18</v>
      </c>
      <c r="I886" s="2" t="s">
        <v>18</v>
      </c>
      <c r="J886">
        <v>0.22</v>
      </c>
      <c r="K886" s="1">
        <v>44654</v>
      </c>
      <c r="L886" s="2" t="str">
        <f>IF(Sheet1[[#This Row],[age]]&lt;18, "Under 18",IF(Sheet1[[#This Row],[age]]&lt;=30,"18-30",IF(Sheet1[[#This Row],[age]]&lt;=45,"31-45",IF(Sheet1[[#This Row],[age]]&lt;=60,"46-60","60+"))))</f>
        <v>31-45</v>
      </c>
      <c r="M886" s="2" t="str">
        <f>IF(Sheet1[[#This Row],[risk_score]]&lt;0.3,"Low",IF(Sheet1[[#This Row],[risk_score]]&lt;0.7,"Medium","High"))</f>
        <v>Low</v>
      </c>
      <c r="N886">
        <f>YEAR(Sheet1[[#This Row],[date_joined]])</f>
        <v>2022</v>
      </c>
      <c r="O886" s="2" t="str">
        <f>TEXT(Sheet1[[#This Row],[date_joined]],"mmm")</f>
        <v>Apr</v>
      </c>
      <c r="P886" s="2" t="str">
        <f>"Q"&amp;ROUNDUP(MONTH(Sheet1[[#This Row],[date_joined]])/3,0)</f>
        <v>Q2</v>
      </c>
      <c r="Q886" s="2" t="str">
        <f>IF(Sheet1[[#This Row],[age]]&lt;30,"Young",IF(Sheet1[[#This Row],[age]]&lt;=50,"Adult","Senior"))</f>
        <v>Adult</v>
      </c>
      <c r="R886" s="2" t="str">
        <f t="shared" si="26"/>
        <v>Very High</v>
      </c>
      <c r="S886" s="2" t="str">
        <f t="shared" si="27"/>
        <v>Central - Self-employed</v>
      </c>
    </row>
    <row r="887" spans="1:19" x14ac:dyDescent="0.3">
      <c r="A887" t="s">
        <v>1797</v>
      </c>
      <c r="B887" t="s">
        <v>1798</v>
      </c>
      <c r="C887">
        <v>32</v>
      </c>
      <c r="D887" s="2" t="s">
        <v>21</v>
      </c>
      <c r="E887" s="2" t="s">
        <v>22</v>
      </c>
      <c r="F887" s="2" t="s">
        <v>15</v>
      </c>
      <c r="G887" s="2" t="s">
        <v>27</v>
      </c>
      <c r="H887" s="2" t="s">
        <v>18</v>
      </c>
      <c r="I887" s="2" t="s">
        <v>17</v>
      </c>
      <c r="J887">
        <v>0.6</v>
      </c>
      <c r="K887" s="1">
        <v>45213</v>
      </c>
      <c r="L887" s="2" t="str">
        <f>IF(Sheet1[[#This Row],[age]]&lt;18, "Under 18",IF(Sheet1[[#This Row],[age]]&lt;=30,"18-30",IF(Sheet1[[#This Row],[age]]&lt;=45,"31-45",IF(Sheet1[[#This Row],[age]]&lt;=60,"46-60","60+"))))</f>
        <v>31-45</v>
      </c>
      <c r="M887" s="2" t="str">
        <f>IF(Sheet1[[#This Row],[risk_score]]&lt;0.3,"Low",IF(Sheet1[[#This Row],[risk_score]]&lt;0.7,"Medium","High"))</f>
        <v>Medium</v>
      </c>
      <c r="N887">
        <f>YEAR(Sheet1[[#This Row],[date_joined]])</f>
        <v>2023</v>
      </c>
      <c r="O887" s="2" t="str">
        <f>TEXT(Sheet1[[#This Row],[date_joined]],"mmm")</f>
        <v>Oct</v>
      </c>
      <c r="P887" s="2" t="str">
        <f>"Q"&amp;ROUNDUP(MONTH(Sheet1[[#This Row],[date_joined]])/3,0)</f>
        <v>Q4</v>
      </c>
      <c r="Q887" s="2" t="str">
        <f>IF(Sheet1[[#This Row],[age]]&lt;30,"Young",IF(Sheet1[[#This Row],[age]]&lt;=50,"Adult","Senior"))</f>
        <v>Adult</v>
      </c>
      <c r="R887" s="2" t="str">
        <f t="shared" si="26"/>
        <v>High</v>
      </c>
      <c r="S887" s="2" t="str">
        <f t="shared" si="27"/>
        <v>North - Student</v>
      </c>
    </row>
    <row r="888" spans="1:19" x14ac:dyDescent="0.3">
      <c r="A888" t="s">
        <v>1799</v>
      </c>
      <c r="B888" t="s">
        <v>1800</v>
      </c>
      <c r="C888">
        <v>29</v>
      </c>
      <c r="D888" s="2" t="s">
        <v>21</v>
      </c>
      <c r="E888" s="2" t="s">
        <v>22</v>
      </c>
      <c r="F888" s="2" t="s">
        <v>37</v>
      </c>
      <c r="G888" s="2" t="s">
        <v>32</v>
      </c>
      <c r="H888" s="2" t="s">
        <v>17</v>
      </c>
      <c r="I888" s="2" t="s">
        <v>17</v>
      </c>
      <c r="J888">
        <v>0.78</v>
      </c>
      <c r="K888" s="1">
        <v>44652</v>
      </c>
      <c r="L888" s="2" t="str">
        <f>IF(Sheet1[[#This Row],[age]]&lt;18, "Under 18",IF(Sheet1[[#This Row],[age]]&lt;=30,"18-30",IF(Sheet1[[#This Row],[age]]&lt;=45,"31-45",IF(Sheet1[[#This Row],[age]]&lt;=60,"46-60","60+"))))</f>
        <v>18-30</v>
      </c>
      <c r="M888" s="2" t="str">
        <f>IF(Sheet1[[#This Row],[risk_score]]&lt;0.3,"Low",IF(Sheet1[[#This Row],[risk_score]]&lt;0.7,"Medium","High"))</f>
        <v>High</v>
      </c>
      <c r="N888">
        <f>YEAR(Sheet1[[#This Row],[date_joined]])</f>
        <v>2022</v>
      </c>
      <c r="O888" s="2" t="str">
        <f>TEXT(Sheet1[[#This Row],[date_joined]],"mmm")</f>
        <v>Apr</v>
      </c>
      <c r="P888" s="2" t="str">
        <f>"Q"&amp;ROUNDUP(MONTH(Sheet1[[#This Row],[date_joined]])/3,0)</f>
        <v>Q2</v>
      </c>
      <c r="Q888" s="2" t="str">
        <f>IF(Sheet1[[#This Row],[age]]&lt;30,"Young",IF(Sheet1[[#This Row],[age]]&lt;=50,"Adult","Senior"))</f>
        <v>Young</v>
      </c>
      <c r="R888" s="2" t="str">
        <f t="shared" si="26"/>
        <v>Low</v>
      </c>
      <c r="S888" s="2" t="str">
        <f t="shared" si="27"/>
        <v>South - Retired</v>
      </c>
    </row>
    <row r="889" spans="1:19" x14ac:dyDescent="0.3">
      <c r="A889" t="s">
        <v>1801</v>
      </c>
      <c r="B889" t="s">
        <v>1802</v>
      </c>
      <c r="C889">
        <v>36</v>
      </c>
      <c r="D889" s="2" t="s">
        <v>13</v>
      </c>
      <c r="E889" s="2" t="s">
        <v>14</v>
      </c>
      <c r="F889" s="2" t="s">
        <v>31</v>
      </c>
      <c r="G889" s="2" t="s">
        <v>81</v>
      </c>
      <c r="H889" s="2" t="s">
        <v>17</v>
      </c>
      <c r="I889" s="2" t="s">
        <v>17</v>
      </c>
      <c r="J889">
        <v>0.01</v>
      </c>
      <c r="K889" s="1">
        <v>44078</v>
      </c>
      <c r="L889" s="2" t="str">
        <f>IF(Sheet1[[#This Row],[age]]&lt;18, "Under 18",IF(Sheet1[[#This Row],[age]]&lt;=30,"18-30",IF(Sheet1[[#This Row],[age]]&lt;=45,"31-45",IF(Sheet1[[#This Row],[age]]&lt;=60,"46-60","60+"))))</f>
        <v>31-45</v>
      </c>
      <c r="M889" s="2" t="str">
        <f>IF(Sheet1[[#This Row],[risk_score]]&lt;0.3,"Low",IF(Sheet1[[#This Row],[risk_score]]&lt;0.7,"Medium","High"))</f>
        <v>Low</v>
      </c>
      <c r="N889">
        <f>YEAR(Sheet1[[#This Row],[date_joined]])</f>
        <v>2020</v>
      </c>
      <c r="O889" s="2" t="str">
        <f>TEXT(Sheet1[[#This Row],[date_joined]],"mmm")</f>
        <v>Sep</v>
      </c>
      <c r="P889" s="2" t="str">
        <f>"Q"&amp;ROUNDUP(MONTH(Sheet1[[#This Row],[date_joined]])/3,0)</f>
        <v>Q3</v>
      </c>
      <c r="Q889" s="2" t="str">
        <f>IF(Sheet1[[#This Row],[age]]&lt;30,"Young",IF(Sheet1[[#This Row],[age]]&lt;=50,"Adult","Senior"))</f>
        <v>Adult</v>
      </c>
      <c r="R889" s="2" t="str">
        <f t="shared" si="26"/>
        <v>Low</v>
      </c>
      <c r="S889" s="2" t="str">
        <f t="shared" si="27"/>
        <v>Central - Self-employed</v>
      </c>
    </row>
    <row r="890" spans="1:19" x14ac:dyDescent="0.3">
      <c r="A890" t="s">
        <v>1803</v>
      </c>
      <c r="B890" t="s">
        <v>1804</v>
      </c>
      <c r="C890">
        <v>49</v>
      </c>
      <c r="D890" s="2" t="s">
        <v>21</v>
      </c>
      <c r="E890" s="2" t="s">
        <v>30</v>
      </c>
      <c r="F890" s="2" t="s">
        <v>37</v>
      </c>
      <c r="G890" s="2" t="s">
        <v>24</v>
      </c>
      <c r="H890" s="2" t="s">
        <v>18</v>
      </c>
      <c r="I890" s="2" t="s">
        <v>17</v>
      </c>
      <c r="J890">
        <v>0.96</v>
      </c>
      <c r="K890" s="1">
        <v>43958</v>
      </c>
      <c r="L890" s="2" t="str">
        <f>IF(Sheet1[[#This Row],[age]]&lt;18, "Under 18",IF(Sheet1[[#This Row],[age]]&lt;=30,"18-30",IF(Sheet1[[#This Row],[age]]&lt;=45,"31-45",IF(Sheet1[[#This Row],[age]]&lt;=60,"46-60","60+"))))</f>
        <v>46-60</v>
      </c>
      <c r="M890" s="2" t="str">
        <f>IF(Sheet1[[#This Row],[risk_score]]&lt;0.3,"Low",IF(Sheet1[[#This Row],[risk_score]]&lt;0.7,"Medium","High"))</f>
        <v>High</v>
      </c>
      <c r="N890">
        <f>YEAR(Sheet1[[#This Row],[date_joined]])</f>
        <v>2020</v>
      </c>
      <c r="O890" s="2" t="str">
        <f>TEXT(Sheet1[[#This Row],[date_joined]],"mmm")</f>
        <v>May</v>
      </c>
      <c r="P890" s="2" t="str">
        <f>"Q"&amp;ROUNDUP(MONTH(Sheet1[[#This Row],[date_joined]])/3,0)</f>
        <v>Q2</v>
      </c>
      <c r="Q890" s="2" t="str">
        <f>IF(Sheet1[[#This Row],[age]]&lt;30,"Young",IF(Sheet1[[#This Row],[age]]&lt;=50,"Adult","Senior"))</f>
        <v>Adult</v>
      </c>
      <c r="R890" s="2" t="str">
        <f t="shared" si="26"/>
        <v>High</v>
      </c>
      <c r="S890" s="2" t="str">
        <f t="shared" si="27"/>
        <v>East - Retired</v>
      </c>
    </row>
    <row r="891" spans="1:19" x14ac:dyDescent="0.3">
      <c r="A891" t="s">
        <v>1805</v>
      </c>
      <c r="B891" t="s">
        <v>1806</v>
      </c>
      <c r="C891">
        <v>38</v>
      </c>
      <c r="D891" s="2" t="s">
        <v>13</v>
      </c>
      <c r="E891" s="2" t="s">
        <v>14</v>
      </c>
      <c r="F891" s="2" t="s">
        <v>31</v>
      </c>
      <c r="G891" s="2" t="s">
        <v>27</v>
      </c>
      <c r="H891" s="2" t="s">
        <v>18</v>
      </c>
      <c r="I891" s="2" t="s">
        <v>18</v>
      </c>
      <c r="J891">
        <v>0.6</v>
      </c>
      <c r="K891" s="1">
        <v>43848</v>
      </c>
      <c r="L891" s="2" t="str">
        <f>IF(Sheet1[[#This Row],[age]]&lt;18, "Under 18",IF(Sheet1[[#This Row],[age]]&lt;=30,"18-30",IF(Sheet1[[#This Row],[age]]&lt;=45,"31-45",IF(Sheet1[[#This Row],[age]]&lt;=60,"46-60","60+"))))</f>
        <v>31-45</v>
      </c>
      <c r="M891" s="2" t="str">
        <f>IF(Sheet1[[#This Row],[risk_score]]&lt;0.3,"Low",IF(Sheet1[[#This Row],[risk_score]]&lt;0.7,"Medium","High"))</f>
        <v>Medium</v>
      </c>
      <c r="N891">
        <f>YEAR(Sheet1[[#This Row],[date_joined]])</f>
        <v>2020</v>
      </c>
      <c r="O891" s="2" t="str">
        <f>TEXT(Sheet1[[#This Row],[date_joined]],"mmm")</f>
        <v>Jan</v>
      </c>
      <c r="P891" s="2" t="str">
        <f>"Q"&amp;ROUNDUP(MONTH(Sheet1[[#This Row],[date_joined]])/3,0)</f>
        <v>Q1</v>
      </c>
      <c r="Q891" s="2" t="str">
        <f>IF(Sheet1[[#This Row],[age]]&lt;30,"Young",IF(Sheet1[[#This Row],[age]]&lt;=50,"Adult","Senior"))</f>
        <v>Adult</v>
      </c>
      <c r="R891" s="2" t="str">
        <f t="shared" si="26"/>
        <v>Very High</v>
      </c>
      <c r="S891" s="2" t="str">
        <f t="shared" si="27"/>
        <v>North - Self-employed</v>
      </c>
    </row>
    <row r="892" spans="1:19" x14ac:dyDescent="0.3">
      <c r="A892" t="s">
        <v>1807</v>
      </c>
      <c r="B892" t="s">
        <v>1808</v>
      </c>
      <c r="C892">
        <v>34</v>
      </c>
      <c r="D892" s="2" t="s">
        <v>13</v>
      </c>
      <c r="E892" s="2" t="s">
        <v>30</v>
      </c>
      <c r="F892" s="2" t="s">
        <v>23</v>
      </c>
      <c r="G892" s="2" t="s">
        <v>16</v>
      </c>
      <c r="H892" s="2" t="s">
        <v>18</v>
      </c>
      <c r="I892" s="2" t="s">
        <v>17</v>
      </c>
      <c r="J892">
        <v>0.76</v>
      </c>
      <c r="K892" s="1">
        <v>43182</v>
      </c>
      <c r="L892" s="2" t="str">
        <f>IF(Sheet1[[#This Row],[age]]&lt;18, "Under 18",IF(Sheet1[[#This Row],[age]]&lt;=30,"18-30",IF(Sheet1[[#This Row],[age]]&lt;=45,"31-45",IF(Sheet1[[#This Row],[age]]&lt;=60,"46-60","60+"))))</f>
        <v>31-45</v>
      </c>
      <c r="M892" s="2" t="str">
        <f>IF(Sheet1[[#This Row],[risk_score]]&lt;0.3,"Low",IF(Sheet1[[#This Row],[risk_score]]&lt;0.7,"Medium","High"))</f>
        <v>High</v>
      </c>
      <c r="N892">
        <f>YEAR(Sheet1[[#This Row],[date_joined]])</f>
        <v>2018</v>
      </c>
      <c r="O892" s="2" t="str">
        <f>TEXT(Sheet1[[#This Row],[date_joined]],"mmm")</f>
        <v>Mar</v>
      </c>
      <c r="P892" s="2" t="str">
        <f>"Q"&amp;ROUNDUP(MONTH(Sheet1[[#This Row],[date_joined]])/3,0)</f>
        <v>Q1</v>
      </c>
      <c r="Q892" s="2" t="str">
        <f>IF(Sheet1[[#This Row],[age]]&lt;30,"Young",IF(Sheet1[[#This Row],[age]]&lt;=50,"Adult","Senior"))</f>
        <v>Adult</v>
      </c>
      <c r="R892" s="2" t="str">
        <f t="shared" si="26"/>
        <v>High</v>
      </c>
      <c r="S892" s="2" t="str">
        <f t="shared" si="27"/>
        <v>West - Salaried</v>
      </c>
    </row>
    <row r="893" spans="1:19" x14ac:dyDescent="0.3">
      <c r="A893" t="s">
        <v>1809</v>
      </c>
      <c r="B893" t="s">
        <v>1810</v>
      </c>
      <c r="C893">
        <v>23</v>
      </c>
      <c r="D893" s="2" t="s">
        <v>21</v>
      </c>
      <c r="E893" s="2" t="s">
        <v>14</v>
      </c>
      <c r="F893" s="2" t="s">
        <v>37</v>
      </c>
      <c r="G893" s="2" t="s">
        <v>66</v>
      </c>
      <c r="H893" s="2" t="s">
        <v>18</v>
      </c>
      <c r="I893" s="2" t="s">
        <v>18</v>
      </c>
      <c r="J893">
        <v>0.57999999999999996</v>
      </c>
      <c r="K893" s="1">
        <v>44851</v>
      </c>
      <c r="L893" s="2" t="str">
        <f>IF(Sheet1[[#This Row],[age]]&lt;18, "Under 18",IF(Sheet1[[#This Row],[age]]&lt;=30,"18-30",IF(Sheet1[[#This Row],[age]]&lt;=45,"31-45",IF(Sheet1[[#This Row],[age]]&lt;=60,"46-60","60+"))))</f>
        <v>18-30</v>
      </c>
      <c r="M893" s="2" t="str">
        <f>IF(Sheet1[[#This Row],[risk_score]]&lt;0.3,"Low",IF(Sheet1[[#This Row],[risk_score]]&lt;0.7,"Medium","High"))</f>
        <v>Medium</v>
      </c>
      <c r="N893">
        <f>YEAR(Sheet1[[#This Row],[date_joined]])</f>
        <v>2022</v>
      </c>
      <c r="O893" s="2" t="str">
        <f>TEXT(Sheet1[[#This Row],[date_joined]],"mmm")</f>
        <v>Oct</v>
      </c>
      <c r="P893" s="2" t="str">
        <f>"Q"&amp;ROUNDUP(MONTH(Sheet1[[#This Row],[date_joined]])/3,0)</f>
        <v>Q4</v>
      </c>
      <c r="Q893" s="2" t="str">
        <f>IF(Sheet1[[#This Row],[age]]&lt;30,"Young",IF(Sheet1[[#This Row],[age]]&lt;=50,"Adult","Senior"))</f>
        <v>Young</v>
      </c>
      <c r="R893" s="2" t="str">
        <f t="shared" si="26"/>
        <v>Very High</v>
      </c>
      <c r="S893" s="2" t="str">
        <f t="shared" si="27"/>
        <v>North-East - Retired</v>
      </c>
    </row>
    <row r="894" spans="1:19" x14ac:dyDescent="0.3">
      <c r="A894" t="s">
        <v>1811</v>
      </c>
      <c r="B894" t="s">
        <v>1812</v>
      </c>
      <c r="C894">
        <v>20</v>
      </c>
      <c r="D894" s="2" t="s">
        <v>21</v>
      </c>
      <c r="E894" s="2" t="s">
        <v>30</v>
      </c>
      <c r="F894" s="2" t="s">
        <v>31</v>
      </c>
      <c r="G894" s="2" t="s">
        <v>27</v>
      </c>
      <c r="H894" s="2" t="s">
        <v>17</v>
      </c>
      <c r="I894" s="2" t="s">
        <v>18</v>
      </c>
      <c r="J894">
        <v>0.75</v>
      </c>
      <c r="K894" s="1">
        <v>44146</v>
      </c>
      <c r="L894" s="2" t="str">
        <f>IF(Sheet1[[#This Row],[age]]&lt;18, "Under 18",IF(Sheet1[[#This Row],[age]]&lt;=30,"18-30",IF(Sheet1[[#This Row],[age]]&lt;=45,"31-45",IF(Sheet1[[#This Row],[age]]&lt;=60,"46-60","60+"))))</f>
        <v>18-30</v>
      </c>
      <c r="M894" s="2" t="str">
        <f>IF(Sheet1[[#This Row],[risk_score]]&lt;0.3,"Low",IF(Sheet1[[#This Row],[risk_score]]&lt;0.7,"Medium","High"))</f>
        <v>High</v>
      </c>
      <c r="N894">
        <f>YEAR(Sheet1[[#This Row],[date_joined]])</f>
        <v>2020</v>
      </c>
      <c r="O894" s="2" t="str">
        <f>TEXT(Sheet1[[#This Row],[date_joined]],"mmm")</f>
        <v>Nov</v>
      </c>
      <c r="P894" s="2" t="str">
        <f>"Q"&amp;ROUNDUP(MONTH(Sheet1[[#This Row],[date_joined]])/3,0)</f>
        <v>Q4</v>
      </c>
      <c r="Q894" s="2" t="str">
        <f>IF(Sheet1[[#This Row],[age]]&lt;30,"Young",IF(Sheet1[[#This Row],[age]]&lt;=50,"Adult","Senior"))</f>
        <v>Young</v>
      </c>
      <c r="R894" s="2" t="str">
        <f t="shared" si="26"/>
        <v>High</v>
      </c>
      <c r="S894" s="2" t="str">
        <f t="shared" si="27"/>
        <v>North - Self-employed</v>
      </c>
    </row>
    <row r="895" spans="1:19" x14ac:dyDescent="0.3">
      <c r="A895" t="s">
        <v>1813</v>
      </c>
      <c r="B895" t="s">
        <v>1814</v>
      </c>
      <c r="C895">
        <v>19</v>
      </c>
      <c r="D895" s="2" t="s">
        <v>21</v>
      </c>
      <c r="E895" s="2" t="s">
        <v>30</v>
      </c>
      <c r="F895" s="2" t="s">
        <v>37</v>
      </c>
      <c r="G895" s="2" t="s">
        <v>32</v>
      </c>
      <c r="H895" s="2" t="s">
        <v>18</v>
      </c>
      <c r="I895" s="2" t="s">
        <v>17</v>
      </c>
      <c r="J895">
        <v>0.23</v>
      </c>
      <c r="K895" s="1">
        <v>43900</v>
      </c>
      <c r="L895" s="2" t="str">
        <f>IF(Sheet1[[#This Row],[age]]&lt;18, "Under 18",IF(Sheet1[[#This Row],[age]]&lt;=30,"18-30",IF(Sheet1[[#This Row],[age]]&lt;=45,"31-45",IF(Sheet1[[#This Row],[age]]&lt;=60,"46-60","60+"))))</f>
        <v>18-30</v>
      </c>
      <c r="M895" s="2" t="str">
        <f>IF(Sheet1[[#This Row],[risk_score]]&lt;0.3,"Low",IF(Sheet1[[#This Row],[risk_score]]&lt;0.7,"Medium","High"))</f>
        <v>Low</v>
      </c>
      <c r="N895">
        <f>YEAR(Sheet1[[#This Row],[date_joined]])</f>
        <v>2020</v>
      </c>
      <c r="O895" s="2" t="str">
        <f>TEXT(Sheet1[[#This Row],[date_joined]],"mmm")</f>
        <v>Mar</v>
      </c>
      <c r="P895" s="2" t="str">
        <f>"Q"&amp;ROUNDUP(MONTH(Sheet1[[#This Row],[date_joined]])/3,0)</f>
        <v>Q1</v>
      </c>
      <c r="Q895" s="2" t="str">
        <f>IF(Sheet1[[#This Row],[age]]&lt;30,"Young",IF(Sheet1[[#This Row],[age]]&lt;=50,"Adult","Senior"))</f>
        <v>Young</v>
      </c>
      <c r="R895" s="2" t="str">
        <f t="shared" si="26"/>
        <v>High</v>
      </c>
      <c r="S895" s="2" t="str">
        <f t="shared" si="27"/>
        <v>South - Retired</v>
      </c>
    </row>
    <row r="896" spans="1:19" x14ac:dyDescent="0.3">
      <c r="A896" t="s">
        <v>1815</v>
      </c>
      <c r="B896" t="s">
        <v>1816</v>
      </c>
      <c r="C896">
        <v>38</v>
      </c>
      <c r="D896" s="2" t="s">
        <v>21</v>
      </c>
      <c r="E896" s="2" t="s">
        <v>14</v>
      </c>
      <c r="F896" s="2" t="s">
        <v>31</v>
      </c>
      <c r="G896" s="2" t="s">
        <v>81</v>
      </c>
      <c r="H896" s="2" t="s">
        <v>17</v>
      </c>
      <c r="I896" s="2" t="s">
        <v>17</v>
      </c>
      <c r="J896">
        <v>0.93</v>
      </c>
      <c r="K896" s="1">
        <v>43730</v>
      </c>
      <c r="L896" s="2" t="str">
        <f>IF(Sheet1[[#This Row],[age]]&lt;18, "Under 18",IF(Sheet1[[#This Row],[age]]&lt;=30,"18-30",IF(Sheet1[[#This Row],[age]]&lt;=45,"31-45",IF(Sheet1[[#This Row],[age]]&lt;=60,"46-60","60+"))))</f>
        <v>31-45</v>
      </c>
      <c r="M896" s="2" t="str">
        <f>IF(Sheet1[[#This Row],[risk_score]]&lt;0.3,"Low",IF(Sheet1[[#This Row],[risk_score]]&lt;0.7,"Medium","High"))</f>
        <v>High</v>
      </c>
      <c r="N896">
        <f>YEAR(Sheet1[[#This Row],[date_joined]])</f>
        <v>2019</v>
      </c>
      <c r="O896" s="2" t="str">
        <f>TEXT(Sheet1[[#This Row],[date_joined]],"mmm")</f>
        <v>Sep</v>
      </c>
      <c r="P896" s="2" t="str">
        <f>"Q"&amp;ROUNDUP(MONTH(Sheet1[[#This Row],[date_joined]])/3,0)</f>
        <v>Q3</v>
      </c>
      <c r="Q896" s="2" t="str">
        <f>IF(Sheet1[[#This Row],[age]]&lt;30,"Young",IF(Sheet1[[#This Row],[age]]&lt;=50,"Adult","Senior"))</f>
        <v>Adult</v>
      </c>
      <c r="R896" s="2" t="str">
        <f t="shared" si="26"/>
        <v>Low</v>
      </c>
      <c r="S896" s="2" t="str">
        <f t="shared" si="27"/>
        <v>Central - Self-employed</v>
      </c>
    </row>
    <row r="897" spans="1:19" x14ac:dyDescent="0.3">
      <c r="A897" t="s">
        <v>1817</v>
      </c>
      <c r="B897" t="s">
        <v>1818</v>
      </c>
      <c r="C897">
        <v>24</v>
      </c>
      <c r="D897" s="2" t="s">
        <v>13</v>
      </c>
      <c r="E897" s="2" t="s">
        <v>30</v>
      </c>
      <c r="F897" s="2" t="s">
        <v>31</v>
      </c>
      <c r="G897" s="2" t="s">
        <v>66</v>
      </c>
      <c r="H897" s="2" t="s">
        <v>18</v>
      </c>
      <c r="I897" s="2" t="s">
        <v>18</v>
      </c>
      <c r="J897">
        <v>0.42</v>
      </c>
      <c r="K897" s="1">
        <v>44818</v>
      </c>
      <c r="L897" s="2" t="str">
        <f>IF(Sheet1[[#This Row],[age]]&lt;18, "Under 18",IF(Sheet1[[#This Row],[age]]&lt;=30,"18-30",IF(Sheet1[[#This Row],[age]]&lt;=45,"31-45",IF(Sheet1[[#This Row],[age]]&lt;=60,"46-60","60+"))))</f>
        <v>18-30</v>
      </c>
      <c r="M897" s="2" t="str">
        <f>IF(Sheet1[[#This Row],[risk_score]]&lt;0.3,"Low",IF(Sheet1[[#This Row],[risk_score]]&lt;0.7,"Medium","High"))</f>
        <v>Medium</v>
      </c>
      <c r="N897">
        <f>YEAR(Sheet1[[#This Row],[date_joined]])</f>
        <v>2022</v>
      </c>
      <c r="O897" s="2" t="str">
        <f>TEXT(Sheet1[[#This Row],[date_joined]],"mmm")</f>
        <v>Sep</v>
      </c>
      <c r="P897" s="2" t="str">
        <f>"Q"&amp;ROUNDUP(MONTH(Sheet1[[#This Row],[date_joined]])/3,0)</f>
        <v>Q3</v>
      </c>
      <c r="Q897" s="2" t="str">
        <f>IF(Sheet1[[#This Row],[age]]&lt;30,"Young",IF(Sheet1[[#This Row],[age]]&lt;=50,"Adult","Senior"))</f>
        <v>Young</v>
      </c>
      <c r="R897" s="2" t="str">
        <f t="shared" si="26"/>
        <v>Very High</v>
      </c>
      <c r="S897" s="2" t="str">
        <f t="shared" si="27"/>
        <v>North-East - Self-employed</v>
      </c>
    </row>
    <row r="898" spans="1:19" x14ac:dyDescent="0.3">
      <c r="A898" t="s">
        <v>1819</v>
      </c>
      <c r="B898" t="s">
        <v>1820</v>
      </c>
      <c r="C898">
        <v>66</v>
      </c>
      <c r="D898" s="2" t="s">
        <v>21</v>
      </c>
      <c r="E898" s="2" t="s">
        <v>30</v>
      </c>
      <c r="F898" s="2" t="s">
        <v>15</v>
      </c>
      <c r="G898" s="2" t="s">
        <v>27</v>
      </c>
      <c r="H898" s="2" t="s">
        <v>17</v>
      </c>
      <c r="I898" s="2" t="s">
        <v>17</v>
      </c>
      <c r="J898">
        <v>0.36</v>
      </c>
      <c r="K898" s="1">
        <v>44018</v>
      </c>
      <c r="L898" s="2" t="str">
        <f>IF(Sheet1[[#This Row],[age]]&lt;18, "Under 18",IF(Sheet1[[#This Row],[age]]&lt;=30,"18-30",IF(Sheet1[[#This Row],[age]]&lt;=45,"31-45",IF(Sheet1[[#This Row],[age]]&lt;=60,"46-60","60+"))))</f>
        <v>60+</v>
      </c>
      <c r="M898" s="2" t="str">
        <f>IF(Sheet1[[#This Row],[risk_score]]&lt;0.3,"Low",IF(Sheet1[[#This Row],[risk_score]]&lt;0.7,"Medium","High"))</f>
        <v>Medium</v>
      </c>
      <c r="N898">
        <f>YEAR(Sheet1[[#This Row],[date_joined]])</f>
        <v>2020</v>
      </c>
      <c r="O898" s="2" t="str">
        <f>TEXT(Sheet1[[#This Row],[date_joined]],"mmm")</f>
        <v>Jul</v>
      </c>
      <c r="P898" s="2" t="str">
        <f>"Q"&amp;ROUNDUP(MONTH(Sheet1[[#This Row],[date_joined]])/3,0)</f>
        <v>Q3</v>
      </c>
      <c r="Q898" s="2" t="str">
        <f>IF(Sheet1[[#This Row],[age]]&lt;30,"Young",IF(Sheet1[[#This Row],[age]]&lt;=50,"Adult","Senior"))</f>
        <v>Senior</v>
      </c>
      <c r="R898" s="2" t="str">
        <f t="shared" ref="R898:R961" si="28">IF(AND(H898="Yes",I898="Yes"),"Very High",
IF(OR(H898="Yes",I898="Yes"),"High","Low"))</f>
        <v>Low</v>
      </c>
      <c r="S898" s="2" t="str">
        <f t="shared" ref="S898:S961" si="29">G898&amp;" - "&amp;F898</f>
        <v>North - Student</v>
      </c>
    </row>
    <row r="899" spans="1:19" x14ac:dyDescent="0.3">
      <c r="A899" t="s">
        <v>1821</v>
      </c>
      <c r="B899" t="s">
        <v>1822</v>
      </c>
      <c r="C899">
        <v>25</v>
      </c>
      <c r="D899" s="2" t="s">
        <v>13</v>
      </c>
      <c r="E899" s="2" t="s">
        <v>14</v>
      </c>
      <c r="F899" s="2" t="s">
        <v>23</v>
      </c>
      <c r="G899" s="2" t="s">
        <v>66</v>
      </c>
      <c r="H899" s="2" t="s">
        <v>17</v>
      </c>
      <c r="I899" s="2" t="s">
        <v>18</v>
      </c>
      <c r="J899">
        <v>0.34</v>
      </c>
      <c r="K899" s="1">
        <v>43392</v>
      </c>
      <c r="L899" s="2" t="str">
        <f>IF(Sheet1[[#This Row],[age]]&lt;18, "Under 18",IF(Sheet1[[#This Row],[age]]&lt;=30,"18-30",IF(Sheet1[[#This Row],[age]]&lt;=45,"31-45",IF(Sheet1[[#This Row],[age]]&lt;=60,"46-60","60+"))))</f>
        <v>18-30</v>
      </c>
      <c r="M899" s="2" t="str">
        <f>IF(Sheet1[[#This Row],[risk_score]]&lt;0.3,"Low",IF(Sheet1[[#This Row],[risk_score]]&lt;0.7,"Medium","High"))</f>
        <v>Medium</v>
      </c>
      <c r="N899">
        <f>YEAR(Sheet1[[#This Row],[date_joined]])</f>
        <v>2018</v>
      </c>
      <c r="O899" s="2" t="str">
        <f>TEXT(Sheet1[[#This Row],[date_joined]],"mmm")</f>
        <v>Oct</v>
      </c>
      <c r="P899" s="2" t="str">
        <f>"Q"&amp;ROUNDUP(MONTH(Sheet1[[#This Row],[date_joined]])/3,0)</f>
        <v>Q4</v>
      </c>
      <c r="Q899" s="2" t="str">
        <f>IF(Sheet1[[#This Row],[age]]&lt;30,"Young",IF(Sheet1[[#This Row],[age]]&lt;=50,"Adult","Senior"))</f>
        <v>Young</v>
      </c>
      <c r="R899" s="2" t="str">
        <f t="shared" si="28"/>
        <v>High</v>
      </c>
      <c r="S899" s="2" t="str">
        <f t="shared" si="29"/>
        <v>North-East - Salaried</v>
      </c>
    </row>
    <row r="900" spans="1:19" x14ac:dyDescent="0.3">
      <c r="A900" t="s">
        <v>1823</v>
      </c>
      <c r="B900" t="s">
        <v>1824</v>
      </c>
      <c r="C900">
        <v>58</v>
      </c>
      <c r="D900" s="2" t="s">
        <v>21</v>
      </c>
      <c r="E900" s="2" t="s">
        <v>30</v>
      </c>
      <c r="F900" s="2" t="s">
        <v>37</v>
      </c>
      <c r="G900" s="2" t="s">
        <v>81</v>
      </c>
      <c r="H900" s="2" t="s">
        <v>17</v>
      </c>
      <c r="I900" s="2" t="s">
        <v>18</v>
      </c>
      <c r="J900">
        <v>0.73</v>
      </c>
      <c r="K900" s="1">
        <v>43121</v>
      </c>
      <c r="L900" s="2" t="str">
        <f>IF(Sheet1[[#This Row],[age]]&lt;18, "Under 18",IF(Sheet1[[#This Row],[age]]&lt;=30,"18-30",IF(Sheet1[[#This Row],[age]]&lt;=45,"31-45",IF(Sheet1[[#This Row],[age]]&lt;=60,"46-60","60+"))))</f>
        <v>46-60</v>
      </c>
      <c r="M900" s="2" t="str">
        <f>IF(Sheet1[[#This Row],[risk_score]]&lt;0.3,"Low",IF(Sheet1[[#This Row],[risk_score]]&lt;0.7,"Medium","High"))</f>
        <v>High</v>
      </c>
      <c r="N900">
        <f>YEAR(Sheet1[[#This Row],[date_joined]])</f>
        <v>2018</v>
      </c>
      <c r="O900" s="2" t="str">
        <f>TEXT(Sheet1[[#This Row],[date_joined]],"mmm")</f>
        <v>Jan</v>
      </c>
      <c r="P900" s="2" t="str">
        <f>"Q"&amp;ROUNDUP(MONTH(Sheet1[[#This Row],[date_joined]])/3,0)</f>
        <v>Q1</v>
      </c>
      <c r="Q900" s="2" t="str">
        <f>IF(Sheet1[[#This Row],[age]]&lt;30,"Young",IF(Sheet1[[#This Row],[age]]&lt;=50,"Adult","Senior"))</f>
        <v>Senior</v>
      </c>
      <c r="R900" s="2" t="str">
        <f t="shared" si="28"/>
        <v>High</v>
      </c>
      <c r="S900" s="2" t="str">
        <f t="shared" si="29"/>
        <v>Central - Retired</v>
      </c>
    </row>
    <row r="901" spans="1:19" x14ac:dyDescent="0.3">
      <c r="A901" t="s">
        <v>1825</v>
      </c>
      <c r="B901" t="s">
        <v>1826</v>
      </c>
      <c r="C901">
        <v>22</v>
      </c>
      <c r="D901" s="2" t="s">
        <v>13</v>
      </c>
      <c r="E901" s="2" t="s">
        <v>14</v>
      </c>
      <c r="F901" s="2" t="s">
        <v>23</v>
      </c>
      <c r="G901" s="2" t="s">
        <v>24</v>
      </c>
      <c r="H901" s="2" t="s">
        <v>18</v>
      </c>
      <c r="I901" s="2" t="s">
        <v>17</v>
      </c>
      <c r="J901">
        <v>0.36</v>
      </c>
      <c r="K901" s="1">
        <v>44670</v>
      </c>
      <c r="L901" s="2" t="str">
        <f>IF(Sheet1[[#This Row],[age]]&lt;18, "Under 18",IF(Sheet1[[#This Row],[age]]&lt;=30,"18-30",IF(Sheet1[[#This Row],[age]]&lt;=45,"31-45",IF(Sheet1[[#This Row],[age]]&lt;=60,"46-60","60+"))))</f>
        <v>18-30</v>
      </c>
      <c r="M901" s="2" t="str">
        <f>IF(Sheet1[[#This Row],[risk_score]]&lt;0.3,"Low",IF(Sheet1[[#This Row],[risk_score]]&lt;0.7,"Medium","High"))</f>
        <v>Medium</v>
      </c>
      <c r="N901">
        <f>YEAR(Sheet1[[#This Row],[date_joined]])</f>
        <v>2022</v>
      </c>
      <c r="O901" s="2" t="str">
        <f>TEXT(Sheet1[[#This Row],[date_joined]],"mmm")</f>
        <v>Apr</v>
      </c>
      <c r="P901" s="2" t="str">
        <f>"Q"&amp;ROUNDUP(MONTH(Sheet1[[#This Row],[date_joined]])/3,0)</f>
        <v>Q2</v>
      </c>
      <c r="Q901" s="2" t="str">
        <f>IF(Sheet1[[#This Row],[age]]&lt;30,"Young",IF(Sheet1[[#This Row],[age]]&lt;=50,"Adult","Senior"))</f>
        <v>Young</v>
      </c>
      <c r="R901" s="2" t="str">
        <f t="shared" si="28"/>
        <v>High</v>
      </c>
      <c r="S901" s="2" t="str">
        <f t="shared" si="29"/>
        <v>East - Salaried</v>
      </c>
    </row>
    <row r="902" spans="1:19" x14ac:dyDescent="0.3">
      <c r="A902" t="s">
        <v>1827</v>
      </c>
      <c r="B902" t="s">
        <v>1828</v>
      </c>
      <c r="C902">
        <v>24</v>
      </c>
      <c r="D902" s="2" t="s">
        <v>13</v>
      </c>
      <c r="E902" s="2" t="s">
        <v>14</v>
      </c>
      <c r="F902" s="2" t="s">
        <v>15</v>
      </c>
      <c r="G902" s="2" t="s">
        <v>66</v>
      </c>
      <c r="H902" s="2" t="s">
        <v>18</v>
      </c>
      <c r="I902" s="2" t="s">
        <v>17</v>
      </c>
      <c r="J902">
        <v>0.42</v>
      </c>
      <c r="K902" s="1">
        <v>44276</v>
      </c>
      <c r="L902" s="2" t="str">
        <f>IF(Sheet1[[#This Row],[age]]&lt;18, "Under 18",IF(Sheet1[[#This Row],[age]]&lt;=30,"18-30",IF(Sheet1[[#This Row],[age]]&lt;=45,"31-45",IF(Sheet1[[#This Row],[age]]&lt;=60,"46-60","60+"))))</f>
        <v>18-30</v>
      </c>
      <c r="M902" s="2" t="str">
        <f>IF(Sheet1[[#This Row],[risk_score]]&lt;0.3,"Low",IF(Sheet1[[#This Row],[risk_score]]&lt;0.7,"Medium","High"))</f>
        <v>Medium</v>
      </c>
      <c r="N902">
        <f>YEAR(Sheet1[[#This Row],[date_joined]])</f>
        <v>2021</v>
      </c>
      <c r="O902" s="2" t="str">
        <f>TEXT(Sheet1[[#This Row],[date_joined]],"mmm")</f>
        <v>Mar</v>
      </c>
      <c r="P902" s="2" t="str">
        <f>"Q"&amp;ROUNDUP(MONTH(Sheet1[[#This Row],[date_joined]])/3,0)</f>
        <v>Q1</v>
      </c>
      <c r="Q902" s="2" t="str">
        <f>IF(Sheet1[[#This Row],[age]]&lt;30,"Young",IF(Sheet1[[#This Row],[age]]&lt;=50,"Adult","Senior"))</f>
        <v>Young</v>
      </c>
      <c r="R902" s="2" t="str">
        <f t="shared" si="28"/>
        <v>High</v>
      </c>
      <c r="S902" s="2" t="str">
        <f t="shared" si="29"/>
        <v>North-East - Student</v>
      </c>
    </row>
    <row r="903" spans="1:19" x14ac:dyDescent="0.3">
      <c r="A903" t="s">
        <v>1829</v>
      </c>
      <c r="B903" t="s">
        <v>1830</v>
      </c>
      <c r="C903">
        <v>61</v>
      </c>
      <c r="D903" s="2" t="s">
        <v>21</v>
      </c>
      <c r="E903" s="2" t="s">
        <v>14</v>
      </c>
      <c r="F903" s="2" t="s">
        <v>31</v>
      </c>
      <c r="G903" s="2" t="s">
        <v>16</v>
      </c>
      <c r="H903" s="2" t="s">
        <v>17</v>
      </c>
      <c r="I903" s="2" t="s">
        <v>17</v>
      </c>
      <c r="J903">
        <v>0.59</v>
      </c>
      <c r="K903" s="1">
        <v>43897</v>
      </c>
      <c r="L903" s="2" t="str">
        <f>IF(Sheet1[[#This Row],[age]]&lt;18, "Under 18",IF(Sheet1[[#This Row],[age]]&lt;=30,"18-30",IF(Sheet1[[#This Row],[age]]&lt;=45,"31-45",IF(Sheet1[[#This Row],[age]]&lt;=60,"46-60","60+"))))</f>
        <v>60+</v>
      </c>
      <c r="M903" s="2" t="str">
        <f>IF(Sheet1[[#This Row],[risk_score]]&lt;0.3,"Low",IF(Sheet1[[#This Row],[risk_score]]&lt;0.7,"Medium","High"))</f>
        <v>Medium</v>
      </c>
      <c r="N903">
        <f>YEAR(Sheet1[[#This Row],[date_joined]])</f>
        <v>2020</v>
      </c>
      <c r="O903" s="2" t="str">
        <f>TEXT(Sheet1[[#This Row],[date_joined]],"mmm")</f>
        <v>Mar</v>
      </c>
      <c r="P903" s="2" t="str">
        <f>"Q"&amp;ROUNDUP(MONTH(Sheet1[[#This Row],[date_joined]])/3,0)</f>
        <v>Q1</v>
      </c>
      <c r="Q903" s="2" t="str">
        <f>IF(Sheet1[[#This Row],[age]]&lt;30,"Young",IF(Sheet1[[#This Row],[age]]&lt;=50,"Adult","Senior"))</f>
        <v>Senior</v>
      </c>
      <c r="R903" s="2" t="str">
        <f t="shared" si="28"/>
        <v>Low</v>
      </c>
      <c r="S903" s="2" t="str">
        <f t="shared" si="29"/>
        <v>West - Self-employed</v>
      </c>
    </row>
    <row r="904" spans="1:19" x14ac:dyDescent="0.3">
      <c r="A904" t="s">
        <v>1831</v>
      </c>
      <c r="B904" t="s">
        <v>1832</v>
      </c>
      <c r="C904">
        <v>49</v>
      </c>
      <c r="D904" s="2" t="s">
        <v>13</v>
      </c>
      <c r="E904" s="2" t="s">
        <v>14</v>
      </c>
      <c r="F904" s="2" t="s">
        <v>37</v>
      </c>
      <c r="G904" s="2" t="s">
        <v>32</v>
      </c>
      <c r="H904" s="2" t="s">
        <v>17</v>
      </c>
      <c r="I904" s="2" t="s">
        <v>18</v>
      </c>
      <c r="J904">
        <v>0.39</v>
      </c>
      <c r="K904" s="1">
        <v>45116</v>
      </c>
      <c r="L904" s="2" t="str">
        <f>IF(Sheet1[[#This Row],[age]]&lt;18, "Under 18",IF(Sheet1[[#This Row],[age]]&lt;=30,"18-30",IF(Sheet1[[#This Row],[age]]&lt;=45,"31-45",IF(Sheet1[[#This Row],[age]]&lt;=60,"46-60","60+"))))</f>
        <v>46-60</v>
      </c>
      <c r="M904" s="2" t="str">
        <f>IF(Sheet1[[#This Row],[risk_score]]&lt;0.3,"Low",IF(Sheet1[[#This Row],[risk_score]]&lt;0.7,"Medium","High"))</f>
        <v>Medium</v>
      </c>
      <c r="N904">
        <f>YEAR(Sheet1[[#This Row],[date_joined]])</f>
        <v>2023</v>
      </c>
      <c r="O904" s="2" t="str">
        <f>TEXT(Sheet1[[#This Row],[date_joined]],"mmm")</f>
        <v>Jul</v>
      </c>
      <c r="P904" s="2" t="str">
        <f>"Q"&amp;ROUNDUP(MONTH(Sheet1[[#This Row],[date_joined]])/3,0)</f>
        <v>Q3</v>
      </c>
      <c r="Q904" s="2" t="str">
        <f>IF(Sheet1[[#This Row],[age]]&lt;30,"Young",IF(Sheet1[[#This Row],[age]]&lt;=50,"Adult","Senior"))</f>
        <v>Adult</v>
      </c>
      <c r="R904" s="2" t="str">
        <f t="shared" si="28"/>
        <v>High</v>
      </c>
      <c r="S904" s="2" t="str">
        <f t="shared" si="29"/>
        <v>South - Retired</v>
      </c>
    </row>
    <row r="905" spans="1:19" x14ac:dyDescent="0.3">
      <c r="A905" t="s">
        <v>1833</v>
      </c>
      <c r="B905" t="s">
        <v>1834</v>
      </c>
      <c r="C905">
        <v>22</v>
      </c>
      <c r="D905" s="2" t="s">
        <v>13</v>
      </c>
      <c r="E905" s="2" t="s">
        <v>22</v>
      </c>
      <c r="F905" s="2" t="s">
        <v>23</v>
      </c>
      <c r="G905" s="2" t="s">
        <v>16</v>
      </c>
      <c r="H905" s="2" t="s">
        <v>17</v>
      </c>
      <c r="I905" s="2" t="s">
        <v>17</v>
      </c>
      <c r="J905">
        <v>0.38</v>
      </c>
      <c r="K905" s="1">
        <v>43890</v>
      </c>
      <c r="L905" s="2" t="str">
        <f>IF(Sheet1[[#This Row],[age]]&lt;18, "Under 18",IF(Sheet1[[#This Row],[age]]&lt;=30,"18-30",IF(Sheet1[[#This Row],[age]]&lt;=45,"31-45",IF(Sheet1[[#This Row],[age]]&lt;=60,"46-60","60+"))))</f>
        <v>18-30</v>
      </c>
      <c r="M905" s="2" t="str">
        <f>IF(Sheet1[[#This Row],[risk_score]]&lt;0.3,"Low",IF(Sheet1[[#This Row],[risk_score]]&lt;0.7,"Medium","High"))</f>
        <v>Medium</v>
      </c>
      <c r="N905">
        <f>YEAR(Sheet1[[#This Row],[date_joined]])</f>
        <v>2020</v>
      </c>
      <c r="O905" s="2" t="str">
        <f>TEXT(Sheet1[[#This Row],[date_joined]],"mmm")</f>
        <v>Feb</v>
      </c>
      <c r="P905" s="2" t="str">
        <f>"Q"&amp;ROUNDUP(MONTH(Sheet1[[#This Row],[date_joined]])/3,0)</f>
        <v>Q1</v>
      </c>
      <c r="Q905" s="2" t="str">
        <f>IF(Sheet1[[#This Row],[age]]&lt;30,"Young",IF(Sheet1[[#This Row],[age]]&lt;=50,"Adult","Senior"))</f>
        <v>Young</v>
      </c>
      <c r="R905" s="2" t="str">
        <f t="shared" si="28"/>
        <v>Low</v>
      </c>
      <c r="S905" s="2" t="str">
        <f t="shared" si="29"/>
        <v>West - Salaried</v>
      </c>
    </row>
    <row r="906" spans="1:19" x14ac:dyDescent="0.3">
      <c r="A906" t="s">
        <v>1835</v>
      </c>
      <c r="B906" t="s">
        <v>1836</v>
      </c>
      <c r="C906">
        <v>56</v>
      </c>
      <c r="D906" s="2" t="s">
        <v>13</v>
      </c>
      <c r="E906" s="2" t="s">
        <v>30</v>
      </c>
      <c r="F906" s="2" t="s">
        <v>37</v>
      </c>
      <c r="G906" s="2" t="s">
        <v>24</v>
      </c>
      <c r="H906" s="2" t="s">
        <v>17</v>
      </c>
      <c r="I906" s="2" t="s">
        <v>18</v>
      </c>
      <c r="J906">
        <v>0.77</v>
      </c>
      <c r="K906" s="1">
        <v>44639</v>
      </c>
      <c r="L906" s="2" t="str">
        <f>IF(Sheet1[[#This Row],[age]]&lt;18, "Under 18",IF(Sheet1[[#This Row],[age]]&lt;=30,"18-30",IF(Sheet1[[#This Row],[age]]&lt;=45,"31-45",IF(Sheet1[[#This Row],[age]]&lt;=60,"46-60","60+"))))</f>
        <v>46-60</v>
      </c>
      <c r="M906" s="2" t="str">
        <f>IF(Sheet1[[#This Row],[risk_score]]&lt;0.3,"Low",IF(Sheet1[[#This Row],[risk_score]]&lt;0.7,"Medium","High"))</f>
        <v>High</v>
      </c>
      <c r="N906">
        <f>YEAR(Sheet1[[#This Row],[date_joined]])</f>
        <v>2022</v>
      </c>
      <c r="O906" s="2" t="str">
        <f>TEXT(Sheet1[[#This Row],[date_joined]],"mmm")</f>
        <v>Mar</v>
      </c>
      <c r="P906" s="2" t="str">
        <f>"Q"&amp;ROUNDUP(MONTH(Sheet1[[#This Row],[date_joined]])/3,0)</f>
        <v>Q1</v>
      </c>
      <c r="Q906" s="2" t="str">
        <f>IF(Sheet1[[#This Row],[age]]&lt;30,"Young",IF(Sheet1[[#This Row],[age]]&lt;=50,"Adult","Senior"))</f>
        <v>Senior</v>
      </c>
      <c r="R906" s="2" t="str">
        <f t="shared" si="28"/>
        <v>High</v>
      </c>
      <c r="S906" s="2" t="str">
        <f t="shared" si="29"/>
        <v>East - Retired</v>
      </c>
    </row>
    <row r="907" spans="1:19" x14ac:dyDescent="0.3">
      <c r="A907" t="s">
        <v>1837</v>
      </c>
      <c r="B907" t="s">
        <v>1838</v>
      </c>
      <c r="C907">
        <v>56</v>
      </c>
      <c r="D907" s="2" t="s">
        <v>13</v>
      </c>
      <c r="E907" s="2" t="s">
        <v>22</v>
      </c>
      <c r="F907" s="2" t="s">
        <v>31</v>
      </c>
      <c r="G907" s="2" t="s">
        <v>16</v>
      </c>
      <c r="H907" s="2" t="s">
        <v>17</v>
      </c>
      <c r="I907" s="2" t="s">
        <v>18</v>
      </c>
      <c r="J907">
        <v>0.78</v>
      </c>
      <c r="K907" s="1">
        <v>44554</v>
      </c>
      <c r="L907" s="2" t="str">
        <f>IF(Sheet1[[#This Row],[age]]&lt;18, "Under 18",IF(Sheet1[[#This Row],[age]]&lt;=30,"18-30",IF(Sheet1[[#This Row],[age]]&lt;=45,"31-45",IF(Sheet1[[#This Row],[age]]&lt;=60,"46-60","60+"))))</f>
        <v>46-60</v>
      </c>
      <c r="M907" s="2" t="str">
        <f>IF(Sheet1[[#This Row],[risk_score]]&lt;0.3,"Low",IF(Sheet1[[#This Row],[risk_score]]&lt;0.7,"Medium","High"))</f>
        <v>High</v>
      </c>
      <c r="N907">
        <f>YEAR(Sheet1[[#This Row],[date_joined]])</f>
        <v>2021</v>
      </c>
      <c r="O907" s="2" t="str">
        <f>TEXT(Sheet1[[#This Row],[date_joined]],"mmm")</f>
        <v>Dec</v>
      </c>
      <c r="P907" s="2" t="str">
        <f>"Q"&amp;ROUNDUP(MONTH(Sheet1[[#This Row],[date_joined]])/3,0)</f>
        <v>Q4</v>
      </c>
      <c r="Q907" s="2" t="str">
        <f>IF(Sheet1[[#This Row],[age]]&lt;30,"Young",IF(Sheet1[[#This Row],[age]]&lt;=50,"Adult","Senior"))</f>
        <v>Senior</v>
      </c>
      <c r="R907" s="2" t="str">
        <f t="shared" si="28"/>
        <v>High</v>
      </c>
      <c r="S907" s="2" t="str">
        <f t="shared" si="29"/>
        <v>West - Self-employed</v>
      </c>
    </row>
    <row r="908" spans="1:19" x14ac:dyDescent="0.3">
      <c r="A908" t="s">
        <v>1839</v>
      </c>
      <c r="B908" t="s">
        <v>1840</v>
      </c>
      <c r="C908">
        <v>34</v>
      </c>
      <c r="D908" s="2" t="s">
        <v>21</v>
      </c>
      <c r="E908" s="2" t="s">
        <v>14</v>
      </c>
      <c r="F908" s="2" t="s">
        <v>15</v>
      </c>
      <c r="G908" s="2" t="s">
        <v>81</v>
      </c>
      <c r="H908" s="2" t="s">
        <v>17</v>
      </c>
      <c r="I908" s="2" t="s">
        <v>18</v>
      </c>
      <c r="J908">
        <v>0.65</v>
      </c>
      <c r="K908" s="1">
        <v>44922</v>
      </c>
      <c r="L908" s="2" t="str">
        <f>IF(Sheet1[[#This Row],[age]]&lt;18, "Under 18",IF(Sheet1[[#This Row],[age]]&lt;=30,"18-30",IF(Sheet1[[#This Row],[age]]&lt;=45,"31-45",IF(Sheet1[[#This Row],[age]]&lt;=60,"46-60","60+"))))</f>
        <v>31-45</v>
      </c>
      <c r="M908" s="2" t="str">
        <f>IF(Sheet1[[#This Row],[risk_score]]&lt;0.3,"Low",IF(Sheet1[[#This Row],[risk_score]]&lt;0.7,"Medium","High"))</f>
        <v>Medium</v>
      </c>
      <c r="N908">
        <f>YEAR(Sheet1[[#This Row],[date_joined]])</f>
        <v>2022</v>
      </c>
      <c r="O908" s="2" t="str">
        <f>TEXT(Sheet1[[#This Row],[date_joined]],"mmm")</f>
        <v>Dec</v>
      </c>
      <c r="P908" s="2" t="str">
        <f>"Q"&amp;ROUNDUP(MONTH(Sheet1[[#This Row],[date_joined]])/3,0)</f>
        <v>Q4</v>
      </c>
      <c r="Q908" s="2" t="str">
        <f>IF(Sheet1[[#This Row],[age]]&lt;30,"Young",IF(Sheet1[[#This Row],[age]]&lt;=50,"Adult","Senior"))</f>
        <v>Adult</v>
      </c>
      <c r="R908" s="2" t="str">
        <f t="shared" si="28"/>
        <v>High</v>
      </c>
      <c r="S908" s="2" t="str">
        <f t="shared" si="29"/>
        <v>Central - Student</v>
      </c>
    </row>
    <row r="909" spans="1:19" x14ac:dyDescent="0.3">
      <c r="A909" t="s">
        <v>1841</v>
      </c>
      <c r="B909" t="s">
        <v>1842</v>
      </c>
      <c r="C909">
        <v>34</v>
      </c>
      <c r="D909" s="2" t="s">
        <v>13</v>
      </c>
      <c r="E909" s="2" t="s">
        <v>30</v>
      </c>
      <c r="F909" s="2" t="s">
        <v>23</v>
      </c>
      <c r="G909" s="2" t="s">
        <v>81</v>
      </c>
      <c r="H909" s="2" t="s">
        <v>18</v>
      </c>
      <c r="I909" s="2" t="s">
        <v>17</v>
      </c>
      <c r="J909">
        <v>0.77</v>
      </c>
      <c r="K909" s="1">
        <v>43464</v>
      </c>
      <c r="L909" s="2" t="str">
        <f>IF(Sheet1[[#This Row],[age]]&lt;18, "Under 18",IF(Sheet1[[#This Row],[age]]&lt;=30,"18-30",IF(Sheet1[[#This Row],[age]]&lt;=45,"31-45",IF(Sheet1[[#This Row],[age]]&lt;=60,"46-60","60+"))))</f>
        <v>31-45</v>
      </c>
      <c r="M909" s="2" t="str">
        <f>IF(Sheet1[[#This Row],[risk_score]]&lt;0.3,"Low",IF(Sheet1[[#This Row],[risk_score]]&lt;0.7,"Medium","High"))</f>
        <v>High</v>
      </c>
      <c r="N909">
        <f>YEAR(Sheet1[[#This Row],[date_joined]])</f>
        <v>2018</v>
      </c>
      <c r="O909" s="2" t="str">
        <f>TEXT(Sheet1[[#This Row],[date_joined]],"mmm")</f>
        <v>Dec</v>
      </c>
      <c r="P909" s="2" t="str">
        <f>"Q"&amp;ROUNDUP(MONTH(Sheet1[[#This Row],[date_joined]])/3,0)</f>
        <v>Q4</v>
      </c>
      <c r="Q909" s="2" t="str">
        <f>IF(Sheet1[[#This Row],[age]]&lt;30,"Young",IF(Sheet1[[#This Row],[age]]&lt;=50,"Adult","Senior"))</f>
        <v>Adult</v>
      </c>
      <c r="R909" s="2" t="str">
        <f t="shared" si="28"/>
        <v>High</v>
      </c>
      <c r="S909" s="2" t="str">
        <f t="shared" si="29"/>
        <v>Central - Salaried</v>
      </c>
    </row>
    <row r="910" spans="1:19" x14ac:dyDescent="0.3">
      <c r="A910" t="s">
        <v>1843</v>
      </c>
      <c r="B910" t="s">
        <v>1844</v>
      </c>
      <c r="C910">
        <v>45</v>
      </c>
      <c r="D910" s="2" t="s">
        <v>13</v>
      </c>
      <c r="E910" s="2" t="s">
        <v>30</v>
      </c>
      <c r="F910" s="2" t="s">
        <v>37</v>
      </c>
      <c r="G910" s="2" t="s">
        <v>81</v>
      </c>
      <c r="H910" s="2" t="s">
        <v>18</v>
      </c>
      <c r="I910" s="2" t="s">
        <v>17</v>
      </c>
      <c r="J910">
        <v>0.3</v>
      </c>
      <c r="K910" s="1">
        <v>44238</v>
      </c>
      <c r="L910" s="2" t="str">
        <f>IF(Sheet1[[#This Row],[age]]&lt;18, "Under 18",IF(Sheet1[[#This Row],[age]]&lt;=30,"18-30",IF(Sheet1[[#This Row],[age]]&lt;=45,"31-45",IF(Sheet1[[#This Row],[age]]&lt;=60,"46-60","60+"))))</f>
        <v>31-45</v>
      </c>
      <c r="M910" s="2" t="str">
        <f>IF(Sheet1[[#This Row],[risk_score]]&lt;0.3,"Low",IF(Sheet1[[#This Row],[risk_score]]&lt;0.7,"Medium","High"))</f>
        <v>Medium</v>
      </c>
      <c r="N910">
        <f>YEAR(Sheet1[[#This Row],[date_joined]])</f>
        <v>2021</v>
      </c>
      <c r="O910" s="2" t="str">
        <f>TEXT(Sheet1[[#This Row],[date_joined]],"mmm")</f>
        <v>Feb</v>
      </c>
      <c r="P910" s="2" t="str">
        <f>"Q"&amp;ROUNDUP(MONTH(Sheet1[[#This Row],[date_joined]])/3,0)</f>
        <v>Q1</v>
      </c>
      <c r="Q910" s="2" t="str">
        <f>IF(Sheet1[[#This Row],[age]]&lt;30,"Young",IF(Sheet1[[#This Row],[age]]&lt;=50,"Adult","Senior"))</f>
        <v>Adult</v>
      </c>
      <c r="R910" s="2" t="str">
        <f t="shared" si="28"/>
        <v>High</v>
      </c>
      <c r="S910" s="2" t="str">
        <f t="shared" si="29"/>
        <v>Central - Retired</v>
      </c>
    </row>
    <row r="911" spans="1:19" x14ac:dyDescent="0.3">
      <c r="A911" t="s">
        <v>1845</v>
      </c>
      <c r="B911" t="s">
        <v>1846</v>
      </c>
      <c r="C911">
        <v>33</v>
      </c>
      <c r="D911" s="2" t="s">
        <v>21</v>
      </c>
      <c r="E911" s="2" t="s">
        <v>14</v>
      </c>
      <c r="F911" s="2" t="s">
        <v>23</v>
      </c>
      <c r="G911" s="2" t="s">
        <v>66</v>
      </c>
      <c r="H911" s="2" t="s">
        <v>17</v>
      </c>
      <c r="I911" s="2" t="s">
        <v>18</v>
      </c>
      <c r="J911">
        <v>0.45</v>
      </c>
      <c r="K911" s="1">
        <v>44208</v>
      </c>
      <c r="L911" s="2" t="str">
        <f>IF(Sheet1[[#This Row],[age]]&lt;18, "Under 18",IF(Sheet1[[#This Row],[age]]&lt;=30,"18-30",IF(Sheet1[[#This Row],[age]]&lt;=45,"31-45",IF(Sheet1[[#This Row],[age]]&lt;=60,"46-60","60+"))))</f>
        <v>31-45</v>
      </c>
      <c r="M911" s="2" t="str">
        <f>IF(Sheet1[[#This Row],[risk_score]]&lt;0.3,"Low",IF(Sheet1[[#This Row],[risk_score]]&lt;0.7,"Medium","High"))</f>
        <v>Medium</v>
      </c>
      <c r="N911">
        <f>YEAR(Sheet1[[#This Row],[date_joined]])</f>
        <v>2021</v>
      </c>
      <c r="O911" s="2" t="str">
        <f>TEXT(Sheet1[[#This Row],[date_joined]],"mmm")</f>
        <v>Jan</v>
      </c>
      <c r="P911" s="2" t="str">
        <f>"Q"&amp;ROUNDUP(MONTH(Sheet1[[#This Row],[date_joined]])/3,0)</f>
        <v>Q1</v>
      </c>
      <c r="Q911" s="2" t="str">
        <f>IF(Sheet1[[#This Row],[age]]&lt;30,"Young",IF(Sheet1[[#This Row],[age]]&lt;=50,"Adult","Senior"))</f>
        <v>Adult</v>
      </c>
      <c r="R911" s="2" t="str">
        <f t="shared" si="28"/>
        <v>High</v>
      </c>
      <c r="S911" s="2" t="str">
        <f t="shared" si="29"/>
        <v>North-East - Salaried</v>
      </c>
    </row>
    <row r="912" spans="1:19" x14ac:dyDescent="0.3">
      <c r="A912" t="s">
        <v>1847</v>
      </c>
      <c r="B912" t="s">
        <v>1848</v>
      </c>
      <c r="C912">
        <v>31</v>
      </c>
      <c r="D912" s="2" t="s">
        <v>21</v>
      </c>
      <c r="E912" s="2" t="s">
        <v>30</v>
      </c>
      <c r="F912" s="2" t="s">
        <v>15</v>
      </c>
      <c r="G912" s="2" t="s">
        <v>16</v>
      </c>
      <c r="H912" s="2" t="s">
        <v>17</v>
      </c>
      <c r="I912" s="2" t="s">
        <v>17</v>
      </c>
      <c r="J912">
        <v>0.39</v>
      </c>
      <c r="K912" s="1">
        <v>44617</v>
      </c>
      <c r="L912" s="2" t="str">
        <f>IF(Sheet1[[#This Row],[age]]&lt;18, "Under 18",IF(Sheet1[[#This Row],[age]]&lt;=30,"18-30",IF(Sheet1[[#This Row],[age]]&lt;=45,"31-45",IF(Sheet1[[#This Row],[age]]&lt;=60,"46-60","60+"))))</f>
        <v>31-45</v>
      </c>
      <c r="M912" s="2" t="str">
        <f>IF(Sheet1[[#This Row],[risk_score]]&lt;0.3,"Low",IF(Sheet1[[#This Row],[risk_score]]&lt;0.7,"Medium","High"))</f>
        <v>Medium</v>
      </c>
      <c r="N912">
        <f>YEAR(Sheet1[[#This Row],[date_joined]])</f>
        <v>2022</v>
      </c>
      <c r="O912" s="2" t="str">
        <f>TEXT(Sheet1[[#This Row],[date_joined]],"mmm")</f>
        <v>Feb</v>
      </c>
      <c r="P912" s="2" t="str">
        <f>"Q"&amp;ROUNDUP(MONTH(Sheet1[[#This Row],[date_joined]])/3,0)</f>
        <v>Q1</v>
      </c>
      <c r="Q912" s="2" t="str">
        <f>IF(Sheet1[[#This Row],[age]]&lt;30,"Young",IF(Sheet1[[#This Row],[age]]&lt;=50,"Adult","Senior"))</f>
        <v>Adult</v>
      </c>
      <c r="R912" s="2" t="str">
        <f t="shared" si="28"/>
        <v>Low</v>
      </c>
      <c r="S912" s="2" t="str">
        <f t="shared" si="29"/>
        <v>West - Student</v>
      </c>
    </row>
    <row r="913" spans="1:19" x14ac:dyDescent="0.3">
      <c r="A913" t="s">
        <v>1849</v>
      </c>
      <c r="B913" t="s">
        <v>1850</v>
      </c>
      <c r="C913">
        <v>50</v>
      </c>
      <c r="D913" s="2" t="s">
        <v>21</v>
      </c>
      <c r="E913" s="2" t="s">
        <v>22</v>
      </c>
      <c r="F913" s="2" t="s">
        <v>15</v>
      </c>
      <c r="G913" s="2" t="s">
        <v>24</v>
      </c>
      <c r="H913" s="2" t="s">
        <v>17</v>
      </c>
      <c r="I913" s="2" t="s">
        <v>18</v>
      </c>
      <c r="J913">
        <v>0.73</v>
      </c>
      <c r="K913" s="1">
        <v>43671</v>
      </c>
      <c r="L913" s="2" t="str">
        <f>IF(Sheet1[[#This Row],[age]]&lt;18, "Under 18",IF(Sheet1[[#This Row],[age]]&lt;=30,"18-30",IF(Sheet1[[#This Row],[age]]&lt;=45,"31-45",IF(Sheet1[[#This Row],[age]]&lt;=60,"46-60","60+"))))</f>
        <v>46-60</v>
      </c>
      <c r="M913" s="2" t="str">
        <f>IF(Sheet1[[#This Row],[risk_score]]&lt;0.3,"Low",IF(Sheet1[[#This Row],[risk_score]]&lt;0.7,"Medium","High"))</f>
        <v>High</v>
      </c>
      <c r="N913">
        <f>YEAR(Sheet1[[#This Row],[date_joined]])</f>
        <v>2019</v>
      </c>
      <c r="O913" s="2" t="str">
        <f>TEXT(Sheet1[[#This Row],[date_joined]],"mmm")</f>
        <v>Jul</v>
      </c>
      <c r="P913" s="2" t="str">
        <f>"Q"&amp;ROUNDUP(MONTH(Sheet1[[#This Row],[date_joined]])/3,0)</f>
        <v>Q3</v>
      </c>
      <c r="Q913" s="2" t="str">
        <f>IF(Sheet1[[#This Row],[age]]&lt;30,"Young",IF(Sheet1[[#This Row],[age]]&lt;=50,"Adult","Senior"))</f>
        <v>Adult</v>
      </c>
      <c r="R913" s="2" t="str">
        <f t="shared" si="28"/>
        <v>High</v>
      </c>
      <c r="S913" s="2" t="str">
        <f t="shared" si="29"/>
        <v>East - Student</v>
      </c>
    </row>
    <row r="914" spans="1:19" x14ac:dyDescent="0.3">
      <c r="A914" t="s">
        <v>1851</v>
      </c>
      <c r="B914" t="s">
        <v>1852</v>
      </c>
      <c r="C914">
        <v>47</v>
      </c>
      <c r="D914" s="2" t="s">
        <v>21</v>
      </c>
      <c r="E914" s="2" t="s">
        <v>30</v>
      </c>
      <c r="F914" s="2" t="s">
        <v>37</v>
      </c>
      <c r="G914" s="2" t="s">
        <v>27</v>
      </c>
      <c r="H914" s="2" t="s">
        <v>18</v>
      </c>
      <c r="I914" s="2" t="s">
        <v>17</v>
      </c>
      <c r="J914">
        <v>0.89</v>
      </c>
      <c r="K914" s="1">
        <v>43112</v>
      </c>
      <c r="L914" s="2" t="str">
        <f>IF(Sheet1[[#This Row],[age]]&lt;18, "Under 18",IF(Sheet1[[#This Row],[age]]&lt;=30,"18-30",IF(Sheet1[[#This Row],[age]]&lt;=45,"31-45",IF(Sheet1[[#This Row],[age]]&lt;=60,"46-60","60+"))))</f>
        <v>46-60</v>
      </c>
      <c r="M914" s="2" t="str">
        <f>IF(Sheet1[[#This Row],[risk_score]]&lt;0.3,"Low",IF(Sheet1[[#This Row],[risk_score]]&lt;0.7,"Medium","High"))</f>
        <v>High</v>
      </c>
      <c r="N914">
        <f>YEAR(Sheet1[[#This Row],[date_joined]])</f>
        <v>2018</v>
      </c>
      <c r="O914" s="2" t="str">
        <f>TEXT(Sheet1[[#This Row],[date_joined]],"mmm")</f>
        <v>Jan</v>
      </c>
      <c r="P914" s="2" t="str">
        <f>"Q"&amp;ROUNDUP(MONTH(Sheet1[[#This Row],[date_joined]])/3,0)</f>
        <v>Q1</v>
      </c>
      <c r="Q914" s="2" t="str">
        <f>IF(Sheet1[[#This Row],[age]]&lt;30,"Young",IF(Sheet1[[#This Row],[age]]&lt;=50,"Adult","Senior"))</f>
        <v>Adult</v>
      </c>
      <c r="R914" s="2" t="str">
        <f t="shared" si="28"/>
        <v>High</v>
      </c>
      <c r="S914" s="2" t="str">
        <f t="shared" si="29"/>
        <v>North - Retired</v>
      </c>
    </row>
    <row r="915" spans="1:19" x14ac:dyDescent="0.3">
      <c r="A915" t="s">
        <v>1853</v>
      </c>
      <c r="B915" t="s">
        <v>1854</v>
      </c>
      <c r="C915">
        <v>63</v>
      </c>
      <c r="D915" s="2" t="s">
        <v>21</v>
      </c>
      <c r="E915" s="2" t="s">
        <v>22</v>
      </c>
      <c r="F915" s="2" t="s">
        <v>37</v>
      </c>
      <c r="G915" s="2" t="s">
        <v>81</v>
      </c>
      <c r="H915" s="2" t="s">
        <v>18</v>
      </c>
      <c r="I915" s="2" t="s">
        <v>18</v>
      </c>
      <c r="J915">
        <v>0.68</v>
      </c>
      <c r="K915" s="1">
        <v>44089</v>
      </c>
      <c r="L915" s="2" t="str">
        <f>IF(Sheet1[[#This Row],[age]]&lt;18, "Under 18",IF(Sheet1[[#This Row],[age]]&lt;=30,"18-30",IF(Sheet1[[#This Row],[age]]&lt;=45,"31-45",IF(Sheet1[[#This Row],[age]]&lt;=60,"46-60","60+"))))</f>
        <v>60+</v>
      </c>
      <c r="M915" s="2" t="str">
        <f>IF(Sheet1[[#This Row],[risk_score]]&lt;0.3,"Low",IF(Sheet1[[#This Row],[risk_score]]&lt;0.7,"Medium","High"))</f>
        <v>Medium</v>
      </c>
      <c r="N915">
        <f>YEAR(Sheet1[[#This Row],[date_joined]])</f>
        <v>2020</v>
      </c>
      <c r="O915" s="2" t="str">
        <f>TEXT(Sheet1[[#This Row],[date_joined]],"mmm")</f>
        <v>Sep</v>
      </c>
      <c r="P915" s="2" t="str">
        <f>"Q"&amp;ROUNDUP(MONTH(Sheet1[[#This Row],[date_joined]])/3,0)</f>
        <v>Q3</v>
      </c>
      <c r="Q915" s="2" t="str">
        <f>IF(Sheet1[[#This Row],[age]]&lt;30,"Young",IF(Sheet1[[#This Row],[age]]&lt;=50,"Adult","Senior"))</f>
        <v>Senior</v>
      </c>
      <c r="R915" s="2" t="str">
        <f t="shared" si="28"/>
        <v>Very High</v>
      </c>
      <c r="S915" s="2" t="str">
        <f t="shared" si="29"/>
        <v>Central - Retired</v>
      </c>
    </row>
    <row r="916" spans="1:19" x14ac:dyDescent="0.3">
      <c r="A916" t="s">
        <v>1855</v>
      </c>
      <c r="B916" t="s">
        <v>1856</v>
      </c>
      <c r="C916">
        <v>32</v>
      </c>
      <c r="D916" s="2" t="s">
        <v>13</v>
      </c>
      <c r="E916" s="2" t="s">
        <v>14</v>
      </c>
      <c r="F916" s="2" t="s">
        <v>37</v>
      </c>
      <c r="G916" s="2" t="s">
        <v>16</v>
      </c>
      <c r="H916" s="2" t="s">
        <v>18</v>
      </c>
      <c r="I916" s="2" t="s">
        <v>18</v>
      </c>
      <c r="J916">
        <v>0.55000000000000004</v>
      </c>
      <c r="K916" s="1">
        <v>44373</v>
      </c>
      <c r="L916" s="2" t="str">
        <f>IF(Sheet1[[#This Row],[age]]&lt;18, "Under 18",IF(Sheet1[[#This Row],[age]]&lt;=30,"18-30",IF(Sheet1[[#This Row],[age]]&lt;=45,"31-45",IF(Sheet1[[#This Row],[age]]&lt;=60,"46-60","60+"))))</f>
        <v>31-45</v>
      </c>
      <c r="M916" s="2" t="str">
        <f>IF(Sheet1[[#This Row],[risk_score]]&lt;0.3,"Low",IF(Sheet1[[#This Row],[risk_score]]&lt;0.7,"Medium","High"))</f>
        <v>Medium</v>
      </c>
      <c r="N916">
        <f>YEAR(Sheet1[[#This Row],[date_joined]])</f>
        <v>2021</v>
      </c>
      <c r="O916" s="2" t="str">
        <f>TEXT(Sheet1[[#This Row],[date_joined]],"mmm")</f>
        <v>Jun</v>
      </c>
      <c r="P916" s="2" t="str">
        <f>"Q"&amp;ROUNDUP(MONTH(Sheet1[[#This Row],[date_joined]])/3,0)</f>
        <v>Q2</v>
      </c>
      <c r="Q916" s="2" t="str">
        <f>IF(Sheet1[[#This Row],[age]]&lt;30,"Young",IF(Sheet1[[#This Row],[age]]&lt;=50,"Adult","Senior"))</f>
        <v>Adult</v>
      </c>
      <c r="R916" s="2" t="str">
        <f t="shared" si="28"/>
        <v>Very High</v>
      </c>
      <c r="S916" s="2" t="str">
        <f t="shared" si="29"/>
        <v>West - Retired</v>
      </c>
    </row>
    <row r="917" spans="1:19" x14ac:dyDescent="0.3">
      <c r="A917" t="s">
        <v>1857</v>
      </c>
      <c r="B917" t="s">
        <v>1858</v>
      </c>
      <c r="C917">
        <v>27</v>
      </c>
      <c r="D917" s="2" t="s">
        <v>21</v>
      </c>
      <c r="E917" s="2" t="s">
        <v>22</v>
      </c>
      <c r="F917" s="2" t="s">
        <v>23</v>
      </c>
      <c r="G917" s="2" t="s">
        <v>16</v>
      </c>
      <c r="H917" s="2" t="s">
        <v>18</v>
      </c>
      <c r="I917" s="2" t="s">
        <v>17</v>
      </c>
      <c r="J917">
        <v>0.52</v>
      </c>
      <c r="K917" s="1">
        <v>44470</v>
      </c>
      <c r="L917" s="2" t="str">
        <f>IF(Sheet1[[#This Row],[age]]&lt;18, "Under 18",IF(Sheet1[[#This Row],[age]]&lt;=30,"18-30",IF(Sheet1[[#This Row],[age]]&lt;=45,"31-45",IF(Sheet1[[#This Row],[age]]&lt;=60,"46-60","60+"))))</f>
        <v>18-30</v>
      </c>
      <c r="M917" s="2" t="str">
        <f>IF(Sheet1[[#This Row],[risk_score]]&lt;0.3,"Low",IF(Sheet1[[#This Row],[risk_score]]&lt;0.7,"Medium","High"))</f>
        <v>Medium</v>
      </c>
      <c r="N917">
        <f>YEAR(Sheet1[[#This Row],[date_joined]])</f>
        <v>2021</v>
      </c>
      <c r="O917" s="2" t="str">
        <f>TEXT(Sheet1[[#This Row],[date_joined]],"mmm")</f>
        <v>Oct</v>
      </c>
      <c r="P917" s="2" t="str">
        <f>"Q"&amp;ROUNDUP(MONTH(Sheet1[[#This Row],[date_joined]])/3,0)</f>
        <v>Q4</v>
      </c>
      <c r="Q917" s="2" t="str">
        <f>IF(Sheet1[[#This Row],[age]]&lt;30,"Young",IF(Sheet1[[#This Row],[age]]&lt;=50,"Adult","Senior"))</f>
        <v>Young</v>
      </c>
      <c r="R917" s="2" t="str">
        <f t="shared" si="28"/>
        <v>High</v>
      </c>
      <c r="S917" s="2" t="str">
        <f t="shared" si="29"/>
        <v>West - Salaried</v>
      </c>
    </row>
    <row r="918" spans="1:19" x14ac:dyDescent="0.3">
      <c r="A918" t="s">
        <v>1859</v>
      </c>
      <c r="B918" t="s">
        <v>1860</v>
      </c>
      <c r="C918">
        <v>37</v>
      </c>
      <c r="D918" s="2" t="s">
        <v>13</v>
      </c>
      <c r="E918" s="2" t="s">
        <v>30</v>
      </c>
      <c r="F918" s="2" t="s">
        <v>31</v>
      </c>
      <c r="G918" s="2" t="s">
        <v>27</v>
      </c>
      <c r="H918" s="2" t="s">
        <v>17</v>
      </c>
      <c r="I918" s="2" t="s">
        <v>18</v>
      </c>
      <c r="J918">
        <v>0.35</v>
      </c>
      <c r="K918" s="1">
        <v>44314</v>
      </c>
      <c r="L918" s="2" t="str">
        <f>IF(Sheet1[[#This Row],[age]]&lt;18, "Under 18",IF(Sheet1[[#This Row],[age]]&lt;=30,"18-30",IF(Sheet1[[#This Row],[age]]&lt;=45,"31-45",IF(Sheet1[[#This Row],[age]]&lt;=60,"46-60","60+"))))</f>
        <v>31-45</v>
      </c>
      <c r="M918" s="2" t="str">
        <f>IF(Sheet1[[#This Row],[risk_score]]&lt;0.3,"Low",IF(Sheet1[[#This Row],[risk_score]]&lt;0.7,"Medium","High"))</f>
        <v>Medium</v>
      </c>
      <c r="N918">
        <f>YEAR(Sheet1[[#This Row],[date_joined]])</f>
        <v>2021</v>
      </c>
      <c r="O918" s="2" t="str">
        <f>TEXT(Sheet1[[#This Row],[date_joined]],"mmm")</f>
        <v>Apr</v>
      </c>
      <c r="P918" s="2" t="str">
        <f>"Q"&amp;ROUNDUP(MONTH(Sheet1[[#This Row],[date_joined]])/3,0)</f>
        <v>Q2</v>
      </c>
      <c r="Q918" s="2" t="str">
        <f>IF(Sheet1[[#This Row],[age]]&lt;30,"Young",IF(Sheet1[[#This Row],[age]]&lt;=50,"Adult","Senior"))</f>
        <v>Adult</v>
      </c>
      <c r="R918" s="2" t="str">
        <f t="shared" si="28"/>
        <v>High</v>
      </c>
      <c r="S918" s="2" t="str">
        <f t="shared" si="29"/>
        <v>North - Self-employed</v>
      </c>
    </row>
    <row r="919" spans="1:19" x14ac:dyDescent="0.3">
      <c r="A919" t="s">
        <v>1861</v>
      </c>
      <c r="B919" t="s">
        <v>1862</v>
      </c>
      <c r="C919">
        <v>65</v>
      </c>
      <c r="D919" s="2" t="s">
        <v>13</v>
      </c>
      <c r="E919" s="2" t="s">
        <v>22</v>
      </c>
      <c r="F919" s="2" t="s">
        <v>23</v>
      </c>
      <c r="G919" s="2" t="s">
        <v>16</v>
      </c>
      <c r="H919" s="2" t="s">
        <v>18</v>
      </c>
      <c r="I919" s="2" t="s">
        <v>17</v>
      </c>
      <c r="J919">
        <v>0.04</v>
      </c>
      <c r="K919" s="1">
        <v>43711</v>
      </c>
      <c r="L919" s="2" t="str">
        <f>IF(Sheet1[[#This Row],[age]]&lt;18, "Under 18",IF(Sheet1[[#This Row],[age]]&lt;=30,"18-30",IF(Sheet1[[#This Row],[age]]&lt;=45,"31-45",IF(Sheet1[[#This Row],[age]]&lt;=60,"46-60","60+"))))</f>
        <v>60+</v>
      </c>
      <c r="M919" s="2" t="str">
        <f>IF(Sheet1[[#This Row],[risk_score]]&lt;0.3,"Low",IF(Sheet1[[#This Row],[risk_score]]&lt;0.7,"Medium","High"))</f>
        <v>Low</v>
      </c>
      <c r="N919">
        <f>YEAR(Sheet1[[#This Row],[date_joined]])</f>
        <v>2019</v>
      </c>
      <c r="O919" s="2" t="str">
        <f>TEXT(Sheet1[[#This Row],[date_joined]],"mmm")</f>
        <v>Sep</v>
      </c>
      <c r="P919" s="2" t="str">
        <f>"Q"&amp;ROUNDUP(MONTH(Sheet1[[#This Row],[date_joined]])/3,0)</f>
        <v>Q3</v>
      </c>
      <c r="Q919" s="2" t="str">
        <f>IF(Sheet1[[#This Row],[age]]&lt;30,"Young",IF(Sheet1[[#This Row],[age]]&lt;=50,"Adult","Senior"))</f>
        <v>Senior</v>
      </c>
      <c r="R919" s="2" t="str">
        <f t="shared" si="28"/>
        <v>High</v>
      </c>
      <c r="S919" s="2" t="str">
        <f t="shared" si="29"/>
        <v>West - Salaried</v>
      </c>
    </row>
    <row r="920" spans="1:19" x14ac:dyDescent="0.3">
      <c r="A920" t="s">
        <v>1863</v>
      </c>
      <c r="B920" t="s">
        <v>1864</v>
      </c>
      <c r="C920">
        <v>53</v>
      </c>
      <c r="D920" s="2" t="s">
        <v>13</v>
      </c>
      <c r="E920" s="2" t="s">
        <v>14</v>
      </c>
      <c r="F920" s="2" t="s">
        <v>15</v>
      </c>
      <c r="G920" s="2" t="s">
        <v>16</v>
      </c>
      <c r="H920" s="2" t="s">
        <v>18</v>
      </c>
      <c r="I920" s="2" t="s">
        <v>17</v>
      </c>
      <c r="J920">
        <v>0.55000000000000004</v>
      </c>
      <c r="K920" s="1">
        <v>43324</v>
      </c>
      <c r="L920" s="2" t="str">
        <f>IF(Sheet1[[#This Row],[age]]&lt;18, "Under 18",IF(Sheet1[[#This Row],[age]]&lt;=30,"18-30",IF(Sheet1[[#This Row],[age]]&lt;=45,"31-45",IF(Sheet1[[#This Row],[age]]&lt;=60,"46-60","60+"))))</f>
        <v>46-60</v>
      </c>
      <c r="M920" s="2" t="str">
        <f>IF(Sheet1[[#This Row],[risk_score]]&lt;0.3,"Low",IF(Sheet1[[#This Row],[risk_score]]&lt;0.7,"Medium","High"))</f>
        <v>Medium</v>
      </c>
      <c r="N920">
        <f>YEAR(Sheet1[[#This Row],[date_joined]])</f>
        <v>2018</v>
      </c>
      <c r="O920" s="2" t="str">
        <f>TEXT(Sheet1[[#This Row],[date_joined]],"mmm")</f>
        <v>Aug</v>
      </c>
      <c r="P920" s="2" t="str">
        <f>"Q"&amp;ROUNDUP(MONTH(Sheet1[[#This Row],[date_joined]])/3,0)</f>
        <v>Q3</v>
      </c>
      <c r="Q920" s="2" t="str">
        <f>IF(Sheet1[[#This Row],[age]]&lt;30,"Young",IF(Sheet1[[#This Row],[age]]&lt;=50,"Adult","Senior"))</f>
        <v>Senior</v>
      </c>
      <c r="R920" s="2" t="str">
        <f t="shared" si="28"/>
        <v>High</v>
      </c>
      <c r="S920" s="2" t="str">
        <f t="shared" si="29"/>
        <v>West - Student</v>
      </c>
    </row>
    <row r="921" spans="1:19" x14ac:dyDescent="0.3">
      <c r="A921" t="s">
        <v>1865</v>
      </c>
      <c r="B921" t="s">
        <v>1866</v>
      </c>
      <c r="C921">
        <v>57</v>
      </c>
      <c r="D921" s="2" t="s">
        <v>13</v>
      </c>
      <c r="E921" s="2" t="s">
        <v>22</v>
      </c>
      <c r="F921" s="2" t="s">
        <v>15</v>
      </c>
      <c r="G921" s="2" t="s">
        <v>24</v>
      </c>
      <c r="H921" s="2" t="s">
        <v>17</v>
      </c>
      <c r="I921" s="2" t="s">
        <v>18</v>
      </c>
      <c r="J921">
        <v>1</v>
      </c>
      <c r="K921" s="1">
        <v>43710</v>
      </c>
      <c r="L921" s="2" t="str">
        <f>IF(Sheet1[[#This Row],[age]]&lt;18, "Under 18",IF(Sheet1[[#This Row],[age]]&lt;=30,"18-30",IF(Sheet1[[#This Row],[age]]&lt;=45,"31-45",IF(Sheet1[[#This Row],[age]]&lt;=60,"46-60","60+"))))</f>
        <v>46-60</v>
      </c>
      <c r="M921" s="2" t="str">
        <f>IF(Sheet1[[#This Row],[risk_score]]&lt;0.3,"Low",IF(Sheet1[[#This Row],[risk_score]]&lt;0.7,"Medium","High"))</f>
        <v>High</v>
      </c>
      <c r="N921">
        <f>YEAR(Sheet1[[#This Row],[date_joined]])</f>
        <v>2019</v>
      </c>
      <c r="O921" s="2" t="str">
        <f>TEXT(Sheet1[[#This Row],[date_joined]],"mmm")</f>
        <v>Sep</v>
      </c>
      <c r="P921" s="2" t="str">
        <f>"Q"&amp;ROUNDUP(MONTH(Sheet1[[#This Row],[date_joined]])/3,0)</f>
        <v>Q3</v>
      </c>
      <c r="Q921" s="2" t="str">
        <f>IF(Sheet1[[#This Row],[age]]&lt;30,"Young",IF(Sheet1[[#This Row],[age]]&lt;=50,"Adult","Senior"))</f>
        <v>Senior</v>
      </c>
      <c r="R921" s="2" t="str">
        <f t="shared" si="28"/>
        <v>High</v>
      </c>
      <c r="S921" s="2" t="str">
        <f t="shared" si="29"/>
        <v>East - Student</v>
      </c>
    </row>
    <row r="922" spans="1:19" x14ac:dyDescent="0.3">
      <c r="A922" t="s">
        <v>1867</v>
      </c>
      <c r="B922" t="s">
        <v>1868</v>
      </c>
      <c r="C922">
        <v>65</v>
      </c>
      <c r="D922" s="2" t="s">
        <v>13</v>
      </c>
      <c r="E922" s="2" t="s">
        <v>22</v>
      </c>
      <c r="F922" s="2" t="s">
        <v>31</v>
      </c>
      <c r="G922" s="2" t="s">
        <v>27</v>
      </c>
      <c r="H922" s="2" t="s">
        <v>17</v>
      </c>
      <c r="I922" s="2" t="s">
        <v>17</v>
      </c>
      <c r="J922">
        <v>0.47</v>
      </c>
      <c r="K922" s="1">
        <v>45022</v>
      </c>
      <c r="L922" s="2" t="str">
        <f>IF(Sheet1[[#This Row],[age]]&lt;18, "Under 18",IF(Sheet1[[#This Row],[age]]&lt;=30,"18-30",IF(Sheet1[[#This Row],[age]]&lt;=45,"31-45",IF(Sheet1[[#This Row],[age]]&lt;=60,"46-60","60+"))))</f>
        <v>60+</v>
      </c>
      <c r="M922" s="2" t="str">
        <f>IF(Sheet1[[#This Row],[risk_score]]&lt;0.3,"Low",IF(Sheet1[[#This Row],[risk_score]]&lt;0.7,"Medium","High"))</f>
        <v>Medium</v>
      </c>
      <c r="N922">
        <f>YEAR(Sheet1[[#This Row],[date_joined]])</f>
        <v>2023</v>
      </c>
      <c r="O922" s="2" t="str">
        <f>TEXT(Sheet1[[#This Row],[date_joined]],"mmm")</f>
        <v>Apr</v>
      </c>
      <c r="P922" s="2" t="str">
        <f>"Q"&amp;ROUNDUP(MONTH(Sheet1[[#This Row],[date_joined]])/3,0)</f>
        <v>Q2</v>
      </c>
      <c r="Q922" s="2" t="str">
        <f>IF(Sheet1[[#This Row],[age]]&lt;30,"Young",IF(Sheet1[[#This Row],[age]]&lt;=50,"Adult","Senior"))</f>
        <v>Senior</v>
      </c>
      <c r="R922" s="2" t="str">
        <f t="shared" si="28"/>
        <v>Low</v>
      </c>
      <c r="S922" s="2" t="str">
        <f t="shared" si="29"/>
        <v>North - Self-employed</v>
      </c>
    </row>
    <row r="923" spans="1:19" x14ac:dyDescent="0.3">
      <c r="A923" t="s">
        <v>1869</v>
      </c>
      <c r="B923" t="s">
        <v>1870</v>
      </c>
      <c r="C923">
        <v>27</v>
      </c>
      <c r="D923" s="2" t="s">
        <v>21</v>
      </c>
      <c r="E923" s="2" t="s">
        <v>22</v>
      </c>
      <c r="F923" s="2" t="s">
        <v>31</v>
      </c>
      <c r="G923" s="2" t="s">
        <v>24</v>
      </c>
      <c r="H923" s="2" t="s">
        <v>18</v>
      </c>
      <c r="I923" s="2" t="s">
        <v>17</v>
      </c>
      <c r="J923">
        <v>0.48</v>
      </c>
      <c r="K923" s="1">
        <v>44527</v>
      </c>
      <c r="L923" s="2" t="str">
        <f>IF(Sheet1[[#This Row],[age]]&lt;18, "Under 18",IF(Sheet1[[#This Row],[age]]&lt;=30,"18-30",IF(Sheet1[[#This Row],[age]]&lt;=45,"31-45",IF(Sheet1[[#This Row],[age]]&lt;=60,"46-60","60+"))))</f>
        <v>18-30</v>
      </c>
      <c r="M923" s="2" t="str">
        <f>IF(Sheet1[[#This Row],[risk_score]]&lt;0.3,"Low",IF(Sheet1[[#This Row],[risk_score]]&lt;0.7,"Medium","High"))</f>
        <v>Medium</v>
      </c>
      <c r="N923">
        <f>YEAR(Sheet1[[#This Row],[date_joined]])</f>
        <v>2021</v>
      </c>
      <c r="O923" s="2" t="str">
        <f>TEXT(Sheet1[[#This Row],[date_joined]],"mmm")</f>
        <v>Nov</v>
      </c>
      <c r="P923" s="2" t="str">
        <f>"Q"&amp;ROUNDUP(MONTH(Sheet1[[#This Row],[date_joined]])/3,0)</f>
        <v>Q4</v>
      </c>
      <c r="Q923" s="2" t="str">
        <f>IF(Sheet1[[#This Row],[age]]&lt;30,"Young",IF(Sheet1[[#This Row],[age]]&lt;=50,"Adult","Senior"))</f>
        <v>Young</v>
      </c>
      <c r="R923" s="2" t="str">
        <f t="shared" si="28"/>
        <v>High</v>
      </c>
      <c r="S923" s="2" t="str">
        <f t="shared" si="29"/>
        <v>East - Self-employed</v>
      </c>
    </row>
    <row r="924" spans="1:19" x14ac:dyDescent="0.3">
      <c r="A924" t="s">
        <v>1871</v>
      </c>
      <c r="B924" t="s">
        <v>1872</v>
      </c>
      <c r="C924">
        <v>55</v>
      </c>
      <c r="D924" s="2" t="s">
        <v>21</v>
      </c>
      <c r="E924" s="2" t="s">
        <v>22</v>
      </c>
      <c r="F924" s="2" t="s">
        <v>31</v>
      </c>
      <c r="G924" s="2" t="s">
        <v>66</v>
      </c>
      <c r="H924" s="2" t="s">
        <v>18</v>
      </c>
      <c r="I924" s="2" t="s">
        <v>18</v>
      </c>
      <c r="J924">
        <v>0.42</v>
      </c>
      <c r="K924" s="1">
        <v>43247</v>
      </c>
      <c r="L924" s="2" t="str">
        <f>IF(Sheet1[[#This Row],[age]]&lt;18, "Under 18",IF(Sheet1[[#This Row],[age]]&lt;=30,"18-30",IF(Sheet1[[#This Row],[age]]&lt;=45,"31-45",IF(Sheet1[[#This Row],[age]]&lt;=60,"46-60","60+"))))</f>
        <v>46-60</v>
      </c>
      <c r="M924" s="2" t="str">
        <f>IF(Sheet1[[#This Row],[risk_score]]&lt;0.3,"Low",IF(Sheet1[[#This Row],[risk_score]]&lt;0.7,"Medium","High"))</f>
        <v>Medium</v>
      </c>
      <c r="N924">
        <f>YEAR(Sheet1[[#This Row],[date_joined]])</f>
        <v>2018</v>
      </c>
      <c r="O924" s="2" t="str">
        <f>TEXT(Sheet1[[#This Row],[date_joined]],"mmm")</f>
        <v>May</v>
      </c>
      <c r="P924" s="2" t="str">
        <f>"Q"&amp;ROUNDUP(MONTH(Sheet1[[#This Row],[date_joined]])/3,0)</f>
        <v>Q2</v>
      </c>
      <c r="Q924" s="2" t="str">
        <f>IF(Sheet1[[#This Row],[age]]&lt;30,"Young",IF(Sheet1[[#This Row],[age]]&lt;=50,"Adult","Senior"))</f>
        <v>Senior</v>
      </c>
      <c r="R924" s="2" t="str">
        <f t="shared" si="28"/>
        <v>Very High</v>
      </c>
      <c r="S924" s="2" t="str">
        <f t="shared" si="29"/>
        <v>North-East - Self-employed</v>
      </c>
    </row>
    <row r="925" spans="1:19" x14ac:dyDescent="0.3">
      <c r="A925" t="s">
        <v>1873</v>
      </c>
      <c r="B925" t="s">
        <v>1874</v>
      </c>
      <c r="C925">
        <v>19</v>
      </c>
      <c r="D925" s="2" t="s">
        <v>21</v>
      </c>
      <c r="E925" s="2" t="s">
        <v>14</v>
      </c>
      <c r="F925" s="2" t="s">
        <v>37</v>
      </c>
      <c r="G925" s="2" t="s">
        <v>24</v>
      </c>
      <c r="H925" s="2" t="s">
        <v>17</v>
      </c>
      <c r="I925" s="2" t="s">
        <v>17</v>
      </c>
      <c r="J925">
        <v>0.81</v>
      </c>
      <c r="K925" s="1">
        <v>44554</v>
      </c>
      <c r="L925" s="2" t="str">
        <f>IF(Sheet1[[#This Row],[age]]&lt;18, "Under 18",IF(Sheet1[[#This Row],[age]]&lt;=30,"18-30",IF(Sheet1[[#This Row],[age]]&lt;=45,"31-45",IF(Sheet1[[#This Row],[age]]&lt;=60,"46-60","60+"))))</f>
        <v>18-30</v>
      </c>
      <c r="M925" s="2" t="str">
        <f>IF(Sheet1[[#This Row],[risk_score]]&lt;0.3,"Low",IF(Sheet1[[#This Row],[risk_score]]&lt;0.7,"Medium","High"))</f>
        <v>High</v>
      </c>
      <c r="N925">
        <f>YEAR(Sheet1[[#This Row],[date_joined]])</f>
        <v>2021</v>
      </c>
      <c r="O925" s="2" t="str">
        <f>TEXT(Sheet1[[#This Row],[date_joined]],"mmm")</f>
        <v>Dec</v>
      </c>
      <c r="P925" s="2" t="str">
        <f>"Q"&amp;ROUNDUP(MONTH(Sheet1[[#This Row],[date_joined]])/3,0)</f>
        <v>Q4</v>
      </c>
      <c r="Q925" s="2" t="str">
        <f>IF(Sheet1[[#This Row],[age]]&lt;30,"Young",IF(Sheet1[[#This Row],[age]]&lt;=50,"Adult","Senior"))</f>
        <v>Young</v>
      </c>
      <c r="R925" s="2" t="str">
        <f t="shared" si="28"/>
        <v>Low</v>
      </c>
      <c r="S925" s="2" t="str">
        <f t="shared" si="29"/>
        <v>East - Retired</v>
      </c>
    </row>
    <row r="926" spans="1:19" x14ac:dyDescent="0.3">
      <c r="A926" t="s">
        <v>1875</v>
      </c>
      <c r="B926" t="s">
        <v>1876</v>
      </c>
      <c r="C926">
        <v>20</v>
      </c>
      <c r="D926" s="2" t="s">
        <v>13</v>
      </c>
      <c r="E926" s="2" t="s">
        <v>14</v>
      </c>
      <c r="F926" s="2" t="s">
        <v>31</v>
      </c>
      <c r="G926" s="2" t="s">
        <v>32</v>
      </c>
      <c r="H926" s="2" t="s">
        <v>17</v>
      </c>
      <c r="I926" s="2" t="s">
        <v>17</v>
      </c>
      <c r="J926">
        <v>0.71</v>
      </c>
      <c r="K926" s="1">
        <v>43721</v>
      </c>
      <c r="L926" s="2" t="str">
        <f>IF(Sheet1[[#This Row],[age]]&lt;18, "Under 18",IF(Sheet1[[#This Row],[age]]&lt;=30,"18-30",IF(Sheet1[[#This Row],[age]]&lt;=45,"31-45",IF(Sheet1[[#This Row],[age]]&lt;=60,"46-60","60+"))))</f>
        <v>18-30</v>
      </c>
      <c r="M926" s="2" t="str">
        <f>IF(Sheet1[[#This Row],[risk_score]]&lt;0.3,"Low",IF(Sheet1[[#This Row],[risk_score]]&lt;0.7,"Medium","High"))</f>
        <v>High</v>
      </c>
      <c r="N926">
        <f>YEAR(Sheet1[[#This Row],[date_joined]])</f>
        <v>2019</v>
      </c>
      <c r="O926" s="2" t="str">
        <f>TEXT(Sheet1[[#This Row],[date_joined]],"mmm")</f>
        <v>Sep</v>
      </c>
      <c r="P926" s="2" t="str">
        <f>"Q"&amp;ROUNDUP(MONTH(Sheet1[[#This Row],[date_joined]])/3,0)</f>
        <v>Q3</v>
      </c>
      <c r="Q926" s="2" t="str">
        <f>IF(Sheet1[[#This Row],[age]]&lt;30,"Young",IF(Sheet1[[#This Row],[age]]&lt;=50,"Adult","Senior"))</f>
        <v>Young</v>
      </c>
      <c r="R926" s="2" t="str">
        <f t="shared" si="28"/>
        <v>Low</v>
      </c>
      <c r="S926" s="2" t="str">
        <f t="shared" si="29"/>
        <v>South - Self-employed</v>
      </c>
    </row>
    <row r="927" spans="1:19" x14ac:dyDescent="0.3">
      <c r="A927" t="s">
        <v>1877</v>
      </c>
      <c r="B927" t="s">
        <v>1878</v>
      </c>
      <c r="C927">
        <v>61</v>
      </c>
      <c r="D927" s="2" t="s">
        <v>13</v>
      </c>
      <c r="E927" s="2" t="s">
        <v>14</v>
      </c>
      <c r="F927" s="2" t="s">
        <v>37</v>
      </c>
      <c r="G927" s="2" t="s">
        <v>16</v>
      </c>
      <c r="H927" s="2" t="s">
        <v>17</v>
      </c>
      <c r="I927" s="2" t="s">
        <v>18</v>
      </c>
      <c r="J927">
        <v>0.56999999999999995</v>
      </c>
      <c r="K927" s="1">
        <v>44235</v>
      </c>
      <c r="L927" s="2" t="str">
        <f>IF(Sheet1[[#This Row],[age]]&lt;18, "Under 18",IF(Sheet1[[#This Row],[age]]&lt;=30,"18-30",IF(Sheet1[[#This Row],[age]]&lt;=45,"31-45",IF(Sheet1[[#This Row],[age]]&lt;=60,"46-60","60+"))))</f>
        <v>60+</v>
      </c>
      <c r="M927" s="2" t="str">
        <f>IF(Sheet1[[#This Row],[risk_score]]&lt;0.3,"Low",IF(Sheet1[[#This Row],[risk_score]]&lt;0.7,"Medium","High"))</f>
        <v>Medium</v>
      </c>
      <c r="N927">
        <f>YEAR(Sheet1[[#This Row],[date_joined]])</f>
        <v>2021</v>
      </c>
      <c r="O927" s="2" t="str">
        <f>TEXT(Sheet1[[#This Row],[date_joined]],"mmm")</f>
        <v>Feb</v>
      </c>
      <c r="P927" s="2" t="str">
        <f>"Q"&amp;ROUNDUP(MONTH(Sheet1[[#This Row],[date_joined]])/3,0)</f>
        <v>Q1</v>
      </c>
      <c r="Q927" s="2" t="str">
        <f>IF(Sheet1[[#This Row],[age]]&lt;30,"Young",IF(Sheet1[[#This Row],[age]]&lt;=50,"Adult","Senior"))</f>
        <v>Senior</v>
      </c>
      <c r="R927" s="2" t="str">
        <f t="shared" si="28"/>
        <v>High</v>
      </c>
      <c r="S927" s="2" t="str">
        <f t="shared" si="29"/>
        <v>West - Retired</v>
      </c>
    </row>
    <row r="928" spans="1:19" x14ac:dyDescent="0.3">
      <c r="A928" t="s">
        <v>1879</v>
      </c>
      <c r="B928" t="s">
        <v>1880</v>
      </c>
      <c r="C928">
        <v>32</v>
      </c>
      <c r="D928" s="2" t="s">
        <v>21</v>
      </c>
      <c r="E928" s="2" t="s">
        <v>22</v>
      </c>
      <c r="F928" s="2" t="s">
        <v>23</v>
      </c>
      <c r="G928" s="2" t="s">
        <v>66</v>
      </c>
      <c r="H928" s="2" t="s">
        <v>18</v>
      </c>
      <c r="I928" s="2" t="s">
        <v>17</v>
      </c>
      <c r="J928">
        <v>0.4</v>
      </c>
      <c r="K928" s="1">
        <v>43427</v>
      </c>
      <c r="L928" s="2" t="str">
        <f>IF(Sheet1[[#This Row],[age]]&lt;18, "Under 18",IF(Sheet1[[#This Row],[age]]&lt;=30,"18-30",IF(Sheet1[[#This Row],[age]]&lt;=45,"31-45",IF(Sheet1[[#This Row],[age]]&lt;=60,"46-60","60+"))))</f>
        <v>31-45</v>
      </c>
      <c r="M928" s="2" t="str">
        <f>IF(Sheet1[[#This Row],[risk_score]]&lt;0.3,"Low",IF(Sheet1[[#This Row],[risk_score]]&lt;0.7,"Medium","High"))</f>
        <v>Medium</v>
      </c>
      <c r="N928">
        <f>YEAR(Sheet1[[#This Row],[date_joined]])</f>
        <v>2018</v>
      </c>
      <c r="O928" s="2" t="str">
        <f>TEXT(Sheet1[[#This Row],[date_joined]],"mmm")</f>
        <v>Nov</v>
      </c>
      <c r="P928" s="2" t="str">
        <f>"Q"&amp;ROUNDUP(MONTH(Sheet1[[#This Row],[date_joined]])/3,0)</f>
        <v>Q4</v>
      </c>
      <c r="Q928" s="2" t="str">
        <f>IF(Sheet1[[#This Row],[age]]&lt;30,"Young",IF(Sheet1[[#This Row],[age]]&lt;=50,"Adult","Senior"))</f>
        <v>Adult</v>
      </c>
      <c r="R928" s="2" t="str">
        <f t="shared" si="28"/>
        <v>High</v>
      </c>
      <c r="S928" s="2" t="str">
        <f t="shared" si="29"/>
        <v>North-East - Salaried</v>
      </c>
    </row>
    <row r="929" spans="1:19" x14ac:dyDescent="0.3">
      <c r="A929" t="s">
        <v>1881</v>
      </c>
      <c r="B929" t="s">
        <v>1882</v>
      </c>
      <c r="C929">
        <v>53</v>
      </c>
      <c r="D929" s="2" t="s">
        <v>13</v>
      </c>
      <c r="E929" s="2" t="s">
        <v>30</v>
      </c>
      <c r="F929" s="2" t="s">
        <v>15</v>
      </c>
      <c r="G929" s="2" t="s">
        <v>66</v>
      </c>
      <c r="H929" s="2" t="s">
        <v>18</v>
      </c>
      <c r="I929" s="2" t="s">
        <v>17</v>
      </c>
      <c r="J929">
        <v>0.38</v>
      </c>
      <c r="K929" s="1">
        <v>43452</v>
      </c>
      <c r="L929" s="2" t="str">
        <f>IF(Sheet1[[#This Row],[age]]&lt;18, "Under 18",IF(Sheet1[[#This Row],[age]]&lt;=30,"18-30",IF(Sheet1[[#This Row],[age]]&lt;=45,"31-45",IF(Sheet1[[#This Row],[age]]&lt;=60,"46-60","60+"))))</f>
        <v>46-60</v>
      </c>
      <c r="M929" s="2" t="str">
        <f>IF(Sheet1[[#This Row],[risk_score]]&lt;0.3,"Low",IF(Sheet1[[#This Row],[risk_score]]&lt;0.7,"Medium","High"))</f>
        <v>Medium</v>
      </c>
      <c r="N929">
        <f>YEAR(Sheet1[[#This Row],[date_joined]])</f>
        <v>2018</v>
      </c>
      <c r="O929" s="2" t="str">
        <f>TEXT(Sheet1[[#This Row],[date_joined]],"mmm")</f>
        <v>Dec</v>
      </c>
      <c r="P929" s="2" t="str">
        <f>"Q"&amp;ROUNDUP(MONTH(Sheet1[[#This Row],[date_joined]])/3,0)</f>
        <v>Q4</v>
      </c>
      <c r="Q929" s="2" t="str">
        <f>IF(Sheet1[[#This Row],[age]]&lt;30,"Young",IF(Sheet1[[#This Row],[age]]&lt;=50,"Adult","Senior"))</f>
        <v>Senior</v>
      </c>
      <c r="R929" s="2" t="str">
        <f t="shared" si="28"/>
        <v>High</v>
      </c>
      <c r="S929" s="2" t="str">
        <f t="shared" si="29"/>
        <v>North-East - Student</v>
      </c>
    </row>
    <row r="930" spans="1:19" x14ac:dyDescent="0.3">
      <c r="A930" t="s">
        <v>1883</v>
      </c>
      <c r="B930" t="s">
        <v>1884</v>
      </c>
      <c r="C930">
        <v>62</v>
      </c>
      <c r="D930" s="2" t="s">
        <v>13</v>
      </c>
      <c r="E930" s="2" t="s">
        <v>14</v>
      </c>
      <c r="F930" s="2" t="s">
        <v>23</v>
      </c>
      <c r="G930" s="2" t="s">
        <v>24</v>
      </c>
      <c r="H930" s="2" t="s">
        <v>18</v>
      </c>
      <c r="I930" s="2" t="s">
        <v>18</v>
      </c>
      <c r="J930">
        <v>0.48</v>
      </c>
      <c r="K930" s="1">
        <v>44089</v>
      </c>
      <c r="L930" s="2" t="str">
        <f>IF(Sheet1[[#This Row],[age]]&lt;18, "Under 18",IF(Sheet1[[#This Row],[age]]&lt;=30,"18-30",IF(Sheet1[[#This Row],[age]]&lt;=45,"31-45",IF(Sheet1[[#This Row],[age]]&lt;=60,"46-60","60+"))))</f>
        <v>60+</v>
      </c>
      <c r="M930" s="2" t="str">
        <f>IF(Sheet1[[#This Row],[risk_score]]&lt;0.3,"Low",IF(Sheet1[[#This Row],[risk_score]]&lt;0.7,"Medium","High"))</f>
        <v>Medium</v>
      </c>
      <c r="N930">
        <f>YEAR(Sheet1[[#This Row],[date_joined]])</f>
        <v>2020</v>
      </c>
      <c r="O930" s="2" t="str">
        <f>TEXT(Sheet1[[#This Row],[date_joined]],"mmm")</f>
        <v>Sep</v>
      </c>
      <c r="P930" s="2" t="str">
        <f>"Q"&amp;ROUNDUP(MONTH(Sheet1[[#This Row],[date_joined]])/3,0)</f>
        <v>Q3</v>
      </c>
      <c r="Q930" s="2" t="str">
        <f>IF(Sheet1[[#This Row],[age]]&lt;30,"Young",IF(Sheet1[[#This Row],[age]]&lt;=50,"Adult","Senior"))</f>
        <v>Senior</v>
      </c>
      <c r="R930" s="2" t="str">
        <f t="shared" si="28"/>
        <v>Very High</v>
      </c>
      <c r="S930" s="2" t="str">
        <f t="shared" si="29"/>
        <v>East - Salaried</v>
      </c>
    </row>
    <row r="931" spans="1:19" x14ac:dyDescent="0.3">
      <c r="A931" t="s">
        <v>1885</v>
      </c>
      <c r="B931" t="s">
        <v>1886</v>
      </c>
      <c r="C931">
        <v>50</v>
      </c>
      <c r="D931" s="2" t="s">
        <v>21</v>
      </c>
      <c r="E931" s="2" t="s">
        <v>30</v>
      </c>
      <c r="F931" s="2" t="s">
        <v>37</v>
      </c>
      <c r="G931" s="2" t="s">
        <v>24</v>
      </c>
      <c r="H931" s="2" t="s">
        <v>17</v>
      </c>
      <c r="I931" s="2" t="s">
        <v>18</v>
      </c>
      <c r="J931">
        <v>0.2</v>
      </c>
      <c r="K931" s="1">
        <v>44522</v>
      </c>
      <c r="L931" s="2" t="str">
        <f>IF(Sheet1[[#This Row],[age]]&lt;18, "Under 18",IF(Sheet1[[#This Row],[age]]&lt;=30,"18-30",IF(Sheet1[[#This Row],[age]]&lt;=45,"31-45",IF(Sheet1[[#This Row],[age]]&lt;=60,"46-60","60+"))))</f>
        <v>46-60</v>
      </c>
      <c r="M931" s="2" t="str">
        <f>IF(Sheet1[[#This Row],[risk_score]]&lt;0.3,"Low",IF(Sheet1[[#This Row],[risk_score]]&lt;0.7,"Medium","High"))</f>
        <v>Low</v>
      </c>
      <c r="N931">
        <f>YEAR(Sheet1[[#This Row],[date_joined]])</f>
        <v>2021</v>
      </c>
      <c r="O931" s="2" t="str">
        <f>TEXT(Sheet1[[#This Row],[date_joined]],"mmm")</f>
        <v>Nov</v>
      </c>
      <c r="P931" s="2" t="str">
        <f>"Q"&amp;ROUNDUP(MONTH(Sheet1[[#This Row],[date_joined]])/3,0)</f>
        <v>Q4</v>
      </c>
      <c r="Q931" s="2" t="str">
        <f>IF(Sheet1[[#This Row],[age]]&lt;30,"Young",IF(Sheet1[[#This Row],[age]]&lt;=50,"Adult","Senior"))</f>
        <v>Adult</v>
      </c>
      <c r="R931" s="2" t="str">
        <f t="shared" si="28"/>
        <v>High</v>
      </c>
      <c r="S931" s="2" t="str">
        <f t="shared" si="29"/>
        <v>East - Retired</v>
      </c>
    </row>
    <row r="932" spans="1:19" x14ac:dyDescent="0.3">
      <c r="A932" t="s">
        <v>1887</v>
      </c>
      <c r="B932" t="s">
        <v>1888</v>
      </c>
      <c r="C932">
        <v>57</v>
      </c>
      <c r="D932" s="2" t="s">
        <v>13</v>
      </c>
      <c r="E932" s="2" t="s">
        <v>14</v>
      </c>
      <c r="F932" s="2" t="s">
        <v>15</v>
      </c>
      <c r="G932" s="2" t="s">
        <v>16</v>
      </c>
      <c r="H932" s="2" t="s">
        <v>18</v>
      </c>
      <c r="I932" s="2" t="s">
        <v>17</v>
      </c>
      <c r="J932">
        <v>0.35</v>
      </c>
      <c r="K932" s="1">
        <v>43769</v>
      </c>
      <c r="L932" s="2" t="str">
        <f>IF(Sheet1[[#This Row],[age]]&lt;18, "Under 18",IF(Sheet1[[#This Row],[age]]&lt;=30,"18-30",IF(Sheet1[[#This Row],[age]]&lt;=45,"31-45",IF(Sheet1[[#This Row],[age]]&lt;=60,"46-60","60+"))))</f>
        <v>46-60</v>
      </c>
      <c r="M932" s="2" t="str">
        <f>IF(Sheet1[[#This Row],[risk_score]]&lt;0.3,"Low",IF(Sheet1[[#This Row],[risk_score]]&lt;0.7,"Medium","High"))</f>
        <v>Medium</v>
      </c>
      <c r="N932">
        <f>YEAR(Sheet1[[#This Row],[date_joined]])</f>
        <v>2019</v>
      </c>
      <c r="O932" s="2" t="str">
        <f>TEXT(Sheet1[[#This Row],[date_joined]],"mmm")</f>
        <v>Oct</v>
      </c>
      <c r="P932" s="2" t="str">
        <f>"Q"&amp;ROUNDUP(MONTH(Sheet1[[#This Row],[date_joined]])/3,0)</f>
        <v>Q4</v>
      </c>
      <c r="Q932" s="2" t="str">
        <f>IF(Sheet1[[#This Row],[age]]&lt;30,"Young",IF(Sheet1[[#This Row],[age]]&lt;=50,"Adult","Senior"))</f>
        <v>Senior</v>
      </c>
      <c r="R932" s="2" t="str">
        <f t="shared" si="28"/>
        <v>High</v>
      </c>
      <c r="S932" s="2" t="str">
        <f t="shared" si="29"/>
        <v>West - Student</v>
      </c>
    </row>
    <row r="933" spans="1:19" x14ac:dyDescent="0.3">
      <c r="A933" t="s">
        <v>1889</v>
      </c>
      <c r="B933" t="s">
        <v>1890</v>
      </c>
      <c r="C933">
        <v>54</v>
      </c>
      <c r="D933" s="2" t="s">
        <v>21</v>
      </c>
      <c r="E933" s="2" t="s">
        <v>22</v>
      </c>
      <c r="F933" s="2" t="s">
        <v>37</v>
      </c>
      <c r="G933" s="2" t="s">
        <v>66</v>
      </c>
      <c r="H933" s="2" t="s">
        <v>17</v>
      </c>
      <c r="I933" s="2" t="s">
        <v>18</v>
      </c>
      <c r="J933">
        <v>0.62</v>
      </c>
      <c r="K933" s="1">
        <v>44267</v>
      </c>
      <c r="L933" s="2" t="str">
        <f>IF(Sheet1[[#This Row],[age]]&lt;18, "Under 18",IF(Sheet1[[#This Row],[age]]&lt;=30,"18-30",IF(Sheet1[[#This Row],[age]]&lt;=45,"31-45",IF(Sheet1[[#This Row],[age]]&lt;=60,"46-60","60+"))))</f>
        <v>46-60</v>
      </c>
      <c r="M933" s="2" t="str">
        <f>IF(Sheet1[[#This Row],[risk_score]]&lt;0.3,"Low",IF(Sheet1[[#This Row],[risk_score]]&lt;0.7,"Medium","High"))</f>
        <v>Medium</v>
      </c>
      <c r="N933">
        <f>YEAR(Sheet1[[#This Row],[date_joined]])</f>
        <v>2021</v>
      </c>
      <c r="O933" s="2" t="str">
        <f>TEXT(Sheet1[[#This Row],[date_joined]],"mmm")</f>
        <v>Mar</v>
      </c>
      <c r="P933" s="2" t="str">
        <f>"Q"&amp;ROUNDUP(MONTH(Sheet1[[#This Row],[date_joined]])/3,0)</f>
        <v>Q1</v>
      </c>
      <c r="Q933" s="2" t="str">
        <f>IF(Sheet1[[#This Row],[age]]&lt;30,"Young",IF(Sheet1[[#This Row],[age]]&lt;=50,"Adult","Senior"))</f>
        <v>Senior</v>
      </c>
      <c r="R933" s="2" t="str">
        <f t="shared" si="28"/>
        <v>High</v>
      </c>
      <c r="S933" s="2" t="str">
        <f t="shared" si="29"/>
        <v>North-East - Retired</v>
      </c>
    </row>
    <row r="934" spans="1:19" x14ac:dyDescent="0.3">
      <c r="A934" t="s">
        <v>1891</v>
      </c>
      <c r="B934" t="s">
        <v>1892</v>
      </c>
      <c r="C934">
        <v>47</v>
      </c>
      <c r="D934" s="2" t="s">
        <v>13</v>
      </c>
      <c r="E934" s="2" t="s">
        <v>14</v>
      </c>
      <c r="F934" s="2" t="s">
        <v>31</v>
      </c>
      <c r="G934" s="2" t="s">
        <v>27</v>
      </c>
      <c r="H934" s="2" t="s">
        <v>18</v>
      </c>
      <c r="I934" s="2" t="s">
        <v>18</v>
      </c>
      <c r="J934">
        <v>0.31</v>
      </c>
      <c r="K934" s="1">
        <v>44598</v>
      </c>
      <c r="L934" s="2" t="str">
        <f>IF(Sheet1[[#This Row],[age]]&lt;18, "Under 18",IF(Sheet1[[#This Row],[age]]&lt;=30,"18-30",IF(Sheet1[[#This Row],[age]]&lt;=45,"31-45",IF(Sheet1[[#This Row],[age]]&lt;=60,"46-60","60+"))))</f>
        <v>46-60</v>
      </c>
      <c r="M934" s="2" t="str">
        <f>IF(Sheet1[[#This Row],[risk_score]]&lt;0.3,"Low",IF(Sheet1[[#This Row],[risk_score]]&lt;0.7,"Medium","High"))</f>
        <v>Medium</v>
      </c>
      <c r="N934">
        <f>YEAR(Sheet1[[#This Row],[date_joined]])</f>
        <v>2022</v>
      </c>
      <c r="O934" s="2" t="str">
        <f>TEXT(Sheet1[[#This Row],[date_joined]],"mmm")</f>
        <v>Feb</v>
      </c>
      <c r="P934" s="2" t="str">
        <f>"Q"&amp;ROUNDUP(MONTH(Sheet1[[#This Row],[date_joined]])/3,0)</f>
        <v>Q1</v>
      </c>
      <c r="Q934" s="2" t="str">
        <f>IF(Sheet1[[#This Row],[age]]&lt;30,"Young",IF(Sheet1[[#This Row],[age]]&lt;=50,"Adult","Senior"))</f>
        <v>Adult</v>
      </c>
      <c r="R934" s="2" t="str">
        <f t="shared" si="28"/>
        <v>Very High</v>
      </c>
      <c r="S934" s="2" t="str">
        <f t="shared" si="29"/>
        <v>North - Self-employed</v>
      </c>
    </row>
    <row r="935" spans="1:19" x14ac:dyDescent="0.3">
      <c r="A935" t="s">
        <v>1893</v>
      </c>
      <c r="B935" t="s">
        <v>1894</v>
      </c>
      <c r="C935">
        <v>68</v>
      </c>
      <c r="D935" s="2" t="s">
        <v>13</v>
      </c>
      <c r="E935" s="2" t="s">
        <v>22</v>
      </c>
      <c r="F935" s="2" t="s">
        <v>15</v>
      </c>
      <c r="G935" s="2" t="s">
        <v>27</v>
      </c>
      <c r="H935" s="2" t="s">
        <v>17</v>
      </c>
      <c r="I935" s="2" t="s">
        <v>17</v>
      </c>
      <c r="J935">
        <v>0.46</v>
      </c>
      <c r="K935" s="1">
        <v>44883</v>
      </c>
      <c r="L935" s="2" t="str">
        <f>IF(Sheet1[[#This Row],[age]]&lt;18, "Under 18",IF(Sheet1[[#This Row],[age]]&lt;=30,"18-30",IF(Sheet1[[#This Row],[age]]&lt;=45,"31-45",IF(Sheet1[[#This Row],[age]]&lt;=60,"46-60","60+"))))</f>
        <v>60+</v>
      </c>
      <c r="M935" s="2" t="str">
        <f>IF(Sheet1[[#This Row],[risk_score]]&lt;0.3,"Low",IF(Sheet1[[#This Row],[risk_score]]&lt;0.7,"Medium","High"))</f>
        <v>Medium</v>
      </c>
      <c r="N935">
        <f>YEAR(Sheet1[[#This Row],[date_joined]])</f>
        <v>2022</v>
      </c>
      <c r="O935" s="2" t="str">
        <f>TEXT(Sheet1[[#This Row],[date_joined]],"mmm")</f>
        <v>Nov</v>
      </c>
      <c r="P935" s="2" t="str">
        <f>"Q"&amp;ROUNDUP(MONTH(Sheet1[[#This Row],[date_joined]])/3,0)</f>
        <v>Q4</v>
      </c>
      <c r="Q935" s="2" t="str">
        <f>IF(Sheet1[[#This Row],[age]]&lt;30,"Young",IF(Sheet1[[#This Row],[age]]&lt;=50,"Adult","Senior"))</f>
        <v>Senior</v>
      </c>
      <c r="R935" s="2" t="str">
        <f t="shared" si="28"/>
        <v>Low</v>
      </c>
      <c r="S935" s="2" t="str">
        <f t="shared" si="29"/>
        <v>North - Student</v>
      </c>
    </row>
    <row r="936" spans="1:19" x14ac:dyDescent="0.3">
      <c r="A936" t="s">
        <v>1895</v>
      </c>
      <c r="B936" t="s">
        <v>1896</v>
      </c>
      <c r="C936">
        <v>66</v>
      </c>
      <c r="D936" s="2" t="s">
        <v>13</v>
      </c>
      <c r="E936" s="2" t="s">
        <v>14</v>
      </c>
      <c r="F936" s="2" t="s">
        <v>37</v>
      </c>
      <c r="G936" s="2" t="s">
        <v>81</v>
      </c>
      <c r="H936" s="2" t="s">
        <v>17</v>
      </c>
      <c r="I936" s="2" t="s">
        <v>17</v>
      </c>
      <c r="J936">
        <v>0.73</v>
      </c>
      <c r="K936" s="1">
        <v>44818</v>
      </c>
      <c r="L936" s="2" t="str">
        <f>IF(Sheet1[[#This Row],[age]]&lt;18, "Under 18",IF(Sheet1[[#This Row],[age]]&lt;=30,"18-30",IF(Sheet1[[#This Row],[age]]&lt;=45,"31-45",IF(Sheet1[[#This Row],[age]]&lt;=60,"46-60","60+"))))</f>
        <v>60+</v>
      </c>
      <c r="M936" s="2" t="str">
        <f>IF(Sheet1[[#This Row],[risk_score]]&lt;0.3,"Low",IF(Sheet1[[#This Row],[risk_score]]&lt;0.7,"Medium","High"))</f>
        <v>High</v>
      </c>
      <c r="N936">
        <f>YEAR(Sheet1[[#This Row],[date_joined]])</f>
        <v>2022</v>
      </c>
      <c r="O936" s="2" t="str">
        <f>TEXT(Sheet1[[#This Row],[date_joined]],"mmm")</f>
        <v>Sep</v>
      </c>
      <c r="P936" s="2" t="str">
        <f>"Q"&amp;ROUNDUP(MONTH(Sheet1[[#This Row],[date_joined]])/3,0)</f>
        <v>Q3</v>
      </c>
      <c r="Q936" s="2" t="str">
        <f>IF(Sheet1[[#This Row],[age]]&lt;30,"Young",IF(Sheet1[[#This Row],[age]]&lt;=50,"Adult","Senior"))</f>
        <v>Senior</v>
      </c>
      <c r="R936" s="2" t="str">
        <f t="shared" si="28"/>
        <v>Low</v>
      </c>
      <c r="S936" s="2" t="str">
        <f t="shared" si="29"/>
        <v>Central - Retired</v>
      </c>
    </row>
    <row r="937" spans="1:19" x14ac:dyDescent="0.3">
      <c r="A937" t="s">
        <v>1897</v>
      </c>
      <c r="B937" t="s">
        <v>1898</v>
      </c>
      <c r="C937">
        <v>65</v>
      </c>
      <c r="D937" s="2" t="s">
        <v>13</v>
      </c>
      <c r="E937" s="2" t="s">
        <v>14</v>
      </c>
      <c r="F937" s="2" t="s">
        <v>37</v>
      </c>
      <c r="G937" s="2" t="s">
        <v>27</v>
      </c>
      <c r="H937" s="2" t="s">
        <v>18</v>
      </c>
      <c r="I937" s="2" t="s">
        <v>18</v>
      </c>
      <c r="J937">
        <v>0.33</v>
      </c>
      <c r="K937" s="1">
        <v>43142</v>
      </c>
      <c r="L937" s="2" t="str">
        <f>IF(Sheet1[[#This Row],[age]]&lt;18, "Under 18",IF(Sheet1[[#This Row],[age]]&lt;=30,"18-30",IF(Sheet1[[#This Row],[age]]&lt;=45,"31-45",IF(Sheet1[[#This Row],[age]]&lt;=60,"46-60","60+"))))</f>
        <v>60+</v>
      </c>
      <c r="M937" s="2" t="str">
        <f>IF(Sheet1[[#This Row],[risk_score]]&lt;0.3,"Low",IF(Sheet1[[#This Row],[risk_score]]&lt;0.7,"Medium","High"))</f>
        <v>Medium</v>
      </c>
      <c r="N937">
        <f>YEAR(Sheet1[[#This Row],[date_joined]])</f>
        <v>2018</v>
      </c>
      <c r="O937" s="2" t="str">
        <f>TEXT(Sheet1[[#This Row],[date_joined]],"mmm")</f>
        <v>Feb</v>
      </c>
      <c r="P937" s="2" t="str">
        <f>"Q"&amp;ROUNDUP(MONTH(Sheet1[[#This Row],[date_joined]])/3,0)</f>
        <v>Q1</v>
      </c>
      <c r="Q937" s="2" t="str">
        <f>IF(Sheet1[[#This Row],[age]]&lt;30,"Young",IF(Sheet1[[#This Row],[age]]&lt;=50,"Adult","Senior"))</f>
        <v>Senior</v>
      </c>
      <c r="R937" s="2" t="str">
        <f t="shared" si="28"/>
        <v>Very High</v>
      </c>
      <c r="S937" s="2" t="str">
        <f t="shared" si="29"/>
        <v>North - Retired</v>
      </c>
    </row>
    <row r="938" spans="1:19" x14ac:dyDescent="0.3">
      <c r="A938" t="s">
        <v>1899</v>
      </c>
      <c r="B938" t="s">
        <v>1900</v>
      </c>
      <c r="C938">
        <v>57</v>
      </c>
      <c r="D938" s="2" t="s">
        <v>13</v>
      </c>
      <c r="E938" s="2" t="s">
        <v>30</v>
      </c>
      <c r="F938" s="2" t="s">
        <v>31</v>
      </c>
      <c r="G938" s="2" t="s">
        <v>32</v>
      </c>
      <c r="H938" s="2" t="s">
        <v>17</v>
      </c>
      <c r="I938" s="2" t="s">
        <v>18</v>
      </c>
      <c r="J938">
        <v>0.23</v>
      </c>
      <c r="K938" s="1">
        <v>43694</v>
      </c>
      <c r="L938" s="2" t="str">
        <f>IF(Sheet1[[#This Row],[age]]&lt;18, "Under 18",IF(Sheet1[[#This Row],[age]]&lt;=30,"18-30",IF(Sheet1[[#This Row],[age]]&lt;=45,"31-45",IF(Sheet1[[#This Row],[age]]&lt;=60,"46-60","60+"))))</f>
        <v>46-60</v>
      </c>
      <c r="M938" s="2" t="str">
        <f>IF(Sheet1[[#This Row],[risk_score]]&lt;0.3,"Low",IF(Sheet1[[#This Row],[risk_score]]&lt;0.7,"Medium","High"))</f>
        <v>Low</v>
      </c>
      <c r="N938">
        <f>YEAR(Sheet1[[#This Row],[date_joined]])</f>
        <v>2019</v>
      </c>
      <c r="O938" s="2" t="str">
        <f>TEXT(Sheet1[[#This Row],[date_joined]],"mmm")</f>
        <v>Aug</v>
      </c>
      <c r="P938" s="2" t="str">
        <f>"Q"&amp;ROUNDUP(MONTH(Sheet1[[#This Row],[date_joined]])/3,0)</f>
        <v>Q3</v>
      </c>
      <c r="Q938" s="2" t="str">
        <f>IF(Sheet1[[#This Row],[age]]&lt;30,"Young",IF(Sheet1[[#This Row],[age]]&lt;=50,"Adult","Senior"))</f>
        <v>Senior</v>
      </c>
      <c r="R938" s="2" t="str">
        <f t="shared" si="28"/>
        <v>High</v>
      </c>
      <c r="S938" s="2" t="str">
        <f t="shared" si="29"/>
        <v>South - Self-employed</v>
      </c>
    </row>
    <row r="939" spans="1:19" x14ac:dyDescent="0.3">
      <c r="A939" t="s">
        <v>1901</v>
      </c>
      <c r="B939" t="s">
        <v>1902</v>
      </c>
      <c r="C939">
        <v>65</v>
      </c>
      <c r="D939" s="2" t="s">
        <v>21</v>
      </c>
      <c r="E939" s="2" t="s">
        <v>30</v>
      </c>
      <c r="F939" s="2" t="s">
        <v>15</v>
      </c>
      <c r="G939" s="2" t="s">
        <v>27</v>
      </c>
      <c r="H939" s="2" t="s">
        <v>17</v>
      </c>
      <c r="I939" s="2" t="s">
        <v>17</v>
      </c>
      <c r="J939">
        <v>0.61</v>
      </c>
      <c r="K939" s="1">
        <v>43778</v>
      </c>
      <c r="L939" s="2" t="str">
        <f>IF(Sheet1[[#This Row],[age]]&lt;18, "Under 18",IF(Sheet1[[#This Row],[age]]&lt;=30,"18-30",IF(Sheet1[[#This Row],[age]]&lt;=45,"31-45",IF(Sheet1[[#This Row],[age]]&lt;=60,"46-60","60+"))))</f>
        <v>60+</v>
      </c>
      <c r="M939" s="2" t="str">
        <f>IF(Sheet1[[#This Row],[risk_score]]&lt;0.3,"Low",IF(Sheet1[[#This Row],[risk_score]]&lt;0.7,"Medium","High"))</f>
        <v>Medium</v>
      </c>
      <c r="N939">
        <f>YEAR(Sheet1[[#This Row],[date_joined]])</f>
        <v>2019</v>
      </c>
      <c r="O939" s="2" t="str">
        <f>TEXT(Sheet1[[#This Row],[date_joined]],"mmm")</f>
        <v>Nov</v>
      </c>
      <c r="P939" s="2" t="str">
        <f>"Q"&amp;ROUNDUP(MONTH(Sheet1[[#This Row],[date_joined]])/3,0)</f>
        <v>Q4</v>
      </c>
      <c r="Q939" s="2" t="str">
        <f>IF(Sheet1[[#This Row],[age]]&lt;30,"Young",IF(Sheet1[[#This Row],[age]]&lt;=50,"Adult","Senior"))</f>
        <v>Senior</v>
      </c>
      <c r="R939" s="2" t="str">
        <f t="shared" si="28"/>
        <v>Low</v>
      </c>
      <c r="S939" s="2" t="str">
        <f t="shared" si="29"/>
        <v>North - Student</v>
      </c>
    </row>
    <row r="940" spans="1:19" x14ac:dyDescent="0.3">
      <c r="A940" t="s">
        <v>1903</v>
      </c>
      <c r="B940" t="s">
        <v>1904</v>
      </c>
      <c r="C940">
        <v>31</v>
      </c>
      <c r="D940" s="2" t="s">
        <v>13</v>
      </c>
      <c r="E940" s="2" t="s">
        <v>22</v>
      </c>
      <c r="F940" s="2" t="s">
        <v>37</v>
      </c>
      <c r="G940" s="2" t="s">
        <v>24</v>
      </c>
      <c r="H940" s="2" t="s">
        <v>18</v>
      </c>
      <c r="I940" s="2" t="s">
        <v>18</v>
      </c>
      <c r="J940">
        <v>0.43</v>
      </c>
      <c r="K940" s="1">
        <v>44088</v>
      </c>
      <c r="L940" s="2" t="str">
        <f>IF(Sheet1[[#This Row],[age]]&lt;18, "Under 18",IF(Sheet1[[#This Row],[age]]&lt;=30,"18-30",IF(Sheet1[[#This Row],[age]]&lt;=45,"31-45",IF(Sheet1[[#This Row],[age]]&lt;=60,"46-60","60+"))))</f>
        <v>31-45</v>
      </c>
      <c r="M940" s="2" t="str">
        <f>IF(Sheet1[[#This Row],[risk_score]]&lt;0.3,"Low",IF(Sheet1[[#This Row],[risk_score]]&lt;0.7,"Medium","High"))</f>
        <v>Medium</v>
      </c>
      <c r="N940">
        <f>YEAR(Sheet1[[#This Row],[date_joined]])</f>
        <v>2020</v>
      </c>
      <c r="O940" s="2" t="str">
        <f>TEXT(Sheet1[[#This Row],[date_joined]],"mmm")</f>
        <v>Sep</v>
      </c>
      <c r="P940" s="2" t="str">
        <f>"Q"&amp;ROUNDUP(MONTH(Sheet1[[#This Row],[date_joined]])/3,0)</f>
        <v>Q3</v>
      </c>
      <c r="Q940" s="2" t="str">
        <f>IF(Sheet1[[#This Row],[age]]&lt;30,"Young",IF(Sheet1[[#This Row],[age]]&lt;=50,"Adult","Senior"))</f>
        <v>Adult</v>
      </c>
      <c r="R940" s="2" t="str">
        <f t="shared" si="28"/>
        <v>Very High</v>
      </c>
      <c r="S940" s="2" t="str">
        <f t="shared" si="29"/>
        <v>East - Retired</v>
      </c>
    </row>
    <row r="941" spans="1:19" x14ac:dyDescent="0.3">
      <c r="A941" t="s">
        <v>1905</v>
      </c>
      <c r="B941" t="s">
        <v>1906</v>
      </c>
      <c r="C941">
        <v>18</v>
      </c>
      <c r="D941" s="2" t="s">
        <v>13</v>
      </c>
      <c r="E941" s="2" t="s">
        <v>14</v>
      </c>
      <c r="F941" s="2" t="s">
        <v>23</v>
      </c>
      <c r="G941" s="2" t="s">
        <v>24</v>
      </c>
      <c r="H941" s="2" t="s">
        <v>17</v>
      </c>
      <c r="I941" s="2" t="s">
        <v>17</v>
      </c>
      <c r="J941">
        <v>0.35</v>
      </c>
      <c r="K941" s="1">
        <v>44761</v>
      </c>
      <c r="L941" s="2" t="str">
        <f>IF(Sheet1[[#This Row],[age]]&lt;18, "Under 18",IF(Sheet1[[#This Row],[age]]&lt;=30,"18-30",IF(Sheet1[[#This Row],[age]]&lt;=45,"31-45",IF(Sheet1[[#This Row],[age]]&lt;=60,"46-60","60+"))))</f>
        <v>18-30</v>
      </c>
      <c r="M941" s="2" t="str">
        <f>IF(Sheet1[[#This Row],[risk_score]]&lt;0.3,"Low",IF(Sheet1[[#This Row],[risk_score]]&lt;0.7,"Medium","High"))</f>
        <v>Medium</v>
      </c>
      <c r="N941">
        <f>YEAR(Sheet1[[#This Row],[date_joined]])</f>
        <v>2022</v>
      </c>
      <c r="O941" s="2" t="str">
        <f>TEXT(Sheet1[[#This Row],[date_joined]],"mmm")</f>
        <v>Jul</v>
      </c>
      <c r="P941" s="2" t="str">
        <f>"Q"&amp;ROUNDUP(MONTH(Sheet1[[#This Row],[date_joined]])/3,0)</f>
        <v>Q3</v>
      </c>
      <c r="Q941" s="2" t="str">
        <f>IF(Sheet1[[#This Row],[age]]&lt;30,"Young",IF(Sheet1[[#This Row],[age]]&lt;=50,"Adult","Senior"))</f>
        <v>Young</v>
      </c>
      <c r="R941" s="2" t="str">
        <f t="shared" si="28"/>
        <v>Low</v>
      </c>
      <c r="S941" s="2" t="str">
        <f t="shared" si="29"/>
        <v>East - Salaried</v>
      </c>
    </row>
    <row r="942" spans="1:19" x14ac:dyDescent="0.3">
      <c r="A942" t="s">
        <v>1907</v>
      </c>
      <c r="B942" t="s">
        <v>1908</v>
      </c>
      <c r="C942">
        <v>67</v>
      </c>
      <c r="D942" s="2" t="s">
        <v>21</v>
      </c>
      <c r="E942" s="2" t="s">
        <v>30</v>
      </c>
      <c r="F942" s="2" t="s">
        <v>15</v>
      </c>
      <c r="G942" s="2" t="s">
        <v>32</v>
      </c>
      <c r="H942" s="2" t="s">
        <v>18</v>
      </c>
      <c r="I942" s="2" t="s">
        <v>17</v>
      </c>
      <c r="J942">
        <v>0.31</v>
      </c>
      <c r="K942" s="1">
        <v>43909</v>
      </c>
      <c r="L942" s="2" t="str">
        <f>IF(Sheet1[[#This Row],[age]]&lt;18, "Under 18",IF(Sheet1[[#This Row],[age]]&lt;=30,"18-30",IF(Sheet1[[#This Row],[age]]&lt;=45,"31-45",IF(Sheet1[[#This Row],[age]]&lt;=60,"46-60","60+"))))</f>
        <v>60+</v>
      </c>
      <c r="M942" s="2" t="str">
        <f>IF(Sheet1[[#This Row],[risk_score]]&lt;0.3,"Low",IF(Sheet1[[#This Row],[risk_score]]&lt;0.7,"Medium","High"))</f>
        <v>Medium</v>
      </c>
      <c r="N942">
        <f>YEAR(Sheet1[[#This Row],[date_joined]])</f>
        <v>2020</v>
      </c>
      <c r="O942" s="2" t="str">
        <f>TEXT(Sheet1[[#This Row],[date_joined]],"mmm")</f>
        <v>Mar</v>
      </c>
      <c r="P942" s="2" t="str">
        <f>"Q"&amp;ROUNDUP(MONTH(Sheet1[[#This Row],[date_joined]])/3,0)</f>
        <v>Q1</v>
      </c>
      <c r="Q942" s="2" t="str">
        <f>IF(Sheet1[[#This Row],[age]]&lt;30,"Young",IF(Sheet1[[#This Row],[age]]&lt;=50,"Adult","Senior"))</f>
        <v>Senior</v>
      </c>
      <c r="R942" s="2" t="str">
        <f t="shared" si="28"/>
        <v>High</v>
      </c>
      <c r="S942" s="2" t="str">
        <f t="shared" si="29"/>
        <v>South - Student</v>
      </c>
    </row>
    <row r="943" spans="1:19" x14ac:dyDescent="0.3">
      <c r="A943" t="s">
        <v>1909</v>
      </c>
      <c r="B943" t="s">
        <v>1910</v>
      </c>
      <c r="C943">
        <v>62</v>
      </c>
      <c r="D943" s="2" t="s">
        <v>13</v>
      </c>
      <c r="E943" s="2" t="s">
        <v>30</v>
      </c>
      <c r="F943" s="2" t="s">
        <v>23</v>
      </c>
      <c r="G943" s="2" t="s">
        <v>27</v>
      </c>
      <c r="H943" s="2" t="s">
        <v>17</v>
      </c>
      <c r="I943" s="2" t="s">
        <v>17</v>
      </c>
      <c r="J943">
        <v>0.69</v>
      </c>
      <c r="K943" s="1">
        <v>44435</v>
      </c>
      <c r="L943" s="2" t="str">
        <f>IF(Sheet1[[#This Row],[age]]&lt;18, "Under 18",IF(Sheet1[[#This Row],[age]]&lt;=30,"18-30",IF(Sheet1[[#This Row],[age]]&lt;=45,"31-45",IF(Sheet1[[#This Row],[age]]&lt;=60,"46-60","60+"))))</f>
        <v>60+</v>
      </c>
      <c r="M943" s="2" t="str">
        <f>IF(Sheet1[[#This Row],[risk_score]]&lt;0.3,"Low",IF(Sheet1[[#This Row],[risk_score]]&lt;0.7,"Medium","High"))</f>
        <v>Medium</v>
      </c>
      <c r="N943">
        <f>YEAR(Sheet1[[#This Row],[date_joined]])</f>
        <v>2021</v>
      </c>
      <c r="O943" s="2" t="str">
        <f>TEXT(Sheet1[[#This Row],[date_joined]],"mmm")</f>
        <v>Aug</v>
      </c>
      <c r="P943" s="2" t="str">
        <f>"Q"&amp;ROUNDUP(MONTH(Sheet1[[#This Row],[date_joined]])/3,0)</f>
        <v>Q3</v>
      </c>
      <c r="Q943" s="2" t="str">
        <f>IF(Sheet1[[#This Row],[age]]&lt;30,"Young",IF(Sheet1[[#This Row],[age]]&lt;=50,"Adult","Senior"))</f>
        <v>Senior</v>
      </c>
      <c r="R943" s="2" t="str">
        <f t="shared" si="28"/>
        <v>Low</v>
      </c>
      <c r="S943" s="2" t="str">
        <f t="shared" si="29"/>
        <v>North - Salaried</v>
      </c>
    </row>
    <row r="944" spans="1:19" x14ac:dyDescent="0.3">
      <c r="A944" t="s">
        <v>1911</v>
      </c>
      <c r="B944" t="s">
        <v>1912</v>
      </c>
      <c r="C944">
        <v>65</v>
      </c>
      <c r="D944" s="2" t="s">
        <v>21</v>
      </c>
      <c r="E944" s="2" t="s">
        <v>22</v>
      </c>
      <c r="F944" s="2" t="s">
        <v>23</v>
      </c>
      <c r="G944" s="2" t="s">
        <v>24</v>
      </c>
      <c r="H944" s="2" t="s">
        <v>18</v>
      </c>
      <c r="I944" s="2" t="s">
        <v>17</v>
      </c>
      <c r="J944">
        <v>0.98</v>
      </c>
      <c r="K944" s="1">
        <v>43271</v>
      </c>
      <c r="L944" s="2" t="str">
        <f>IF(Sheet1[[#This Row],[age]]&lt;18, "Under 18",IF(Sheet1[[#This Row],[age]]&lt;=30,"18-30",IF(Sheet1[[#This Row],[age]]&lt;=45,"31-45",IF(Sheet1[[#This Row],[age]]&lt;=60,"46-60","60+"))))</f>
        <v>60+</v>
      </c>
      <c r="M944" s="2" t="str">
        <f>IF(Sheet1[[#This Row],[risk_score]]&lt;0.3,"Low",IF(Sheet1[[#This Row],[risk_score]]&lt;0.7,"Medium","High"))</f>
        <v>High</v>
      </c>
      <c r="N944">
        <f>YEAR(Sheet1[[#This Row],[date_joined]])</f>
        <v>2018</v>
      </c>
      <c r="O944" s="2" t="str">
        <f>TEXT(Sheet1[[#This Row],[date_joined]],"mmm")</f>
        <v>Jun</v>
      </c>
      <c r="P944" s="2" t="str">
        <f>"Q"&amp;ROUNDUP(MONTH(Sheet1[[#This Row],[date_joined]])/3,0)</f>
        <v>Q2</v>
      </c>
      <c r="Q944" s="2" t="str">
        <f>IF(Sheet1[[#This Row],[age]]&lt;30,"Young",IF(Sheet1[[#This Row],[age]]&lt;=50,"Adult","Senior"))</f>
        <v>Senior</v>
      </c>
      <c r="R944" s="2" t="str">
        <f t="shared" si="28"/>
        <v>High</v>
      </c>
      <c r="S944" s="2" t="str">
        <f t="shared" si="29"/>
        <v>East - Salaried</v>
      </c>
    </row>
    <row r="945" spans="1:19" x14ac:dyDescent="0.3">
      <c r="A945" t="s">
        <v>1913</v>
      </c>
      <c r="B945" t="s">
        <v>1914</v>
      </c>
      <c r="C945">
        <v>19</v>
      </c>
      <c r="D945" s="2" t="s">
        <v>21</v>
      </c>
      <c r="E945" s="2" t="s">
        <v>22</v>
      </c>
      <c r="F945" s="2" t="s">
        <v>31</v>
      </c>
      <c r="G945" s="2" t="s">
        <v>81</v>
      </c>
      <c r="H945" s="2" t="s">
        <v>17</v>
      </c>
      <c r="I945" s="2" t="s">
        <v>18</v>
      </c>
      <c r="J945">
        <v>0.1</v>
      </c>
      <c r="K945" s="1">
        <v>44597</v>
      </c>
      <c r="L945" s="2" t="str">
        <f>IF(Sheet1[[#This Row],[age]]&lt;18, "Under 18",IF(Sheet1[[#This Row],[age]]&lt;=30,"18-30",IF(Sheet1[[#This Row],[age]]&lt;=45,"31-45",IF(Sheet1[[#This Row],[age]]&lt;=60,"46-60","60+"))))</f>
        <v>18-30</v>
      </c>
      <c r="M945" s="2" t="str">
        <f>IF(Sheet1[[#This Row],[risk_score]]&lt;0.3,"Low",IF(Sheet1[[#This Row],[risk_score]]&lt;0.7,"Medium","High"))</f>
        <v>Low</v>
      </c>
      <c r="N945">
        <f>YEAR(Sheet1[[#This Row],[date_joined]])</f>
        <v>2022</v>
      </c>
      <c r="O945" s="2" t="str">
        <f>TEXT(Sheet1[[#This Row],[date_joined]],"mmm")</f>
        <v>Feb</v>
      </c>
      <c r="P945" s="2" t="str">
        <f>"Q"&amp;ROUNDUP(MONTH(Sheet1[[#This Row],[date_joined]])/3,0)</f>
        <v>Q1</v>
      </c>
      <c r="Q945" s="2" t="str">
        <f>IF(Sheet1[[#This Row],[age]]&lt;30,"Young",IF(Sheet1[[#This Row],[age]]&lt;=50,"Adult","Senior"))</f>
        <v>Young</v>
      </c>
      <c r="R945" s="2" t="str">
        <f t="shared" si="28"/>
        <v>High</v>
      </c>
      <c r="S945" s="2" t="str">
        <f t="shared" si="29"/>
        <v>Central - Self-employed</v>
      </c>
    </row>
    <row r="946" spans="1:19" x14ac:dyDescent="0.3">
      <c r="A946" t="s">
        <v>1915</v>
      </c>
      <c r="B946" t="s">
        <v>1916</v>
      </c>
      <c r="C946">
        <v>30</v>
      </c>
      <c r="D946" s="2" t="s">
        <v>21</v>
      </c>
      <c r="E946" s="2" t="s">
        <v>22</v>
      </c>
      <c r="F946" s="2" t="s">
        <v>15</v>
      </c>
      <c r="G946" s="2" t="s">
        <v>66</v>
      </c>
      <c r="H946" s="2" t="s">
        <v>18</v>
      </c>
      <c r="I946" s="2" t="s">
        <v>18</v>
      </c>
      <c r="J946">
        <v>0.37</v>
      </c>
      <c r="K946" s="1">
        <v>44951</v>
      </c>
      <c r="L946" s="2" t="str">
        <f>IF(Sheet1[[#This Row],[age]]&lt;18, "Under 18",IF(Sheet1[[#This Row],[age]]&lt;=30,"18-30",IF(Sheet1[[#This Row],[age]]&lt;=45,"31-45",IF(Sheet1[[#This Row],[age]]&lt;=60,"46-60","60+"))))</f>
        <v>18-30</v>
      </c>
      <c r="M946" s="2" t="str">
        <f>IF(Sheet1[[#This Row],[risk_score]]&lt;0.3,"Low",IF(Sheet1[[#This Row],[risk_score]]&lt;0.7,"Medium","High"))</f>
        <v>Medium</v>
      </c>
      <c r="N946">
        <f>YEAR(Sheet1[[#This Row],[date_joined]])</f>
        <v>2023</v>
      </c>
      <c r="O946" s="2" t="str">
        <f>TEXT(Sheet1[[#This Row],[date_joined]],"mmm")</f>
        <v>Jan</v>
      </c>
      <c r="P946" s="2" t="str">
        <f>"Q"&amp;ROUNDUP(MONTH(Sheet1[[#This Row],[date_joined]])/3,0)</f>
        <v>Q1</v>
      </c>
      <c r="Q946" s="2" t="str">
        <f>IF(Sheet1[[#This Row],[age]]&lt;30,"Young",IF(Sheet1[[#This Row],[age]]&lt;=50,"Adult","Senior"))</f>
        <v>Adult</v>
      </c>
      <c r="R946" s="2" t="str">
        <f t="shared" si="28"/>
        <v>Very High</v>
      </c>
      <c r="S946" s="2" t="str">
        <f t="shared" si="29"/>
        <v>North-East - Student</v>
      </c>
    </row>
    <row r="947" spans="1:19" x14ac:dyDescent="0.3">
      <c r="A947" t="s">
        <v>1917</v>
      </c>
      <c r="B947" t="s">
        <v>1918</v>
      </c>
      <c r="C947">
        <v>59</v>
      </c>
      <c r="D947" s="2" t="s">
        <v>13</v>
      </c>
      <c r="E947" s="2" t="s">
        <v>30</v>
      </c>
      <c r="F947" s="2" t="s">
        <v>31</v>
      </c>
      <c r="G947" s="2" t="s">
        <v>66</v>
      </c>
      <c r="H947" s="2" t="s">
        <v>17</v>
      </c>
      <c r="I947" s="2" t="s">
        <v>17</v>
      </c>
      <c r="J947">
        <v>0.38</v>
      </c>
      <c r="K947" s="1">
        <v>43992</v>
      </c>
      <c r="L947" s="2" t="str">
        <f>IF(Sheet1[[#This Row],[age]]&lt;18, "Under 18",IF(Sheet1[[#This Row],[age]]&lt;=30,"18-30",IF(Sheet1[[#This Row],[age]]&lt;=45,"31-45",IF(Sheet1[[#This Row],[age]]&lt;=60,"46-60","60+"))))</f>
        <v>46-60</v>
      </c>
      <c r="M947" s="2" t="str">
        <f>IF(Sheet1[[#This Row],[risk_score]]&lt;0.3,"Low",IF(Sheet1[[#This Row],[risk_score]]&lt;0.7,"Medium","High"))</f>
        <v>Medium</v>
      </c>
      <c r="N947">
        <f>YEAR(Sheet1[[#This Row],[date_joined]])</f>
        <v>2020</v>
      </c>
      <c r="O947" s="2" t="str">
        <f>TEXT(Sheet1[[#This Row],[date_joined]],"mmm")</f>
        <v>Jun</v>
      </c>
      <c r="P947" s="2" t="str">
        <f>"Q"&amp;ROUNDUP(MONTH(Sheet1[[#This Row],[date_joined]])/3,0)</f>
        <v>Q2</v>
      </c>
      <c r="Q947" s="2" t="str">
        <f>IF(Sheet1[[#This Row],[age]]&lt;30,"Young",IF(Sheet1[[#This Row],[age]]&lt;=50,"Adult","Senior"))</f>
        <v>Senior</v>
      </c>
      <c r="R947" s="2" t="str">
        <f t="shared" si="28"/>
        <v>Low</v>
      </c>
      <c r="S947" s="2" t="str">
        <f t="shared" si="29"/>
        <v>North-East - Self-employed</v>
      </c>
    </row>
    <row r="948" spans="1:19" x14ac:dyDescent="0.3">
      <c r="A948" t="s">
        <v>1919</v>
      </c>
      <c r="B948" t="s">
        <v>1920</v>
      </c>
      <c r="C948">
        <v>60</v>
      </c>
      <c r="D948" s="2" t="s">
        <v>21</v>
      </c>
      <c r="E948" s="2" t="s">
        <v>14</v>
      </c>
      <c r="F948" s="2" t="s">
        <v>31</v>
      </c>
      <c r="G948" s="2" t="s">
        <v>66</v>
      </c>
      <c r="H948" s="2" t="s">
        <v>18</v>
      </c>
      <c r="I948" s="2" t="s">
        <v>17</v>
      </c>
      <c r="J948">
        <v>0.97</v>
      </c>
      <c r="K948" s="1">
        <v>44985</v>
      </c>
      <c r="L948" s="2" t="str">
        <f>IF(Sheet1[[#This Row],[age]]&lt;18, "Under 18",IF(Sheet1[[#This Row],[age]]&lt;=30,"18-30",IF(Sheet1[[#This Row],[age]]&lt;=45,"31-45",IF(Sheet1[[#This Row],[age]]&lt;=60,"46-60","60+"))))</f>
        <v>46-60</v>
      </c>
      <c r="M948" s="2" t="str">
        <f>IF(Sheet1[[#This Row],[risk_score]]&lt;0.3,"Low",IF(Sheet1[[#This Row],[risk_score]]&lt;0.7,"Medium","High"))</f>
        <v>High</v>
      </c>
      <c r="N948">
        <f>YEAR(Sheet1[[#This Row],[date_joined]])</f>
        <v>2023</v>
      </c>
      <c r="O948" s="2" t="str">
        <f>TEXT(Sheet1[[#This Row],[date_joined]],"mmm")</f>
        <v>Feb</v>
      </c>
      <c r="P948" s="2" t="str">
        <f>"Q"&amp;ROUNDUP(MONTH(Sheet1[[#This Row],[date_joined]])/3,0)</f>
        <v>Q1</v>
      </c>
      <c r="Q948" s="2" t="str">
        <f>IF(Sheet1[[#This Row],[age]]&lt;30,"Young",IF(Sheet1[[#This Row],[age]]&lt;=50,"Adult","Senior"))</f>
        <v>Senior</v>
      </c>
      <c r="R948" s="2" t="str">
        <f t="shared" si="28"/>
        <v>High</v>
      </c>
      <c r="S948" s="2" t="str">
        <f t="shared" si="29"/>
        <v>North-East - Self-employed</v>
      </c>
    </row>
    <row r="949" spans="1:19" x14ac:dyDescent="0.3">
      <c r="A949" t="s">
        <v>1921</v>
      </c>
      <c r="B949" t="s">
        <v>1922</v>
      </c>
      <c r="C949">
        <v>56</v>
      </c>
      <c r="D949" s="2" t="s">
        <v>21</v>
      </c>
      <c r="E949" s="2" t="s">
        <v>14</v>
      </c>
      <c r="F949" s="2" t="s">
        <v>23</v>
      </c>
      <c r="G949" s="2" t="s">
        <v>27</v>
      </c>
      <c r="H949" s="2" t="s">
        <v>17</v>
      </c>
      <c r="I949" s="2" t="s">
        <v>18</v>
      </c>
      <c r="J949">
        <v>0.54</v>
      </c>
      <c r="K949" s="1">
        <v>43656</v>
      </c>
      <c r="L949" s="2" t="str">
        <f>IF(Sheet1[[#This Row],[age]]&lt;18, "Under 18",IF(Sheet1[[#This Row],[age]]&lt;=30,"18-30",IF(Sheet1[[#This Row],[age]]&lt;=45,"31-45",IF(Sheet1[[#This Row],[age]]&lt;=60,"46-60","60+"))))</f>
        <v>46-60</v>
      </c>
      <c r="M949" s="2" t="str">
        <f>IF(Sheet1[[#This Row],[risk_score]]&lt;0.3,"Low",IF(Sheet1[[#This Row],[risk_score]]&lt;0.7,"Medium","High"))</f>
        <v>Medium</v>
      </c>
      <c r="N949">
        <f>YEAR(Sheet1[[#This Row],[date_joined]])</f>
        <v>2019</v>
      </c>
      <c r="O949" s="2" t="str">
        <f>TEXT(Sheet1[[#This Row],[date_joined]],"mmm")</f>
        <v>Jul</v>
      </c>
      <c r="P949" s="2" t="str">
        <f>"Q"&amp;ROUNDUP(MONTH(Sheet1[[#This Row],[date_joined]])/3,0)</f>
        <v>Q3</v>
      </c>
      <c r="Q949" s="2" t="str">
        <f>IF(Sheet1[[#This Row],[age]]&lt;30,"Young",IF(Sheet1[[#This Row],[age]]&lt;=50,"Adult","Senior"))</f>
        <v>Senior</v>
      </c>
      <c r="R949" s="2" t="str">
        <f t="shared" si="28"/>
        <v>High</v>
      </c>
      <c r="S949" s="2" t="str">
        <f t="shared" si="29"/>
        <v>North - Salaried</v>
      </c>
    </row>
    <row r="950" spans="1:19" x14ac:dyDescent="0.3">
      <c r="A950" t="s">
        <v>1923</v>
      </c>
      <c r="B950" t="s">
        <v>1924</v>
      </c>
      <c r="C950">
        <v>69</v>
      </c>
      <c r="D950" s="2" t="s">
        <v>21</v>
      </c>
      <c r="E950" s="2" t="s">
        <v>22</v>
      </c>
      <c r="F950" s="2" t="s">
        <v>23</v>
      </c>
      <c r="G950" s="2" t="s">
        <v>32</v>
      </c>
      <c r="H950" s="2" t="s">
        <v>17</v>
      </c>
      <c r="I950" s="2" t="s">
        <v>18</v>
      </c>
      <c r="J950">
        <v>0.75</v>
      </c>
      <c r="K950" s="1">
        <v>44270</v>
      </c>
      <c r="L950" s="2" t="str">
        <f>IF(Sheet1[[#This Row],[age]]&lt;18, "Under 18",IF(Sheet1[[#This Row],[age]]&lt;=30,"18-30",IF(Sheet1[[#This Row],[age]]&lt;=45,"31-45",IF(Sheet1[[#This Row],[age]]&lt;=60,"46-60","60+"))))</f>
        <v>60+</v>
      </c>
      <c r="M950" s="2" t="str">
        <f>IF(Sheet1[[#This Row],[risk_score]]&lt;0.3,"Low",IF(Sheet1[[#This Row],[risk_score]]&lt;0.7,"Medium","High"))</f>
        <v>High</v>
      </c>
      <c r="N950">
        <f>YEAR(Sheet1[[#This Row],[date_joined]])</f>
        <v>2021</v>
      </c>
      <c r="O950" s="2" t="str">
        <f>TEXT(Sheet1[[#This Row],[date_joined]],"mmm")</f>
        <v>Mar</v>
      </c>
      <c r="P950" s="2" t="str">
        <f>"Q"&amp;ROUNDUP(MONTH(Sheet1[[#This Row],[date_joined]])/3,0)</f>
        <v>Q1</v>
      </c>
      <c r="Q950" s="2" t="str">
        <f>IF(Sheet1[[#This Row],[age]]&lt;30,"Young",IF(Sheet1[[#This Row],[age]]&lt;=50,"Adult","Senior"))</f>
        <v>Senior</v>
      </c>
      <c r="R950" s="2" t="str">
        <f t="shared" si="28"/>
        <v>High</v>
      </c>
      <c r="S950" s="2" t="str">
        <f t="shared" si="29"/>
        <v>South - Salaried</v>
      </c>
    </row>
    <row r="951" spans="1:19" x14ac:dyDescent="0.3">
      <c r="A951" t="s">
        <v>1925</v>
      </c>
      <c r="B951" t="s">
        <v>1926</v>
      </c>
      <c r="C951">
        <v>26</v>
      </c>
      <c r="D951" s="2" t="s">
        <v>13</v>
      </c>
      <c r="E951" s="2" t="s">
        <v>14</v>
      </c>
      <c r="F951" s="2" t="s">
        <v>15</v>
      </c>
      <c r="G951" s="2" t="s">
        <v>81</v>
      </c>
      <c r="H951" s="2" t="s">
        <v>17</v>
      </c>
      <c r="I951" s="2" t="s">
        <v>18</v>
      </c>
      <c r="J951">
        <v>0.2</v>
      </c>
      <c r="K951" s="1">
        <v>45251</v>
      </c>
      <c r="L951" s="2" t="str">
        <f>IF(Sheet1[[#This Row],[age]]&lt;18, "Under 18",IF(Sheet1[[#This Row],[age]]&lt;=30,"18-30",IF(Sheet1[[#This Row],[age]]&lt;=45,"31-45",IF(Sheet1[[#This Row],[age]]&lt;=60,"46-60","60+"))))</f>
        <v>18-30</v>
      </c>
      <c r="M951" s="2" t="str">
        <f>IF(Sheet1[[#This Row],[risk_score]]&lt;0.3,"Low",IF(Sheet1[[#This Row],[risk_score]]&lt;0.7,"Medium","High"))</f>
        <v>Low</v>
      </c>
      <c r="N951">
        <f>YEAR(Sheet1[[#This Row],[date_joined]])</f>
        <v>2023</v>
      </c>
      <c r="O951" s="2" t="str">
        <f>TEXT(Sheet1[[#This Row],[date_joined]],"mmm")</f>
        <v>Nov</v>
      </c>
      <c r="P951" s="2" t="str">
        <f>"Q"&amp;ROUNDUP(MONTH(Sheet1[[#This Row],[date_joined]])/3,0)</f>
        <v>Q4</v>
      </c>
      <c r="Q951" s="2" t="str">
        <f>IF(Sheet1[[#This Row],[age]]&lt;30,"Young",IF(Sheet1[[#This Row],[age]]&lt;=50,"Adult","Senior"))</f>
        <v>Young</v>
      </c>
      <c r="R951" s="2" t="str">
        <f t="shared" si="28"/>
        <v>High</v>
      </c>
      <c r="S951" s="2" t="str">
        <f t="shared" si="29"/>
        <v>Central - Student</v>
      </c>
    </row>
    <row r="952" spans="1:19" x14ac:dyDescent="0.3">
      <c r="A952" t="s">
        <v>1927</v>
      </c>
      <c r="B952" t="s">
        <v>1928</v>
      </c>
      <c r="C952">
        <v>48</v>
      </c>
      <c r="D952" s="2" t="s">
        <v>13</v>
      </c>
      <c r="E952" s="2" t="s">
        <v>22</v>
      </c>
      <c r="F952" s="2" t="s">
        <v>31</v>
      </c>
      <c r="G952" s="2" t="s">
        <v>66</v>
      </c>
      <c r="H952" s="2" t="s">
        <v>17</v>
      </c>
      <c r="I952" s="2" t="s">
        <v>17</v>
      </c>
      <c r="J952">
        <v>0.48</v>
      </c>
      <c r="K952" s="1">
        <v>44956</v>
      </c>
      <c r="L952" s="2" t="str">
        <f>IF(Sheet1[[#This Row],[age]]&lt;18, "Under 18",IF(Sheet1[[#This Row],[age]]&lt;=30,"18-30",IF(Sheet1[[#This Row],[age]]&lt;=45,"31-45",IF(Sheet1[[#This Row],[age]]&lt;=60,"46-60","60+"))))</f>
        <v>46-60</v>
      </c>
      <c r="M952" s="2" t="str">
        <f>IF(Sheet1[[#This Row],[risk_score]]&lt;0.3,"Low",IF(Sheet1[[#This Row],[risk_score]]&lt;0.7,"Medium","High"))</f>
        <v>Medium</v>
      </c>
      <c r="N952">
        <f>YEAR(Sheet1[[#This Row],[date_joined]])</f>
        <v>2023</v>
      </c>
      <c r="O952" s="2" t="str">
        <f>TEXT(Sheet1[[#This Row],[date_joined]],"mmm")</f>
        <v>Jan</v>
      </c>
      <c r="P952" s="2" t="str">
        <f>"Q"&amp;ROUNDUP(MONTH(Sheet1[[#This Row],[date_joined]])/3,0)</f>
        <v>Q1</v>
      </c>
      <c r="Q952" s="2" t="str">
        <f>IF(Sheet1[[#This Row],[age]]&lt;30,"Young",IF(Sheet1[[#This Row],[age]]&lt;=50,"Adult","Senior"))</f>
        <v>Adult</v>
      </c>
      <c r="R952" s="2" t="str">
        <f t="shared" si="28"/>
        <v>Low</v>
      </c>
      <c r="S952" s="2" t="str">
        <f t="shared" si="29"/>
        <v>North-East - Self-employed</v>
      </c>
    </row>
    <row r="953" spans="1:19" x14ac:dyDescent="0.3">
      <c r="A953" t="s">
        <v>1929</v>
      </c>
      <c r="B953" t="s">
        <v>1930</v>
      </c>
      <c r="C953">
        <v>22</v>
      </c>
      <c r="D953" s="2" t="s">
        <v>21</v>
      </c>
      <c r="E953" s="2" t="s">
        <v>14</v>
      </c>
      <c r="F953" s="2" t="s">
        <v>15</v>
      </c>
      <c r="G953" s="2" t="s">
        <v>16</v>
      </c>
      <c r="H953" s="2" t="s">
        <v>17</v>
      </c>
      <c r="I953" s="2" t="s">
        <v>17</v>
      </c>
      <c r="J953">
        <v>0.55000000000000004</v>
      </c>
      <c r="K953" s="1">
        <v>44461</v>
      </c>
      <c r="L953" s="2" t="str">
        <f>IF(Sheet1[[#This Row],[age]]&lt;18, "Under 18",IF(Sheet1[[#This Row],[age]]&lt;=30,"18-30",IF(Sheet1[[#This Row],[age]]&lt;=45,"31-45",IF(Sheet1[[#This Row],[age]]&lt;=60,"46-60","60+"))))</f>
        <v>18-30</v>
      </c>
      <c r="M953" s="2" t="str">
        <f>IF(Sheet1[[#This Row],[risk_score]]&lt;0.3,"Low",IF(Sheet1[[#This Row],[risk_score]]&lt;0.7,"Medium","High"))</f>
        <v>Medium</v>
      </c>
      <c r="N953">
        <f>YEAR(Sheet1[[#This Row],[date_joined]])</f>
        <v>2021</v>
      </c>
      <c r="O953" s="2" t="str">
        <f>TEXT(Sheet1[[#This Row],[date_joined]],"mmm")</f>
        <v>Sep</v>
      </c>
      <c r="P953" s="2" t="str">
        <f>"Q"&amp;ROUNDUP(MONTH(Sheet1[[#This Row],[date_joined]])/3,0)</f>
        <v>Q3</v>
      </c>
      <c r="Q953" s="2" t="str">
        <f>IF(Sheet1[[#This Row],[age]]&lt;30,"Young",IF(Sheet1[[#This Row],[age]]&lt;=50,"Adult","Senior"))</f>
        <v>Young</v>
      </c>
      <c r="R953" s="2" t="str">
        <f t="shared" si="28"/>
        <v>Low</v>
      </c>
      <c r="S953" s="2" t="str">
        <f t="shared" si="29"/>
        <v>West - Student</v>
      </c>
    </row>
    <row r="954" spans="1:19" x14ac:dyDescent="0.3">
      <c r="A954" t="s">
        <v>1931</v>
      </c>
      <c r="B954" t="s">
        <v>1932</v>
      </c>
      <c r="C954">
        <v>20</v>
      </c>
      <c r="D954" s="2" t="s">
        <v>13</v>
      </c>
      <c r="E954" s="2" t="s">
        <v>14</v>
      </c>
      <c r="F954" s="2" t="s">
        <v>37</v>
      </c>
      <c r="G954" s="2" t="s">
        <v>16</v>
      </c>
      <c r="H954" s="2" t="s">
        <v>18</v>
      </c>
      <c r="I954" s="2" t="s">
        <v>18</v>
      </c>
      <c r="J954">
        <v>0.62</v>
      </c>
      <c r="K954" s="1">
        <v>43728</v>
      </c>
      <c r="L954" s="2" t="str">
        <f>IF(Sheet1[[#This Row],[age]]&lt;18, "Under 18",IF(Sheet1[[#This Row],[age]]&lt;=30,"18-30",IF(Sheet1[[#This Row],[age]]&lt;=45,"31-45",IF(Sheet1[[#This Row],[age]]&lt;=60,"46-60","60+"))))</f>
        <v>18-30</v>
      </c>
      <c r="M954" s="2" t="str">
        <f>IF(Sheet1[[#This Row],[risk_score]]&lt;0.3,"Low",IF(Sheet1[[#This Row],[risk_score]]&lt;0.7,"Medium","High"))</f>
        <v>Medium</v>
      </c>
      <c r="N954">
        <f>YEAR(Sheet1[[#This Row],[date_joined]])</f>
        <v>2019</v>
      </c>
      <c r="O954" s="2" t="str">
        <f>TEXT(Sheet1[[#This Row],[date_joined]],"mmm")</f>
        <v>Sep</v>
      </c>
      <c r="P954" s="2" t="str">
        <f>"Q"&amp;ROUNDUP(MONTH(Sheet1[[#This Row],[date_joined]])/3,0)</f>
        <v>Q3</v>
      </c>
      <c r="Q954" s="2" t="str">
        <f>IF(Sheet1[[#This Row],[age]]&lt;30,"Young",IF(Sheet1[[#This Row],[age]]&lt;=50,"Adult","Senior"))</f>
        <v>Young</v>
      </c>
      <c r="R954" s="2" t="str">
        <f t="shared" si="28"/>
        <v>Very High</v>
      </c>
      <c r="S954" s="2" t="str">
        <f t="shared" si="29"/>
        <v>West - Retired</v>
      </c>
    </row>
    <row r="955" spans="1:19" x14ac:dyDescent="0.3">
      <c r="A955" t="s">
        <v>1933</v>
      </c>
      <c r="B955" t="s">
        <v>1934</v>
      </c>
      <c r="C955">
        <v>57</v>
      </c>
      <c r="D955" s="2" t="s">
        <v>13</v>
      </c>
      <c r="E955" s="2" t="s">
        <v>22</v>
      </c>
      <c r="F955" s="2" t="s">
        <v>31</v>
      </c>
      <c r="G955" s="2" t="s">
        <v>24</v>
      </c>
      <c r="H955" s="2" t="s">
        <v>17</v>
      </c>
      <c r="I955" s="2" t="s">
        <v>17</v>
      </c>
      <c r="J955">
        <v>0.35</v>
      </c>
      <c r="K955" s="1">
        <v>44202</v>
      </c>
      <c r="L955" s="2" t="str">
        <f>IF(Sheet1[[#This Row],[age]]&lt;18, "Under 18",IF(Sheet1[[#This Row],[age]]&lt;=30,"18-30",IF(Sheet1[[#This Row],[age]]&lt;=45,"31-45",IF(Sheet1[[#This Row],[age]]&lt;=60,"46-60","60+"))))</f>
        <v>46-60</v>
      </c>
      <c r="M955" s="2" t="str">
        <f>IF(Sheet1[[#This Row],[risk_score]]&lt;0.3,"Low",IF(Sheet1[[#This Row],[risk_score]]&lt;0.7,"Medium","High"))</f>
        <v>Medium</v>
      </c>
      <c r="N955">
        <f>YEAR(Sheet1[[#This Row],[date_joined]])</f>
        <v>2021</v>
      </c>
      <c r="O955" s="2" t="str">
        <f>TEXT(Sheet1[[#This Row],[date_joined]],"mmm")</f>
        <v>Jan</v>
      </c>
      <c r="P955" s="2" t="str">
        <f>"Q"&amp;ROUNDUP(MONTH(Sheet1[[#This Row],[date_joined]])/3,0)</f>
        <v>Q1</v>
      </c>
      <c r="Q955" s="2" t="str">
        <f>IF(Sheet1[[#This Row],[age]]&lt;30,"Young",IF(Sheet1[[#This Row],[age]]&lt;=50,"Adult","Senior"))</f>
        <v>Senior</v>
      </c>
      <c r="R955" s="2" t="str">
        <f t="shared" si="28"/>
        <v>Low</v>
      </c>
      <c r="S955" s="2" t="str">
        <f t="shared" si="29"/>
        <v>East - Self-employed</v>
      </c>
    </row>
    <row r="956" spans="1:19" x14ac:dyDescent="0.3">
      <c r="A956" t="s">
        <v>1935</v>
      </c>
      <c r="B956" t="s">
        <v>1936</v>
      </c>
      <c r="C956">
        <v>18</v>
      </c>
      <c r="D956" s="2" t="s">
        <v>13</v>
      </c>
      <c r="E956" s="2" t="s">
        <v>22</v>
      </c>
      <c r="F956" s="2" t="s">
        <v>15</v>
      </c>
      <c r="G956" s="2" t="s">
        <v>27</v>
      </c>
      <c r="H956" s="2" t="s">
        <v>17</v>
      </c>
      <c r="I956" s="2" t="s">
        <v>18</v>
      </c>
      <c r="J956">
        <v>0.54</v>
      </c>
      <c r="K956" s="1">
        <v>44178</v>
      </c>
      <c r="L956" s="2" t="str">
        <f>IF(Sheet1[[#This Row],[age]]&lt;18, "Under 18",IF(Sheet1[[#This Row],[age]]&lt;=30,"18-30",IF(Sheet1[[#This Row],[age]]&lt;=45,"31-45",IF(Sheet1[[#This Row],[age]]&lt;=60,"46-60","60+"))))</f>
        <v>18-30</v>
      </c>
      <c r="M956" s="2" t="str">
        <f>IF(Sheet1[[#This Row],[risk_score]]&lt;0.3,"Low",IF(Sheet1[[#This Row],[risk_score]]&lt;0.7,"Medium","High"))</f>
        <v>Medium</v>
      </c>
      <c r="N956">
        <f>YEAR(Sheet1[[#This Row],[date_joined]])</f>
        <v>2020</v>
      </c>
      <c r="O956" s="2" t="str">
        <f>TEXT(Sheet1[[#This Row],[date_joined]],"mmm")</f>
        <v>Dec</v>
      </c>
      <c r="P956" s="2" t="str">
        <f>"Q"&amp;ROUNDUP(MONTH(Sheet1[[#This Row],[date_joined]])/3,0)</f>
        <v>Q4</v>
      </c>
      <c r="Q956" s="2" t="str">
        <f>IF(Sheet1[[#This Row],[age]]&lt;30,"Young",IF(Sheet1[[#This Row],[age]]&lt;=50,"Adult","Senior"))</f>
        <v>Young</v>
      </c>
      <c r="R956" s="2" t="str">
        <f t="shared" si="28"/>
        <v>High</v>
      </c>
      <c r="S956" s="2" t="str">
        <f t="shared" si="29"/>
        <v>North - Student</v>
      </c>
    </row>
    <row r="957" spans="1:19" x14ac:dyDescent="0.3">
      <c r="A957" t="s">
        <v>1937</v>
      </c>
      <c r="B957" t="s">
        <v>1938</v>
      </c>
      <c r="C957">
        <v>62</v>
      </c>
      <c r="D957" s="2" t="s">
        <v>21</v>
      </c>
      <c r="E957" s="2" t="s">
        <v>14</v>
      </c>
      <c r="F957" s="2" t="s">
        <v>23</v>
      </c>
      <c r="G957" s="2" t="s">
        <v>16</v>
      </c>
      <c r="H957" s="2" t="s">
        <v>18</v>
      </c>
      <c r="I957" s="2" t="s">
        <v>18</v>
      </c>
      <c r="J957">
        <v>0.34</v>
      </c>
      <c r="K957" s="1">
        <v>43678</v>
      </c>
      <c r="L957" s="2" t="str">
        <f>IF(Sheet1[[#This Row],[age]]&lt;18, "Under 18",IF(Sheet1[[#This Row],[age]]&lt;=30,"18-30",IF(Sheet1[[#This Row],[age]]&lt;=45,"31-45",IF(Sheet1[[#This Row],[age]]&lt;=60,"46-60","60+"))))</f>
        <v>60+</v>
      </c>
      <c r="M957" s="2" t="str">
        <f>IF(Sheet1[[#This Row],[risk_score]]&lt;0.3,"Low",IF(Sheet1[[#This Row],[risk_score]]&lt;0.7,"Medium","High"))</f>
        <v>Medium</v>
      </c>
      <c r="N957">
        <f>YEAR(Sheet1[[#This Row],[date_joined]])</f>
        <v>2019</v>
      </c>
      <c r="O957" s="2" t="str">
        <f>TEXT(Sheet1[[#This Row],[date_joined]],"mmm")</f>
        <v>Aug</v>
      </c>
      <c r="P957" s="2" t="str">
        <f>"Q"&amp;ROUNDUP(MONTH(Sheet1[[#This Row],[date_joined]])/3,0)</f>
        <v>Q3</v>
      </c>
      <c r="Q957" s="2" t="str">
        <f>IF(Sheet1[[#This Row],[age]]&lt;30,"Young",IF(Sheet1[[#This Row],[age]]&lt;=50,"Adult","Senior"))</f>
        <v>Senior</v>
      </c>
      <c r="R957" s="2" t="str">
        <f t="shared" si="28"/>
        <v>Very High</v>
      </c>
      <c r="S957" s="2" t="str">
        <f t="shared" si="29"/>
        <v>West - Salaried</v>
      </c>
    </row>
    <row r="958" spans="1:19" x14ac:dyDescent="0.3">
      <c r="A958" t="s">
        <v>1939</v>
      </c>
      <c r="B958" t="s">
        <v>1940</v>
      </c>
      <c r="C958">
        <v>27</v>
      </c>
      <c r="D958" s="2" t="s">
        <v>13</v>
      </c>
      <c r="E958" s="2" t="s">
        <v>30</v>
      </c>
      <c r="F958" s="2" t="s">
        <v>31</v>
      </c>
      <c r="G958" s="2" t="s">
        <v>81</v>
      </c>
      <c r="H958" s="2" t="s">
        <v>17</v>
      </c>
      <c r="I958" s="2" t="s">
        <v>18</v>
      </c>
      <c r="J958">
        <v>0.54</v>
      </c>
      <c r="K958" s="1">
        <v>44354</v>
      </c>
      <c r="L958" s="2" t="str">
        <f>IF(Sheet1[[#This Row],[age]]&lt;18, "Under 18",IF(Sheet1[[#This Row],[age]]&lt;=30,"18-30",IF(Sheet1[[#This Row],[age]]&lt;=45,"31-45",IF(Sheet1[[#This Row],[age]]&lt;=60,"46-60","60+"))))</f>
        <v>18-30</v>
      </c>
      <c r="M958" s="2" t="str">
        <f>IF(Sheet1[[#This Row],[risk_score]]&lt;0.3,"Low",IF(Sheet1[[#This Row],[risk_score]]&lt;0.7,"Medium","High"))</f>
        <v>Medium</v>
      </c>
      <c r="N958">
        <f>YEAR(Sheet1[[#This Row],[date_joined]])</f>
        <v>2021</v>
      </c>
      <c r="O958" s="2" t="str">
        <f>TEXT(Sheet1[[#This Row],[date_joined]],"mmm")</f>
        <v>Jun</v>
      </c>
      <c r="P958" s="2" t="str">
        <f>"Q"&amp;ROUNDUP(MONTH(Sheet1[[#This Row],[date_joined]])/3,0)</f>
        <v>Q2</v>
      </c>
      <c r="Q958" s="2" t="str">
        <f>IF(Sheet1[[#This Row],[age]]&lt;30,"Young",IF(Sheet1[[#This Row],[age]]&lt;=50,"Adult","Senior"))</f>
        <v>Young</v>
      </c>
      <c r="R958" s="2" t="str">
        <f t="shared" si="28"/>
        <v>High</v>
      </c>
      <c r="S958" s="2" t="str">
        <f t="shared" si="29"/>
        <v>Central - Self-employed</v>
      </c>
    </row>
    <row r="959" spans="1:19" x14ac:dyDescent="0.3">
      <c r="A959" t="s">
        <v>1941</v>
      </c>
      <c r="B959" t="s">
        <v>1942</v>
      </c>
      <c r="C959">
        <v>21</v>
      </c>
      <c r="D959" s="2" t="s">
        <v>13</v>
      </c>
      <c r="E959" s="2" t="s">
        <v>30</v>
      </c>
      <c r="F959" s="2" t="s">
        <v>37</v>
      </c>
      <c r="G959" s="2" t="s">
        <v>66</v>
      </c>
      <c r="H959" s="2" t="s">
        <v>17</v>
      </c>
      <c r="I959" s="2" t="s">
        <v>18</v>
      </c>
      <c r="J959">
        <v>0.74</v>
      </c>
      <c r="K959" s="1">
        <v>43335</v>
      </c>
      <c r="L959" s="2" t="str">
        <f>IF(Sheet1[[#This Row],[age]]&lt;18, "Under 18",IF(Sheet1[[#This Row],[age]]&lt;=30,"18-30",IF(Sheet1[[#This Row],[age]]&lt;=45,"31-45",IF(Sheet1[[#This Row],[age]]&lt;=60,"46-60","60+"))))</f>
        <v>18-30</v>
      </c>
      <c r="M959" s="2" t="str">
        <f>IF(Sheet1[[#This Row],[risk_score]]&lt;0.3,"Low",IF(Sheet1[[#This Row],[risk_score]]&lt;0.7,"Medium","High"))</f>
        <v>High</v>
      </c>
      <c r="N959">
        <f>YEAR(Sheet1[[#This Row],[date_joined]])</f>
        <v>2018</v>
      </c>
      <c r="O959" s="2" t="str">
        <f>TEXT(Sheet1[[#This Row],[date_joined]],"mmm")</f>
        <v>Aug</v>
      </c>
      <c r="P959" s="2" t="str">
        <f>"Q"&amp;ROUNDUP(MONTH(Sheet1[[#This Row],[date_joined]])/3,0)</f>
        <v>Q3</v>
      </c>
      <c r="Q959" s="2" t="str">
        <f>IF(Sheet1[[#This Row],[age]]&lt;30,"Young",IF(Sheet1[[#This Row],[age]]&lt;=50,"Adult","Senior"))</f>
        <v>Young</v>
      </c>
      <c r="R959" s="2" t="str">
        <f t="shared" si="28"/>
        <v>High</v>
      </c>
      <c r="S959" s="2" t="str">
        <f t="shared" si="29"/>
        <v>North-East - Retired</v>
      </c>
    </row>
    <row r="960" spans="1:19" x14ac:dyDescent="0.3">
      <c r="A960" t="s">
        <v>1943</v>
      </c>
      <c r="B960" t="s">
        <v>1944</v>
      </c>
      <c r="C960">
        <v>61</v>
      </c>
      <c r="D960" s="2" t="s">
        <v>13</v>
      </c>
      <c r="E960" s="2" t="s">
        <v>30</v>
      </c>
      <c r="F960" s="2" t="s">
        <v>31</v>
      </c>
      <c r="G960" s="2" t="s">
        <v>66</v>
      </c>
      <c r="H960" s="2" t="s">
        <v>18</v>
      </c>
      <c r="I960" s="2" t="s">
        <v>17</v>
      </c>
      <c r="J960">
        <v>0.82</v>
      </c>
      <c r="K960" s="1">
        <v>44643</v>
      </c>
      <c r="L960" s="2" t="str">
        <f>IF(Sheet1[[#This Row],[age]]&lt;18, "Under 18",IF(Sheet1[[#This Row],[age]]&lt;=30,"18-30",IF(Sheet1[[#This Row],[age]]&lt;=45,"31-45",IF(Sheet1[[#This Row],[age]]&lt;=60,"46-60","60+"))))</f>
        <v>60+</v>
      </c>
      <c r="M960" s="2" t="str">
        <f>IF(Sheet1[[#This Row],[risk_score]]&lt;0.3,"Low",IF(Sheet1[[#This Row],[risk_score]]&lt;0.7,"Medium","High"))</f>
        <v>High</v>
      </c>
      <c r="N960">
        <f>YEAR(Sheet1[[#This Row],[date_joined]])</f>
        <v>2022</v>
      </c>
      <c r="O960" s="2" t="str">
        <f>TEXT(Sheet1[[#This Row],[date_joined]],"mmm")</f>
        <v>Mar</v>
      </c>
      <c r="P960" s="2" t="str">
        <f>"Q"&amp;ROUNDUP(MONTH(Sheet1[[#This Row],[date_joined]])/3,0)</f>
        <v>Q1</v>
      </c>
      <c r="Q960" s="2" t="str">
        <f>IF(Sheet1[[#This Row],[age]]&lt;30,"Young",IF(Sheet1[[#This Row],[age]]&lt;=50,"Adult","Senior"))</f>
        <v>Senior</v>
      </c>
      <c r="R960" s="2" t="str">
        <f t="shared" si="28"/>
        <v>High</v>
      </c>
      <c r="S960" s="2" t="str">
        <f t="shared" si="29"/>
        <v>North-East - Self-employed</v>
      </c>
    </row>
    <row r="961" spans="1:19" x14ac:dyDescent="0.3">
      <c r="A961" t="s">
        <v>1945</v>
      </c>
      <c r="B961" t="s">
        <v>1946</v>
      </c>
      <c r="C961">
        <v>27</v>
      </c>
      <c r="D961" s="2" t="s">
        <v>21</v>
      </c>
      <c r="E961" s="2" t="s">
        <v>22</v>
      </c>
      <c r="F961" s="2" t="s">
        <v>15</v>
      </c>
      <c r="G961" s="2" t="s">
        <v>32</v>
      </c>
      <c r="H961" s="2" t="s">
        <v>17</v>
      </c>
      <c r="I961" s="2" t="s">
        <v>18</v>
      </c>
      <c r="J961">
        <v>0.62</v>
      </c>
      <c r="K961" s="1">
        <v>44671</v>
      </c>
      <c r="L961" s="2" t="str">
        <f>IF(Sheet1[[#This Row],[age]]&lt;18, "Under 18",IF(Sheet1[[#This Row],[age]]&lt;=30,"18-30",IF(Sheet1[[#This Row],[age]]&lt;=45,"31-45",IF(Sheet1[[#This Row],[age]]&lt;=60,"46-60","60+"))))</f>
        <v>18-30</v>
      </c>
      <c r="M961" s="2" t="str">
        <f>IF(Sheet1[[#This Row],[risk_score]]&lt;0.3,"Low",IF(Sheet1[[#This Row],[risk_score]]&lt;0.7,"Medium","High"))</f>
        <v>Medium</v>
      </c>
      <c r="N961">
        <f>YEAR(Sheet1[[#This Row],[date_joined]])</f>
        <v>2022</v>
      </c>
      <c r="O961" s="2" t="str">
        <f>TEXT(Sheet1[[#This Row],[date_joined]],"mmm")</f>
        <v>Apr</v>
      </c>
      <c r="P961" s="2" t="str">
        <f>"Q"&amp;ROUNDUP(MONTH(Sheet1[[#This Row],[date_joined]])/3,0)</f>
        <v>Q2</v>
      </c>
      <c r="Q961" s="2" t="str">
        <f>IF(Sheet1[[#This Row],[age]]&lt;30,"Young",IF(Sheet1[[#This Row],[age]]&lt;=50,"Adult","Senior"))</f>
        <v>Young</v>
      </c>
      <c r="R961" s="2" t="str">
        <f t="shared" si="28"/>
        <v>High</v>
      </c>
      <c r="S961" s="2" t="str">
        <f t="shared" si="29"/>
        <v>South - Student</v>
      </c>
    </row>
    <row r="962" spans="1:19" x14ac:dyDescent="0.3">
      <c r="A962" t="s">
        <v>1947</v>
      </c>
      <c r="B962" t="s">
        <v>1948</v>
      </c>
      <c r="C962">
        <v>33</v>
      </c>
      <c r="D962" s="2" t="s">
        <v>13</v>
      </c>
      <c r="E962" s="2" t="s">
        <v>22</v>
      </c>
      <c r="F962" s="2" t="s">
        <v>15</v>
      </c>
      <c r="G962" s="2" t="s">
        <v>27</v>
      </c>
      <c r="H962" s="2" t="s">
        <v>18</v>
      </c>
      <c r="I962" s="2" t="s">
        <v>18</v>
      </c>
      <c r="J962">
        <v>0.4</v>
      </c>
      <c r="K962" s="1">
        <v>43115</v>
      </c>
      <c r="L962" s="2" t="str">
        <f>IF(Sheet1[[#This Row],[age]]&lt;18, "Under 18",IF(Sheet1[[#This Row],[age]]&lt;=30,"18-30",IF(Sheet1[[#This Row],[age]]&lt;=45,"31-45",IF(Sheet1[[#This Row],[age]]&lt;=60,"46-60","60+"))))</f>
        <v>31-45</v>
      </c>
      <c r="M962" s="2" t="str">
        <f>IF(Sheet1[[#This Row],[risk_score]]&lt;0.3,"Low",IF(Sheet1[[#This Row],[risk_score]]&lt;0.7,"Medium","High"))</f>
        <v>Medium</v>
      </c>
      <c r="N962">
        <f>YEAR(Sheet1[[#This Row],[date_joined]])</f>
        <v>2018</v>
      </c>
      <c r="O962" s="2" t="str">
        <f>TEXT(Sheet1[[#This Row],[date_joined]],"mmm")</f>
        <v>Jan</v>
      </c>
      <c r="P962" s="2" t="str">
        <f>"Q"&amp;ROUNDUP(MONTH(Sheet1[[#This Row],[date_joined]])/3,0)</f>
        <v>Q1</v>
      </c>
      <c r="Q962" s="2" t="str">
        <f>IF(Sheet1[[#This Row],[age]]&lt;30,"Young",IF(Sheet1[[#This Row],[age]]&lt;=50,"Adult","Senior"))</f>
        <v>Adult</v>
      </c>
      <c r="R962" s="2" t="str">
        <f t="shared" ref="R962:R1025" si="30">IF(AND(H962="Yes",I962="Yes"),"Very High",
IF(OR(H962="Yes",I962="Yes"),"High","Low"))</f>
        <v>Very High</v>
      </c>
      <c r="S962" s="2" t="str">
        <f t="shared" ref="S962:S1025" si="31">G962&amp;" - "&amp;F962</f>
        <v>North - Student</v>
      </c>
    </row>
    <row r="963" spans="1:19" x14ac:dyDescent="0.3">
      <c r="A963" t="s">
        <v>1949</v>
      </c>
      <c r="B963" t="s">
        <v>1950</v>
      </c>
      <c r="C963">
        <v>62</v>
      </c>
      <c r="D963" s="2" t="s">
        <v>13</v>
      </c>
      <c r="E963" s="2" t="s">
        <v>14</v>
      </c>
      <c r="F963" s="2" t="s">
        <v>15</v>
      </c>
      <c r="G963" s="2" t="s">
        <v>81</v>
      </c>
      <c r="H963" s="2" t="s">
        <v>18</v>
      </c>
      <c r="I963" s="2" t="s">
        <v>17</v>
      </c>
      <c r="J963">
        <v>0.4</v>
      </c>
      <c r="K963" s="1">
        <v>45171</v>
      </c>
      <c r="L963" s="2" t="str">
        <f>IF(Sheet1[[#This Row],[age]]&lt;18, "Under 18",IF(Sheet1[[#This Row],[age]]&lt;=30,"18-30",IF(Sheet1[[#This Row],[age]]&lt;=45,"31-45",IF(Sheet1[[#This Row],[age]]&lt;=60,"46-60","60+"))))</f>
        <v>60+</v>
      </c>
      <c r="M963" s="2" t="str">
        <f>IF(Sheet1[[#This Row],[risk_score]]&lt;0.3,"Low",IF(Sheet1[[#This Row],[risk_score]]&lt;0.7,"Medium","High"))</f>
        <v>Medium</v>
      </c>
      <c r="N963">
        <f>YEAR(Sheet1[[#This Row],[date_joined]])</f>
        <v>2023</v>
      </c>
      <c r="O963" s="2" t="str">
        <f>TEXT(Sheet1[[#This Row],[date_joined]],"mmm")</f>
        <v>Sep</v>
      </c>
      <c r="P963" s="2" t="str">
        <f>"Q"&amp;ROUNDUP(MONTH(Sheet1[[#This Row],[date_joined]])/3,0)</f>
        <v>Q3</v>
      </c>
      <c r="Q963" s="2" t="str">
        <f>IF(Sheet1[[#This Row],[age]]&lt;30,"Young",IF(Sheet1[[#This Row],[age]]&lt;=50,"Adult","Senior"))</f>
        <v>Senior</v>
      </c>
      <c r="R963" s="2" t="str">
        <f t="shared" si="30"/>
        <v>High</v>
      </c>
      <c r="S963" s="2" t="str">
        <f t="shared" si="31"/>
        <v>Central - Student</v>
      </c>
    </row>
    <row r="964" spans="1:19" x14ac:dyDescent="0.3">
      <c r="A964" t="s">
        <v>1951</v>
      </c>
      <c r="B964" t="s">
        <v>1952</v>
      </c>
      <c r="C964">
        <v>28</v>
      </c>
      <c r="D964" s="2" t="s">
        <v>21</v>
      </c>
      <c r="E964" s="2" t="s">
        <v>30</v>
      </c>
      <c r="F964" s="2" t="s">
        <v>37</v>
      </c>
      <c r="G964" s="2" t="s">
        <v>32</v>
      </c>
      <c r="H964" s="2" t="s">
        <v>17</v>
      </c>
      <c r="I964" s="2" t="s">
        <v>18</v>
      </c>
      <c r="J964">
        <v>0.56000000000000005</v>
      </c>
      <c r="K964" s="1">
        <v>43563</v>
      </c>
      <c r="L964" s="2" t="str">
        <f>IF(Sheet1[[#This Row],[age]]&lt;18, "Under 18",IF(Sheet1[[#This Row],[age]]&lt;=30,"18-30",IF(Sheet1[[#This Row],[age]]&lt;=45,"31-45",IF(Sheet1[[#This Row],[age]]&lt;=60,"46-60","60+"))))</f>
        <v>18-30</v>
      </c>
      <c r="M964" s="2" t="str">
        <f>IF(Sheet1[[#This Row],[risk_score]]&lt;0.3,"Low",IF(Sheet1[[#This Row],[risk_score]]&lt;0.7,"Medium","High"))</f>
        <v>Medium</v>
      </c>
      <c r="N964">
        <f>YEAR(Sheet1[[#This Row],[date_joined]])</f>
        <v>2019</v>
      </c>
      <c r="O964" s="2" t="str">
        <f>TEXT(Sheet1[[#This Row],[date_joined]],"mmm")</f>
        <v>Apr</v>
      </c>
      <c r="P964" s="2" t="str">
        <f>"Q"&amp;ROUNDUP(MONTH(Sheet1[[#This Row],[date_joined]])/3,0)</f>
        <v>Q2</v>
      </c>
      <c r="Q964" s="2" t="str">
        <f>IF(Sheet1[[#This Row],[age]]&lt;30,"Young",IF(Sheet1[[#This Row],[age]]&lt;=50,"Adult","Senior"))</f>
        <v>Young</v>
      </c>
      <c r="R964" s="2" t="str">
        <f t="shared" si="30"/>
        <v>High</v>
      </c>
      <c r="S964" s="2" t="str">
        <f t="shared" si="31"/>
        <v>South - Retired</v>
      </c>
    </row>
    <row r="965" spans="1:19" x14ac:dyDescent="0.3">
      <c r="A965" t="s">
        <v>1953</v>
      </c>
      <c r="B965" t="s">
        <v>1954</v>
      </c>
      <c r="C965">
        <v>35</v>
      </c>
      <c r="D965" s="2" t="s">
        <v>13</v>
      </c>
      <c r="E965" s="2" t="s">
        <v>14</v>
      </c>
      <c r="F965" s="2" t="s">
        <v>15</v>
      </c>
      <c r="G965" s="2" t="s">
        <v>66</v>
      </c>
      <c r="H965" s="2" t="s">
        <v>17</v>
      </c>
      <c r="I965" s="2" t="s">
        <v>17</v>
      </c>
      <c r="J965">
        <v>0.52</v>
      </c>
      <c r="K965" s="1">
        <v>44807</v>
      </c>
      <c r="L965" s="2" t="str">
        <f>IF(Sheet1[[#This Row],[age]]&lt;18, "Under 18",IF(Sheet1[[#This Row],[age]]&lt;=30,"18-30",IF(Sheet1[[#This Row],[age]]&lt;=45,"31-45",IF(Sheet1[[#This Row],[age]]&lt;=60,"46-60","60+"))))</f>
        <v>31-45</v>
      </c>
      <c r="M965" s="2" t="str">
        <f>IF(Sheet1[[#This Row],[risk_score]]&lt;0.3,"Low",IF(Sheet1[[#This Row],[risk_score]]&lt;0.7,"Medium","High"))</f>
        <v>Medium</v>
      </c>
      <c r="N965">
        <f>YEAR(Sheet1[[#This Row],[date_joined]])</f>
        <v>2022</v>
      </c>
      <c r="O965" s="2" t="str">
        <f>TEXT(Sheet1[[#This Row],[date_joined]],"mmm")</f>
        <v>Sep</v>
      </c>
      <c r="P965" s="2" t="str">
        <f>"Q"&amp;ROUNDUP(MONTH(Sheet1[[#This Row],[date_joined]])/3,0)</f>
        <v>Q3</v>
      </c>
      <c r="Q965" s="2" t="str">
        <f>IF(Sheet1[[#This Row],[age]]&lt;30,"Young",IF(Sheet1[[#This Row],[age]]&lt;=50,"Adult","Senior"))</f>
        <v>Adult</v>
      </c>
      <c r="R965" s="2" t="str">
        <f t="shared" si="30"/>
        <v>Low</v>
      </c>
      <c r="S965" s="2" t="str">
        <f t="shared" si="31"/>
        <v>North-East - Student</v>
      </c>
    </row>
    <row r="966" spans="1:19" x14ac:dyDescent="0.3">
      <c r="A966" t="s">
        <v>1955</v>
      </c>
      <c r="B966" t="s">
        <v>1956</v>
      </c>
      <c r="C966">
        <v>35</v>
      </c>
      <c r="D966" s="2" t="s">
        <v>13</v>
      </c>
      <c r="E966" s="2" t="s">
        <v>22</v>
      </c>
      <c r="F966" s="2" t="s">
        <v>23</v>
      </c>
      <c r="G966" s="2" t="s">
        <v>27</v>
      </c>
      <c r="H966" s="2" t="s">
        <v>17</v>
      </c>
      <c r="I966" s="2" t="s">
        <v>17</v>
      </c>
      <c r="J966">
        <v>0.23</v>
      </c>
      <c r="K966" s="1">
        <v>44996</v>
      </c>
      <c r="L966" s="2" t="str">
        <f>IF(Sheet1[[#This Row],[age]]&lt;18, "Under 18",IF(Sheet1[[#This Row],[age]]&lt;=30,"18-30",IF(Sheet1[[#This Row],[age]]&lt;=45,"31-45",IF(Sheet1[[#This Row],[age]]&lt;=60,"46-60","60+"))))</f>
        <v>31-45</v>
      </c>
      <c r="M966" s="2" t="str">
        <f>IF(Sheet1[[#This Row],[risk_score]]&lt;0.3,"Low",IF(Sheet1[[#This Row],[risk_score]]&lt;0.7,"Medium","High"))</f>
        <v>Low</v>
      </c>
      <c r="N966">
        <f>YEAR(Sheet1[[#This Row],[date_joined]])</f>
        <v>2023</v>
      </c>
      <c r="O966" s="2" t="str">
        <f>TEXT(Sheet1[[#This Row],[date_joined]],"mmm")</f>
        <v>Mar</v>
      </c>
      <c r="P966" s="2" t="str">
        <f>"Q"&amp;ROUNDUP(MONTH(Sheet1[[#This Row],[date_joined]])/3,0)</f>
        <v>Q1</v>
      </c>
      <c r="Q966" s="2" t="str">
        <f>IF(Sheet1[[#This Row],[age]]&lt;30,"Young",IF(Sheet1[[#This Row],[age]]&lt;=50,"Adult","Senior"))</f>
        <v>Adult</v>
      </c>
      <c r="R966" s="2" t="str">
        <f t="shared" si="30"/>
        <v>Low</v>
      </c>
      <c r="S966" s="2" t="str">
        <f t="shared" si="31"/>
        <v>North - Salaried</v>
      </c>
    </row>
    <row r="967" spans="1:19" x14ac:dyDescent="0.3">
      <c r="A967" t="s">
        <v>1957</v>
      </c>
      <c r="B967" t="s">
        <v>1958</v>
      </c>
      <c r="C967">
        <v>29</v>
      </c>
      <c r="D967" s="2" t="s">
        <v>13</v>
      </c>
      <c r="E967" s="2" t="s">
        <v>22</v>
      </c>
      <c r="F967" s="2" t="s">
        <v>23</v>
      </c>
      <c r="G967" s="2" t="s">
        <v>66</v>
      </c>
      <c r="H967" s="2" t="s">
        <v>18</v>
      </c>
      <c r="I967" s="2" t="s">
        <v>18</v>
      </c>
      <c r="J967">
        <v>0.62</v>
      </c>
      <c r="K967" s="1">
        <v>43604</v>
      </c>
      <c r="L967" s="2" t="str">
        <f>IF(Sheet1[[#This Row],[age]]&lt;18, "Under 18",IF(Sheet1[[#This Row],[age]]&lt;=30,"18-30",IF(Sheet1[[#This Row],[age]]&lt;=45,"31-45",IF(Sheet1[[#This Row],[age]]&lt;=60,"46-60","60+"))))</f>
        <v>18-30</v>
      </c>
      <c r="M967" s="2" t="str">
        <f>IF(Sheet1[[#This Row],[risk_score]]&lt;0.3,"Low",IF(Sheet1[[#This Row],[risk_score]]&lt;0.7,"Medium","High"))</f>
        <v>Medium</v>
      </c>
      <c r="N967">
        <f>YEAR(Sheet1[[#This Row],[date_joined]])</f>
        <v>2019</v>
      </c>
      <c r="O967" s="2" t="str">
        <f>TEXT(Sheet1[[#This Row],[date_joined]],"mmm")</f>
        <v>May</v>
      </c>
      <c r="P967" s="2" t="str">
        <f>"Q"&amp;ROUNDUP(MONTH(Sheet1[[#This Row],[date_joined]])/3,0)</f>
        <v>Q2</v>
      </c>
      <c r="Q967" s="2" t="str">
        <f>IF(Sheet1[[#This Row],[age]]&lt;30,"Young",IF(Sheet1[[#This Row],[age]]&lt;=50,"Adult","Senior"))</f>
        <v>Young</v>
      </c>
      <c r="R967" s="2" t="str">
        <f t="shared" si="30"/>
        <v>Very High</v>
      </c>
      <c r="S967" s="2" t="str">
        <f t="shared" si="31"/>
        <v>North-East - Salaried</v>
      </c>
    </row>
    <row r="968" spans="1:19" x14ac:dyDescent="0.3">
      <c r="A968" t="s">
        <v>1959</v>
      </c>
      <c r="B968" t="s">
        <v>1960</v>
      </c>
      <c r="C968">
        <v>45</v>
      </c>
      <c r="D968" s="2" t="s">
        <v>13</v>
      </c>
      <c r="E968" s="2" t="s">
        <v>30</v>
      </c>
      <c r="F968" s="2" t="s">
        <v>37</v>
      </c>
      <c r="G968" s="2" t="s">
        <v>81</v>
      </c>
      <c r="H968" s="2" t="s">
        <v>17</v>
      </c>
      <c r="I968" s="2" t="s">
        <v>17</v>
      </c>
      <c r="J968">
        <v>0.47</v>
      </c>
      <c r="K968" s="1">
        <v>44688</v>
      </c>
      <c r="L968" s="2" t="str">
        <f>IF(Sheet1[[#This Row],[age]]&lt;18, "Under 18",IF(Sheet1[[#This Row],[age]]&lt;=30,"18-30",IF(Sheet1[[#This Row],[age]]&lt;=45,"31-45",IF(Sheet1[[#This Row],[age]]&lt;=60,"46-60","60+"))))</f>
        <v>31-45</v>
      </c>
      <c r="M968" s="2" t="str">
        <f>IF(Sheet1[[#This Row],[risk_score]]&lt;0.3,"Low",IF(Sheet1[[#This Row],[risk_score]]&lt;0.7,"Medium","High"))</f>
        <v>Medium</v>
      </c>
      <c r="N968">
        <f>YEAR(Sheet1[[#This Row],[date_joined]])</f>
        <v>2022</v>
      </c>
      <c r="O968" s="2" t="str">
        <f>TEXT(Sheet1[[#This Row],[date_joined]],"mmm")</f>
        <v>May</v>
      </c>
      <c r="P968" s="2" t="str">
        <f>"Q"&amp;ROUNDUP(MONTH(Sheet1[[#This Row],[date_joined]])/3,0)</f>
        <v>Q2</v>
      </c>
      <c r="Q968" s="2" t="str">
        <f>IF(Sheet1[[#This Row],[age]]&lt;30,"Young",IF(Sheet1[[#This Row],[age]]&lt;=50,"Adult","Senior"))</f>
        <v>Adult</v>
      </c>
      <c r="R968" s="2" t="str">
        <f t="shared" si="30"/>
        <v>Low</v>
      </c>
      <c r="S968" s="2" t="str">
        <f t="shared" si="31"/>
        <v>Central - Retired</v>
      </c>
    </row>
    <row r="969" spans="1:19" x14ac:dyDescent="0.3">
      <c r="A969" t="s">
        <v>1961</v>
      </c>
      <c r="B969" t="s">
        <v>1962</v>
      </c>
      <c r="C969">
        <v>68</v>
      </c>
      <c r="D969" s="2" t="s">
        <v>13</v>
      </c>
      <c r="E969" s="2" t="s">
        <v>14</v>
      </c>
      <c r="F969" s="2" t="s">
        <v>23</v>
      </c>
      <c r="G969" s="2" t="s">
        <v>32</v>
      </c>
      <c r="H969" s="2" t="s">
        <v>18</v>
      </c>
      <c r="I969" s="2" t="s">
        <v>18</v>
      </c>
      <c r="J969">
        <v>0.86</v>
      </c>
      <c r="K969" s="1">
        <v>43645</v>
      </c>
      <c r="L969" s="2" t="str">
        <f>IF(Sheet1[[#This Row],[age]]&lt;18, "Under 18",IF(Sheet1[[#This Row],[age]]&lt;=30,"18-30",IF(Sheet1[[#This Row],[age]]&lt;=45,"31-45",IF(Sheet1[[#This Row],[age]]&lt;=60,"46-60","60+"))))</f>
        <v>60+</v>
      </c>
      <c r="M969" s="2" t="str">
        <f>IF(Sheet1[[#This Row],[risk_score]]&lt;0.3,"Low",IF(Sheet1[[#This Row],[risk_score]]&lt;0.7,"Medium","High"))</f>
        <v>High</v>
      </c>
      <c r="N969">
        <f>YEAR(Sheet1[[#This Row],[date_joined]])</f>
        <v>2019</v>
      </c>
      <c r="O969" s="2" t="str">
        <f>TEXT(Sheet1[[#This Row],[date_joined]],"mmm")</f>
        <v>Jun</v>
      </c>
      <c r="P969" s="2" t="str">
        <f>"Q"&amp;ROUNDUP(MONTH(Sheet1[[#This Row],[date_joined]])/3,0)</f>
        <v>Q2</v>
      </c>
      <c r="Q969" s="2" t="str">
        <f>IF(Sheet1[[#This Row],[age]]&lt;30,"Young",IF(Sheet1[[#This Row],[age]]&lt;=50,"Adult","Senior"))</f>
        <v>Senior</v>
      </c>
      <c r="R969" s="2" t="str">
        <f t="shared" si="30"/>
        <v>Very High</v>
      </c>
      <c r="S969" s="2" t="str">
        <f t="shared" si="31"/>
        <v>South - Salaried</v>
      </c>
    </row>
    <row r="970" spans="1:19" x14ac:dyDescent="0.3">
      <c r="A970" t="s">
        <v>1963</v>
      </c>
      <c r="B970" t="s">
        <v>1964</v>
      </c>
      <c r="C970">
        <v>35</v>
      </c>
      <c r="D970" s="2" t="s">
        <v>13</v>
      </c>
      <c r="E970" s="2" t="s">
        <v>30</v>
      </c>
      <c r="F970" s="2" t="s">
        <v>23</v>
      </c>
      <c r="G970" s="2" t="s">
        <v>16</v>
      </c>
      <c r="H970" s="2" t="s">
        <v>18</v>
      </c>
      <c r="I970" s="2" t="s">
        <v>17</v>
      </c>
      <c r="J970">
        <v>0.51</v>
      </c>
      <c r="K970" s="1">
        <v>43828</v>
      </c>
      <c r="L970" s="2" t="str">
        <f>IF(Sheet1[[#This Row],[age]]&lt;18, "Under 18",IF(Sheet1[[#This Row],[age]]&lt;=30,"18-30",IF(Sheet1[[#This Row],[age]]&lt;=45,"31-45",IF(Sheet1[[#This Row],[age]]&lt;=60,"46-60","60+"))))</f>
        <v>31-45</v>
      </c>
      <c r="M970" s="2" t="str">
        <f>IF(Sheet1[[#This Row],[risk_score]]&lt;0.3,"Low",IF(Sheet1[[#This Row],[risk_score]]&lt;0.7,"Medium","High"))</f>
        <v>Medium</v>
      </c>
      <c r="N970">
        <f>YEAR(Sheet1[[#This Row],[date_joined]])</f>
        <v>2019</v>
      </c>
      <c r="O970" s="2" t="str">
        <f>TEXT(Sheet1[[#This Row],[date_joined]],"mmm")</f>
        <v>Dec</v>
      </c>
      <c r="P970" s="2" t="str">
        <f>"Q"&amp;ROUNDUP(MONTH(Sheet1[[#This Row],[date_joined]])/3,0)</f>
        <v>Q4</v>
      </c>
      <c r="Q970" s="2" t="str">
        <f>IF(Sheet1[[#This Row],[age]]&lt;30,"Young",IF(Sheet1[[#This Row],[age]]&lt;=50,"Adult","Senior"))</f>
        <v>Adult</v>
      </c>
      <c r="R970" s="2" t="str">
        <f t="shared" si="30"/>
        <v>High</v>
      </c>
      <c r="S970" s="2" t="str">
        <f t="shared" si="31"/>
        <v>West - Salaried</v>
      </c>
    </row>
    <row r="971" spans="1:19" x14ac:dyDescent="0.3">
      <c r="A971" t="s">
        <v>1965</v>
      </c>
      <c r="B971" t="s">
        <v>1966</v>
      </c>
      <c r="C971">
        <v>59</v>
      </c>
      <c r="D971" s="2" t="s">
        <v>13</v>
      </c>
      <c r="E971" s="2" t="s">
        <v>14</v>
      </c>
      <c r="F971" s="2" t="s">
        <v>15</v>
      </c>
      <c r="G971" s="2" t="s">
        <v>24</v>
      </c>
      <c r="H971" s="2" t="s">
        <v>18</v>
      </c>
      <c r="I971" s="2" t="s">
        <v>18</v>
      </c>
      <c r="J971">
        <v>0.67</v>
      </c>
      <c r="K971" s="1">
        <v>45284</v>
      </c>
      <c r="L971" s="2" t="str">
        <f>IF(Sheet1[[#This Row],[age]]&lt;18, "Under 18",IF(Sheet1[[#This Row],[age]]&lt;=30,"18-30",IF(Sheet1[[#This Row],[age]]&lt;=45,"31-45",IF(Sheet1[[#This Row],[age]]&lt;=60,"46-60","60+"))))</f>
        <v>46-60</v>
      </c>
      <c r="M971" s="2" t="str">
        <f>IF(Sheet1[[#This Row],[risk_score]]&lt;0.3,"Low",IF(Sheet1[[#This Row],[risk_score]]&lt;0.7,"Medium","High"))</f>
        <v>Medium</v>
      </c>
      <c r="N971">
        <f>YEAR(Sheet1[[#This Row],[date_joined]])</f>
        <v>2023</v>
      </c>
      <c r="O971" s="2" t="str">
        <f>TEXT(Sheet1[[#This Row],[date_joined]],"mmm")</f>
        <v>Dec</v>
      </c>
      <c r="P971" s="2" t="str">
        <f>"Q"&amp;ROUNDUP(MONTH(Sheet1[[#This Row],[date_joined]])/3,0)</f>
        <v>Q4</v>
      </c>
      <c r="Q971" s="2" t="str">
        <f>IF(Sheet1[[#This Row],[age]]&lt;30,"Young",IF(Sheet1[[#This Row],[age]]&lt;=50,"Adult","Senior"))</f>
        <v>Senior</v>
      </c>
      <c r="R971" s="2" t="str">
        <f t="shared" si="30"/>
        <v>Very High</v>
      </c>
      <c r="S971" s="2" t="str">
        <f t="shared" si="31"/>
        <v>East - Student</v>
      </c>
    </row>
    <row r="972" spans="1:19" x14ac:dyDescent="0.3">
      <c r="A972" t="s">
        <v>1967</v>
      </c>
      <c r="B972" t="s">
        <v>1968</v>
      </c>
      <c r="C972">
        <v>32</v>
      </c>
      <c r="D972" s="2" t="s">
        <v>21</v>
      </c>
      <c r="E972" s="2" t="s">
        <v>22</v>
      </c>
      <c r="F972" s="2" t="s">
        <v>31</v>
      </c>
      <c r="G972" s="2" t="s">
        <v>27</v>
      </c>
      <c r="H972" s="2" t="s">
        <v>17</v>
      </c>
      <c r="I972" s="2" t="s">
        <v>18</v>
      </c>
      <c r="J972">
        <v>0.57999999999999996</v>
      </c>
      <c r="K972" s="1">
        <v>43200</v>
      </c>
      <c r="L972" s="2" t="str">
        <f>IF(Sheet1[[#This Row],[age]]&lt;18, "Under 18",IF(Sheet1[[#This Row],[age]]&lt;=30,"18-30",IF(Sheet1[[#This Row],[age]]&lt;=45,"31-45",IF(Sheet1[[#This Row],[age]]&lt;=60,"46-60","60+"))))</f>
        <v>31-45</v>
      </c>
      <c r="M972" s="2" t="str">
        <f>IF(Sheet1[[#This Row],[risk_score]]&lt;0.3,"Low",IF(Sheet1[[#This Row],[risk_score]]&lt;0.7,"Medium","High"))</f>
        <v>Medium</v>
      </c>
      <c r="N972">
        <f>YEAR(Sheet1[[#This Row],[date_joined]])</f>
        <v>2018</v>
      </c>
      <c r="O972" s="2" t="str">
        <f>TEXT(Sheet1[[#This Row],[date_joined]],"mmm")</f>
        <v>Apr</v>
      </c>
      <c r="P972" s="2" t="str">
        <f>"Q"&amp;ROUNDUP(MONTH(Sheet1[[#This Row],[date_joined]])/3,0)</f>
        <v>Q2</v>
      </c>
      <c r="Q972" s="2" t="str">
        <f>IF(Sheet1[[#This Row],[age]]&lt;30,"Young",IF(Sheet1[[#This Row],[age]]&lt;=50,"Adult","Senior"))</f>
        <v>Adult</v>
      </c>
      <c r="R972" s="2" t="str">
        <f t="shared" si="30"/>
        <v>High</v>
      </c>
      <c r="S972" s="2" t="str">
        <f t="shared" si="31"/>
        <v>North - Self-employed</v>
      </c>
    </row>
    <row r="973" spans="1:19" x14ac:dyDescent="0.3">
      <c r="A973" t="s">
        <v>1969</v>
      </c>
      <c r="B973" t="s">
        <v>1970</v>
      </c>
      <c r="C973">
        <v>59</v>
      </c>
      <c r="D973" s="2" t="s">
        <v>21</v>
      </c>
      <c r="E973" s="2" t="s">
        <v>14</v>
      </c>
      <c r="F973" s="2" t="s">
        <v>15</v>
      </c>
      <c r="G973" s="2" t="s">
        <v>24</v>
      </c>
      <c r="H973" s="2" t="s">
        <v>18</v>
      </c>
      <c r="I973" s="2" t="s">
        <v>17</v>
      </c>
      <c r="J973">
        <v>0.39</v>
      </c>
      <c r="K973" s="1">
        <v>43786</v>
      </c>
      <c r="L973" s="2" t="str">
        <f>IF(Sheet1[[#This Row],[age]]&lt;18, "Under 18",IF(Sheet1[[#This Row],[age]]&lt;=30,"18-30",IF(Sheet1[[#This Row],[age]]&lt;=45,"31-45",IF(Sheet1[[#This Row],[age]]&lt;=60,"46-60","60+"))))</f>
        <v>46-60</v>
      </c>
      <c r="M973" s="2" t="str">
        <f>IF(Sheet1[[#This Row],[risk_score]]&lt;0.3,"Low",IF(Sheet1[[#This Row],[risk_score]]&lt;0.7,"Medium","High"))</f>
        <v>Medium</v>
      </c>
      <c r="N973">
        <f>YEAR(Sheet1[[#This Row],[date_joined]])</f>
        <v>2019</v>
      </c>
      <c r="O973" s="2" t="str">
        <f>TEXT(Sheet1[[#This Row],[date_joined]],"mmm")</f>
        <v>Nov</v>
      </c>
      <c r="P973" s="2" t="str">
        <f>"Q"&amp;ROUNDUP(MONTH(Sheet1[[#This Row],[date_joined]])/3,0)</f>
        <v>Q4</v>
      </c>
      <c r="Q973" s="2" t="str">
        <f>IF(Sheet1[[#This Row],[age]]&lt;30,"Young",IF(Sheet1[[#This Row],[age]]&lt;=50,"Adult","Senior"))</f>
        <v>Senior</v>
      </c>
      <c r="R973" s="2" t="str">
        <f t="shared" si="30"/>
        <v>High</v>
      </c>
      <c r="S973" s="2" t="str">
        <f t="shared" si="31"/>
        <v>East - Student</v>
      </c>
    </row>
    <row r="974" spans="1:19" x14ac:dyDescent="0.3">
      <c r="A974" t="s">
        <v>1971</v>
      </c>
      <c r="B974" t="s">
        <v>1972</v>
      </c>
      <c r="C974">
        <v>60</v>
      </c>
      <c r="D974" s="2" t="s">
        <v>21</v>
      </c>
      <c r="E974" s="2" t="s">
        <v>14</v>
      </c>
      <c r="F974" s="2" t="s">
        <v>23</v>
      </c>
      <c r="G974" s="2" t="s">
        <v>27</v>
      </c>
      <c r="H974" s="2" t="s">
        <v>17</v>
      </c>
      <c r="I974" s="2" t="s">
        <v>18</v>
      </c>
      <c r="J974">
        <v>0.6</v>
      </c>
      <c r="K974" s="1">
        <v>43497</v>
      </c>
      <c r="L974" s="2" t="str">
        <f>IF(Sheet1[[#This Row],[age]]&lt;18, "Under 18",IF(Sheet1[[#This Row],[age]]&lt;=30,"18-30",IF(Sheet1[[#This Row],[age]]&lt;=45,"31-45",IF(Sheet1[[#This Row],[age]]&lt;=60,"46-60","60+"))))</f>
        <v>46-60</v>
      </c>
      <c r="M974" s="2" t="str">
        <f>IF(Sheet1[[#This Row],[risk_score]]&lt;0.3,"Low",IF(Sheet1[[#This Row],[risk_score]]&lt;0.7,"Medium","High"))</f>
        <v>Medium</v>
      </c>
      <c r="N974">
        <f>YEAR(Sheet1[[#This Row],[date_joined]])</f>
        <v>2019</v>
      </c>
      <c r="O974" s="2" t="str">
        <f>TEXT(Sheet1[[#This Row],[date_joined]],"mmm")</f>
        <v>Feb</v>
      </c>
      <c r="P974" s="2" t="str">
        <f>"Q"&amp;ROUNDUP(MONTH(Sheet1[[#This Row],[date_joined]])/3,0)</f>
        <v>Q1</v>
      </c>
      <c r="Q974" s="2" t="str">
        <f>IF(Sheet1[[#This Row],[age]]&lt;30,"Young",IF(Sheet1[[#This Row],[age]]&lt;=50,"Adult","Senior"))</f>
        <v>Senior</v>
      </c>
      <c r="R974" s="2" t="str">
        <f t="shared" si="30"/>
        <v>High</v>
      </c>
      <c r="S974" s="2" t="str">
        <f t="shared" si="31"/>
        <v>North - Salaried</v>
      </c>
    </row>
    <row r="975" spans="1:19" x14ac:dyDescent="0.3">
      <c r="A975" t="s">
        <v>1973</v>
      </c>
      <c r="B975" t="s">
        <v>1974</v>
      </c>
      <c r="C975">
        <v>52</v>
      </c>
      <c r="D975" s="2" t="s">
        <v>13</v>
      </c>
      <c r="E975" s="2" t="s">
        <v>14</v>
      </c>
      <c r="F975" s="2" t="s">
        <v>23</v>
      </c>
      <c r="G975" s="2" t="s">
        <v>16</v>
      </c>
      <c r="H975" s="2" t="s">
        <v>18</v>
      </c>
      <c r="I975" s="2" t="s">
        <v>17</v>
      </c>
      <c r="J975">
        <v>0.28000000000000003</v>
      </c>
      <c r="K975" s="1">
        <v>43364</v>
      </c>
      <c r="L975" s="2" t="str">
        <f>IF(Sheet1[[#This Row],[age]]&lt;18, "Under 18",IF(Sheet1[[#This Row],[age]]&lt;=30,"18-30",IF(Sheet1[[#This Row],[age]]&lt;=45,"31-45",IF(Sheet1[[#This Row],[age]]&lt;=60,"46-60","60+"))))</f>
        <v>46-60</v>
      </c>
      <c r="M975" s="2" t="str">
        <f>IF(Sheet1[[#This Row],[risk_score]]&lt;0.3,"Low",IF(Sheet1[[#This Row],[risk_score]]&lt;0.7,"Medium","High"))</f>
        <v>Low</v>
      </c>
      <c r="N975">
        <f>YEAR(Sheet1[[#This Row],[date_joined]])</f>
        <v>2018</v>
      </c>
      <c r="O975" s="2" t="str">
        <f>TEXT(Sheet1[[#This Row],[date_joined]],"mmm")</f>
        <v>Sep</v>
      </c>
      <c r="P975" s="2" t="str">
        <f>"Q"&amp;ROUNDUP(MONTH(Sheet1[[#This Row],[date_joined]])/3,0)</f>
        <v>Q3</v>
      </c>
      <c r="Q975" s="2" t="str">
        <f>IF(Sheet1[[#This Row],[age]]&lt;30,"Young",IF(Sheet1[[#This Row],[age]]&lt;=50,"Adult","Senior"))</f>
        <v>Senior</v>
      </c>
      <c r="R975" s="2" t="str">
        <f t="shared" si="30"/>
        <v>High</v>
      </c>
      <c r="S975" s="2" t="str">
        <f t="shared" si="31"/>
        <v>West - Salaried</v>
      </c>
    </row>
    <row r="976" spans="1:19" x14ac:dyDescent="0.3">
      <c r="A976" t="s">
        <v>1975</v>
      </c>
      <c r="B976" t="s">
        <v>1976</v>
      </c>
      <c r="C976">
        <v>62</v>
      </c>
      <c r="D976" s="2" t="s">
        <v>13</v>
      </c>
      <c r="E976" s="2" t="s">
        <v>30</v>
      </c>
      <c r="F976" s="2" t="s">
        <v>31</v>
      </c>
      <c r="G976" s="2" t="s">
        <v>32</v>
      </c>
      <c r="H976" s="2" t="s">
        <v>18</v>
      </c>
      <c r="I976" s="2" t="s">
        <v>18</v>
      </c>
      <c r="J976">
        <v>0.27</v>
      </c>
      <c r="K976" s="1">
        <v>43408</v>
      </c>
      <c r="L976" s="2" t="str">
        <f>IF(Sheet1[[#This Row],[age]]&lt;18, "Under 18",IF(Sheet1[[#This Row],[age]]&lt;=30,"18-30",IF(Sheet1[[#This Row],[age]]&lt;=45,"31-45",IF(Sheet1[[#This Row],[age]]&lt;=60,"46-60","60+"))))</f>
        <v>60+</v>
      </c>
      <c r="M976" s="2" t="str">
        <f>IF(Sheet1[[#This Row],[risk_score]]&lt;0.3,"Low",IF(Sheet1[[#This Row],[risk_score]]&lt;0.7,"Medium","High"))</f>
        <v>Low</v>
      </c>
      <c r="N976">
        <f>YEAR(Sheet1[[#This Row],[date_joined]])</f>
        <v>2018</v>
      </c>
      <c r="O976" s="2" t="str">
        <f>TEXT(Sheet1[[#This Row],[date_joined]],"mmm")</f>
        <v>Nov</v>
      </c>
      <c r="P976" s="2" t="str">
        <f>"Q"&amp;ROUNDUP(MONTH(Sheet1[[#This Row],[date_joined]])/3,0)</f>
        <v>Q4</v>
      </c>
      <c r="Q976" s="2" t="str">
        <f>IF(Sheet1[[#This Row],[age]]&lt;30,"Young",IF(Sheet1[[#This Row],[age]]&lt;=50,"Adult","Senior"))</f>
        <v>Senior</v>
      </c>
      <c r="R976" s="2" t="str">
        <f t="shared" si="30"/>
        <v>Very High</v>
      </c>
      <c r="S976" s="2" t="str">
        <f t="shared" si="31"/>
        <v>South - Self-employed</v>
      </c>
    </row>
    <row r="977" spans="1:19" x14ac:dyDescent="0.3">
      <c r="A977" t="s">
        <v>1977</v>
      </c>
      <c r="B977" t="s">
        <v>1978</v>
      </c>
      <c r="C977">
        <v>60</v>
      </c>
      <c r="D977" s="2" t="s">
        <v>13</v>
      </c>
      <c r="E977" s="2" t="s">
        <v>22</v>
      </c>
      <c r="F977" s="2" t="s">
        <v>15</v>
      </c>
      <c r="G977" s="2" t="s">
        <v>27</v>
      </c>
      <c r="H977" s="2" t="s">
        <v>18</v>
      </c>
      <c r="I977" s="2" t="s">
        <v>18</v>
      </c>
      <c r="J977">
        <v>0.53</v>
      </c>
      <c r="K977" s="1">
        <v>43473</v>
      </c>
      <c r="L977" s="2" t="str">
        <f>IF(Sheet1[[#This Row],[age]]&lt;18, "Under 18",IF(Sheet1[[#This Row],[age]]&lt;=30,"18-30",IF(Sheet1[[#This Row],[age]]&lt;=45,"31-45",IF(Sheet1[[#This Row],[age]]&lt;=60,"46-60","60+"))))</f>
        <v>46-60</v>
      </c>
      <c r="M977" s="2" t="str">
        <f>IF(Sheet1[[#This Row],[risk_score]]&lt;0.3,"Low",IF(Sheet1[[#This Row],[risk_score]]&lt;0.7,"Medium","High"))</f>
        <v>Medium</v>
      </c>
      <c r="N977">
        <f>YEAR(Sheet1[[#This Row],[date_joined]])</f>
        <v>2019</v>
      </c>
      <c r="O977" s="2" t="str">
        <f>TEXT(Sheet1[[#This Row],[date_joined]],"mmm")</f>
        <v>Jan</v>
      </c>
      <c r="P977" s="2" t="str">
        <f>"Q"&amp;ROUNDUP(MONTH(Sheet1[[#This Row],[date_joined]])/3,0)</f>
        <v>Q1</v>
      </c>
      <c r="Q977" s="2" t="str">
        <f>IF(Sheet1[[#This Row],[age]]&lt;30,"Young",IF(Sheet1[[#This Row],[age]]&lt;=50,"Adult","Senior"))</f>
        <v>Senior</v>
      </c>
      <c r="R977" s="2" t="str">
        <f t="shared" si="30"/>
        <v>Very High</v>
      </c>
      <c r="S977" s="2" t="str">
        <f t="shared" si="31"/>
        <v>North - Student</v>
      </c>
    </row>
    <row r="978" spans="1:19" x14ac:dyDescent="0.3">
      <c r="A978" t="s">
        <v>1979</v>
      </c>
      <c r="B978" t="s">
        <v>1980</v>
      </c>
      <c r="C978">
        <v>51</v>
      </c>
      <c r="D978" s="2" t="s">
        <v>21</v>
      </c>
      <c r="E978" s="2" t="s">
        <v>14</v>
      </c>
      <c r="F978" s="2" t="s">
        <v>23</v>
      </c>
      <c r="G978" s="2" t="s">
        <v>24</v>
      </c>
      <c r="H978" s="2" t="s">
        <v>17</v>
      </c>
      <c r="I978" s="2" t="s">
        <v>17</v>
      </c>
      <c r="J978">
        <v>0.67</v>
      </c>
      <c r="K978" s="1">
        <v>43438</v>
      </c>
      <c r="L978" s="2" t="str">
        <f>IF(Sheet1[[#This Row],[age]]&lt;18, "Under 18",IF(Sheet1[[#This Row],[age]]&lt;=30,"18-30",IF(Sheet1[[#This Row],[age]]&lt;=45,"31-45",IF(Sheet1[[#This Row],[age]]&lt;=60,"46-60","60+"))))</f>
        <v>46-60</v>
      </c>
      <c r="M978" s="2" t="str">
        <f>IF(Sheet1[[#This Row],[risk_score]]&lt;0.3,"Low",IF(Sheet1[[#This Row],[risk_score]]&lt;0.7,"Medium","High"))</f>
        <v>Medium</v>
      </c>
      <c r="N978">
        <f>YEAR(Sheet1[[#This Row],[date_joined]])</f>
        <v>2018</v>
      </c>
      <c r="O978" s="2" t="str">
        <f>TEXT(Sheet1[[#This Row],[date_joined]],"mmm")</f>
        <v>Dec</v>
      </c>
      <c r="P978" s="2" t="str">
        <f>"Q"&amp;ROUNDUP(MONTH(Sheet1[[#This Row],[date_joined]])/3,0)</f>
        <v>Q4</v>
      </c>
      <c r="Q978" s="2" t="str">
        <f>IF(Sheet1[[#This Row],[age]]&lt;30,"Young",IF(Sheet1[[#This Row],[age]]&lt;=50,"Adult","Senior"))</f>
        <v>Senior</v>
      </c>
      <c r="R978" s="2" t="str">
        <f t="shared" si="30"/>
        <v>Low</v>
      </c>
      <c r="S978" s="2" t="str">
        <f t="shared" si="31"/>
        <v>East - Salaried</v>
      </c>
    </row>
    <row r="979" spans="1:19" x14ac:dyDescent="0.3">
      <c r="A979" t="s">
        <v>1981</v>
      </c>
      <c r="B979" t="s">
        <v>1982</v>
      </c>
      <c r="C979">
        <v>52</v>
      </c>
      <c r="D979" s="2" t="s">
        <v>13</v>
      </c>
      <c r="E979" s="2" t="s">
        <v>14</v>
      </c>
      <c r="F979" s="2" t="s">
        <v>37</v>
      </c>
      <c r="G979" s="2" t="s">
        <v>24</v>
      </c>
      <c r="H979" s="2" t="s">
        <v>18</v>
      </c>
      <c r="I979" s="2" t="s">
        <v>18</v>
      </c>
      <c r="J979">
        <v>0.28000000000000003</v>
      </c>
      <c r="K979" s="1">
        <v>44878</v>
      </c>
      <c r="L979" s="2" t="str">
        <f>IF(Sheet1[[#This Row],[age]]&lt;18, "Under 18",IF(Sheet1[[#This Row],[age]]&lt;=30,"18-30",IF(Sheet1[[#This Row],[age]]&lt;=45,"31-45",IF(Sheet1[[#This Row],[age]]&lt;=60,"46-60","60+"))))</f>
        <v>46-60</v>
      </c>
      <c r="M979" s="2" t="str">
        <f>IF(Sheet1[[#This Row],[risk_score]]&lt;0.3,"Low",IF(Sheet1[[#This Row],[risk_score]]&lt;0.7,"Medium","High"))</f>
        <v>Low</v>
      </c>
      <c r="N979">
        <f>YEAR(Sheet1[[#This Row],[date_joined]])</f>
        <v>2022</v>
      </c>
      <c r="O979" s="2" t="str">
        <f>TEXT(Sheet1[[#This Row],[date_joined]],"mmm")</f>
        <v>Nov</v>
      </c>
      <c r="P979" s="2" t="str">
        <f>"Q"&amp;ROUNDUP(MONTH(Sheet1[[#This Row],[date_joined]])/3,0)</f>
        <v>Q4</v>
      </c>
      <c r="Q979" s="2" t="str">
        <f>IF(Sheet1[[#This Row],[age]]&lt;30,"Young",IF(Sheet1[[#This Row],[age]]&lt;=50,"Adult","Senior"))</f>
        <v>Senior</v>
      </c>
      <c r="R979" s="2" t="str">
        <f t="shared" si="30"/>
        <v>Very High</v>
      </c>
      <c r="S979" s="2" t="str">
        <f t="shared" si="31"/>
        <v>East - Retired</v>
      </c>
    </row>
    <row r="980" spans="1:19" x14ac:dyDescent="0.3">
      <c r="A980" t="s">
        <v>1983</v>
      </c>
      <c r="B980" t="s">
        <v>1984</v>
      </c>
      <c r="C980">
        <v>45</v>
      </c>
      <c r="D980" s="2" t="s">
        <v>13</v>
      </c>
      <c r="E980" s="2" t="s">
        <v>14</v>
      </c>
      <c r="F980" s="2" t="s">
        <v>15</v>
      </c>
      <c r="G980" s="2" t="s">
        <v>66</v>
      </c>
      <c r="H980" s="2" t="s">
        <v>18</v>
      </c>
      <c r="I980" s="2" t="s">
        <v>17</v>
      </c>
      <c r="J980">
        <v>0.49</v>
      </c>
      <c r="K980" s="1">
        <v>43641</v>
      </c>
      <c r="L980" s="2" t="str">
        <f>IF(Sheet1[[#This Row],[age]]&lt;18, "Under 18",IF(Sheet1[[#This Row],[age]]&lt;=30,"18-30",IF(Sheet1[[#This Row],[age]]&lt;=45,"31-45",IF(Sheet1[[#This Row],[age]]&lt;=60,"46-60","60+"))))</f>
        <v>31-45</v>
      </c>
      <c r="M980" s="2" t="str">
        <f>IF(Sheet1[[#This Row],[risk_score]]&lt;0.3,"Low",IF(Sheet1[[#This Row],[risk_score]]&lt;0.7,"Medium","High"))</f>
        <v>Medium</v>
      </c>
      <c r="N980">
        <f>YEAR(Sheet1[[#This Row],[date_joined]])</f>
        <v>2019</v>
      </c>
      <c r="O980" s="2" t="str">
        <f>TEXT(Sheet1[[#This Row],[date_joined]],"mmm")</f>
        <v>Jun</v>
      </c>
      <c r="P980" s="2" t="str">
        <f>"Q"&amp;ROUNDUP(MONTH(Sheet1[[#This Row],[date_joined]])/3,0)</f>
        <v>Q2</v>
      </c>
      <c r="Q980" s="2" t="str">
        <f>IF(Sheet1[[#This Row],[age]]&lt;30,"Young",IF(Sheet1[[#This Row],[age]]&lt;=50,"Adult","Senior"))</f>
        <v>Adult</v>
      </c>
      <c r="R980" s="2" t="str">
        <f t="shared" si="30"/>
        <v>High</v>
      </c>
      <c r="S980" s="2" t="str">
        <f t="shared" si="31"/>
        <v>North-East - Student</v>
      </c>
    </row>
    <row r="981" spans="1:19" x14ac:dyDescent="0.3">
      <c r="A981" t="s">
        <v>1985</v>
      </c>
      <c r="B981" t="s">
        <v>1986</v>
      </c>
      <c r="C981">
        <v>39</v>
      </c>
      <c r="D981" s="2" t="s">
        <v>21</v>
      </c>
      <c r="E981" s="2" t="s">
        <v>14</v>
      </c>
      <c r="F981" s="2" t="s">
        <v>23</v>
      </c>
      <c r="G981" s="2" t="s">
        <v>24</v>
      </c>
      <c r="H981" s="2" t="s">
        <v>17</v>
      </c>
      <c r="I981" s="2" t="s">
        <v>17</v>
      </c>
      <c r="J981">
        <v>0.51</v>
      </c>
      <c r="K981" s="1">
        <v>43590</v>
      </c>
      <c r="L981" s="2" t="str">
        <f>IF(Sheet1[[#This Row],[age]]&lt;18, "Under 18",IF(Sheet1[[#This Row],[age]]&lt;=30,"18-30",IF(Sheet1[[#This Row],[age]]&lt;=45,"31-45",IF(Sheet1[[#This Row],[age]]&lt;=60,"46-60","60+"))))</f>
        <v>31-45</v>
      </c>
      <c r="M981" s="2" t="str">
        <f>IF(Sheet1[[#This Row],[risk_score]]&lt;0.3,"Low",IF(Sheet1[[#This Row],[risk_score]]&lt;0.7,"Medium","High"))</f>
        <v>Medium</v>
      </c>
      <c r="N981">
        <f>YEAR(Sheet1[[#This Row],[date_joined]])</f>
        <v>2019</v>
      </c>
      <c r="O981" s="2" t="str">
        <f>TEXT(Sheet1[[#This Row],[date_joined]],"mmm")</f>
        <v>May</v>
      </c>
      <c r="P981" s="2" t="str">
        <f>"Q"&amp;ROUNDUP(MONTH(Sheet1[[#This Row],[date_joined]])/3,0)</f>
        <v>Q2</v>
      </c>
      <c r="Q981" s="2" t="str">
        <f>IF(Sheet1[[#This Row],[age]]&lt;30,"Young",IF(Sheet1[[#This Row],[age]]&lt;=50,"Adult","Senior"))</f>
        <v>Adult</v>
      </c>
      <c r="R981" s="2" t="str">
        <f t="shared" si="30"/>
        <v>Low</v>
      </c>
      <c r="S981" s="2" t="str">
        <f t="shared" si="31"/>
        <v>East - Salaried</v>
      </c>
    </row>
    <row r="982" spans="1:19" x14ac:dyDescent="0.3">
      <c r="A982" t="s">
        <v>1987</v>
      </c>
      <c r="B982" t="s">
        <v>1988</v>
      </c>
      <c r="C982">
        <v>24</v>
      </c>
      <c r="D982" s="2" t="s">
        <v>13</v>
      </c>
      <c r="E982" s="2" t="s">
        <v>14</v>
      </c>
      <c r="F982" s="2" t="s">
        <v>31</v>
      </c>
      <c r="G982" s="2" t="s">
        <v>27</v>
      </c>
      <c r="H982" s="2" t="s">
        <v>17</v>
      </c>
      <c r="I982" s="2" t="s">
        <v>17</v>
      </c>
      <c r="J982">
        <v>0.45</v>
      </c>
      <c r="K982" s="1">
        <v>43932</v>
      </c>
      <c r="L982" s="2" t="str">
        <f>IF(Sheet1[[#This Row],[age]]&lt;18, "Under 18",IF(Sheet1[[#This Row],[age]]&lt;=30,"18-30",IF(Sheet1[[#This Row],[age]]&lt;=45,"31-45",IF(Sheet1[[#This Row],[age]]&lt;=60,"46-60","60+"))))</f>
        <v>18-30</v>
      </c>
      <c r="M982" s="2" t="str">
        <f>IF(Sheet1[[#This Row],[risk_score]]&lt;0.3,"Low",IF(Sheet1[[#This Row],[risk_score]]&lt;0.7,"Medium","High"))</f>
        <v>Medium</v>
      </c>
      <c r="N982">
        <f>YEAR(Sheet1[[#This Row],[date_joined]])</f>
        <v>2020</v>
      </c>
      <c r="O982" s="2" t="str">
        <f>TEXT(Sheet1[[#This Row],[date_joined]],"mmm")</f>
        <v>Apr</v>
      </c>
      <c r="P982" s="2" t="str">
        <f>"Q"&amp;ROUNDUP(MONTH(Sheet1[[#This Row],[date_joined]])/3,0)</f>
        <v>Q2</v>
      </c>
      <c r="Q982" s="2" t="str">
        <f>IF(Sheet1[[#This Row],[age]]&lt;30,"Young",IF(Sheet1[[#This Row],[age]]&lt;=50,"Adult","Senior"))</f>
        <v>Young</v>
      </c>
      <c r="R982" s="2" t="str">
        <f t="shared" si="30"/>
        <v>Low</v>
      </c>
      <c r="S982" s="2" t="str">
        <f t="shared" si="31"/>
        <v>North - Self-employed</v>
      </c>
    </row>
    <row r="983" spans="1:19" x14ac:dyDescent="0.3">
      <c r="A983" t="s">
        <v>1989</v>
      </c>
      <c r="B983" t="s">
        <v>1990</v>
      </c>
      <c r="C983">
        <v>53</v>
      </c>
      <c r="D983" s="2" t="s">
        <v>21</v>
      </c>
      <c r="E983" s="2" t="s">
        <v>30</v>
      </c>
      <c r="F983" s="2" t="s">
        <v>37</v>
      </c>
      <c r="G983" s="2" t="s">
        <v>32</v>
      </c>
      <c r="H983" s="2" t="s">
        <v>18</v>
      </c>
      <c r="I983" s="2" t="s">
        <v>18</v>
      </c>
      <c r="J983">
        <v>0.42</v>
      </c>
      <c r="K983" s="1">
        <v>44412</v>
      </c>
      <c r="L983" s="2" t="str">
        <f>IF(Sheet1[[#This Row],[age]]&lt;18, "Under 18",IF(Sheet1[[#This Row],[age]]&lt;=30,"18-30",IF(Sheet1[[#This Row],[age]]&lt;=45,"31-45",IF(Sheet1[[#This Row],[age]]&lt;=60,"46-60","60+"))))</f>
        <v>46-60</v>
      </c>
      <c r="M983" s="2" t="str">
        <f>IF(Sheet1[[#This Row],[risk_score]]&lt;0.3,"Low",IF(Sheet1[[#This Row],[risk_score]]&lt;0.7,"Medium","High"))</f>
        <v>Medium</v>
      </c>
      <c r="N983">
        <f>YEAR(Sheet1[[#This Row],[date_joined]])</f>
        <v>2021</v>
      </c>
      <c r="O983" s="2" t="str">
        <f>TEXT(Sheet1[[#This Row],[date_joined]],"mmm")</f>
        <v>Aug</v>
      </c>
      <c r="P983" s="2" t="str">
        <f>"Q"&amp;ROUNDUP(MONTH(Sheet1[[#This Row],[date_joined]])/3,0)</f>
        <v>Q3</v>
      </c>
      <c r="Q983" s="2" t="str">
        <f>IF(Sheet1[[#This Row],[age]]&lt;30,"Young",IF(Sheet1[[#This Row],[age]]&lt;=50,"Adult","Senior"))</f>
        <v>Senior</v>
      </c>
      <c r="R983" s="2" t="str">
        <f t="shared" si="30"/>
        <v>Very High</v>
      </c>
      <c r="S983" s="2" t="str">
        <f t="shared" si="31"/>
        <v>South - Retired</v>
      </c>
    </row>
    <row r="984" spans="1:19" x14ac:dyDescent="0.3">
      <c r="A984" t="s">
        <v>1991</v>
      </c>
      <c r="B984" t="s">
        <v>1992</v>
      </c>
      <c r="C984">
        <v>63</v>
      </c>
      <c r="D984" s="2" t="s">
        <v>13</v>
      </c>
      <c r="E984" s="2" t="s">
        <v>22</v>
      </c>
      <c r="F984" s="2" t="s">
        <v>23</v>
      </c>
      <c r="G984" s="2" t="s">
        <v>27</v>
      </c>
      <c r="H984" s="2" t="s">
        <v>17</v>
      </c>
      <c r="I984" s="2" t="s">
        <v>18</v>
      </c>
      <c r="J984">
        <v>0.85</v>
      </c>
      <c r="K984" s="1">
        <v>44706</v>
      </c>
      <c r="L984" s="2" t="str">
        <f>IF(Sheet1[[#This Row],[age]]&lt;18, "Under 18",IF(Sheet1[[#This Row],[age]]&lt;=30,"18-30",IF(Sheet1[[#This Row],[age]]&lt;=45,"31-45",IF(Sheet1[[#This Row],[age]]&lt;=60,"46-60","60+"))))</f>
        <v>60+</v>
      </c>
      <c r="M984" s="2" t="str">
        <f>IF(Sheet1[[#This Row],[risk_score]]&lt;0.3,"Low",IF(Sheet1[[#This Row],[risk_score]]&lt;0.7,"Medium","High"))</f>
        <v>High</v>
      </c>
      <c r="N984">
        <f>YEAR(Sheet1[[#This Row],[date_joined]])</f>
        <v>2022</v>
      </c>
      <c r="O984" s="2" t="str">
        <f>TEXT(Sheet1[[#This Row],[date_joined]],"mmm")</f>
        <v>May</v>
      </c>
      <c r="P984" s="2" t="str">
        <f>"Q"&amp;ROUNDUP(MONTH(Sheet1[[#This Row],[date_joined]])/3,0)</f>
        <v>Q2</v>
      </c>
      <c r="Q984" s="2" t="str">
        <f>IF(Sheet1[[#This Row],[age]]&lt;30,"Young",IF(Sheet1[[#This Row],[age]]&lt;=50,"Adult","Senior"))</f>
        <v>Senior</v>
      </c>
      <c r="R984" s="2" t="str">
        <f t="shared" si="30"/>
        <v>High</v>
      </c>
      <c r="S984" s="2" t="str">
        <f t="shared" si="31"/>
        <v>North - Salaried</v>
      </c>
    </row>
    <row r="985" spans="1:19" x14ac:dyDescent="0.3">
      <c r="A985" t="s">
        <v>1993</v>
      </c>
      <c r="B985" t="s">
        <v>1994</v>
      </c>
      <c r="C985">
        <v>67</v>
      </c>
      <c r="D985" s="2" t="s">
        <v>13</v>
      </c>
      <c r="E985" s="2" t="s">
        <v>22</v>
      </c>
      <c r="F985" s="2" t="s">
        <v>15</v>
      </c>
      <c r="G985" s="2" t="s">
        <v>16</v>
      </c>
      <c r="H985" s="2" t="s">
        <v>17</v>
      </c>
      <c r="I985" s="2" t="s">
        <v>18</v>
      </c>
      <c r="J985">
        <v>0.82</v>
      </c>
      <c r="K985" s="1">
        <v>43479</v>
      </c>
      <c r="L985" s="2" t="str">
        <f>IF(Sheet1[[#This Row],[age]]&lt;18, "Under 18",IF(Sheet1[[#This Row],[age]]&lt;=30,"18-30",IF(Sheet1[[#This Row],[age]]&lt;=45,"31-45",IF(Sheet1[[#This Row],[age]]&lt;=60,"46-60","60+"))))</f>
        <v>60+</v>
      </c>
      <c r="M985" s="2" t="str">
        <f>IF(Sheet1[[#This Row],[risk_score]]&lt;0.3,"Low",IF(Sheet1[[#This Row],[risk_score]]&lt;0.7,"Medium","High"))</f>
        <v>High</v>
      </c>
      <c r="N985">
        <f>YEAR(Sheet1[[#This Row],[date_joined]])</f>
        <v>2019</v>
      </c>
      <c r="O985" s="2" t="str">
        <f>TEXT(Sheet1[[#This Row],[date_joined]],"mmm")</f>
        <v>Jan</v>
      </c>
      <c r="P985" s="2" t="str">
        <f>"Q"&amp;ROUNDUP(MONTH(Sheet1[[#This Row],[date_joined]])/3,0)</f>
        <v>Q1</v>
      </c>
      <c r="Q985" s="2" t="str">
        <f>IF(Sheet1[[#This Row],[age]]&lt;30,"Young",IF(Sheet1[[#This Row],[age]]&lt;=50,"Adult","Senior"))</f>
        <v>Senior</v>
      </c>
      <c r="R985" s="2" t="str">
        <f t="shared" si="30"/>
        <v>High</v>
      </c>
      <c r="S985" s="2" t="str">
        <f t="shared" si="31"/>
        <v>West - Student</v>
      </c>
    </row>
    <row r="986" spans="1:19" x14ac:dyDescent="0.3">
      <c r="A986" t="s">
        <v>1995</v>
      </c>
      <c r="B986" t="s">
        <v>1996</v>
      </c>
      <c r="C986">
        <v>33</v>
      </c>
      <c r="D986" s="2" t="s">
        <v>21</v>
      </c>
      <c r="E986" s="2" t="s">
        <v>30</v>
      </c>
      <c r="F986" s="2" t="s">
        <v>31</v>
      </c>
      <c r="G986" s="2" t="s">
        <v>66</v>
      </c>
      <c r="H986" s="2" t="s">
        <v>18</v>
      </c>
      <c r="I986" s="2" t="s">
        <v>17</v>
      </c>
      <c r="J986">
        <v>0.25</v>
      </c>
      <c r="K986" s="1">
        <v>44703</v>
      </c>
      <c r="L986" s="2" t="str">
        <f>IF(Sheet1[[#This Row],[age]]&lt;18, "Under 18",IF(Sheet1[[#This Row],[age]]&lt;=30,"18-30",IF(Sheet1[[#This Row],[age]]&lt;=45,"31-45",IF(Sheet1[[#This Row],[age]]&lt;=60,"46-60","60+"))))</f>
        <v>31-45</v>
      </c>
      <c r="M986" s="2" t="str">
        <f>IF(Sheet1[[#This Row],[risk_score]]&lt;0.3,"Low",IF(Sheet1[[#This Row],[risk_score]]&lt;0.7,"Medium","High"))</f>
        <v>Low</v>
      </c>
      <c r="N986">
        <f>YEAR(Sheet1[[#This Row],[date_joined]])</f>
        <v>2022</v>
      </c>
      <c r="O986" s="2" t="str">
        <f>TEXT(Sheet1[[#This Row],[date_joined]],"mmm")</f>
        <v>May</v>
      </c>
      <c r="P986" s="2" t="str">
        <f>"Q"&amp;ROUNDUP(MONTH(Sheet1[[#This Row],[date_joined]])/3,0)</f>
        <v>Q2</v>
      </c>
      <c r="Q986" s="2" t="str">
        <f>IF(Sheet1[[#This Row],[age]]&lt;30,"Young",IF(Sheet1[[#This Row],[age]]&lt;=50,"Adult","Senior"))</f>
        <v>Adult</v>
      </c>
      <c r="R986" s="2" t="str">
        <f t="shared" si="30"/>
        <v>High</v>
      </c>
      <c r="S986" s="2" t="str">
        <f t="shared" si="31"/>
        <v>North-East - Self-employed</v>
      </c>
    </row>
    <row r="987" spans="1:19" x14ac:dyDescent="0.3">
      <c r="A987" t="s">
        <v>1997</v>
      </c>
      <c r="B987" t="s">
        <v>1998</v>
      </c>
      <c r="C987">
        <v>56</v>
      </c>
      <c r="D987" s="2" t="s">
        <v>21</v>
      </c>
      <c r="E987" s="2" t="s">
        <v>14</v>
      </c>
      <c r="F987" s="2" t="s">
        <v>23</v>
      </c>
      <c r="G987" s="2" t="s">
        <v>32</v>
      </c>
      <c r="H987" s="2" t="s">
        <v>17</v>
      </c>
      <c r="I987" s="2" t="s">
        <v>17</v>
      </c>
      <c r="J987">
        <v>0.46</v>
      </c>
      <c r="K987" s="1">
        <v>44578</v>
      </c>
      <c r="L987" s="2" t="str">
        <f>IF(Sheet1[[#This Row],[age]]&lt;18, "Under 18",IF(Sheet1[[#This Row],[age]]&lt;=30,"18-30",IF(Sheet1[[#This Row],[age]]&lt;=45,"31-45",IF(Sheet1[[#This Row],[age]]&lt;=60,"46-60","60+"))))</f>
        <v>46-60</v>
      </c>
      <c r="M987" s="2" t="str">
        <f>IF(Sheet1[[#This Row],[risk_score]]&lt;0.3,"Low",IF(Sheet1[[#This Row],[risk_score]]&lt;0.7,"Medium","High"))</f>
        <v>Medium</v>
      </c>
      <c r="N987">
        <f>YEAR(Sheet1[[#This Row],[date_joined]])</f>
        <v>2022</v>
      </c>
      <c r="O987" s="2" t="str">
        <f>TEXT(Sheet1[[#This Row],[date_joined]],"mmm")</f>
        <v>Jan</v>
      </c>
      <c r="P987" s="2" t="str">
        <f>"Q"&amp;ROUNDUP(MONTH(Sheet1[[#This Row],[date_joined]])/3,0)</f>
        <v>Q1</v>
      </c>
      <c r="Q987" s="2" t="str">
        <f>IF(Sheet1[[#This Row],[age]]&lt;30,"Young",IF(Sheet1[[#This Row],[age]]&lt;=50,"Adult","Senior"))</f>
        <v>Senior</v>
      </c>
      <c r="R987" s="2" t="str">
        <f t="shared" si="30"/>
        <v>Low</v>
      </c>
      <c r="S987" s="2" t="str">
        <f t="shared" si="31"/>
        <v>South - Salaried</v>
      </c>
    </row>
    <row r="988" spans="1:19" x14ac:dyDescent="0.3">
      <c r="A988" t="s">
        <v>1999</v>
      </c>
      <c r="B988" t="s">
        <v>2000</v>
      </c>
      <c r="C988">
        <v>28</v>
      </c>
      <c r="D988" s="2" t="s">
        <v>13</v>
      </c>
      <c r="E988" s="2" t="s">
        <v>22</v>
      </c>
      <c r="F988" s="2" t="s">
        <v>23</v>
      </c>
      <c r="G988" s="2" t="s">
        <v>32</v>
      </c>
      <c r="H988" s="2" t="s">
        <v>18</v>
      </c>
      <c r="I988" s="2" t="s">
        <v>18</v>
      </c>
      <c r="J988">
        <v>0.62</v>
      </c>
      <c r="K988" s="1">
        <v>43109</v>
      </c>
      <c r="L988" s="2" t="str">
        <f>IF(Sheet1[[#This Row],[age]]&lt;18, "Under 18",IF(Sheet1[[#This Row],[age]]&lt;=30,"18-30",IF(Sheet1[[#This Row],[age]]&lt;=45,"31-45",IF(Sheet1[[#This Row],[age]]&lt;=60,"46-60","60+"))))</f>
        <v>18-30</v>
      </c>
      <c r="M988" s="2" t="str">
        <f>IF(Sheet1[[#This Row],[risk_score]]&lt;0.3,"Low",IF(Sheet1[[#This Row],[risk_score]]&lt;0.7,"Medium","High"))</f>
        <v>Medium</v>
      </c>
      <c r="N988">
        <f>YEAR(Sheet1[[#This Row],[date_joined]])</f>
        <v>2018</v>
      </c>
      <c r="O988" s="2" t="str">
        <f>TEXT(Sheet1[[#This Row],[date_joined]],"mmm")</f>
        <v>Jan</v>
      </c>
      <c r="P988" s="2" t="str">
        <f>"Q"&amp;ROUNDUP(MONTH(Sheet1[[#This Row],[date_joined]])/3,0)</f>
        <v>Q1</v>
      </c>
      <c r="Q988" s="2" t="str">
        <f>IF(Sheet1[[#This Row],[age]]&lt;30,"Young",IF(Sheet1[[#This Row],[age]]&lt;=50,"Adult","Senior"))</f>
        <v>Young</v>
      </c>
      <c r="R988" s="2" t="str">
        <f t="shared" si="30"/>
        <v>Very High</v>
      </c>
      <c r="S988" s="2" t="str">
        <f t="shared" si="31"/>
        <v>South - Salaried</v>
      </c>
    </row>
    <row r="989" spans="1:19" x14ac:dyDescent="0.3">
      <c r="A989" t="s">
        <v>2001</v>
      </c>
      <c r="B989" t="s">
        <v>2002</v>
      </c>
      <c r="C989">
        <v>25</v>
      </c>
      <c r="D989" s="2" t="s">
        <v>13</v>
      </c>
      <c r="E989" s="2" t="s">
        <v>30</v>
      </c>
      <c r="F989" s="2" t="s">
        <v>37</v>
      </c>
      <c r="G989" s="2" t="s">
        <v>27</v>
      </c>
      <c r="H989" s="2" t="s">
        <v>18</v>
      </c>
      <c r="I989" s="2" t="s">
        <v>17</v>
      </c>
      <c r="J989">
        <v>0.75</v>
      </c>
      <c r="K989" s="1">
        <v>43165</v>
      </c>
      <c r="L989" s="2" t="str">
        <f>IF(Sheet1[[#This Row],[age]]&lt;18, "Under 18",IF(Sheet1[[#This Row],[age]]&lt;=30,"18-30",IF(Sheet1[[#This Row],[age]]&lt;=45,"31-45",IF(Sheet1[[#This Row],[age]]&lt;=60,"46-60","60+"))))</f>
        <v>18-30</v>
      </c>
      <c r="M989" s="2" t="str">
        <f>IF(Sheet1[[#This Row],[risk_score]]&lt;0.3,"Low",IF(Sheet1[[#This Row],[risk_score]]&lt;0.7,"Medium","High"))</f>
        <v>High</v>
      </c>
      <c r="N989">
        <f>YEAR(Sheet1[[#This Row],[date_joined]])</f>
        <v>2018</v>
      </c>
      <c r="O989" s="2" t="str">
        <f>TEXT(Sheet1[[#This Row],[date_joined]],"mmm")</f>
        <v>Mar</v>
      </c>
      <c r="P989" s="2" t="str">
        <f>"Q"&amp;ROUNDUP(MONTH(Sheet1[[#This Row],[date_joined]])/3,0)</f>
        <v>Q1</v>
      </c>
      <c r="Q989" s="2" t="str">
        <f>IF(Sheet1[[#This Row],[age]]&lt;30,"Young",IF(Sheet1[[#This Row],[age]]&lt;=50,"Adult","Senior"))</f>
        <v>Young</v>
      </c>
      <c r="R989" s="2" t="str">
        <f t="shared" si="30"/>
        <v>High</v>
      </c>
      <c r="S989" s="2" t="str">
        <f t="shared" si="31"/>
        <v>North - Retired</v>
      </c>
    </row>
    <row r="990" spans="1:19" x14ac:dyDescent="0.3">
      <c r="A990" t="s">
        <v>2003</v>
      </c>
      <c r="B990" t="s">
        <v>2004</v>
      </c>
      <c r="C990">
        <v>20</v>
      </c>
      <c r="D990" s="2" t="s">
        <v>13</v>
      </c>
      <c r="E990" s="2" t="s">
        <v>30</v>
      </c>
      <c r="F990" s="2" t="s">
        <v>37</v>
      </c>
      <c r="G990" s="2" t="s">
        <v>27</v>
      </c>
      <c r="H990" s="2" t="s">
        <v>17</v>
      </c>
      <c r="I990" s="2" t="s">
        <v>17</v>
      </c>
      <c r="J990">
        <v>0.56000000000000005</v>
      </c>
      <c r="K990" s="1">
        <v>43592</v>
      </c>
      <c r="L990" s="2" t="str">
        <f>IF(Sheet1[[#This Row],[age]]&lt;18, "Under 18",IF(Sheet1[[#This Row],[age]]&lt;=30,"18-30",IF(Sheet1[[#This Row],[age]]&lt;=45,"31-45",IF(Sheet1[[#This Row],[age]]&lt;=60,"46-60","60+"))))</f>
        <v>18-30</v>
      </c>
      <c r="M990" s="2" t="str">
        <f>IF(Sheet1[[#This Row],[risk_score]]&lt;0.3,"Low",IF(Sheet1[[#This Row],[risk_score]]&lt;0.7,"Medium","High"))</f>
        <v>Medium</v>
      </c>
      <c r="N990">
        <f>YEAR(Sheet1[[#This Row],[date_joined]])</f>
        <v>2019</v>
      </c>
      <c r="O990" s="2" t="str">
        <f>TEXT(Sheet1[[#This Row],[date_joined]],"mmm")</f>
        <v>May</v>
      </c>
      <c r="P990" s="2" t="str">
        <f>"Q"&amp;ROUNDUP(MONTH(Sheet1[[#This Row],[date_joined]])/3,0)</f>
        <v>Q2</v>
      </c>
      <c r="Q990" s="2" t="str">
        <f>IF(Sheet1[[#This Row],[age]]&lt;30,"Young",IF(Sheet1[[#This Row],[age]]&lt;=50,"Adult","Senior"))</f>
        <v>Young</v>
      </c>
      <c r="R990" s="2" t="str">
        <f t="shared" si="30"/>
        <v>Low</v>
      </c>
      <c r="S990" s="2" t="str">
        <f t="shared" si="31"/>
        <v>North - Retired</v>
      </c>
    </row>
    <row r="991" spans="1:19" x14ac:dyDescent="0.3">
      <c r="A991" t="s">
        <v>2005</v>
      </c>
      <c r="B991" t="s">
        <v>2006</v>
      </c>
      <c r="C991">
        <v>47</v>
      </c>
      <c r="D991" s="2" t="s">
        <v>13</v>
      </c>
      <c r="E991" s="2" t="s">
        <v>30</v>
      </c>
      <c r="F991" s="2" t="s">
        <v>15</v>
      </c>
      <c r="G991" s="2" t="s">
        <v>16</v>
      </c>
      <c r="H991" s="2" t="s">
        <v>17</v>
      </c>
      <c r="I991" s="2" t="s">
        <v>18</v>
      </c>
      <c r="J991">
        <v>0.39</v>
      </c>
      <c r="K991" s="1">
        <v>44250</v>
      </c>
      <c r="L991" s="2" t="str">
        <f>IF(Sheet1[[#This Row],[age]]&lt;18, "Under 18",IF(Sheet1[[#This Row],[age]]&lt;=30,"18-30",IF(Sheet1[[#This Row],[age]]&lt;=45,"31-45",IF(Sheet1[[#This Row],[age]]&lt;=60,"46-60","60+"))))</f>
        <v>46-60</v>
      </c>
      <c r="M991" s="2" t="str">
        <f>IF(Sheet1[[#This Row],[risk_score]]&lt;0.3,"Low",IF(Sheet1[[#This Row],[risk_score]]&lt;0.7,"Medium","High"))</f>
        <v>Medium</v>
      </c>
      <c r="N991">
        <f>YEAR(Sheet1[[#This Row],[date_joined]])</f>
        <v>2021</v>
      </c>
      <c r="O991" s="2" t="str">
        <f>TEXT(Sheet1[[#This Row],[date_joined]],"mmm")</f>
        <v>Feb</v>
      </c>
      <c r="P991" s="2" t="str">
        <f>"Q"&amp;ROUNDUP(MONTH(Sheet1[[#This Row],[date_joined]])/3,0)</f>
        <v>Q1</v>
      </c>
      <c r="Q991" s="2" t="str">
        <f>IF(Sheet1[[#This Row],[age]]&lt;30,"Young",IF(Sheet1[[#This Row],[age]]&lt;=50,"Adult","Senior"))</f>
        <v>Adult</v>
      </c>
      <c r="R991" s="2" t="str">
        <f t="shared" si="30"/>
        <v>High</v>
      </c>
      <c r="S991" s="2" t="str">
        <f t="shared" si="31"/>
        <v>West - Student</v>
      </c>
    </row>
    <row r="992" spans="1:19" x14ac:dyDescent="0.3">
      <c r="A992" t="s">
        <v>2007</v>
      </c>
      <c r="B992" t="s">
        <v>2008</v>
      </c>
      <c r="C992">
        <v>27</v>
      </c>
      <c r="D992" s="2" t="s">
        <v>13</v>
      </c>
      <c r="E992" s="2" t="s">
        <v>14</v>
      </c>
      <c r="F992" s="2" t="s">
        <v>23</v>
      </c>
      <c r="G992" s="2" t="s">
        <v>24</v>
      </c>
      <c r="H992" s="2" t="s">
        <v>17</v>
      </c>
      <c r="I992" s="2" t="s">
        <v>18</v>
      </c>
      <c r="J992">
        <v>0.25</v>
      </c>
      <c r="K992" s="1">
        <v>43223</v>
      </c>
      <c r="L992" s="2" t="str">
        <f>IF(Sheet1[[#This Row],[age]]&lt;18, "Under 18",IF(Sheet1[[#This Row],[age]]&lt;=30,"18-30",IF(Sheet1[[#This Row],[age]]&lt;=45,"31-45",IF(Sheet1[[#This Row],[age]]&lt;=60,"46-60","60+"))))</f>
        <v>18-30</v>
      </c>
      <c r="M992" s="2" t="str">
        <f>IF(Sheet1[[#This Row],[risk_score]]&lt;0.3,"Low",IF(Sheet1[[#This Row],[risk_score]]&lt;0.7,"Medium","High"))</f>
        <v>Low</v>
      </c>
      <c r="N992">
        <f>YEAR(Sheet1[[#This Row],[date_joined]])</f>
        <v>2018</v>
      </c>
      <c r="O992" s="2" t="str">
        <f>TEXT(Sheet1[[#This Row],[date_joined]],"mmm")</f>
        <v>May</v>
      </c>
      <c r="P992" s="2" t="str">
        <f>"Q"&amp;ROUNDUP(MONTH(Sheet1[[#This Row],[date_joined]])/3,0)</f>
        <v>Q2</v>
      </c>
      <c r="Q992" s="2" t="str">
        <f>IF(Sheet1[[#This Row],[age]]&lt;30,"Young",IF(Sheet1[[#This Row],[age]]&lt;=50,"Adult","Senior"))</f>
        <v>Young</v>
      </c>
      <c r="R992" s="2" t="str">
        <f t="shared" si="30"/>
        <v>High</v>
      </c>
      <c r="S992" s="2" t="str">
        <f t="shared" si="31"/>
        <v>East - Salaried</v>
      </c>
    </row>
    <row r="993" spans="1:19" x14ac:dyDescent="0.3">
      <c r="A993" t="s">
        <v>2009</v>
      </c>
      <c r="B993" t="s">
        <v>2010</v>
      </c>
      <c r="C993">
        <v>32</v>
      </c>
      <c r="D993" s="2" t="s">
        <v>13</v>
      </c>
      <c r="E993" s="2" t="s">
        <v>30</v>
      </c>
      <c r="F993" s="2" t="s">
        <v>37</v>
      </c>
      <c r="G993" s="2" t="s">
        <v>32</v>
      </c>
      <c r="H993" s="2" t="s">
        <v>17</v>
      </c>
      <c r="I993" s="2" t="s">
        <v>17</v>
      </c>
      <c r="J993">
        <v>0.43</v>
      </c>
      <c r="K993" s="1">
        <v>44643</v>
      </c>
      <c r="L993" s="2" t="str">
        <f>IF(Sheet1[[#This Row],[age]]&lt;18, "Under 18",IF(Sheet1[[#This Row],[age]]&lt;=30,"18-30",IF(Sheet1[[#This Row],[age]]&lt;=45,"31-45",IF(Sheet1[[#This Row],[age]]&lt;=60,"46-60","60+"))))</f>
        <v>31-45</v>
      </c>
      <c r="M993" s="2" t="str">
        <f>IF(Sheet1[[#This Row],[risk_score]]&lt;0.3,"Low",IF(Sheet1[[#This Row],[risk_score]]&lt;0.7,"Medium","High"))</f>
        <v>Medium</v>
      </c>
      <c r="N993">
        <f>YEAR(Sheet1[[#This Row],[date_joined]])</f>
        <v>2022</v>
      </c>
      <c r="O993" s="2" t="str">
        <f>TEXT(Sheet1[[#This Row],[date_joined]],"mmm")</f>
        <v>Mar</v>
      </c>
      <c r="P993" s="2" t="str">
        <f>"Q"&amp;ROUNDUP(MONTH(Sheet1[[#This Row],[date_joined]])/3,0)</f>
        <v>Q1</v>
      </c>
      <c r="Q993" s="2" t="str">
        <f>IF(Sheet1[[#This Row],[age]]&lt;30,"Young",IF(Sheet1[[#This Row],[age]]&lt;=50,"Adult","Senior"))</f>
        <v>Adult</v>
      </c>
      <c r="R993" s="2" t="str">
        <f t="shared" si="30"/>
        <v>Low</v>
      </c>
      <c r="S993" s="2" t="str">
        <f t="shared" si="31"/>
        <v>South - Retired</v>
      </c>
    </row>
    <row r="994" spans="1:19" x14ac:dyDescent="0.3">
      <c r="A994" t="s">
        <v>2011</v>
      </c>
      <c r="B994" t="s">
        <v>2012</v>
      </c>
      <c r="C994">
        <v>30</v>
      </c>
      <c r="D994" s="2" t="s">
        <v>21</v>
      </c>
      <c r="E994" s="2" t="s">
        <v>14</v>
      </c>
      <c r="F994" s="2" t="s">
        <v>37</v>
      </c>
      <c r="G994" s="2" t="s">
        <v>24</v>
      </c>
      <c r="H994" s="2" t="s">
        <v>18</v>
      </c>
      <c r="I994" s="2" t="s">
        <v>17</v>
      </c>
      <c r="J994">
        <v>0.31</v>
      </c>
      <c r="K994" s="1">
        <v>43572</v>
      </c>
      <c r="L994" s="2" t="str">
        <f>IF(Sheet1[[#This Row],[age]]&lt;18, "Under 18",IF(Sheet1[[#This Row],[age]]&lt;=30,"18-30",IF(Sheet1[[#This Row],[age]]&lt;=45,"31-45",IF(Sheet1[[#This Row],[age]]&lt;=60,"46-60","60+"))))</f>
        <v>18-30</v>
      </c>
      <c r="M994" s="2" t="str">
        <f>IF(Sheet1[[#This Row],[risk_score]]&lt;0.3,"Low",IF(Sheet1[[#This Row],[risk_score]]&lt;0.7,"Medium","High"))</f>
        <v>Medium</v>
      </c>
      <c r="N994">
        <f>YEAR(Sheet1[[#This Row],[date_joined]])</f>
        <v>2019</v>
      </c>
      <c r="O994" s="2" t="str">
        <f>TEXT(Sheet1[[#This Row],[date_joined]],"mmm")</f>
        <v>Apr</v>
      </c>
      <c r="P994" s="2" t="str">
        <f>"Q"&amp;ROUNDUP(MONTH(Sheet1[[#This Row],[date_joined]])/3,0)</f>
        <v>Q2</v>
      </c>
      <c r="Q994" s="2" t="str">
        <f>IF(Sheet1[[#This Row],[age]]&lt;30,"Young",IF(Sheet1[[#This Row],[age]]&lt;=50,"Adult","Senior"))</f>
        <v>Adult</v>
      </c>
      <c r="R994" s="2" t="str">
        <f t="shared" si="30"/>
        <v>High</v>
      </c>
      <c r="S994" s="2" t="str">
        <f t="shared" si="31"/>
        <v>East - Retired</v>
      </c>
    </row>
    <row r="995" spans="1:19" x14ac:dyDescent="0.3">
      <c r="A995" t="s">
        <v>2013</v>
      </c>
      <c r="B995" t="s">
        <v>2014</v>
      </c>
      <c r="C995">
        <v>46</v>
      </c>
      <c r="D995" s="2" t="s">
        <v>21</v>
      </c>
      <c r="E995" s="2" t="s">
        <v>30</v>
      </c>
      <c r="F995" s="2" t="s">
        <v>37</v>
      </c>
      <c r="G995" s="2" t="s">
        <v>32</v>
      </c>
      <c r="H995" s="2" t="s">
        <v>18</v>
      </c>
      <c r="I995" s="2" t="s">
        <v>17</v>
      </c>
      <c r="J995">
        <v>0.78</v>
      </c>
      <c r="K995" s="1">
        <v>44589</v>
      </c>
      <c r="L995" s="2" t="str">
        <f>IF(Sheet1[[#This Row],[age]]&lt;18, "Under 18",IF(Sheet1[[#This Row],[age]]&lt;=30,"18-30",IF(Sheet1[[#This Row],[age]]&lt;=45,"31-45",IF(Sheet1[[#This Row],[age]]&lt;=60,"46-60","60+"))))</f>
        <v>46-60</v>
      </c>
      <c r="M995" s="2" t="str">
        <f>IF(Sheet1[[#This Row],[risk_score]]&lt;0.3,"Low",IF(Sheet1[[#This Row],[risk_score]]&lt;0.7,"Medium","High"))</f>
        <v>High</v>
      </c>
      <c r="N995">
        <f>YEAR(Sheet1[[#This Row],[date_joined]])</f>
        <v>2022</v>
      </c>
      <c r="O995" s="2" t="str">
        <f>TEXT(Sheet1[[#This Row],[date_joined]],"mmm")</f>
        <v>Jan</v>
      </c>
      <c r="P995" s="2" t="str">
        <f>"Q"&amp;ROUNDUP(MONTH(Sheet1[[#This Row],[date_joined]])/3,0)</f>
        <v>Q1</v>
      </c>
      <c r="Q995" s="2" t="str">
        <f>IF(Sheet1[[#This Row],[age]]&lt;30,"Young",IF(Sheet1[[#This Row],[age]]&lt;=50,"Adult","Senior"))</f>
        <v>Adult</v>
      </c>
      <c r="R995" s="2" t="str">
        <f t="shared" si="30"/>
        <v>High</v>
      </c>
      <c r="S995" s="2" t="str">
        <f t="shared" si="31"/>
        <v>South - Retired</v>
      </c>
    </row>
    <row r="996" spans="1:19" x14ac:dyDescent="0.3">
      <c r="A996" t="s">
        <v>2015</v>
      </c>
      <c r="B996" t="s">
        <v>2016</v>
      </c>
      <c r="C996">
        <v>26</v>
      </c>
      <c r="D996" s="2" t="s">
        <v>13</v>
      </c>
      <c r="E996" s="2" t="s">
        <v>30</v>
      </c>
      <c r="F996" s="2" t="s">
        <v>37</v>
      </c>
      <c r="G996" s="2" t="s">
        <v>24</v>
      </c>
      <c r="H996" s="2" t="s">
        <v>17</v>
      </c>
      <c r="I996" s="2" t="s">
        <v>18</v>
      </c>
      <c r="J996">
        <v>0.85</v>
      </c>
      <c r="K996" s="1">
        <v>44391</v>
      </c>
      <c r="L996" s="2" t="str">
        <f>IF(Sheet1[[#This Row],[age]]&lt;18, "Under 18",IF(Sheet1[[#This Row],[age]]&lt;=30,"18-30",IF(Sheet1[[#This Row],[age]]&lt;=45,"31-45",IF(Sheet1[[#This Row],[age]]&lt;=60,"46-60","60+"))))</f>
        <v>18-30</v>
      </c>
      <c r="M996" s="2" t="str">
        <f>IF(Sheet1[[#This Row],[risk_score]]&lt;0.3,"Low",IF(Sheet1[[#This Row],[risk_score]]&lt;0.7,"Medium","High"))</f>
        <v>High</v>
      </c>
      <c r="N996">
        <f>YEAR(Sheet1[[#This Row],[date_joined]])</f>
        <v>2021</v>
      </c>
      <c r="O996" s="2" t="str">
        <f>TEXT(Sheet1[[#This Row],[date_joined]],"mmm")</f>
        <v>Jul</v>
      </c>
      <c r="P996" s="2" t="str">
        <f>"Q"&amp;ROUNDUP(MONTH(Sheet1[[#This Row],[date_joined]])/3,0)</f>
        <v>Q3</v>
      </c>
      <c r="Q996" s="2" t="str">
        <f>IF(Sheet1[[#This Row],[age]]&lt;30,"Young",IF(Sheet1[[#This Row],[age]]&lt;=50,"Adult","Senior"))</f>
        <v>Young</v>
      </c>
      <c r="R996" s="2" t="str">
        <f t="shared" si="30"/>
        <v>High</v>
      </c>
      <c r="S996" s="2" t="str">
        <f t="shared" si="31"/>
        <v>East - Retired</v>
      </c>
    </row>
    <row r="997" spans="1:19" x14ac:dyDescent="0.3">
      <c r="A997" t="s">
        <v>2017</v>
      </c>
      <c r="B997" t="s">
        <v>2018</v>
      </c>
      <c r="C997">
        <v>56</v>
      </c>
      <c r="D997" s="2" t="s">
        <v>21</v>
      </c>
      <c r="E997" s="2" t="s">
        <v>30</v>
      </c>
      <c r="F997" s="2" t="s">
        <v>31</v>
      </c>
      <c r="G997" s="2" t="s">
        <v>16</v>
      </c>
      <c r="H997" s="2" t="s">
        <v>18</v>
      </c>
      <c r="I997" s="2" t="s">
        <v>17</v>
      </c>
      <c r="J997">
        <v>0.5</v>
      </c>
      <c r="K997" s="1">
        <v>43933</v>
      </c>
      <c r="L997" s="2" t="str">
        <f>IF(Sheet1[[#This Row],[age]]&lt;18, "Under 18",IF(Sheet1[[#This Row],[age]]&lt;=30,"18-30",IF(Sheet1[[#This Row],[age]]&lt;=45,"31-45",IF(Sheet1[[#This Row],[age]]&lt;=60,"46-60","60+"))))</f>
        <v>46-60</v>
      </c>
      <c r="M997" s="2" t="str">
        <f>IF(Sheet1[[#This Row],[risk_score]]&lt;0.3,"Low",IF(Sheet1[[#This Row],[risk_score]]&lt;0.7,"Medium","High"))</f>
        <v>Medium</v>
      </c>
      <c r="N997">
        <f>YEAR(Sheet1[[#This Row],[date_joined]])</f>
        <v>2020</v>
      </c>
      <c r="O997" s="2" t="str">
        <f>TEXT(Sheet1[[#This Row],[date_joined]],"mmm")</f>
        <v>Apr</v>
      </c>
      <c r="P997" s="2" t="str">
        <f>"Q"&amp;ROUNDUP(MONTH(Sheet1[[#This Row],[date_joined]])/3,0)</f>
        <v>Q2</v>
      </c>
      <c r="Q997" s="2" t="str">
        <f>IF(Sheet1[[#This Row],[age]]&lt;30,"Young",IF(Sheet1[[#This Row],[age]]&lt;=50,"Adult","Senior"))</f>
        <v>Senior</v>
      </c>
      <c r="R997" s="2" t="str">
        <f t="shared" si="30"/>
        <v>High</v>
      </c>
      <c r="S997" s="2" t="str">
        <f t="shared" si="31"/>
        <v>West - Self-employed</v>
      </c>
    </row>
    <row r="998" spans="1:19" x14ac:dyDescent="0.3">
      <c r="A998" t="s">
        <v>2019</v>
      </c>
      <c r="B998" t="s">
        <v>2020</v>
      </c>
      <c r="C998">
        <v>29</v>
      </c>
      <c r="D998" s="2" t="s">
        <v>21</v>
      </c>
      <c r="E998" s="2" t="s">
        <v>14</v>
      </c>
      <c r="F998" s="2" t="s">
        <v>23</v>
      </c>
      <c r="G998" s="2" t="s">
        <v>24</v>
      </c>
      <c r="H998" s="2" t="s">
        <v>17</v>
      </c>
      <c r="I998" s="2" t="s">
        <v>17</v>
      </c>
      <c r="J998">
        <v>0.36</v>
      </c>
      <c r="K998" s="1">
        <v>44911</v>
      </c>
      <c r="L998" s="2" t="str">
        <f>IF(Sheet1[[#This Row],[age]]&lt;18, "Under 18",IF(Sheet1[[#This Row],[age]]&lt;=30,"18-30",IF(Sheet1[[#This Row],[age]]&lt;=45,"31-45",IF(Sheet1[[#This Row],[age]]&lt;=60,"46-60","60+"))))</f>
        <v>18-30</v>
      </c>
      <c r="M998" s="2" t="str">
        <f>IF(Sheet1[[#This Row],[risk_score]]&lt;0.3,"Low",IF(Sheet1[[#This Row],[risk_score]]&lt;0.7,"Medium","High"))</f>
        <v>Medium</v>
      </c>
      <c r="N998">
        <f>YEAR(Sheet1[[#This Row],[date_joined]])</f>
        <v>2022</v>
      </c>
      <c r="O998" s="2" t="str">
        <f>TEXT(Sheet1[[#This Row],[date_joined]],"mmm")</f>
        <v>Dec</v>
      </c>
      <c r="P998" s="2" t="str">
        <f>"Q"&amp;ROUNDUP(MONTH(Sheet1[[#This Row],[date_joined]])/3,0)</f>
        <v>Q4</v>
      </c>
      <c r="Q998" s="2" t="str">
        <f>IF(Sheet1[[#This Row],[age]]&lt;30,"Young",IF(Sheet1[[#This Row],[age]]&lt;=50,"Adult","Senior"))</f>
        <v>Young</v>
      </c>
      <c r="R998" s="2" t="str">
        <f t="shared" si="30"/>
        <v>Low</v>
      </c>
      <c r="S998" s="2" t="str">
        <f t="shared" si="31"/>
        <v>East - Salaried</v>
      </c>
    </row>
    <row r="999" spans="1:19" x14ac:dyDescent="0.3">
      <c r="A999" t="s">
        <v>2021</v>
      </c>
      <c r="B999" t="s">
        <v>2022</v>
      </c>
      <c r="C999">
        <v>19</v>
      </c>
      <c r="D999" s="2" t="s">
        <v>13</v>
      </c>
      <c r="E999" s="2" t="s">
        <v>14</v>
      </c>
      <c r="F999" s="2" t="s">
        <v>31</v>
      </c>
      <c r="G999" s="2" t="s">
        <v>16</v>
      </c>
      <c r="H999" s="2" t="s">
        <v>18</v>
      </c>
      <c r="I999" s="2" t="s">
        <v>17</v>
      </c>
      <c r="J999">
        <v>0.57999999999999996</v>
      </c>
      <c r="K999" s="1">
        <v>44311</v>
      </c>
      <c r="L999" s="2" t="str">
        <f>IF(Sheet1[[#This Row],[age]]&lt;18, "Under 18",IF(Sheet1[[#This Row],[age]]&lt;=30,"18-30",IF(Sheet1[[#This Row],[age]]&lt;=45,"31-45",IF(Sheet1[[#This Row],[age]]&lt;=60,"46-60","60+"))))</f>
        <v>18-30</v>
      </c>
      <c r="M999" s="2" t="str">
        <f>IF(Sheet1[[#This Row],[risk_score]]&lt;0.3,"Low",IF(Sheet1[[#This Row],[risk_score]]&lt;0.7,"Medium","High"))</f>
        <v>Medium</v>
      </c>
      <c r="N999">
        <f>YEAR(Sheet1[[#This Row],[date_joined]])</f>
        <v>2021</v>
      </c>
      <c r="O999" s="2" t="str">
        <f>TEXT(Sheet1[[#This Row],[date_joined]],"mmm")</f>
        <v>Apr</v>
      </c>
      <c r="P999" s="2" t="str">
        <f>"Q"&amp;ROUNDUP(MONTH(Sheet1[[#This Row],[date_joined]])/3,0)</f>
        <v>Q2</v>
      </c>
      <c r="Q999" s="2" t="str">
        <f>IF(Sheet1[[#This Row],[age]]&lt;30,"Young",IF(Sheet1[[#This Row],[age]]&lt;=50,"Adult","Senior"))</f>
        <v>Young</v>
      </c>
      <c r="R999" s="2" t="str">
        <f t="shared" si="30"/>
        <v>High</v>
      </c>
      <c r="S999" s="2" t="str">
        <f t="shared" si="31"/>
        <v>West - Self-employed</v>
      </c>
    </row>
    <row r="1000" spans="1:19" x14ac:dyDescent="0.3">
      <c r="A1000" t="s">
        <v>2023</v>
      </c>
      <c r="B1000" t="s">
        <v>2024</v>
      </c>
      <c r="C1000">
        <v>33</v>
      </c>
      <c r="D1000" s="2" t="s">
        <v>13</v>
      </c>
      <c r="E1000" s="2" t="s">
        <v>30</v>
      </c>
      <c r="F1000" s="2" t="s">
        <v>23</v>
      </c>
      <c r="G1000" s="2" t="s">
        <v>16</v>
      </c>
      <c r="H1000" s="2" t="s">
        <v>18</v>
      </c>
      <c r="I1000" s="2" t="s">
        <v>18</v>
      </c>
      <c r="J1000">
        <v>0.51</v>
      </c>
      <c r="K1000" s="1">
        <v>43811</v>
      </c>
      <c r="L1000" s="2" t="str">
        <f>IF(Sheet1[[#This Row],[age]]&lt;18, "Under 18",IF(Sheet1[[#This Row],[age]]&lt;=30,"18-30",IF(Sheet1[[#This Row],[age]]&lt;=45,"31-45",IF(Sheet1[[#This Row],[age]]&lt;=60,"46-60","60+"))))</f>
        <v>31-45</v>
      </c>
      <c r="M1000" s="2" t="str">
        <f>IF(Sheet1[[#This Row],[risk_score]]&lt;0.3,"Low",IF(Sheet1[[#This Row],[risk_score]]&lt;0.7,"Medium","High"))</f>
        <v>Medium</v>
      </c>
      <c r="N1000">
        <f>YEAR(Sheet1[[#This Row],[date_joined]])</f>
        <v>2019</v>
      </c>
      <c r="O1000" s="2" t="str">
        <f>TEXT(Sheet1[[#This Row],[date_joined]],"mmm")</f>
        <v>Dec</v>
      </c>
      <c r="P1000" s="2" t="str">
        <f>"Q"&amp;ROUNDUP(MONTH(Sheet1[[#This Row],[date_joined]])/3,0)</f>
        <v>Q4</v>
      </c>
      <c r="Q1000" s="2" t="str">
        <f>IF(Sheet1[[#This Row],[age]]&lt;30,"Young",IF(Sheet1[[#This Row],[age]]&lt;=50,"Adult","Senior"))</f>
        <v>Adult</v>
      </c>
      <c r="R1000" s="2" t="str">
        <f t="shared" si="30"/>
        <v>Very High</v>
      </c>
      <c r="S1000" s="2" t="str">
        <f t="shared" si="31"/>
        <v>West - Salaried</v>
      </c>
    </row>
    <row r="1001" spans="1:19" x14ac:dyDescent="0.3">
      <c r="A1001" t="s">
        <v>2025</v>
      </c>
      <c r="B1001" t="s">
        <v>2026</v>
      </c>
      <c r="C1001">
        <v>52</v>
      </c>
      <c r="D1001" s="2" t="s">
        <v>21</v>
      </c>
      <c r="E1001" s="2" t="s">
        <v>14</v>
      </c>
      <c r="F1001" s="2" t="s">
        <v>37</v>
      </c>
      <c r="G1001" s="2" t="s">
        <v>24</v>
      </c>
      <c r="H1001" s="2" t="s">
        <v>18</v>
      </c>
      <c r="I1001" s="2" t="s">
        <v>18</v>
      </c>
      <c r="J1001">
        <v>0.31</v>
      </c>
      <c r="K1001" s="1">
        <v>43871</v>
      </c>
      <c r="L1001" s="2" t="str">
        <f>IF(Sheet1[[#This Row],[age]]&lt;18, "Under 18",IF(Sheet1[[#This Row],[age]]&lt;=30,"18-30",IF(Sheet1[[#This Row],[age]]&lt;=45,"31-45",IF(Sheet1[[#This Row],[age]]&lt;=60,"46-60","60+"))))</f>
        <v>46-60</v>
      </c>
      <c r="M1001" s="2" t="str">
        <f>IF(Sheet1[[#This Row],[risk_score]]&lt;0.3,"Low",IF(Sheet1[[#This Row],[risk_score]]&lt;0.7,"Medium","High"))</f>
        <v>Medium</v>
      </c>
      <c r="N1001">
        <f>YEAR(Sheet1[[#This Row],[date_joined]])</f>
        <v>2020</v>
      </c>
      <c r="O1001" s="2" t="str">
        <f>TEXT(Sheet1[[#This Row],[date_joined]],"mmm")</f>
        <v>Feb</v>
      </c>
      <c r="P1001" s="2" t="str">
        <f>"Q"&amp;ROUNDUP(MONTH(Sheet1[[#This Row],[date_joined]])/3,0)</f>
        <v>Q1</v>
      </c>
      <c r="Q1001" s="2" t="str">
        <f>IF(Sheet1[[#This Row],[age]]&lt;30,"Young",IF(Sheet1[[#This Row],[age]]&lt;=50,"Adult","Senior"))</f>
        <v>Senior</v>
      </c>
      <c r="R1001" s="2" t="str">
        <f t="shared" si="30"/>
        <v>Very High</v>
      </c>
      <c r="S1001" s="2" t="str">
        <f t="shared" si="31"/>
        <v>East - Retired</v>
      </c>
    </row>
    <row r="1002" spans="1:19" x14ac:dyDescent="0.3">
      <c r="A1002" t="s">
        <v>2027</v>
      </c>
      <c r="B1002" t="s">
        <v>2028</v>
      </c>
      <c r="C1002">
        <v>18</v>
      </c>
      <c r="D1002" s="2" t="s">
        <v>21</v>
      </c>
      <c r="E1002" s="2" t="s">
        <v>22</v>
      </c>
      <c r="F1002" s="2" t="s">
        <v>23</v>
      </c>
      <c r="G1002" s="2" t="s">
        <v>16</v>
      </c>
      <c r="H1002" s="2" t="s">
        <v>17</v>
      </c>
      <c r="I1002" s="2" t="s">
        <v>18</v>
      </c>
      <c r="J1002">
        <v>0.48</v>
      </c>
      <c r="K1002" s="1">
        <v>43865</v>
      </c>
      <c r="L1002" s="2" t="str">
        <f>IF(Sheet1[[#This Row],[age]]&lt;18, "Under 18",IF(Sheet1[[#This Row],[age]]&lt;=30,"18-30",IF(Sheet1[[#This Row],[age]]&lt;=45,"31-45",IF(Sheet1[[#This Row],[age]]&lt;=60,"46-60","60+"))))</f>
        <v>18-30</v>
      </c>
      <c r="M1002" s="2" t="str">
        <f>IF(Sheet1[[#This Row],[risk_score]]&lt;0.3,"Low",IF(Sheet1[[#This Row],[risk_score]]&lt;0.7,"Medium","High"))</f>
        <v>Medium</v>
      </c>
      <c r="N1002">
        <f>YEAR(Sheet1[[#This Row],[date_joined]])</f>
        <v>2020</v>
      </c>
      <c r="O1002" s="2" t="str">
        <f>TEXT(Sheet1[[#This Row],[date_joined]],"mmm")</f>
        <v>Feb</v>
      </c>
      <c r="P1002" s="2" t="str">
        <f>"Q"&amp;ROUNDUP(MONTH(Sheet1[[#This Row],[date_joined]])/3,0)</f>
        <v>Q1</v>
      </c>
      <c r="Q1002" s="2" t="str">
        <f>IF(Sheet1[[#This Row],[age]]&lt;30,"Young",IF(Sheet1[[#This Row],[age]]&lt;=50,"Adult","Senior"))</f>
        <v>Young</v>
      </c>
      <c r="R1002" s="2" t="str">
        <f t="shared" si="30"/>
        <v>High</v>
      </c>
      <c r="S1002" s="2" t="str">
        <f t="shared" si="31"/>
        <v>West - Salaried</v>
      </c>
    </row>
    <row r="1003" spans="1:19" x14ac:dyDescent="0.3">
      <c r="A1003" t="s">
        <v>2029</v>
      </c>
      <c r="B1003" t="s">
        <v>2030</v>
      </c>
      <c r="C1003">
        <v>20</v>
      </c>
      <c r="D1003" s="2" t="s">
        <v>13</v>
      </c>
      <c r="E1003" s="2" t="s">
        <v>22</v>
      </c>
      <c r="F1003" s="2" t="s">
        <v>31</v>
      </c>
      <c r="G1003" s="2" t="s">
        <v>32</v>
      </c>
      <c r="H1003" s="2" t="s">
        <v>17</v>
      </c>
      <c r="I1003" s="2" t="s">
        <v>18</v>
      </c>
      <c r="J1003">
        <v>0.47</v>
      </c>
      <c r="K1003" s="1">
        <v>43208</v>
      </c>
      <c r="L1003" s="2" t="str">
        <f>IF(Sheet1[[#This Row],[age]]&lt;18, "Under 18",IF(Sheet1[[#This Row],[age]]&lt;=30,"18-30",IF(Sheet1[[#This Row],[age]]&lt;=45,"31-45",IF(Sheet1[[#This Row],[age]]&lt;=60,"46-60","60+"))))</f>
        <v>18-30</v>
      </c>
      <c r="M1003" s="2" t="str">
        <f>IF(Sheet1[[#This Row],[risk_score]]&lt;0.3,"Low",IF(Sheet1[[#This Row],[risk_score]]&lt;0.7,"Medium","High"))</f>
        <v>Medium</v>
      </c>
      <c r="N1003">
        <f>YEAR(Sheet1[[#This Row],[date_joined]])</f>
        <v>2018</v>
      </c>
      <c r="O1003" s="2" t="str">
        <f>TEXT(Sheet1[[#This Row],[date_joined]],"mmm")</f>
        <v>Apr</v>
      </c>
      <c r="P1003" s="2" t="str">
        <f>"Q"&amp;ROUNDUP(MONTH(Sheet1[[#This Row],[date_joined]])/3,0)</f>
        <v>Q2</v>
      </c>
      <c r="Q1003" s="2" t="str">
        <f>IF(Sheet1[[#This Row],[age]]&lt;30,"Young",IF(Sheet1[[#This Row],[age]]&lt;=50,"Adult","Senior"))</f>
        <v>Young</v>
      </c>
      <c r="R1003" s="2" t="str">
        <f t="shared" si="30"/>
        <v>High</v>
      </c>
      <c r="S1003" s="2" t="str">
        <f t="shared" si="31"/>
        <v>South - Self-employed</v>
      </c>
    </row>
    <row r="1004" spans="1:19" x14ac:dyDescent="0.3">
      <c r="A1004" t="s">
        <v>2031</v>
      </c>
      <c r="B1004" t="s">
        <v>2032</v>
      </c>
      <c r="C1004">
        <v>36</v>
      </c>
      <c r="D1004" s="2" t="s">
        <v>13</v>
      </c>
      <c r="E1004" s="2" t="s">
        <v>22</v>
      </c>
      <c r="F1004" s="2" t="s">
        <v>15</v>
      </c>
      <c r="G1004" s="2" t="s">
        <v>66</v>
      </c>
      <c r="H1004" s="2" t="s">
        <v>17</v>
      </c>
      <c r="I1004" s="2" t="s">
        <v>17</v>
      </c>
      <c r="J1004">
        <v>0.36</v>
      </c>
      <c r="K1004" s="1">
        <v>43547</v>
      </c>
      <c r="L1004" s="2" t="str">
        <f>IF(Sheet1[[#This Row],[age]]&lt;18, "Under 18",IF(Sheet1[[#This Row],[age]]&lt;=30,"18-30",IF(Sheet1[[#This Row],[age]]&lt;=45,"31-45",IF(Sheet1[[#This Row],[age]]&lt;=60,"46-60","60+"))))</f>
        <v>31-45</v>
      </c>
      <c r="M1004" s="2" t="str">
        <f>IF(Sheet1[[#This Row],[risk_score]]&lt;0.3,"Low",IF(Sheet1[[#This Row],[risk_score]]&lt;0.7,"Medium","High"))</f>
        <v>Medium</v>
      </c>
      <c r="N1004">
        <f>YEAR(Sheet1[[#This Row],[date_joined]])</f>
        <v>2019</v>
      </c>
      <c r="O1004" s="2" t="str">
        <f>TEXT(Sheet1[[#This Row],[date_joined]],"mmm")</f>
        <v>Mar</v>
      </c>
      <c r="P1004" s="2" t="str">
        <f>"Q"&amp;ROUNDUP(MONTH(Sheet1[[#This Row],[date_joined]])/3,0)</f>
        <v>Q1</v>
      </c>
      <c r="Q1004" s="2" t="str">
        <f>IF(Sheet1[[#This Row],[age]]&lt;30,"Young",IF(Sheet1[[#This Row],[age]]&lt;=50,"Adult","Senior"))</f>
        <v>Adult</v>
      </c>
      <c r="R1004" s="2" t="str">
        <f t="shared" si="30"/>
        <v>Low</v>
      </c>
      <c r="S1004" s="2" t="str">
        <f t="shared" si="31"/>
        <v>North-East - Student</v>
      </c>
    </row>
    <row r="1005" spans="1:19" x14ac:dyDescent="0.3">
      <c r="A1005" t="s">
        <v>2033</v>
      </c>
      <c r="B1005" t="s">
        <v>2034</v>
      </c>
      <c r="C1005">
        <v>40</v>
      </c>
      <c r="D1005" s="2" t="s">
        <v>13</v>
      </c>
      <c r="E1005" s="2" t="s">
        <v>14</v>
      </c>
      <c r="F1005" s="2" t="s">
        <v>15</v>
      </c>
      <c r="G1005" s="2" t="s">
        <v>24</v>
      </c>
      <c r="H1005" s="2" t="s">
        <v>17</v>
      </c>
      <c r="I1005" s="2" t="s">
        <v>17</v>
      </c>
      <c r="J1005">
        <v>0.32</v>
      </c>
      <c r="K1005" s="1">
        <v>44775</v>
      </c>
      <c r="L1005" s="2" t="str">
        <f>IF(Sheet1[[#This Row],[age]]&lt;18, "Under 18",IF(Sheet1[[#This Row],[age]]&lt;=30,"18-30",IF(Sheet1[[#This Row],[age]]&lt;=45,"31-45",IF(Sheet1[[#This Row],[age]]&lt;=60,"46-60","60+"))))</f>
        <v>31-45</v>
      </c>
      <c r="M1005" s="2" t="str">
        <f>IF(Sheet1[[#This Row],[risk_score]]&lt;0.3,"Low",IF(Sheet1[[#This Row],[risk_score]]&lt;0.7,"Medium","High"))</f>
        <v>Medium</v>
      </c>
      <c r="N1005">
        <f>YEAR(Sheet1[[#This Row],[date_joined]])</f>
        <v>2022</v>
      </c>
      <c r="O1005" s="2" t="str">
        <f>TEXT(Sheet1[[#This Row],[date_joined]],"mmm")</f>
        <v>Aug</v>
      </c>
      <c r="P1005" s="2" t="str">
        <f>"Q"&amp;ROUNDUP(MONTH(Sheet1[[#This Row],[date_joined]])/3,0)</f>
        <v>Q3</v>
      </c>
      <c r="Q1005" s="2" t="str">
        <f>IF(Sheet1[[#This Row],[age]]&lt;30,"Young",IF(Sheet1[[#This Row],[age]]&lt;=50,"Adult","Senior"))</f>
        <v>Adult</v>
      </c>
      <c r="R1005" s="2" t="str">
        <f t="shared" si="30"/>
        <v>Low</v>
      </c>
      <c r="S1005" s="2" t="str">
        <f t="shared" si="31"/>
        <v>East - Student</v>
      </c>
    </row>
    <row r="1006" spans="1:19" x14ac:dyDescent="0.3">
      <c r="A1006" t="s">
        <v>2035</v>
      </c>
      <c r="B1006" t="s">
        <v>2036</v>
      </c>
      <c r="C1006">
        <v>58</v>
      </c>
      <c r="D1006" s="2" t="s">
        <v>21</v>
      </c>
      <c r="E1006" s="2" t="s">
        <v>30</v>
      </c>
      <c r="F1006" s="2" t="s">
        <v>37</v>
      </c>
      <c r="G1006" s="2" t="s">
        <v>16</v>
      </c>
      <c r="H1006" s="2" t="s">
        <v>17</v>
      </c>
      <c r="I1006" s="2" t="s">
        <v>17</v>
      </c>
      <c r="J1006">
        <v>0.09</v>
      </c>
      <c r="K1006" s="1">
        <v>43795</v>
      </c>
      <c r="L1006" s="2" t="str">
        <f>IF(Sheet1[[#This Row],[age]]&lt;18, "Under 18",IF(Sheet1[[#This Row],[age]]&lt;=30,"18-30",IF(Sheet1[[#This Row],[age]]&lt;=45,"31-45",IF(Sheet1[[#This Row],[age]]&lt;=60,"46-60","60+"))))</f>
        <v>46-60</v>
      </c>
      <c r="M1006" s="2" t="str">
        <f>IF(Sheet1[[#This Row],[risk_score]]&lt;0.3,"Low",IF(Sheet1[[#This Row],[risk_score]]&lt;0.7,"Medium","High"))</f>
        <v>Low</v>
      </c>
      <c r="N1006">
        <f>YEAR(Sheet1[[#This Row],[date_joined]])</f>
        <v>2019</v>
      </c>
      <c r="O1006" s="2" t="str">
        <f>TEXT(Sheet1[[#This Row],[date_joined]],"mmm")</f>
        <v>Nov</v>
      </c>
      <c r="P1006" s="2" t="str">
        <f>"Q"&amp;ROUNDUP(MONTH(Sheet1[[#This Row],[date_joined]])/3,0)</f>
        <v>Q4</v>
      </c>
      <c r="Q1006" s="2" t="str">
        <f>IF(Sheet1[[#This Row],[age]]&lt;30,"Young",IF(Sheet1[[#This Row],[age]]&lt;=50,"Adult","Senior"))</f>
        <v>Senior</v>
      </c>
      <c r="R1006" s="2" t="str">
        <f t="shared" si="30"/>
        <v>Low</v>
      </c>
      <c r="S1006" s="2" t="str">
        <f t="shared" si="31"/>
        <v>West - Retired</v>
      </c>
    </row>
    <row r="1007" spans="1:19" x14ac:dyDescent="0.3">
      <c r="A1007" t="s">
        <v>2037</v>
      </c>
      <c r="B1007" t="s">
        <v>2038</v>
      </c>
      <c r="C1007">
        <v>61</v>
      </c>
      <c r="D1007" s="2" t="s">
        <v>21</v>
      </c>
      <c r="E1007" s="2" t="s">
        <v>14</v>
      </c>
      <c r="F1007" s="2" t="s">
        <v>37</v>
      </c>
      <c r="G1007" s="2" t="s">
        <v>24</v>
      </c>
      <c r="H1007" s="2" t="s">
        <v>18</v>
      </c>
      <c r="I1007" s="2" t="s">
        <v>18</v>
      </c>
      <c r="J1007">
        <v>0.35</v>
      </c>
      <c r="K1007" s="1">
        <v>44353</v>
      </c>
      <c r="L1007" s="2" t="str">
        <f>IF(Sheet1[[#This Row],[age]]&lt;18, "Under 18",IF(Sheet1[[#This Row],[age]]&lt;=30,"18-30",IF(Sheet1[[#This Row],[age]]&lt;=45,"31-45",IF(Sheet1[[#This Row],[age]]&lt;=60,"46-60","60+"))))</f>
        <v>60+</v>
      </c>
      <c r="M1007" s="2" t="str">
        <f>IF(Sheet1[[#This Row],[risk_score]]&lt;0.3,"Low",IF(Sheet1[[#This Row],[risk_score]]&lt;0.7,"Medium","High"))</f>
        <v>Medium</v>
      </c>
      <c r="N1007">
        <f>YEAR(Sheet1[[#This Row],[date_joined]])</f>
        <v>2021</v>
      </c>
      <c r="O1007" s="2" t="str">
        <f>TEXT(Sheet1[[#This Row],[date_joined]],"mmm")</f>
        <v>Jun</v>
      </c>
      <c r="P1007" s="2" t="str">
        <f>"Q"&amp;ROUNDUP(MONTH(Sheet1[[#This Row],[date_joined]])/3,0)</f>
        <v>Q2</v>
      </c>
      <c r="Q1007" s="2" t="str">
        <f>IF(Sheet1[[#This Row],[age]]&lt;30,"Young",IF(Sheet1[[#This Row],[age]]&lt;=50,"Adult","Senior"))</f>
        <v>Senior</v>
      </c>
      <c r="R1007" s="2" t="str">
        <f t="shared" si="30"/>
        <v>Very High</v>
      </c>
      <c r="S1007" s="2" t="str">
        <f t="shared" si="31"/>
        <v>East - Retired</v>
      </c>
    </row>
    <row r="1008" spans="1:19" x14ac:dyDescent="0.3">
      <c r="A1008" t="s">
        <v>2039</v>
      </c>
      <c r="B1008" t="s">
        <v>2040</v>
      </c>
      <c r="C1008">
        <v>45</v>
      </c>
      <c r="D1008" s="2" t="s">
        <v>21</v>
      </c>
      <c r="E1008" s="2" t="s">
        <v>14</v>
      </c>
      <c r="F1008" s="2" t="s">
        <v>23</v>
      </c>
      <c r="G1008" s="2" t="s">
        <v>32</v>
      </c>
      <c r="H1008" s="2" t="s">
        <v>17</v>
      </c>
      <c r="I1008" s="2" t="s">
        <v>17</v>
      </c>
      <c r="J1008">
        <v>0.68</v>
      </c>
      <c r="K1008" s="1">
        <v>43539</v>
      </c>
      <c r="L1008" s="2" t="str">
        <f>IF(Sheet1[[#This Row],[age]]&lt;18, "Under 18",IF(Sheet1[[#This Row],[age]]&lt;=30,"18-30",IF(Sheet1[[#This Row],[age]]&lt;=45,"31-45",IF(Sheet1[[#This Row],[age]]&lt;=60,"46-60","60+"))))</f>
        <v>31-45</v>
      </c>
      <c r="M1008" s="2" t="str">
        <f>IF(Sheet1[[#This Row],[risk_score]]&lt;0.3,"Low",IF(Sheet1[[#This Row],[risk_score]]&lt;0.7,"Medium","High"))</f>
        <v>Medium</v>
      </c>
      <c r="N1008">
        <f>YEAR(Sheet1[[#This Row],[date_joined]])</f>
        <v>2019</v>
      </c>
      <c r="O1008" s="2" t="str">
        <f>TEXT(Sheet1[[#This Row],[date_joined]],"mmm")</f>
        <v>Mar</v>
      </c>
      <c r="P1008" s="2" t="str">
        <f>"Q"&amp;ROUNDUP(MONTH(Sheet1[[#This Row],[date_joined]])/3,0)</f>
        <v>Q1</v>
      </c>
      <c r="Q1008" s="2" t="str">
        <f>IF(Sheet1[[#This Row],[age]]&lt;30,"Young",IF(Sheet1[[#This Row],[age]]&lt;=50,"Adult","Senior"))</f>
        <v>Adult</v>
      </c>
      <c r="R1008" s="2" t="str">
        <f t="shared" si="30"/>
        <v>Low</v>
      </c>
      <c r="S1008" s="2" t="str">
        <f t="shared" si="31"/>
        <v>South - Salaried</v>
      </c>
    </row>
    <row r="1009" spans="1:19" x14ac:dyDescent="0.3">
      <c r="A1009" t="s">
        <v>2041</v>
      </c>
      <c r="B1009" t="s">
        <v>2042</v>
      </c>
      <c r="C1009">
        <v>30</v>
      </c>
      <c r="D1009" s="2" t="s">
        <v>21</v>
      </c>
      <c r="E1009" s="2" t="s">
        <v>14</v>
      </c>
      <c r="F1009" s="2" t="s">
        <v>31</v>
      </c>
      <c r="G1009" s="2" t="s">
        <v>24</v>
      </c>
      <c r="H1009" s="2" t="s">
        <v>17</v>
      </c>
      <c r="I1009" s="2" t="s">
        <v>18</v>
      </c>
      <c r="J1009">
        <v>0.23</v>
      </c>
      <c r="K1009" s="1">
        <v>43146</v>
      </c>
      <c r="L1009" s="2" t="str">
        <f>IF(Sheet1[[#This Row],[age]]&lt;18, "Under 18",IF(Sheet1[[#This Row],[age]]&lt;=30,"18-30",IF(Sheet1[[#This Row],[age]]&lt;=45,"31-45",IF(Sheet1[[#This Row],[age]]&lt;=60,"46-60","60+"))))</f>
        <v>18-30</v>
      </c>
      <c r="M1009" s="2" t="str">
        <f>IF(Sheet1[[#This Row],[risk_score]]&lt;0.3,"Low",IF(Sheet1[[#This Row],[risk_score]]&lt;0.7,"Medium","High"))</f>
        <v>Low</v>
      </c>
      <c r="N1009">
        <f>YEAR(Sheet1[[#This Row],[date_joined]])</f>
        <v>2018</v>
      </c>
      <c r="O1009" s="2" t="str">
        <f>TEXT(Sheet1[[#This Row],[date_joined]],"mmm")</f>
        <v>Feb</v>
      </c>
      <c r="P1009" s="2" t="str">
        <f>"Q"&amp;ROUNDUP(MONTH(Sheet1[[#This Row],[date_joined]])/3,0)</f>
        <v>Q1</v>
      </c>
      <c r="Q1009" s="2" t="str">
        <f>IF(Sheet1[[#This Row],[age]]&lt;30,"Young",IF(Sheet1[[#This Row],[age]]&lt;=50,"Adult","Senior"))</f>
        <v>Adult</v>
      </c>
      <c r="R1009" s="2" t="str">
        <f t="shared" si="30"/>
        <v>High</v>
      </c>
      <c r="S1009" s="2" t="str">
        <f t="shared" si="31"/>
        <v>East - Self-employed</v>
      </c>
    </row>
    <row r="1010" spans="1:19" x14ac:dyDescent="0.3">
      <c r="A1010" t="s">
        <v>2043</v>
      </c>
      <c r="B1010" t="s">
        <v>2044</v>
      </c>
      <c r="C1010">
        <v>45</v>
      </c>
      <c r="D1010" s="2" t="s">
        <v>13</v>
      </c>
      <c r="E1010" s="2" t="s">
        <v>30</v>
      </c>
      <c r="F1010" s="2" t="s">
        <v>31</v>
      </c>
      <c r="G1010" s="2" t="s">
        <v>81</v>
      </c>
      <c r="H1010" s="2" t="s">
        <v>18</v>
      </c>
      <c r="I1010" s="2" t="s">
        <v>18</v>
      </c>
      <c r="J1010">
        <v>0.74</v>
      </c>
      <c r="K1010" s="1">
        <v>44488</v>
      </c>
      <c r="L1010" s="2" t="str">
        <f>IF(Sheet1[[#This Row],[age]]&lt;18, "Under 18",IF(Sheet1[[#This Row],[age]]&lt;=30,"18-30",IF(Sheet1[[#This Row],[age]]&lt;=45,"31-45",IF(Sheet1[[#This Row],[age]]&lt;=60,"46-60","60+"))))</f>
        <v>31-45</v>
      </c>
      <c r="M1010" s="2" t="str">
        <f>IF(Sheet1[[#This Row],[risk_score]]&lt;0.3,"Low",IF(Sheet1[[#This Row],[risk_score]]&lt;0.7,"Medium","High"))</f>
        <v>High</v>
      </c>
      <c r="N1010">
        <f>YEAR(Sheet1[[#This Row],[date_joined]])</f>
        <v>2021</v>
      </c>
      <c r="O1010" s="2" t="str">
        <f>TEXT(Sheet1[[#This Row],[date_joined]],"mmm")</f>
        <v>Oct</v>
      </c>
      <c r="P1010" s="2" t="str">
        <f>"Q"&amp;ROUNDUP(MONTH(Sheet1[[#This Row],[date_joined]])/3,0)</f>
        <v>Q4</v>
      </c>
      <c r="Q1010" s="2" t="str">
        <f>IF(Sheet1[[#This Row],[age]]&lt;30,"Young",IF(Sheet1[[#This Row],[age]]&lt;=50,"Adult","Senior"))</f>
        <v>Adult</v>
      </c>
      <c r="R1010" s="2" t="str">
        <f t="shared" si="30"/>
        <v>Very High</v>
      </c>
      <c r="S1010" s="2" t="str">
        <f t="shared" si="31"/>
        <v>Central - Self-employed</v>
      </c>
    </row>
    <row r="1011" spans="1:19" x14ac:dyDescent="0.3">
      <c r="A1011" t="s">
        <v>2045</v>
      </c>
      <c r="B1011" t="s">
        <v>2046</v>
      </c>
      <c r="C1011">
        <v>50</v>
      </c>
      <c r="D1011" s="2" t="s">
        <v>13</v>
      </c>
      <c r="E1011" s="2" t="s">
        <v>14</v>
      </c>
      <c r="F1011" s="2" t="s">
        <v>15</v>
      </c>
      <c r="G1011" s="2" t="s">
        <v>16</v>
      </c>
      <c r="H1011" s="2" t="s">
        <v>18</v>
      </c>
      <c r="I1011" s="2" t="s">
        <v>18</v>
      </c>
      <c r="J1011">
        <v>0.17</v>
      </c>
      <c r="K1011" s="1">
        <v>44022</v>
      </c>
      <c r="L1011" s="2" t="str">
        <f>IF(Sheet1[[#This Row],[age]]&lt;18, "Under 18",IF(Sheet1[[#This Row],[age]]&lt;=30,"18-30",IF(Sheet1[[#This Row],[age]]&lt;=45,"31-45",IF(Sheet1[[#This Row],[age]]&lt;=60,"46-60","60+"))))</f>
        <v>46-60</v>
      </c>
      <c r="M1011" s="2" t="str">
        <f>IF(Sheet1[[#This Row],[risk_score]]&lt;0.3,"Low",IF(Sheet1[[#This Row],[risk_score]]&lt;0.7,"Medium","High"))</f>
        <v>Low</v>
      </c>
      <c r="N1011">
        <f>YEAR(Sheet1[[#This Row],[date_joined]])</f>
        <v>2020</v>
      </c>
      <c r="O1011" s="2" t="str">
        <f>TEXT(Sheet1[[#This Row],[date_joined]],"mmm")</f>
        <v>Jul</v>
      </c>
      <c r="P1011" s="2" t="str">
        <f>"Q"&amp;ROUNDUP(MONTH(Sheet1[[#This Row],[date_joined]])/3,0)</f>
        <v>Q3</v>
      </c>
      <c r="Q1011" s="2" t="str">
        <f>IF(Sheet1[[#This Row],[age]]&lt;30,"Young",IF(Sheet1[[#This Row],[age]]&lt;=50,"Adult","Senior"))</f>
        <v>Adult</v>
      </c>
      <c r="R1011" s="2" t="str">
        <f t="shared" si="30"/>
        <v>Very High</v>
      </c>
      <c r="S1011" s="2" t="str">
        <f t="shared" si="31"/>
        <v>West - Student</v>
      </c>
    </row>
    <row r="1012" spans="1:19" x14ac:dyDescent="0.3">
      <c r="A1012" t="s">
        <v>2047</v>
      </c>
      <c r="B1012" t="s">
        <v>2048</v>
      </c>
      <c r="C1012">
        <v>24</v>
      </c>
      <c r="D1012" s="2" t="s">
        <v>13</v>
      </c>
      <c r="E1012" s="2" t="s">
        <v>14</v>
      </c>
      <c r="F1012" s="2" t="s">
        <v>37</v>
      </c>
      <c r="G1012" s="2" t="s">
        <v>27</v>
      </c>
      <c r="H1012" s="2" t="s">
        <v>18</v>
      </c>
      <c r="I1012" s="2" t="s">
        <v>17</v>
      </c>
      <c r="J1012">
        <v>0.32</v>
      </c>
      <c r="K1012" s="1">
        <v>45045</v>
      </c>
      <c r="L1012" s="2" t="str">
        <f>IF(Sheet1[[#This Row],[age]]&lt;18, "Under 18",IF(Sheet1[[#This Row],[age]]&lt;=30,"18-30",IF(Sheet1[[#This Row],[age]]&lt;=45,"31-45",IF(Sheet1[[#This Row],[age]]&lt;=60,"46-60","60+"))))</f>
        <v>18-30</v>
      </c>
      <c r="M1012" s="2" t="str">
        <f>IF(Sheet1[[#This Row],[risk_score]]&lt;0.3,"Low",IF(Sheet1[[#This Row],[risk_score]]&lt;0.7,"Medium","High"))</f>
        <v>Medium</v>
      </c>
      <c r="N1012">
        <f>YEAR(Sheet1[[#This Row],[date_joined]])</f>
        <v>2023</v>
      </c>
      <c r="O1012" s="2" t="str">
        <f>TEXT(Sheet1[[#This Row],[date_joined]],"mmm")</f>
        <v>Apr</v>
      </c>
      <c r="P1012" s="2" t="str">
        <f>"Q"&amp;ROUNDUP(MONTH(Sheet1[[#This Row],[date_joined]])/3,0)</f>
        <v>Q2</v>
      </c>
      <c r="Q1012" s="2" t="str">
        <f>IF(Sheet1[[#This Row],[age]]&lt;30,"Young",IF(Sheet1[[#This Row],[age]]&lt;=50,"Adult","Senior"))</f>
        <v>Young</v>
      </c>
      <c r="R1012" s="2" t="str">
        <f t="shared" si="30"/>
        <v>High</v>
      </c>
      <c r="S1012" s="2" t="str">
        <f t="shared" si="31"/>
        <v>North - Retired</v>
      </c>
    </row>
    <row r="1013" spans="1:19" x14ac:dyDescent="0.3">
      <c r="A1013" t="s">
        <v>2049</v>
      </c>
      <c r="B1013" t="s">
        <v>2050</v>
      </c>
      <c r="C1013">
        <v>54</v>
      </c>
      <c r="D1013" s="2" t="s">
        <v>21</v>
      </c>
      <c r="E1013" s="2" t="s">
        <v>30</v>
      </c>
      <c r="F1013" s="2" t="s">
        <v>31</v>
      </c>
      <c r="G1013" s="2" t="s">
        <v>66</v>
      </c>
      <c r="H1013" s="2" t="s">
        <v>18</v>
      </c>
      <c r="I1013" s="2" t="s">
        <v>18</v>
      </c>
      <c r="J1013">
        <v>0.66</v>
      </c>
      <c r="K1013" s="1">
        <v>43172</v>
      </c>
      <c r="L1013" s="2" t="str">
        <f>IF(Sheet1[[#This Row],[age]]&lt;18, "Under 18",IF(Sheet1[[#This Row],[age]]&lt;=30,"18-30",IF(Sheet1[[#This Row],[age]]&lt;=45,"31-45",IF(Sheet1[[#This Row],[age]]&lt;=60,"46-60","60+"))))</f>
        <v>46-60</v>
      </c>
      <c r="M1013" s="2" t="str">
        <f>IF(Sheet1[[#This Row],[risk_score]]&lt;0.3,"Low",IF(Sheet1[[#This Row],[risk_score]]&lt;0.7,"Medium","High"))</f>
        <v>Medium</v>
      </c>
      <c r="N1013">
        <f>YEAR(Sheet1[[#This Row],[date_joined]])</f>
        <v>2018</v>
      </c>
      <c r="O1013" s="2" t="str">
        <f>TEXT(Sheet1[[#This Row],[date_joined]],"mmm")</f>
        <v>Mar</v>
      </c>
      <c r="P1013" s="2" t="str">
        <f>"Q"&amp;ROUNDUP(MONTH(Sheet1[[#This Row],[date_joined]])/3,0)</f>
        <v>Q1</v>
      </c>
      <c r="Q1013" s="2" t="str">
        <f>IF(Sheet1[[#This Row],[age]]&lt;30,"Young",IF(Sheet1[[#This Row],[age]]&lt;=50,"Adult","Senior"))</f>
        <v>Senior</v>
      </c>
      <c r="R1013" s="2" t="str">
        <f t="shared" si="30"/>
        <v>Very High</v>
      </c>
      <c r="S1013" s="2" t="str">
        <f t="shared" si="31"/>
        <v>North-East - Self-employed</v>
      </c>
    </row>
    <row r="1014" spans="1:19" x14ac:dyDescent="0.3">
      <c r="A1014" t="s">
        <v>2051</v>
      </c>
      <c r="B1014" t="s">
        <v>2052</v>
      </c>
      <c r="C1014">
        <v>20</v>
      </c>
      <c r="D1014" s="2" t="s">
        <v>21</v>
      </c>
      <c r="E1014" s="2" t="s">
        <v>14</v>
      </c>
      <c r="F1014" s="2" t="s">
        <v>15</v>
      </c>
      <c r="G1014" s="2" t="s">
        <v>27</v>
      </c>
      <c r="H1014" s="2" t="s">
        <v>17</v>
      </c>
      <c r="I1014" s="2" t="s">
        <v>18</v>
      </c>
      <c r="J1014">
        <v>0.68</v>
      </c>
      <c r="K1014" s="1">
        <v>44550</v>
      </c>
      <c r="L1014" s="2" t="str">
        <f>IF(Sheet1[[#This Row],[age]]&lt;18, "Under 18",IF(Sheet1[[#This Row],[age]]&lt;=30,"18-30",IF(Sheet1[[#This Row],[age]]&lt;=45,"31-45",IF(Sheet1[[#This Row],[age]]&lt;=60,"46-60","60+"))))</f>
        <v>18-30</v>
      </c>
      <c r="M1014" s="2" t="str">
        <f>IF(Sheet1[[#This Row],[risk_score]]&lt;0.3,"Low",IF(Sheet1[[#This Row],[risk_score]]&lt;0.7,"Medium","High"))</f>
        <v>Medium</v>
      </c>
      <c r="N1014">
        <f>YEAR(Sheet1[[#This Row],[date_joined]])</f>
        <v>2021</v>
      </c>
      <c r="O1014" s="2" t="str">
        <f>TEXT(Sheet1[[#This Row],[date_joined]],"mmm")</f>
        <v>Dec</v>
      </c>
      <c r="P1014" s="2" t="str">
        <f>"Q"&amp;ROUNDUP(MONTH(Sheet1[[#This Row],[date_joined]])/3,0)</f>
        <v>Q4</v>
      </c>
      <c r="Q1014" s="2" t="str">
        <f>IF(Sheet1[[#This Row],[age]]&lt;30,"Young",IF(Sheet1[[#This Row],[age]]&lt;=50,"Adult","Senior"))</f>
        <v>Young</v>
      </c>
      <c r="R1014" s="2" t="str">
        <f t="shared" si="30"/>
        <v>High</v>
      </c>
      <c r="S1014" s="2" t="str">
        <f t="shared" si="31"/>
        <v>North - Student</v>
      </c>
    </row>
    <row r="1015" spans="1:19" x14ac:dyDescent="0.3">
      <c r="A1015" t="s">
        <v>2053</v>
      </c>
      <c r="B1015" t="s">
        <v>2054</v>
      </c>
      <c r="C1015">
        <v>31</v>
      </c>
      <c r="D1015" s="2" t="s">
        <v>13</v>
      </c>
      <c r="E1015" s="2" t="s">
        <v>30</v>
      </c>
      <c r="F1015" s="2" t="s">
        <v>31</v>
      </c>
      <c r="G1015" s="2" t="s">
        <v>81</v>
      </c>
      <c r="H1015" s="2" t="s">
        <v>17</v>
      </c>
      <c r="I1015" s="2" t="s">
        <v>17</v>
      </c>
      <c r="J1015">
        <v>0.59</v>
      </c>
      <c r="K1015" s="1">
        <v>45029</v>
      </c>
      <c r="L1015" s="2" t="str">
        <f>IF(Sheet1[[#This Row],[age]]&lt;18, "Under 18",IF(Sheet1[[#This Row],[age]]&lt;=30,"18-30",IF(Sheet1[[#This Row],[age]]&lt;=45,"31-45",IF(Sheet1[[#This Row],[age]]&lt;=60,"46-60","60+"))))</f>
        <v>31-45</v>
      </c>
      <c r="M1015" s="2" t="str">
        <f>IF(Sheet1[[#This Row],[risk_score]]&lt;0.3,"Low",IF(Sheet1[[#This Row],[risk_score]]&lt;0.7,"Medium","High"))</f>
        <v>Medium</v>
      </c>
      <c r="N1015">
        <f>YEAR(Sheet1[[#This Row],[date_joined]])</f>
        <v>2023</v>
      </c>
      <c r="O1015" s="2" t="str">
        <f>TEXT(Sheet1[[#This Row],[date_joined]],"mmm")</f>
        <v>Apr</v>
      </c>
      <c r="P1015" s="2" t="str">
        <f>"Q"&amp;ROUNDUP(MONTH(Sheet1[[#This Row],[date_joined]])/3,0)</f>
        <v>Q2</v>
      </c>
      <c r="Q1015" s="2" t="str">
        <f>IF(Sheet1[[#This Row],[age]]&lt;30,"Young",IF(Sheet1[[#This Row],[age]]&lt;=50,"Adult","Senior"))</f>
        <v>Adult</v>
      </c>
      <c r="R1015" s="2" t="str">
        <f t="shared" si="30"/>
        <v>Low</v>
      </c>
      <c r="S1015" s="2" t="str">
        <f t="shared" si="31"/>
        <v>Central - Self-employed</v>
      </c>
    </row>
    <row r="1016" spans="1:19" x14ac:dyDescent="0.3">
      <c r="A1016" t="s">
        <v>2055</v>
      </c>
      <c r="B1016" t="s">
        <v>2056</v>
      </c>
      <c r="C1016">
        <v>65</v>
      </c>
      <c r="D1016" s="2" t="s">
        <v>13</v>
      </c>
      <c r="E1016" s="2" t="s">
        <v>22</v>
      </c>
      <c r="F1016" s="2" t="s">
        <v>37</v>
      </c>
      <c r="G1016" s="2" t="s">
        <v>32</v>
      </c>
      <c r="H1016" s="2" t="s">
        <v>18</v>
      </c>
      <c r="I1016" s="2" t="s">
        <v>17</v>
      </c>
      <c r="J1016">
        <v>0.39</v>
      </c>
      <c r="K1016" s="1">
        <v>44627</v>
      </c>
      <c r="L1016" s="2" t="str">
        <f>IF(Sheet1[[#This Row],[age]]&lt;18, "Under 18",IF(Sheet1[[#This Row],[age]]&lt;=30,"18-30",IF(Sheet1[[#This Row],[age]]&lt;=45,"31-45",IF(Sheet1[[#This Row],[age]]&lt;=60,"46-60","60+"))))</f>
        <v>60+</v>
      </c>
      <c r="M1016" s="2" t="str">
        <f>IF(Sheet1[[#This Row],[risk_score]]&lt;0.3,"Low",IF(Sheet1[[#This Row],[risk_score]]&lt;0.7,"Medium","High"))</f>
        <v>Medium</v>
      </c>
      <c r="N1016">
        <f>YEAR(Sheet1[[#This Row],[date_joined]])</f>
        <v>2022</v>
      </c>
      <c r="O1016" s="2" t="str">
        <f>TEXT(Sheet1[[#This Row],[date_joined]],"mmm")</f>
        <v>Mar</v>
      </c>
      <c r="P1016" s="2" t="str">
        <f>"Q"&amp;ROUNDUP(MONTH(Sheet1[[#This Row],[date_joined]])/3,0)</f>
        <v>Q1</v>
      </c>
      <c r="Q1016" s="2" t="str">
        <f>IF(Sheet1[[#This Row],[age]]&lt;30,"Young",IF(Sheet1[[#This Row],[age]]&lt;=50,"Adult","Senior"))</f>
        <v>Senior</v>
      </c>
      <c r="R1016" s="2" t="str">
        <f t="shared" si="30"/>
        <v>High</v>
      </c>
      <c r="S1016" s="2" t="str">
        <f t="shared" si="31"/>
        <v>South - Retired</v>
      </c>
    </row>
    <row r="1017" spans="1:19" x14ac:dyDescent="0.3">
      <c r="A1017" t="s">
        <v>2057</v>
      </c>
      <c r="B1017" t="s">
        <v>2058</v>
      </c>
      <c r="C1017">
        <v>23</v>
      </c>
      <c r="D1017" s="2" t="s">
        <v>21</v>
      </c>
      <c r="E1017" s="2" t="s">
        <v>30</v>
      </c>
      <c r="F1017" s="2" t="s">
        <v>15</v>
      </c>
      <c r="G1017" s="2" t="s">
        <v>81</v>
      </c>
      <c r="H1017" s="2" t="s">
        <v>17</v>
      </c>
      <c r="I1017" s="2" t="s">
        <v>17</v>
      </c>
      <c r="J1017">
        <v>0.49</v>
      </c>
      <c r="K1017" s="1">
        <v>43770</v>
      </c>
      <c r="L1017" s="2" t="str">
        <f>IF(Sheet1[[#This Row],[age]]&lt;18, "Under 18",IF(Sheet1[[#This Row],[age]]&lt;=30,"18-30",IF(Sheet1[[#This Row],[age]]&lt;=45,"31-45",IF(Sheet1[[#This Row],[age]]&lt;=60,"46-60","60+"))))</f>
        <v>18-30</v>
      </c>
      <c r="M1017" s="2" t="str">
        <f>IF(Sheet1[[#This Row],[risk_score]]&lt;0.3,"Low",IF(Sheet1[[#This Row],[risk_score]]&lt;0.7,"Medium","High"))</f>
        <v>Medium</v>
      </c>
      <c r="N1017">
        <f>YEAR(Sheet1[[#This Row],[date_joined]])</f>
        <v>2019</v>
      </c>
      <c r="O1017" s="2" t="str">
        <f>TEXT(Sheet1[[#This Row],[date_joined]],"mmm")</f>
        <v>Nov</v>
      </c>
      <c r="P1017" s="2" t="str">
        <f>"Q"&amp;ROUNDUP(MONTH(Sheet1[[#This Row],[date_joined]])/3,0)</f>
        <v>Q4</v>
      </c>
      <c r="Q1017" s="2" t="str">
        <f>IF(Sheet1[[#This Row],[age]]&lt;30,"Young",IF(Sheet1[[#This Row],[age]]&lt;=50,"Adult","Senior"))</f>
        <v>Young</v>
      </c>
      <c r="R1017" s="2" t="str">
        <f t="shared" si="30"/>
        <v>Low</v>
      </c>
      <c r="S1017" s="2" t="str">
        <f t="shared" si="31"/>
        <v>Central - Student</v>
      </c>
    </row>
    <row r="1018" spans="1:19" x14ac:dyDescent="0.3">
      <c r="A1018" t="s">
        <v>2059</v>
      </c>
      <c r="B1018" t="s">
        <v>2060</v>
      </c>
      <c r="C1018">
        <v>69</v>
      </c>
      <c r="D1018" s="2" t="s">
        <v>21</v>
      </c>
      <c r="E1018" s="2" t="s">
        <v>14</v>
      </c>
      <c r="F1018" s="2" t="s">
        <v>15</v>
      </c>
      <c r="G1018" s="2" t="s">
        <v>32</v>
      </c>
      <c r="H1018" s="2" t="s">
        <v>18</v>
      </c>
      <c r="I1018" s="2" t="s">
        <v>17</v>
      </c>
      <c r="J1018">
        <v>0.44</v>
      </c>
      <c r="K1018" s="1">
        <v>43995</v>
      </c>
      <c r="L1018" s="2" t="str">
        <f>IF(Sheet1[[#This Row],[age]]&lt;18, "Under 18",IF(Sheet1[[#This Row],[age]]&lt;=30,"18-30",IF(Sheet1[[#This Row],[age]]&lt;=45,"31-45",IF(Sheet1[[#This Row],[age]]&lt;=60,"46-60","60+"))))</f>
        <v>60+</v>
      </c>
      <c r="M1018" s="2" t="str">
        <f>IF(Sheet1[[#This Row],[risk_score]]&lt;0.3,"Low",IF(Sheet1[[#This Row],[risk_score]]&lt;0.7,"Medium","High"))</f>
        <v>Medium</v>
      </c>
      <c r="N1018">
        <f>YEAR(Sheet1[[#This Row],[date_joined]])</f>
        <v>2020</v>
      </c>
      <c r="O1018" s="2" t="str">
        <f>TEXT(Sheet1[[#This Row],[date_joined]],"mmm")</f>
        <v>Jun</v>
      </c>
      <c r="P1018" s="2" t="str">
        <f>"Q"&amp;ROUNDUP(MONTH(Sheet1[[#This Row],[date_joined]])/3,0)</f>
        <v>Q2</v>
      </c>
      <c r="Q1018" s="2" t="str">
        <f>IF(Sheet1[[#This Row],[age]]&lt;30,"Young",IF(Sheet1[[#This Row],[age]]&lt;=50,"Adult","Senior"))</f>
        <v>Senior</v>
      </c>
      <c r="R1018" s="2" t="str">
        <f t="shared" si="30"/>
        <v>High</v>
      </c>
      <c r="S1018" s="2" t="str">
        <f t="shared" si="31"/>
        <v>South - Student</v>
      </c>
    </row>
    <row r="1019" spans="1:19" x14ac:dyDescent="0.3">
      <c r="A1019" t="s">
        <v>2061</v>
      </c>
      <c r="B1019" t="s">
        <v>2062</v>
      </c>
      <c r="C1019">
        <v>24</v>
      </c>
      <c r="D1019" s="2" t="s">
        <v>13</v>
      </c>
      <c r="E1019" s="2" t="s">
        <v>30</v>
      </c>
      <c r="F1019" s="2" t="s">
        <v>15</v>
      </c>
      <c r="G1019" s="2" t="s">
        <v>16</v>
      </c>
      <c r="H1019" s="2" t="s">
        <v>17</v>
      </c>
      <c r="I1019" s="2" t="s">
        <v>18</v>
      </c>
      <c r="J1019">
        <v>0.62</v>
      </c>
      <c r="K1019" s="1">
        <v>44188</v>
      </c>
      <c r="L1019" s="2" t="str">
        <f>IF(Sheet1[[#This Row],[age]]&lt;18, "Under 18",IF(Sheet1[[#This Row],[age]]&lt;=30,"18-30",IF(Sheet1[[#This Row],[age]]&lt;=45,"31-45",IF(Sheet1[[#This Row],[age]]&lt;=60,"46-60","60+"))))</f>
        <v>18-30</v>
      </c>
      <c r="M1019" s="2" t="str">
        <f>IF(Sheet1[[#This Row],[risk_score]]&lt;0.3,"Low",IF(Sheet1[[#This Row],[risk_score]]&lt;0.7,"Medium","High"))</f>
        <v>Medium</v>
      </c>
      <c r="N1019">
        <f>YEAR(Sheet1[[#This Row],[date_joined]])</f>
        <v>2020</v>
      </c>
      <c r="O1019" s="2" t="str">
        <f>TEXT(Sheet1[[#This Row],[date_joined]],"mmm")</f>
        <v>Dec</v>
      </c>
      <c r="P1019" s="2" t="str">
        <f>"Q"&amp;ROUNDUP(MONTH(Sheet1[[#This Row],[date_joined]])/3,0)</f>
        <v>Q4</v>
      </c>
      <c r="Q1019" s="2" t="str">
        <f>IF(Sheet1[[#This Row],[age]]&lt;30,"Young",IF(Sheet1[[#This Row],[age]]&lt;=50,"Adult","Senior"))</f>
        <v>Young</v>
      </c>
      <c r="R1019" s="2" t="str">
        <f t="shared" si="30"/>
        <v>High</v>
      </c>
      <c r="S1019" s="2" t="str">
        <f t="shared" si="31"/>
        <v>West - Student</v>
      </c>
    </row>
    <row r="1020" spans="1:19" x14ac:dyDescent="0.3">
      <c r="A1020" t="s">
        <v>2063</v>
      </c>
      <c r="B1020" t="s">
        <v>2064</v>
      </c>
      <c r="C1020">
        <v>50</v>
      </c>
      <c r="D1020" s="2" t="s">
        <v>13</v>
      </c>
      <c r="E1020" s="2" t="s">
        <v>22</v>
      </c>
      <c r="F1020" s="2" t="s">
        <v>31</v>
      </c>
      <c r="G1020" s="2" t="s">
        <v>24</v>
      </c>
      <c r="H1020" s="2" t="s">
        <v>18</v>
      </c>
      <c r="I1020" s="2" t="s">
        <v>18</v>
      </c>
      <c r="J1020">
        <v>0.74</v>
      </c>
      <c r="K1020" s="1">
        <v>44937</v>
      </c>
      <c r="L1020" s="2" t="str">
        <f>IF(Sheet1[[#This Row],[age]]&lt;18, "Under 18",IF(Sheet1[[#This Row],[age]]&lt;=30,"18-30",IF(Sheet1[[#This Row],[age]]&lt;=45,"31-45",IF(Sheet1[[#This Row],[age]]&lt;=60,"46-60","60+"))))</f>
        <v>46-60</v>
      </c>
      <c r="M1020" s="2" t="str">
        <f>IF(Sheet1[[#This Row],[risk_score]]&lt;0.3,"Low",IF(Sheet1[[#This Row],[risk_score]]&lt;0.7,"Medium","High"))</f>
        <v>High</v>
      </c>
      <c r="N1020">
        <f>YEAR(Sheet1[[#This Row],[date_joined]])</f>
        <v>2023</v>
      </c>
      <c r="O1020" s="2" t="str">
        <f>TEXT(Sheet1[[#This Row],[date_joined]],"mmm")</f>
        <v>Jan</v>
      </c>
      <c r="P1020" s="2" t="str">
        <f>"Q"&amp;ROUNDUP(MONTH(Sheet1[[#This Row],[date_joined]])/3,0)</f>
        <v>Q1</v>
      </c>
      <c r="Q1020" s="2" t="str">
        <f>IF(Sheet1[[#This Row],[age]]&lt;30,"Young",IF(Sheet1[[#This Row],[age]]&lt;=50,"Adult","Senior"))</f>
        <v>Adult</v>
      </c>
      <c r="R1020" s="2" t="str">
        <f t="shared" si="30"/>
        <v>Very High</v>
      </c>
      <c r="S1020" s="2" t="str">
        <f t="shared" si="31"/>
        <v>East - Self-employed</v>
      </c>
    </row>
    <row r="1021" spans="1:19" x14ac:dyDescent="0.3">
      <c r="A1021" t="s">
        <v>2065</v>
      </c>
      <c r="B1021" t="s">
        <v>2066</v>
      </c>
      <c r="C1021">
        <v>46</v>
      </c>
      <c r="D1021" s="2" t="s">
        <v>21</v>
      </c>
      <c r="E1021" s="2" t="s">
        <v>22</v>
      </c>
      <c r="F1021" s="2" t="s">
        <v>31</v>
      </c>
      <c r="G1021" s="2" t="s">
        <v>32</v>
      </c>
      <c r="H1021" s="2" t="s">
        <v>17</v>
      </c>
      <c r="I1021" s="2" t="s">
        <v>17</v>
      </c>
      <c r="J1021">
        <v>0.41</v>
      </c>
      <c r="K1021" s="1">
        <v>43452</v>
      </c>
      <c r="L1021" s="2" t="str">
        <f>IF(Sheet1[[#This Row],[age]]&lt;18, "Under 18",IF(Sheet1[[#This Row],[age]]&lt;=30,"18-30",IF(Sheet1[[#This Row],[age]]&lt;=45,"31-45",IF(Sheet1[[#This Row],[age]]&lt;=60,"46-60","60+"))))</f>
        <v>46-60</v>
      </c>
      <c r="M1021" s="2" t="str">
        <f>IF(Sheet1[[#This Row],[risk_score]]&lt;0.3,"Low",IF(Sheet1[[#This Row],[risk_score]]&lt;0.7,"Medium","High"))</f>
        <v>Medium</v>
      </c>
      <c r="N1021">
        <f>YEAR(Sheet1[[#This Row],[date_joined]])</f>
        <v>2018</v>
      </c>
      <c r="O1021" s="2" t="str">
        <f>TEXT(Sheet1[[#This Row],[date_joined]],"mmm")</f>
        <v>Dec</v>
      </c>
      <c r="P1021" s="2" t="str">
        <f>"Q"&amp;ROUNDUP(MONTH(Sheet1[[#This Row],[date_joined]])/3,0)</f>
        <v>Q4</v>
      </c>
      <c r="Q1021" s="2" t="str">
        <f>IF(Sheet1[[#This Row],[age]]&lt;30,"Young",IF(Sheet1[[#This Row],[age]]&lt;=50,"Adult","Senior"))</f>
        <v>Adult</v>
      </c>
      <c r="R1021" s="2" t="str">
        <f t="shared" si="30"/>
        <v>Low</v>
      </c>
      <c r="S1021" s="2" t="str">
        <f t="shared" si="31"/>
        <v>South - Self-employed</v>
      </c>
    </row>
    <row r="1022" spans="1:19" x14ac:dyDescent="0.3">
      <c r="A1022" t="s">
        <v>2067</v>
      </c>
      <c r="B1022" t="s">
        <v>2068</v>
      </c>
      <c r="C1022">
        <v>50</v>
      </c>
      <c r="D1022" s="2" t="s">
        <v>21</v>
      </c>
      <c r="E1022" s="2" t="s">
        <v>14</v>
      </c>
      <c r="F1022" s="2" t="s">
        <v>37</v>
      </c>
      <c r="G1022" s="2" t="s">
        <v>66</v>
      </c>
      <c r="H1022" s="2" t="s">
        <v>18</v>
      </c>
      <c r="I1022" s="2" t="s">
        <v>18</v>
      </c>
      <c r="J1022">
        <v>0.45</v>
      </c>
      <c r="K1022" s="1">
        <v>45029</v>
      </c>
      <c r="L1022" s="2" t="str">
        <f>IF(Sheet1[[#This Row],[age]]&lt;18, "Under 18",IF(Sheet1[[#This Row],[age]]&lt;=30,"18-30",IF(Sheet1[[#This Row],[age]]&lt;=45,"31-45",IF(Sheet1[[#This Row],[age]]&lt;=60,"46-60","60+"))))</f>
        <v>46-60</v>
      </c>
      <c r="M1022" s="2" t="str">
        <f>IF(Sheet1[[#This Row],[risk_score]]&lt;0.3,"Low",IF(Sheet1[[#This Row],[risk_score]]&lt;0.7,"Medium","High"))</f>
        <v>Medium</v>
      </c>
      <c r="N1022">
        <f>YEAR(Sheet1[[#This Row],[date_joined]])</f>
        <v>2023</v>
      </c>
      <c r="O1022" s="2" t="str">
        <f>TEXT(Sheet1[[#This Row],[date_joined]],"mmm")</f>
        <v>Apr</v>
      </c>
      <c r="P1022" s="2" t="str">
        <f>"Q"&amp;ROUNDUP(MONTH(Sheet1[[#This Row],[date_joined]])/3,0)</f>
        <v>Q2</v>
      </c>
      <c r="Q1022" s="2" t="str">
        <f>IF(Sheet1[[#This Row],[age]]&lt;30,"Young",IF(Sheet1[[#This Row],[age]]&lt;=50,"Adult","Senior"))</f>
        <v>Adult</v>
      </c>
      <c r="R1022" s="2" t="str">
        <f t="shared" si="30"/>
        <v>Very High</v>
      </c>
      <c r="S1022" s="2" t="str">
        <f t="shared" si="31"/>
        <v>North-East - Retired</v>
      </c>
    </row>
    <row r="1023" spans="1:19" x14ac:dyDescent="0.3">
      <c r="A1023" t="s">
        <v>2069</v>
      </c>
      <c r="B1023" t="s">
        <v>2070</v>
      </c>
      <c r="C1023">
        <v>68</v>
      </c>
      <c r="D1023" s="2" t="s">
        <v>13</v>
      </c>
      <c r="E1023" s="2" t="s">
        <v>14</v>
      </c>
      <c r="F1023" s="2" t="s">
        <v>37</v>
      </c>
      <c r="G1023" s="2" t="s">
        <v>32</v>
      </c>
      <c r="H1023" s="2" t="s">
        <v>18</v>
      </c>
      <c r="I1023" s="2" t="s">
        <v>17</v>
      </c>
      <c r="J1023">
        <v>0.46</v>
      </c>
      <c r="K1023" s="1">
        <v>44085</v>
      </c>
      <c r="L1023" s="2" t="str">
        <f>IF(Sheet1[[#This Row],[age]]&lt;18, "Under 18",IF(Sheet1[[#This Row],[age]]&lt;=30,"18-30",IF(Sheet1[[#This Row],[age]]&lt;=45,"31-45",IF(Sheet1[[#This Row],[age]]&lt;=60,"46-60","60+"))))</f>
        <v>60+</v>
      </c>
      <c r="M1023" s="2" t="str">
        <f>IF(Sheet1[[#This Row],[risk_score]]&lt;0.3,"Low",IF(Sheet1[[#This Row],[risk_score]]&lt;0.7,"Medium","High"))</f>
        <v>Medium</v>
      </c>
      <c r="N1023">
        <f>YEAR(Sheet1[[#This Row],[date_joined]])</f>
        <v>2020</v>
      </c>
      <c r="O1023" s="2" t="str">
        <f>TEXT(Sheet1[[#This Row],[date_joined]],"mmm")</f>
        <v>Sep</v>
      </c>
      <c r="P1023" s="2" t="str">
        <f>"Q"&amp;ROUNDUP(MONTH(Sheet1[[#This Row],[date_joined]])/3,0)</f>
        <v>Q3</v>
      </c>
      <c r="Q1023" s="2" t="str">
        <f>IF(Sheet1[[#This Row],[age]]&lt;30,"Young",IF(Sheet1[[#This Row],[age]]&lt;=50,"Adult","Senior"))</f>
        <v>Senior</v>
      </c>
      <c r="R1023" s="2" t="str">
        <f t="shared" si="30"/>
        <v>High</v>
      </c>
      <c r="S1023" s="2" t="str">
        <f t="shared" si="31"/>
        <v>South - Retired</v>
      </c>
    </row>
    <row r="1024" spans="1:19" x14ac:dyDescent="0.3">
      <c r="A1024" t="s">
        <v>2071</v>
      </c>
      <c r="B1024" t="s">
        <v>2072</v>
      </c>
      <c r="C1024">
        <v>40</v>
      </c>
      <c r="D1024" s="2" t="s">
        <v>21</v>
      </c>
      <c r="E1024" s="2" t="s">
        <v>30</v>
      </c>
      <c r="F1024" s="2" t="s">
        <v>31</v>
      </c>
      <c r="G1024" s="2" t="s">
        <v>16</v>
      </c>
      <c r="H1024" s="2" t="s">
        <v>18</v>
      </c>
      <c r="I1024" s="2" t="s">
        <v>18</v>
      </c>
      <c r="J1024">
        <v>0.68</v>
      </c>
      <c r="K1024" s="1">
        <v>43376</v>
      </c>
      <c r="L1024" s="2" t="str">
        <f>IF(Sheet1[[#This Row],[age]]&lt;18, "Under 18",IF(Sheet1[[#This Row],[age]]&lt;=30,"18-30",IF(Sheet1[[#This Row],[age]]&lt;=45,"31-45",IF(Sheet1[[#This Row],[age]]&lt;=60,"46-60","60+"))))</f>
        <v>31-45</v>
      </c>
      <c r="M1024" s="2" t="str">
        <f>IF(Sheet1[[#This Row],[risk_score]]&lt;0.3,"Low",IF(Sheet1[[#This Row],[risk_score]]&lt;0.7,"Medium","High"))</f>
        <v>Medium</v>
      </c>
      <c r="N1024">
        <f>YEAR(Sheet1[[#This Row],[date_joined]])</f>
        <v>2018</v>
      </c>
      <c r="O1024" s="2" t="str">
        <f>TEXT(Sheet1[[#This Row],[date_joined]],"mmm")</f>
        <v>Oct</v>
      </c>
      <c r="P1024" s="2" t="str">
        <f>"Q"&amp;ROUNDUP(MONTH(Sheet1[[#This Row],[date_joined]])/3,0)</f>
        <v>Q4</v>
      </c>
      <c r="Q1024" s="2" t="str">
        <f>IF(Sheet1[[#This Row],[age]]&lt;30,"Young",IF(Sheet1[[#This Row],[age]]&lt;=50,"Adult","Senior"))</f>
        <v>Adult</v>
      </c>
      <c r="R1024" s="2" t="str">
        <f t="shared" si="30"/>
        <v>Very High</v>
      </c>
      <c r="S1024" s="2" t="str">
        <f t="shared" si="31"/>
        <v>West - Self-employed</v>
      </c>
    </row>
    <row r="1025" spans="1:19" x14ac:dyDescent="0.3">
      <c r="A1025" t="s">
        <v>2073</v>
      </c>
      <c r="B1025" t="s">
        <v>2074</v>
      </c>
      <c r="C1025">
        <v>54</v>
      </c>
      <c r="D1025" s="2" t="s">
        <v>21</v>
      </c>
      <c r="E1025" s="2" t="s">
        <v>22</v>
      </c>
      <c r="F1025" s="2" t="s">
        <v>15</v>
      </c>
      <c r="G1025" s="2" t="s">
        <v>66</v>
      </c>
      <c r="H1025" s="2" t="s">
        <v>18</v>
      </c>
      <c r="I1025" s="2" t="s">
        <v>17</v>
      </c>
      <c r="J1025">
        <v>0.71</v>
      </c>
      <c r="K1025" s="1">
        <v>43686</v>
      </c>
      <c r="L1025" s="2" t="str">
        <f>IF(Sheet1[[#This Row],[age]]&lt;18, "Under 18",IF(Sheet1[[#This Row],[age]]&lt;=30,"18-30",IF(Sheet1[[#This Row],[age]]&lt;=45,"31-45",IF(Sheet1[[#This Row],[age]]&lt;=60,"46-60","60+"))))</f>
        <v>46-60</v>
      </c>
      <c r="M1025" s="2" t="str">
        <f>IF(Sheet1[[#This Row],[risk_score]]&lt;0.3,"Low",IF(Sheet1[[#This Row],[risk_score]]&lt;0.7,"Medium","High"))</f>
        <v>High</v>
      </c>
      <c r="N1025">
        <f>YEAR(Sheet1[[#This Row],[date_joined]])</f>
        <v>2019</v>
      </c>
      <c r="O1025" s="2" t="str">
        <f>TEXT(Sheet1[[#This Row],[date_joined]],"mmm")</f>
        <v>Aug</v>
      </c>
      <c r="P1025" s="2" t="str">
        <f>"Q"&amp;ROUNDUP(MONTH(Sheet1[[#This Row],[date_joined]])/3,0)</f>
        <v>Q3</v>
      </c>
      <c r="Q1025" s="2" t="str">
        <f>IF(Sheet1[[#This Row],[age]]&lt;30,"Young",IF(Sheet1[[#This Row],[age]]&lt;=50,"Adult","Senior"))</f>
        <v>Senior</v>
      </c>
      <c r="R1025" s="2" t="str">
        <f t="shared" si="30"/>
        <v>High</v>
      </c>
      <c r="S1025" s="2" t="str">
        <f t="shared" si="31"/>
        <v>North-East - Student</v>
      </c>
    </row>
    <row r="1026" spans="1:19" x14ac:dyDescent="0.3">
      <c r="A1026" t="s">
        <v>2075</v>
      </c>
      <c r="B1026" t="s">
        <v>2076</v>
      </c>
      <c r="C1026">
        <v>19</v>
      </c>
      <c r="D1026" s="2" t="s">
        <v>13</v>
      </c>
      <c r="E1026" s="2" t="s">
        <v>22</v>
      </c>
      <c r="F1026" s="2" t="s">
        <v>37</v>
      </c>
      <c r="G1026" s="2" t="s">
        <v>24</v>
      </c>
      <c r="H1026" s="2" t="s">
        <v>18</v>
      </c>
      <c r="I1026" s="2" t="s">
        <v>17</v>
      </c>
      <c r="J1026">
        <v>0.21</v>
      </c>
      <c r="K1026" s="1">
        <v>44426</v>
      </c>
      <c r="L1026" s="2" t="str">
        <f>IF(Sheet1[[#This Row],[age]]&lt;18, "Under 18",IF(Sheet1[[#This Row],[age]]&lt;=30,"18-30",IF(Sheet1[[#This Row],[age]]&lt;=45,"31-45",IF(Sheet1[[#This Row],[age]]&lt;=60,"46-60","60+"))))</f>
        <v>18-30</v>
      </c>
      <c r="M1026" s="2" t="str">
        <f>IF(Sheet1[[#This Row],[risk_score]]&lt;0.3,"Low",IF(Sheet1[[#This Row],[risk_score]]&lt;0.7,"Medium","High"))</f>
        <v>Low</v>
      </c>
      <c r="N1026">
        <f>YEAR(Sheet1[[#This Row],[date_joined]])</f>
        <v>2021</v>
      </c>
      <c r="O1026" s="2" t="str">
        <f>TEXT(Sheet1[[#This Row],[date_joined]],"mmm")</f>
        <v>Aug</v>
      </c>
      <c r="P1026" s="2" t="str">
        <f>"Q"&amp;ROUNDUP(MONTH(Sheet1[[#This Row],[date_joined]])/3,0)</f>
        <v>Q3</v>
      </c>
      <c r="Q1026" s="2" t="str">
        <f>IF(Sheet1[[#This Row],[age]]&lt;30,"Young",IF(Sheet1[[#This Row],[age]]&lt;=50,"Adult","Senior"))</f>
        <v>Young</v>
      </c>
      <c r="R1026" s="2" t="str">
        <f t="shared" ref="R1026:R1089" si="32">IF(AND(H1026="Yes",I1026="Yes"),"Very High",
IF(OR(H1026="Yes",I1026="Yes"),"High","Low"))</f>
        <v>High</v>
      </c>
      <c r="S1026" s="2" t="str">
        <f t="shared" ref="S1026:S1089" si="33">G1026&amp;" - "&amp;F1026</f>
        <v>East - Retired</v>
      </c>
    </row>
    <row r="1027" spans="1:19" x14ac:dyDescent="0.3">
      <c r="A1027" t="s">
        <v>2077</v>
      </c>
      <c r="B1027" t="s">
        <v>2078</v>
      </c>
      <c r="C1027">
        <v>23</v>
      </c>
      <c r="D1027" s="2" t="s">
        <v>21</v>
      </c>
      <c r="E1027" s="2" t="s">
        <v>30</v>
      </c>
      <c r="F1027" s="2" t="s">
        <v>37</v>
      </c>
      <c r="G1027" s="2" t="s">
        <v>16</v>
      </c>
      <c r="H1027" s="2" t="s">
        <v>18</v>
      </c>
      <c r="I1027" s="2" t="s">
        <v>18</v>
      </c>
      <c r="J1027">
        <v>0.62</v>
      </c>
      <c r="K1027" s="1">
        <v>43501</v>
      </c>
      <c r="L1027" s="2" t="str">
        <f>IF(Sheet1[[#This Row],[age]]&lt;18, "Under 18",IF(Sheet1[[#This Row],[age]]&lt;=30,"18-30",IF(Sheet1[[#This Row],[age]]&lt;=45,"31-45",IF(Sheet1[[#This Row],[age]]&lt;=60,"46-60","60+"))))</f>
        <v>18-30</v>
      </c>
      <c r="M1027" s="2" t="str">
        <f>IF(Sheet1[[#This Row],[risk_score]]&lt;0.3,"Low",IF(Sheet1[[#This Row],[risk_score]]&lt;0.7,"Medium","High"))</f>
        <v>Medium</v>
      </c>
      <c r="N1027">
        <f>YEAR(Sheet1[[#This Row],[date_joined]])</f>
        <v>2019</v>
      </c>
      <c r="O1027" s="2" t="str">
        <f>TEXT(Sheet1[[#This Row],[date_joined]],"mmm")</f>
        <v>Feb</v>
      </c>
      <c r="P1027" s="2" t="str">
        <f>"Q"&amp;ROUNDUP(MONTH(Sheet1[[#This Row],[date_joined]])/3,0)</f>
        <v>Q1</v>
      </c>
      <c r="Q1027" s="2" t="str">
        <f>IF(Sheet1[[#This Row],[age]]&lt;30,"Young",IF(Sheet1[[#This Row],[age]]&lt;=50,"Adult","Senior"))</f>
        <v>Young</v>
      </c>
      <c r="R1027" s="2" t="str">
        <f t="shared" si="32"/>
        <v>Very High</v>
      </c>
      <c r="S1027" s="2" t="str">
        <f t="shared" si="33"/>
        <v>West - Retired</v>
      </c>
    </row>
    <row r="1028" spans="1:19" x14ac:dyDescent="0.3">
      <c r="A1028" t="s">
        <v>2079</v>
      </c>
      <c r="B1028" t="s">
        <v>2080</v>
      </c>
      <c r="C1028">
        <v>52</v>
      </c>
      <c r="D1028" s="2" t="s">
        <v>21</v>
      </c>
      <c r="E1028" s="2" t="s">
        <v>22</v>
      </c>
      <c r="F1028" s="2" t="s">
        <v>37</v>
      </c>
      <c r="G1028" s="2" t="s">
        <v>81</v>
      </c>
      <c r="H1028" s="2" t="s">
        <v>18</v>
      </c>
      <c r="I1028" s="2" t="s">
        <v>17</v>
      </c>
      <c r="J1028">
        <v>0.34</v>
      </c>
      <c r="K1028" s="1">
        <v>44749</v>
      </c>
      <c r="L1028" s="2" t="str">
        <f>IF(Sheet1[[#This Row],[age]]&lt;18, "Under 18",IF(Sheet1[[#This Row],[age]]&lt;=30,"18-30",IF(Sheet1[[#This Row],[age]]&lt;=45,"31-45",IF(Sheet1[[#This Row],[age]]&lt;=60,"46-60","60+"))))</f>
        <v>46-60</v>
      </c>
      <c r="M1028" s="2" t="str">
        <f>IF(Sheet1[[#This Row],[risk_score]]&lt;0.3,"Low",IF(Sheet1[[#This Row],[risk_score]]&lt;0.7,"Medium","High"))</f>
        <v>Medium</v>
      </c>
      <c r="N1028">
        <f>YEAR(Sheet1[[#This Row],[date_joined]])</f>
        <v>2022</v>
      </c>
      <c r="O1028" s="2" t="str">
        <f>TEXT(Sheet1[[#This Row],[date_joined]],"mmm")</f>
        <v>Jul</v>
      </c>
      <c r="P1028" s="2" t="str">
        <f>"Q"&amp;ROUNDUP(MONTH(Sheet1[[#This Row],[date_joined]])/3,0)</f>
        <v>Q3</v>
      </c>
      <c r="Q1028" s="2" t="str">
        <f>IF(Sheet1[[#This Row],[age]]&lt;30,"Young",IF(Sheet1[[#This Row],[age]]&lt;=50,"Adult","Senior"))</f>
        <v>Senior</v>
      </c>
      <c r="R1028" s="2" t="str">
        <f t="shared" si="32"/>
        <v>High</v>
      </c>
      <c r="S1028" s="2" t="str">
        <f t="shared" si="33"/>
        <v>Central - Retired</v>
      </c>
    </row>
    <row r="1029" spans="1:19" x14ac:dyDescent="0.3">
      <c r="A1029" t="s">
        <v>2081</v>
      </c>
      <c r="B1029" t="s">
        <v>2082</v>
      </c>
      <c r="C1029">
        <v>39</v>
      </c>
      <c r="D1029" s="2" t="s">
        <v>13</v>
      </c>
      <c r="E1029" s="2" t="s">
        <v>30</v>
      </c>
      <c r="F1029" s="2" t="s">
        <v>23</v>
      </c>
      <c r="G1029" s="2" t="s">
        <v>27</v>
      </c>
      <c r="H1029" s="2" t="s">
        <v>17</v>
      </c>
      <c r="I1029" s="2" t="s">
        <v>18</v>
      </c>
      <c r="J1029">
        <v>0.66</v>
      </c>
      <c r="K1029" s="1">
        <v>43897</v>
      </c>
      <c r="L1029" s="2" t="str">
        <f>IF(Sheet1[[#This Row],[age]]&lt;18, "Under 18",IF(Sheet1[[#This Row],[age]]&lt;=30,"18-30",IF(Sheet1[[#This Row],[age]]&lt;=45,"31-45",IF(Sheet1[[#This Row],[age]]&lt;=60,"46-60","60+"))))</f>
        <v>31-45</v>
      </c>
      <c r="M1029" s="2" t="str">
        <f>IF(Sheet1[[#This Row],[risk_score]]&lt;0.3,"Low",IF(Sheet1[[#This Row],[risk_score]]&lt;0.7,"Medium","High"))</f>
        <v>Medium</v>
      </c>
      <c r="N1029">
        <f>YEAR(Sheet1[[#This Row],[date_joined]])</f>
        <v>2020</v>
      </c>
      <c r="O1029" s="2" t="str">
        <f>TEXT(Sheet1[[#This Row],[date_joined]],"mmm")</f>
        <v>Mar</v>
      </c>
      <c r="P1029" s="2" t="str">
        <f>"Q"&amp;ROUNDUP(MONTH(Sheet1[[#This Row],[date_joined]])/3,0)</f>
        <v>Q1</v>
      </c>
      <c r="Q1029" s="2" t="str">
        <f>IF(Sheet1[[#This Row],[age]]&lt;30,"Young",IF(Sheet1[[#This Row],[age]]&lt;=50,"Adult","Senior"))</f>
        <v>Adult</v>
      </c>
      <c r="R1029" s="2" t="str">
        <f t="shared" si="32"/>
        <v>High</v>
      </c>
      <c r="S1029" s="2" t="str">
        <f t="shared" si="33"/>
        <v>North - Salaried</v>
      </c>
    </row>
    <row r="1030" spans="1:19" x14ac:dyDescent="0.3">
      <c r="A1030" t="s">
        <v>2083</v>
      </c>
      <c r="B1030" t="s">
        <v>2084</v>
      </c>
      <c r="C1030">
        <v>44</v>
      </c>
      <c r="D1030" s="2" t="s">
        <v>13</v>
      </c>
      <c r="E1030" s="2" t="s">
        <v>30</v>
      </c>
      <c r="F1030" s="2" t="s">
        <v>37</v>
      </c>
      <c r="G1030" s="2" t="s">
        <v>16</v>
      </c>
      <c r="H1030" s="2" t="s">
        <v>18</v>
      </c>
      <c r="I1030" s="2" t="s">
        <v>18</v>
      </c>
      <c r="J1030">
        <v>0.79</v>
      </c>
      <c r="K1030" s="1">
        <v>44184</v>
      </c>
      <c r="L1030" s="2" t="str">
        <f>IF(Sheet1[[#This Row],[age]]&lt;18, "Under 18",IF(Sheet1[[#This Row],[age]]&lt;=30,"18-30",IF(Sheet1[[#This Row],[age]]&lt;=45,"31-45",IF(Sheet1[[#This Row],[age]]&lt;=60,"46-60","60+"))))</f>
        <v>31-45</v>
      </c>
      <c r="M1030" s="2" t="str">
        <f>IF(Sheet1[[#This Row],[risk_score]]&lt;0.3,"Low",IF(Sheet1[[#This Row],[risk_score]]&lt;0.7,"Medium","High"))</f>
        <v>High</v>
      </c>
      <c r="N1030">
        <f>YEAR(Sheet1[[#This Row],[date_joined]])</f>
        <v>2020</v>
      </c>
      <c r="O1030" s="2" t="str">
        <f>TEXT(Sheet1[[#This Row],[date_joined]],"mmm")</f>
        <v>Dec</v>
      </c>
      <c r="P1030" s="2" t="str">
        <f>"Q"&amp;ROUNDUP(MONTH(Sheet1[[#This Row],[date_joined]])/3,0)</f>
        <v>Q4</v>
      </c>
      <c r="Q1030" s="2" t="str">
        <f>IF(Sheet1[[#This Row],[age]]&lt;30,"Young",IF(Sheet1[[#This Row],[age]]&lt;=50,"Adult","Senior"))</f>
        <v>Adult</v>
      </c>
      <c r="R1030" s="2" t="str">
        <f t="shared" si="32"/>
        <v>Very High</v>
      </c>
      <c r="S1030" s="2" t="str">
        <f t="shared" si="33"/>
        <v>West - Retired</v>
      </c>
    </row>
    <row r="1031" spans="1:19" x14ac:dyDescent="0.3">
      <c r="A1031" t="s">
        <v>2085</v>
      </c>
      <c r="B1031" t="s">
        <v>2086</v>
      </c>
      <c r="C1031">
        <v>45</v>
      </c>
      <c r="D1031" s="2" t="s">
        <v>13</v>
      </c>
      <c r="E1031" s="2" t="s">
        <v>22</v>
      </c>
      <c r="F1031" s="2" t="s">
        <v>23</v>
      </c>
      <c r="G1031" s="2" t="s">
        <v>66</v>
      </c>
      <c r="H1031" s="2" t="s">
        <v>18</v>
      </c>
      <c r="I1031" s="2" t="s">
        <v>17</v>
      </c>
      <c r="J1031">
        <v>0.5</v>
      </c>
      <c r="K1031" s="1">
        <v>44265</v>
      </c>
      <c r="L1031" s="2" t="str">
        <f>IF(Sheet1[[#This Row],[age]]&lt;18, "Under 18",IF(Sheet1[[#This Row],[age]]&lt;=30,"18-30",IF(Sheet1[[#This Row],[age]]&lt;=45,"31-45",IF(Sheet1[[#This Row],[age]]&lt;=60,"46-60","60+"))))</f>
        <v>31-45</v>
      </c>
      <c r="M1031" s="2" t="str">
        <f>IF(Sheet1[[#This Row],[risk_score]]&lt;0.3,"Low",IF(Sheet1[[#This Row],[risk_score]]&lt;0.7,"Medium","High"))</f>
        <v>Medium</v>
      </c>
      <c r="N1031">
        <f>YEAR(Sheet1[[#This Row],[date_joined]])</f>
        <v>2021</v>
      </c>
      <c r="O1031" s="2" t="str">
        <f>TEXT(Sheet1[[#This Row],[date_joined]],"mmm")</f>
        <v>Mar</v>
      </c>
      <c r="P1031" s="2" t="str">
        <f>"Q"&amp;ROUNDUP(MONTH(Sheet1[[#This Row],[date_joined]])/3,0)</f>
        <v>Q1</v>
      </c>
      <c r="Q1031" s="2" t="str">
        <f>IF(Sheet1[[#This Row],[age]]&lt;30,"Young",IF(Sheet1[[#This Row],[age]]&lt;=50,"Adult","Senior"))</f>
        <v>Adult</v>
      </c>
      <c r="R1031" s="2" t="str">
        <f t="shared" si="32"/>
        <v>High</v>
      </c>
      <c r="S1031" s="2" t="str">
        <f t="shared" si="33"/>
        <v>North-East - Salaried</v>
      </c>
    </row>
    <row r="1032" spans="1:19" x14ac:dyDescent="0.3">
      <c r="A1032" t="s">
        <v>2087</v>
      </c>
      <c r="B1032" t="s">
        <v>2088</v>
      </c>
      <c r="C1032">
        <v>30</v>
      </c>
      <c r="D1032" s="2" t="s">
        <v>21</v>
      </c>
      <c r="E1032" s="2" t="s">
        <v>22</v>
      </c>
      <c r="F1032" s="2" t="s">
        <v>31</v>
      </c>
      <c r="G1032" s="2" t="s">
        <v>81</v>
      </c>
      <c r="H1032" s="2" t="s">
        <v>18</v>
      </c>
      <c r="I1032" s="2" t="s">
        <v>17</v>
      </c>
      <c r="J1032">
        <v>0.65</v>
      </c>
      <c r="K1032" s="1">
        <v>43369</v>
      </c>
      <c r="L1032" s="2" t="str">
        <f>IF(Sheet1[[#This Row],[age]]&lt;18, "Under 18",IF(Sheet1[[#This Row],[age]]&lt;=30,"18-30",IF(Sheet1[[#This Row],[age]]&lt;=45,"31-45",IF(Sheet1[[#This Row],[age]]&lt;=60,"46-60","60+"))))</f>
        <v>18-30</v>
      </c>
      <c r="M1032" s="2" t="str">
        <f>IF(Sheet1[[#This Row],[risk_score]]&lt;0.3,"Low",IF(Sheet1[[#This Row],[risk_score]]&lt;0.7,"Medium","High"))</f>
        <v>Medium</v>
      </c>
      <c r="N1032">
        <f>YEAR(Sheet1[[#This Row],[date_joined]])</f>
        <v>2018</v>
      </c>
      <c r="O1032" s="2" t="str">
        <f>TEXT(Sheet1[[#This Row],[date_joined]],"mmm")</f>
        <v>Sep</v>
      </c>
      <c r="P1032" s="2" t="str">
        <f>"Q"&amp;ROUNDUP(MONTH(Sheet1[[#This Row],[date_joined]])/3,0)</f>
        <v>Q3</v>
      </c>
      <c r="Q1032" s="2" t="str">
        <f>IF(Sheet1[[#This Row],[age]]&lt;30,"Young",IF(Sheet1[[#This Row],[age]]&lt;=50,"Adult","Senior"))</f>
        <v>Adult</v>
      </c>
      <c r="R1032" s="2" t="str">
        <f t="shared" si="32"/>
        <v>High</v>
      </c>
      <c r="S1032" s="2" t="str">
        <f t="shared" si="33"/>
        <v>Central - Self-employed</v>
      </c>
    </row>
    <row r="1033" spans="1:19" x14ac:dyDescent="0.3">
      <c r="A1033" t="s">
        <v>2089</v>
      </c>
      <c r="B1033" t="s">
        <v>2090</v>
      </c>
      <c r="C1033">
        <v>69</v>
      </c>
      <c r="D1033" s="2" t="s">
        <v>13</v>
      </c>
      <c r="E1033" s="2" t="s">
        <v>30</v>
      </c>
      <c r="F1033" s="2" t="s">
        <v>31</v>
      </c>
      <c r="G1033" s="2" t="s">
        <v>27</v>
      </c>
      <c r="H1033" s="2" t="s">
        <v>17</v>
      </c>
      <c r="I1033" s="2" t="s">
        <v>18</v>
      </c>
      <c r="J1033">
        <v>0.46</v>
      </c>
      <c r="K1033" s="1">
        <v>43484</v>
      </c>
      <c r="L1033" s="2" t="str">
        <f>IF(Sheet1[[#This Row],[age]]&lt;18, "Under 18",IF(Sheet1[[#This Row],[age]]&lt;=30,"18-30",IF(Sheet1[[#This Row],[age]]&lt;=45,"31-45",IF(Sheet1[[#This Row],[age]]&lt;=60,"46-60","60+"))))</f>
        <v>60+</v>
      </c>
      <c r="M1033" s="2" t="str">
        <f>IF(Sheet1[[#This Row],[risk_score]]&lt;0.3,"Low",IF(Sheet1[[#This Row],[risk_score]]&lt;0.7,"Medium","High"))</f>
        <v>Medium</v>
      </c>
      <c r="N1033">
        <f>YEAR(Sheet1[[#This Row],[date_joined]])</f>
        <v>2019</v>
      </c>
      <c r="O1033" s="2" t="str">
        <f>TEXT(Sheet1[[#This Row],[date_joined]],"mmm")</f>
        <v>Jan</v>
      </c>
      <c r="P1033" s="2" t="str">
        <f>"Q"&amp;ROUNDUP(MONTH(Sheet1[[#This Row],[date_joined]])/3,0)</f>
        <v>Q1</v>
      </c>
      <c r="Q1033" s="2" t="str">
        <f>IF(Sheet1[[#This Row],[age]]&lt;30,"Young",IF(Sheet1[[#This Row],[age]]&lt;=50,"Adult","Senior"))</f>
        <v>Senior</v>
      </c>
      <c r="R1033" s="2" t="str">
        <f t="shared" si="32"/>
        <v>High</v>
      </c>
      <c r="S1033" s="2" t="str">
        <f t="shared" si="33"/>
        <v>North - Self-employed</v>
      </c>
    </row>
    <row r="1034" spans="1:19" x14ac:dyDescent="0.3">
      <c r="A1034" t="s">
        <v>2091</v>
      </c>
      <c r="B1034" t="s">
        <v>2092</v>
      </c>
      <c r="C1034">
        <v>61</v>
      </c>
      <c r="D1034" s="2" t="s">
        <v>13</v>
      </c>
      <c r="E1034" s="2" t="s">
        <v>14</v>
      </c>
      <c r="F1034" s="2" t="s">
        <v>15</v>
      </c>
      <c r="G1034" s="2" t="s">
        <v>32</v>
      </c>
      <c r="H1034" s="2" t="s">
        <v>18</v>
      </c>
      <c r="I1034" s="2" t="s">
        <v>18</v>
      </c>
      <c r="J1034">
        <v>0.63</v>
      </c>
      <c r="K1034" s="1">
        <v>45231</v>
      </c>
      <c r="L1034" s="2" t="str">
        <f>IF(Sheet1[[#This Row],[age]]&lt;18, "Under 18",IF(Sheet1[[#This Row],[age]]&lt;=30,"18-30",IF(Sheet1[[#This Row],[age]]&lt;=45,"31-45",IF(Sheet1[[#This Row],[age]]&lt;=60,"46-60","60+"))))</f>
        <v>60+</v>
      </c>
      <c r="M1034" s="2" t="str">
        <f>IF(Sheet1[[#This Row],[risk_score]]&lt;0.3,"Low",IF(Sheet1[[#This Row],[risk_score]]&lt;0.7,"Medium","High"))</f>
        <v>Medium</v>
      </c>
      <c r="N1034">
        <f>YEAR(Sheet1[[#This Row],[date_joined]])</f>
        <v>2023</v>
      </c>
      <c r="O1034" s="2" t="str">
        <f>TEXT(Sheet1[[#This Row],[date_joined]],"mmm")</f>
        <v>Nov</v>
      </c>
      <c r="P1034" s="2" t="str">
        <f>"Q"&amp;ROUNDUP(MONTH(Sheet1[[#This Row],[date_joined]])/3,0)</f>
        <v>Q4</v>
      </c>
      <c r="Q1034" s="2" t="str">
        <f>IF(Sheet1[[#This Row],[age]]&lt;30,"Young",IF(Sheet1[[#This Row],[age]]&lt;=50,"Adult","Senior"))</f>
        <v>Senior</v>
      </c>
      <c r="R1034" s="2" t="str">
        <f t="shared" si="32"/>
        <v>Very High</v>
      </c>
      <c r="S1034" s="2" t="str">
        <f t="shared" si="33"/>
        <v>South - Student</v>
      </c>
    </row>
    <row r="1035" spans="1:19" x14ac:dyDescent="0.3">
      <c r="A1035" t="s">
        <v>2093</v>
      </c>
      <c r="B1035" t="s">
        <v>2094</v>
      </c>
      <c r="C1035">
        <v>23</v>
      </c>
      <c r="D1035" s="2" t="s">
        <v>13</v>
      </c>
      <c r="E1035" s="2" t="s">
        <v>30</v>
      </c>
      <c r="F1035" s="2" t="s">
        <v>23</v>
      </c>
      <c r="G1035" s="2" t="s">
        <v>66</v>
      </c>
      <c r="H1035" s="2" t="s">
        <v>18</v>
      </c>
      <c r="I1035" s="2" t="s">
        <v>17</v>
      </c>
      <c r="J1035">
        <v>0.55000000000000004</v>
      </c>
      <c r="K1035" s="1">
        <v>44273</v>
      </c>
      <c r="L1035" s="2" t="str">
        <f>IF(Sheet1[[#This Row],[age]]&lt;18, "Under 18",IF(Sheet1[[#This Row],[age]]&lt;=30,"18-30",IF(Sheet1[[#This Row],[age]]&lt;=45,"31-45",IF(Sheet1[[#This Row],[age]]&lt;=60,"46-60","60+"))))</f>
        <v>18-30</v>
      </c>
      <c r="M1035" s="2" t="str">
        <f>IF(Sheet1[[#This Row],[risk_score]]&lt;0.3,"Low",IF(Sheet1[[#This Row],[risk_score]]&lt;0.7,"Medium","High"))</f>
        <v>Medium</v>
      </c>
      <c r="N1035">
        <f>YEAR(Sheet1[[#This Row],[date_joined]])</f>
        <v>2021</v>
      </c>
      <c r="O1035" s="2" t="str">
        <f>TEXT(Sheet1[[#This Row],[date_joined]],"mmm")</f>
        <v>Mar</v>
      </c>
      <c r="P1035" s="2" t="str">
        <f>"Q"&amp;ROUNDUP(MONTH(Sheet1[[#This Row],[date_joined]])/3,0)</f>
        <v>Q1</v>
      </c>
      <c r="Q1035" s="2" t="str">
        <f>IF(Sheet1[[#This Row],[age]]&lt;30,"Young",IF(Sheet1[[#This Row],[age]]&lt;=50,"Adult","Senior"))</f>
        <v>Young</v>
      </c>
      <c r="R1035" s="2" t="str">
        <f t="shared" si="32"/>
        <v>High</v>
      </c>
      <c r="S1035" s="2" t="str">
        <f t="shared" si="33"/>
        <v>North-East - Salaried</v>
      </c>
    </row>
    <row r="1036" spans="1:19" x14ac:dyDescent="0.3">
      <c r="A1036" t="s">
        <v>2095</v>
      </c>
      <c r="B1036" t="s">
        <v>2096</v>
      </c>
      <c r="C1036">
        <v>63</v>
      </c>
      <c r="D1036" s="2" t="s">
        <v>21</v>
      </c>
      <c r="E1036" s="2" t="s">
        <v>30</v>
      </c>
      <c r="F1036" s="2" t="s">
        <v>37</v>
      </c>
      <c r="G1036" s="2" t="s">
        <v>81</v>
      </c>
      <c r="H1036" s="2" t="s">
        <v>18</v>
      </c>
      <c r="I1036" s="2" t="s">
        <v>17</v>
      </c>
      <c r="J1036">
        <v>0.47</v>
      </c>
      <c r="K1036" s="1">
        <v>43910</v>
      </c>
      <c r="L1036" s="2" t="str">
        <f>IF(Sheet1[[#This Row],[age]]&lt;18, "Under 18",IF(Sheet1[[#This Row],[age]]&lt;=30,"18-30",IF(Sheet1[[#This Row],[age]]&lt;=45,"31-45",IF(Sheet1[[#This Row],[age]]&lt;=60,"46-60","60+"))))</f>
        <v>60+</v>
      </c>
      <c r="M1036" s="2" t="str">
        <f>IF(Sheet1[[#This Row],[risk_score]]&lt;0.3,"Low",IF(Sheet1[[#This Row],[risk_score]]&lt;0.7,"Medium","High"))</f>
        <v>Medium</v>
      </c>
      <c r="N1036">
        <f>YEAR(Sheet1[[#This Row],[date_joined]])</f>
        <v>2020</v>
      </c>
      <c r="O1036" s="2" t="str">
        <f>TEXT(Sheet1[[#This Row],[date_joined]],"mmm")</f>
        <v>Mar</v>
      </c>
      <c r="P1036" s="2" t="str">
        <f>"Q"&amp;ROUNDUP(MONTH(Sheet1[[#This Row],[date_joined]])/3,0)</f>
        <v>Q1</v>
      </c>
      <c r="Q1036" s="2" t="str">
        <f>IF(Sheet1[[#This Row],[age]]&lt;30,"Young",IF(Sheet1[[#This Row],[age]]&lt;=50,"Adult","Senior"))</f>
        <v>Senior</v>
      </c>
      <c r="R1036" s="2" t="str">
        <f t="shared" si="32"/>
        <v>High</v>
      </c>
      <c r="S1036" s="2" t="str">
        <f t="shared" si="33"/>
        <v>Central - Retired</v>
      </c>
    </row>
    <row r="1037" spans="1:19" x14ac:dyDescent="0.3">
      <c r="A1037" t="s">
        <v>2097</v>
      </c>
      <c r="B1037" t="s">
        <v>2098</v>
      </c>
      <c r="C1037">
        <v>38</v>
      </c>
      <c r="D1037" s="2" t="s">
        <v>13</v>
      </c>
      <c r="E1037" s="2" t="s">
        <v>22</v>
      </c>
      <c r="F1037" s="2" t="s">
        <v>15</v>
      </c>
      <c r="G1037" s="2" t="s">
        <v>66</v>
      </c>
      <c r="H1037" s="2" t="s">
        <v>18</v>
      </c>
      <c r="I1037" s="2" t="s">
        <v>18</v>
      </c>
      <c r="J1037">
        <v>0.66</v>
      </c>
      <c r="K1037" s="1">
        <v>44591</v>
      </c>
      <c r="L1037" s="2" t="str">
        <f>IF(Sheet1[[#This Row],[age]]&lt;18, "Under 18",IF(Sheet1[[#This Row],[age]]&lt;=30,"18-30",IF(Sheet1[[#This Row],[age]]&lt;=45,"31-45",IF(Sheet1[[#This Row],[age]]&lt;=60,"46-60","60+"))))</f>
        <v>31-45</v>
      </c>
      <c r="M1037" s="2" t="str">
        <f>IF(Sheet1[[#This Row],[risk_score]]&lt;0.3,"Low",IF(Sheet1[[#This Row],[risk_score]]&lt;0.7,"Medium","High"))</f>
        <v>Medium</v>
      </c>
      <c r="N1037">
        <f>YEAR(Sheet1[[#This Row],[date_joined]])</f>
        <v>2022</v>
      </c>
      <c r="O1037" s="2" t="str">
        <f>TEXT(Sheet1[[#This Row],[date_joined]],"mmm")</f>
        <v>Jan</v>
      </c>
      <c r="P1037" s="2" t="str">
        <f>"Q"&amp;ROUNDUP(MONTH(Sheet1[[#This Row],[date_joined]])/3,0)</f>
        <v>Q1</v>
      </c>
      <c r="Q1037" s="2" t="str">
        <f>IF(Sheet1[[#This Row],[age]]&lt;30,"Young",IF(Sheet1[[#This Row],[age]]&lt;=50,"Adult","Senior"))</f>
        <v>Adult</v>
      </c>
      <c r="R1037" s="2" t="str">
        <f t="shared" si="32"/>
        <v>Very High</v>
      </c>
      <c r="S1037" s="2" t="str">
        <f t="shared" si="33"/>
        <v>North-East - Student</v>
      </c>
    </row>
    <row r="1038" spans="1:19" x14ac:dyDescent="0.3">
      <c r="A1038" t="s">
        <v>2099</v>
      </c>
      <c r="B1038" t="s">
        <v>2100</v>
      </c>
      <c r="C1038">
        <v>36</v>
      </c>
      <c r="D1038" s="2" t="s">
        <v>21</v>
      </c>
      <c r="E1038" s="2" t="s">
        <v>14</v>
      </c>
      <c r="F1038" s="2" t="s">
        <v>31</v>
      </c>
      <c r="G1038" s="2" t="s">
        <v>24</v>
      </c>
      <c r="H1038" s="2" t="s">
        <v>18</v>
      </c>
      <c r="I1038" s="2" t="s">
        <v>18</v>
      </c>
      <c r="J1038">
        <v>0.22</v>
      </c>
      <c r="K1038" s="1">
        <v>43817</v>
      </c>
      <c r="L1038" s="2" t="str">
        <f>IF(Sheet1[[#This Row],[age]]&lt;18, "Under 18",IF(Sheet1[[#This Row],[age]]&lt;=30,"18-30",IF(Sheet1[[#This Row],[age]]&lt;=45,"31-45",IF(Sheet1[[#This Row],[age]]&lt;=60,"46-60","60+"))))</f>
        <v>31-45</v>
      </c>
      <c r="M1038" s="2" t="str">
        <f>IF(Sheet1[[#This Row],[risk_score]]&lt;0.3,"Low",IF(Sheet1[[#This Row],[risk_score]]&lt;0.7,"Medium","High"))</f>
        <v>Low</v>
      </c>
      <c r="N1038">
        <f>YEAR(Sheet1[[#This Row],[date_joined]])</f>
        <v>2019</v>
      </c>
      <c r="O1038" s="2" t="str">
        <f>TEXT(Sheet1[[#This Row],[date_joined]],"mmm")</f>
        <v>Dec</v>
      </c>
      <c r="P1038" s="2" t="str">
        <f>"Q"&amp;ROUNDUP(MONTH(Sheet1[[#This Row],[date_joined]])/3,0)</f>
        <v>Q4</v>
      </c>
      <c r="Q1038" s="2" t="str">
        <f>IF(Sheet1[[#This Row],[age]]&lt;30,"Young",IF(Sheet1[[#This Row],[age]]&lt;=50,"Adult","Senior"))</f>
        <v>Adult</v>
      </c>
      <c r="R1038" s="2" t="str">
        <f t="shared" si="32"/>
        <v>Very High</v>
      </c>
      <c r="S1038" s="2" t="str">
        <f t="shared" si="33"/>
        <v>East - Self-employed</v>
      </c>
    </row>
    <row r="1039" spans="1:19" x14ac:dyDescent="0.3">
      <c r="A1039" t="s">
        <v>2101</v>
      </c>
      <c r="B1039" t="s">
        <v>2102</v>
      </c>
      <c r="C1039">
        <v>53</v>
      </c>
      <c r="D1039" s="2" t="s">
        <v>13</v>
      </c>
      <c r="E1039" s="2" t="s">
        <v>14</v>
      </c>
      <c r="F1039" s="2" t="s">
        <v>15</v>
      </c>
      <c r="G1039" s="2" t="s">
        <v>16</v>
      </c>
      <c r="H1039" s="2" t="s">
        <v>18</v>
      </c>
      <c r="I1039" s="2" t="s">
        <v>17</v>
      </c>
      <c r="J1039">
        <v>0.19</v>
      </c>
      <c r="K1039" s="1">
        <v>43311</v>
      </c>
      <c r="L1039" s="2" t="str">
        <f>IF(Sheet1[[#This Row],[age]]&lt;18, "Under 18",IF(Sheet1[[#This Row],[age]]&lt;=30,"18-30",IF(Sheet1[[#This Row],[age]]&lt;=45,"31-45",IF(Sheet1[[#This Row],[age]]&lt;=60,"46-60","60+"))))</f>
        <v>46-60</v>
      </c>
      <c r="M1039" s="2" t="str">
        <f>IF(Sheet1[[#This Row],[risk_score]]&lt;0.3,"Low",IF(Sheet1[[#This Row],[risk_score]]&lt;0.7,"Medium","High"))</f>
        <v>Low</v>
      </c>
      <c r="N1039">
        <f>YEAR(Sheet1[[#This Row],[date_joined]])</f>
        <v>2018</v>
      </c>
      <c r="O1039" s="2" t="str">
        <f>TEXT(Sheet1[[#This Row],[date_joined]],"mmm")</f>
        <v>Jul</v>
      </c>
      <c r="P1039" s="2" t="str">
        <f>"Q"&amp;ROUNDUP(MONTH(Sheet1[[#This Row],[date_joined]])/3,0)</f>
        <v>Q3</v>
      </c>
      <c r="Q1039" s="2" t="str">
        <f>IF(Sheet1[[#This Row],[age]]&lt;30,"Young",IF(Sheet1[[#This Row],[age]]&lt;=50,"Adult","Senior"))</f>
        <v>Senior</v>
      </c>
      <c r="R1039" s="2" t="str">
        <f t="shared" si="32"/>
        <v>High</v>
      </c>
      <c r="S1039" s="2" t="str">
        <f t="shared" si="33"/>
        <v>West - Student</v>
      </c>
    </row>
    <row r="1040" spans="1:19" x14ac:dyDescent="0.3">
      <c r="A1040" t="s">
        <v>2103</v>
      </c>
      <c r="B1040" t="s">
        <v>2104</v>
      </c>
      <c r="C1040">
        <v>41</v>
      </c>
      <c r="D1040" s="2" t="s">
        <v>13</v>
      </c>
      <c r="E1040" s="2" t="s">
        <v>14</v>
      </c>
      <c r="F1040" s="2" t="s">
        <v>37</v>
      </c>
      <c r="G1040" s="2" t="s">
        <v>27</v>
      </c>
      <c r="H1040" s="2" t="s">
        <v>17</v>
      </c>
      <c r="I1040" s="2" t="s">
        <v>17</v>
      </c>
      <c r="J1040">
        <v>0.38</v>
      </c>
      <c r="K1040" s="1">
        <v>44754</v>
      </c>
      <c r="L1040" s="2" t="str">
        <f>IF(Sheet1[[#This Row],[age]]&lt;18, "Under 18",IF(Sheet1[[#This Row],[age]]&lt;=30,"18-30",IF(Sheet1[[#This Row],[age]]&lt;=45,"31-45",IF(Sheet1[[#This Row],[age]]&lt;=60,"46-60","60+"))))</f>
        <v>31-45</v>
      </c>
      <c r="M1040" s="2" t="str">
        <f>IF(Sheet1[[#This Row],[risk_score]]&lt;0.3,"Low",IF(Sheet1[[#This Row],[risk_score]]&lt;0.7,"Medium","High"))</f>
        <v>Medium</v>
      </c>
      <c r="N1040">
        <f>YEAR(Sheet1[[#This Row],[date_joined]])</f>
        <v>2022</v>
      </c>
      <c r="O1040" s="2" t="str">
        <f>TEXT(Sheet1[[#This Row],[date_joined]],"mmm")</f>
        <v>Jul</v>
      </c>
      <c r="P1040" s="2" t="str">
        <f>"Q"&amp;ROUNDUP(MONTH(Sheet1[[#This Row],[date_joined]])/3,0)</f>
        <v>Q3</v>
      </c>
      <c r="Q1040" s="2" t="str">
        <f>IF(Sheet1[[#This Row],[age]]&lt;30,"Young",IF(Sheet1[[#This Row],[age]]&lt;=50,"Adult","Senior"))</f>
        <v>Adult</v>
      </c>
      <c r="R1040" s="2" t="str">
        <f t="shared" si="32"/>
        <v>Low</v>
      </c>
      <c r="S1040" s="2" t="str">
        <f t="shared" si="33"/>
        <v>North - Retired</v>
      </c>
    </row>
    <row r="1041" spans="1:19" x14ac:dyDescent="0.3">
      <c r="A1041" t="s">
        <v>2105</v>
      </c>
      <c r="B1041" t="s">
        <v>2106</v>
      </c>
      <c r="C1041">
        <v>62</v>
      </c>
      <c r="D1041" s="2" t="s">
        <v>13</v>
      </c>
      <c r="E1041" s="2" t="s">
        <v>14</v>
      </c>
      <c r="F1041" s="2" t="s">
        <v>15</v>
      </c>
      <c r="G1041" s="2" t="s">
        <v>24</v>
      </c>
      <c r="H1041" s="2" t="s">
        <v>18</v>
      </c>
      <c r="I1041" s="2" t="s">
        <v>17</v>
      </c>
      <c r="J1041">
        <v>0.6</v>
      </c>
      <c r="K1041" s="1">
        <v>43755</v>
      </c>
      <c r="L1041" s="2" t="str">
        <f>IF(Sheet1[[#This Row],[age]]&lt;18, "Under 18",IF(Sheet1[[#This Row],[age]]&lt;=30,"18-30",IF(Sheet1[[#This Row],[age]]&lt;=45,"31-45",IF(Sheet1[[#This Row],[age]]&lt;=60,"46-60","60+"))))</f>
        <v>60+</v>
      </c>
      <c r="M1041" s="2" t="str">
        <f>IF(Sheet1[[#This Row],[risk_score]]&lt;0.3,"Low",IF(Sheet1[[#This Row],[risk_score]]&lt;0.7,"Medium","High"))</f>
        <v>Medium</v>
      </c>
      <c r="N1041">
        <f>YEAR(Sheet1[[#This Row],[date_joined]])</f>
        <v>2019</v>
      </c>
      <c r="O1041" s="2" t="str">
        <f>TEXT(Sheet1[[#This Row],[date_joined]],"mmm")</f>
        <v>Oct</v>
      </c>
      <c r="P1041" s="2" t="str">
        <f>"Q"&amp;ROUNDUP(MONTH(Sheet1[[#This Row],[date_joined]])/3,0)</f>
        <v>Q4</v>
      </c>
      <c r="Q1041" s="2" t="str">
        <f>IF(Sheet1[[#This Row],[age]]&lt;30,"Young",IF(Sheet1[[#This Row],[age]]&lt;=50,"Adult","Senior"))</f>
        <v>Senior</v>
      </c>
      <c r="R1041" s="2" t="str">
        <f t="shared" si="32"/>
        <v>High</v>
      </c>
      <c r="S1041" s="2" t="str">
        <f t="shared" si="33"/>
        <v>East - Student</v>
      </c>
    </row>
    <row r="1042" spans="1:19" x14ac:dyDescent="0.3">
      <c r="A1042" t="s">
        <v>2107</v>
      </c>
      <c r="B1042" t="s">
        <v>2108</v>
      </c>
      <c r="C1042">
        <v>67</v>
      </c>
      <c r="D1042" s="2" t="s">
        <v>21</v>
      </c>
      <c r="E1042" s="2" t="s">
        <v>22</v>
      </c>
      <c r="F1042" s="2" t="s">
        <v>37</v>
      </c>
      <c r="G1042" s="2" t="s">
        <v>81</v>
      </c>
      <c r="H1042" s="2" t="s">
        <v>18</v>
      </c>
      <c r="I1042" s="2" t="s">
        <v>18</v>
      </c>
      <c r="J1042">
        <v>0.66</v>
      </c>
      <c r="K1042" s="1">
        <v>44487</v>
      </c>
      <c r="L1042" s="2" t="str">
        <f>IF(Sheet1[[#This Row],[age]]&lt;18, "Under 18",IF(Sheet1[[#This Row],[age]]&lt;=30,"18-30",IF(Sheet1[[#This Row],[age]]&lt;=45,"31-45",IF(Sheet1[[#This Row],[age]]&lt;=60,"46-60","60+"))))</f>
        <v>60+</v>
      </c>
      <c r="M1042" s="2" t="str">
        <f>IF(Sheet1[[#This Row],[risk_score]]&lt;0.3,"Low",IF(Sheet1[[#This Row],[risk_score]]&lt;0.7,"Medium","High"))</f>
        <v>Medium</v>
      </c>
      <c r="N1042">
        <f>YEAR(Sheet1[[#This Row],[date_joined]])</f>
        <v>2021</v>
      </c>
      <c r="O1042" s="2" t="str">
        <f>TEXT(Sheet1[[#This Row],[date_joined]],"mmm")</f>
        <v>Oct</v>
      </c>
      <c r="P1042" s="2" t="str">
        <f>"Q"&amp;ROUNDUP(MONTH(Sheet1[[#This Row],[date_joined]])/3,0)</f>
        <v>Q4</v>
      </c>
      <c r="Q1042" s="2" t="str">
        <f>IF(Sheet1[[#This Row],[age]]&lt;30,"Young",IF(Sheet1[[#This Row],[age]]&lt;=50,"Adult","Senior"))</f>
        <v>Senior</v>
      </c>
      <c r="R1042" s="2" t="str">
        <f t="shared" si="32"/>
        <v>Very High</v>
      </c>
      <c r="S1042" s="2" t="str">
        <f t="shared" si="33"/>
        <v>Central - Retired</v>
      </c>
    </row>
    <row r="1043" spans="1:19" x14ac:dyDescent="0.3">
      <c r="A1043" t="s">
        <v>2109</v>
      </c>
      <c r="B1043" t="s">
        <v>2110</v>
      </c>
      <c r="C1043">
        <v>38</v>
      </c>
      <c r="D1043" s="2" t="s">
        <v>13</v>
      </c>
      <c r="E1043" s="2" t="s">
        <v>30</v>
      </c>
      <c r="F1043" s="2" t="s">
        <v>31</v>
      </c>
      <c r="G1043" s="2" t="s">
        <v>81</v>
      </c>
      <c r="H1043" s="2" t="s">
        <v>17</v>
      </c>
      <c r="I1043" s="2" t="s">
        <v>18</v>
      </c>
      <c r="J1043">
        <v>0.43</v>
      </c>
      <c r="K1043" s="1">
        <v>43338</v>
      </c>
      <c r="L1043" s="2" t="str">
        <f>IF(Sheet1[[#This Row],[age]]&lt;18, "Under 18",IF(Sheet1[[#This Row],[age]]&lt;=30,"18-30",IF(Sheet1[[#This Row],[age]]&lt;=45,"31-45",IF(Sheet1[[#This Row],[age]]&lt;=60,"46-60","60+"))))</f>
        <v>31-45</v>
      </c>
      <c r="M1043" s="2" t="str">
        <f>IF(Sheet1[[#This Row],[risk_score]]&lt;0.3,"Low",IF(Sheet1[[#This Row],[risk_score]]&lt;0.7,"Medium","High"))</f>
        <v>Medium</v>
      </c>
      <c r="N1043">
        <f>YEAR(Sheet1[[#This Row],[date_joined]])</f>
        <v>2018</v>
      </c>
      <c r="O1043" s="2" t="str">
        <f>TEXT(Sheet1[[#This Row],[date_joined]],"mmm")</f>
        <v>Aug</v>
      </c>
      <c r="P1043" s="2" t="str">
        <f>"Q"&amp;ROUNDUP(MONTH(Sheet1[[#This Row],[date_joined]])/3,0)</f>
        <v>Q3</v>
      </c>
      <c r="Q1043" s="2" t="str">
        <f>IF(Sheet1[[#This Row],[age]]&lt;30,"Young",IF(Sheet1[[#This Row],[age]]&lt;=50,"Adult","Senior"))</f>
        <v>Adult</v>
      </c>
      <c r="R1043" s="2" t="str">
        <f t="shared" si="32"/>
        <v>High</v>
      </c>
      <c r="S1043" s="2" t="str">
        <f t="shared" si="33"/>
        <v>Central - Self-employed</v>
      </c>
    </row>
    <row r="1044" spans="1:19" x14ac:dyDescent="0.3">
      <c r="A1044" t="s">
        <v>2111</v>
      </c>
      <c r="B1044" t="s">
        <v>2112</v>
      </c>
      <c r="C1044">
        <v>33</v>
      </c>
      <c r="D1044" s="2" t="s">
        <v>13</v>
      </c>
      <c r="E1044" s="2" t="s">
        <v>14</v>
      </c>
      <c r="F1044" s="2" t="s">
        <v>15</v>
      </c>
      <c r="G1044" s="2" t="s">
        <v>66</v>
      </c>
      <c r="H1044" s="2" t="s">
        <v>18</v>
      </c>
      <c r="I1044" s="2" t="s">
        <v>17</v>
      </c>
      <c r="J1044">
        <v>0.19</v>
      </c>
      <c r="K1044" s="1">
        <v>44844</v>
      </c>
      <c r="L1044" s="2" t="str">
        <f>IF(Sheet1[[#This Row],[age]]&lt;18, "Under 18",IF(Sheet1[[#This Row],[age]]&lt;=30,"18-30",IF(Sheet1[[#This Row],[age]]&lt;=45,"31-45",IF(Sheet1[[#This Row],[age]]&lt;=60,"46-60","60+"))))</f>
        <v>31-45</v>
      </c>
      <c r="M1044" s="2" t="str">
        <f>IF(Sheet1[[#This Row],[risk_score]]&lt;0.3,"Low",IF(Sheet1[[#This Row],[risk_score]]&lt;0.7,"Medium","High"))</f>
        <v>Low</v>
      </c>
      <c r="N1044">
        <f>YEAR(Sheet1[[#This Row],[date_joined]])</f>
        <v>2022</v>
      </c>
      <c r="O1044" s="2" t="str">
        <f>TEXT(Sheet1[[#This Row],[date_joined]],"mmm")</f>
        <v>Oct</v>
      </c>
      <c r="P1044" s="2" t="str">
        <f>"Q"&amp;ROUNDUP(MONTH(Sheet1[[#This Row],[date_joined]])/3,0)</f>
        <v>Q4</v>
      </c>
      <c r="Q1044" s="2" t="str">
        <f>IF(Sheet1[[#This Row],[age]]&lt;30,"Young",IF(Sheet1[[#This Row],[age]]&lt;=50,"Adult","Senior"))</f>
        <v>Adult</v>
      </c>
      <c r="R1044" s="2" t="str">
        <f t="shared" si="32"/>
        <v>High</v>
      </c>
      <c r="S1044" s="2" t="str">
        <f t="shared" si="33"/>
        <v>North-East - Student</v>
      </c>
    </row>
    <row r="1045" spans="1:19" x14ac:dyDescent="0.3">
      <c r="A1045" t="s">
        <v>2113</v>
      </c>
      <c r="B1045" t="s">
        <v>2114</v>
      </c>
      <c r="C1045">
        <v>20</v>
      </c>
      <c r="D1045" s="2" t="s">
        <v>13</v>
      </c>
      <c r="E1045" s="2" t="s">
        <v>14</v>
      </c>
      <c r="F1045" s="2" t="s">
        <v>15</v>
      </c>
      <c r="G1045" s="2" t="s">
        <v>32</v>
      </c>
      <c r="H1045" s="2" t="s">
        <v>17</v>
      </c>
      <c r="I1045" s="2" t="s">
        <v>17</v>
      </c>
      <c r="J1045">
        <v>0.2</v>
      </c>
      <c r="K1045" s="1">
        <v>43507</v>
      </c>
      <c r="L1045" s="2" t="str">
        <f>IF(Sheet1[[#This Row],[age]]&lt;18, "Under 18",IF(Sheet1[[#This Row],[age]]&lt;=30,"18-30",IF(Sheet1[[#This Row],[age]]&lt;=45,"31-45",IF(Sheet1[[#This Row],[age]]&lt;=60,"46-60","60+"))))</f>
        <v>18-30</v>
      </c>
      <c r="M1045" s="2" t="str">
        <f>IF(Sheet1[[#This Row],[risk_score]]&lt;0.3,"Low",IF(Sheet1[[#This Row],[risk_score]]&lt;0.7,"Medium","High"))</f>
        <v>Low</v>
      </c>
      <c r="N1045">
        <f>YEAR(Sheet1[[#This Row],[date_joined]])</f>
        <v>2019</v>
      </c>
      <c r="O1045" s="2" t="str">
        <f>TEXT(Sheet1[[#This Row],[date_joined]],"mmm")</f>
        <v>Feb</v>
      </c>
      <c r="P1045" s="2" t="str">
        <f>"Q"&amp;ROUNDUP(MONTH(Sheet1[[#This Row],[date_joined]])/3,0)</f>
        <v>Q1</v>
      </c>
      <c r="Q1045" s="2" t="str">
        <f>IF(Sheet1[[#This Row],[age]]&lt;30,"Young",IF(Sheet1[[#This Row],[age]]&lt;=50,"Adult","Senior"))</f>
        <v>Young</v>
      </c>
      <c r="R1045" s="2" t="str">
        <f t="shared" si="32"/>
        <v>Low</v>
      </c>
      <c r="S1045" s="2" t="str">
        <f t="shared" si="33"/>
        <v>South - Student</v>
      </c>
    </row>
    <row r="1046" spans="1:19" x14ac:dyDescent="0.3">
      <c r="A1046" t="s">
        <v>2115</v>
      </c>
      <c r="B1046" t="s">
        <v>2116</v>
      </c>
      <c r="C1046">
        <v>51</v>
      </c>
      <c r="D1046" s="2" t="s">
        <v>13</v>
      </c>
      <c r="E1046" s="2" t="s">
        <v>30</v>
      </c>
      <c r="F1046" s="2" t="s">
        <v>15</v>
      </c>
      <c r="G1046" s="2" t="s">
        <v>66</v>
      </c>
      <c r="H1046" s="2" t="s">
        <v>18</v>
      </c>
      <c r="I1046" s="2" t="s">
        <v>18</v>
      </c>
      <c r="J1046">
        <v>0.38</v>
      </c>
      <c r="K1046" s="1">
        <v>43313</v>
      </c>
      <c r="L1046" s="2" t="str">
        <f>IF(Sheet1[[#This Row],[age]]&lt;18, "Under 18",IF(Sheet1[[#This Row],[age]]&lt;=30,"18-30",IF(Sheet1[[#This Row],[age]]&lt;=45,"31-45",IF(Sheet1[[#This Row],[age]]&lt;=60,"46-60","60+"))))</f>
        <v>46-60</v>
      </c>
      <c r="M1046" s="2" t="str">
        <f>IF(Sheet1[[#This Row],[risk_score]]&lt;0.3,"Low",IF(Sheet1[[#This Row],[risk_score]]&lt;0.7,"Medium","High"))</f>
        <v>Medium</v>
      </c>
      <c r="N1046">
        <f>YEAR(Sheet1[[#This Row],[date_joined]])</f>
        <v>2018</v>
      </c>
      <c r="O1046" s="2" t="str">
        <f>TEXT(Sheet1[[#This Row],[date_joined]],"mmm")</f>
        <v>Aug</v>
      </c>
      <c r="P1046" s="2" t="str">
        <f>"Q"&amp;ROUNDUP(MONTH(Sheet1[[#This Row],[date_joined]])/3,0)</f>
        <v>Q3</v>
      </c>
      <c r="Q1046" s="2" t="str">
        <f>IF(Sheet1[[#This Row],[age]]&lt;30,"Young",IF(Sheet1[[#This Row],[age]]&lt;=50,"Adult","Senior"))</f>
        <v>Senior</v>
      </c>
      <c r="R1046" s="2" t="str">
        <f t="shared" si="32"/>
        <v>Very High</v>
      </c>
      <c r="S1046" s="2" t="str">
        <f t="shared" si="33"/>
        <v>North-East - Student</v>
      </c>
    </row>
    <row r="1047" spans="1:19" x14ac:dyDescent="0.3">
      <c r="A1047" t="s">
        <v>2117</v>
      </c>
      <c r="B1047" t="s">
        <v>2118</v>
      </c>
      <c r="C1047">
        <v>36</v>
      </c>
      <c r="D1047" s="2" t="s">
        <v>21</v>
      </c>
      <c r="E1047" s="2" t="s">
        <v>30</v>
      </c>
      <c r="F1047" s="2" t="s">
        <v>23</v>
      </c>
      <c r="G1047" s="2" t="s">
        <v>27</v>
      </c>
      <c r="H1047" s="2" t="s">
        <v>17</v>
      </c>
      <c r="I1047" s="2" t="s">
        <v>17</v>
      </c>
      <c r="J1047">
        <v>0.94</v>
      </c>
      <c r="K1047" s="1">
        <v>45113</v>
      </c>
      <c r="L1047" s="2" t="str">
        <f>IF(Sheet1[[#This Row],[age]]&lt;18, "Under 18",IF(Sheet1[[#This Row],[age]]&lt;=30,"18-30",IF(Sheet1[[#This Row],[age]]&lt;=45,"31-45",IF(Sheet1[[#This Row],[age]]&lt;=60,"46-60","60+"))))</f>
        <v>31-45</v>
      </c>
      <c r="M1047" s="2" t="str">
        <f>IF(Sheet1[[#This Row],[risk_score]]&lt;0.3,"Low",IF(Sheet1[[#This Row],[risk_score]]&lt;0.7,"Medium","High"))</f>
        <v>High</v>
      </c>
      <c r="N1047">
        <f>YEAR(Sheet1[[#This Row],[date_joined]])</f>
        <v>2023</v>
      </c>
      <c r="O1047" s="2" t="str">
        <f>TEXT(Sheet1[[#This Row],[date_joined]],"mmm")</f>
        <v>Jul</v>
      </c>
      <c r="P1047" s="2" t="str">
        <f>"Q"&amp;ROUNDUP(MONTH(Sheet1[[#This Row],[date_joined]])/3,0)</f>
        <v>Q3</v>
      </c>
      <c r="Q1047" s="2" t="str">
        <f>IF(Sheet1[[#This Row],[age]]&lt;30,"Young",IF(Sheet1[[#This Row],[age]]&lt;=50,"Adult","Senior"))</f>
        <v>Adult</v>
      </c>
      <c r="R1047" s="2" t="str">
        <f t="shared" si="32"/>
        <v>Low</v>
      </c>
      <c r="S1047" s="2" t="str">
        <f t="shared" si="33"/>
        <v>North - Salaried</v>
      </c>
    </row>
    <row r="1048" spans="1:19" x14ac:dyDescent="0.3">
      <c r="A1048" t="s">
        <v>2119</v>
      </c>
      <c r="B1048" t="s">
        <v>2120</v>
      </c>
      <c r="C1048">
        <v>44</v>
      </c>
      <c r="D1048" s="2" t="s">
        <v>13</v>
      </c>
      <c r="E1048" s="2" t="s">
        <v>14</v>
      </c>
      <c r="F1048" s="2" t="s">
        <v>37</v>
      </c>
      <c r="G1048" s="2" t="s">
        <v>66</v>
      </c>
      <c r="H1048" s="2" t="s">
        <v>18</v>
      </c>
      <c r="I1048" s="2" t="s">
        <v>18</v>
      </c>
      <c r="J1048">
        <v>0.21</v>
      </c>
      <c r="K1048" s="1">
        <v>43104</v>
      </c>
      <c r="L1048" s="2" t="str">
        <f>IF(Sheet1[[#This Row],[age]]&lt;18, "Under 18",IF(Sheet1[[#This Row],[age]]&lt;=30,"18-30",IF(Sheet1[[#This Row],[age]]&lt;=45,"31-45",IF(Sheet1[[#This Row],[age]]&lt;=60,"46-60","60+"))))</f>
        <v>31-45</v>
      </c>
      <c r="M1048" s="2" t="str">
        <f>IF(Sheet1[[#This Row],[risk_score]]&lt;0.3,"Low",IF(Sheet1[[#This Row],[risk_score]]&lt;0.7,"Medium","High"))</f>
        <v>Low</v>
      </c>
      <c r="N1048">
        <f>YEAR(Sheet1[[#This Row],[date_joined]])</f>
        <v>2018</v>
      </c>
      <c r="O1048" s="2" t="str">
        <f>TEXT(Sheet1[[#This Row],[date_joined]],"mmm")</f>
        <v>Jan</v>
      </c>
      <c r="P1048" s="2" t="str">
        <f>"Q"&amp;ROUNDUP(MONTH(Sheet1[[#This Row],[date_joined]])/3,0)</f>
        <v>Q1</v>
      </c>
      <c r="Q1048" s="2" t="str">
        <f>IF(Sheet1[[#This Row],[age]]&lt;30,"Young",IF(Sheet1[[#This Row],[age]]&lt;=50,"Adult","Senior"))</f>
        <v>Adult</v>
      </c>
      <c r="R1048" s="2" t="str">
        <f t="shared" si="32"/>
        <v>Very High</v>
      </c>
      <c r="S1048" s="2" t="str">
        <f t="shared" si="33"/>
        <v>North-East - Retired</v>
      </c>
    </row>
    <row r="1049" spans="1:19" x14ac:dyDescent="0.3">
      <c r="A1049" t="s">
        <v>2121</v>
      </c>
      <c r="B1049" t="s">
        <v>2122</v>
      </c>
      <c r="C1049">
        <v>22</v>
      </c>
      <c r="D1049" s="2" t="s">
        <v>21</v>
      </c>
      <c r="E1049" s="2" t="s">
        <v>30</v>
      </c>
      <c r="F1049" s="2" t="s">
        <v>15</v>
      </c>
      <c r="G1049" s="2" t="s">
        <v>27</v>
      </c>
      <c r="H1049" s="2" t="s">
        <v>18</v>
      </c>
      <c r="I1049" s="2" t="s">
        <v>18</v>
      </c>
      <c r="J1049">
        <v>0.63</v>
      </c>
      <c r="K1049" s="1">
        <v>43926</v>
      </c>
      <c r="L1049" s="2" t="str">
        <f>IF(Sheet1[[#This Row],[age]]&lt;18, "Under 18",IF(Sheet1[[#This Row],[age]]&lt;=30,"18-30",IF(Sheet1[[#This Row],[age]]&lt;=45,"31-45",IF(Sheet1[[#This Row],[age]]&lt;=60,"46-60","60+"))))</f>
        <v>18-30</v>
      </c>
      <c r="M1049" s="2" t="str">
        <f>IF(Sheet1[[#This Row],[risk_score]]&lt;0.3,"Low",IF(Sheet1[[#This Row],[risk_score]]&lt;0.7,"Medium","High"))</f>
        <v>Medium</v>
      </c>
      <c r="N1049">
        <f>YEAR(Sheet1[[#This Row],[date_joined]])</f>
        <v>2020</v>
      </c>
      <c r="O1049" s="2" t="str">
        <f>TEXT(Sheet1[[#This Row],[date_joined]],"mmm")</f>
        <v>Apr</v>
      </c>
      <c r="P1049" s="2" t="str">
        <f>"Q"&amp;ROUNDUP(MONTH(Sheet1[[#This Row],[date_joined]])/3,0)</f>
        <v>Q2</v>
      </c>
      <c r="Q1049" s="2" t="str">
        <f>IF(Sheet1[[#This Row],[age]]&lt;30,"Young",IF(Sheet1[[#This Row],[age]]&lt;=50,"Adult","Senior"))</f>
        <v>Young</v>
      </c>
      <c r="R1049" s="2" t="str">
        <f t="shared" si="32"/>
        <v>Very High</v>
      </c>
      <c r="S1049" s="2" t="str">
        <f t="shared" si="33"/>
        <v>North - Student</v>
      </c>
    </row>
    <row r="1050" spans="1:19" x14ac:dyDescent="0.3">
      <c r="A1050" t="s">
        <v>2123</v>
      </c>
      <c r="B1050" t="s">
        <v>2124</v>
      </c>
      <c r="C1050">
        <v>41</v>
      </c>
      <c r="D1050" s="2" t="s">
        <v>21</v>
      </c>
      <c r="E1050" s="2" t="s">
        <v>14</v>
      </c>
      <c r="F1050" s="2" t="s">
        <v>37</v>
      </c>
      <c r="G1050" s="2" t="s">
        <v>81</v>
      </c>
      <c r="H1050" s="2" t="s">
        <v>17</v>
      </c>
      <c r="I1050" s="2" t="s">
        <v>17</v>
      </c>
      <c r="J1050">
        <v>0.64</v>
      </c>
      <c r="K1050" s="1">
        <v>45164</v>
      </c>
      <c r="L1050" s="2" t="str">
        <f>IF(Sheet1[[#This Row],[age]]&lt;18, "Under 18",IF(Sheet1[[#This Row],[age]]&lt;=30,"18-30",IF(Sheet1[[#This Row],[age]]&lt;=45,"31-45",IF(Sheet1[[#This Row],[age]]&lt;=60,"46-60","60+"))))</f>
        <v>31-45</v>
      </c>
      <c r="M1050" s="2" t="str">
        <f>IF(Sheet1[[#This Row],[risk_score]]&lt;0.3,"Low",IF(Sheet1[[#This Row],[risk_score]]&lt;0.7,"Medium","High"))</f>
        <v>Medium</v>
      </c>
      <c r="N1050">
        <f>YEAR(Sheet1[[#This Row],[date_joined]])</f>
        <v>2023</v>
      </c>
      <c r="O1050" s="2" t="str">
        <f>TEXT(Sheet1[[#This Row],[date_joined]],"mmm")</f>
        <v>Aug</v>
      </c>
      <c r="P1050" s="2" t="str">
        <f>"Q"&amp;ROUNDUP(MONTH(Sheet1[[#This Row],[date_joined]])/3,0)</f>
        <v>Q3</v>
      </c>
      <c r="Q1050" s="2" t="str">
        <f>IF(Sheet1[[#This Row],[age]]&lt;30,"Young",IF(Sheet1[[#This Row],[age]]&lt;=50,"Adult","Senior"))</f>
        <v>Adult</v>
      </c>
      <c r="R1050" s="2" t="str">
        <f t="shared" si="32"/>
        <v>Low</v>
      </c>
      <c r="S1050" s="2" t="str">
        <f t="shared" si="33"/>
        <v>Central - Retired</v>
      </c>
    </row>
    <row r="1051" spans="1:19" x14ac:dyDescent="0.3">
      <c r="A1051" t="s">
        <v>2125</v>
      </c>
      <c r="B1051" t="s">
        <v>2126</v>
      </c>
      <c r="C1051">
        <v>24</v>
      </c>
      <c r="D1051" s="2" t="s">
        <v>21</v>
      </c>
      <c r="E1051" s="2" t="s">
        <v>30</v>
      </c>
      <c r="F1051" s="2" t="s">
        <v>31</v>
      </c>
      <c r="G1051" s="2" t="s">
        <v>32</v>
      </c>
      <c r="H1051" s="2" t="s">
        <v>17</v>
      </c>
      <c r="I1051" s="2" t="s">
        <v>17</v>
      </c>
      <c r="J1051">
        <v>0.17</v>
      </c>
      <c r="K1051" s="1">
        <v>43388</v>
      </c>
      <c r="L1051" s="2" t="str">
        <f>IF(Sheet1[[#This Row],[age]]&lt;18, "Under 18",IF(Sheet1[[#This Row],[age]]&lt;=30,"18-30",IF(Sheet1[[#This Row],[age]]&lt;=45,"31-45",IF(Sheet1[[#This Row],[age]]&lt;=60,"46-60","60+"))))</f>
        <v>18-30</v>
      </c>
      <c r="M1051" s="2" t="str">
        <f>IF(Sheet1[[#This Row],[risk_score]]&lt;0.3,"Low",IF(Sheet1[[#This Row],[risk_score]]&lt;0.7,"Medium","High"))</f>
        <v>Low</v>
      </c>
      <c r="N1051">
        <f>YEAR(Sheet1[[#This Row],[date_joined]])</f>
        <v>2018</v>
      </c>
      <c r="O1051" s="2" t="str">
        <f>TEXT(Sheet1[[#This Row],[date_joined]],"mmm")</f>
        <v>Oct</v>
      </c>
      <c r="P1051" s="2" t="str">
        <f>"Q"&amp;ROUNDUP(MONTH(Sheet1[[#This Row],[date_joined]])/3,0)</f>
        <v>Q4</v>
      </c>
      <c r="Q1051" s="2" t="str">
        <f>IF(Sheet1[[#This Row],[age]]&lt;30,"Young",IF(Sheet1[[#This Row],[age]]&lt;=50,"Adult","Senior"))</f>
        <v>Young</v>
      </c>
      <c r="R1051" s="2" t="str">
        <f t="shared" si="32"/>
        <v>Low</v>
      </c>
      <c r="S1051" s="2" t="str">
        <f t="shared" si="33"/>
        <v>South - Self-employed</v>
      </c>
    </row>
    <row r="1052" spans="1:19" x14ac:dyDescent="0.3">
      <c r="A1052" t="s">
        <v>2127</v>
      </c>
      <c r="B1052" t="s">
        <v>2128</v>
      </c>
      <c r="C1052">
        <v>23</v>
      </c>
      <c r="D1052" s="2" t="s">
        <v>21</v>
      </c>
      <c r="E1052" s="2" t="s">
        <v>14</v>
      </c>
      <c r="F1052" s="2" t="s">
        <v>31</v>
      </c>
      <c r="G1052" s="2" t="s">
        <v>16</v>
      </c>
      <c r="H1052" s="2" t="s">
        <v>17</v>
      </c>
      <c r="I1052" s="2" t="s">
        <v>17</v>
      </c>
      <c r="J1052">
        <v>0.17</v>
      </c>
      <c r="K1052" s="1">
        <v>43204</v>
      </c>
      <c r="L1052" s="2" t="str">
        <f>IF(Sheet1[[#This Row],[age]]&lt;18, "Under 18",IF(Sheet1[[#This Row],[age]]&lt;=30,"18-30",IF(Sheet1[[#This Row],[age]]&lt;=45,"31-45",IF(Sheet1[[#This Row],[age]]&lt;=60,"46-60","60+"))))</f>
        <v>18-30</v>
      </c>
      <c r="M1052" s="2" t="str">
        <f>IF(Sheet1[[#This Row],[risk_score]]&lt;0.3,"Low",IF(Sheet1[[#This Row],[risk_score]]&lt;0.7,"Medium","High"))</f>
        <v>Low</v>
      </c>
      <c r="N1052">
        <f>YEAR(Sheet1[[#This Row],[date_joined]])</f>
        <v>2018</v>
      </c>
      <c r="O1052" s="2" t="str">
        <f>TEXT(Sheet1[[#This Row],[date_joined]],"mmm")</f>
        <v>Apr</v>
      </c>
      <c r="P1052" s="2" t="str">
        <f>"Q"&amp;ROUNDUP(MONTH(Sheet1[[#This Row],[date_joined]])/3,0)</f>
        <v>Q2</v>
      </c>
      <c r="Q1052" s="2" t="str">
        <f>IF(Sheet1[[#This Row],[age]]&lt;30,"Young",IF(Sheet1[[#This Row],[age]]&lt;=50,"Adult","Senior"))</f>
        <v>Young</v>
      </c>
      <c r="R1052" s="2" t="str">
        <f t="shared" si="32"/>
        <v>Low</v>
      </c>
      <c r="S1052" s="2" t="str">
        <f t="shared" si="33"/>
        <v>West - Self-employed</v>
      </c>
    </row>
    <row r="1053" spans="1:19" x14ac:dyDescent="0.3">
      <c r="A1053" t="s">
        <v>2129</v>
      </c>
      <c r="B1053" t="s">
        <v>2130</v>
      </c>
      <c r="C1053">
        <v>47</v>
      </c>
      <c r="D1053" s="2" t="s">
        <v>13</v>
      </c>
      <c r="E1053" s="2" t="s">
        <v>30</v>
      </c>
      <c r="F1053" s="2" t="s">
        <v>37</v>
      </c>
      <c r="G1053" s="2" t="s">
        <v>16</v>
      </c>
      <c r="H1053" s="2" t="s">
        <v>17</v>
      </c>
      <c r="I1053" s="2" t="s">
        <v>18</v>
      </c>
      <c r="J1053">
        <v>0.28999999999999998</v>
      </c>
      <c r="K1053" s="1">
        <v>44792</v>
      </c>
      <c r="L1053" s="2" t="str">
        <f>IF(Sheet1[[#This Row],[age]]&lt;18, "Under 18",IF(Sheet1[[#This Row],[age]]&lt;=30,"18-30",IF(Sheet1[[#This Row],[age]]&lt;=45,"31-45",IF(Sheet1[[#This Row],[age]]&lt;=60,"46-60","60+"))))</f>
        <v>46-60</v>
      </c>
      <c r="M1053" s="2" t="str">
        <f>IF(Sheet1[[#This Row],[risk_score]]&lt;0.3,"Low",IF(Sheet1[[#This Row],[risk_score]]&lt;0.7,"Medium","High"))</f>
        <v>Low</v>
      </c>
      <c r="N1053">
        <f>YEAR(Sheet1[[#This Row],[date_joined]])</f>
        <v>2022</v>
      </c>
      <c r="O1053" s="2" t="str">
        <f>TEXT(Sheet1[[#This Row],[date_joined]],"mmm")</f>
        <v>Aug</v>
      </c>
      <c r="P1053" s="2" t="str">
        <f>"Q"&amp;ROUNDUP(MONTH(Sheet1[[#This Row],[date_joined]])/3,0)</f>
        <v>Q3</v>
      </c>
      <c r="Q1053" s="2" t="str">
        <f>IF(Sheet1[[#This Row],[age]]&lt;30,"Young",IF(Sheet1[[#This Row],[age]]&lt;=50,"Adult","Senior"))</f>
        <v>Adult</v>
      </c>
      <c r="R1053" s="2" t="str">
        <f t="shared" si="32"/>
        <v>High</v>
      </c>
      <c r="S1053" s="2" t="str">
        <f t="shared" si="33"/>
        <v>West - Retired</v>
      </c>
    </row>
    <row r="1054" spans="1:19" x14ac:dyDescent="0.3">
      <c r="A1054" t="s">
        <v>2131</v>
      </c>
      <c r="B1054" t="s">
        <v>2132</v>
      </c>
      <c r="C1054">
        <v>21</v>
      </c>
      <c r="D1054" s="2" t="s">
        <v>21</v>
      </c>
      <c r="E1054" s="2" t="s">
        <v>22</v>
      </c>
      <c r="F1054" s="2" t="s">
        <v>31</v>
      </c>
      <c r="G1054" s="2" t="s">
        <v>16</v>
      </c>
      <c r="H1054" s="2" t="s">
        <v>17</v>
      </c>
      <c r="I1054" s="2" t="s">
        <v>18</v>
      </c>
      <c r="J1054">
        <v>0.34</v>
      </c>
      <c r="K1054" s="1">
        <v>44111</v>
      </c>
      <c r="L1054" s="2" t="str">
        <f>IF(Sheet1[[#This Row],[age]]&lt;18, "Under 18",IF(Sheet1[[#This Row],[age]]&lt;=30,"18-30",IF(Sheet1[[#This Row],[age]]&lt;=45,"31-45",IF(Sheet1[[#This Row],[age]]&lt;=60,"46-60","60+"))))</f>
        <v>18-30</v>
      </c>
      <c r="M1054" s="2" t="str">
        <f>IF(Sheet1[[#This Row],[risk_score]]&lt;0.3,"Low",IF(Sheet1[[#This Row],[risk_score]]&lt;0.7,"Medium","High"))</f>
        <v>Medium</v>
      </c>
      <c r="N1054">
        <f>YEAR(Sheet1[[#This Row],[date_joined]])</f>
        <v>2020</v>
      </c>
      <c r="O1054" s="2" t="str">
        <f>TEXT(Sheet1[[#This Row],[date_joined]],"mmm")</f>
        <v>Oct</v>
      </c>
      <c r="P1054" s="2" t="str">
        <f>"Q"&amp;ROUNDUP(MONTH(Sheet1[[#This Row],[date_joined]])/3,0)</f>
        <v>Q4</v>
      </c>
      <c r="Q1054" s="2" t="str">
        <f>IF(Sheet1[[#This Row],[age]]&lt;30,"Young",IF(Sheet1[[#This Row],[age]]&lt;=50,"Adult","Senior"))</f>
        <v>Young</v>
      </c>
      <c r="R1054" s="2" t="str">
        <f t="shared" si="32"/>
        <v>High</v>
      </c>
      <c r="S1054" s="2" t="str">
        <f t="shared" si="33"/>
        <v>West - Self-employed</v>
      </c>
    </row>
    <row r="1055" spans="1:19" x14ac:dyDescent="0.3">
      <c r="A1055" t="s">
        <v>2133</v>
      </c>
      <c r="B1055" t="s">
        <v>2134</v>
      </c>
      <c r="C1055">
        <v>25</v>
      </c>
      <c r="D1055" s="2" t="s">
        <v>13</v>
      </c>
      <c r="E1055" s="2" t="s">
        <v>30</v>
      </c>
      <c r="F1055" s="2" t="s">
        <v>23</v>
      </c>
      <c r="G1055" s="2" t="s">
        <v>81</v>
      </c>
      <c r="H1055" s="2" t="s">
        <v>18</v>
      </c>
      <c r="I1055" s="2" t="s">
        <v>17</v>
      </c>
      <c r="J1055">
        <v>0.28999999999999998</v>
      </c>
      <c r="K1055" s="1">
        <v>44295</v>
      </c>
      <c r="L1055" s="2" t="str">
        <f>IF(Sheet1[[#This Row],[age]]&lt;18, "Under 18",IF(Sheet1[[#This Row],[age]]&lt;=30,"18-30",IF(Sheet1[[#This Row],[age]]&lt;=45,"31-45",IF(Sheet1[[#This Row],[age]]&lt;=60,"46-60","60+"))))</f>
        <v>18-30</v>
      </c>
      <c r="M1055" s="2" t="str">
        <f>IF(Sheet1[[#This Row],[risk_score]]&lt;0.3,"Low",IF(Sheet1[[#This Row],[risk_score]]&lt;0.7,"Medium","High"))</f>
        <v>Low</v>
      </c>
      <c r="N1055">
        <f>YEAR(Sheet1[[#This Row],[date_joined]])</f>
        <v>2021</v>
      </c>
      <c r="O1055" s="2" t="str">
        <f>TEXT(Sheet1[[#This Row],[date_joined]],"mmm")</f>
        <v>Apr</v>
      </c>
      <c r="P1055" s="2" t="str">
        <f>"Q"&amp;ROUNDUP(MONTH(Sheet1[[#This Row],[date_joined]])/3,0)</f>
        <v>Q2</v>
      </c>
      <c r="Q1055" s="2" t="str">
        <f>IF(Sheet1[[#This Row],[age]]&lt;30,"Young",IF(Sheet1[[#This Row],[age]]&lt;=50,"Adult","Senior"))</f>
        <v>Young</v>
      </c>
      <c r="R1055" s="2" t="str">
        <f t="shared" si="32"/>
        <v>High</v>
      </c>
      <c r="S1055" s="2" t="str">
        <f t="shared" si="33"/>
        <v>Central - Salaried</v>
      </c>
    </row>
    <row r="1056" spans="1:19" x14ac:dyDescent="0.3">
      <c r="A1056" t="s">
        <v>2135</v>
      </c>
      <c r="B1056" t="s">
        <v>2136</v>
      </c>
      <c r="C1056">
        <v>60</v>
      </c>
      <c r="D1056" s="2" t="s">
        <v>21</v>
      </c>
      <c r="E1056" s="2" t="s">
        <v>22</v>
      </c>
      <c r="F1056" s="2" t="s">
        <v>31</v>
      </c>
      <c r="G1056" s="2" t="s">
        <v>32</v>
      </c>
      <c r="H1056" s="2" t="s">
        <v>17</v>
      </c>
      <c r="I1056" s="2" t="s">
        <v>18</v>
      </c>
      <c r="J1056">
        <v>0.56999999999999995</v>
      </c>
      <c r="K1056" s="1">
        <v>44256</v>
      </c>
      <c r="L1056" s="2" t="str">
        <f>IF(Sheet1[[#This Row],[age]]&lt;18, "Under 18",IF(Sheet1[[#This Row],[age]]&lt;=30,"18-30",IF(Sheet1[[#This Row],[age]]&lt;=45,"31-45",IF(Sheet1[[#This Row],[age]]&lt;=60,"46-60","60+"))))</f>
        <v>46-60</v>
      </c>
      <c r="M1056" s="2" t="str">
        <f>IF(Sheet1[[#This Row],[risk_score]]&lt;0.3,"Low",IF(Sheet1[[#This Row],[risk_score]]&lt;0.7,"Medium","High"))</f>
        <v>Medium</v>
      </c>
      <c r="N1056">
        <f>YEAR(Sheet1[[#This Row],[date_joined]])</f>
        <v>2021</v>
      </c>
      <c r="O1056" s="2" t="str">
        <f>TEXT(Sheet1[[#This Row],[date_joined]],"mmm")</f>
        <v>Mar</v>
      </c>
      <c r="P1056" s="2" t="str">
        <f>"Q"&amp;ROUNDUP(MONTH(Sheet1[[#This Row],[date_joined]])/3,0)</f>
        <v>Q1</v>
      </c>
      <c r="Q1056" s="2" t="str">
        <f>IF(Sheet1[[#This Row],[age]]&lt;30,"Young",IF(Sheet1[[#This Row],[age]]&lt;=50,"Adult","Senior"))</f>
        <v>Senior</v>
      </c>
      <c r="R1056" s="2" t="str">
        <f t="shared" si="32"/>
        <v>High</v>
      </c>
      <c r="S1056" s="2" t="str">
        <f t="shared" si="33"/>
        <v>South - Self-employed</v>
      </c>
    </row>
    <row r="1057" spans="1:19" x14ac:dyDescent="0.3">
      <c r="A1057" t="s">
        <v>2137</v>
      </c>
      <c r="B1057" t="s">
        <v>2138</v>
      </c>
      <c r="C1057">
        <v>35</v>
      </c>
      <c r="D1057" s="2" t="s">
        <v>13</v>
      </c>
      <c r="E1057" s="2" t="s">
        <v>22</v>
      </c>
      <c r="F1057" s="2" t="s">
        <v>37</v>
      </c>
      <c r="G1057" s="2" t="s">
        <v>81</v>
      </c>
      <c r="H1057" s="2" t="s">
        <v>18</v>
      </c>
      <c r="I1057" s="2" t="s">
        <v>17</v>
      </c>
      <c r="J1057">
        <v>0.59</v>
      </c>
      <c r="K1057" s="1">
        <v>43545</v>
      </c>
      <c r="L1057" s="2" t="str">
        <f>IF(Sheet1[[#This Row],[age]]&lt;18, "Under 18",IF(Sheet1[[#This Row],[age]]&lt;=30,"18-30",IF(Sheet1[[#This Row],[age]]&lt;=45,"31-45",IF(Sheet1[[#This Row],[age]]&lt;=60,"46-60","60+"))))</f>
        <v>31-45</v>
      </c>
      <c r="M1057" s="2" t="str">
        <f>IF(Sheet1[[#This Row],[risk_score]]&lt;0.3,"Low",IF(Sheet1[[#This Row],[risk_score]]&lt;0.7,"Medium","High"))</f>
        <v>Medium</v>
      </c>
      <c r="N1057">
        <f>YEAR(Sheet1[[#This Row],[date_joined]])</f>
        <v>2019</v>
      </c>
      <c r="O1057" s="2" t="str">
        <f>TEXT(Sheet1[[#This Row],[date_joined]],"mmm")</f>
        <v>Mar</v>
      </c>
      <c r="P1057" s="2" t="str">
        <f>"Q"&amp;ROUNDUP(MONTH(Sheet1[[#This Row],[date_joined]])/3,0)</f>
        <v>Q1</v>
      </c>
      <c r="Q1057" s="2" t="str">
        <f>IF(Sheet1[[#This Row],[age]]&lt;30,"Young",IF(Sheet1[[#This Row],[age]]&lt;=50,"Adult","Senior"))</f>
        <v>Adult</v>
      </c>
      <c r="R1057" s="2" t="str">
        <f t="shared" si="32"/>
        <v>High</v>
      </c>
      <c r="S1057" s="2" t="str">
        <f t="shared" si="33"/>
        <v>Central - Retired</v>
      </c>
    </row>
    <row r="1058" spans="1:19" x14ac:dyDescent="0.3">
      <c r="A1058" t="s">
        <v>2139</v>
      </c>
      <c r="B1058" t="s">
        <v>2140</v>
      </c>
      <c r="C1058">
        <v>68</v>
      </c>
      <c r="D1058" s="2" t="s">
        <v>21</v>
      </c>
      <c r="E1058" s="2" t="s">
        <v>14</v>
      </c>
      <c r="F1058" s="2" t="s">
        <v>31</v>
      </c>
      <c r="G1058" s="2" t="s">
        <v>81</v>
      </c>
      <c r="H1058" s="2" t="s">
        <v>18</v>
      </c>
      <c r="I1058" s="2" t="s">
        <v>17</v>
      </c>
      <c r="J1058">
        <v>0.4</v>
      </c>
      <c r="K1058" s="1">
        <v>43977</v>
      </c>
      <c r="L1058" s="2" t="str">
        <f>IF(Sheet1[[#This Row],[age]]&lt;18, "Under 18",IF(Sheet1[[#This Row],[age]]&lt;=30,"18-30",IF(Sheet1[[#This Row],[age]]&lt;=45,"31-45",IF(Sheet1[[#This Row],[age]]&lt;=60,"46-60","60+"))))</f>
        <v>60+</v>
      </c>
      <c r="M1058" s="2" t="str">
        <f>IF(Sheet1[[#This Row],[risk_score]]&lt;0.3,"Low",IF(Sheet1[[#This Row],[risk_score]]&lt;0.7,"Medium","High"))</f>
        <v>Medium</v>
      </c>
      <c r="N1058">
        <f>YEAR(Sheet1[[#This Row],[date_joined]])</f>
        <v>2020</v>
      </c>
      <c r="O1058" s="2" t="str">
        <f>TEXT(Sheet1[[#This Row],[date_joined]],"mmm")</f>
        <v>May</v>
      </c>
      <c r="P1058" s="2" t="str">
        <f>"Q"&amp;ROUNDUP(MONTH(Sheet1[[#This Row],[date_joined]])/3,0)</f>
        <v>Q2</v>
      </c>
      <c r="Q1058" s="2" t="str">
        <f>IF(Sheet1[[#This Row],[age]]&lt;30,"Young",IF(Sheet1[[#This Row],[age]]&lt;=50,"Adult","Senior"))</f>
        <v>Senior</v>
      </c>
      <c r="R1058" s="2" t="str">
        <f t="shared" si="32"/>
        <v>High</v>
      </c>
      <c r="S1058" s="2" t="str">
        <f t="shared" si="33"/>
        <v>Central - Self-employed</v>
      </c>
    </row>
    <row r="1059" spans="1:19" x14ac:dyDescent="0.3">
      <c r="A1059" t="s">
        <v>2141</v>
      </c>
      <c r="B1059" t="s">
        <v>2142</v>
      </c>
      <c r="C1059">
        <v>44</v>
      </c>
      <c r="D1059" s="2" t="s">
        <v>21</v>
      </c>
      <c r="E1059" s="2" t="s">
        <v>30</v>
      </c>
      <c r="F1059" s="2" t="s">
        <v>23</v>
      </c>
      <c r="G1059" s="2" t="s">
        <v>66</v>
      </c>
      <c r="H1059" s="2" t="s">
        <v>18</v>
      </c>
      <c r="I1059" s="2" t="s">
        <v>17</v>
      </c>
      <c r="J1059">
        <v>0.52</v>
      </c>
      <c r="K1059" s="1">
        <v>43140</v>
      </c>
      <c r="L1059" s="2" t="str">
        <f>IF(Sheet1[[#This Row],[age]]&lt;18, "Under 18",IF(Sheet1[[#This Row],[age]]&lt;=30,"18-30",IF(Sheet1[[#This Row],[age]]&lt;=45,"31-45",IF(Sheet1[[#This Row],[age]]&lt;=60,"46-60","60+"))))</f>
        <v>31-45</v>
      </c>
      <c r="M1059" s="2" t="str">
        <f>IF(Sheet1[[#This Row],[risk_score]]&lt;0.3,"Low",IF(Sheet1[[#This Row],[risk_score]]&lt;0.7,"Medium","High"))</f>
        <v>Medium</v>
      </c>
      <c r="N1059">
        <f>YEAR(Sheet1[[#This Row],[date_joined]])</f>
        <v>2018</v>
      </c>
      <c r="O1059" s="2" t="str">
        <f>TEXT(Sheet1[[#This Row],[date_joined]],"mmm")</f>
        <v>Feb</v>
      </c>
      <c r="P1059" s="2" t="str">
        <f>"Q"&amp;ROUNDUP(MONTH(Sheet1[[#This Row],[date_joined]])/3,0)</f>
        <v>Q1</v>
      </c>
      <c r="Q1059" s="2" t="str">
        <f>IF(Sheet1[[#This Row],[age]]&lt;30,"Young",IF(Sheet1[[#This Row],[age]]&lt;=50,"Adult","Senior"))</f>
        <v>Adult</v>
      </c>
      <c r="R1059" s="2" t="str">
        <f t="shared" si="32"/>
        <v>High</v>
      </c>
      <c r="S1059" s="2" t="str">
        <f t="shared" si="33"/>
        <v>North-East - Salaried</v>
      </c>
    </row>
    <row r="1060" spans="1:19" x14ac:dyDescent="0.3">
      <c r="A1060" t="s">
        <v>2143</v>
      </c>
      <c r="B1060" t="s">
        <v>2144</v>
      </c>
      <c r="C1060">
        <v>30</v>
      </c>
      <c r="D1060" s="2" t="s">
        <v>21</v>
      </c>
      <c r="E1060" s="2" t="s">
        <v>14</v>
      </c>
      <c r="F1060" s="2" t="s">
        <v>15</v>
      </c>
      <c r="G1060" s="2" t="s">
        <v>66</v>
      </c>
      <c r="H1060" s="2" t="s">
        <v>18</v>
      </c>
      <c r="I1060" s="2" t="s">
        <v>18</v>
      </c>
      <c r="J1060">
        <v>0.42</v>
      </c>
      <c r="K1060" s="1">
        <v>43428</v>
      </c>
      <c r="L1060" s="2" t="str">
        <f>IF(Sheet1[[#This Row],[age]]&lt;18, "Under 18",IF(Sheet1[[#This Row],[age]]&lt;=30,"18-30",IF(Sheet1[[#This Row],[age]]&lt;=45,"31-45",IF(Sheet1[[#This Row],[age]]&lt;=60,"46-60","60+"))))</f>
        <v>18-30</v>
      </c>
      <c r="M1060" s="2" t="str">
        <f>IF(Sheet1[[#This Row],[risk_score]]&lt;0.3,"Low",IF(Sheet1[[#This Row],[risk_score]]&lt;0.7,"Medium","High"))</f>
        <v>Medium</v>
      </c>
      <c r="N1060">
        <f>YEAR(Sheet1[[#This Row],[date_joined]])</f>
        <v>2018</v>
      </c>
      <c r="O1060" s="2" t="str">
        <f>TEXT(Sheet1[[#This Row],[date_joined]],"mmm")</f>
        <v>Nov</v>
      </c>
      <c r="P1060" s="2" t="str">
        <f>"Q"&amp;ROUNDUP(MONTH(Sheet1[[#This Row],[date_joined]])/3,0)</f>
        <v>Q4</v>
      </c>
      <c r="Q1060" s="2" t="str">
        <f>IF(Sheet1[[#This Row],[age]]&lt;30,"Young",IF(Sheet1[[#This Row],[age]]&lt;=50,"Adult","Senior"))</f>
        <v>Adult</v>
      </c>
      <c r="R1060" s="2" t="str">
        <f t="shared" si="32"/>
        <v>Very High</v>
      </c>
      <c r="S1060" s="2" t="str">
        <f t="shared" si="33"/>
        <v>North-East - Student</v>
      </c>
    </row>
    <row r="1061" spans="1:19" x14ac:dyDescent="0.3">
      <c r="A1061" t="s">
        <v>2145</v>
      </c>
      <c r="B1061" t="s">
        <v>2146</v>
      </c>
      <c r="C1061">
        <v>25</v>
      </c>
      <c r="D1061" s="2" t="s">
        <v>13</v>
      </c>
      <c r="E1061" s="2" t="s">
        <v>14</v>
      </c>
      <c r="F1061" s="2" t="s">
        <v>37</v>
      </c>
      <c r="G1061" s="2" t="s">
        <v>27</v>
      </c>
      <c r="H1061" s="2" t="s">
        <v>18</v>
      </c>
      <c r="I1061" s="2" t="s">
        <v>17</v>
      </c>
      <c r="J1061">
        <v>0.11</v>
      </c>
      <c r="K1061" s="1">
        <v>44604</v>
      </c>
      <c r="L1061" s="2" t="str">
        <f>IF(Sheet1[[#This Row],[age]]&lt;18, "Under 18",IF(Sheet1[[#This Row],[age]]&lt;=30,"18-30",IF(Sheet1[[#This Row],[age]]&lt;=45,"31-45",IF(Sheet1[[#This Row],[age]]&lt;=60,"46-60","60+"))))</f>
        <v>18-30</v>
      </c>
      <c r="M1061" s="2" t="str">
        <f>IF(Sheet1[[#This Row],[risk_score]]&lt;0.3,"Low",IF(Sheet1[[#This Row],[risk_score]]&lt;0.7,"Medium","High"))</f>
        <v>Low</v>
      </c>
      <c r="N1061">
        <f>YEAR(Sheet1[[#This Row],[date_joined]])</f>
        <v>2022</v>
      </c>
      <c r="O1061" s="2" t="str">
        <f>TEXT(Sheet1[[#This Row],[date_joined]],"mmm")</f>
        <v>Feb</v>
      </c>
      <c r="P1061" s="2" t="str">
        <f>"Q"&amp;ROUNDUP(MONTH(Sheet1[[#This Row],[date_joined]])/3,0)</f>
        <v>Q1</v>
      </c>
      <c r="Q1061" s="2" t="str">
        <f>IF(Sheet1[[#This Row],[age]]&lt;30,"Young",IF(Sheet1[[#This Row],[age]]&lt;=50,"Adult","Senior"))</f>
        <v>Young</v>
      </c>
      <c r="R1061" s="2" t="str">
        <f t="shared" si="32"/>
        <v>High</v>
      </c>
      <c r="S1061" s="2" t="str">
        <f t="shared" si="33"/>
        <v>North - Retired</v>
      </c>
    </row>
    <row r="1062" spans="1:19" x14ac:dyDescent="0.3">
      <c r="A1062" t="s">
        <v>2147</v>
      </c>
      <c r="B1062" t="s">
        <v>2148</v>
      </c>
      <c r="C1062">
        <v>35</v>
      </c>
      <c r="D1062" s="2" t="s">
        <v>21</v>
      </c>
      <c r="E1062" s="2" t="s">
        <v>14</v>
      </c>
      <c r="F1062" s="2" t="s">
        <v>37</v>
      </c>
      <c r="G1062" s="2" t="s">
        <v>27</v>
      </c>
      <c r="H1062" s="2" t="s">
        <v>18</v>
      </c>
      <c r="I1062" s="2" t="s">
        <v>17</v>
      </c>
      <c r="J1062">
        <v>0</v>
      </c>
      <c r="K1062" s="1">
        <v>44630</v>
      </c>
      <c r="L1062" s="2" t="str">
        <f>IF(Sheet1[[#This Row],[age]]&lt;18, "Under 18",IF(Sheet1[[#This Row],[age]]&lt;=30,"18-30",IF(Sheet1[[#This Row],[age]]&lt;=45,"31-45",IF(Sheet1[[#This Row],[age]]&lt;=60,"46-60","60+"))))</f>
        <v>31-45</v>
      </c>
      <c r="M1062" s="2" t="str">
        <f>IF(Sheet1[[#This Row],[risk_score]]&lt;0.3,"Low",IF(Sheet1[[#This Row],[risk_score]]&lt;0.7,"Medium","High"))</f>
        <v>Low</v>
      </c>
      <c r="N1062">
        <f>YEAR(Sheet1[[#This Row],[date_joined]])</f>
        <v>2022</v>
      </c>
      <c r="O1062" s="2" t="str">
        <f>TEXT(Sheet1[[#This Row],[date_joined]],"mmm")</f>
        <v>Mar</v>
      </c>
      <c r="P1062" s="2" t="str">
        <f>"Q"&amp;ROUNDUP(MONTH(Sheet1[[#This Row],[date_joined]])/3,0)</f>
        <v>Q1</v>
      </c>
      <c r="Q1062" s="2" t="str">
        <f>IF(Sheet1[[#This Row],[age]]&lt;30,"Young",IF(Sheet1[[#This Row],[age]]&lt;=50,"Adult","Senior"))</f>
        <v>Adult</v>
      </c>
      <c r="R1062" s="2" t="str">
        <f t="shared" si="32"/>
        <v>High</v>
      </c>
      <c r="S1062" s="2" t="str">
        <f t="shared" si="33"/>
        <v>North - Retired</v>
      </c>
    </row>
    <row r="1063" spans="1:19" x14ac:dyDescent="0.3">
      <c r="A1063" t="s">
        <v>2149</v>
      </c>
      <c r="B1063" t="s">
        <v>2150</v>
      </c>
      <c r="C1063">
        <v>45</v>
      </c>
      <c r="D1063" s="2" t="s">
        <v>21</v>
      </c>
      <c r="E1063" s="2" t="s">
        <v>30</v>
      </c>
      <c r="F1063" s="2" t="s">
        <v>37</v>
      </c>
      <c r="G1063" s="2" t="s">
        <v>24</v>
      </c>
      <c r="H1063" s="2" t="s">
        <v>17</v>
      </c>
      <c r="I1063" s="2" t="s">
        <v>17</v>
      </c>
      <c r="J1063">
        <v>0.73</v>
      </c>
      <c r="K1063" s="1">
        <v>45236</v>
      </c>
      <c r="L1063" s="2" t="str">
        <f>IF(Sheet1[[#This Row],[age]]&lt;18, "Under 18",IF(Sheet1[[#This Row],[age]]&lt;=30,"18-30",IF(Sheet1[[#This Row],[age]]&lt;=45,"31-45",IF(Sheet1[[#This Row],[age]]&lt;=60,"46-60","60+"))))</f>
        <v>31-45</v>
      </c>
      <c r="M1063" s="2" t="str">
        <f>IF(Sheet1[[#This Row],[risk_score]]&lt;0.3,"Low",IF(Sheet1[[#This Row],[risk_score]]&lt;0.7,"Medium","High"))</f>
        <v>High</v>
      </c>
      <c r="N1063">
        <f>YEAR(Sheet1[[#This Row],[date_joined]])</f>
        <v>2023</v>
      </c>
      <c r="O1063" s="2" t="str">
        <f>TEXT(Sheet1[[#This Row],[date_joined]],"mmm")</f>
        <v>Nov</v>
      </c>
      <c r="P1063" s="2" t="str">
        <f>"Q"&amp;ROUNDUP(MONTH(Sheet1[[#This Row],[date_joined]])/3,0)</f>
        <v>Q4</v>
      </c>
      <c r="Q1063" s="2" t="str">
        <f>IF(Sheet1[[#This Row],[age]]&lt;30,"Young",IF(Sheet1[[#This Row],[age]]&lt;=50,"Adult","Senior"))</f>
        <v>Adult</v>
      </c>
      <c r="R1063" s="2" t="str">
        <f t="shared" si="32"/>
        <v>Low</v>
      </c>
      <c r="S1063" s="2" t="str">
        <f t="shared" si="33"/>
        <v>East - Retired</v>
      </c>
    </row>
    <row r="1064" spans="1:19" x14ac:dyDescent="0.3">
      <c r="A1064" t="s">
        <v>2151</v>
      </c>
      <c r="B1064" t="s">
        <v>2152</v>
      </c>
      <c r="C1064">
        <v>54</v>
      </c>
      <c r="D1064" s="2" t="s">
        <v>21</v>
      </c>
      <c r="E1064" s="2" t="s">
        <v>14</v>
      </c>
      <c r="F1064" s="2" t="s">
        <v>31</v>
      </c>
      <c r="G1064" s="2" t="s">
        <v>81</v>
      </c>
      <c r="H1064" s="2" t="s">
        <v>18</v>
      </c>
      <c r="I1064" s="2" t="s">
        <v>18</v>
      </c>
      <c r="J1064">
        <v>0.44</v>
      </c>
      <c r="K1064" s="1">
        <v>45130</v>
      </c>
      <c r="L1064" s="2" t="str">
        <f>IF(Sheet1[[#This Row],[age]]&lt;18, "Under 18",IF(Sheet1[[#This Row],[age]]&lt;=30,"18-30",IF(Sheet1[[#This Row],[age]]&lt;=45,"31-45",IF(Sheet1[[#This Row],[age]]&lt;=60,"46-60","60+"))))</f>
        <v>46-60</v>
      </c>
      <c r="M1064" s="2" t="str">
        <f>IF(Sheet1[[#This Row],[risk_score]]&lt;0.3,"Low",IF(Sheet1[[#This Row],[risk_score]]&lt;0.7,"Medium","High"))</f>
        <v>Medium</v>
      </c>
      <c r="N1064">
        <f>YEAR(Sheet1[[#This Row],[date_joined]])</f>
        <v>2023</v>
      </c>
      <c r="O1064" s="2" t="str">
        <f>TEXT(Sheet1[[#This Row],[date_joined]],"mmm")</f>
        <v>Jul</v>
      </c>
      <c r="P1064" s="2" t="str">
        <f>"Q"&amp;ROUNDUP(MONTH(Sheet1[[#This Row],[date_joined]])/3,0)</f>
        <v>Q3</v>
      </c>
      <c r="Q1064" s="2" t="str">
        <f>IF(Sheet1[[#This Row],[age]]&lt;30,"Young",IF(Sheet1[[#This Row],[age]]&lt;=50,"Adult","Senior"))</f>
        <v>Senior</v>
      </c>
      <c r="R1064" s="2" t="str">
        <f t="shared" si="32"/>
        <v>Very High</v>
      </c>
      <c r="S1064" s="2" t="str">
        <f t="shared" si="33"/>
        <v>Central - Self-employed</v>
      </c>
    </row>
    <row r="1065" spans="1:19" x14ac:dyDescent="0.3">
      <c r="A1065" t="s">
        <v>2153</v>
      </c>
      <c r="B1065" t="s">
        <v>2154</v>
      </c>
      <c r="C1065">
        <v>25</v>
      </c>
      <c r="D1065" s="2" t="s">
        <v>13</v>
      </c>
      <c r="E1065" s="2" t="s">
        <v>22</v>
      </c>
      <c r="F1065" s="2" t="s">
        <v>37</v>
      </c>
      <c r="G1065" s="2" t="s">
        <v>27</v>
      </c>
      <c r="H1065" s="2" t="s">
        <v>18</v>
      </c>
      <c r="I1065" s="2" t="s">
        <v>17</v>
      </c>
      <c r="J1065">
        <v>0.71</v>
      </c>
      <c r="K1065" s="1">
        <v>43128</v>
      </c>
      <c r="L1065" s="2" t="str">
        <f>IF(Sheet1[[#This Row],[age]]&lt;18, "Under 18",IF(Sheet1[[#This Row],[age]]&lt;=30,"18-30",IF(Sheet1[[#This Row],[age]]&lt;=45,"31-45",IF(Sheet1[[#This Row],[age]]&lt;=60,"46-60","60+"))))</f>
        <v>18-30</v>
      </c>
      <c r="M1065" s="2" t="str">
        <f>IF(Sheet1[[#This Row],[risk_score]]&lt;0.3,"Low",IF(Sheet1[[#This Row],[risk_score]]&lt;0.7,"Medium","High"))</f>
        <v>High</v>
      </c>
      <c r="N1065">
        <f>YEAR(Sheet1[[#This Row],[date_joined]])</f>
        <v>2018</v>
      </c>
      <c r="O1065" s="2" t="str">
        <f>TEXT(Sheet1[[#This Row],[date_joined]],"mmm")</f>
        <v>Jan</v>
      </c>
      <c r="P1065" s="2" t="str">
        <f>"Q"&amp;ROUNDUP(MONTH(Sheet1[[#This Row],[date_joined]])/3,0)</f>
        <v>Q1</v>
      </c>
      <c r="Q1065" s="2" t="str">
        <f>IF(Sheet1[[#This Row],[age]]&lt;30,"Young",IF(Sheet1[[#This Row],[age]]&lt;=50,"Adult","Senior"))</f>
        <v>Young</v>
      </c>
      <c r="R1065" s="2" t="str">
        <f t="shared" si="32"/>
        <v>High</v>
      </c>
      <c r="S1065" s="2" t="str">
        <f t="shared" si="33"/>
        <v>North - Retired</v>
      </c>
    </row>
    <row r="1066" spans="1:19" x14ac:dyDescent="0.3">
      <c r="A1066" t="s">
        <v>2155</v>
      </c>
      <c r="B1066" t="s">
        <v>2156</v>
      </c>
      <c r="C1066">
        <v>48</v>
      </c>
      <c r="D1066" s="2" t="s">
        <v>13</v>
      </c>
      <c r="E1066" s="2" t="s">
        <v>22</v>
      </c>
      <c r="F1066" s="2" t="s">
        <v>15</v>
      </c>
      <c r="G1066" s="2" t="s">
        <v>16</v>
      </c>
      <c r="H1066" s="2" t="s">
        <v>18</v>
      </c>
      <c r="I1066" s="2" t="s">
        <v>17</v>
      </c>
      <c r="J1066">
        <v>0.54</v>
      </c>
      <c r="K1066" s="1">
        <v>43374</v>
      </c>
      <c r="L1066" s="2" t="str">
        <f>IF(Sheet1[[#This Row],[age]]&lt;18, "Under 18",IF(Sheet1[[#This Row],[age]]&lt;=30,"18-30",IF(Sheet1[[#This Row],[age]]&lt;=45,"31-45",IF(Sheet1[[#This Row],[age]]&lt;=60,"46-60","60+"))))</f>
        <v>46-60</v>
      </c>
      <c r="M1066" s="2" t="str">
        <f>IF(Sheet1[[#This Row],[risk_score]]&lt;0.3,"Low",IF(Sheet1[[#This Row],[risk_score]]&lt;0.7,"Medium","High"))</f>
        <v>Medium</v>
      </c>
      <c r="N1066">
        <f>YEAR(Sheet1[[#This Row],[date_joined]])</f>
        <v>2018</v>
      </c>
      <c r="O1066" s="2" t="str">
        <f>TEXT(Sheet1[[#This Row],[date_joined]],"mmm")</f>
        <v>Oct</v>
      </c>
      <c r="P1066" s="2" t="str">
        <f>"Q"&amp;ROUNDUP(MONTH(Sheet1[[#This Row],[date_joined]])/3,0)</f>
        <v>Q4</v>
      </c>
      <c r="Q1066" s="2" t="str">
        <f>IF(Sheet1[[#This Row],[age]]&lt;30,"Young",IF(Sheet1[[#This Row],[age]]&lt;=50,"Adult","Senior"))</f>
        <v>Adult</v>
      </c>
      <c r="R1066" s="2" t="str">
        <f t="shared" si="32"/>
        <v>High</v>
      </c>
      <c r="S1066" s="2" t="str">
        <f t="shared" si="33"/>
        <v>West - Student</v>
      </c>
    </row>
    <row r="1067" spans="1:19" x14ac:dyDescent="0.3">
      <c r="A1067" t="s">
        <v>2157</v>
      </c>
      <c r="B1067" t="s">
        <v>2158</v>
      </c>
      <c r="C1067">
        <v>45</v>
      </c>
      <c r="D1067" s="2" t="s">
        <v>13</v>
      </c>
      <c r="E1067" s="2" t="s">
        <v>30</v>
      </c>
      <c r="F1067" s="2" t="s">
        <v>37</v>
      </c>
      <c r="G1067" s="2" t="s">
        <v>66</v>
      </c>
      <c r="H1067" s="2" t="s">
        <v>17</v>
      </c>
      <c r="I1067" s="2" t="s">
        <v>17</v>
      </c>
      <c r="J1067">
        <v>0.28999999999999998</v>
      </c>
      <c r="K1067" s="1">
        <v>44997</v>
      </c>
      <c r="L1067" s="2" t="str">
        <f>IF(Sheet1[[#This Row],[age]]&lt;18, "Under 18",IF(Sheet1[[#This Row],[age]]&lt;=30,"18-30",IF(Sheet1[[#This Row],[age]]&lt;=45,"31-45",IF(Sheet1[[#This Row],[age]]&lt;=60,"46-60","60+"))))</f>
        <v>31-45</v>
      </c>
      <c r="M1067" s="2" t="str">
        <f>IF(Sheet1[[#This Row],[risk_score]]&lt;0.3,"Low",IF(Sheet1[[#This Row],[risk_score]]&lt;0.7,"Medium","High"))</f>
        <v>Low</v>
      </c>
      <c r="N1067">
        <f>YEAR(Sheet1[[#This Row],[date_joined]])</f>
        <v>2023</v>
      </c>
      <c r="O1067" s="2" t="str">
        <f>TEXT(Sheet1[[#This Row],[date_joined]],"mmm")</f>
        <v>Mar</v>
      </c>
      <c r="P1067" s="2" t="str">
        <f>"Q"&amp;ROUNDUP(MONTH(Sheet1[[#This Row],[date_joined]])/3,0)</f>
        <v>Q1</v>
      </c>
      <c r="Q1067" s="2" t="str">
        <f>IF(Sheet1[[#This Row],[age]]&lt;30,"Young",IF(Sheet1[[#This Row],[age]]&lt;=50,"Adult","Senior"))</f>
        <v>Adult</v>
      </c>
      <c r="R1067" s="2" t="str">
        <f t="shared" si="32"/>
        <v>Low</v>
      </c>
      <c r="S1067" s="2" t="str">
        <f t="shared" si="33"/>
        <v>North-East - Retired</v>
      </c>
    </row>
    <row r="1068" spans="1:19" x14ac:dyDescent="0.3">
      <c r="A1068" t="s">
        <v>2159</v>
      </c>
      <c r="B1068" t="s">
        <v>2160</v>
      </c>
      <c r="C1068">
        <v>51</v>
      </c>
      <c r="D1068" s="2" t="s">
        <v>13</v>
      </c>
      <c r="E1068" s="2" t="s">
        <v>22</v>
      </c>
      <c r="F1068" s="2" t="s">
        <v>23</v>
      </c>
      <c r="G1068" s="2" t="s">
        <v>24</v>
      </c>
      <c r="H1068" s="2" t="s">
        <v>18</v>
      </c>
      <c r="I1068" s="2" t="s">
        <v>18</v>
      </c>
      <c r="J1068">
        <v>0.53</v>
      </c>
      <c r="K1068" s="1">
        <v>44686</v>
      </c>
      <c r="L1068" s="2" t="str">
        <f>IF(Sheet1[[#This Row],[age]]&lt;18, "Under 18",IF(Sheet1[[#This Row],[age]]&lt;=30,"18-30",IF(Sheet1[[#This Row],[age]]&lt;=45,"31-45",IF(Sheet1[[#This Row],[age]]&lt;=60,"46-60","60+"))))</f>
        <v>46-60</v>
      </c>
      <c r="M1068" s="2" t="str">
        <f>IF(Sheet1[[#This Row],[risk_score]]&lt;0.3,"Low",IF(Sheet1[[#This Row],[risk_score]]&lt;0.7,"Medium","High"))</f>
        <v>Medium</v>
      </c>
      <c r="N1068">
        <f>YEAR(Sheet1[[#This Row],[date_joined]])</f>
        <v>2022</v>
      </c>
      <c r="O1068" s="2" t="str">
        <f>TEXT(Sheet1[[#This Row],[date_joined]],"mmm")</f>
        <v>May</v>
      </c>
      <c r="P1068" s="2" t="str">
        <f>"Q"&amp;ROUNDUP(MONTH(Sheet1[[#This Row],[date_joined]])/3,0)</f>
        <v>Q2</v>
      </c>
      <c r="Q1068" s="2" t="str">
        <f>IF(Sheet1[[#This Row],[age]]&lt;30,"Young",IF(Sheet1[[#This Row],[age]]&lt;=50,"Adult","Senior"))</f>
        <v>Senior</v>
      </c>
      <c r="R1068" s="2" t="str">
        <f t="shared" si="32"/>
        <v>Very High</v>
      </c>
      <c r="S1068" s="2" t="str">
        <f t="shared" si="33"/>
        <v>East - Salaried</v>
      </c>
    </row>
    <row r="1069" spans="1:19" x14ac:dyDescent="0.3">
      <c r="A1069" t="s">
        <v>2161</v>
      </c>
      <c r="B1069" t="s">
        <v>2162</v>
      </c>
      <c r="C1069">
        <v>25</v>
      </c>
      <c r="D1069" s="2" t="s">
        <v>21</v>
      </c>
      <c r="E1069" s="2" t="s">
        <v>30</v>
      </c>
      <c r="F1069" s="2" t="s">
        <v>15</v>
      </c>
      <c r="G1069" s="2" t="s">
        <v>24</v>
      </c>
      <c r="H1069" s="2" t="s">
        <v>17</v>
      </c>
      <c r="I1069" s="2" t="s">
        <v>17</v>
      </c>
      <c r="J1069">
        <v>0.6</v>
      </c>
      <c r="K1069" s="1">
        <v>44711</v>
      </c>
      <c r="L1069" s="2" t="str">
        <f>IF(Sheet1[[#This Row],[age]]&lt;18, "Under 18",IF(Sheet1[[#This Row],[age]]&lt;=30,"18-30",IF(Sheet1[[#This Row],[age]]&lt;=45,"31-45",IF(Sheet1[[#This Row],[age]]&lt;=60,"46-60","60+"))))</f>
        <v>18-30</v>
      </c>
      <c r="M1069" s="2" t="str">
        <f>IF(Sheet1[[#This Row],[risk_score]]&lt;0.3,"Low",IF(Sheet1[[#This Row],[risk_score]]&lt;0.7,"Medium","High"))</f>
        <v>Medium</v>
      </c>
      <c r="N1069">
        <f>YEAR(Sheet1[[#This Row],[date_joined]])</f>
        <v>2022</v>
      </c>
      <c r="O1069" s="2" t="str">
        <f>TEXT(Sheet1[[#This Row],[date_joined]],"mmm")</f>
        <v>May</v>
      </c>
      <c r="P1069" s="2" t="str">
        <f>"Q"&amp;ROUNDUP(MONTH(Sheet1[[#This Row],[date_joined]])/3,0)</f>
        <v>Q2</v>
      </c>
      <c r="Q1069" s="2" t="str">
        <f>IF(Sheet1[[#This Row],[age]]&lt;30,"Young",IF(Sheet1[[#This Row],[age]]&lt;=50,"Adult","Senior"))</f>
        <v>Young</v>
      </c>
      <c r="R1069" s="2" t="str">
        <f t="shared" si="32"/>
        <v>Low</v>
      </c>
      <c r="S1069" s="2" t="str">
        <f t="shared" si="33"/>
        <v>East - Student</v>
      </c>
    </row>
    <row r="1070" spans="1:19" x14ac:dyDescent="0.3">
      <c r="A1070" t="s">
        <v>2163</v>
      </c>
      <c r="B1070" t="s">
        <v>2164</v>
      </c>
      <c r="C1070">
        <v>42</v>
      </c>
      <c r="D1070" s="2" t="s">
        <v>21</v>
      </c>
      <c r="E1070" s="2" t="s">
        <v>14</v>
      </c>
      <c r="F1070" s="2" t="s">
        <v>31</v>
      </c>
      <c r="G1070" s="2" t="s">
        <v>81</v>
      </c>
      <c r="H1070" s="2" t="s">
        <v>18</v>
      </c>
      <c r="I1070" s="2" t="s">
        <v>17</v>
      </c>
      <c r="J1070">
        <v>0.36</v>
      </c>
      <c r="K1070" s="1">
        <v>44883</v>
      </c>
      <c r="L1070" s="2" t="str">
        <f>IF(Sheet1[[#This Row],[age]]&lt;18, "Under 18",IF(Sheet1[[#This Row],[age]]&lt;=30,"18-30",IF(Sheet1[[#This Row],[age]]&lt;=45,"31-45",IF(Sheet1[[#This Row],[age]]&lt;=60,"46-60","60+"))))</f>
        <v>31-45</v>
      </c>
      <c r="M1070" s="2" t="str">
        <f>IF(Sheet1[[#This Row],[risk_score]]&lt;0.3,"Low",IF(Sheet1[[#This Row],[risk_score]]&lt;0.7,"Medium","High"))</f>
        <v>Medium</v>
      </c>
      <c r="N1070">
        <f>YEAR(Sheet1[[#This Row],[date_joined]])</f>
        <v>2022</v>
      </c>
      <c r="O1070" s="2" t="str">
        <f>TEXT(Sheet1[[#This Row],[date_joined]],"mmm")</f>
        <v>Nov</v>
      </c>
      <c r="P1070" s="2" t="str">
        <f>"Q"&amp;ROUNDUP(MONTH(Sheet1[[#This Row],[date_joined]])/3,0)</f>
        <v>Q4</v>
      </c>
      <c r="Q1070" s="2" t="str">
        <f>IF(Sheet1[[#This Row],[age]]&lt;30,"Young",IF(Sheet1[[#This Row],[age]]&lt;=50,"Adult","Senior"))</f>
        <v>Adult</v>
      </c>
      <c r="R1070" s="2" t="str">
        <f t="shared" si="32"/>
        <v>High</v>
      </c>
      <c r="S1070" s="2" t="str">
        <f t="shared" si="33"/>
        <v>Central - Self-employed</v>
      </c>
    </row>
    <row r="1071" spans="1:19" x14ac:dyDescent="0.3">
      <c r="A1071" t="s">
        <v>2165</v>
      </c>
      <c r="B1071" t="s">
        <v>2166</v>
      </c>
      <c r="C1071">
        <v>31</v>
      </c>
      <c r="D1071" s="2" t="s">
        <v>21</v>
      </c>
      <c r="E1071" s="2" t="s">
        <v>30</v>
      </c>
      <c r="F1071" s="2" t="s">
        <v>23</v>
      </c>
      <c r="G1071" s="2" t="s">
        <v>81</v>
      </c>
      <c r="H1071" s="2" t="s">
        <v>18</v>
      </c>
      <c r="I1071" s="2" t="s">
        <v>17</v>
      </c>
      <c r="J1071">
        <v>0.55000000000000004</v>
      </c>
      <c r="K1071" s="1">
        <v>44412</v>
      </c>
      <c r="L1071" s="2" t="str">
        <f>IF(Sheet1[[#This Row],[age]]&lt;18, "Under 18",IF(Sheet1[[#This Row],[age]]&lt;=30,"18-30",IF(Sheet1[[#This Row],[age]]&lt;=45,"31-45",IF(Sheet1[[#This Row],[age]]&lt;=60,"46-60","60+"))))</f>
        <v>31-45</v>
      </c>
      <c r="M1071" s="2" t="str">
        <f>IF(Sheet1[[#This Row],[risk_score]]&lt;0.3,"Low",IF(Sheet1[[#This Row],[risk_score]]&lt;0.7,"Medium","High"))</f>
        <v>Medium</v>
      </c>
      <c r="N1071">
        <f>YEAR(Sheet1[[#This Row],[date_joined]])</f>
        <v>2021</v>
      </c>
      <c r="O1071" s="2" t="str">
        <f>TEXT(Sheet1[[#This Row],[date_joined]],"mmm")</f>
        <v>Aug</v>
      </c>
      <c r="P1071" s="2" t="str">
        <f>"Q"&amp;ROUNDUP(MONTH(Sheet1[[#This Row],[date_joined]])/3,0)</f>
        <v>Q3</v>
      </c>
      <c r="Q1071" s="2" t="str">
        <f>IF(Sheet1[[#This Row],[age]]&lt;30,"Young",IF(Sheet1[[#This Row],[age]]&lt;=50,"Adult","Senior"))</f>
        <v>Adult</v>
      </c>
      <c r="R1071" s="2" t="str">
        <f t="shared" si="32"/>
        <v>High</v>
      </c>
      <c r="S1071" s="2" t="str">
        <f t="shared" si="33"/>
        <v>Central - Salaried</v>
      </c>
    </row>
    <row r="1072" spans="1:19" x14ac:dyDescent="0.3">
      <c r="A1072" t="s">
        <v>2167</v>
      </c>
      <c r="B1072" t="s">
        <v>2168</v>
      </c>
      <c r="C1072">
        <v>49</v>
      </c>
      <c r="D1072" s="2" t="s">
        <v>21</v>
      </c>
      <c r="E1072" s="2" t="s">
        <v>14</v>
      </c>
      <c r="F1072" s="2" t="s">
        <v>31</v>
      </c>
      <c r="G1072" s="2" t="s">
        <v>16</v>
      </c>
      <c r="H1072" s="2" t="s">
        <v>18</v>
      </c>
      <c r="I1072" s="2" t="s">
        <v>18</v>
      </c>
      <c r="J1072">
        <v>0.57999999999999996</v>
      </c>
      <c r="K1072" s="1">
        <v>43748</v>
      </c>
      <c r="L1072" s="2" t="str">
        <f>IF(Sheet1[[#This Row],[age]]&lt;18, "Under 18",IF(Sheet1[[#This Row],[age]]&lt;=30,"18-30",IF(Sheet1[[#This Row],[age]]&lt;=45,"31-45",IF(Sheet1[[#This Row],[age]]&lt;=60,"46-60","60+"))))</f>
        <v>46-60</v>
      </c>
      <c r="M1072" s="2" t="str">
        <f>IF(Sheet1[[#This Row],[risk_score]]&lt;0.3,"Low",IF(Sheet1[[#This Row],[risk_score]]&lt;0.7,"Medium","High"))</f>
        <v>Medium</v>
      </c>
      <c r="N1072">
        <f>YEAR(Sheet1[[#This Row],[date_joined]])</f>
        <v>2019</v>
      </c>
      <c r="O1072" s="2" t="str">
        <f>TEXT(Sheet1[[#This Row],[date_joined]],"mmm")</f>
        <v>Oct</v>
      </c>
      <c r="P1072" s="2" t="str">
        <f>"Q"&amp;ROUNDUP(MONTH(Sheet1[[#This Row],[date_joined]])/3,0)</f>
        <v>Q4</v>
      </c>
      <c r="Q1072" s="2" t="str">
        <f>IF(Sheet1[[#This Row],[age]]&lt;30,"Young",IF(Sheet1[[#This Row],[age]]&lt;=50,"Adult","Senior"))</f>
        <v>Adult</v>
      </c>
      <c r="R1072" s="2" t="str">
        <f t="shared" si="32"/>
        <v>Very High</v>
      </c>
      <c r="S1072" s="2" t="str">
        <f t="shared" si="33"/>
        <v>West - Self-employed</v>
      </c>
    </row>
    <row r="1073" spans="1:19" x14ac:dyDescent="0.3">
      <c r="A1073" t="s">
        <v>2169</v>
      </c>
      <c r="B1073" t="s">
        <v>2170</v>
      </c>
      <c r="C1073">
        <v>37</v>
      </c>
      <c r="D1073" s="2" t="s">
        <v>13</v>
      </c>
      <c r="E1073" s="2" t="s">
        <v>14</v>
      </c>
      <c r="F1073" s="2" t="s">
        <v>37</v>
      </c>
      <c r="G1073" s="2" t="s">
        <v>24</v>
      </c>
      <c r="H1073" s="2" t="s">
        <v>18</v>
      </c>
      <c r="I1073" s="2" t="s">
        <v>18</v>
      </c>
      <c r="J1073">
        <v>0.43</v>
      </c>
      <c r="K1073" s="1">
        <v>43769</v>
      </c>
      <c r="L1073" s="2" t="str">
        <f>IF(Sheet1[[#This Row],[age]]&lt;18, "Under 18",IF(Sheet1[[#This Row],[age]]&lt;=30,"18-30",IF(Sheet1[[#This Row],[age]]&lt;=45,"31-45",IF(Sheet1[[#This Row],[age]]&lt;=60,"46-60","60+"))))</f>
        <v>31-45</v>
      </c>
      <c r="M1073" s="2" t="str">
        <f>IF(Sheet1[[#This Row],[risk_score]]&lt;0.3,"Low",IF(Sheet1[[#This Row],[risk_score]]&lt;0.7,"Medium","High"))</f>
        <v>Medium</v>
      </c>
      <c r="N1073">
        <f>YEAR(Sheet1[[#This Row],[date_joined]])</f>
        <v>2019</v>
      </c>
      <c r="O1073" s="2" t="str">
        <f>TEXT(Sheet1[[#This Row],[date_joined]],"mmm")</f>
        <v>Oct</v>
      </c>
      <c r="P1073" s="2" t="str">
        <f>"Q"&amp;ROUNDUP(MONTH(Sheet1[[#This Row],[date_joined]])/3,0)</f>
        <v>Q4</v>
      </c>
      <c r="Q1073" s="2" t="str">
        <f>IF(Sheet1[[#This Row],[age]]&lt;30,"Young",IF(Sheet1[[#This Row],[age]]&lt;=50,"Adult","Senior"))</f>
        <v>Adult</v>
      </c>
      <c r="R1073" s="2" t="str">
        <f t="shared" si="32"/>
        <v>Very High</v>
      </c>
      <c r="S1073" s="2" t="str">
        <f t="shared" si="33"/>
        <v>East - Retired</v>
      </c>
    </row>
    <row r="1074" spans="1:19" x14ac:dyDescent="0.3">
      <c r="A1074" t="s">
        <v>2171</v>
      </c>
      <c r="B1074" t="s">
        <v>2172</v>
      </c>
      <c r="C1074">
        <v>24</v>
      </c>
      <c r="D1074" s="2" t="s">
        <v>13</v>
      </c>
      <c r="E1074" s="2" t="s">
        <v>14</v>
      </c>
      <c r="F1074" s="2" t="s">
        <v>37</v>
      </c>
      <c r="G1074" s="2" t="s">
        <v>66</v>
      </c>
      <c r="H1074" s="2" t="s">
        <v>17</v>
      </c>
      <c r="I1074" s="2" t="s">
        <v>17</v>
      </c>
      <c r="J1074">
        <v>0.7</v>
      </c>
      <c r="K1074" s="1">
        <v>44901</v>
      </c>
      <c r="L1074" s="2" t="str">
        <f>IF(Sheet1[[#This Row],[age]]&lt;18, "Under 18",IF(Sheet1[[#This Row],[age]]&lt;=30,"18-30",IF(Sheet1[[#This Row],[age]]&lt;=45,"31-45",IF(Sheet1[[#This Row],[age]]&lt;=60,"46-60","60+"))))</f>
        <v>18-30</v>
      </c>
      <c r="M1074" s="2" t="str">
        <f>IF(Sheet1[[#This Row],[risk_score]]&lt;0.3,"Low",IF(Sheet1[[#This Row],[risk_score]]&lt;0.7,"Medium","High"))</f>
        <v>High</v>
      </c>
      <c r="N1074">
        <f>YEAR(Sheet1[[#This Row],[date_joined]])</f>
        <v>2022</v>
      </c>
      <c r="O1074" s="2" t="str">
        <f>TEXT(Sheet1[[#This Row],[date_joined]],"mmm")</f>
        <v>Dec</v>
      </c>
      <c r="P1074" s="2" t="str">
        <f>"Q"&amp;ROUNDUP(MONTH(Sheet1[[#This Row],[date_joined]])/3,0)</f>
        <v>Q4</v>
      </c>
      <c r="Q1074" s="2" t="str">
        <f>IF(Sheet1[[#This Row],[age]]&lt;30,"Young",IF(Sheet1[[#This Row],[age]]&lt;=50,"Adult","Senior"))</f>
        <v>Young</v>
      </c>
      <c r="R1074" s="2" t="str">
        <f t="shared" si="32"/>
        <v>Low</v>
      </c>
      <c r="S1074" s="2" t="str">
        <f t="shared" si="33"/>
        <v>North-East - Retired</v>
      </c>
    </row>
    <row r="1075" spans="1:19" x14ac:dyDescent="0.3">
      <c r="A1075" t="s">
        <v>2173</v>
      </c>
      <c r="B1075" t="s">
        <v>2174</v>
      </c>
      <c r="C1075">
        <v>28</v>
      </c>
      <c r="D1075" s="2" t="s">
        <v>13</v>
      </c>
      <c r="E1075" s="2" t="s">
        <v>14</v>
      </c>
      <c r="F1075" s="2" t="s">
        <v>15</v>
      </c>
      <c r="G1075" s="2" t="s">
        <v>32</v>
      </c>
      <c r="H1075" s="2" t="s">
        <v>17</v>
      </c>
      <c r="I1075" s="2" t="s">
        <v>17</v>
      </c>
      <c r="J1075">
        <v>0.52</v>
      </c>
      <c r="K1075" s="1">
        <v>44687</v>
      </c>
      <c r="L1075" s="2" t="str">
        <f>IF(Sheet1[[#This Row],[age]]&lt;18, "Under 18",IF(Sheet1[[#This Row],[age]]&lt;=30,"18-30",IF(Sheet1[[#This Row],[age]]&lt;=45,"31-45",IF(Sheet1[[#This Row],[age]]&lt;=60,"46-60","60+"))))</f>
        <v>18-30</v>
      </c>
      <c r="M1075" s="2" t="str">
        <f>IF(Sheet1[[#This Row],[risk_score]]&lt;0.3,"Low",IF(Sheet1[[#This Row],[risk_score]]&lt;0.7,"Medium","High"))</f>
        <v>Medium</v>
      </c>
      <c r="N1075">
        <f>YEAR(Sheet1[[#This Row],[date_joined]])</f>
        <v>2022</v>
      </c>
      <c r="O1075" s="2" t="str">
        <f>TEXT(Sheet1[[#This Row],[date_joined]],"mmm")</f>
        <v>May</v>
      </c>
      <c r="P1075" s="2" t="str">
        <f>"Q"&amp;ROUNDUP(MONTH(Sheet1[[#This Row],[date_joined]])/3,0)</f>
        <v>Q2</v>
      </c>
      <c r="Q1075" s="2" t="str">
        <f>IF(Sheet1[[#This Row],[age]]&lt;30,"Young",IF(Sheet1[[#This Row],[age]]&lt;=50,"Adult","Senior"))</f>
        <v>Young</v>
      </c>
      <c r="R1075" s="2" t="str">
        <f t="shared" si="32"/>
        <v>Low</v>
      </c>
      <c r="S1075" s="2" t="str">
        <f t="shared" si="33"/>
        <v>South - Student</v>
      </c>
    </row>
    <row r="1076" spans="1:19" x14ac:dyDescent="0.3">
      <c r="A1076" t="s">
        <v>2175</v>
      </c>
      <c r="B1076" t="s">
        <v>2176</v>
      </c>
      <c r="C1076">
        <v>28</v>
      </c>
      <c r="D1076" s="2" t="s">
        <v>21</v>
      </c>
      <c r="E1076" s="2" t="s">
        <v>30</v>
      </c>
      <c r="F1076" s="2" t="s">
        <v>31</v>
      </c>
      <c r="G1076" s="2" t="s">
        <v>16</v>
      </c>
      <c r="H1076" s="2" t="s">
        <v>18</v>
      </c>
      <c r="I1076" s="2" t="s">
        <v>17</v>
      </c>
      <c r="J1076">
        <v>0.41</v>
      </c>
      <c r="K1076" s="1">
        <v>43548</v>
      </c>
      <c r="L1076" s="2" t="str">
        <f>IF(Sheet1[[#This Row],[age]]&lt;18, "Under 18",IF(Sheet1[[#This Row],[age]]&lt;=30,"18-30",IF(Sheet1[[#This Row],[age]]&lt;=45,"31-45",IF(Sheet1[[#This Row],[age]]&lt;=60,"46-60","60+"))))</f>
        <v>18-30</v>
      </c>
      <c r="M1076" s="2" t="str">
        <f>IF(Sheet1[[#This Row],[risk_score]]&lt;0.3,"Low",IF(Sheet1[[#This Row],[risk_score]]&lt;0.7,"Medium","High"))</f>
        <v>Medium</v>
      </c>
      <c r="N1076">
        <f>YEAR(Sheet1[[#This Row],[date_joined]])</f>
        <v>2019</v>
      </c>
      <c r="O1076" s="2" t="str">
        <f>TEXT(Sheet1[[#This Row],[date_joined]],"mmm")</f>
        <v>Mar</v>
      </c>
      <c r="P1076" s="2" t="str">
        <f>"Q"&amp;ROUNDUP(MONTH(Sheet1[[#This Row],[date_joined]])/3,0)</f>
        <v>Q1</v>
      </c>
      <c r="Q1076" s="2" t="str">
        <f>IF(Sheet1[[#This Row],[age]]&lt;30,"Young",IF(Sheet1[[#This Row],[age]]&lt;=50,"Adult","Senior"))</f>
        <v>Young</v>
      </c>
      <c r="R1076" s="2" t="str">
        <f t="shared" si="32"/>
        <v>High</v>
      </c>
      <c r="S1076" s="2" t="str">
        <f t="shared" si="33"/>
        <v>West - Self-employed</v>
      </c>
    </row>
    <row r="1077" spans="1:19" x14ac:dyDescent="0.3">
      <c r="A1077" t="s">
        <v>2177</v>
      </c>
      <c r="B1077" t="s">
        <v>2178</v>
      </c>
      <c r="C1077">
        <v>59</v>
      </c>
      <c r="D1077" s="2" t="s">
        <v>13</v>
      </c>
      <c r="E1077" s="2" t="s">
        <v>30</v>
      </c>
      <c r="F1077" s="2" t="s">
        <v>23</v>
      </c>
      <c r="G1077" s="2" t="s">
        <v>32</v>
      </c>
      <c r="H1077" s="2" t="s">
        <v>17</v>
      </c>
      <c r="I1077" s="2" t="s">
        <v>17</v>
      </c>
      <c r="J1077">
        <v>0.11</v>
      </c>
      <c r="K1077" s="1">
        <v>44966</v>
      </c>
      <c r="L1077" s="2" t="str">
        <f>IF(Sheet1[[#This Row],[age]]&lt;18, "Under 18",IF(Sheet1[[#This Row],[age]]&lt;=30,"18-30",IF(Sheet1[[#This Row],[age]]&lt;=45,"31-45",IF(Sheet1[[#This Row],[age]]&lt;=60,"46-60","60+"))))</f>
        <v>46-60</v>
      </c>
      <c r="M1077" s="2" t="str">
        <f>IF(Sheet1[[#This Row],[risk_score]]&lt;0.3,"Low",IF(Sheet1[[#This Row],[risk_score]]&lt;0.7,"Medium","High"))</f>
        <v>Low</v>
      </c>
      <c r="N1077">
        <f>YEAR(Sheet1[[#This Row],[date_joined]])</f>
        <v>2023</v>
      </c>
      <c r="O1077" s="2" t="str">
        <f>TEXT(Sheet1[[#This Row],[date_joined]],"mmm")</f>
        <v>Feb</v>
      </c>
      <c r="P1077" s="2" t="str">
        <f>"Q"&amp;ROUNDUP(MONTH(Sheet1[[#This Row],[date_joined]])/3,0)</f>
        <v>Q1</v>
      </c>
      <c r="Q1077" s="2" t="str">
        <f>IF(Sheet1[[#This Row],[age]]&lt;30,"Young",IF(Sheet1[[#This Row],[age]]&lt;=50,"Adult","Senior"))</f>
        <v>Senior</v>
      </c>
      <c r="R1077" s="2" t="str">
        <f t="shared" si="32"/>
        <v>Low</v>
      </c>
      <c r="S1077" s="2" t="str">
        <f t="shared" si="33"/>
        <v>South - Salaried</v>
      </c>
    </row>
    <row r="1078" spans="1:19" x14ac:dyDescent="0.3">
      <c r="A1078" t="s">
        <v>2179</v>
      </c>
      <c r="B1078" t="s">
        <v>2180</v>
      </c>
      <c r="C1078">
        <v>26</v>
      </c>
      <c r="D1078" s="2" t="s">
        <v>13</v>
      </c>
      <c r="E1078" s="2" t="s">
        <v>30</v>
      </c>
      <c r="F1078" s="2" t="s">
        <v>15</v>
      </c>
      <c r="G1078" s="2" t="s">
        <v>16</v>
      </c>
      <c r="H1078" s="2" t="s">
        <v>18</v>
      </c>
      <c r="I1078" s="2" t="s">
        <v>17</v>
      </c>
      <c r="J1078">
        <v>0.76</v>
      </c>
      <c r="K1078" s="1">
        <v>43426</v>
      </c>
      <c r="L1078" s="2" t="str">
        <f>IF(Sheet1[[#This Row],[age]]&lt;18, "Under 18",IF(Sheet1[[#This Row],[age]]&lt;=30,"18-30",IF(Sheet1[[#This Row],[age]]&lt;=45,"31-45",IF(Sheet1[[#This Row],[age]]&lt;=60,"46-60","60+"))))</f>
        <v>18-30</v>
      </c>
      <c r="M1078" s="2" t="str">
        <f>IF(Sheet1[[#This Row],[risk_score]]&lt;0.3,"Low",IF(Sheet1[[#This Row],[risk_score]]&lt;0.7,"Medium","High"))</f>
        <v>High</v>
      </c>
      <c r="N1078">
        <f>YEAR(Sheet1[[#This Row],[date_joined]])</f>
        <v>2018</v>
      </c>
      <c r="O1078" s="2" t="str">
        <f>TEXT(Sheet1[[#This Row],[date_joined]],"mmm")</f>
        <v>Nov</v>
      </c>
      <c r="P1078" s="2" t="str">
        <f>"Q"&amp;ROUNDUP(MONTH(Sheet1[[#This Row],[date_joined]])/3,0)</f>
        <v>Q4</v>
      </c>
      <c r="Q1078" s="2" t="str">
        <f>IF(Sheet1[[#This Row],[age]]&lt;30,"Young",IF(Sheet1[[#This Row],[age]]&lt;=50,"Adult","Senior"))</f>
        <v>Young</v>
      </c>
      <c r="R1078" s="2" t="str">
        <f t="shared" si="32"/>
        <v>High</v>
      </c>
      <c r="S1078" s="2" t="str">
        <f t="shared" si="33"/>
        <v>West - Student</v>
      </c>
    </row>
    <row r="1079" spans="1:19" x14ac:dyDescent="0.3">
      <c r="A1079" t="s">
        <v>2181</v>
      </c>
      <c r="B1079" t="s">
        <v>2182</v>
      </c>
      <c r="C1079">
        <v>24</v>
      </c>
      <c r="D1079" s="2" t="s">
        <v>21</v>
      </c>
      <c r="E1079" s="2" t="s">
        <v>30</v>
      </c>
      <c r="F1079" s="2" t="s">
        <v>37</v>
      </c>
      <c r="G1079" s="2" t="s">
        <v>24</v>
      </c>
      <c r="H1079" s="2" t="s">
        <v>17</v>
      </c>
      <c r="I1079" s="2" t="s">
        <v>18</v>
      </c>
      <c r="J1079">
        <v>0.11</v>
      </c>
      <c r="K1079" s="1">
        <v>43642</v>
      </c>
      <c r="L1079" s="2" t="str">
        <f>IF(Sheet1[[#This Row],[age]]&lt;18, "Under 18",IF(Sheet1[[#This Row],[age]]&lt;=30,"18-30",IF(Sheet1[[#This Row],[age]]&lt;=45,"31-45",IF(Sheet1[[#This Row],[age]]&lt;=60,"46-60","60+"))))</f>
        <v>18-30</v>
      </c>
      <c r="M1079" s="2" t="str">
        <f>IF(Sheet1[[#This Row],[risk_score]]&lt;0.3,"Low",IF(Sheet1[[#This Row],[risk_score]]&lt;0.7,"Medium","High"))</f>
        <v>Low</v>
      </c>
      <c r="N1079">
        <f>YEAR(Sheet1[[#This Row],[date_joined]])</f>
        <v>2019</v>
      </c>
      <c r="O1079" s="2" t="str">
        <f>TEXT(Sheet1[[#This Row],[date_joined]],"mmm")</f>
        <v>Jun</v>
      </c>
      <c r="P1079" s="2" t="str">
        <f>"Q"&amp;ROUNDUP(MONTH(Sheet1[[#This Row],[date_joined]])/3,0)</f>
        <v>Q2</v>
      </c>
      <c r="Q1079" s="2" t="str">
        <f>IF(Sheet1[[#This Row],[age]]&lt;30,"Young",IF(Sheet1[[#This Row],[age]]&lt;=50,"Adult","Senior"))</f>
        <v>Young</v>
      </c>
      <c r="R1079" s="2" t="str">
        <f t="shared" si="32"/>
        <v>High</v>
      </c>
      <c r="S1079" s="2" t="str">
        <f t="shared" si="33"/>
        <v>East - Retired</v>
      </c>
    </row>
    <row r="1080" spans="1:19" x14ac:dyDescent="0.3">
      <c r="A1080" t="s">
        <v>2183</v>
      </c>
      <c r="B1080" t="s">
        <v>2184</v>
      </c>
      <c r="C1080">
        <v>41</v>
      </c>
      <c r="D1080" s="2" t="s">
        <v>13</v>
      </c>
      <c r="E1080" s="2" t="s">
        <v>22</v>
      </c>
      <c r="F1080" s="2" t="s">
        <v>37</v>
      </c>
      <c r="G1080" s="2" t="s">
        <v>24</v>
      </c>
      <c r="H1080" s="2" t="s">
        <v>17</v>
      </c>
      <c r="I1080" s="2" t="s">
        <v>18</v>
      </c>
      <c r="J1080">
        <v>0.59</v>
      </c>
      <c r="K1080" s="1">
        <v>43769</v>
      </c>
      <c r="L1080" s="2" t="str">
        <f>IF(Sheet1[[#This Row],[age]]&lt;18, "Under 18",IF(Sheet1[[#This Row],[age]]&lt;=30,"18-30",IF(Sheet1[[#This Row],[age]]&lt;=45,"31-45",IF(Sheet1[[#This Row],[age]]&lt;=60,"46-60","60+"))))</f>
        <v>31-45</v>
      </c>
      <c r="M1080" s="2" t="str">
        <f>IF(Sheet1[[#This Row],[risk_score]]&lt;0.3,"Low",IF(Sheet1[[#This Row],[risk_score]]&lt;0.7,"Medium","High"))</f>
        <v>Medium</v>
      </c>
      <c r="N1080">
        <f>YEAR(Sheet1[[#This Row],[date_joined]])</f>
        <v>2019</v>
      </c>
      <c r="O1080" s="2" t="str">
        <f>TEXT(Sheet1[[#This Row],[date_joined]],"mmm")</f>
        <v>Oct</v>
      </c>
      <c r="P1080" s="2" t="str">
        <f>"Q"&amp;ROUNDUP(MONTH(Sheet1[[#This Row],[date_joined]])/3,0)</f>
        <v>Q4</v>
      </c>
      <c r="Q1080" s="2" t="str">
        <f>IF(Sheet1[[#This Row],[age]]&lt;30,"Young",IF(Sheet1[[#This Row],[age]]&lt;=50,"Adult","Senior"))</f>
        <v>Adult</v>
      </c>
      <c r="R1080" s="2" t="str">
        <f t="shared" si="32"/>
        <v>High</v>
      </c>
      <c r="S1080" s="2" t="str">
        <f t="shared" si="33"/>
        <v>East - Retired</v>
      </c>
    </row>
    <row r="1081" spans="1:19" x14ac:dyDescent="0.3">
      <c r="A1081" t="s">
        <v>2185</v>
      </c>
      <c r="B1081" t="s">
        <v>2186</v>
      </c>
      <c r="C1081">
        <v>38</v>
      </c>
      <c r="D1081" s="2" t="s">
        <v>21</v>
      </c>
      <c r="E1081" s="2" t="s">
        <v>30</v>
      </c>
      <c r="F1081" s="2" t="s">
        <v>31</v>
      </c>
      <c r="G1081" s="2" t="s">
        <v>81</v>
      </c>
      <c r="H1081" s="2" t="s">
        <v>18</v>
      </c>
      <c r="I1081" s="2" t="s">
        <v>17</v>
      </c>
      <c r="J1081">
        <v>0.56000000000000005</v>
      </c>
      <c r="K1081" s="1">
        <v>44931</v>
      </c>
      <c r="L1081" s="2" t="str">
        <f>IF(Sheet1[[#This Row],[age]]&lt;18, "Under 18",IF(Sheet1[[#This Row],[age]]&lt;=30,"18-30",IF(Sheet1[[#This Row],[age]]&lt;=45,"31-45",IF(Sheet1[[#This Row],[age]]&lt;=60,"46-60","60+"))))</f>
        <v>31-45</v>
      </c>
      <c r="M1081" s="2" t="str">
        <f>IF(Sheet1[[#This Row],[risk_score]]&lt;0.3,"Low",IF(Sheet1[[#This Row],[risk_score]]&lt;0.7,"Medium","High"))</f>
        <v>Medium</v>
      </c>
      <c r="N1081">
        <f>YEAR(Sheet1[[#This Row],[date_joined]])</f>
        <v>2023</v>
      </c>
      <c r="O1081" s="2" t="str">
        <f>TEXT(Sheet1[[#This Row],[date_joined]],"mmm")</f>
        <v>Jan</v>
      </c>
      <c r="P1081" s="2" t="str">
        <f>"Q"&amp;ROUNDUP(MONTH(Sheet1[[#This Row],[date_joined]])/3,0)</f>
        <v>Q1</v>
      </c>
      <c r="Q1081" s="2" t="str">
        <f>IF(Sheet1[[#This Row],[age]]&lt;30,"Young",IF(Sheet1[[#This Row],[age]]&lt;=50,"Adult","Senior"))</f>
        <v>Adult</v>
      </c>
      <c r="R1081" s="2" t="str">
        <f t="shared" si="32"/>
        <v>High</v>
      </c>
      <c r="S1081" s="2" t="str">
        <f t="shared" si="33"/>
        <v>Central - Self-employed</v>
      </c>
    </row>
    <row r="1082" spans="1:19" x14ac:dyDescent="0.3">
      <c r="A1082" t="s">
        <v>2187</v>
      </c>
      <c r="B1082" t="s">
        <v>2188</v>
      </c>
      <c r="C1082">
        <v>26</v>
      </c>
      <c r="D1082" s="2" t="s">
        <v>13</v>
      </c>
      <c r="E1082" s="2" t="s">
        <v>30</v>
      </c>
      <c r="F1082" s="2" t="s">
        <v>23</v>
      </c>
      <c r="G1082" s="2" t="s">
        <v>66</v>
      </c>
      <c r="H1082" s="2" t="s">
        <v>17</v>
      </c>
      <c r="I1082" s="2" t="s">
        <v>18</v>
      </c>
      <c r="J1082">
        <v>0.67</v>
      </c>
      <c r="K1082" s="1">
        <v>44253</v>
      </c>
      <c r="L1082" s="2" t="str">
        <f>IF(Sheet1[[#This Row],[age]]&lt;18, "Under 18",IF(Sheet1[[#This Row],[age]]&lt;=30,"18-30",IF(Sheet1[[#This Row],[age]]&lt;=45,"31-45",IF(Sheet1[[#This Row],[age]]&lt;=60,"46-60","60+"))))</f>
        <v>18-30</v>
      </c>
      <c r="M1082" s="2" t="str">
        <f>IF(Sheet1[[#This Row],[risk_score]]&lt;0.3,"Low",IF(Sheet1[[#This Row],[risk_score]]&lt;0.7,"Medium","High"))</f>
        <v>Medium</v>
      </c>
      <c r="N1082">
        <f>YEAR(Sheet1[[#This Row],[date_joined]])</f>
        <v>2021</v>
      </c>
      <c r="O1082" s="2" t="str">
        <f>TEXT(Sheet1[[#This Row],[date_joined]],"mmm")</f>
        <v>Feb</v>
      </c>
      <c r="P1082" s="2" t="str">
        <f>"Q"&amp;ROUNDUP(MONTH(Sheet1[[#This Row],[date_joined]])/3,0)</f>
        <v>Q1</v>
      </c>
      <c r="Q1082" s="2" t="str">
        <f>IF(Sheet1[[#This Row],[age]]&lt;30,"Young",IF(Sheet1[[#This Row],[age]]&lt;=50,"Adult","Senior"))</f>
        <v>Young</v>
      </c>
      <c r="R1082" s="2" t="str">
        <f t="shared" si="32"/>
        <v>High</v>
      </c>
      <c r="S1082" s="2" t="str">
        <f t="shared" si="33"/>
        <v>North-East - Salaried</v>
      </c>
    </row>
    <row r="1083" spans="1:19" x14ac:dyDescent="0.3">
      <c r="A1083" t="s">
        <v>2189</v>
      </c>
      <c r="B1083" t="s">
        <v>2190</v>
      </c>
      <c r="C1083">
        <v>60</v>
      </c>
      <c r="D1083" s="2" t="s">
        <v>21</v>
      </c>
      <c r="E1083" s="2" t="s">
        <v>30</v>
      </c>
      <c r="F1083" s="2" t="s">
        <v>15</v>
      </c>
      <c r="G1083" s="2" t="s">
        <v>24</v>
      </c>
      <c r="H1083" s="2" t="s">
        <v>18</v>
      </c>
      <c r="I1083" s="2" t="s">
        <v>17</v>
      </c>
      <c r="J1083">
        <v>0.49</v>
      </c>
      <c r="K1083" s="1">
        <v>43319</v>
      </c>
      <c r="L1083" s="2" t="str">
        <f>IF(Sheet1[[#This Row],[age]]&lt;18, "Under 18",IF(Sheet1[[#This Row],[age]]&lt;=30,"18-30",IF(Sheet1[[#This Row],[age]]&lt;=45,"31-45",IF(Sheet1[[#This Row],[age]]&lt;=60,"46-60","60+"))))</f>
        <v>46-60</v>
      </c>
      <c r="M1083" s="2" t="str">
        <f>IF(Sheet1[[#This Row],[risk_score]]&lt;0.3,"Low",IF(Sheet1[[#This Row],[risk_score]]&lt;0.7,"Medium","High"))</f>
        <v>Medium</v>
      </c>
      <c r="N1083">
        <f>YEAR(Sheet1[[#This Row],[date_joined]])</f>
        <v>2018</v>
      </c>
      <c r="O1083" s="2" t="str">
        <f>TEXT(Sheet1[[#This Row],[date_joined]],"mmm")</f>
        <v>Aug</v>
      </c>
      <c r="P1083" s="2" t="str">
        <f>"Q"&amp;ROUNDUP(MONTH(Sheet1[[#This Row],[date_joined]])/3,0)</f>
        <v>Q3</v>
      </c>
      <c r="Q1083" s="2" t="str">
        <f>IF(Sheet1[[#This Row],[age]]&lt;30,"Young",IF(Sheet1[[#This Row],[age]]&lt;=50,"Adult","Senior"))</f>
        <v>Senior</v>
      </c>
      <c r="R1083" s="2" t="str">
        <f t="shared" si="32"/>
        <v>High</v>
      </c>
      <c r="S1083" s="2" t="str">
        <f t="shared" si="33"/>
        <v>East - Student</v>
      </c>
    </row>
    <row r="1084" spans="1:19" x14ac:dyDescent="0.3">
      <c r="A1084" t="s">
        <v>2191</v>
      </c>
      <c r="B1084" t="s">
        <v>2192</v>
      </c>
      <c r="C1084">
        <v>69</v>
      </c>
      <c r="D1084" s="2" t="s">
        <v>21</v>
      </c>
      <c r="E1084" s="2" t="s">
        <v>14</v>
      </c>
      <c r="F1084" s="2" t="s">
        <v>37</v>
      </c>
      <c r="G1084" s="2" t="s">
        <v>24</v>
      </c>
      <c r="H1084" s="2" t="s">
        <v>17</v>
      </c>
      <c r="I1084" s="2" t="s">
        <v>17</v>
      </c>
      <c r="J1084">
        <v>0.27</v>
      </c>
      <c r="K1084" s="1">
        <v>43717</v>
      </c>
      <c r="L1084" s="2" t="str">
        <f>IF(Sheet1[[#This Row],[age]]&lt;18, "Under 18",IF(Sheet1[[#This Row],[age]]&lt;=30,"18-30",IF(Sheet1[[#This Row],[age]]&lt;=45,"31-45",IF(Sheet1[[#This Row],[age]]&lt;=60,"46-60","60+"))))</f>
        <v>60+</v>
      </c>
      <c r="M1084" s="2" t="str">
        <f>IF(Sheet1[[#This Row],[risk_score]]&lt;0.3,"Low",IF(Sheet1[[#This Row],[risk_score]]&lt;0.7,"Medium","High"))</f>
        <v>Low</v>
      </c>
      <c r="N1084">
        <f>YEAR(Sheet1[[#This Row],[date_joined]])</f>
        <v>2019</v>
      </c>
      <c r="O1084" s="2" t="str">
        <f>TEXT(Sheet1[[#This Row],[date_joined]],"mmm")</f>
        <v>Sep</v>
      </c>
      <c r="P1084" s="2" t="str">
        <f>"Q"&amp;ROUNDUP(MONTH(Sheet1[[#This Row],[date_joined]])/3,0)</f>
        <v>Q3</v>
      </c>
      <c r="Q1084" s="2" t="str">
        <f>IF(Sheet1[[#This Row],[age]]&lt;30,"Young",IF(Sheet1[[#This Row],[age]]&lt;=50,"Adult","Senior"))</f>
        <v>Senior</v>
      </c>
      <c r="R1084" s="2" t="str">
        <f t="shared" si="32"/>
        <v>Low</v>
      </c>
      <c r="S1084" s="2" t="str">
        <f t="shared" si="33"/>
        <v>East - Retired</v>
      </c>
    </row>
    <row r="1085" spans="1:19" x14ac:dyDescent="0.3">
      <c r="A1085" t="s">
        <v>2193</v>
      </c>
      <c r="B1085" t="s">
        <v>2194</v>
      </c>
      <c r="C1085">
        <v>34</v>
      </c>
      <c r="D1085" s="2" t="s">
        <v>21</v>
      </c>
      <c r="E1085" s="2" t="s">
        <v>30</v>
      </c>
      <c r="F1085" s="2" t="s">
        <v>23</v>
      </c>
      <c r="G1085" s="2" t="s">
        <v>81</v>
      </c>
      <c r="H1085" s="2" t="s">
        <v>18</v>
      </c>
      <c r="I1085" s="2" t="s">
        <v>18</v>
      </c>
      <c r="J1085">
        <v>0.59</v>
      </c>
      <c r="K1085" s="1">
        <v>44135</v>
      </c>
      <c r="L1085" s="2" t="str">
        <f>IF(Sheet1[[#This Row],[age]]&lt;18, "Under 18",IF(Sheet1[[#This Row],[age]]&lt;=30,"18-30",IF(Sheet1[[#This Row],[age]]&lt;=45,"31-45",IF(Sheet1[[#This Row],[age]]&lt;=60,"46-60","60+"))))</f>
        <v>31-45</v>
      </c>
      <c r="M1085" s="2" t="str">
        <f>IF(Sheet1[[#This Row],[risk_score]]&lt;0.3,"Low",IF(Sheet1[[#This Row],[risk_score]]&lt;0.7,"Medium","High"))</f>
        <v>Medium</v>
      </c>
      <c r="N1085">
        <f>YEAR(Sheet1[[#This Row],[date_joined]])</f>
        <v>2020</v>
      </c>
      <c r="O1085" s="2" t="str">
        <f>TEXT(Sheet1[[#This Row],[date_joined]],"mmm")</f>
        <v>Oct</v>
      </c>
      <c r="P1085" s="2" t="str">
        <f>"Q"&amp;ROUNDUP(MONTH(Sheet1[[#This Row],[date_joined]])/3,0)</f>
        <v>Q4</v>
      </c>
      <c r="Q1085" s="2" t="str">
        <f>IF(Sheet1[[#This Row],[age]]&lt;30,"Young",IF(Sheet1[[#This Row],[age]]&lt;=50,"Adult","Senior"))</f>
        <v>Adult</v>
      </c>
      <c r="R1085" s="2" t="str">
        <f t="shared" si="32"/>
        <v>Very High</v>
      </c>
      <c r="S1085" s="2" t="str">
        <f t="shared" si="33"/>
        <v>Central - Salaried</v>
      </c>
    </row>
    <row r="1086" spans="1:19" x14ac:dyDescent="0.3">
      <c r="A1086" t="s">
        <v>2195</v>
      </c>
      <c r="B1086" t="s">
        <v>2196</v>
      </c>
      <c r="C1086">
        <v>31</v>
      </c>
      <c r="D1086" s="2" t="s">
        <v>21</v>
      </c>
      <c r="E1086" s="2" t="s">
        <v>14</v>
      </c>
      <c r="F1086" s="2" t="s">
        <v>31</v>
      </c>
      <c r="G1086" s="2" t="s">
        <v>16</v>
      </c>
      <c r="H1086" s="2" t="s">
        <v>18</v>
      </c>
      <c r="I1086" s="2" t="s">
        <v>18</v>
      </c>
      <c r="J1086">
        <v>0.44</v>
      </c>
      <c r="K1086" s="1">
        <v>44036</v>
      </c>
      <c r="L1086" s="2" t="str">
        <f>IF(Sheet1[[#This Row],[age]]&lt;18, "Under 18",IF(Sheet1[[#This Row],[age]]&lt;=30,"18-30",IF(Sheet1[[#This Row],[age]]&lt;=45,"31-45",IF(Sheet1[[#This Row],[age]]&lt;=60,"46-60","60+"))))</f>
        <v>31-45</v>
      </c>
      <c r="M1086" s="2" t="str">
        <f>IF(Sheet1[[#This Row],[risk_score]]&lt;0.3,"Low",IF(Sheet1[[#This Row],[risk_score]]&lt;0.7,"Medium","High"))</f>
        <v>Medium</v>
      </c>
      <c r="N1086">
        <f>YEAR(Sheet1[[#This Row],[date_joined]])</f>
        <v>2020</v>
      </c>
      <c r="O1086" s="2" t="str">
        <f>TEXT(Sheet1[[#This Row],[date_joined]],"mmm")</f>
        <v>Jul</v>
      </c>
      <c r="P1086" s="2" t="str">
        <f>"Q"&amp;ROUNDUP(MONTH(Sheet1[[#This Row],[date_joined]])/3,0)</f>
        <v>Q3</v>
      </c>
      <c r="Q1086" s="2" t="str">
        <f>IF(Sheet1[[#This Row],[age]]&lt;30,"Young",IF(Sheet1[[#This Row],[age]]&lt;=50,"Adult","Senior"))</f>
        <v>Adult</v>
      </c>
      <c r="R1086" s="2" t="str">
        <f t="shared" si="32"/>
        <v>Very High</v>
      </c>
      <c r="S1086" s="2" t="str">
        <f t="shared" si="33"/>
        <v>West - Self-employed</v>
      </c>
    </row>
    <row r="1087" spans="1:19" x14ac:dyDescent="0.3">
      <c r="A1087" t="s">
        <v>2197</v>
      </c>
      <c r="B1087" t="s">
        <v>2198</v>
      </c>
      <c r="C1087">
        <v>30</v>
      </c>
      <c r="D1087" s="2" t="s">
        <v>21</v>
      </c>
      <c r="E1087" s="2" t="s">
        <v>30</v>
      </c>
      <c r="F1087" s="2" t="s">
        <v>23</v>
      </c>
      <c r="G1087" s="2" t="s">
        <v>66</v>
      </c>
      <c r="H1087" s="2" t="s">
        <v>17</v>
      </c>
      <c r="I1087" s="2" t="s">
        <v>17</v>
      </c>
      <c r="J1087">
        <v>0.59</v>
      </c>
      <c r="K1087" s="1">
        <v>43221</v>
      </c>
      <c r="L1087" s="2" t="str">
        <f>IF(Sheet1[[#This Row],[age]]&lt;18, "Under 18",IF(Sheet1[[#This Row],[age]]&lt;=30,"18-30",IF(Sheet1[[#This Row],[age]]&lt;=45,"31-45",IF(Sheet1[[#This Row],[age]]&lt;=60,"46-60","60+"))))</f>
        <v>18-30</v>
      </c>
      <c r="M1087" s="2" t="str">
        <f>IF(Sheet1[[#This Row],[risk_score]]&lt;0.3,"Low",IF(Sheet1[[#This Row],[risk_score]]&lt;0.7,"Medium","High"))</f>
        <v>Medium</v>
      </c>
      <c r="N1087">
        <f>YEAR(Sheet1[[#This Row],[date_joined]])</f>
        <v>2018</v>
      </c>
      <c r="O1087" s="2" t="str">
        <f>TEXT(Sheet1[[#This Row],[date_joined]],"mmm")</f>
        <v>May</v>
      </c>
      <c r="P1087" s="2" t="str">
        <f>"Q"&amp;ROUNDUP(MONTH(Sheet1[[#This Row],[date_joined]])/3,0)</f>
        <v>Q2</v>
      </c>
      <c r="Q1087" s="2" t="str">
        <f>IF(Sheet1[[#This Row],[age]]&lt;30,"Young",IF(Sheet1[[#This Row],[age]]&lt;=50,"Adult","Senior"))</f>
        <v>Adult</v>
      </c>
      <c r="R1087" s="2" t="str">
        <f t="shared" si="32"/>
        <v>Low</v>
      </c>
      <c r="S1087" s="2" t="str">
        <f t="shared" si="33"/>
        <v>North-East - Salaried</v>
      </c>
    </row>
    <row r="1088" spans="1:19" x14ac:dyDescent="0.3">
      <c r="A1088" t="s">
        <v>2199</v>
      </c>
      <c r="B1088" t="s">
        <v>2200</v>
      </c>
      <c r="C1088">
        <v>62</v>
      </c>
      <c r="D1088" s="2" t="s">
        <v>13</v>
      </c>
      <c r="E1088" s="2" t="s">
        <v>14</v>
      </c>
      <c r="F1088" s="2" t="s">
        <v>31</v>
      </c>
      <c r="G1088" s="2" t="s">
        <v>81</v>
      </c>
      <c r="H1088" s="2" t="s">
        <v>18</v>
      </c>
      <c r="I1088" s="2" t="s">
        <v>17</v>
      </c>
      <c r="J1088">
        <v>0.1</v>
      </c>
      <c r="K1088" s="1">
        <v>44713</v>
      </c>
      <c r="L1088" s="2" t="str">
        <f>IF(Sheet1[[#This Row],[age]]&lt;18, "Under 18",IF(Sheet1[[#This Row],[age]]&lt;=30,"18-30",IF(Sheet1[[#This Row],[age]]&lt;=45,"31-45",IF(Sheet1[[#This Row],[age]]&lt;=60,"46-60","60+"))))</f>
        <v>60+</v>
      </c>
      <c r="M1088" s="2" t="str">
        <f>IF(Sheet1[[#This Row],[risk_score]]&lt;0.3,"Low",IF(Sheet1[[#This Row],[risk_score]]&lt;0.7,"Medium","High"))</f>
        <v>Low</v>
      </c>
      <c r="N1088">
        <f>YEAR(Sheet1[[#This Row],[date_joined]])</f>
        <v>2022</v>
      </c>
      <c r="O1088" s="2" t="str">
        <f>TEXT(Sheet1[[#This Row],[date_joined]],"mmm")</f>
        <v>Jun</v>
      </c>
      <c r="P1088" s="2" t="str">
        <f>"Q"&amp;ROUNDUP(MONTH(Sheet1[[#This Row],[date_joined]])/3,0)</f>
        <v>Q2</v>
      </c>
      <c r="Q1088" s="2" t="str">
        <f>IF(Sheet1[[#This Row],[age]]&lt;30,"Young",IF(Sheet1[[#This Row],[age]]&lt;=50,"Adult","Senior"))</f>
        <v>Senior</v>
      </c>
      <c r="R1088" s="2" t="str">
        <f t="shared" si="32"/>
        <v>High</v>
      </c>
      <c r="S1088" s="2" t="str">
        <f t="shared" si="33"/>
        <v>Central - Self-employed</v>
      </c>
    </row>
    <row r="1089" spans="1:19" x14ac:dyDescent="0.3">
      <c r="A1089" t="s">
        <v>2201</v>
      </c>
      <c r="B1089" t="s">
        <v>2202</v>
      </c>
      <c r="C1089">
        <v>47</v>
      </c>
      <c r="D1089" s="2" t="s">
        <v>21</v>
      </c>
      <c r="E1089" s="2" t="s">
        <v>22</v>
      </c>
      <c r="F1089" s="2" t="s">
        <v>15</v>
      </c>
      <c r="G1089" s="2" t="s">
        <v>66</v>
      </c>
      <c r="H1089" s="2" t="s">
        <v>17</v>
      </c>
      <c r="I1089" s="2" t="s">
        <v>17</v>
      </c>
      <c r="J1089">
        <v>0.55000000000000004</v>
      </c>
      <c r="K1089" s="1">
        <v>44103</v>
      </c>
      <c r="L1089" s="2" t="str">
        <f>IF(Sheet1[[#This Row],[age]]&lt;18, "Under 18",IF(Sheet1[[#This Row],[age]]&lt;=30,"18-30",IF(Sheet1[[#This Row],[age]]&lt;=45,"31-45",IF(Sheet1[[#This Row],[age]]&lt;=60,"46-60","60+"))))</f>
        <v>46-60</v>
      </c>
      <c r="M1089" s="2" t="str">
        <f>IF(Sheet1[[#This Row],[risk_score]]&lt;0.3,"Low",IF(Sheet1[[#This Row],[risk_score]]&lt;0.7,"Medium","High"))</f>
        <v>Medium</v>
      </c>
      <c r="N1089">
        <f>YEAR(Sheet1[[#This Row],[date_joined]])</f>
        <v>2020</v>
      </c>
      <c r="O1089" s="2" t="str">
        <f>TEXT(Sheet1[[#This Row],[date_joined]],"mmm")</f>
        <v>Sep</v>
      </c>
      <c r="P1089" s="2" t="str">
        <f>"Q"&amp;ROUNDUP(MONTH(Sheet1[[#This Row],[date_joined]])/3,0)</f>
        <v>Q3</v>
      </c>
      <c r="Q1089" s="2" t="str">
        <f>IF(Sheet1[[#This Row],[age]]&lt;30,"Young",IF(Sheet1[[#This Row],[age]]&lt;=50,"Adult","Senior"))</f>
        <v>Adult</v>
      </c>
      <c r="R1089" s="2" t="str">
        <f t="shared" si="32"/>
        <v>Low</v>
      </c>
      <c r="S1089" s="2" t="str">
        <f t="shared" si="33"/>
        <v>North-East - Student</v>
      </c>
    </row>
    <row r="1090" spans="1:19" x14ac:dyDescent="0.3">
      <c r="A1090" t="s">
        <v>2203</v>
      </c>
      <c r="B1090" t="s">
        <v>2204</v>
      </c>
      <c r="C1090">
        <v>46</v>
      </c>
      <c r="D1090" s="2" t="s">
        <v>13</v>
      </c>
      <c r="E1090" s="2" t="s">
        <v>30</v>
      </c>
      <c r="F1090" s="2" t="s">
        <v>15</v>
      </c>
      <c r="G1090" s="2" t="s">
        <v>27</v>
      </c>
      <c r="H1090" s="2" t="s">
        <v>17</v>
      </c>
      <c r="I1090" s="2" t="s">
        <v>18</v>
      </c>
      <c r="J1090">
        <v>0.61</v>
      </c>
      <c r="K1090" s="1">
        <v>44765</v>
      </c>
      <c r="L1090" s="2" t="str">
        <f>IF(Sheet1[[#This Row],[age]]&lt;18, "Under 18",IF(Sheet1[[#This Row],[age]]&lt;=30,"18-30",IF(Sheet1[[#This Row],[age]]&lt;=45,"31-45",IF(Sheet1[[#This Row],[age]]&lt;=60,"46-60","60+"))))</f>
        <v>46-60</v>
      </c>
      <c r="M1090" s="2" t="str">
        <f>IF(Sheet1[[#This Row],[risk_score]]&lt;0.3,"Low",IF(Sheet1[[#This Row],[risk_score]]&lt;0.7,"Medium","High"))</f>
        <v>Medium</v>
      </c>
      <c r="N1090">
        <f>YEAR(Sheet1[[#This Row],[date_joined]])</f>
        <v>2022</v>
      </c>
      <c r="O1090" s="2" t="str">
        <f>TEXT(Sheet1[[#This Row],[date_joined]],"mmm")</f>
        <v>Jul</v>
      </c>
      <c r="P1090" s="2" t="str">
        <f>"Q"&amp;ROUNDUP(MONTH(Sheet1[[#This Row],[date_joined]])/3,0)</f>
        <v>Q3</v>
      </c>
      <c r="Q1090" s="2" t="str">
        <f>IF(Sheet1[[#This Row],[age]]&lt;30,"Young",IF(Sheet1[[#This Row],[age]]&lt;=50,"Adult","Senior"))</f>
        <v>Adult</v>
      </c>
      <c r="R1090" s="2" t="str">
        <f t="shared" ref="R1090:R1153" si="34">IF(AND(H1090="Yes",I1090="Yes"),"Very High",
IF(OR(H1090="Yes",I1090="Yes"),"High","Low"))</f>
        <v>High</v>
      </c>
      <c r="S1090" s="2" t="str">
        <f t="shared" ref="S1090:S1153" si="35">G1090&amp;" - "&amp;F1090</f>
        <v>North - Student</v>
      </c>
    </row>
    <row r="1091" spans="1:19" x14ac:dyDescent="0.3">
      <c r="A1091" t="s">
        <v>2205</v>
      </c>
      <c r="B1091" t="s">
        <v>2206</v>
      </c>
      <c r="C1091">
        <v>61</v>
      </c>
      <c r="D1091" s="2" t="s">
        <v>21</v>
      </c>
      <c r="E1091" s="2" t="s">
        <v>22</v>
      </c>
      <c r="F1091" s="2" t="s">
        <v>15</v>
      </c>
      <c r="G1091" s="2" t="s">
        <v>66</v>
      </c>
      <c r="H1091" s="2" t="s">
        <v>17</v>
      </c>
      <c r="I1091" s="2" t="s">
        <v>18</v>
      </c>
      <c r="J1091">
        <v>0.59</v>
      </c>
      <c r="K1091" s="1">
        <v>44754</v>
      </c>
      <c r="L1091" s="2" t="str">
        <f>IF(Sheet1[[#This Row],[age]]&lt;18, "Under 18",IF(Sheet1[[#This Row],[age]]&lt;=30,"18-30",IF(Sheet1[[#This Row],[age]]&lt;=45,"31-45",IF(Sheet1[[#This Row],[age]]&lt;=60,"46-60","60+"))))</f>
        <v>60+</v>
      </c>
      <c r="M1091" s="2" t="str">
        <f>IF(Sheet1[[#This Row],[risk_score]]&lt;0.3,"Low",IF(Sheet1[[#This Row],[risk_score]]&lt;0.7,"Medium","High"))</f>
        <v>Medium</v>
      </c>
      <c r="N1091">
        <f>YEAR(Sheet1[[#This Row],[date_joined]])</f>
        <v>2022</v>
      </c>
      <c r="O1091" s="2" t="str">
        <f>TEXT(Sheet1[[#This Row],[date_joined]],"mmm")</f>
        <v>Jul</v>
      </c>
      <c r="P1091" s="2" t="str">
        <f>"Q"&amp;ROUNDUP(MONTH(Sheet1[[#This Row],[date_joined]])/3,0)</f>
        <v>Q3</v>
      </c>
      <c r="Q1091" s="2" t="str">
        <f>IF(Sheet1[[#This Row],[age]]&lt;30,"Young",IF(Sheet1[[#This Row],[age]]&lt;=50,"Adult","Senior"))</f>
        <v>Senior</v>
      </c>
      <c r="R1091" s="2" t="str">
        <f t="shared" si="34"/>
        <v>High</v>
      </c>
      <c r="S1091" s="2" t="str">
        <f t="shared" si="35"/>
        <v>North-East - Student</v>
      </c>
    </row>
    <row r="1092" spans="1:19" x14ac:dyDescent="0.3">
      <c r="A1092" t="s">
        <v>2207</v>
      </c>
      <c r="B1092" t="s">
        <v>2208</v>
      </c>
      <c r="C1092">
        <v>39</v>
      </c>
      <c r="D1092" s="2" t="s">
        <v>13</v>
      </c>
      <c r="E1092" s="2" t="s">
        <v>14</v>
      </c>
      <c r="F1092" s="2" t="s">
        <v>15</v>
      </c>
      <c r="G1092" s="2" t="s">
        <v>32</v>
      </c>
      <c r="H1092" s="2" t="s">
        <v>18</v>
      </c>
      <c r="I1092" s="2" t="s">
        <v>18</v>
      </c>
      <c r="J1092">
        <v>0.59</v>
      </c>
      <c r="K1092" s="1">
        <v>43143</v>
      </c>
      <c r="L1092" s="2" t="str">
        <f>IF(Sheet1[[#This Row],[age]]&lt;18, "Under 18",IF(Sheet1[[#This Row],[age]]&lt;=30,"18-30",IF(Sheet1[[#This Row],[age]]&lt;=45,"31-45",IF(Sheet1[[#This Row],[age]]&lt;=60,"46-60","60+"))))</f>
        <v>31-45</v>
      </c>
      <c r="M1092" s="2" t="str">
        <f>IF(Sheet1[[#This Row],[risk_score]]&lt;0.3,"Low",IF(Sheet1[[#This Row],[risk_score]]&lt;0.7,"Medium","High"))</f>
        <v>Medium</v>
      </c>
      <c r="N1092">
        <f>YEAR(Sheet1[[#This Row],[date_joined]])</f>
        <v>2018</v>
      </c>
      <c r="O1092" s="2" t="str">
        <f>TEXT(Sheet1[[#This Row],[date_joined]],"mmm")</f>
        <v>Feb</v>
      </c>
      <c r="P1092" s="2" t="str">
        <f>"Q"&amp;ROUNDUP(MONTH(Sheet1[[#This Row],[date_joined]])/3,0)</f>
        <v>Q1</v>
      </c>
      <c r="Q1092" s="2" t="str">
        <f>IF(Sheet1[[#This Row],[age]]&lt;30,"Young",IF(Sheet1[[#This Row],[age]]&lt;=50,"Adult","Senior"))</f>
        <v>Adult</v>
      </c>
      <c r="R1092" s="2" t="str">
        <f t="shared" si="34"/>
        <v>Very High</v>
      </c>
      <c r="S1092" s="2" t="str">
        <f t="shared" si="35"/>
        <v>South - Student</v>
      </c>
    </row>
    <row r="1093" spans="1:19" x14ac:dyDescent="0.3">
      <c r="A1093" t="s">
        <v>2209</v>
      </c>
      <c r="B1093" t="s">
        <v>2210</v>
      </c>
      <c r="C1093">
        <v>46</v>
      </c>
      <c r="D1093" s="2" t="s">
        <v>13</v>
      </c>
      <c r="E1093" s="2" t="s">
        <v>14</v>
      </c>
      <c r="F1093" s="2" t="s">
        <v>15</v>
      </c>
      <c r="G1093" s="2" t="s">
        <v>32</v>
      </c>
      <c r="H1093" s="2" t="s">
        <v>17</v>
      </c>
      <c r="I1093" s="2" t="s">
        <v>17</v>
      </c>
      <c r="J1093">
        <v>0.5</v>
      </c>
      <c r="K1093" s="1">
        <v>44342</v>
      </c>
      <c r="L1093" s="2" t="str">
        <f>IF(Sheet1[[#This Row],[age]]&lt;18, "Under 18",IF(Sheet1[[#This Row],[age]]&lt;=30,"18-30",IF(Sheet1[[#This Row],[age]]&lt;=45,"31-45",IF(Sheet1[[#This Row],[age]]&lt;=60,"46-60","60+"))))</f>
        <v>46-60</v>
      </c>
      <c r="M1093" s="2" t="str">
        <f>IF(Sheet1[[#This Row],[risk_score]]&lt;0.3,"Low",IF(Sheet1[[#This Row],[risk_score]]&lt;0.7,"Medium","High"))</f>
        <v>Medium</v>
      </c>
      <c r="N1093">
        <f>YEAR(Sheet1[[#This Row],[date_joined]])</f>
        <v>2021</v>
      </c>
      <c r="O1093" s="2" t="str">
        <f>TEXT(Sheet1[[#This Row],[date_joined]],"mmm")</f>
        <v>May</v>
      </c>
      <c r="P1093" s="2" t="str">
        <f>"Q"&amp;ROUNDUP(MONTH(Sheet1[[#This Row],[date_joined]])/3,0)</f>
        <v>Q2</v>
      </c>
      <c r="Q1093" s="2" t="str">
        <f>IF(Sheet1[[#This Row],[age]]&lt;30,"Young",IF(Sheet1[[#This Row],[age]]&lt;=50,"Adult","Senior"))</f>
        <v>Adult</v>
      </c>
      <c r="R1093" s="2" t="str">
        <f t="shared" si="34"/>
        <v>Low</v>
      </c>
      <c r="S1093" s="2" t="str">
        <f t="shared" si="35"/>
        <v>South - Student</v>
      </c>
    </row>
    <row r="1094" spans="1:19" x14ac:dyDescent="0.3">
      <c r="A1094" t="s">
        <v>2211</v>
      </c>
      <c r="B1094" t="s">
        <v>2212</v>
      </c>
      <c r="C1094">
        <v>34</v>
      </c>
      <c r="D1094" s="2" t="s">
        <v>13</v>
      </c>
      <c r="E1094" s="2" t="s">
        <v>22</v>
      </c>
      <c r="F1094" s="2" t="s">
        <v>37</v>
      </c>
      <c r="G1094" s="2" t="s">
        <v>16</v>
      </c>
      <c r="H1094" s="2" t="s">
        <v>17</v>
      </c>
      <c r="I1094" s="2" t="s">
        <v>17</v>
      </c>
      <c r="J1094">
        <v>0.78</v>
      </c>
      <c r="K1094" s="1">
        <v>44234</v>
      </c>
      <c r="L1094" s="2" t="str">
        <f>IF(Sheet1[[#This Row],[age]]&lt;18, "Under 18",IF(Sheet1[[#This Row],[age]]&lt;=30,"18-30",IF(Sheet1[[#This Row],[age]]&lt;=45,"31-45",IF(Sheet1[[#This Row],[age]]&lt;=60,"46-60","60+"))))</f>
        <v>31-45</v>
      </c>
      <c r="M1094" s="2" t="str">
        <f>IF(Sheet1[[#This Row],[risk_score]]&lt;0.3,"Low",IF(Sheet1[[#This Row],[risk_score]]&lt;0.7,"Medium","High"))</f>
        <v>High</v>
      </c>
      <c r="N1094">
        <f>YEAR(Sheet1[[#This Row],[date_joined]])</f>
        <v>2021</v>
      </c>
      <c r="O1094" s="2" t="str">
        <f>TEXT(Sheet1[[#This Row],[date_joined]],"mmm")</f>
        <v>Feb</v>
      </c>
      <c r="P1094" s="2" t="str">
        <f>"Q"&amp;ROUNDUP(MONTH(Sheet1[[#This Row],[date_joined]])/3,0)</f>
        <v>Q1</v>
      </c>
      <c r="Q1094" s="2" t="str">
        <f>IF(Sheet1[[#This Row],[age]]&lt;30,"Young",IF(Sheet1[[#This Row],[age]]&lt;=50,"Adult","Senior"))</f>
        <v>Adult</v>
      </c>
      <c r="R1094" s="2" t="str">
        <f t="shared" si="34"/>
        <v>Low</v>
      </c>
      <c r="S1094" s="2" t="str">
        <f t="shared" si="35"/>
        <v>West - Retired</v>
      </c>
    </row>
    <row r="1095" spans="1:19" x14ac:dyDescent="0.3">
      <c r="A1095" t="s">
        <v>2213</v>
      </c>
      <c r="B1095" t="s">
        <v>2214</v>
      </c>
      <c r="C1095">
        <v>39</v>
      </c>
      <c r="D1095" s="2" t="s">
        <v>21</v>
      </c>
      <c r="E1095" s="2" t="s">
        <v>14</v>
      </c>
      <c r="F1095" s="2" t="s">
        <v>37</v>
      </c>
      <c r="G1095" s="2" t="s">
        <v>81</v>
      </c>
      <c r="H1095" s="2" t="s">
        <v>17</v>
      </c>
      <c r="I1095" s="2" t="s">
        <v>17</v>
      </c>
      <c r="J1095">
        <v>0.52</v>
      </c>
      <c r="K1095" s="1">
        <v>43523</v>
      </c>
      <c r="L1095" s="2" t="str">
        <f>IF(Sheet1[[#This Row],[age]]&lt;18, "Under 18",IF(Sheet1[[#This Row],[age]]&lt;=30,"18-30",IF(Sheet1[[#This Row],[age]]&lt;=45,"31-45",IF(Sheet1[[#This Row],[age]]&lt;=60,"46-60","60+"))))</f>
        <v>31-45</v>
      </c>
      <c r="M1095" s="2" t="str">
        <f>IF(Sheet1[[#This Row],[risk_score]]&lt;0.3,"Low",IF(Sheet1[[#This Row],[risk_score]]&lt;0.7,"Medium","High"))</f>
        <v>Medium</v>
      </c>
      <c r="N1095">
        <f>YEAR(Sheet1[[#This Row],[date_joined]])</f>
        <v>2019</v>
      </c>
      <c r="O1095" s="2" t="str">
        <f>TEXT(Sheet1[[#This Row],[date_joined]],"mmm")</f>
        <v>Feb</v>
      </c>
      <c r="P1095" s="2" t="str">
        <f>"Q"&amp;ROUNDUP(MONTH(Sheet1[[#This Row],[date_joined]])/3,0)</f>
        <v>Q1</v>
      </c>
      <c r="Q1095" s="2" t="str">
        <f>IF(Sheet1[[#This Row],[age]]&lt;30,"Young",IF(Sheet1[[#This Row],[age]]&lt;=50,"Adult","Senior"))</f>
        <v>Adult</v>
      </c>
      <c r="R1095" s="2" t="str">
        <f t="shared" si="34"/>
        <v>Low</v>
      </c>
      <c r="S1095" s="2" t="str">
        <f t="shared" si="35"/>
        <v>Central - Retired</v>
      </c>
    </row>
    <row r="1096" spans="1:19" x14ac:dyDescent="0.3">
      <c r="A1096" t="s">
        <v>2215</v>
      </c>
      <c r="B1096" t="s">
        <v>2216</v>
      </c>
      <c r="C1096">
        <v>54</v>
      </c>
      <c r="D1096" s="2" t="s">
        <v>13</v>
      </c>
      <c r="E1096" s="2" t="s">
        <v>14</v>
      </c>
      <c r="F1096" s="2" t="s">
        <v>15</v>
      </c>
      <c r="G1096" s="2" t="s">
        <v>16</v>
      </c>
      <c r="H1096" s="2" t="s">
        <v>18</v>
      </c>
      <c r="I1096" s="2" t="s">
        <v>18</v>
      </c>
      <c r="J1096">
        <v>0.32</v>
      </c>
      <c r="K1096" s="1">
        <v>43229</v>
      </c>
      <c r="L1096" s="2" t="str">
        <f>IF(Sheet1[[#This Row],[age]]&lt;18, "Under 18",IF(Sheet1[[#This Row],[age]]&lt;=30,"18-30",IF(Sheet1[[#This Row],[age]]&lt;=45,"31-45",IF(Sheet1[[#This Row],[age]]&lt;=60,"46-60","60+"))))</f>
        <v>46-60</v>
      </c>
      <c r="M1096" s="2" t="str">
        <f>IF(Sheet1[[#This Row],[risk_score]]&lt;0.3,"Low",IF(Sheet1[[#This Row],[risk_score]]&lt;0.7,"Medium","High"))</f>
        <v>Medium</v>
      </c>
      <c r="N1096">
        <f>YEAR(Sheet1[[#This Row],[date_joined]])</f>
        <v>2018</v>
      </c>
      <c r="O1096" s="2" t="str">
        <f>TEXT(Sheet1[[#This Row],[date_joined]],"mmm")</f>
        <v>May</v>
      </c>
      <c r="P1096" s="2" t="str">
        <f>"Q"&amp;ROUNDUP(MONTH(Sheet1[[#This Row],[date_joined]])/3,0)</f>
        <v>Q2</v>
      </c>
      <c r="Q1096" s="2" t="str">
        <f>IF(Sheet1[[#This Row],[age]]&lt;30,"Young",IF(Sheet1[[#This Row],[age]]&lt;=50,"Adult","Senior"))</f>
        <v>Senior</v>
      </c>
      <c r="R1096" s="2" t="str">
        <f t="shared" si="34"/>
        <v>Very High</v>
      </c>
      <c r="S1096" s="2" t="str">
        <f t="shared" si="35"/>
        <v>West - Student</v>
      </c>
    </row>
    <row r="1097" spans="1:19" x14ac:dyDescent="0.3">
      <c r="A1097" t="s">
        <v>2217</v>
      </c>
      <c r="B1097" t="s">
        <v>2218</v>
      </c>
      <c r="C1097">
        <v>40</v>
      </c>
      <c r="D1097" s="2" t="s">
        <v>21</v>
      </c>
      <c r="E1097" s="2" t="s">
        <v>22</v>
      </c>
      <c r="F1097" s="2" t="s">
        <v>15</v>
      </c>
      <c r="G1097" s="2" t="s">
        <v>81</v>
      </c>
      <c r="H1097" s="2" t="s">
        <v>18</v>
      </c>
      <c r="I1097" s="2" t="s">
        <v>18</v>
      </c>
      <c r="J1097">
        <v>0</v>
      </c>
      <c r="K1097" s="1">
        <v>43427</v>
      </c>
      <c r="L1097" s="2" t="str">
        <f>IF(Sheet1[[#This Row],[age]]&lt;18, "Under 18",IF(Sheet1[[#This Row],[age]]&lt;=30,"18-30",IF(Sheet1[[#This Row],[age]]&lt;=45,"31-45",IF(Sheet1[[#This Row],[age]]&lt;=60,"46-60","60+"))))</f>
        <v>31-45</v>
      </c>
      <c r="M1097" s="2" t="str">
        <f>IF(Sheet1[[#This Row],[risk_score]]&lt;0.3,"Low",IF(Sheet1[[#This Row],[risk_score]]&lt;0.7,"Medium","High"))</f>
        <v>Low</v>
      </c>
      <c r="N1097">
        <f>YEAR(Sheet1[[#This Row],[date_joined]])</f>
        <v>2018</v>
      </c>
      <c r="O1097" s="2" t="str">
        <f>TEXT(Sheet1[[#This Row],[date_joined]],"mmm")</f>
        <v>Nov</v>
      </c>
      <c r="P1097" s="2" t="str">
        <f>"Q"&amp;ROUNDUP(MONTH(Sheet1[[#This Row],[date_joined]])/3,0)</f>
        <v>Q4</v>
      </c>
      <c r="Q1097" s="2" t="str">
        <f>IF(Sheet1[[#This Row],[age]]&lt;30,"Young",IF(Sheet1[[#This Row],[age]]&lt;=50,"Adult","Senior"))</f>
        <v>Adult</v>
      </c>
      <c r="R1097" s="2" t="str">
        <f t="shared" si="34"/>
        <v>Very High</v>
      </c>
      <c r="S1097" s="2" t="str">
        <f t="shared" si="35"/>
        <v>Central - Student</v>
      </c>
    </row>
    <row r="1098" spans="1:19" x14ac:dyDescent="0.3">
      <c r="A1098" t="s">
        <v>2219</v>
      </c>
      <c r="B1098" t="s">
        <v>2220</v>
      </c>
      <c r="C1098">
        <v>60</v>
      </c>
      <c r="D1098" s="2" t="s">
        <v>13</v>
      </c>
      <c r="E1098" s="2" t="s">
        <v>14</v>
      </c>
      <c r="F1098" s="2" t="s">
        <v>31</v>
      </c>
      <c r="G1098" s="2" t="s">
        <v>27</v>
      </c>
      <c r="H1098" s="2" t="s">
        <v>17</v>
      </c>
      <c r="I1098" s="2" t="s">
        <v>18</v>
      </c>
      <c r="J1098">
        <v>0.65</v>
      </c>
      <c r="K1098" s="1">
        <v>44331</v>
      </c>
      <c r="L1098" s="2" t="str">
        <f>IF(Sheet1[[#This Row],[age]]&lt;18, "Under 18",IF(Sheet1[[#This Row],[age]]&lt;=30,"18-30",IF(Sheet1[[#This Row],[age]]&lt;=45,"31-45",IF(Sheet1[[#This Row],[age]]&lt;=60,"46-60","60+"))))</f>
        <v>46-60</v>
      </c>
      <c r="M1098" s="2" t="str">
        <f>IF(Sheet1[[#This Row],[risk_score]]&lt;0.3,"Low",IF(Sheet1[[#This Row],[risk_score]]&lt;0.7,"Medium","High"))</f>
        <v>Medium</v>
      </c>
      <c r="N1098">
        <f>YEAR(Sheet1[[#This Row],[date_joined]])</f>
        <v>2021</v>
      </c>
      <c r="O1098" s="2" t="str">
        <f>TEXT(Sheet1[[#This Row],[date_joined]],"mmm")</f>
        <v>May</v>
      </c>
      <c r="P1098" s="2" t="str">
        <f>"Q"&amp;ROUNDUP(MONTH(Sheet1[[#This Row],[date_joined]])/3,0)</f>
        <v>Q2</v>
      </c>
      <c r="Q1098" s="2" t="str">
        <f>IF(Sheet1[[#This Row],[age]]&lt;30,"Young",IF(Sheet1[[#This Row],[age]]&lt;=50,"Adult","Senior"))</f>
        <v>Senior</v>
      </c>
      <c r="R1098" s="2" t="str">
        <f t="shared" si="34"/>
        <v>High</v>
      </c>
      <c r="S1098" s="2" t="str">
        <f t="shared" si="35"/>
        <v>North - Self-employed</v>
      </c>
    </row>
    <row r="1099" spans="1:19" x14ac:dyDescent="0.3">
      <c r="A1099" t="s">
        <v>2221</v>
      </c>
      <c r="B1099" t="s">
        <v>2222</v>
      </c>
      <c r="C1099">
        <v>57</v>
      </c>
      <c r="D1099" s="2" t="s">
        <v>21</v>
      </c>
      <c r="E1099" s="2" t="s">
        <v>22</v>
      </c>
      <c r="F1099" s="2" t="s">
        <v>31</v>
      </c>
      <c r="G1099" s="2" t="s">
        <v>16</v>
      </c>
      <c r="H1099" s="2" t="s">
        <v>17</v>
      </c>
      <c r="I1099" s="2" t="s">
        <v>17</v>
      </c>
      <c r="J1099">
        <v>0.51</v>
      </c>
      <c r="K1099" s="1">
        <v>43482</v>
      </c>
      <c r="L1099" s="2" t="str">
        <f>IF(Sheet1[[#This Row],[age]]&lt;18, "Under 18",IF(Sheet1[[#This Row],[age]]&lt;=30,"18-30",IF(Sheet1[[#This Row],[age]]&lt;=45,"31-45",IF(Sheet1[[#This Row],[age]]&lt;=60,"46-60","60+"))))</f>
        <v>46-60</v>
      </c>
      <c r="M1099" s="2" t="str">
        <f>IF(Sheet1[[#This Row],[risk_score]]&lt;0.3,"Low",IF(Sheet1[[#This Row],[risk_score]]&lt;0.7,"Medium","High"))</f>
        <v>Medium</v>
      </c>
      <c r="N1099">
        <f>YEAR(Sheet1[[#This Row],[date_joined]])</f>
        <v>2019</v>
      </c>
      <c r="O1099" s="2" t="str">
        <f>TEXT(Sheet1[[#This Row],[date_joined]],"mmm")</f>
        <v>Jan</v>
      </c>
      <c r="P1099" s="2" t="str">
        <f>"Q"&amp;ROUNDUP(MONTH(Sheet1[[#This Row],[date_joined]])/3,0)</f>
        <v>Q1</v>
      </c>
      <c r="Q1099" s="2" t="str">
        <f>IF(Sheet1[[#This Row],[age]]&lt;30,"Young",IF(Sheet1[[#This Row],[age]]&lt;=50,"Adult","Senior"))</f>
        <v>Senior</v>
      </c>
      <c r="R1099" s="2" t="str">
        <f t="shared" si="34"/>
        <v>Low</v>
      </c>
      <c r="S1099" s="2" t="str">
        <f t="shared" si="35"/>
        <v>West - Self-employed</v>
      </c>
    </row>
    <row r="1100" spans="1:19" x14ac:dyDescent="0.3">
      <c r="A1100" t="s">
        <v>2223</v>
      </c>
      <c r="B1100" t="s">
        <v>2224</v>
      </c>
      <c r="C1100">
        <v>51</v>
      </c>
      <c r="D1100" s="2" t="s">
        <v>13</v>
      </c>
      <c r="E1100" s="2" t="s">
        <v>30</v>
      </c>
      <c r="F1100" s="2" t="s">
        <v>15</v>
      </c>
      <c r="G1100" s="2" t="s">
        <v>66</v>
      </c>
      <c r="H1100" s="2" t="s">
        <v>18</v>
      </c>
      <c r="I1100" s="2" t="s">
        <v>18</v>
      </c>
      <c r="J1100">
        <v>0.62</v>
      </c>
      <c r="K1100" s="1">
        <v>44027</v>
      </c>
      <c r="L1100" s="2" t="str">
        <f>IF(Sheet1[[#This Row],[age]]&lt;18, "Under 18",IF(Sheet1[[#This Row],[age]]&lt;=30,"18-30",IF(Sheet1[[#This Row],[age]]&lt;=45,"31-45",IF(Sheet1[[#This Row],[age]]&lt;=60,"46-60","60+"))))</f>
        <v>46-60</v>
      </c>
      <c r="M1100" s="2" t="str">
        <f>IF(Sheet1[[#This Row],[risk_score]]&lt;0.3,"Low",IF(Sheet1[[#This Row],[risk_score]]&lt;0.7,"Medium","High"))</f>
        <v>Medium</v>
      </c>
      <c r="N1100">
        <f>YEAR(Sheet1[[#This Row],[date_joined]])</f>
        <v>2020</v>
      </c>
      <c r="O1100" s="2" t="str">
        <f>TEXT(Sheet1[[#This Row],[date_joined]],"mmm")</f>
        <v>Jul</v>
      </c>
      <c r="P1100" s="2" t="str">
        <f>"Q"&amp;ROUNDUP(MONTH(Sheet1[[#This Row],[date_joined]])/3,0)</f>
        <v>Q3</v>
      </c>
      <c r="Q1100" s="2" t="str">
        <f>IF(Sheet1[[#This Row],[age]]&lt;30,"Young",IF(Sheet1[[#This Row],[age]]&lt;=50,"Adult","Senior"))</f>
        <v>Senior</v>
      </c>
      <c r="R1100" s="2" t="str">
        <f t="shared" si="34"/>
        <v>Very High</v>
      </c>
      <c r="S1100" s="2" t="str">
        <f t="shared" si="35"/>
        <v>North-East - Student</v>
      </c>
    </row>
    <row r="1101" spans="1:19" x14ac:dyDescent="0.3">
      <c r="A1101" t="s">
        <v>2225</v>
      </c>
      <c r="B1101" t="s">
        <v>2226</v>
      </c>
      <c r="C1101">
        <v>59</v>
      </c>
      <c r="D1101" s="2" t="s">
        <v>13</v>
      </c>
      <c r="E1101" s="2" t="s">
        <v>30</v>
      </c>
      <c r="F1101" s="2" t="s">
        <v>15</v>
      </c>
      <c r="G1101" s="2" t="s">
        <v>81</v>
      </c>
      <c r="H1101" s="2" t="s">
        <v>17</v>
      </c>
      <c r="I1101" s="2" t="s">
        <v>18</v>
      </c>
      <c r="J1101">
        <v>0.57999999999999996</v>
      </c>
      <c r="K1101" s="1">
        <v>43182</v>
      </c>
      <c r="L1101" s="2" t="str">
        <f>IF(Sheet1[[#This Row],[age]]&lt;18, "Under 18",IF(Sheet1[[#This Row],[age]]&lt;=30,"18-30",IF(Sheet1[[#This Row],[age]]&lt;=45,"31-45",IF(Sheet1[[#This Row],[age]]&lt;=60,"46-60","60+"))))</f>
        <v>46-60</v>
      </c>
      <c r="M1101" s="2" t="str">
        <f>IF(Sheet1[[#This Row],[risk_score]]&lt;0.3,"Low",IF(Sheet1[[#This Row],[risk_score]]&lt;0.7,"Medium","High"))</f>
        <v>Medium</v>
      </c>
      <c r="N1101">
        <f>YEAR(Sheet1[[#This Row],[date_joined]])</f>
        <v>2018</v>
      </c>
      <c r="O1101" s="2" t="str">
        <f>TEXT(Sheet1[[#This Row],[date_joined]],"mmm")</f>
        <v>Mar</v>
      </c>
      <c r="P1101" s="2" t="str">
        <f>"Q"&amp;ROUNDUP(MONTH(Sheet1[[#This Row],[date_joined]])/3,0)</f>
        <v>Q1</v>
      </c>
      <c r="Q1101" s="2" t="str">
        <f>IF(Sheet1[[#This Row],[age]]&lt;30,"Young",IF(Sheet1[[#This Row],[age]]&lt;=50,"Adult","Senior"))</f>
        <v>Senior</v>
      </c>
      <c r="R1101" s="2" t="str">
        <f t="shared" si="34"/>
        <v>High</v>
      </c>
      <c r="S1101" s="2" t="str">
        <f t="shared" si="35"/>
        <v>Central - Student</v>
      </c>
    </row>
    <row r="1102" spans="1:19" x14ac:dyDescent="0.3">
      <c r="A1102" t="s">
        <v>2227</v>
      </c>
      <c r="B1102" t="s">
        <v>2228</v>
      </c>
      <c r="C1102">
        <v>41</v>
      </c>
      <c r="D1102" s="2" t="s">
        <v>21</v>
      </c>
      <c r="E1102" s="2" t="s">
        <v>14</v>
      </c>
      <c r="F1102" s="2" t="s">
        <v>15</v>
      </c>
      <c r="G1102" s="2" t="s">
        <v>66</v>
      </c>
      <c r="H1102" s="2" t="s">
        <v>18</v>
      </c>
      <c r="I1102" s="2" t="s">
        <v>17</v>
      </c>
      <c r="J1102">
        <v>0.52</v>
      </c>
      <c r="K1102" s="1">
        <v>43318</v>
      </c>
      <c r="L1102" s="2" t="str">
        <f>IF(Sheet1[[#This Row],[age]]&lt;18, "Under 18",IF(Sheet1[[#This Row],[age]]&lt;=30,"18-30",IF(Sheet1[[#This Row],[age]]&lt;=45,"31-45",IF(Sheet1[[#This Row],[age]]&lt;=60,"46-60","60+"))))</f>
        <v>31-45</v>
      </c>
      <c r="M1102" s="2" t="str">
        <f>IF(Sheet1[[#This Row],[risk_score]]&lt;0.3,"Low",IF(Sheet1[[#This Row],[risk_score]]&lt;0.7,"Medium","High"))</f>
        <v>Medium</v>
      </c>
      <c r="N1102">
        <f>YEAR(Sheet1[[#This Row],[date_joined]])</f>
        <v>2018</v>
      </c>
      <c r="O1102" s="2" t="str">
        <f>TEXT(Sheet1[[#This Row],[date_joined]],"mmm")</f>
        <v>Aug</v>
      </c>
      <c r="P1102" s="2" t="str">
        <f>"Q"&amp;ROUNDUP(MONTH(Sheet1[[#This Row],[date_joined]])/3,0)</f>
        <v>Q3</v>
      </c>
      <c r="Q1102" s="2" t="str">
        <f>IF(Sheet1[[#This Row],[age]]&lt;30,"Young",IF(Sheet1[[#This Row],[age]]&lt;=50,"Adult","Senior"))</f>
        <v>Adult</v>
      </c>
      <c r="R1102" s="2" t="str">
        <f t="shared" si="34"/>
        <v>High</v>
      </c>
      <c r="S1102" s="2" t="str">
        <f t="shared" si="35"/>
        <v>North-East - Student</v>
      </c>
    </row>
    <row r="1103" spans="1:19" x14ac:dyDescent="0.3">
      <c r="A1103" t="s">
        <v>2229</v>
      </c>
      <c r="B1103" t="s">
        <v>2230</v>
      </c>
      <c r="C1103">
        <v>62</v>
      </c>
      <c r="D1103" s="2" t="s">
        <v>21</v>
      </c>
      <c r="E1103" s="2" t="s">
        <v>14</v>
      </c>
      <c r="F1103" s="2" t="s">
        <v>15</v>
      </c>
      <c r="G1103" s="2" t="s">
        <v>32</v>
      </c>
      <c r="H1103" s="2" t="s">
        <v>18</v>
      </c>
      <c r="I1103" s="2" t="s">
        <v>17</v>
      </c>
      <c r="J1103">
        <v>0.49</v>
      </c>
      <c r="K1103" s="1">
        <v>44610</v>
      </c>
      <c r="L1103" s="2" t="str">
        <f>IF(Sheet1[[#This Row],[age]]&lt;18, "Under 18",IF(Sheet1[[#This Row],[age]]&lt;=30,"18-30",IF(Sheet1[[#This Row],[age]]&lt;=45,"31-45",IF(Sheet1[[#This Row],[age]]&lt;=60,"46-60","60+"))))</f>
        <v>60+</v>
      </c>
      <c r="M1103" s="2" t="str">
        <f>IF(Sheet1[[#This Row],[risk_score]]&lt;0.3,"Low",IF(Sheet1[[#This Row],[risk_score]]&lt;0.7,"Medium","High"))</f>
        <v>Medium</v>
      </c>
      <c r="N1103">
        <f>YEAR(Sheet1[[#This Row],[date_joined]])</f>
        <v>2022</v>
      </c>
      <c r="O1103" s="2" t="str">
        <f>TEXT(Sheet1[[#This Row],[date_joined]],"mmm")</f>
        <v>Feb</v>
      </c>
      <c r="P1103" s="2" t="str">
        <f>"Q"&amp;ROUNDUP(MONTH(Sheet1[[#This Row],[date_joined]])/3,0)</f>
        <v>Q1</v>
      </c>
      <c r="Q1103" s="2" t="str">
        <f>IF(Sheet1[[#This Row],[age]]&lt;30,"Young",IF(Sheet1[[#This Row],[age]]&lt;=50,"Adult","Senior"))</f>
        <v>Senior</v>
      </c>
      <c r="R1103" s="2" t="str">
        <f t="shared" si="34"/>
        <v>High</v>
      </c>
      <c r="S1103" s="2" t="str">
        <f t="shared" si="35"/>
        <v>South - Student</v>
      </c>
    </row>
    <row r="1104" spans="1:19" x14ac:dyDescent="0.3">
      <c r="A1104" t="s">
        <v>2231</v>
      </c>
      <c r="B1104" t="s">
        <v>2232</v>
      </c>
      <c r="C1104">
        <v>36</v>
      </c>
      <c r="D1104" s="2" t="s">
        <v>13</v>
      </c>
      <c r="E1104" s="2" t="s">
        <v>14</v>
      </c>
      <c r="F1104" s="2" t="s">
        <v>37</v>
      </c>
      <c r="G1104" s="2" t="s">
        <v>66</v>
      </c>
      <c r="H1104" s="2" t="s">
        <v>17</v>
      </c>
      <c r="I1104" s="2" t="s">
        <v>17</v>
      </c>
      <c r="J1104">
        <v>0.44</v>
      </c>
      <c r="K1104" s="1">
        <v>44583</v>
      </c>
      <c r="L1104" s="2" t="str">
        <f>IF(Sheet1[[#This Row],[age]]&lt;18, "Under 18",IF(Sheet1[[#This Row],[age]]&lt;=30,"18-30",IF(Sheet1[[#This Row],[age]]&lt;=45,"31-45",IF(Sheet1[[#This Row],[age]]&lt;=60,"46-60","60+"))))</f>
        <v>31-45</v>
      </c>
      <c r="M1104" s="2" t="str">
        <f>IF(Sheet1[[#This Row],[risk_score]]&lt;0.3,"Low",IF(Sheet1[[#This Row],[risk_score]]&lt;0.7,"Medium","High"))</f>
        <v>Medium</v>
      </c>
      <c r="N1104">
        <f>YEAR(Sheet1[[#This Row],[date_joined]])</f>
        <v>2022</v>
      </c>
      <c r="O1104" s="2" t="str">
        <f>TEXT(Sheet1[[#This Row],[date_joined]],"mmm")</f>
        <v>Jan</v>
      </c>
      <c r="P1104" s="2" t="str">
        <f>"Q"&amp;ROUNDUP(MONTH(Sheet1[[#This Row],[date_joined]])/3,0)</f>
        <v>Q1</v>
      </c>
      <c r="Q1104" s="2" t="str">
        <f>IF(Sheet1[[#This Row],[age]]&lt;30,"Young",IF(Sheet1[[#This Row],[age]]&lt;=50,"Adult","Senior"))</f>
        <v>Adult</v>
      </c>
      <c r="R1104" s="2" t="str">
        <f t="shared" si="34"/>
        <v>Low</v>
      </c>
      <c r="S1104" s="2" t="str">
        <f t="shared" si="35"/>
        <v>North-East - Retired</v>
      </c>
    </row>
    <row r="1105" spans="1:19" x14ac:dyDescent="0.3">
      <c r="A1105" t="s">
        <v>2233</v>
      </c>
      <c r="B1105" t="s">
        <v>2234</v>
      </c>
      <c r="C1105">
        <v>55</v>
      </c>
      <c r="D1105" s="2" t="s">
        <v>21</v>
      </c>
      <c r="E1105" s="2" t="s">
        <v>30</v>
      </c>
      <c r="F1105" s="2" t="s">
        <v>23</v>
      </c>
      <c r="G1105" s="2" t="s">
        <v>32</v>
      </c>
      <c r="H1105" s="2" t="s">
        <v>18</v>
      </c>
      <c r="I1105" s="2" t="s">
        <v>18</v>
      </c>
      <c r="J1105">
        <v>0.47</v>
      </c>
      <c r="K1105" s="1">
        <v>44249</v>
      </c>
      <c r="L1105" s="2" t="str">
        <f>IF(Sheet1[[#This Row],[age]]&lt;18, "Under 18",IF(Sheet1[[#This Row],[age]]&lt;=30,"18-30",IF(Sheet1[[#This Row],[age]]&lt;=45,"31-45",IF(Sheet1[[#This Row],[age]]&lt;=60,"46-60","60+"))))</f>
        <v>46-60</v>
      </c>
      <c r="M1105" s="2" t="str">
        <f>IF(Sheet1[[#This Row],[risk_score]]&lt;0.3,"Low",IF(Sheet1[[#This Row],[risk_score]]&lt;0.7,"Medium","High"))</f>
        <v>Medium</v>
      </c>
      <c r="N1105">
        <f>YEAR(Sheet1[[#This Row],[date_joined]])</f>
        <v>2021</v>
      </c>
      <c r="O1105" s="2" t="str">
        <f>TEXT(Sheet1[[#This Row],[date_joined]],"mmm")</f>
        <v>Feb</v>
      </c>
      <c r="P1105" s="2" t="str">
        <f>"Q"&amp;ROUNDUP(MONTH(Sheet1[[#This Row],[date_joined]])/3,0)</f>
        <v>Q1</v>
      </c>
      <c r="Q1105" s="2" t="str">
        <f>IF(Sheet1[[#This Row],[age]]&lt;30,"Young",IF(Sheet1[[#This Row],[age]]&lt;=50,"Adult","Senior"))</f>
        <v>Senior</v>
      </c>
      <c r="R1105" s="2" t="str">
        <f t="shared" si="34"/>
        <v>Very High</v>
      </c>
      <c r="S1105" s="2" t="str">
        <f t="shared" si="35"/>
        <v>South - Salaried</v>
      </c>
    </row>
    <row r="1106" spans="1:19" x14ac:dyDescent="0.3">
      <c r="A1106" t="s">
        <v>2235</v>
      </c>
      <c r="B1106" t="s">
        <v>2236</v>
      </c>
      <c r="C1106">
        <v>23</v>
      </c>
      <c r="D1106" s="2" t="s">
        <v>21</v>
      </c>
      <c r="E1106" s="2" t="s">
        <v>30</v>
      </c>
      <c r="F1106" s="2" t="s">
        <v>31</v>
      </c>
      <c r="G1106" s="2" t="s">
        <v>16</v>
      </c>
      <c r="H1106" s="2" t="s">
        <v>17</v>
      </c>
      <c r="I1106" s="2" t="s">
        <v>17</v>
      </c>
      <c r="J1106">
        <v>0.48</v>
      </c>
      <c r="K1106" s="1">
        <v>43313</v>
      </c>
      <c r="L1106" s="2" t="str">
        <f>IF(Sheet1[[#This Row],[age]]&lt;18, "Under 18",IF(Sheet1[[#This Row],[age]]&lt;=30,"18-30",IF(Sheet1[[#This Row],[age]]&lt;=45,"31-45",IF(Sheet1[[#This Row],[age]]&lt;=60,"46-60","60+"))))</f>
        <v>18-30</v>
      </c>
      <c r="M1106" s="2" t="str">
        <f>IF(Sheet1[[#This Row],[risk_score]]&lt;0.3,"Low",IF(Sheet1[[#This Row],[risk_score]]&lt;0.7,"Medium","High"))</f>
        <v>Medium</v>
      </c>
      <c r="N1106">
        <f>YEAR(Sheet1[[#This Row],[date_joined]])</f>
        <v>2018</v>
      </c>
      <c r="O1106" s="2" t="str">
        <f>TEXT(Sheet1[[#This Row],[date_joined]],"mmm")</f>
        <v>Aug</v>
      </c>
      <c r="P1106" s="2" t="str">
        <f>"Q"&amp;ROUNDUP(MONTH(Sheet1[[#This Row],[date_joined]])/3,0)</f>
        <v>Q3</v>
      </c>
      <c r="Q1106" s="2" t="str">
        <f>IF(Sheet1[[#This Row],[age]]&lt;30,"Young",IF(Sheet1[[#This Row],[age]]&lt;=50,"Adult","Senior"))</f>
        <v>Young</v>
      </c>
      <c r="R1106" s="2" t="str">
        <f t="shared" si="34"/>
        <v>Low</v>
      </c>
      <c r="S1106" s="2" t="str">
        <f t="shared" si="35"/>
        <v>West - Self-employed</v>
      </c>
    </row>
    <row r="1107" spans="1:19" x14ac:dyDescent="0.3">
      <c r="A1107" t="s">
        <v>2237</v>
      </c>
      <c r="B1107" t="s">
        <v>2238</v>
      </c>
      <c r="C1107">
        <v>36</v>
      </c>
      <c r="D1107" s="2" t="s">
        <v>21</v>
      </c>
      <c r="E1107" s="2" t="s">
        <v>14</v>
      </c>
      <c r="F1107" s="2" t="s">
        <v>37</v>
      </c>
      <c r="G1107" s="2" t="s">
        <v>66</v>
      </c>
      <c r="H1107" s="2" t="s">
        <v>17</v>
      </c>
      <c r="I1107" s="2" t="s">
        <v>18</v>
      </c>
      <c r="J1107">
        <v>0.56999999999999995</v>
      </c>
      <c r="K1107" s="1">
        <v>44505</v>
      </c>
      <c r="L1107" s="2" t="str">
        <f>IF(Sheet1[[#This Row],[age]]&lt;18, "Under 18",IF(Sheet1[[#This Row],[age]]&lt;=30,"18-30",IF(Sheet1[[#This Row],[age]]&lt;=45,"31-45",IF(Sheet1[[#This Row],[age]]&lt;=60,"46-60","60+"))))</f>
        <v>31-45</v>
      </c>
      <c r="M1107" s="2" t="str">
        <f>IF(Sheet1[[#This Row],[risk_score]]&lt;0.3,"Low",IF(Sheet1[[#This Row],[risk_score]]&lt;0.7,"Medium","High"))</f>
        <v>Medium</v>
      </c>
      <c r="N1107">
        <f>YEAR(Sheet1[[#This Row],[date_joined]])</f>
        <v>2021</v>
      </c>
      <c r="O1107" s="2" t="str">
        <f>TEXT(Sheet1[[#This Row],[date_joined]],"mmm")</f>
        <v>Nov</v>
      </c>
      <c r="P1107" s="2" t="str">
        <f>"Q"&amp;ROUNDUP(MONTH(Sheet1[[#This Row],[date_joined]])/3,0)</f>
        <v>Q4</v>
      </c>
      <c r="Q1107" s="2" t="str">
        <f>IF(Sheet1[[#This Row],[age]]&lt;30,"Young",IF(Sheet1[[#This Row],[age]]&lt;=50,"Adult","Senior"))</f>
        <v>Adult</v>
      </c>
      <c r="R1107" s="2" t="str">
        <f t="shared" si="34"/>
        <v>High</v>
      </c>
      <c r="S1107" s="2" t="str">
        <f t="shared" si="35"/>
        <v>North-East - Retired</v>
      </c>
    </row>
    <row r="1108" spans="1:19" x14ac:dyDescent="0.3">
      <c r="A1108" t="s">
        <v>2239</v>
      </c>
      <c r="B1108" t="s">
        <v>2240</v>
      </c>
      <c r="C1108">
        <v>48</v>
      </c>
      <c r="D1108" s="2" t="s">
        <v>13</v>
      </c>
      <c r="E1108" s="2" t="s">
        <v>14</v>
      </c>
      <c r="F1108" s="2" t="s">
        <v>37</v>
      </c>
      <c r="G1108" s="2" t="s">
        <v>66</v>
      </c>
      <c r="H1108" s="2" t="s">
        <v>17</v>
      </c>
      <c r="I1108" s="2" t="s">
        <v>17</v>
      </c>
      <c r="J1108">
        <v>0.66</v>
      </c>
      <c r="K1108" s="1">
        <v>43399</v>
      </c>
      <c r="L1108" s="2" t="str">
        <f>IF(Sheet1[[#This Row],[age]]&lt;18, "Under 18",IF(Sheet1[[#This Row],[age]]&lt;=30,"18-30",IF(Sheet1[[#This Row],[age]]&lt;=45,"31-45",IF(Sheet1[[#This Row],[age]]&lt;=60,"46-60","60+"))))</f>
        <v>46-60</v>
      </c>
      <c r="M1108" s="2" t="str">
        <f>IF(Sheet1[[#This Row],[risk_score]]&lt;0.3,"Low",IF(Sheet1[[#This Row],[risk_score]]&lt;0.7,"Medium","High"))</f>
        <v>Medium</v>
      </c>
      <c r="N1108">
        <f>YEAR(Sheet1[[#This Row],[date_joined]])</f>
        <v>2018</v>
      </c>
      <c r="O1108" s="2" t="str">
        <f>TEXT(Sheet1[[#This Row],[date_joined]],"mmm")</f>
        <v>Oct</v>
      </c>
      <c r="P1108" s="2" t="str">
        <f>"Q"&amp;ROUNDUP(MONTH(Sheet1[[#This Row],[date_joined]])/3,0)</f>
        <v>Q4</v>
      </c>
      <c r="Q1108" s="2" t="str">
        <f>IF(Sheet1[[#This Row],[age]]&lt;30,"Young",IF(Sheet1[[#This Row],[age]]&lt;=50,"Adult","Senior"))</f>
        <v>Adult</v>
      </c>
      <c r="R1108" s="2" t="str">
        <f t="shared" si="34"/>
        <v>Low</v>
      </c>
      <c r="S1108" s="2" t="str">
        <f t="shared" si="35"/>
        <v>North-East - Retired</v>
      </c>
    </row>
    <row r="1109" spans="1:19" x14ac:dyDescent="0.3">
      <c r="A1109" t="s">
        <v>2241</v>
      </c>
      <c r="B1109" t="s">
        <v>2242</v>
      </c>
      <c r="C1109">
        <v>64</v>
      </c>
      <c r="D1109" s="2" t="s">
        <v>13</v>
      </c>
      <c r="E1109" s="2" t="s">
        <v>22</v>
      </c>
      <c r="F1109" s="2" t="s">
        <v>37</v>
      </c>
      <c r="G1109" s="2" t="s">
        <v>27</v>
      </c>
      <c r="H1109" s="2" t="s">
        <v>17</v>
      </c>
      <c r="I1109" s="2" t="s">
        <v>17</v>
      </c>
      <c r="J1109">
        <v>0.08</v>
      </c>
      <c r="K1109" s="1">
        <v>43462</v>
      </c>
      <c r="L1109" s="2" t="str">
        <f>IF(Sheet1[[#This Row],[age]]&lt;18, "Under 18",IF(Sheet1[[#This Row],[age]]&lt;=30,"18-30",IF(Sheet1[[#This Row],[age]]&lt;=45,"31-45",IF(Sheet1[[#This Row],[age]]&lt;=60,"46-60","60+"))))</f>
        <v>60+</v>
      </c>
      <c r="M1109" s="2" t="str">
        <f>IF(Sheet1[[#This Row],[risk_score]]&lt;0.3,"Low",IF(Sheet1[[#This Row],[risk_score]]&lt;0.7,"Medium","High"))</f>
        <v>Low</v>
      </c>
      <c r="N1109">
        <f>YEAR(Sheet1[[#This Row],[date_joined]])</f>
        <v>2018</v>
      </c>
      <c r="O1109" s="2" t="str">
        <f>TEXT(Sheet1[[#This Row],[date_joined]],"mmm")</f>
        <v>Dec</v>
      </c>
      <c r="P1109" s="2" t="str">
        <f>"Q"&amp;ROUNDUP(MONTH(Sheet1[[#This Row],[date_joined]])/3,0)</f>
        <v>Q4</v>
      </c>
      <c r="Q1109" s="2" t="str">
        <f>IF(Sheet1[[#This Row],[age]]&lt;30,"Young",IF(Sheet1[[#This Row],[age]]&lt;=50,"Adult","Senior"))</f>
        <v>Senior</v>
      </c>
      <c r="R1109" s="2" t="str">
        <f t="shared" si="34"/>
        <v>Low</v>
      </c>
      <c r="S1109" s="2" t="str">
        <f t="shared" si="35"/>
        <v>North - Retired</v>
      </c>
    </row>
    <row r="1110" spans="1:19" x14ac:dyDescent="0.3">
      <c r="A1110" t="s">
        <v>2243</v>
      </c>
      <c r="B1110" t="s">
        <v>2244</v>
      </c>
      <c r="C1110">
        <v>22</v>
      </c>
      <c r="D1110" s="2" t="s">
        <v>21</v>
      </c>
      <c r="E1110" s="2" t="s">
        <v>14</v>
      </c>
      <c r="F1110" s="2" t="s">
        <v>37</v>
      </c>
      <c r="G1110" s="2" t="s">
        <v>66</v>
      </c>
      <c r="H1110" s="2" t="s">
        <v>18</v>
      </c>
      <c r="I1110" s="2" t="s">
        <v>17</v>
      </c>
      <c r="J1110">
        <v>0.36</v>
      </c>
      <c r="K1110" s="1">
        <v>43313</v>
      </c>
      <c r="L1110" s="2" t="str">
        <f>IF(Sheet1[[#This Row],[age]]&lt;18, "Under 18",IF(Sheet1[[#This Row],[age]]&lt;=30,"18-30",IF(Sheet1[[#This Row],[age]]&lt;=45,"31-45",IF(Sheet1[[#This Row],[age]]&lt;=60,"46-60","60+"))))</f>
        <v>18-30</v>
      </c>
      <c r="M1110" s="2" t="str">
        <f>IF(Sheet1[[#This Row],[risk_score]]&lt;0.3,"Low",IF(Sheet1[[#This Row],[risk_score]]&lt;0.7,"Medium","High"))</f>
        <v>Medium</v>
      </c>
      <c r="N1110">
        <f>YEAR(Sheet1[[#This Row],[date_joined]])</f>
        <v>2018</v>
      </c>
      <c r="O1110" s="2" t="str">
        <f>TEXT(Sheet1[[#This Row],[date_joined]],"mmm")</f>
        <v>Aug</v>
      </c>
      <c r="P1110" s="2" t="str">
        <f>"Q"&amp;ROUNDUP(MONTH(Sheet1[[#This Row],[date_joined]])/3,0)</f>
        <v>Q3</v>
      </c>
      <c r="Q1110" s="2" t="str">
        <f>IF(Sheet1[[#This Row],[age]]&lt;30,"Young",IF(Sheet1[[#This Row],[age]]&lt;=50,"Adult","Senior"))</f>
        <v>Young</v>
      </c>
      <c r="R1110" s="2" t="str">
        <f t="shared" si="34"/>
        <v>High</v>
      </c>
      <c r="S1110" s="2" t="str">
        <f t="shared" si="35"/>
        <v>North-East - Retired</v>
      </c>
    </row>
    <row r="1111" spans="1:19" x14ac:dyDescent="0.3">
      <c r="A1111" t="s">
        <v>2245</v>
      </c>
      <c r="B1111" t="s">
        <v>2246</v>
      </c>
      <c r="C1111">
        <v>45</v>
      </c>
      <c r="D1111" s="2" t="s">
        <v>21</v>
      </c>
      <c r="E1111" s="2" t="s">
        <v>22</v>
      </c>
      <c r="F1111" s="2" t="s">
        <v>37</v>
      </c>
      <c r="G1111" s="2" t="s">
        <v>24</v>
      </c>
      <c r="H1111" s="2" t="s">
        <v>17</v>
      </c>
      <c r="I1111" s="2" t="s">
        <v>17</v>
      </c>
      <c r="J1111">
        <v>0.81</v>
      </c>
      <c r="K1111" s="1">
        <v>43420</v>
      </c>
      <c r="L1111" s="2" t="str">
        <f>IF(Sheet1[[#This Row],[age]]&lt;18, "Under 18",IF(Sheet1[[#This Row],[age]]&lt;=30,"18-30",IF(Sheet1[[#This Row],[age]]&lt;=45,"31-45",IF(Sheet1[[#This Row],[age]]&lt;=60,"46-60","60+"))))</f>
        <v>31-45</v>
      </c>
      <c r="M1111" s="2" t="str">
        <f>IF(Sheet1[[#This Row],[risk_score]]&lt;0.3,"Low",IF(Sheet1[[#This Row],[risk_score]]&lt;0.7,"Medium","High"))</f>
        <v>High</v>
      </c>
      <c r="N1111">
        <f>YEAR(Sheet1[[#This Row],[date_joined]])</f>
        <v>2018</v>
      </c>
      <c r="O1111" s="2" t="str">
        <f>TEXT(Sheet1[[#This Row],[date_joined]],"mmm")</f>
        <v>Nov</v>
      </c>
      <c r="P1111" s="2" t="str">
        <f>"Q"&amp;ROUNDUP(MONTH(Sheet1[[#This Row],[date_joined]])/3,0)</f>
        <v>Q4</v>
      </c>
      <c r="Q1111" s="2" t="str">
        <f>IF(Sheet1[[#This Row],[age]]&lt;30,"Young",IF(Sheet1[[#This Row],[age]]&lt;=50,"Adult","Senior"))</f>
        <v>Adult</v>
      </c>
      <c r="R1111" s="2" t="str">
        <f t="shared" si="34"/>
        <v>Low</v>
      </c>
      <c r="S1111" s="2" t="str">
        <f t="shared" si="35"/>
        <v>East - Retired</v>
      </c>
    </row>
    <row r="1112" spans="1:19" x14ac:dyDescent="0.3">
      <c r="A1112" t="s">
        <v>2247</v>
      </c>
      <c r="B1112" t="s">
        <v>2248</v>
      </c>
      <c r="C1112">
        <v>50</v>
      </c>
      <c r="D1112" s="2" t="s">
        <v>13</v>
      </c>
      <c r="E1112" s="2" t="s">
        <v>14</v>
      </c>
      <c r="F1112" s="2" t="s">
        <v>15</v>
      </c>
      <c r="G1112" s="2" t="s">
        <v>81</v>
      </c>
      <c r="H1112" s="2" t="s">
        <v>18</v>
      </c>
      <c r="I1112" s="2" t="s">
        <v>17</v>
      </c>
      <c r="J1112">
        <v>0.5</v>
      </c>
      <c r="K1112" s="1">
        <v>43546</v>
      </c>
      <c r="L1112" s="2" t="str">
        <f>IF(Sheet1[[#This Row],[age]]&lt;18, "Under 18",IF(Sheet1[[#This Row],[age]]&lt;=30,"18-30",IF(Sheet1[[#This Row],[age]]&lt;=45,"31-45",IF(Sheet1[[#This Row],[age]]&lt;=60,"46-60","60+"))))</f>
        <v>46-60</v>
      </c>
      <c r="M1112" s="2" t="str">
        <f>IF(Sheet1[[#This Row],[risk_score]]&lt;0.3,"Low",IF(Sheet1[[#This Row],[risk_score]]&lt;0.7,"Medium","High"))</f>
        <v>Medium</v>
      </c>
      <c r="N1112">
        <f>YEAR(Sheet1[[#This Row],[date_joined]])</f>
        <v>2019</v>
      </c>
      <c r="O1112" s="2" t="str">
        <f>TEXT(Sheet1[[#This Row],[date_joined]],"mmm")</f>
        <v>Mar</v>
      </c>
      <c r="P1112" s="2" t="str">
        <f>"Q"&amp;ROUNDUP(MONTH(Sheet1[[#This Row],[date_joined]])/3,0)</f>
        <v>Q1</v>
      </c>
      <c r="Q1112" s="2" t="str">
        <f>IF(Sheet1[[#This Row],[age]]&lt;30,"Young",IF(Sheet1[[#This Row],[age]]&lt;=50,"Adult","Senior"))</f>
        <v>Adult</v>
      </c>
      <c r="R1112" s="2" t="str">
        <f t="shared" si="34"/>
        <v>High</v>
      </c>
      <c r="S1112" s="2" t="str">
        <f t="shared" si="35"/>
        <v>Central - Student</v>
      </c>
    </row>
    <row r="1113" spans="1:19" x14ac:dyDescent="0.3">
      <c r="A1113" t="s">
        <v>2249</v>
      </c>
      <c r="B1113" t="s">
        <v>2250</v>
      </c>
      <c r="C1113">
        <v>46</v>
      </c>
      <c r="D1113" s="2" t="s">
        <v>13</v>
      </c>
      <c r="E1113" s="2" t="s">
        <v>22</v>
      </c>
      <c r="F1113" s="2" t="s">
        <v>37</v>
      </c>
      <c r="G1113" s="2" t="s">
        <v>81</v>
      </c>
      <c r="H1113" s="2" t="s">
        <v>17</v>
      </c>
      <c r="I1113" s="2" t="s">
        <v>18</v>
      </c>
      <c r="J1113">
        <v>0.76</v>
      </c>
      <c r="K1113" s="1">
        <v>44901</v>
      </c>
      <c r="L1113" s="2" t="str">
        <f>IF(Sheet1[[#This Row],[age]]&lt;18, "Under 18",IF(Sheet1[[#This Row],[age]]&lt;=30,"18-30",IF(Sheet1[[#This Row],[age]]&lt;=45,"31-45",IF(Sheet1[[#This Row],[age]]&lt;=60,"46-60","60+"))))</f>
        <v>46-60</v>
      </c>
      <c r="M1113" s="2" t="str">
        <f>IF(Sheet1[[#This Row],[risk_score]]&lt;0.3,"Low",IF(Sheet1[[#This Row],[risk_score]]&lt;0.7,"Medium","High"))</f>
        <v>High</v>
      </c>
      <c r="N1113">
        <f>YEAR(Sheet1[[#This Row],[date_joined]])</f>
        <v>2022</v>
      </c>
      <c r="O1113" s="2" t="str">
        <f>TEXT(Sheet1[[#This Row],[date_joined]],"mmm")</f>
        <v>Dec</v>
      </c>
      <c r="P1113" s="2" t="str">
        <f>"Q"&amp;ROUNDUP(MONTH(Sheet1[[#This Row],[date_joined]])/3,0)</f>
        <v>Q4</v>
      </c>
      <c r="Q1113" s="2" t="str">
        <f>IF(Sheet1[[#This Row],[age]]&lt;30,"Young",IF(Sheet1[[#This Row],[age]]&lt;=50,"Adult","Senior"))</f>
        <v>Adult</v>
      </c>
      <c r="R1113" s="2" t="str">
        <f t="shared" si="34"/>
        <v>High</v>
      </c>
      <c r="S1113" s="2" t="str">
        <f t="shared" si="35"/>
        <v>Central - Retired</v>
      </c>
    </row>
    <row r="1114" spans="1:19" x14ac:dyDescent="0.3">
      <c r="A1114" t="s">
        <v>2251</v>
      </c>
      <c r="B1114" t="s">
        <v>2252</v>
      </c>
      <c r="C1114">
        <v>59</v>
      </c>
      <c r="D1114" s="2" t="s">
        <v>13</v>
      </c>
      <c r="E1114" s="2" t="s">
        <v>30</v>
      </c>
      <c r="F1114" s="2" t="s">
        <v>31</v>
      </c>
      <c r="G1114" s="2" t="s">
        <v>27</v>
      </c>
      <c r="H1114" s="2" t="s">
        <v>18</v>
      </c>
      <c r="I1114" s="2" t="s">
        <v>18</v>
      </c>
      <c r="J1114">
        <v>0.48</v>
      </c>
      <c r="K1114" s="1">
        <v>44393</v>
      </c>
      <c r="L1114" s="2" t="str">
        <f>IF(Sheet1[[#This Row],[age]]&lt;18, "Under 18",IF(Sheet1[[#This Row],[age]]&lt;=30,"18-30",IF(Sheet1[[#This Row],[age]]&lt;=45,"31-45",IF(Sheet1[[#This Row],[age]]&lt;=60,"46-60","60+"))))</f>
        <v>46-60</v>
      </c>
      <c r="M1114" s="2" t="str">
        <f>IF(Sheet1[[#This Row],[risk_score]]&lt;0.3,"Low",IF(Sheet1[[#This Row],[risk_score]]&lt;0.7,"Medium","High"))</f>
        <v>Medium</v>
      </c>
      <c r="N1114">
        <f>YEAR(Sheet1[[#This Row],[date_joined]])</f>
        <v>2021</v>
      </c>
      <c r="O1114" s="2" t="str">
        <f>TEXT(Sheet1[[#This Row],[date_joined]],"mmm")</f>
        <v>Jul</v>
      </c>
      <c r="P1114" s="2" t="str">
        <f>"Q"&amp;ROUNDUP(MONTH(Sheet1[[#This Row],[date_joined]])/3,0)</f>
        <v>Q3</v>
      </c>
      <c r="Q1114" s="2" t="str">
        <f>IF(Sheet1[[#This Row],[age]]&lt;30,"Young",IF(Sheet1[[#This Row],[age]]&lt;=50,"Adult","Senior"))</f>
        <v>Senior</v>
      </c>
      <c r="R1114" s="2" t="str">
        <f t="shared" si="34"/>
        <v>Very High</v>
      </c>
      <c r="S1114" s="2" t="str">
        <f t="shared" si="35"/>
        <v>North - Self-employed</v>
      </c>
    </row>
    <row r="1115" spans="1:19" x14ac:dyDescent="0.3">
      <c r="A1115" t="s">
        <v>2253</v>
      </c>
      <c r="B1115" t="s">
        <v>2254</v>
      </c>
      <c r="C1115">
        <v>65</v>
      </c>
      <c r="D1115" s="2" t="s">
        <v>13</v>
      </c>
      <c r="E1115" s="2" t="s">
        <v>22</v>
      </c>
      <c r="F1115" s="2" t="s">
        <v>37</v>
      </c>
      <c r="G1115" s="2" t="s">
        <v>24</v>
      </c>
      <c r="H1115" s="2" t="s">
        <v>18</v>
      </c>
      <c r="I1115" s="2" t="s">
        <v>18</v>
      </c>
      <c r="J1115">
        <v>0.45</v>
      </c>
      <c r="K1115" s="1">
        <v>43776</v>
      </c>
      <c r="L1115" s="2" t="str">
        <f>IF(Sheet1[[#This Row],[age]]&lt;18, "Under 18",IF(Sheet1[[#This Row],[age]]&lt;=30,"18-30",IF(Sheet1[[#This Row],[age]]&lt;=45,"31-45",IF(Sheet1[[#This Row],[age]]&lt;=60,"46-60","60+"))))</f>
        <v>60+</v>
      </c>
      <c r="M1115" s="2" t="str">
        <f>IF(Sheet1[[#This Row],[risk_score]]&lt;0.3,"Low",IF(Sheet1[[#This Row],[risk_score]]&lt;0.7,"Medium","High"))</f>
        <v>Medium</v>
      </c>
      <c r="N1115">
        <f>YEAR(Sheet1[[#This Row],[date_joined]])</f>
        <v>2019</v>
      </c>
      <c r="O1115" s="2" t="str">
        <f>TEXT(Sheet1[[#This Row],[date_joined]],"mmm")</f>
        <v>Nov</v>
      </c>
      <c r="P1115" s="2" t="str">
        <f>"Q"&amp;ROUNDUP(MONTH(Sheet1[[#This Row],[date_joined]])/3,0)</f>
        <v>Q4</v>
      </c>
      <c r="Q1115" s="2" t="str">
        <f>IF(Sheet1[[#This Row],[age]]&lt;30,"Young",IF(Sheet1[[#This Row],[age]]&lt;=50,"Adult","Senior"))</f>
        <v>Senior</v>
      </c>
      <c r="R1115" s="2" t="str">
        <f t="shared" si="34"/>
        <v>Very High</v>
      </c>
      <c r="S1115" s="2" t="str">
        <f t="shared" si="35"/>
        <v>East - Retired</v>
      </c>
    </row>
    <row r="1116" spans="1:19" x14ac:dyDescent="0.3">
      <c r="A1116" t="s">
        <v>2255</v>
      </c>
      <c r="B1116" t="s">
        <v>2256</v>
      </c>
      <c r="C1116">
        <v>66</v>
      </c>
      <c r="D1116" s="2" t="s">
        <v>13</v>
      </c>
      <c r="E1116" s="2" t="s">
        <v>14</v>
      </c>
      <c r="F1116" s="2" t="s">
        <v>37</v>
      </c>
      <c r="G1116" s="2" t="s">
        <v>27</v>
      </c>
      <c r="H1116" s="2" t="s">
        <v>17</v>
      </c>
      <c r="I1116" s="2" t="s">
        <v>17</v>
      </c>
      <c r="J1116">
        <v>0.54</v>
      </c>
      <c r="K1116" s="1">
        <v>44096</v>
      </c>
      <c r="L1116" s="2" t="str">
        <f>IF(Sheet1[[#This Row],[age]]&lt;18, "Under 18",IF(Sheet1[[#This Row],[age]]&lt;=30,"18-30",IF(Sheet1[[#This Row],[age]]&lt;=45,"31-45",IF(Sheet1[[#This Row],[age]]&lt;=60,"46-60","60+"))))</f>
        <v>60+</v>
      </c>
      <c r="M1116" s="2" t="str">
        <f>IF(Sheet1[[#This Row],[risk_score]]&lt;0.3,"Low",IF(Sheet1[[#This Row],[risk_score]]&lt;0.7,"Medium","High"))</f>
        <v>Medium</v>
      </c>
      <c r="N1116">
        <f>YEAR(Sheet1[[#This Row],[date_joined]])</f>
        <v>2020</v>
      </c>
      <c r="O1116" s="2" t="str">
        <f>TEXT(Sheet1[[#This Row],[date_joined]],"mmm")</f>
        <v>Sep</v>
      </c>
      <c r="P1116" s="2" t="str">
        <f>"Q"&amp;ROUNDUP(MONTH(Sheet1[[#This Row],[date_joined]])/3,0)</f>
        <v>Q3</v>
      </c>
      <c r="Q1116" s="2" t="str">
        <f>IF(Sheet1[[#This Row],[age]]&lt;30,"Young",IF(Sheet1[[#This Row],[age]]&lt;=50,"Adult","Senior"))</f>
        <v>Senior</v>
      </c>
      <c r="R1116" s="2" t="str">
        <f t="shared" si="34"/>
        <v>Low</v>
      </c>
      <c r="S1116" s="2" t="str">
        <f t="shared" si="35"/>
        <v>North - Retired</v>
      </c>
    </row>
    <row r="1117" spans="1:19" x14ac:dyDescent="0.3">
      <c r="A1117" t="s">
        <v>2257</v>
      </c>
      <c r="B1117" t="s">
        <v>2258</v>
      </c>
      <c r="C1117">
        <v>55</v>
      </c>
      <c r="D1117" s="2" t="s">
        <v>13</v>
      </c>
      <c r="E1117" s="2" t="s">
        <v>30</v>
      </c>
      <c r="F1117" s="2" t="s">
        <v>37</v>
      </c>
      <c r="G1117" s="2" t="s">
        <v>66</v>
      </c>
      <c r="H1117" s="2" t="s">
        <v>17</v>
      </c>
      <c r="I1117" s="2" t="s">
        <v>17</v>
      </c>
      <c r="J1117">
        <v>0.54</v>
      </c>
      <c r="K1117" s="1">
        <v>44668</v>
      </c>
      <c r="L1117" s="2" t="str">
        <f>IF(Sheet1[[#This Row],[age]]&lt;18, "Under 18",IF(Sheet1[[#This Row],[age]]&lt;=30,"18-30",IF(Sheet1[[#This Row],[age]]&lt;=45,"31-45",IF(Sheet1[[#This Row],[age]]&lt;=60,"46-60","60+"))))</f>
        <v>46-60</v>
      </c>
      <c r="M1117" s="2" t="str">
        <f>IF(Sheet1[[#This Row],[risk_score]]&lt;0.3,"Low",IF(Sheet1[[#This Row],[risk_score]]&lt;0.7,"Medium","High"))</f>
        <v>Medium</v>
      </c>
      <c r="N1117">
        <f>YEAR(Sheet1[[#This Row],[date_joined]])</f>
        <v>2022</v>
      </c>
      <c r="O1117" s="2" t="str">
        <f>TEXT(Sheet1[[#This Row],[date_joined]],"mmm")</f>
        <v>Apr</v>
      </c>
      <c r="P1117" s="2" t="str">
        <f>"Q"&amp;ROUNDUP(MONTH(Sheet1[[#This Row],[date_joined]])/3,0)</f>
        <v>Q2</v>
      </c>
      <c r="Q1117" s="2" t="str">
        <f>IF(Sheet1[[#This Row],[age]]&lt;30,"Young",IF(Sheet1[[#This Row],[age]]&lt;=50,"Adult","Senior"))</f>
        <v>Senior</v>
      </c>
      <c r="R1117" s="2" t="str">
        <f t="shared" si="34"/>
        <v>Low</v>
      </c>
      <c r="S1117" s="2" t="str">
        <f t="shared" si="35"/>
        <v>North-East - Retired</v>
      </c>
    </row>
    <row r="1118" spans="1:19" x14ac:dyDescent="0.3">
      <c r="A1118" t="s">
        <v>2259</v>
      </c>
      <c r="B1118" t="s">
        <v>2260</v>
      </c>
      <c r="C1118">
        <v>64</v>
      </c>
      <c r="D1118" s="2" t="s">
        <v>21</v>
      </c>
      <c r="E1118" s="2" t="s">
        <v>22</v>
      </c>
      <c r="F1118" s="2" t="s">
        <v>15</v>
      </c>
      <c r="G1118" s="2" t="s">
        <v>81</v>
      </c>
      <c r="H1118" s="2" t="s">
        <v>18</v>
      </c>
      <c r="I1118" s="2" t="s">
        <v>18</v>
      </c>
      <c r="J1118">
        <v>0.48</v>
      </c>
      <c r="K1118" s="1">
        <v>44096</v>
      </c>
      <c r="L1118" s="2" t="str">
        <f>IF(Sheet1[[#This Row],[age]]&lt;18, "Under 18",IF(Sheet1[[#This Row],[age]]&lt;=30,"18-30",IF(Sheet1[[#This Row],[age]]&lt;=45,"31-45",IF(Sheet1[[#This Row],[age]]&lt;=60,"46-60","60+"))))</f>
        <v>60+</v>
      </c>
      <c r="M1118" s="2" t="str">
        <f>IF(Sheet1[[#This Row],[risk_score]]&lt;0.3,"Low",IF(Sheet1[[#This Row],[risk_score]]&lt;0.7,"Medium","High"))</f>
        <v>Medium</v>
      </c>
      <c r="N1118">
        <f>YEAR(Sheet1[[#This Row],[date_joined]])</f>
        <v>2020</v>
      </c>
      <c r="O1118" s="2" t="str">
        <f>TEXT(Sheet1[[#This Row],[date_joined]],"mmm")</f>
        <v>Sep</v>
      </c>
      <c r="P1118" s="2" t="str">
        <f>"Q"&amp;ROUNDUP(MONTH(Sheet1[[#This Row],[date_joined]])/3,0)</f>
        <v>Q3</v>
      </c>
      <c r="Q1118" s="2" t="str">
        <f>IF(Sheet1[[#This Row],[age]]&lt;30,"Young",IF(Sheet1[[#This Row],[age]]&lt;=50,"Adult","Senior"))</f>
        <v>Senior</v>
      </c>
      <c r="R1118" s="2" t="str">
        <f t="shared" si="34"/>
        <v>Very High</v>
      </c>
      <c r="S1118" s="2" t="str">
        <f t="shared" si="35"/>
        <v>Central - Student</v>
      </c>
    </row>
    <row r="1119" spans="1:19" x14ac:dyDescent="0.3">
      <c r="A1119" t="s">
        <v>2261</v>
      </c>
      <c r="B1119" t="s">
        <v>2262</v>
      </c>
      <c r="C1119">
        <v>62</v>
      </c>
      <c r="D1119" s="2" t="s">
        <v>21</v>
      </c>
      <c r="E1119" s="2" t="s">
        <v>14</v>
      </c>
      <c r="F1119" s="2" t="s">
        <v>23</v>
      </c>
      <c r="G1119" s="2" t="s">
        <v>27</v>
      </c>
      <c r="H1119" s="2" t="s">
        <v>17</v>
      </c>
      <c r="I1119" s="2" t="s">
        <v>18</v>
      </c>
      <c r="J1119">
        <v>0.51</v>
      </c>
      <c r="K1119" s="1">
        <v>45167</v>
      </c>
      <c r="L1119" s="2" t="str">
        <f>IF(Sheet1[[#This Row],[age]]&lt;18, "Under 18",IF(Sheet1[[#This Row],[age]]&lt;=30,"18-30",IF(Sheet1[[#This Row],[age]]&lt;=45,"31-45",IF(Sheet1[[#This Row],[age]]&lt;=60,"46-60","60+"))))</f>
        <v>60+</v>
      </c>
      <c r="M1119" s="2" t="str">
        <f>IF(Sheet1[[#This Row],[risk_score]]&lt;0.3,"Low",IF(Sheet1[[#This Row],[risk_score]]&lt;0.7,"Medium","High"))</f>
        <v>Medium</v>
      </c>
      <c r="N1119">
        <f>YEAR(Sheet1[[#This Row],[date_joined]])</f>
        <v>2023</v>
      </c>
      <c r="O1119" s="2" t="str">
        <f>TEXT(Sheet1[[#This Row],[date_joined]],"mmm")</f>
        <v>Aug</v>
      </c>
      <c r="P1119" s="2" t="str">
        <f>"Q"&amp;ROUNDUP(MONTH(Sheet1[[#This Row],[date_joined]])/3,0)</f>
        <v>Q3</v>
      </c>
      <c r="Q1119" s="2" t="str">
        <f>IF(Sheet1[[#This Row],[age]]&lt;30,"Young",IF(Sheet1[[#This Row],[age]]&lt;=50,"Adult","Senior"))</f>
        <v>Senior</v>
      </c>
      <c r="R1119" s="2" t="str">
        <f t="shared" si="34"/>
        <v>High</v>
      </c>
      <c r="S1119" s="2" t="str">
        <f t="shared" si="35"/>
        <v>North - Salaried</v>
      </c>
    </row>
    <row r="1120" spans="1:19" x14ac:dyDescent="0.3">
      <c r="A1120" t="s">
        <v>2263</v>
      </c>
      <c r="B1120" t="s">
        <v>2264</v>
      </c>
      <c r="C1120">
        <v>49</v>
      </c>
      <c r="D1120" s="2" t="s">
        <v>21</v>
      </c>
      <c r="E1120" s="2" t="s">
        <v>30</v>
      </c>
      <c r="F1120" s="2" t="s">
        <v>15</v>
      </c>
      <c r="G1120" s="2" t="s">
        <v>81</v>
      </c>
      <c r="H1120" s="2" t="s">
        <v>18</v>
      </c>
      <c r="I1120" s="2" t="s">
        <v>18</v>
      </c>
      <c r="J1120">
        <v>0.69</v>
      </c>
      <c r="K1120" s="1">
        <v>44494</v>
      </c>
      <c r="L1120" s="2" t="str">
        <f>IF(Sheet1[[#This Row],[age]]&lt;18, "Under 18",IF(Sheet1[[#This Row],[age]]&lt;=30,"18-30",IF(Sheet1[[#This Row],[age]]&lt;=45,"31-45",IF(Sheet1[[#This Row],[age]]&lt;=60,"46-60","60+"))))</f>
        <v>46-60</v>
      </c>
      <c r="M1120" s="2" t="str">
        <f>IF(Sheet1[[#This Row],[risk_score]]&lt;0.3,"Low",IF(Sheet1[[#This Row],[risk_score]]&lt;0.7,"Medium","High"))</f>
        <v>Medium</v>
      </c>
      <c r="N1120">
        <f>YEAR(Sheet1[[#This Row],[date_joined]])</f>
        <v>2021</v>
      </c>
      <c r="O1120" s="2" t="str">
        <f>TEXT(Sheet1[[#This Row],[date_joined]],"mmm")</f>
        <v>Oct</v>
      </c>
      <c r="P1120" s="2" t="str">
        <f>"Q"&amp;ROUNDUP(MONTH(Sheet1[[#This Row],[date_joined]])/3,0)</f>
        <v>Q4</v>
      </c>
      <c r="Q1120" s="2" t="str">
        <f>IF(Sheet1[[#This Row],[age]]&lt;30,"Young",IF(Sheet1[[#This Row],[age]]&lt;=50,"Adult","Senior"))</f>
        <v>Adult</v>
      </c>
      <c r="R1120" s="2" t="str">
        <f t="shared" si="34"/>
        <v>Very High</v>
      </c>
      <c r="S1120" s="2" t="str">
        <f t="shared" si="35"/>
        <v>Central - Student</v>
      </c>
    </row>
    <row r="1121" spans="1:19" x14ac:dyDescent="0.3">
      <c r="A1121" t="s">
        <v>2265</v>
      </c>
      <c r="B1121" t="s">
        <v>2266</v>
      </c>
      <c r="C1121">
        <v>57</v>
      </c>
      <c r="D1121" s="2" t="s">
        <v>21</v>
      </c>
      <c r="E1121" s="2" t="s">
        <v>14</v>
      </c>
      <c r="F1121" s="2" t="s">
        <v>31</v>
      </c>
      <c r="G1121" s="2" t="s">
        <v>81</v>
      </c>
      <c r="H1121" s="2" t="s">
        <v>17</v>
      </c>
      <c r="I1121" s="2" t="s">
        <v>18</v>
      </c>
      <c r="J1121">
        <v>0.37</v>
      </c>
      <c r="K1121" s="1">
        <v>43150</v>
      </c>
      <c r="L1121" s="2" t="str">
        <f>IF(Sheet1[[#This Row],[age]]&lt;18, "Under 18",IF(Sheet1[[#This Row],[age]]&lt;=30,"18-30",IF(Sheet1[[#This Row],[age]]&lt;=45,"31-45",IF(Sheet1[[#This Row],[age]]&lt;=60,"46-60","60+"))))</f>
        <v>46-60</v>
      </c>
      <c r="M1121" s="2" t="str">
        <f>IF(Sheet1[[#This Row],[risk_score]]&lt;0.3,"Low",IF(Sheet1[[#This Row],[risk_score]]&lt;0.7,"Medium","High"))</f>
        <v>Medium</v>
      </c>
      <c r="N1121">
        <f>YEAR(Sheet1[[#This Row],[date_joined]])</f>
        <v>2018</v>
      </c>
      <c r="O1121" s="2" t="str">
        <f>TEXT(Sheet1[[#This Row],[date_joined]],"mmm")</f>
        <v>Feb</v>
      </c>
      <c r="P1121" s="2" t="str">
        <f>"Q"&amp;ROUNDUP(MONTH(Sheet1[[#This Row],[date_joined]])/3,0)</f>
        <v>Q1</v>
      </c>
      <c r="Q1121" s="2" t="str">
        <f>IF(Sheet1[[#This Row],[age]]&lt;30,"Young",IF(Sheet1[[#This Row],[age]]&lt;=50,"Adult","Senior"))</f>
        <v>Senior</v>
      </c>
      <c r="R1121" s="2" t="str">
        <f t="shared" si="34"/>
        <v>High</v>
      </c>
      <c r="S1121" s="2" t="str">
        <f t="shared" si="35"/>
        <v>Central - Self-employed</v>
      </c>
    </row>
    <row r="1122" spans="1:19" x14ac:dyDescent="0.3">
      <c r="A1122" t="s">
        <v>2267</v>
      </c>
      <c r="B1122" t="s">
        <v>2268</v>
      </c>
      <c r="C1122">
        <v>69</v>
      </c>
      <c r="D1122" s="2" t="s">
        <v>13</v>
      </c>
      <c r="E1122" s="2" t="s">
        <v>22</v>
      </c>
      <c r="F1122" s="2" t="s">
        <v>15</v>
      </c>
      <c r="G1122" s="2" t="s">
        <v>24</v>
      </c>
      <c r="H1122" s="2" t="s">
        <v>17</v>
      </c>
      <c r="I1122" s="2" t="s">
        <v>17</v>
      </c>
      <c r="J1122">
        <v>0.28999999999999998</v>
      </c>
      <c r="K1122" s="1">
        <v>43173</v>
      </c>
      <c r="L1122" s="2" t="str">
        <f>IF(Sheet1[[#This Row],[age]]&lt;18, "Under 18",IF(Sheet1[[#This Row],[age]]&lt;=30,"18-30",IF(Sheet1[[#This Row],[age]]&lt;=45,"31-45",IF(Sheet1[[#This Row],[age]]&lt;=60,"46-60","60+"))))</f>
        <v>60+</v>
      </c>
      <c r="M1122" s="2" t="str">
        <f>IF(Sheet1[[#This Row],[risk_score]]&lt;0.3,"Low",IF(Sheet1[[#This Row],[risk_score]]&lt;0.7,"Medium","High"))</f>
        <v>Low</v>
      </c>
      <c r="N1122">
        <f>YEAR(Sheet1[[#This Row],[date_joined]])</f>
        <v>2018</v>
      </c>
      <c r="O1122" s="2" t="str">
        <f>TEXT(Sheet1[[#This Row],[date_joined]],"mmm")</f>
        <v>Mar</v>
      </c>
      <c r="P1122" s="2" t="str">
        <f>"Q"&amp;ROUNDUP(MONTH(Sheet1[[#This Row],[date_joined]])/3,0)</f>
        <v>Q1</v>
      </c>
      <c r="Q1122" s="2" t="str">
        <f>IF(Sheet1[[#This Row],[age]]&lt;30,"Young",IF(Sheet1[[#This Row],[age]]&lt;=50,"Adult","Senior"))</f>
        <v>Senior</v>
      </c>
      <c r="R1122" s="2" t="str">
        <f t="shared" si="34"/>
        <v>Low</v>
      </c>
      <c r="S1122" s="2" t="str">
        <f t="shared" si="35"/>
        <v>East - Student</v>
      </c>
    </row>
    <row r="1123" spans="1:19" x14ac:dyDescent="0.3">
      <c r="A1123" t="s">
        <v>2269</v>
      </c>
      <c r="B1123" t="s">
        <v>2270</v>
      </c>
      <c r="C1123">
        <v>25</v>
      </c>
      <c r="D1123" s="2" t="s">
        <v>21</v>
      </c>
      <c r="E1123" s="2" t="s">
        <v>30</v>
      </c>
      <c r="F1123" s="2" t="s">
        <v>37</v>
      </c>
      <c r="G1123" s="2" t="s">
        <v>16</v>
      </c>
      <c r="H1123" s="2" t="s">
        <v>18</v>
      </c>
      <c r="I1123" s="2" t="s">
        <v>17</v>
      </c>
      <c r="J1123">
        <v>0.59</v>
      </c>
      <c r="K1123" s="1">
        <v>44645</v>
      </c>
      <c r="L1123" s="2" t="str">
        <f>IF(Sheet1[[#This Row],[age]]&lt;18, "Under 18",IF(Sheet1[[#This Row],[age]]&lt;=30,"18-30",IF(Sheet1[[#This Row],[age]]&lt;=45,"31-45",IF(Sheet1[[#This Row],[age]]&lt;=60,"46-60","60+"))))</f>
        <v>18-30</v>
      </c>
      <c r="M1123" s="2" t="str">
        <f>IF(Sheet1[[#This Row],[risk_score]]&lt;0.3,"Low",IF(Sheet1[[#This Row],[risk_score]]&lt;0.7,"Medium","High"))</f>
        <v>Medium</v>
      </c>
      <c r="N1123">
        <f>YEAR(Sheet1[[#This Row],[date_joined]])</f>
        <v>2022</v>
      </c>
      <c r="O1123" s="2" t="str">
        <f>TEXT(Sheet1[[#This Row],[date_joined]],"mmm")</f>
        <v>Mar</v>
      </c>
      <c r="P1123" s="2" t="str">
        <f>"Q"&amp;ROUNDUP(MONTH(Sheet1[[#This Row],[date_joined]])/3,0)</f>
        <v>Q1</v>
      </c>
      <c r="Q1123" s="2" t="str">
        <f>IF(Sheet1[[#This Row],[age]]&lt;30,"Young",IF(Sheet1[[#This Row],[age]]&lt;=50,"Adult","Senior"))</f>
        <v>Young</v>
      </c>
      <c r="R1123" s="2" t="str">
        <f t="shared" si="34"/>
        <v>High</v>
      </c>
      <c r="S1123" s="2" t="str">
        <f t="shared" si="35"/>
        <v>West - Retired</v>
      </c>
    </row>
    <row r="1124" spans="1:19" x14ac:dyDescent="0.3">
      <c r="A1124" t="s">
        <v>2271</v>
      </c>
      <c r="B1124" t="s">
        <v>2272</v>
      </c>
      <c r="C1124">
        <v>65</v>
      </c>
      <c r="D1124" s="2" t="s">
        <v>21</v>
      </c>
      <c r="E1124" s="2" t="s">
        <v>30</v>
      </c>
      <c r="F1124" s="2" t="s">
        <v>15</v>
      </c>
      <c r="G1124" s="2" t="s">
        <v>24</v>
      </c>
      <c r="H1124" s="2" t="s">
        <v>18</v>
      </c>
      <c r="I1124" s="2" t="s">
        <v>18</v>
      </c>
      <c r="J1124">
        <v>0.39</v>
      </c>
      <c r="K1124" s="1">
        <v>43642</v>
      </c>
      <c r="L1124" s="2" t="str">
        <f>IF(Sheet1[[#This Row],[age]]&lt;18, "Under 18",IF(Sheet1[[#This Row],[age]]&lt;=30,"18-30",IF(Sheet1[[#This Row],[age]]&lt;=45,"31-45",IF(Sheet1[[#This Row],[age]]&lt;=60,"46-60","60+"))))</f>
        <v>60+</v>
      </c>
      <c r="M1124" s="2" t="str">
        <f>IF(Sheet1[[#This Row],[risk_score]]&lt;0.3,"Low",IF(Sheet1[[#This Row],[risk_score]]&lt;0.7,"Medium","High"))</f>
        <v>Medium</v>
      </c>
      <c r="N1124">
        <f>YEAR(Sheet1[[#This Row],[date_joined]])</f>
        <v>2019</v>
      </c>
      <c r="O1124" s="2" t="str">
        <f>TEXT(Sheet1[[#This Row],[date_joined]],"mmm")</f>
        <v>Jun</v>
      </c>
      <c r="P1124" s="2" t="str">
        <f>"Q"&amp;ROUNDUP(MONTH(Sheet1[[#This Row],[date_joined]])/3,0)</f>
        <v>Q2</v>
      </c>
      <c r="Q1124" s="2" t="str">
        <f>IF(Sheet1[[#This Row],[age]]&lt;30,"Young",IF(Sheet1[[#This Row],[age]]&lt;=50,"Adult","Senior"))</f>
        <v>Senior</v>
      </c>
      <c r="R1124" s="2" t="str">
        <f t="shared" si="34"/>
        <v>Very High</v>
      </c>
      <c r="S1124" s="2" t="str">
        <f t="shared" si="35"/>
        <v>East - Student</v>
      </c>
    </row>
    <row r="1125" spans="1:19" x14ac:dyDescent="0.3">
      <c r="A1125" t="s">
        <v>2273</v>
      </c>
      <c r="B1125" t="s">
        <v>2274</v>
      </c>
      <c r="C1125">
        <v>39</v>
      </c>
      <c r="D1125" s="2" t="s">
        <v>13</v>
      </c>
      <c r="E1125" s="2" t="s">
        <v>30</v>
      </c>
      <c r="F1125" s="2" t="s">
        <v>37</v>
      </c>
      <c r="G1125" s="2" t="s">
        <v>66</v>
      </c>
      <c r="H1125" s="2" t="s">
        <v>18</v>
      </c>
      <c r="I1125" s="2" t="s">
        <v>18</v>
      </c>
      <c r="J1125">
        <v>0.72</v>
      </c>
      <c r="K1125" s="1">
        <v>44133</v>
      </c>
      <c r="L1125" s="2" t="str">
        <f>IF(Sheet1[[#This Row],[age]]&lt;18, "Under 18",IF(Sheet1[[#This Row],[age]]&lt;=30,"18-30",IF(Sheet1[[#This Row],[age]]&lt;=45,"31-45",IF(Sheet1[[#This Row],[age]]&lt;=60,"46-60","60+"))))</f>
        <v>31-45</v>
      </c>
      <c r="M1125" s="2" t="str">
        <f>IF(Sheet1[[#This Row],[risk_score]]&lt;0.3,"Low",IF(Sheet1[[#This Row],[risk_score]]&lt;0.7,"Medium","High"))</f>
        <v>High</v>
      </c>
      <c r="N1125">
        <f>YEAR(Sheet1[[#This Row],[date_joined]])</f>
        <v>2020</v>
      </c>
      <c r="O1125" s="2" t="str">
        <f>TEXT(Sheet1[[#This Row],[date_joined]],"mmm")</f>
        <v>Oct</v>
      </c>
      <c r="P1125" s="2" t="str">
        <f>"Q"&amp;ROUNDUP(MONTH(Sheet1[[#This Row],[date_joined]])/3,0)</f>
        <v>Q4</v>
      </c>
      <c r="Q1125" s="2" t="str">
        <f>IF(Sheet1[[#This Row],[age]]&lt;30,"Young",IF(Sheet1[[#This Row],[age]]&lt;=50,"Adult","Senior"))</f>
        <v>Adult</v>
      </c>
      <c r="R1125" s="2" t="str">
        <f t="shared" si="34"/>
        <v>Very High</v>
      </c>
      <c r="S1125" s="2" t="str">
        <f t="shared" si="35"/>
        <v>North-East - Retired</v>
      </c>
    </row>
    <row r="1126" spans="1:19" x14ac:dyDescent="0.3">
      <c r="A1126" t="s">
        <v>2275</v>
      </c>
      <c r="B1126" t="s">
        <v>2276</v>
      </c>
      <c r="C1126">
        <v>64</v>
      </c>
      <c r="D1126" s="2" t="s">
        <v>21</v>
      </c>
      <c r="E1126" s="2" t="s">
        <v>22</v>
      </c>
      <c r="F1126" s="2" t="s">
        <v>23</v>
      </c>
      <c r="G1126" s="2" t="s">
        <v>16</v>
      </c>
      <c r="H1126" s="2" t="s">
        <v>17</v>
      </c>
      <c r="I1126" s="2" t="s">
        <v>18</v>
      </c>
      <c r="J1126">
        <v>0.55000000000000004</v>
      </c>
      <c r="K1126" s="1">
        <v>43186</v>
      </c>
      <c r="L1126" s="2" t="str">
        <f>IF(Sheet1[[#This Row],[age]]&lt;18, "Under 18",IF(Sheet1[[#This Row],[age]]&lt;=30,"18-30",IF(Sheet1[[#This Row],[age]]&lt;=45,"31-45",IF(Sheet1[[#This Row],[age]]&lt;=60,"46-60","60+"))))</f>
        <v>60+</v>
      </c>
      <c r="M1126" s="2" t="str">
        <f>IF(Sheet1[[#This Row],[risk_score]]&lt;0.3,"Low",IF(Sheet1[[#This Row],[risk_score]]&lt;0.7,"Medium","High"))</f>
        <v>Medium</v>
      </c>
      <c r="N1126">
        <f>YEAR(Sheet1[[#This Row],[date_joined]])</f>
        <v>2018</v>
      </c>
      <c r="O1126" s="2" t="str">
        <f>TEXT(Sheet1[[#This Row],[date_joined]],"mmm")</f>
        <v>Mar</v>
      </c>
      <c r="P1126" s="2" t="str">
        <f>"Q"&amp;ROUNDUP(MONTH(Sheet1[[#This Row],[date_joined]])/3,0)</f>
        <v>Q1</v>
      </c>
      <c r="Q1126" s="2" t="str">
        <f>IF(Sheet1[[#This Row],[age]]&lt;30,"Young",IF(Sheet1[[#This Row],[age]]&lt;=50,"Adult","Senior"))</f>
        <v>Senior</v>
      </c>
      <c r="R1126" s="2" t="str">
        <f t="shared" si="34"/>
        <v>High</v>
      </c>
      <c r="S1126" s="2" t="str">
        <f t="shared" si="35"/>
        <v>West - Salaried</v>
      </c>
    </row>
    <row r="1127" spans="1:19" x14ac:dyDescent="0.3">
      <c r="A1127" t="s">
        <v>2277</v>
      </c>
      <c r="B1127" t="s">
        <v>2278</v>
      </c>
      <c r="C1127">
        <v>37</v>
      </c>
      <c r="D1127" s="2" t="s">
        <v>21</v>
      </c>
      <c r="E1127" s="2" t="s">
        <v>30</v>
      </c>
      <c r="F1127" s="2" t="s">
        <v>37</v>
      </c>
      <c r="G1127" s="2" t="s">
        <v>16</v>
      </c>
      <c r="H1127" s="2" t="s">
        <v>17</v>
      </c>
      <c r="I1127" s="2" t="s">
        <v>18</v>
      </c>
      <c r="J1127">
        <v>0.17</v>
      </c>
      <c r="K1127" s="1">
        <v>43788</v>
      </c>
      <c r="L1127" s="2" t="str">
        <f>IF(Sheet1[[#This Row],[age]]&lt;18, "Under 18",IF(Sheet1[[#This Row],[age]]&lt;=30,"18-30",IF(Sheet1[[#This Row],[age]]&lt;=45,"31-45",IF(Sheet1[[#This Row],[age]]&lt;=60,"46-60","60+"))))</f>
        <v>31-45</v>
      </c>
      <c r="M1127" s="2" t="str">
        <f>IF(Sheet1[[#This Row],[risk_score]]&lt;0.3,"Low",IF(Sheet1[[#This Row],[risk_score]]&lt;0.7,"Medium","High"))</f>
        <v>Low</v>
      </c>
      <c r="N1127">
        <f>YEAR(Sheet1[[#This Row],[date_joined]])</f>
        <v>2019</v>
      </c>
      <c r="O1127" s="2" t="str">
        <f>TEXT(Sheet1[[#This Row],[date_joined]],"mmm")</f>
        <v>Nov</v>
      </c>
      <c r="P1127" s="2" t="str">
        <f>"Q"&amp;ROUNDUP(MONTH(Sheet1[[#This Row],[date_joined]])/3,0)</f>
        <v>Q4</v>
      </c>
      <c r="Q1127" s="2" t="str">
        <f>IF(Sheet1[[#This Row],[age]]&lt;30,"Young",IF(Sheet1[[#This Row],[age]]&lt;=50,"Adult","Senior"))</f>
        <v>Adult</v>
      </c>
      <c r="R1127" s="2" t="str">
        <f t="shared" si="34"/>
        <v>High</v>
      </c>
      <c r="S1127" s="2" t="str">
        <f t="shared" si="35"/>
        <v>West - Retired</v>
      </c>
    </row>
    <row r="1128" spans="1:19" x14ac:dyDescent="0.3">
      <c r="A1128" t="s">
        <v>2279</v>
      </c>
      <c r="B1128" t="s">
        <v>2280</v>
      </c>
      <c r="C1128">
        <v>33</v>
      </c>
      <c r="D1128" s="2" t="s">
        <v>21</v>
      </c>
      <c r="E1128" s="2" t="s">
        <v>14</v>
      </c>
      <c r="F1128" s="2" t="s">
        <v>23</v>
      </c>
      <c r="G1128" s="2" t="s">
        <v>81</v>
      </c>
      <c r="H1128" s="2" t="s">
        <v>17</v>
      </c>
      <c r="I1128" s="2" t="s">
        <v>18</v>
      </c>
      <c r="J1128">
        <v>0.6</v>
      </c>
      <c r="K1128" s="1">
        <v>43102</v>
      </c>
      <c r="L1128" s="2" t="str">
        <f>IF(Sheet1[[#This Row],[age]]&lt;18, "Under 18",IF(Sheet1[[#This Row],[age]]&lt;=30,"18-30",IF(Sheet1[[#This Row],[age]]&lt;=45,"31-45",IF(Sheet1[[#This Row],[age]]&lt;=60,"46-60","60+"))))</f>
        <v>31-45</v>
      </c>
      <c r="M1128" s="2" t="str">
        <f>IF(Sheet1[[#This Row],[risk_score]]&lt;0.3,"Low",IF(Sheet1[[#This Row],[risk_score]]&lt;0.7,"Medium","High"))</f>
        <v>Medium</v>
      </c>
      <c r="N1128">
        <f>YEAR(Sheet1[[#This Row],[date_joined]])</f>
        <v>2018</v>
      </c>
      <c r="O1128" s="2" t="str">
        <f>TEXT(Sheet1[[#This Row],[date_joined]],"mmm")</f>
        <v>Jan</v>
      </c>
      <c r="P1128" s="2" t="str">
        <f>"Q"&amp;ROUNDUP(MONTH(Sheet1[[#This Row],[date_joined]])/3,0)</f>
        <v>Q1</v>
      </c>
      <c r="Q1128" s="2" t="str">
        <f>IF(Sheet1[[#This Row],[age]]&lt;30,"Young",IF(Sheet1[[#This Row],[age]]&lt;=50,"Adult","Senior"))</f>
        <v>Adult</v>
      </c>
      <c r="R1128" s="2" t="str">
        <f t="shared" si="34"/>
        <v>High</v>
      </c>
      <c r="S1128" s="2" t="str">
        <f t="shared" si="35"/>
        <v>Central - Salaried</v>
      </c>
    </row>
    <row r="1129" spans="1:19" x14ac:dyDescent="0.3">
      <c r="A1129" t="s">
        <v>2281</v>
      </c>
      <c r="B1129" t="s">
        <v>2282</v>
      </c>
      <c r="C1129">
        <v>25</v>
      </c>
      <c r="D1129" s="2" t="s">
        <v>13</v>
      </c>
      <c r="E1129" s="2" t="s">
        <v>22</v>
      </c>
      <c r="F1129" s="2" t="s">
        <v>23</v>
      </c>
      <c r="G1129" s="2" t="s">
        <v>66</v>
      </c>
      <c r="H1129" s="2" t="s">
        <v>17</v>
      </c>
      <c r="I1129" s="2" t="s">
        <v>17</v>
      </c>
      <c r="J1129">
        <v>0.39</v>
      </c>
      <c r="K1129" s="1">
        <v>43614</v>
      </c>
      <c r="L1129" s="2" t="str">
        <f>IF(Sheet1[[#This Row],[age]]&lt;18, "Under 18",IF(Sheet1[[#This Row],[age]]&lt;=30,"18-30",IF(Sheet1[[#This Row],[age]]&lt;=45,"31-45",IF(Sheet1[[#This Row],[age]]&lt;=60,"46-60","60+"))))</f>
        <v>18-30</v>
      </c>
      <c r="M1129" s="2" t="str">
        <f>IF(Sheet1[[#This Row],[risk_score]]&lt;0.3,"Low",IF(Sheet1[[#This Row],[risk_score]]&lt;0.7,"Medium","High"))</f>
        <v>Medium</v>
      </c>
      <c r="N1129">
        <f>YEAR(Sheet1[[#This Row],[date_joined]])</f>
        <v>2019</v>
      </c>
      <c r="O1129" s="2" t="str">
        <f>TEXT(Sheet1[[#This Row],[date_joined]],"mmm")</f>
        <v>May</v>
      </c>
      <c r="P1129" s="2" t="str">
        <f>"Q"&amp;ROUNDUP(MONTH(Sheet1[[#This Row],[date_joined]])/3,0)</f>
        <v>Q2</v>
      </c>
      <c r="Q1129" s="2" t="str">
        <f>IF(Sheet1[[#This Row],[age]]&lt;30,"Young",IF(Sheet1[[#This Row],[age]]&lt;=50,"Adult","Senior"))</f>
        <v>Young</v>
      </c>
      <c r="R1129" s="2" t="str">
        <f t="shared" si="34"/>
        <v>Low</v>
      </c>
      <c r="S1129" s="2" t="str">
        <f t="shared" si="35"/>
        <v>North-East - Salaried</v>
      </c>
    </row>
    <row r="1130" spans="1:19" x14ac:dyDescent="0.3">
      <c r="A1130" t="s">
        <v>2283</v>
      </c>
      <c r="B1130" t="s">
        <v>2284</v>
      </c>
      <c r="C1130">
        <v>38</v>
      </c>
      <c r="D1130" s="2" t="s">
        <v>21</v>
      </c>
      <c r="E1130" s="2" t="s">
        <v>14</v>
      </c>
      <c r="F1130" s="2" t="s">
        <v>15</v>
      </c>
      <c r="G1130" s="2" t="s">
        <v>16</v>
      </c>
      <c r="H1130" s="2" t="s">
        <v>17</v>
      </c>
      <c r="I1130" s="2" t="s">
        <v>17</v>
      </c>
      <c r="J1130">
        <v>0.19</v>
      </c>
      <c r="K1130" s="1">
        <v>45081</v>
      </c>
      <c r="L1130" s="2" t="str">
        <f>IF(Sheet1[[#This Row],[age]]&lt;18, "Under 18",IF(Sheet1[[#This Row],[age]]&lt;=30,"18-30",IF(Sheet1[[#This Row],[age]]&lt;=45,"31-45",IF(Sheet1[[#This Row],[age]]&lt;=60,"46-60","60+"))))</f>
        <v>31-45</v>
      </c>
      <c r="M1130" s="2" t="str">
        <f>IF(Sheet1[[#This Row],[risk_score]]&lt;0.3,"Low",IF(Sheet1[[#This Row],[risk_score]]&lt;0.7,"Medium","High"))</f>
        <v>Low</v>
      </c>
      <c r="N1130">
        <f>YEAR(Sheet1[[#This Row],[date_joined]])</f>
        <v>2023</v>
      </c>
      <c r="O1130" s="2" t="str">
        <f>TEXT(Sheet1[[#This Row],[date_joined]],"mmm")</f>
        <v>Jun</v>
      </c>
      <c r="P1130" s="2" t="str">
        <f>"Q"&amp;ROUNDUP(MONTH(Sheet1[[#This Row],[date_joined]])/3,0)</f>
        <v>Q2</v>
      </c>
      <c r="Q1130" s="2" t="str">
        <f>IF(Sheet1[[#This Row],[age]]&lt;30,"Young",IF(Sheet1[[#This Row],[age]]&lt;=50,"Adult","Senior"))</f>
        <v>Adult</v>
      </c>
      <c r="R1130" s="2" t="str">
        <f t="shared" si="34"/>
        <v>Low</v>
      </c>
      <c r="S1130" s="2" t="str">
        <f t="shared" si="35"/>
        <v>West - Student</v>
      </c>
    </row>
    <row r="1131" spans="1:19" x14ac:dyDescent="0.3">
      <c r="A1131" t="s">
        <v>2285</v>
      </c>
      <c r="B1131" t="s">
        <v>2286</v>
      </c>
      <c r="C1131">
        <v>66</v>
      </c>
      <c r="D1131" s="2" t="s">
        <v>13</v>
      </c>
      <c r="E1131" s="2" t="s">
        <v>14</v>
      </c>
      <c r="F1131" s="2" t="s">
        <v>15</v>
      </c>
      <c r="G1131" s="2" t="s">
        <v>66</v>
      </c>
      <c r="H1131" s="2" t="s">
        <v>18</v>
      </c>
      <c r="I1131" s="2" t="s">
        <v>17</v>
      </c>
      <c r="J1131">
        <v>0.43</v>
      </c>
      <c r="K1131" s="1">
        <v>43850</v>
      </c>
      <c r="L1131" s="2" t="str">
        <f>IF(Sheet1[[#This Row],[age]]&lt;18, "Under 18",IF(Sheet1[[#This Row],[age]]&lt;=30,"18-30",IF(Sheet1[[#This Row],[age]]&lt;=45,"31-45",IF(Sheet1[[#This Row],[age]]&lt;=60,"46-60","60+"))))</f>
        <v>60+</v>
      </c>
      <c r="M1131" s="2" t="str">
        <f>IF(Sheet1[[#This Row],[risk_score]]&lt;0.3,"Low",IF(Sheet1[[#This Row],[risk_score]]&lt;0.7,"Medium","High"))</f>
        <v>Medium</v>
      </c>
      <c r="N1131">
        <f>YEAR(Sheet1[[#This Row],[date_joined]])</f>
        <v>2020</v>
      </c>
      <c r="O1131" s="2" t="str">
        <f>TEXT(Sheet1[[#This Row],[date_joined]],"mmm")</f>
        <v>Jan</v>
      </c>
      <c r="P1131" s="2" t="str">
        <f>"Q"&amp;ROUNDUP(MONTH(Sheet1[[#This Row],[date_joined]])/3,0)</f>
        <v>Q1</v>
      </c>
      <c r="Q1131" s="2" t="str">
        <f>IF(Sheet1[[#This Row],[age]]&lt;30,"Young",IF(Sheet1[[#This Row],[age]]&lt;=50,"Adult","Senior"))</f>
        <v>Senior</v>
      </c>
      <c r="R1131" s="2" t="str">
        <f t="shared" si="34"/>
        <v>High</v>
      </c>
      <c r="S1131" s="2" t="str">
        <f t="shared" si="35"/>
        <v>North-East - Student</v>
      </c>
    </row>
    <row r="1132" spans="1:19" x14ac:dyDescent="0.3">
      <c r="A1132" t="s">
        <v>2287</v>
      </c>
      <c r="B1132" t="s">
        <v>2288</v>
      </c>
      <c r="C1132">
        <v>43</v>
      </c>
      <c r="D1132" s="2" t="s">
        <v>21</v>
      </c>
      <c r="E1132" s="2" t="s">
        <v>30</v>
      </c>
      <c r="F1132" s="2" t="s">
        <v>15</v>
      </c>
      <c r="G1132" s="2" t="s">
        <v>24</v>
      </c>
      <c r="H1132" s="2" t="s">
        <v>18</v>
      </c>
      <c r="I1132" s="2" t="s">
        <v>18</v>
      </c>
      <c r="J1132">
        <v>0.57999999999999996</v>
      </c>
      <c r="K1132" s="1">
        <v>44116</v>
      </c>
      <c r="L1132" s="2" t="str">
        <f>IF(Sheet1[[#This Row],[age]]&lt;18, "Under 18",IF(Sheet1[[#This Row],[age]]&lt;=30,"18-30",IF(Sheet1[[#This Row],[age]]&lt;=45,"31-45",IF(Sheet1[[#This Row],[age]]&lt;=60,"46-60","60+"))))</f>
        <v>31-45</v>
      </c>
      <c r="M1132" s="2" t="str">
        <f>IF(Sheet1[[#This Row],[risk_score]]&lt;0.3,"Low",IF(Sheet1[[#This Row],[risk_score]]&lt;0.7,"Medium","High"))</f>
        <v>Medium</v>
      </c>
      <c r="N1132">
        <f>YEAR(Sheet1[[#This Row],[date_joined]])</f>
        <v>2020</v>
      </c>
      <c r="O1132" s="2" t="str">
        <f>TEXT(Sheet1[[#This Row],[date_joined]],"mmm")</f>
        <v>Oct</v>
      </c>
      <c r="P1132" s="2" t="str">
        <f>"Q"&amp;ROUNDUP(MONTH(Sheet1[[#This Row],[date_joined]])/3,0)</f>
        <v>Q4</v>
      </c>
      <c r="Q1132" s="2" t="str">
        <f>IF(Sheet1[[#This Row],[age]]&lt;30,"Young",IF(Sheet1[[#This Row],[age]]&lt;=50,"Adult","Senior"))</f>
        <v>Adult</v>
      </c>
      <c r="R1132" s="2" t="str">
        <f t="shared" si="34"/>
        <v>Very High</v>
      </c>
      <c r="S1132" s="2" t="str">
        <f t="shared" si="35"/>
        <v>East - Student</v>
      </c>
    </row>
    <row r="1133" spans="1:19" x14ac:dyDescent="0.3">
      <c r="A1133" t="s">
        <v>2289</v>
      </c>
      <c r="B1133" t="s">
        <v>2290</v>
      </c>
      <c r="C1133">
        <v>29</v>
      </c>
      <c r="D1133" s="2" t="s">
        <v>13</v>
      </c>
      <c r="E1133" s="2" t="s">
        <v>22</v>
      </c>
      <c r="F1133" s="2" t="s">
        <v>31</v>
      </c>
      <c r="G1133" s="2" t="s">
        <v>32</v>
      </c>
      <c r="H1133" s="2" t="s">
        <v>18</v>
      </c>
      <c r="I1133" s="2" t="s">
        <v>17</v>
      </c>
      <c r="J1133">
        <v>0.78</v>
      </c>
      <c r="K1133" s="1">
        <v>43749</v>
      </c>
      <c r="L1133" s="2" t="str">
        <f>IF(Sheet1[[#This Row],[age]]&lt;18, "Under 18",IF(Sheet1[[#This Row],[age]]&lt;=30,"18-30",IF(Sheet1[[#This Row],[age]]&lt;=45,"31-45",IF(Sheet1[[#This Row],[age]]&lt;=60,"46-60","60+"))))</f>
        <v>18-30</v>
      </c>
      <c r="M1133" s="2" t="str">
        <f>IF(Sheet1[[#This Row],[risk_score]]&lt;0.3,"Low",IF(Sheet1[[#This Row],[risk_score]]&lt;0.7,"Medium","High"))</f>
        <v>High</v>
      </c>
      <c r="N1133">
        <f>YEAR(Sheet1[[#This Row],[date_joined]])</f>
        <v>2019</v>
      </c>
      <c r="O1133" s="2" t="str">
        <f>TEXT(Sheet1[[#This Row],[date_joined]],"mmm")</f>
        <v>Oct</v>
      </c>
      <c r="P1133" s="2" t="str">
        <f>"Q"&amp;ROUNDUP(MONTH(Sheet1[[#This Row],[date_joined]])/3,0)</f>
        <v>Q4</v>
      </c>
      <c r="Q1133" s="2" t="str">
        <f>IF(Sheet1[[#This Row],[age]]&lt;30,"Young",IF(Sheet1[[#This Row],[age]]&lt;=50,"Adult","Senior"))</f>
        <v>Young</v>
      </c>
      <c r="R1133" s="2" t="str">
        <f t="shared" si="34"/>
        <v>High</v>
      </c>
      <c r="S1133" s="2" t="str">
        <f t="shared" si="35"/>
        <v>South - Self-employed</v>
      </c>
    </row>
    <row r="1134" spans="1:19" x14ac:dyDescent="0.3">
      <c r="A1134" t="s">
        <v>2291</v>
      </c>
      <c r="B1134" t="s">
        <v>2292</v>
      </c>
      <c r="C1134">
        <v>51</v>
      </c>
      <c r="D1134" s="2" t="s">
        <v>13</v>
      </c>
      <c r="E1134" s="2" t="s">
        <v>14</v>
      </c>
      <c r="F1134" s="2" t="s">
        <v>15</v>
      </c>
      <c r="G1134" s="2" t="s">
        <v>24</v>
      </c>
      <c r="H1134" s="2" t="s">
        <v>18</v>
      </c>
      <c r="I1134" s="2" t="s">
        <v>17</v>
      </c>
      <c r="J1134">
        <v>0.22</v>
      </c>
      <c r="K1134" s="1">
        <v>44647</v>
      </c>
      <c r="L1134" s="2" t="str">
        <f>IF(Sheet1[[#This Row],[age]]&lt;18, "Under 18",IF(Sheet1[[#This Row],[age]]&lt;=30,"18-30",IF(Sheet1[[#This Row],[age]]&lt;=45,"31-45",IF(Sheet1[[#This Row],[age]]&lt;=60,"46-60","60+"))))</f>
        <v>46-60</v>
      </c>
      <c r="M1134" s="2" t="str">
        <f>IF(Sheet1[[#This Row],[risk_score]]&lt;0.3,"Low",IF(Sheet1[[#This Row],[risk_score]]&lt;0.7,"Medium","High"))</f>
        <v>Low</v>
      </c>
      <c r="N1134">
        <f>YEAR(Sheet1[[#This Row],[date_joined]])</f>
        <v>2022</v>
      </c>
      <c r="O1134" s="2" t="str">
        <f>TEXT(Sheet1[[#This Row],[date_joined]],"mmm")</f>
        <v>Mar</v>
      </c>
      <c r="P1134" s="2" t="str">
        <f>"Q"&amp;ROUNDUP(MONTH(Sheet1[[#This Row],[date_joined]])/3,0)</f>
        <v>Q1</v>
      </c>
      <c r="Q1134" s="2" t="str">
        <f>IF(Sheet1[[#This Row],[age]]&lt;30,"Young",IF(Sheet1[[#This Row],[age]]&lt;=50,"Adult","Senior"))</f>
        <v>Senior</v>
      </c>
      <c r="R1134" s="2" t="str">
        <f t="shared" si="34"/>
        <v>High</v>
      </c>
      <c r="S1134" s="2" t="str">
        <f t="shared" si="35"/>
        <v>East - Student</v>
      </c>
    </row>
    <row r="1135" spans="1:19" x14ac:dyDescent="0.3">
      <c r="A1135" t="s">
        <v>2293</v>
      </c>
      <c r="B1135" t="s">
        <v>2294</v>
      </c>
      <c r="C1135">
        <v>48</v>
      </c>
      <c r="D1135" s="2" t="s">
        <v>13</v>
      </c>
      <c r="E1135" s="2" t="s">
        <v>14</v>
      </c>
      <c r="F1135" s="2" t="s">
        <v>37</v>
      </c>
      <c r="G1135" s="2" t="s">
        <v>16</v>
      </c>
      <c r="H1135" s="2" t="s">
        <v>17</v>
      </c>
      <c r="I1135" s="2" t="s">
        <v>17</v>
      </c>
      <c r="J1135">
        <v>0.91</v>
      </c>
      <c r="K1135" s="1">
        <v>45043</v>
      </c>
      <c r="L1135" s="2" t="str">
        <f>IF(Sheet1[[#This Row],[age]]&lt;18, "Under 18",IF(Sheet1[[#This Row],[age]]&lt;=30,"18-30",IF(Sheet1[[#This Row],[age]]&lt;=45,"31-45",IF(Sheet1[[#This Row],[age]]&lt;=60,"46-60","60+"))))</f>
        <v>46-60</v>
      </c>
      <c r="M1135" s="2" t="str">
        <f>IF(Sheet1[[#This Row],[risk_score]]&lt;0.3,"Low",IF(Sheet1[[#This Row],[risk_score]]&lt;0.7,"Medium","High"))</f>
        <v>High</v>
      </c>
      <c r="N1135">
        <f>YEAR(Sheet1[[#This Row],[date_joined]])</f>
        <v>2023</v>
      </c>
      <c r="O1135" s="2" t="str">
        <f>TEXT(Sheet1[[#This Row],[date_joined]],"mmm")</f>
        <v>Apr</v>
      </c>
      <c r="P1135" s="2" t="str">
        <f>"Q"&amp;ROUNDUP(MONTH(Sheet1[[#This Row],[date_joined]])/3,0)</f>
        <v>Q2</v>
      </c>
      <c r="Q1135" s="2" t="str">
        <f>IF(Sheet1[[#This Row],[age]]&lt;30,"Young",IF(Sheet1[[#This Row],[age]]&lt;=50,"Adult","Senior"))</f>
        <v>Adult</v>
      </c>
      <c r="R1135" s="2" t="str">
        <f t="shared" si="34"/>
        <v>Low</v>
      </c>
      <c r="S1135" s="2" t="str">
        <f t="shared" si="35"/>
        <v>West - Retired</v>
      </c>
    </row>
    <row r="1136" spans="1:19" x14ac:dyDescent="0.3">
      <c r="A1136" t="s">
        <v>2295</v>
      </c>
      <c r="B1136" t="s">
        <v>2296</v>
      </c>
      <c r="C1136">
        <v>49</v>
      </c>
      <c r="D1136" s="2" t="s">
        <v>13</v>
      </c>
      <c r="E1136" s="2" t="s">
        <v>14</v>
      </c>
      <c r="F1136" s="2" t="s">
        <v>15</v>
      </c>
      <c r="G1136" s="2" t="s">
        <v>27</v>
      </c>
      <c r="H1136" s="2" t="s">
        <v>17</v>
      </c>
      <c r="I1136" s="2" t="s">
        <v>18</v>
      </c>
      <c r="J1136">
        <v>0.45</v>
      </c>
      <c r="K1136" s="1">
        <v>44862</v>
      </c>
      <c r="L1136" s="2" t="str">
        <f>IF(Sheet1[[#This Row],[age]]&lt;18, "Under 18",IF(Sheet1[[#This Row],[age]]&lt;=30,"18-30",IF(Sheet1[[#This Row],[age]]&lt;=45,"31-45",IF(Sheet1[[#This Row],[age]]&lt;=60,"46-60","60+"))))</f>
        <v>46-60</v>
      </c>
      <c r="M1136" s="2" t="str">
        <f>IF(Sheet1[[#This Row],[risk_score]]&lt;0.3,"Low",IF(Sheet1[[#This Row],[risk_score]]&lt;0.7,"Medium","High"))</f>
        <v>Medium</v>
      </c>
      <c r="N1136">
        <f>YEAR(Sheet1[[#This Row],[date_joined]])</f>
        <v>2022</v>
      </c>
      <c r="O1136" s="2" t="str">
        <f>TEXT(Sheet1[[#This Row],[date_joined]],"mmm")</f>
        <v>Oct</v>
      </c>
      <c r="P1136" s="2" t="str">
        <f>"Q"&amp;ROUNDUP(MONTH(Sheet1[[#This Row],[date_joined]])/3,0)</f>
        <v>Q4</v>
      </c>
      <c r="Q1136" s="2" t="str">
        <f>IF(Sheet1[[#This Row],[age]]&lt;30,"Young",IF(Sheet1[[#This Row],[age]]&lt;=50,"Adult","Senior"))</f>
        <v>Adult</v>
      </c>
      <c r="R1136" s="2" t="str">
        <f t="shared" si="34"/>
        <v>High</v>
      </c>
      <c r="S1136" s="2" t="str">
        <f t="shared" si="35"/>
        <v>North - Student</v>
      </c>
    </row>
    <row r="1137" spans="1:19" x14ac:dyDescent="0.3">
      <c r="A1137" t="s">
        <v>2297</v>
      </c>
      <c r="B1137" t="s">
        <v>2298</v>
      </c>
      <c r="C1137">
        <v>58</v>
      </c>
      <c r="D1137" s="2" t="s">
        <v>21</v>
      </c>
      <c r="E1137" s="2" t="s">
        <v>22</v>
      </c>
      <c r="F1137" s="2" t="s">
        <v>31</v>
      </c>
      <c r="G1137" s="2" t="s">
        <v>16</v>
      </c>
      <c r="H1137" s="2" t="s">
        <v>17</v>
      </c>
      <c r="I1137" s="2" t="s">
        <v>18</v>
      </c>
      <c r="J1137">
        <v>0.44</v>
      </c>
      <c r="K1137" s="1">
        <v>43397</v>
      </c>
      <c r="L1137" s="2" t="str">
        <f>IF(Sheet1[[#This Row],[age]]&lt;18, "Under 18",IF(Sheet1[[#This Row],[age]]&lt;=30,"18-30",IF(Sheet1[[#This Row],[age]]&lt;=45,"31-45",IF(Sheet1[[#This Row],[age]]&lt;=60,"46-60","60+"))))</f>
        <v>46-60</v>
      </c>
      <c r="M1137" s="2" t="str">
        <f>IF(Sheet1[[#This Row],[risk_score]]&lt;0.3,"Low",IF(Sheet1[[#This Row],[risk_score]]&lt;0.7,"Medium","High"))</f>
        <v>Medium</v>
      </c>
      <c r="N1137">
        <f>YEAR(Sheet1[[#This Row],[date_joined]])</f>
        <v>2018</v>
      </c>
      <c r="O1137" s="2" t="str">
        <f>TEXT(Sheet1[[#This Row],[date_joined]],"mmm")</f>
        <v>Oct</v>
      </c>
      <c r="P1137" s="2" t="str">
        <f>"Q"&amp;ROUNDUP(MONTH(Sheet1[[#This Row],[date_joined]])/3,0)</f>
        <v>Q4</v>
      </c>
      <c r="Q1137" s="2" t="str">
        <f>IF(Sheet1[[#This Row],[age]]&lt;30,"Young",IF(Sheet1[[#This Row],[age]]&lt;=50,"Adult","Senior"))</f>
        <v>Senior</v>
      </c>
      <c r="R1137" s="2" t="str">
        <f t="shared" si="34"/>
        <v>High</v>
      </c>
      <c r="S1137" s="2" t="str">
        <f t="shared" si="35"/>
        <v>West - Self-employed</v>
      </c>
    </row>
    <row r="1138" spans="1:19" x14ac:dyDescent="0.3">
      <c r="A1138" t="s">
        <v>2299</v>
      </c>
      <c r="B1138" t="s">
        <v>2300</v>
      </c>
      <c r="C1138">
        <v>29</v>
      </c>
      <c r="D1138" s="2" t="s">
        <v>21</v>
      </c>
      <c r="E1138" s="2" t="s">
        <v>14</v>
      </c>
      <c r="F1138" s="2" t="s">
        <v>37</v>
      </c>
      <c r="G1138" s="2" t="s">
        <v>16</v>
      </c>
      <c r="H1138" s="2" t="s">
        <v>17</v>
      </c>
      <c r="I1138" s="2" t="s">
        <v>17</v>
      </c>
      <c r="J1138">
        <v>0.51</v>
      </c>
      <c r="K1138" s="1">
        <v>44856</v>
      </c>
      <c r="L1138" s="2" t="str">
        <f>IF(Sheet1[[#This Row],[age]]&lt;18, "Under 18",IF(Sheet1[[#This Row],[age]]&lt;=30,"18-30",IF(Sheet1[[#This Row],[age]]&lt;=45,"31-45",IF(Sheet1[[#This Row],[age]]&lt;=60,"46-60","60+"))))</f>
        <v>18-30</v>
      </c>
      <c r="M1138" s="2" t="str">
        <f>IF(Sheet1[[#This Row],[risk_score]]&lt;0.3,"Low",IF(Sheet1[[#This Row],[risk_score]]&lt;0.7,"Medium","High"))</f>
        <v>Medium</v>
      </c>
      <c r="N1138">
        <f>YEAR(Sheet1[[#This Row],[date_joined]])</f>
        <v>2022</v>
      </c>
      <c r="O1138" s="2" t="str">
        <f>TEXT(Sheet1[[#This Row],[date_joined]],"mmm")</f>
        <v>Oct</v>
      </c>
      <c r="P1138" s="2" t="str">
        <f>"Q"&amp;ROUNDUP(MONTH(Sheet1[[#This Row],[date_joined]])/3,0)</f>
        <v>Q4</v>
      </c>
      <c r="Q1138" s="2" t="str">
        <f>IF(Sheet1[[#This Row],[age]]&lt;30,"Young",IF(Sheet1[[#This Row],[age]]&lt;=50,"Adult","Senior"))</f>
        <v>Young</v>
      </c>
      <c r="R1138" s="2" t="str">
        <f t="shared" si="34"/>
        <v>Low</v>
      </c>
      <c r="S1138" s="2" t="str">
        <f t="shared" si="35"/>
        <v>West - Retired</v>
      </c>
    </row>
    <row r="1139" spans="1:19" x14ac:dyDescent="0.3">
      <c r="A1139" t="s">
        <v>2301</v>
      </c>
      <c r="B1139" t="s">
        <v>2302</v>
      </c>
      <c r="C1139">
        <v>62</v>
      </c>
      <c r="D1139" s="2" t="s">
        <v>21</v>
      </c>
      <c r="E1139" s="2" t="s">
        <v>22</v>
      </c>
      <c r="F1139" s="2" t="s">
        <v>37</v>
      </c>
      <c r="G1139" s="2" t="s">
        <v>16</v>
      </c>
      <c r="H1139" s="2" t="s">
        <v>17</v>
      </c>
      <c r="I1139" s="2" t="s">
        <v>17</v>
      </c>
      <c r="J1139">
        <v>0.63</v>
      </c>
      <c r="K1139" s="1">
        <v>43188</v>
      </c>
      <c r="L1139" s="2" t="str">
        <f>IF(Sheet1[[#This Row],[age]]&lt;18, "Under 18",IF(Sheet1[[#This Row],[age]]&lt;=30,"18-30",IF(Sheet1[[#This Row],[age]]&lt;=45,"31-45",IF(Sheet1[[#This Row],[age]]&lt;=60,"46-60","60+"))))</f>
        <v>60+</v>
      </c>
      <c r="M1139" s="2" t="str">
        <f>IF(Sheet1[[#This Row],[risk_score]]&lt;0.3,"Low",IF(Sheet1[[#This Row],[risk_score]]&lt;0.7,"Medium","High"))</f>
        <v>Medium</v>
      </c>
      <c r="N1139">
        <f>YEAR(Sheet1[[#This Row],[date_joined]])</f>
        <v>2018</v>
      </c>
      <c r="O1139" s="2" t="str">
        <f>TEXT(Sheet1[[#This Row],[date_joined]],"mmm")</f>
        <v>Mar</v>
      </c>
      <c r="P1139" s="2" t="str">
        <f>"Q"&amp;ROUNDUP(MONTH(Sheet1[[#This Row],[date_joined]])/3,0)</f>
        <v>Q1</v>
      </c>
      <c r="Q1139" s="2" t="str">
        <f>IF(Sheet1[[#This Row],[age]]&lt;30,"Young",IF(Sheet1[[#This Row],[age]]&lt;=50,"Adult","Senior"))</f>
        <v>Senior</v>
      </c>
      <c r="R1139" s="2" t="str">
        <f t="shared" si="34"/>
        <v>Low</v>
      </c>
      <c r="S1139" s="2" t="str">
        <f t="shared" si="35"/>
        <v>West - Retired</v>
      </c>
    </row>
    <row r="1140" spans="1:19" x14ac:dyDescent="0.3">
      <c r="A1140" t="s">
        <v>2303</v>
      </c>
      <c r="B1140" t="s">
        <v>2304</v>
      </c>
      <c r="C1140">
        <v>38</v>
      </c>
      <c r="D1140" s="2" t="s">
        <v>13</v>
      </c>
      <c r="E1140" s="2" t="s">
        <v>22</v>
      </c>
      <c r="F1140" s="2" t="s">
        <v>31</v>
      </c>
      <c r="G1140" s="2" t="s">
        <v>16</v>
      </c>
      <c r="H1140" s="2" t="s">
        <v>17</v>
      </c>
      <c r="I1140" s="2" t="s">
        <v>17</v>
      </c>
      <c r="J1140">
        <v>0.61</v>
      </c>
      <c r="K1140" s="1">
        <v>44245</v>
      </c>
      <c r="L1140" s="2" t="str">
        <f>IF(Sheet1[[#This Row],[age]]&lt;18, "Under 18",IF(Sheet1[[#This Row],[age]]&lt;=30,"18-30",IF(Sheet1[[#This Row],[age]]&lt;=45,"31-45",IF(Sheet1[[#This Row],[age]]&lt;=60,"46-60","60+"))))</f>
        <v>31-45</v>
      </c>
      <c r="M1140" s="2" t="str">
        <f>IF(Sheet1[[#This Row],[risk_score]]&lt;0.3,"Low",IF(Sheet1[[#This Row],[risk_score]]&lt;0.7,"Medium","High"))</f>
        <v>Medium</v>
      </c>
      <c r="N1140">
        <f>YEAR(Sheet1[[#This Row],[date_joined]])</f>
        <v>2021</v>
      </c>
      <c r="O1140" s="2" t="str">
        <f>TEXT(Sheet1[[#This Row],[date_joined]],"mmm")</f>
        <v>Feb</v>
      </c>
      <c r="P1140" s="2" t="str">
        <f>"Q"&amp;ROUNDUP(MONTH(Sheet1[[#This Row],[date_joined]])/3,0)</f>
        <v>Q1</v>
      </c>
      <c r="Q1140" s="2" t="str">
        <f>IF(Sheet1[[#This Row],[age]]&lt;30,"Young",IF(Sheet1[[#This Row],[age]]&lt;=50,"Adult","Senior"))</f>
        <v>Adult</v>
      </c>
      <c r="R1140" s="2" t="str">
        <f t="shared" si="34"/>
        <v>Low</v>
      </c>
      <c r="S1140" s="2" t="str">
        <f t="shared" si="35"/>
        <v>West - Self-employed</v>
      </c>
    </row>
    <row r="1141" spans="1:19" x14ac:dyDescent="0.3">
      <c r="A1141" t="s">
        <v>2305</v>
      </c>
      <c r="B1141" t="s">
        <v>2306</v>
      </c>
      <c r="C1141">
        <v>55</v>
      </c>
      <c r="D1141" s="2" t="s">
        <v>21</v>
      </c>
      <c r="E1141" s="2" t="s">
        <v>22</v>
      </c>
      <c r="F1141" s="2" t="s">
        <v>15</v>
      </c>
      <c r="G1141" s="2" t="s">
        <v>24</v>
      </c>
      <c r="H1141" s="2" t="s">
        <v>18</v>
      </c>
      <c r="I1141" s="2" t="s">
        <v>18</v>
      </c>
      <c r="J1141">
        <v>0.54</v>
      </c>
      <c r="K1141" s="1">
        <v>43277</v>
      </c>
      <c r="L1141" s="2" t="str">
        <f>IF(Sheet1[[#This Row],[age]]&lt;18, "Under 18",IF(Sheet1[[#This Row],[age]]&lt;=30,"18-30",IF(Sheet1[[#This Row],[age]]&lt;=45,"31-45",IF(Sheet1[[#This Row],[age]]&lt;=60,"46-60","60+"))))</f>
        <v>46-60</v>
      </c>
      <c r="M1141" s="2" t="str">
        <f>IF(Sheet1[[#This Row],[risk_score]]&lt;0.3,"Low",IF(Sheet1[[#This Row],[risk_score]]&lt;0.7,"Medium","High"))</f>
        <v>Medium</v>
      </c>
      <c r="N1141">
        <f>YEAR(Sheet1[[#This Row],[date_joined]])</f>
        <v>2018</v>
      </c>
      <c r="O1141" s="2" t="str">
        <f>TEXT(Sheet1[[#This Row],[date_joined]],"mmm")</f>
        <v>Jun</v>
      </c>
      <c r="P1141" s="2" t="str">
        <f>"Q"&amp;ROUNDUP(MONTH(Sheet1[[#This Row],[date_joined]])/3,0)</f>
        <v>Q2</v>
      </c>
      <c r="Q1141" s="2" t="str">
        <f>IF(Sheet1[[#This Row],[age]]&lt;30,"Young",IF(Sheet1[[#This Row],[age]]&lt;=50,"Adult","Senior"))</f>
        <v>Senior</v>
      </c>
      <c r="R1141" s="2" t="str">
        <f t="shared" si="34"/>
        <v>Very High</v>
      </c>
      <c r="S1141" s="2" t="str">
        <f t="shared" si="35"/>
        <v>East - Student</v>
      </c>
    </row>
    <row r="1142" spans="1:19" x14ac:dyDescent="0.3">
      <c r="A1142" t="s">
        <v>2307</v>
      </c>
      <c r="B1142" t="s">
        <v>2308</v>
      </c>
      <c r="C1142">
        <v>57</v>
      </c>
      <c r="D1142" s="2" t="s">
        <v>13</v>
      </c>
      <c r="E1142" s="2" t="s">
        <v>30</v>
      </c>
      <c r="F1142" s="2" t="s">
        <v>37</v>
      </c>
      <c r="G1142" s="2" t="s">
        <v>32</v>
      </c>
      <c r="H1142" s="2" t="s">
        <v>18</v>
      </c>
      <c r="I1142" s="2" t="s">
        <v>17</v>
      </c>
      <c r="J1142">
        <v>1</v>
      </c>
      <c r="K1142" s="1">
        <v>43969</v>
      </c>
      <c r="L1142" s="2" t="str">
        <f>IF(Sheet1[[#This Row],[age]]&lt;18, "Under 18",IF(Sheet1[[#This Row],[age]]&lt;=30,"18-30",IF(Sheet1[[#This Row],[age]]&lt;=45,"31-45",IF(Sheet1[[#This Row],[age]]&lt;=60,"46-60","60+"))))</f>
        <v>46-60</v>
      </c>
      <c r="M1142" s="2" t="str">
        <f>IF(Sheet1[[#This Row],[risk_score]]&lt;0.3,"Low",IF(Sheet1[[#This Row],[risk_score]]&lt;0.7,"Medium","High"))</f>
        <v>High</v>
      </c>
      <c r="N1142">
        <f>YEAR(Sheet1[[#This Row],[date_joined]])</f>
        <v>2020</v>
      </c>
      <c r="O1142" s="2" t="str">
        <f>TEXT(Sheet1[[#This Row],[date_joined]],"mmm")</f>
        <v>May</v>
      </c>
      <c r="P1142" s="2" t="str">
        <f>"Q"&amp;ROUNDUP(MONTH(Sheet1[[#This Row],[date_joined]])/3,0)</f>
        <v>Q2</v>
      </c>
      <c r="Q1142" s="2" t="str">
        <f>IF(Sheet1[[#This Row],[age]]&lt;30,"Young",IF(Sheet1[[#This Row],[age]]&lt;=50,"Adult","Senior"))</f>
        <v>Senior</v>
      </c>
      <c r="R1142" s="2" t="str">
        <f t="shared" si="34"/>
        <v>High</v>
      </c>
      <c r="S1142" s="2" t="str">
        <f t="shared" si="35"/>
        <v>South - Retired</v>
      </c>
    </row>
    <row r="1143" spans="1:19" x14ac:dyDescent="0.3">
      <c r="A1143" t="s">
        <v>2309</v>
      </c>
      <c r="B1143" t="s">
        <v>2310</v>
      </c>
      <c r="C1143">
        <v>20</v>
      </c>
      <c r="D1143" s="2" t="s">
        <v>21</v>
      </c>
      <c r="E1143" s="2" t="s">
        <v>30</v>
      </c>
      <c r="F1143" s="2" t="s">
        <v>31</v>
      </c>
      <c r="G1143" s="2" t="s">
        <v>66</v>
      </c>
      <c r="H1143" s="2" t="s">
        <v>17</v>
      </c>
      <c r="I1143" s="2" t="s">
        <v>17</v>
      </c>
      <c r="J1143">
        <v>0.4</v>
      </c>
      <c r="K1143" s="1">
        <v>43467</v>
      </c>
      <c r="L1143" s="2" t="str">
        <f>IF(Sheet1[[#This Row],[age]]&lt;18, "Under 18",IF(Sheet1[[#This Row],[age]]&lt;=30,"18-30",IF(Sheet1[[#This Row],[age]]&lt;=45,"31-45",IF(Sheet1[[#This Row],[age]]&lt;=60,"46-60","60+"))))</f>
        <v>18-30</v>
      </c>
      <c r="M1143" s="2" t="str">
        <f>IF(Sheet1[[#This Row],[risk_score]]&lt;0.3,"Low",IF(Sheet1[[#This Row],[risk_score]]&lt;0.7,"Medium","High"))</f>
        <v>Medium</v>
      </c>
      <c r="N1143">
        <f>YEAR(Sheet1[[#This Row],[date_joined]])</f>
        <v>2019</v>
      </c>
      <c r="O1143" s="2" t="str">
        <f>TEXT(Sheet1[[#This Row],[date_joined]],"mmm")</f>
        <v>Jan</v>
      </c>
      <c r="P1143" s="2" t="str">
        <f>"Q"&amp;ROUNDUP(MONTH(Sheet1[[#This Row],[date_joined]])/3,0)</f>
        <v>Q1</v>
      </c>
      <c r="Q1143" s="2" t="str">
        <f>IF(Sheet1[[#This Row],[age]]&lt;30,"Young",IF(Sheet1[[#This Row],[age]]&lt;=50,"Adult","Senior"))</f>
        <v>Young</v>
      </c>
      <c r="R1143" s="2" t="str">
        <f t="shared" si="34"/>
        <v>Low</v>
      </c>
      <c r="S1143" s="2" t="str">
        <f t="shared" si="35"/>
        <v>North-East - Self-employed</v>
      </c>
    </row>
    <row r="1144" spans="1:19" x14ac:dyDescent="0.3">
      <c r="A1144" t="s">
        <v>2311</v>
      </c>
      <c r="B1144" t="s">
        <v>2312</v>
      </c>
      <c r="C1144">
        <v>20</v>
      </c>
      <c r="D1144" s="2" t="s">
        <v>21</v>
      </c>
      <c r="E1144" s="2" t="s">
        <v>14</v>
      </c>
      <c r="F1144" s="2" t="s">
        <v>31</v>
      </c>
      <c r="G1144" s="2" t="s">
        <v>24</v>
      </c>
      <c r="H1144" s="2" t="s">
        <v>18</v>
      </c>
      <c r="I1144" s="2" t="s">
        <v>18</v>
      </c>
      <c r="J1144">
        <v>0.17</v>
      </c>
      <c r="K1144" s="1">
        <v>45030</v>
      </c>
      <c r="L1144" s="2" t="str">
        <f>IF(Sheet1[[#This Row],[age]]&lt;18, "Under 18",IF(Sheet1[[#This Row],[age]]&lt;=30,"18-30",IF(Sheet1[[#This Row],[age]]&lt;=45,"31-45",IF(Sheet1[[#This Row],[age]]&lt;=60,"46-60","60+"))))</f>
        <v>18-30</v>
      </c>
      <c r="M1144" s="2" t="str">
        <f>IF(Sheet1[[#This Row],[risk_score]]&lt;0.3,"Low",IF(Sheet1[[#This Row],[risk_score]]&lt;0.7,"Medium","High"))</f>
        <v>Low</v>
      </c>
      <c r="N1144">
        <f>YEAR(Sheet1[[#This Row],[date_joined]])</f>
        <v>2023</v>
      </c>
      <c r="O1144" s="2" t="str">
        <f>TEXT(Sheet1[[#This Row],[date_joined]],"mmm")</f>
        <v>Apr</v>
      </c>
      <c r="P1144" s="2" t="str">
        <f>"Q"&amp;ROUNDUP(MONTH(Sheet1[[#This Row],[date_joined]])/3,0)</f>
        <v>Q2</v>
      </c>
      <c r="Q1144" s="2" t="str">
        <f>IF(Sheet1[[#This Row],[age]]&lt;30,"Young",IF(Sheet1[[#This Row],[age]]&lt;=50,"Adult","Senior"))</f>
        <v>Young</v>
      </c>
      <c r="R1144" s="2" t="str">
        <f t="shared" si="34"/>
        <v>Very High</v>
      </c>
      <c r="S1144" s="2" t="str">
        <f t="shared" si="35"/>
        <v>East - Self-employed</v>
      </c>
    </row>
    <row r="1145" spans="1:19" x14ac:dyDescent="0.3">
      <c r="A1145" t="s">
        <v>2313</v>
      </c>
      <c r="B1145" t="s">
        <v>2314</v>
      </c>
      <c r="C1145">
        <v>18</v>
      </c>
      <c r="D1145" s="2" t="s">
        <v>13</v>
      </c>
      <c r="E1145" s="2" t="s">
        <v>14</v>
      </c>
      <c r="F1145" s="2" t="s">
        <v>15</v>
      </c>
      <c r="G1145" s="2" t="s">
        <v>32</v>
      </c>
      <c r="H1145" s="2" t="s">
        <v>17</v>
      </c>
      <c r="I1145" s="2" t="s">
        <v>18</v>
      </c>
      <c r="J1145">
        <v>0.24</v>
      </c>
      <c r="K1145" s="1">
        <v>44117</v>
      </c>
      <c r="L1145" s="2" t="str">
        <f>IF(Sheet1[[#This Row],[age]]&lt;18, "Under 18",IF(Sheet1[[#This Row],[age]]&lt;=30,"18-30",IF(Sheet1[[#This Row],[age]]&lt;=45,"31-45",IF(Sheet1[[#This Row],[age]]&lt;=60,"46-60","60+"))))</f>
        <v>18-30</v>
      </c>
      <c r="M1145" s="2" t="str">
        <f>IF(Sheet1[[#This Row],[risk_score]]&lt;0.3,"Low",IF(Sheet1[[#This Row],[risk_score]]&lt;0.7,"Medium","High"))</f>
        <v>Low</v>
      </c>
      <c r="N1145">
        <f>YEAR(Sheet1[[#This Row],[date_joined]])</f>
        <v>2020</v>
      </c>
      <c r="O1145" s="2" t="str">
        <f>TEXT(Sheet1[[#This Row],[date_joined]],"mmm")</f>
        <v>Oct</v>
      </c>
      <c r="P1145" s="2" t="str">
        <f>"Q"&amp;ROUNDUP(MONTH(Sheet1[[#This Row],[date_joined]])/3,0)</f>
        <v>Q4</v>
      </c>
      <c r="Q1145" s="2" t="str">
        <f>IF(Sheet1[[#This Row],[age]]&lt;30,"Young",IF(Sheet1[[#This Row],[age]]&lt;=50,"Adult","Senior"))</f>
        <v>Young</v>
      </c>
      <c r="R1145" s="2" t="str">
        <f t="shared" si="34"/>
        <v>High</v>
      </c>
      <c r="S1145" s="2" t="str">
        <f t="shared" si="35"/>
        <v>South - Student</v>
      </c>
    </row>
    <row r="1146" spans="1:19" x14ac:dyDescent="0.3">
      <c r="A1146" t="s">
        <v>2315</v>
      </c>
      <c r="B1146" t="s">
        <v>2316</v>
      </c>
      <c r="C1146">
        <v>44</v>
      </c>
      <c r="D1146" s="2" t="s">
        <v>13</v>
      </c>
      <c r="E1146" s="2" t="s">
        <v>30</v>
      </c>
      <c r="F1146" s="2" t="s">
        <v>37</v>
      </c>
      <c r="G1146" s="2" t="s">
        <v>66</v>
      </c>
      <c r="H1146" s="2" t="s">
        <v>18</v>
      </c>
      <c r="I1146" s="2" t="s">
        <v>18</v>
      </c>
      <c r="J1146">
        <v>0.21</v>
      </c>
      <c r="K1146" s="1">
        <v>44730</v>
      </c>
      <c r="L1146" s="2" t="str">
        <f>IF(Sheet1[[#This Row],[age]]&lt;18, "Under 18",IF(Sheet1[[#This Row],[age]]&lt;=30,"18-30",IF(Sheet1[[#This Row],[age]]&lt;=45,"31-45",IF(Sheet1[[#This Row],[age]]&lt;=60,"46-60","60+"))))</f>
        <v>31-45</v>
      </c>
      <c r="M1146" s="2" t="str">
        <f>IF(Sheet1[[#This Row],[risk_score]]&lt;0.3,"Low",IF(Sheet1[[#This Row],[risk_score]]&lt;0.7,"Medium","High"))</f>
        <v>Low</v>
      </c>
      <c r="N1146">
        <f>YEAR(Sheet1[[#This Row],[date_joined]])</f>
        <v>2022</v>
      </c>
      <c r="O1146" s="2" t="str">
        <f>TEXT(Sheet1[[#This Row],[date_joined]],"mmm")</f>
        <v>Jun</v>
      </c>
      <c r="P1146" s="2" t="str">
        <f>"Q"&amp;ROUNDUP(MONTH(Sheet1[[#This Row],[date_joined]])/3,0)</f>
        <v>Q2</v>
      </c>
      <c r="Q1146" s="2" t="str">
        <f>IF(Sheet1[[#This Row],[age]]&lt;30,"Young",IF(Sheet1[[#This Row],[age]]&lt;=50,"Adult","Senior"))</f>
        <v>Adult</v>
      </c>
      <c r="R1146" s="2" t="str">
        <f t="shared" si="34"/>
        <v>Very High</v>
      </c>
      <c r="S1146" s="2" t="str">
        <f t="shared" si="35"/>
        <v>North-East - Retired</v>
      </c>
    </row>
    <row r="1147" spans="1:19" x14ac:dyDescent="0.3">
      <c r="A1147" t="s">
        <v>2317</v>
      </c>
      <c r="B1147" t="s">
        <v>2318</v>
      </c>
      <c r="C1147">
        <v>38</v>
      </c>
      <c r="D1147" s="2" t="s">
        <v>21</v>
      </c>
      <c r="E1147" s="2" t="s">
        <v>22</v>
      </c>
      <c r="F1147" s="2" t="s">
        <v>15</v>
      </c>
      <c r="G1147" s="2" t="s">
        <v>16</v>
      </c>
      <c r="H1147" s="2" t="s">
        <v>18</v>
      </c>
      <c r="I1147" s="2" t="s">
        <v>18</v>
      </c>
      <c r="J1147">
        <v>0.24</v>
      </c>
      <c r="K1147" s="1">
        <v>43510</v>
      </c>
      <c r="L1147" s="2" t="str">
        <f>IF(Sheet1[[#This Row],[age]]&lt;18, "Under 18",IF(Sheet1[[#This Row],[age]]&lt;=30,"18-30",IF(Sheet1[[#This Row],[age]]&lt;=45,"31-45",IF(Sheet1[[#This Row],[age]]&lt;=60,"46-60","60+"))))</f>
        <v>31-45</v>
      </c>
      <c r="M1147" s="2" t="str">
        <f>IF(Sheet1[[#This Row],[risk_score]]&lt;0.3,"Low",IF(Sheet1[[#This Row],[risk_score]]&lt;0.7,"Medium","High"))</f>
        <v>Low</v>
      </c>
      <c r="N1147">
        <f>YEAR(Sheet1[[#This Row],[date_joined]])</f>
        <v>2019</v>
      </c>
      <c r="O1147" s="2" t="str">
        <f>TEXT(Sheet1[[#This Row],[date_joined]],"mmm")</f>
        <v>Feb</v>
      </c>
      <c r="P1147" s="2" t="str">
        <f>"Q"&amp;ROUNDUP(MONTH(Sheet1[[#This Row],[date_joined]])/3,0)</f>
        <v>Q1</v>
      </c>
      <c r="Q1147" s="2" t="str">
        <f>IF(Sheet1[[#This Row],[age]]&lt;30,"Young",IF(Sheet1[[#This Row],[age]]&lt;=50,"Adult","Senior"))</f>
        <v>Adult</v>
      </c>
      <c r="R1147" s="2" t="str">
        <f t="shared" si="34"/>
        <v>Very High</v>
      </c>
      <c r="S1147" s="2" t="str">
        <f t="shared" si="35"/>
        <v>West - Student</v>
      </c>
    </row>
    <row r="1148" spans="1:19" x14ac:dyDescent="0.3">
      <c r="A1148" t="s">
        <v>2319</v>
      </c>
      <c r="B1148" t="s">
        <v>2320</v>
      </c>
      <c r="C1148">
        <v>26</v>
      </c>
      <c r="D1148" s="2" t="s">
        <v>13</v>
      </c>
      <c r="E1148" s="2" t="s">
        <v>30</v>
      </c>
      <c r="F1148" s="2" t="s">
        <v>23</v>
      </c>
      <c r="G1148" s="2" t="s">
        <v>66</v>
      </c>
      <c r="H1148" s="2" t="s">
        <v>17</v>
      </c>
      <c r="I1148" s="2" t="s">
        <v>18</v>
      </c>
      <c r="J1148">
        <v>0.25</v>
      </c>
      <c r="K1148" s="1">
        <v>43104</v>
      </c>
      <c r="L1148" s="2" t="str">
        <f>IF(Sheet1[[#This Row],[age]]&lt;18, "Under 18",IF(Sheet1[[#This Row],[age]]&lt;=30,"18-30",IF(Sheet1[[#This Row],[age]]&lt;=45,"31-45",IF(Sheet1[[#This Row],[age]]&lt;=60,"46-60","60+"))))</f>
        <v>18-30</v>
      </c>
      <c r="M1148" s="2" t="str">
        <f>IF(Sheet1[[#This Row],[risk_score]]&lt;0.3,"Low",IF(Sheet1[[#This Row],[risk_score]]&lt;0.7,"Medium","High"))</f>
        <v>Low</v>
      </c>
      <c r="N1148">
        <f>YEAR(Sheet1[[#This Row],[date_joined]])</f>
        <v>2018</v>
      </c>
      <c r="O1148" s="2" t="str">
        <f>TEXT(Sheet1[[#This Row],[date_joined]],"mmm")</f>
        <v>Jan</v>
      </c>
      <c r="P1148" s="2" t="str">
        <f>"Q"&amp;ROUNDUP(MONTH(Sheet1[[#This Row],[date_joined]])/3,0)</f>
        <v>Q1</v>
      </c>
      <c r="Q1148" s="2" t="str">
        <f>IF(Sheet1[[#This Row],[age]]&lt;30,"Young",IF(Sheet1[[#This Row],[age]]&lt;=50,"Adult","Senior"))</f>
        <v>Young</v>
      </c>
      <c r="R1148" s="2" t="str">
        <f t="shared" si="34"/>
        <v>High</v>
      </c>
      <c r="S1148" s="2" t="str">
        <f t="shared" si="35"/>
        <v>North-East - Salaried</v>
      </c>
    </row>
    <row r="1149" spans="1:19" x14ac:dyDescent="0.3">
      <c r="A1149" t="s">
        <v>2321</v>
      </c>
      <c r="B1149" t="s">
        <v>2322</v>
      </c>
      <c r="C1149">
        <v>64</v>
      </c>
      <c r="D1149" s="2" t="s">
        <v>13</v>
      </c>
      <c r="E1149" s="2" t="s">
        <v>14</v>
      </c>
      <c r="F1149" s="2" t="s">
        <v>37</v>
      </c>
      <c r="G1149" s="2" t="s">
        <v>32</v>
      </c>
      <c r="H1149" s="2" t="s">
        <v>17</v>
      </c>
      <c r="I1149" s="2" t="s">
        <v>17</v>
      </c>
      <c r="J1149">
        <v>0.08</v>
      </c>
      <c r="K1149" s="1">
        <v>43928</v>
      </c>
      <c r="L1149" s="2" t="str">
        <f>IF(Sheet1[[#This Row],[age]]&lt;18, "Under 18",IF(Sheet1[[#This Row],[age]]&lt;=30,"18-30",IF(Sheet1[[#This Row],[age]]&lt;=45,"31-45",IF(Sheet1[[#This Row],[age]]&lt;=60,"46-60","60+"))))</f>
        <v>60+</v>
      </c>
      <c r="M1149" s="2" t="str">
        <f>IF(Sheet1[[#This Row],[risk_score]]&lt;0.3,"Low",IF(Sheet1[[#This Row],[risk_score]]&lt;0.7,"Medium","High"))</f>
        <v>Low</v>
      </c>
      <c r="N1149">
        <f>YEAR(Sheet1[[#This Row],[date_joined]])</f>
        <v>2020</v>
      </c>
      <c r="O1149" s="2" t="str">
        <f>TEXT(Sheet1[[#This Row],[date_joined]],"mmm")</f>
        <v>Apr</v>
      </c>
      <c r="P1149" s="2" t="str">
        <f>"Q"&amp;ROUNDUP(MONTH(Sheet1[[#This Row],[date_joined]])/3,0)</f>
        <v>Q2</v>
      </c>
      <c r="Q1149" s="2" t="str">
        <f>IF(Sheet1[[#This Row],[age]]&lt;30,"Young",IF(Sheet1[[#This Row],[age]]&lt;=50,"Adult","Senior"))</f>
        <v>Senior</v>
      </c>
      <c r="R1149" s="2" t="str">
        <f t="shared" si="34"/>
        <v>Low</v>
      </c>
      <c r="S1149" s="2" t="str">
        <f t="shared" si="35"/>
        <v>South - Retired</v>
      </c>
    </row>
    <row r="1150" spans="1:19" x14ac:dyDescent="0.3">
      <c r="A1150" t="s">
        <v>2323</v>
      </c>
      <c r="B1150" t="s">
        <v>2324</v>
      </c>
      <c r="C1150">
        <v>30</v>
      </c>
      <c r="D1150" s="2" t="s">
        <v>21</v>
      </c>
      <c r="E1150" s="2" t="s">
        <v>14</v>
      </c>
      <c r="F1150" s="2" t="s">
        <v>23</v>
      </c>
      <c r="G1150" s="2" t="s">
        <v>27</v>
      </c>
      <c r="H1150" s="2" t="s">
        <v>17</v>
      </c>
      <c r="I1150" s="2" t="s">
        <v>18</v>
      </c>
      <c r="J1150">
        <v>0.48</v>
      </c>
      <c r="K1150" s="1">
        <v>44718</v>
      </c>
      <c r="L1150" s="2" t="str">
        <f>IF(Sheet1[[#This Row],[age]]&lt;18, "Under 18",IF(Sheet1[[#This Row],[age]]&lt;=30,"18-30",IF(Sheet1[[#This Row],[age]]&lt;=45,"31-45",IF(Sheet1[[#This Row],[age]]&lt;=60,"46-60","60+"))))</f>
        <v>18-30</v>
      </c>
      <c r="M1150" s="2" t="str">
        <f>IF(Sheet1[[#This Row],[risk_score]]&lt;0.3,"Low",IF(Sheet1[[#This Row],[risk_score]]&lt;0.7,"Medium","High"))</f>
        <v>Medium</v>
      </c>
      <c r="N1150">
        <f>YEAR(Sheet1[[#This Row],[date_joined]])</f>
        <v>2022</v>
      </c>
      <c r="O1150" s="2" t="str">
        <f>TEXT(Sheet1[[#This Row],[date_joined]],"mmm")</f>
        <v>Jun</v>
      </c>
      <c r="P1150" s="2" t="str">
        <f>"Q"&amp;ROUNDUP(MONTH(Sheet1[[#This Row],[date_joined]])/3,0)</f>
        <v>Q2</v>
      </c>
      <c r="Q1150" s="2" t="str">
        <f>IF(Sheet1[[#This Row],[age]]&lt;30,"Young",IF(Sheet1[[#This Row],[age]]&lt;=50,"Adult","Senior"))</f>
        <v>Adult</v>
      </c>
      <c r="R1150" s="2" t="str">
        <f t="shared" si="34"/>
        <v>High</v>
      </c>
      <c r="S1150" s="2" t="str">
        <f t="shared" si="35"/>
        <v>North - Salaried</v>
      </c>
    </row>
    <row r="1151" spans="1:19" x14ac:dyDescent="0.3">
      <c r="A1151" t="s">
        <v>2325</v>
      </c>
      <c r="B1151" t="s">
        <v>2326</v>
      </c>
      <c r="C1151">
        <v>41</v>
      </c>
      <c r="D1151" s="2" t="s">
        <v>21</v>
      </c>
      <c r="E1151" s="2" t="s">
        <v>30</v>
      </c>
      <c r="F1151" s="2" t="s">
        <v>31</v>
      </c>
      <c r="G1151" s="2" t="s">
        <v>24</v>
      </c>
      <c r="H1151" s="2" t="s">
        <v>17</v>
      </c>
      <c r="I1151" s="2" t="s">
        <v>17</v>
      </c>
      <c r="J1151">
        <v>0.76</v>
      </c>
      <c r="K1151" s="1">
        <v>44475</v>
      </c>
      <c r="L1151" s="2" t="str">
        <f>IF(Sheet1[[#This Row],[age]]&lt;18, "Under 18",IF(Sheet1[[#This Row],[age]]&lt;=30,"18-30",IF(Sheet1[[#This Row],[age]]&lt;=45,"31-45",IF(Sheet1[[#This Row],[age]]&lt;=60,"46-60","60+"))))</f>
        <v>31-45</v>
      </c>
      <c r="M1151" s="2" t="str">
        <f>IF(Sheet1[[#This Row],[risk_score]]&lt;0.3,"Low",IF(Sheet1[[#This Row],[risk_score]]&lt;0.7,"Medium","High"))</f>
        <v>High</v>
      </c>
      <c r="N1151">
        <f>YEAR(Sheet1[[#This Row],[date_joined]])</f>
        <v>2021</v>
      </c>
      <c r="O1151" s="2" t="str">
        <f>TEXT(Sheet1[[#This Row],[date_joined]],"mmm")</f>
        <v>Oct</v>
      </c>
      <c r="P1151" s="2" t="str">
        <f>"Q"&amp;ROUNDUP(MONTH(Sheet1[[#This Row],[date_joined]])/3,0)</f>
        <v>Q4</v>
      </c>
      <c r="Q1151" s="2" t="str">
        <f>IF(Sheet1[[#This Row],[age]]&lt;30,"Young",IF(Sheet1[[#This Row],[age]]&lt;=50,"Adult","Senior"))</f>
        <v>Adult</v>
      </c>
      <c r="R1151" s="2" t="str">
        <f t="shared" si="34"/>
        <v>Low</v>
      </c>
      <c r="S1151" s="2" t="str">
        <f t="shared" si="35"/>
        <v>East - Self-employed</v>
      </c>
    </row>
    <row r="1152" spans="1:19" x14ac:dyDescent="0.3">
      <c r="A1152" t="s">
        <v>2327</v>
      </c>
      <c r="B1152" t="s">
        <v>2328</v>
      </c>
      <c r="C1152">
        <v>32</v>
      </c>
      <c r="D1152" s="2" t="s">
        <v>13</v>
      </c>
      <c r="E1152" s="2" t="s">
        <v>22</v>
      </c>
      <c r="F1152" s="2" t="s">
        <v>15</v>
      </c>
      <c r="G1152" s="2" t="s">
        <v>24</v>
      </c>
      <c r="H1152" s="2" t="s">
        <v>18</v>
      </c>
      <c r="I1152" s="2" t="s">
        <v>17</v>
      </c>
      <c r="J1152">
        <v>0.52</v>
      </c>
      <c r="K1152" s="1">
        <v>43807</v>
      </c>
      <c r="L1152" s="2" t="str">
        <f>IF(Sheet1[[#This Row],[age]]&lt;18, "Under 18",IF(Sheet1[[#This Row],[age]]&lt;=30,"18-30",IF(Sheet1[[#This Row],[age]]&lt;=45,"31-45",IF(Sheet1[[#This Row],[age]]&lt;=60,"46-60","60+"))))</f>
        <v>31-45</v>
      </c>
      <c r="M1152" s="2" t="str">
        <f>IF(Sheet1[[#This Row],[risk_score]]&lt;0.3,"Low",IF(Sheet1[[#This Row],[risk_score]]&lt;0.7,"Medium","High"))</f>
        <v>Medium</v>
      </c>
      <c r="N1152">
        <f>YEAR(Sheet1[[#This Row],[date_joined]])</f>
        <v>2019</v>
      </c>
      <c r="O1152" s="2" t="str">
        <f>TEXT(Sheet1[[#This Row],[date_joined]],"mmm")</f>
        <v>Dec</v>
      </c>
      <c r="P1152" s="2" t="str">
        <f>"Q"&amp;ROUNDUP(MONTH(Sheet1[[#This Row],[date_joined]])/3,0)</f>
        <v>Q4</v>
      </c>
      <c r="Q1152" s="2" t="str">
        <f>IF(Sheet1[[#This Row],[age]]&lt;30,"Young",IF(Sheet1[[#This Row],[age]]&lt;=50,"Adult","Senior"))</f>
        <v>Adult</v>
      </c>
      <c r="R1152" s="2" t="str">
        <f t="shared" si="34"/>
        <v>High</v>
      </c>
      <c r="S1152" s="2" t="str">
        <f t="shared" si="35"/>
        <v>East - Student</v>
      </c>
    </row>
    <row r="1153" spans="1:19" x14ac:dyDescent="0.3">
      <c r="A1153" t="s">
        <v>2329</v>
      </c>
      <c r="B1153" t="s">
        <v>2330</v>
      </c>
      <c r="C1153">
        <v>52</v>
      </c>
      <c r="D1153" s="2" t="s">
        <v>21</v>
      </c>
      <c r="E1153" s="2" t="s">
        <v>30</v>
      </c>
      <c r="F1153" s="2" t="s">
        <v>15</v>
      </c>
      <c r="G1153" s="2" t="s">
        <v>16</v>
      </c>
      <c r="H1153" s="2" t="s">
        <v>17</v>
      </c>
      <c r="I1153" s="2" t="s">
        <v>17</v>
      </c>
      <c r="J1153">
        <v>0.65</v>
      </c>
      <c r="K1153" s="1">
        <v>44006</v>
      </c>
      <c r="L1153" s="2" t="str">
        <f>IF(Sheet1[[#This Row],[age]]&lt;18, "Under 18",IF(Sheet1[[#This Row],[age]]&lt;=30,"18-30",IF(Sheet1[[#This Row],[age]]&lt;=45,"31-45",IF(Sheet1[[#This Row],[age]]&lt;=60,"46-60","60+"))))</f>
        <v>46-60</v>
      </c>
      <c r="M1153" s="2" t="str">
        <f>IF(Sheet1[[#This Row],[risk_score]]&lt;0.3,"Low",IF(Sheet1[[#This Row],[risk_score]]&lt;0.7,"Medium","High"))</f>
        <v>Medium</v>
      </c>
      <c r="N1153">
        <f>YEAR(Sheet1[[#This Row],[date_joined]])</f>
        <v>2020</v>
      </c>
      <c r="O1153" s="2" t="str">
        <f>TEXT(Sheet1[[#This Row],[date_joined]],"mmm")</f>
        <v>Jun</v>
      </c>
      <c r="P1153" s="2" t="str">
        <f>"Q"&amp;ROUNDUP(MONTH(Sheet1[[#This Row],[date_joined]])/3,0)</f>
        <v>Q2</v>
      </c>
      <c r="Q1153" s="2" t="str">
        <f>IF(Sheet1[[#This Row],[age]]&lt;30,"Young",IF(Sheet1[[#This Row],[age]]&lt;=50,"Adult","Senior"))</f>
        <v>Senior</v>
      </c>
      <c r="R1153" s="2" t="str">
        <f t="shared" si="34"/>
        <v>Low</v>
      </c>
      <c r="S1153" s="2" t="str">
        <f t="shared" si="35"/>
        <v>West - Student</v>
      </c>
    </row>
    <row r="1154" spans="1:19" x14ac:dyDescent="0.3">
      <c r="A1154" t="s">
        <v>2331</v>
      </c>
      <c r="B1154" t="s">
        <v>2332</v>
      </c>
      <c r="C1154">
        <v>55</v>
      </c>
      <c r="D1154" s="2" t="s">
        <v>21</v>
      </c>
      <c r="E1154" s="2" t="s">
        <v>14</v>
      </c>
      <c r="F1154" s="2" t="s">
        <v>15</v>
      </c>
      <c r="G1154" s="2" t="s">
        <v>66</v>
      </c>
      <c r="H1154" s="2" t="s">
        <v>17</v>
      </c>
      <c r="I1154" s="2" t="s">
        <v>18</v>
      </c>
      <c r="J1154">
        <v>0.5</v>
      </c>
      <c r="K1154" s="1">
        <v>44020</v>
      </c>
      <c r="L1154" s="2" t="str">
        <f>IF(Sheet1[[#This Row],[age]]&lt;18, "Under 18",IF(Sheet1[[#This Row],[age]]&lt;=30,"18-30",IF(Sheet1[[#This Row],[age]]&lt;=45,"31-45",IF(Sheet1[[#This Row],[age]]&lt;=60,"46-60","60+"))))</f>
        <v>46-60</v>
      </c>
      <c r="M1154" s="2" t="str">
        <f>IF(Sheet1[[#This Row],[risk_score]]&lt;0.3,"Low",IF(Sheet1[[#This Row],[risk_score]]&lt;0.7,"Medium","High"))</f>
        <v>Medium</v>
      </c>
      <c r="N1154">
        <f>YEAR(Sheet1[[#This Row],[date_joined]])</f>
        <v>2020</v>
      </c>
      <c r="O1154" s="2" t="str">
        <f>TEXT(Sheet1[[#This Row],[date_joined]],"mmm")</f>
        <v>Jul</v>
      </c>
      <c r="P1154" s="2" t="str">
        <f>"Q"&amp;ROUNDUP(MONTH(Sheet1[[#This Row],[date_joined]])/3,0)</f>
        <v>Q3</v>
      </c>
      <c r="Q1154" s="2" t="str">
        <f>IF(Sheet1[[#This Row],[age]]&lt;30,"Young",IF(Sheet1[[#This Row],[age]]&lt;=50,"Adult","Senior"))</f>
        <v>Senior</v>
      </c>
      <c r="R1154" s="2" t="str">
        <f t="shared" ref="R1154:R1217" si="36">IF(AND(H1154="Yes",I1154="Yes"),"Very High",
IF(OR(H1154="Yes",I1154="Yes"),"High","Low"))</f>
        <v>High</v>
      </c>
      <c r="S1154" s="2" t="str">
        <f t="shared" ref="S1154:S1217" si="37">G1154&amp;" - "&amp;F1154</f>
        <v>North-East - Student</v>
      </c>
    </row>
    <row r="1155" spans="1:19" x14ac:dyDescent="0.3">
      <c r="A1155" t="s">
        <v>2333</v>
      </c>
      <c r="B1155" t="s">
        <v>2334</v>
      </c>
      <c r="C1155">
        <v>54</v>
      </c>
      <c r="D1155" s="2" t="s">
        <v>13</v>
      </c>
      <c r="E1155" s="2" t="s">
        <v>22</v>
      </c>
      <c r="F1155" s="2" t="s">
        <v>31</v>
      </c>
      <c r="G1155" s="2" t="s">
        <v>66</v>
      </c>
      <c r="H1155" s="2" t="s">
        <v>17</v>
      </c>
      <c r="I1155" s="2" t="s">
        <v>18</v>
      </c>
      <c r="J1155">
        <v>0.56000000000000005</v>
      </c>
      <c r="K1155" s="1">
        <v>43509</v>
      </c>
      <c r="L1155" s="2" t="str">
        <f>IF(Sheet1[[#This Row],[age]]&lt;18, "Under 18",IF(Sheet1[[#This Row],[age]]&lt;=30,"18-30",IF(Sheet1[[#This Row],[age]]&lt;=45,"31-45",IF(Sheet1[[#This Row],[age]]&lt;=60,"46-60","60+"))))</f>
        <v>46-60</v>
      </c>
      <c r="M1155" s="2" t="str">
        <f>IF(Sheet1[[#This Row],[risk_score]]&lt;0.3,"Low",IF(Sheet1[[#This Row],[risk_score]]&lt;0.7,"Medium","High"))</f>
        <v>Medium</v>
      </c>
      <c r="N1155">
        <f>YEAR(Sheet1[[#This Row],[date_joined]])</f>
        <v>2019</v>
      </c>
      <c r="O1155" s="2" t="str">
        <f>TEXT(Sheet1[[#This Row],[date_joined]],"mmm")</f>
        <v>Feb</v>
      </c>
      <c r="P1155" s="2" t="str">
        <f>"Q"&amp;ROUNDUP(MONTH(Sheet1[[#This Row],[date_joined]])/3,0)</f>
        <v>Q1</v>
      </c>
      <c r="Q1155" s="2" t="str">
        <f>IF(Sheet1[[#This Row],[age]]&lt;30,"Young",IF(Sheet1[[#This Row],[age]]&lt;=50,"Adult","Senior"))</f>
        <v>Senior</v>
      </c>
      <c r="R1155" s="2" t="str">
        <f t="shared" si="36"/>
        <v>High</v>
      </c>
      <c r="S1155" s="2" t="str">
        <f t="shared" si="37"/>
        <v>North-East - Self-employed</v>
      </c>
    </row>
    <row r="1156" spans="1:19" x14ac:dyDescent="0.3">
      <c r="A1156" t="s">
        <v>2335</v>
      </c>
      <c r="B1156" t="s">
        <v>2336</v>
      </c>
      <c r="C1156">
        <v>33</v>
      </c>
      <c r="D1156" s="2" t="s">
        <v>21</v>
      </c>
      <c r="E1156" s="2" t="s">
        <v>22</v>
      </c>
      <c r="F1156" s="2" t="s">
        <v>23</v>
      </c>
      <c r="G1156" s="2" t="s">
        <v>81</v>
      </c>
      <c r="H1156" s="2" t="s">
        <v>17</v>
      </c>
      <c r="I1156" s="2" t="s">
        <v>18</v>
      </c>
      <c r="J1156">
        <v>0.44</v>
      </c>
      <c r="K1156" s="1">
        <v>44902</v>
      </c>
      <c r="L1156" s="2" t="str">
        <f>IF(Sheet1[[#This Row],[age]]&lt;18, "Under 18",IF(Sheet1[[#This Row],[age]]&lt;=30,"18-30",IF(Sheet1[[#This Row],[age]]&lt;=45,"31-45",IF(Sheet1[[#This Row],[age]]&lt;=60,"46-60","60+"))))</f>
        <v>31-45</v>
      </c>
      <c r="M1156" s="2" t="str">
        <f>IF(Sheet1[[#This Row],[risk_score]]&lt;0.3,"Low",IF(Sheet1[[#This Row],[risk_score]]&lt;0.7,"Medium","High"))</f>
        <v>Medium</v>
      </c>
      <c r="N1156">
        <f>YEAR(Sheet1[[#This Row],[date_joined]])</f>
        <v>2022</v>
      </c>
      <c r="O1156" s="2" t="str">
        <f>TEXT(Sheet1[[#This Row],[date_joined]],"mmm")</f>
        <v>Dec</v>
      </c>
      <c r="P1156" s="2" t="str">
        <f>"Q"&amp;ROUNDUP(MONTH(Sheet1[[#This Row],[date_joined]])/3,0)</f>
        <v>Q4</v>
      </c>
      <c r="Q1156" s="2" t="str">
        <f>IF(Sheet1[[#This Row],[age]]&lt;30,"Young",IF(Sheet1[[#This Row],[age]]&lt;=50,"Adult","Senior"))</f>
        <v>Adult</v>
      </c>
      <c r="R1156" s="2" t="str">
        <f t="shared" si="36"/>
        <v>High</v>
      </c>
      <c r="S1156" s="2" t="str">
        <f t="shared" si="37"/>
        <v>Central - Salaried</v>
      </c>
    </row>
    <row r="1157" spans="1:19" x14ac:dyDescent="0.3">
      <c r="A1157" t="s">
        <v>2337</v>
      </c>
      <c r="B1157" t="s">
        <v>2338</v>
      </c>
      <c r="C1157">
        <v>54</v>
      </c>
      <c r="D1157" s="2" t="s">
        <v>21</v>
      </c>
      <c r="E1157" s="2" t="s">
        <v>14</v>
      </c>
      <c r="F1157" s="2" t="s">
        <v>23</v>
      </c>
      <c r="G1157" s="2" t="s">
        <v>24</v>
      </c>
      <c r="H1157" s="2" t="s">
        <v>17</v>
      </c>
      <c r="I1157" s="2" t="s">
        <v>18</v>
      </c>
      <c r="J1157">
        <v>0.67</v>
      </c>
      <c r="K1157" s="1">
        <v>44043</v>
      </c>
      <c r="L1157" s="2" t="str">
        <f>IF(Sheet1[[#This Row],[age]]&lt;18, "Under 18",IF(Sheet1[[#This Row],[age]]&lt;=30,"18-30",IF(Sheet1[[#This Row],[age]]&lt;=45,"31-45",IF(Sheet1[[#This Row],[age]]&lt;=60,"46-60","60+"))))</f>
        <v>46-60</v>
      </c>
      <c r="M1157" s="2" t="str">
        <f>IF(Sheet1[[#This Row],[risk_score]]&lt;0.3,"Low",IF(Sheet1[[#This Row],[risk_score]]&lt;0.7,"Medium","High"))</f>
        <v>Medium</v>
      </c>
      <c r="N1157">
        <f>YEAR(Sheet1[[#This Row],[date_joined]])</f>
        <v>2020</v>
      </c>
      <c r="O1157" s="2" t="str">
        <f>TEXT(Sheet1[[#This Row],[date_joined]],"mmm")</f>
        <v>Jul</v>
      </c>
      <c r="P1157" s="2" t="str">
        <f>"Q"&amp;ROUNDUP(MONTH(Sheet1[[#This Row],[date_joined]])/3,0)</f>
        <v>Q3</v>
      </c>
      <c r="Q1157" s="2" t="str">
        <f>IF(Sheet1[[#This Row],[age]]&lt;30,"Young",IF(Sheet1[[#This Row],[age]]&lt;=50,"Adult","Senior"))</f>
        <v>Senior</v>
      </c>
      <c r="R1157" s="2" t="str">
        <f t="shared" si="36"/>
        <v>High</v>
      </c>
      <c r="S1157" s="2" t="str">
        <f t="shared" si="37"/>
        <v>East - Salaried</v>
      </c>
    </row>
    <row r="1158" spans="1:19" x14ac:dyDescent="0.3">
      <c r="A1158" t="s">
        <v>2339</v>
      </c>
      <c r="B1158" t="s">
        <v>2340</v>
      </c>
      <c r="C1158">
        <v>60</v>
      </c>
      <c r="D1158" s="2" t="s">
        <v>21</v>
      </c>
      <c r="E1158" s="2" t="s">
        <v>14</v>
      </c>
      <c r="F1158" s="2" t="s">
        <v>15</v>
      </c>
      <c r="G1158" s="2" t="s">
        <v>32</v>
      </c>
      <c r="H1158" s="2" t="s">
        <v>18</v>
      </c>
      <c r="I1158" s="2" t="s">
        <v>17</v>
      </c>
      <c r="J1158">
        <v>0.42</v>
      </c>
      <c r="K1158" s="1">
        <v>43859</v>
      </c>
      <c r="L1158" s="2" t="str">
        <f>IF(Sheet1[[#This Row],[age]]&lt;18, "Under 18",IF(Sheet1[[#This Row],[age]]&lt;=30,"18-30",IF(Sheet1[[#This Row],[age]]&lt;=45,"31-45",IF(Sheet1[[#This Row],[age]]&lt;=60,"46-60","60+"))))</f>
        <v>46-60</v>
      </c>
      <c r="M1158" s="2" t="str">
        <f>IF(Sheet1[[#This Row],[risk_score]]&lt;0.3,"Low",IF(Sheet1[[#This Row],[risk_score]]&lt;0.7,"Medium","High"))</f>
        <v>Medium</v>
      </c>
      <c r="N1158">
        <f>YEAR(Sheet1[[#This Row],[date_joined]])</f>
        <v>2020</v>
      </c>
      <c r="O1158" s="2" t="str">
        <f>TEXT(Sheet1[[#This Row],[date_joined]],"mmm")</f>
        <v>Jan</v>
      </c>
      <c r="P1158" s="2" t="str">
        <f>"Q"&amp;ROUNDUP(MONTH(Sheet1[[#This Row],[date_joined]])/3,0)</f>
        <v>Q1</v>
      </c>
      <c r="Q1158" s="2" t="str">
        <f>IF(Sheet1[[#This Row],[age]]&lt;30,"Young",IF(Sheet1[[#This Row],[age]]&lt;=50,"Adult","Senior"))</f>
        <v>Senior</v>
      </c>
      <c r="R1158" s="2" t="str">
        <f t="shared" si="36"/>
        <v>High</v>
      </c>
      <c r="S1158" s="2" t="str">
        <f t="shared" si="37"/>
        <v>South - Student</v>
      </c>
    </row>
    <row r="1159" spans="1:19" x14ac:dyDescent="0.3">
      <c r="A1159" t="s">
        <v>2341</v>
      </c>
      <c r="B1159" t="s">
        <v>2342</v>
      </c>
      <c r="C1159">
        <v>39</v>
      </c>
      <c r="D1159" s="2" t="s">
        <v>13</v>
      </c>
      <c r="E1159" s="2" t="s">
        <v>30</v>
      </c>
      <c r="F1159" s="2" t="s">
        <v>15</v>
      </c>
      <c r="G1159" s="2" t="s">
        <v>16</v>
      </c>
      <c r="H1159" s="2" t="s">
        <v>18</v>
      </c>
      <c r="I1159" s="2" t="s">
        <v>18</v>
      </c>
      <c r="J1159">
        <v>0.28999999999999998</v>
      </c>
      <c r="K1159" s="1">
        <v>43210</v>
      </c>
      <c r="L1159" s="2" t="str">
        <f>IF(Sheet1[[#This Row],[age]]&lt;18, "Under 18",IF(Sheet1[[#This Row],[age]]&lt;=30,"18-30",IF(Sheet1[[#This Row],[age]]&lt;=45,"31-45",IF(Sheet1[[#This Row],[age]]&lt;=60,"46-60","60+"))))</f>
        <v>31-45</v>
      </c>
      <c r="M1159" s="2" t="str">
        <f>IF(Sheet1[[#This Row],[risk_score]]&lt;0.3,"Low",IF(Sheet1[[#This Row],[risk_score]]&lt;0.7,"Medium","High"))</f>
        <v>Low</v>
      </c>
      <c r="N1159">
        <f>YEAR(Sheet1[[#This Row],[date_joined]])</f>
        <v>2018</v>
      </c>
      <c r="O1159" s="2" t="str">
        <f>TEXT(Sheet1[[#This Row],[date_joined]],"mmm")</f>
        <v>Apr</v>
      </c>
      <c r="P1159" s="2" t="str">
        <f>"Q"&amp;ROUNDUP(MONTH(Sheet1[[#This Row],[date_joined]])/3,0)</f>
        <v>Q2</v>
      </c>
      <c r="Q1159" s="2" t="str">
        <f>IF(Sheet1[[#This Row],[age]]&lt;30,"Young",IF(Sheet1[[#This Row],[age]]&lt;=50,"Adult","Senior"))</f>
        <v>Adult</v>
      </c>
      <c r="R1159" s="2" t="str">
        <f t="shared" si="36"/>
        <v>Very High</v>
      </c>
      <c r="S1159" s="2" t="str">
        <f t="shared" si="37"/>
        <v>West - Student</v>
      </c>
    </row>
    <row r="1160" spans="1:19" x14ac:dyDescent="0.3">
      <c r="A1160" t="s">
        <v>2343</v>
      </c>
      <c r="B1160" t="s">
        <v>2344</v>
      </c>
      <c r="C1160">
        <v>50</v>
      </c>
      <c r="D1160" s="2" t="s">
        <v>21</v>
      </c>
      <c r="E1160" s="2" t="s">
        <v>22</v>
      </c>
      <c r="F1160" s="2" t="s">
        <v>31</v>
      </c>
      <c r="G1160" s="2" t="s">
        <v>16</v>
      </c>
      <c r="H1160" s="2" t="s">
        <v>18</v>
      </c>
      <c r="I1160" s="2" t="s">
        <v>17</v>
      </c>
      <c r="J1160">
        <v>0.73</v>
      </c>
      <c r="K1160" s="1">
        <v>44883</v>
      </c>
      <c r="L1160" s="2" t="str">
        <f>IF(Sheet1[[#This Row],[age]]&lt;18, "Under 18",IF(Sheet1[[#This Row],[age]]&lt;=30,"18-30",IF(Sheet1[[#This Row],[age]]&lt;=45,"31-45",IF(Sheet1[[#This Row],[age]]&lt;=60,"46-60","60+"))))</f>
        <v>46-60</v>
      </c>
      <c r="M1160" s="2" t="str">
        <f>IF(Sheet1[[#This Row],[risk_score]]&lt;0.3,"Low",IF(Sheet1[[#This Row],[risk_score]]&lt;0.7,"Medium","High"))</f>
        <v>High</v>
      </c>
      <c r="N1160">
        <f>YEAR(Sheet1[[#This Row],[date_joined]])</f>
        <v>2022</v>
      </c>
      <c r="O1160" s="2" t="str">
        <f>TEXT(Sheet1[[#This Row],[date_joined]],"mmm")</f>
        <v>Nov</v>
      </c>
      <c r="P1160" s="2" t="str">
        <f>"Q"&amp;ROUNDUP(MONTH(Sheet1[[#This Row],[date_joined]])/3,0)</f>
        <v>Q4</v>
      </c>
      <c r="Q1160" s="2" t="str">
        <f>IF(Sheet1[[#This Row],[age]]&lt;30,"Young",IF(Sheet1[[#This Row],[age]]&lt;=50,"Adult","Senior"))</f>
        <v>Adult</v>
      </c>
      <c r="R1160" s="2" t="str">
        <f t="shared" si="36"/>
        <v>High</v>
      </c>
      <c r="S1160" s="2" t="str">
        <f t="shared" si="37"/>
        <v>West - Self-employed</v>
      </c>
    </row>
    <row r="1161" spans="1:19" x14ac:dyDescent="0.3">
      <c r="A1161" t="s">
        <v>2345</v>
      </c>
      <c r="B1161" t="s">
        <v>2346</v>
      </c>
      <c r="C1161">
        <v>57</v>
      </c>
      <c r="D1161" s="2" t="s">
        <v>13</v>
      </c>
      <c r="E1161" s="2" t="s">
        <v>14</v>
      </c>
      <c r="F1161" s="2" t="s">
        <v>15</v>
      </c>
      <c r="G1161" s="2" t="s">
        <v>66</v>
      </c>
      <c r="H1161" s="2" t="s">
        <v>17</v>
      </c>
      <c r="I1161" s="2" t="s">
        <v>18</v>
      </c>
      <c r="J1161">
        <v>0.62</v>
      </c>
      <c r="K1161" s="1">
        <v>43185</v>
      </c>
      <c r="L1161" s="2" t="str">
        <f>IF(Sheet1[[#This Row],[age]]&lt;18, "Under 18",IF(Sheet1[[#This Row],[age]]&lt;=30,"18-30",IF(Sheet1[[#This Row],[age]]&lt;=45,"31-45",IF(Sheet1[[#This Row],[age]]&lt;=60,"46-60","60+"))))</f>
        <v>46-60</v>
      </c>
      <c r="M1161" s="2" t="str">
        <f>IF(Sheet1[[#This Row],[risk_score]]&lt;0.3,"Low",IF(Sheet1[[#This Row],[risk_score]]&lt;0.7,"Medium","High"))</f>
        <v>Medium</v>
      </c>
      <c r="N1161">
        <f>YEAR(Sheet1[[#This Row],[date_joined]])</f>
        <v>2018</v>
      </c>
      <c r="O1161" s="2" t="str">
        <f>TEXT(Sheet1[[#This Row],[date_joined]],"mmm")</f>
        <v>Mar</v>
      </c>
      <c r="P1161" s="2" t="str">
        <f>"Q"&amp;ROUNDUP(MONTH(Sheet1[[#This Row],[date_joined]])/3,0)</f>
        <v>Q1</v>
      </c>
      <c r="Q1161" s="2" t="str">
        <f>IF(Sheet1[[#This Row],[age]]&lt;30,"Young",IF(Sheet1[[#This Row],[age]]&lt;=50,"Adult","Senior"))</f>
        <v>Senior</v>
      </c>
      <c r="R1161" s="2" t="str">
        <f t="shared" si="36"/>
        <v>High</v>
      </c>
      <c r="S1161" s="2" t="str">
        <f t="shared" si="37"/>
        <v>North-East - Student</v>
      </c>
    </row>
    <row r="1162" spans="1:19" x14ac:dyDescent="0.3">
      <c r="A1162" t="s">
        <v>2347</v>
      </c>
      <c r="B1162" t="s">
        <v>2348</v>
      </c>
      <c r="C1162">
        <v>38</v>
      </c>
      <c r="D1162" s="2" t="s">
        <v>21</v>
      </c>
      <c r="E1162" s="2" t="s">
        <v>30</v>
      </c>
      <c r="F1162" s="2" t="s">
        <v>15</v>
      </c>
      <c r="G1162" s="2" t="s">
        <v>24</v>
      </c>
      <c r="H1162" s="2" t="s">
        <v>18</v>
      </c>
      <c r="I1162" s="2" t="s">
        <v>18</v>
      </c>
      <c r="J1162">
        <v>0.54</v>
      </c>
      <c r="K1162" s="1">
        <v>43674</v>
      </c>
      <c r="L1162" s="2" t="str">
        <f>IF(Sheet1[[#This Row],[age]]&lt;18, "Under 18",IF(Sheet1[[#This Row],[age]]&lt;=30,"18-30",IF(Sheet1[[#This Row],[age]]&lt;=45,"31-45",IF(Sheet1[[#This Row],[age]]&lt;=60,"46-60","60+"))))</f>
        <v>31-45</v>
      </c>
      <c r="M1162" s="2" t="str">
        <f>IF(Sheet1[[#This Row],[risk_score]]&lt;0.3,"Low",IF(Sheet1[[#This Row],[risk_score]]&lt;0.7,"Medium","High"))</f>
        <v>Medium</v>
      </c>
      <c r="N1162">
        <f>YEAR(Sheet1[[#This Row],[date_joined]])</f>
        <v>2019</v>
      </c>
      <c r="O1162" s="2" t="str">
        <f>TEXT(Sheet1[[#This Row],[date_joined]],"mmm")</f>
        <v>Jul</v>
      </c>
      <c r="P1162" s="2" t="str">
        <f>"Q"&amp;ROUNDUP(MONTH(Sheet1[[#This Row],[date_joined]])/3,0)</f>
        <v>Q3</v>
      </c>
      <c r="Q1162" s="2" t="str">
        <f>IF(Sheet1[[#This Row],[age]]&lt;30,"Young",IF(Sheet1[[#This Row],[age]]&lt;=50,"Adult","Senior"))</f>
        <v>Adult</v>
      </c>
      <c r="R1162" s="2" t="str">
        <f t="shared" si="36"/>
        <v>Very High</v>
      </c>
      <c r="S1162" s="2" t="str">
        <f t="shared" si="37"/>
        <v>East - Student</v>
      </c>
    </row>
    <row r="1163" spans="1:19" x14ac:dyDescent="0.3">
      <c r="A1163" t="s">
        <v>2349</v>
      </c>
      <c r="B1163" t="s">
        <v>2350</v>
      </c>
      <c r="C1163">
        <v>18</v>
      </c>
      <c r="D1163" s="2" t="s">
        <v>21</v>
      </c>
      <c r="E1163" s="2" t="s">
        <v>30</v>
      </c>
      <c r="F1163" s="2" t="s">
        <v>37</v>
      </c>
      <c r="G1163" s="2" t="s">
        <v>81</v>
      </c>
      <c r="H1163" s="2" t="s">
        <v>18</v>
      </c>
      <c r="I1163" s="2" t="s">
        <v>17</v>
      </c>
      <c r="J1163">
        <v>0.75</v>
      </c>
      <c r="K1163" s="1">
        <v>43673</v>
      </c>
      <c r="L1163" s="2" t="str">
        <f>IF(Sheet1[[#This Row],[age]]&lt;18, "Under 18",IF(Sheet1[[#This Row],[age]]&lt;=30,"18-30",IF(Sheet1[[#This Row],[age]]&lt;=45,"31-45",IF(Sheet1[[#This Row],[age]]&lt;=60,"46-60","60+"))))</f>
        <v>18-30</v>
      </c>
      <c r="M1163" s="2" t="str">
        <f>IF(Sheet1[[#This Row],[risk_score]]&lt;0.3,"Low",IF(Sheet1[[#This Row],[risk_score]]&lt;0.7,"Medium","High"))</f>
        <v>High</v>
      </c>
      <c r="N1163">
        <f>YEAR(Sheet1[[#This Row],[date_joined]])</f>
        <v>2019</v>
      </c>
      <c r="O1163" s="2" t="str">
        <f>TEXT(Sheet1[[#This Row],[date_joined]],"mmm")</f>
        <v>Jul</v>
      </c>
      <c r="P1163" s="2" t="str">
        <f>"Q"&amp;ROUNDUP(MONTH(Sheet1[[#This Row],[date_joined]])/3,0)</f>
        <v>Q3</v>
      </c>
      <c r="Q1163" s="2" t="str">
        <f>IF(Sheet1[[#This Row],[age]]&lt;30,"Young",IF(Sheet1[[#This Row],[age]]&lt;=50,"Adult","Senior"))</f>
        <v>Young</v>
      </c>
      <c r="R1163" s="2" t="str">
        <f t="shared" si="36"/>
        <v>High</v>
      </c>
      <c r="S1163" s="2" t="str">
        <f t="shared" si="37"/>
        <v>Central - Retired</v>
      </c>
    </row>
    <row r="1164" spans="1:19" x14ac:dyDescent="0.3">
      <c r="A1164" t="s">
        <v>2351</v>
      </c>
      <c r="B1164" t="s">
        <v>2352</v>
      </c>
      <c r="C1164">
        <v>46</v>
      </c>
      <c r="D1164" s="2" t="s">
        <v>21</v>
      </c>
      <c r="E1164" s="2" t="s">
        <v>30</v>
      </c>
      <c r="F1164" s="2" t="s">
        <v>31</v>
      </c>
      <c r="G1164" s="2" t="s">
        <v>32</v>
      </c>
      <c r="H1164" s="2" t="s">
        <v>18</v>
      </c>
      <c r="I1164" s="2" t="s">
        <v>18</v>
      </c>
      <c r="J1164">
        <v>0.52</v>
      </c>
      <c r="K1164" s="1">
        <v>44483</v>
      </c>
      <c r="L1164" s="2" t="str">
        <f>IF(Sheet1[[#This Row],[age]]&lt;18, "Under 18",IF(Sheet1[[#This Row],[age]]&lt;=30,"18-30",IF(Sheet1[[#This Row],[age]]&lt;=45,"31-45",IF(Sheet1[[#This Row],[age]]&lt;=60,"46-60","60+"))))</f>
        <v>46-60</v>
      </c>
      <c r="M1164" s="2" t="str">
        <f>IF(Sheet1[[#This Row],[risk_score]]&lt;0.3,"Low",IF(Sheet1[[#This Row],[risk_score]]&lt;0.7,"Medium","High"))</f>
        <v>Medium</v>
      </c>
      <c r="N1164">
        <f>YEAR(Sheet1[[#This Row],[date_joined]])</f>
        <v>2021</v>
      </c>
      <c r="O1164" s="2" t="str">
        <f>TEXT(Sheet1[[#This Row],[date_joined]],"mmm")</f>
        <v>Oct</v>
      </c>
      <c r="P1164" s="2" t="str">
        <f>"Q"&amp;ROUNDUP(MONTH(Sheet1[[#This Row],[date_joined]])/3,0)</f>
        <v>Q4</v>
      </c>
      <c r="Q1164" s="2" t="str">
        <f>IF(Sheet1[[#This Row],[age]]&lt;30,"Young",IF(Sheet1[[#This Row],[age]]&lt;=50,"Adult","Senior"))</f>
        <v>Adult</v>
      </c>
      <c r="R1164" s="2" t="str">
        <f t="shared" si="36"/>
        <v>Very High</v>
      </c>
      <c r="S1164" s="2" t="str">
        <f t="shared" si="37"/>
        <v>South - Self-employed</v>
      </c>
    </row>
    <row r="1165" spans="1:19" x14ac:dyDescent="0.3">
      <c r="A1165" t="s">
        <v>2353</v>
      </c>
      <c r="B1165" t="s">
        <v>2354</v>
      </c>
      <c r="C1165">
        <v>30</v>
      </c>
      <c r="D1165" s="2" t="s">
        <v>13</v>
      </c>
      <c r="E1165" s="2" t="s">
        <v>30</v>
      </c>
      <c r="F1165" s="2" t="s">
        <v>23</v>
      </c>
      <c r="G1165" s="2" t="s">
        <v>81</v>
      </c>
      <c r="H1165" s="2" t="s">
        <v>17</v>
      </c>
      <c r="I1165" s="2" t="s">
        <v>17</v>
      </c>
      <c r="J1165">
        <v>0.81</v>
      </c>
      <c r="K1165" s="1">
        <v>44171</v>
      </c>
      <c r="L1165" s="2" t="str">
        <f>IF(Sheet1[[#This Row],[age]]&lt;18, "Under 18",IF(Sheet1[[#This Row],[age]]&lt;=30,"18-30",IF(Sheet1[[#This Row],[age]]&lt;=45,"31-45",IF(Sheet1[[#This Row],[age]]&lt;=60,"46-60","60+"))))</f>
        <v>18-30</v>
      </c>
      <c r="M1165" s="2" t="str">
        <f>IF(Sheet1[[#This Row],[risk_score]]&lt;0.3,"Low",IF(Sheet1[[#This Row],[risk_score]]&lt;0.7,"Medium","High"))</f>
        <v>High</v>
      </c>
      <c r="N1165">
        <f>YEAR(Sheet1[[#This Row],[date_joined]])</f>
        <v>2020</v>
      </c>
      <c r="O1165" s="2" t="str">
        <f>TEXT(Sheet1[[#This Row],[date_joined]],"mmm")</f>
        <v>Dec</v>
      </c>
      <c r="P1165" s="2" t="str">
        <f>"Q"&amp;ROUNDUP(MONTH(Sheet1[[#This Row],[date_joined]])/3,0)</f>
        <v>Q4</v>
      </c>
      <c r="Q1165" s="2" t="str">
        <f>IF(Sheet1[[#This Row],[age]]&lt;30,"Young",IF(Sheet1[[#This Row],[age]]&lt;=50,"Adult","Senior"))</f>
        <v>Adult</v>
      </c>
      <c r="R1165" s="2" t="str">
        <f t="shared" si="36"/>
        <v>Low</v>
      </c>
      <c r="S1165" s="2" t="str">
        <f t="shared" si="37"/>
        <v>Central - Salaried</v>
      </c>
    </row>
    <row r="1166" spans="1:19" x14ac:dyDescent="0.3">
      <c r="A1166" t="s">
        <v>2355</v>
      </c>
      <c r="B1166" t="s">
        <v>2356</v>
      </c>
      <c r="C1166">
        <v>58</v>
      </c>
      <c r="D1166" s="2" t="s">
        <v>21</v>
      </c>
      <c r="E1166" s="2" t="s">
        <v>30</v>
      </c>
      <c r="F1166" s="2" t="s">
        <v>37</v>
      </c>
      <c r="G1166" s="2" t="s">
        <v>66</v>
      </c>
      <c r="H1166" s="2" t="s">
        <v>18</v>
      </c>
      <c r="I1166" s="2" t="s">
        <v>18</v>
      </c>
      <c r="J1166">
        <v>0.35</v>
      </c>
      <c r="K1166" s="1">
        <v>44343</v>
      </c>
      <c r="L1166" s="2" t="str">
        <f>IF(Sheet1[[#This Row],[age]]&lt;18, "Under 18",IF(Sheet1[[#This Row],[age]]&lt;=30,"18-30",IF(Sheet1[[#This Row],[age]]&lt;=45,"31-45",IF(Sheet1[[#This Row],[age]]&lt;=60,"46-60","60+"))))</f>
        <v>46-60</v>
      </c>
      <c r="M1166" s="2" t="str">
        <f>IF(Sheet1[[#This Row],[risk_score]]&lt;0.3,"Low",IF(Sheet1[[#This Row],[risk_score]]&lt;0.7,"Medium","High"))</f>
        <v>Medium</v>
      </c>
      <c r="N1166">
        <f>YEAR(Sheet1[[#This Row],[date_joined]])</f>
        <v>2021</v>
      </c>
      <c r="O1166" s="2" t="str">
        <f>TEXT(Sheet1[[#This Row],[date_joined]],"mmm")</f>
        <v>May</v>
      </c>
      <c r="P1166" s="2" t="str">
        <f>"Q"&amp;ROUNDUP(MONTH(Sheet1[[#This Row],[date_joined]])/3,0)</f>
        <v>Q2</v>
      </c>
      <c r="Q1166" s="2" t="str">
        <f>IF(Sheet1[[#This Row],[age]]&lt;30,"Young",IF(Sheet1[[#This Row],[age]]&lt;=50,"Adult","Senior"))</f>
        <v>Senior</v>
      </c>
      <c r="R1166" s="2" t="str">
        <f t="shared" si="36"/>
        <v>Very High</v>
      </c>
      <c r="S1166" s="2" t="str">
        <f t="shared" si="37"/>
        <v>North-East - Retired</v>
      </c>
    </row>
    <row r="1167" spans="1:19" x14ac:dyDescent="0.3">
      <c r="A1167" t="s">
        <v>2357</v>
      </c>
      <c r="B1167" t="s">
        <v>2358</v>
      </c>
      <c r="C1167">
        <v>42</v>
      </c>
      <c r="D1167" s="2" t="s">
        <v>13</v>
      </c>
      <c r="E1167" s="2" t="s">
        <v>30</v>
      </c>
      <c r="F1167" s="2" t="s">
        <v>31</v>
      </c>
      <c r="G1167" s="2" t="s">
        <v>66</v>
      </c>
      <c r="H1167" s="2" t="s">
        <v>17</v>
      </c>
      <c r="I1167" s="2" t="s">
        <v>17</v>
      </c>
      <c r="J1167">
        <v>0.75</v>
      </c>
      <c r="K1167" s="1">
        <v>44168</v>
      </c>
      <c r="L1167" s="2" t="str">
        <f>IF(Sheet1[[#This Row],[age]]&lt;18, "Under 18",IF(Sheet1[[#This Row],[age]]&lt;=30,"18-30",IF(Sheet1[[#This Row],[age]]&lt;=45,"31-45",IF(Sheet1[[#This Row],[age]]&lt;=60,"46-60","60+"))))</f>
        <v>31-45</v>
      </c>
      <c r="M1167" s="2" t="str">
        <f>IF(Sheet1[[#This Row],[risk_score]]&lt;0.3,"Low",IF(Sheet1[[#This Row],[risk_score]]&lt;0.7,"Medium","High"))</f>
        <v>High</v>
      </c>
      <c r="N1167">
        <f>YEAR(Sheet1[[#This Row],[date_joined]])</f>
        <v>2020</v>
      </c>
      <c r="O1167" s="2" t="str">
        <f>TEXT(Sheet1[[#This Row],[date_joined]],"mmm")</f>
        <v>Dec</v>
      </c>
      <c r="P1167" s="2" t="str">
        <f>"Q"&amp;ROUNDUP(MONTH(Sheet1[[#This Row],[date_joined]])/3,0)</f>
        <v>Q4</v>
      </c>
      <c r="Q1167" s="2" t="str">
        <f>IF(Sheet1[[#This Row],[age]]&lt;30,"Young",IF(Sheet1[[#This Row],[age]]&lt;=50,"Adult","Senior"))</f>
        <v>Adult</v>
      </c>
      <c r="R1167" s="2" t="str">
        <f t="shared" si="36"/>
        <v>Low</v>
      </c>
      <c r="S1167" s="2" t="str">
        <f t="shared" si="37"/>
        <v>North-East - Self-employed</v>
      </c>
    </row>
    <row r="1168" spans="1:19" x14ac:dyDescent="0.3">
      <c r="A1168" t="s">
        <v>2359</v>
      </c>
      <c r="B1168" t="s">
        <v>2360</v>
      </c>
      <c r="C1168">
        <v>24</v>
      </c>
      <c r="D1168" s="2" t="s">
        <v>13</v>
      </c>
      <c r="E1168" s="2" t="s">
        <v>14</v>
      </c>
      <c r="F1168" s="2" t="s">
        <v>37</v>
      </c>
      <c r="G1168" s="2" t="s">
        <v>81</v>
      </c>
      <c r="H1168" s="2" t="s">
        <v>17</v>
      </c>
      <c r="I1168" s="2" t="s">
        <v>18</v>
      </c>
      <c r="J1168">
        <v>0.53</v>
      </c>
      <c r="K1168" s="1">
        <v>43623</v>
      </c>
      <c r="L1168" s="2" t="str">
        <f>IF(Sheet1[[#This Row],[age]]&lt;18, "Under 18",IF(Sheet1[[#This Row],[age]]&lt;=30,"18-30",IF(Sheet1[[#This Row],[age]]&lt;=45,"31-45",IF(Sheet1[[#This Row],[age]]&lt;=60,"46-60","60+"))))</f>
        <v>18-30</v>
      </c>
      <c r="M1168" s="2" t="str">
        <f>IF(Sheet1[[#This Row],[risk_score]]&lt;0.3,"Low",IF(Sheet1[[#This Row],[risk_score]]&lt;0.7,"Medium","High"))</f>
        <v>Medium</v>
      </c>
      <c r="N1168">
        <f>YEAR(Sheet1[[#This Row],[date_joined]])</f>
        <v>2019</v>
      </c>
      <c r="O1168" s="2" t="str">
        <f>TEXT(Sheet1[[#This Row],[date_joined]],"mmm")</f>
        <v>Jun</v>
      </c>
      <c r="P1168" s="2" t="str">
        <f>"Q"&amp;ROUNDUP(MONTH(Sheet1[[#This Row],[date_joined]])/3,0)</f>
        <v>Q2</v>
      </c>
      <c r="Q1168" s="2" t="str">
        <f>IF(Sheet1[[#This Row],[age]]&lt;30,"Young",IF(Sheet1[[#This Row],[age]]&lt;=50,"Adult","Senior"))</f>
        <v>Young</v>
      </c>
      <c r="R1168" s="2" t="str">
        <f t="shared" si="36"/>
        <v>High</v>
      </c>
      <c r="S1168" s="2" t="str">
        <f t="shared" si="37"/>
        <v>Central - Retired</v>
      </c>
    </row>
    <row r="1169" spans="1:19" x14ac:dyDescent="0.3">
      <c r="A1169" t="s">
        <v>2361</v>
      </c>
      <c r="B1169" t="s">
        <v>2362</v>
      </c>
      <c r="C1169">
        <v>42</v>
      </c>
      <c r="D1169" s="2" t="s">
        <v>21</v>
      </c>
      <c r="E1169" s="2" t="s">
        <v>30</v>
      </c>
      <c r="F1169" s="2" t="s">
        <v>31</v>
      </c>
      <c r="G1169" s="2" t="s">
        <v>24</v>
      </c>
      <c r="H1169" s="2" t="s">
        <v>18</v>
      </c>
      <c r="I1169" s="2" t="s">
        <v>17</v>
      </c>
      <c r="J1169">
        <v>0.94</v>
      </c>
      <c r="K1169" s="1">
        <v>43164</v>
      </c>
      <c r="L1169" s="2" t="str">
        <f>IF(Sheet1[[#This Row],[age]]&lt;18, "Under 18",IF(Sheet1[[#This Row],[age]]&lt;=30,"18-30",IF(Sheet1[[#This Row],[age]]&lt;=45,"31-45",IF(Sheet1[[#This Row],[age]]&lt;=60,"46-60","60+"))))</f>
        <v>31-45</v>
      </c>
      <c r="M1169" s="2" t="str">
        <f>IF(Sheet1[[#This Row],[risk_score]]&lt;0.3,"Low",IF(Sheet1[[#This Row],[risk_score]]&lt;0.7,"Medium","High"))</f>
        <v>High</v>
      </c>
      <c r="N1169">
        <f>YEAR(Sheet1[[#This Row],[date_joined]])</f>
        <v>2018</v>
      </c>
      <c r="O1169" s="2" t="str">
        <f>TEXT(Sheet1[[#This Row],[date_joined]],"mmm")</f>
        <v>Mar</v>
      </c>
      <c r="P1169" s="2" t="str">
        <f>"Q"&amp;ROUNDUP(MONTH(Sheet1[[#This Row],[date_joined]])/3,0)</f>
        <v>Q1</v>
      </c>
      <c r="Q1169" s="2" t="str">
        <f>IF(Sheet1[[#This Row],[age]]&lt;30,"Young",IF(Sheet1[[#This Row],[age]]&lt;=50,"Adult","Senior"))</f>
        <v>Adult</v>
      </c>
      <c r="R1169" s="2" t="str">
        <f t="shared" si="36"/>
        <v>High</v>
      </c>
      <c r="S1169" s="2" t="str">
        <f t="shared" si="37"/>
        <v>East - Self-employed</v>
      </c>
    </row>
    <row r="1170" spans="1:19" x14ac:dyDescent="0.3">
      <c r="A1170" t="s">
        <v>2363</v>
      </c>
      <c r="B1170" t="s">
        <v>2364</v>
      </c>
      <c r="C1170">
        <v>64</v>
      </c>
      <c r="D1170" s="2" t="s">
        <v>13</v>
      </c>
      <c r="E1170" s="2" t="s">
        <v>14</v>
      </c>
      <c r="F1170" s="2" t="s">
        <v>23</v>
      </c>
      <c r="G1170" s="2" t="s">
        <v>24</v>
      </c>
      <c r="H1170" s="2" t="s">
        <v>17</v>
      </c>
      <c r="I1170" s="2" t="s">
        <v>18</v>
      </c>
      <c r="J1170">
        <v>0.66</v>
      </c>
      <c r="K1170" s="1">
        <v>43426</v>
      </c>
      <c r="L1170" s="2" t="str">
        <f>IF(Sheet1[[#This Row],[age]]&lt;18, "Under 18",IF(Sheet1[[#This Row],[age]]&lt;=30,"18-30",IF(Sheet1[[#This Row],[age]]&lt;=45,"31-45",IF(Sheet1[[#This Row],[age]]&lt;=60,"46-60","60+"))))</f>
        <v>60+</v>
      </c>
      <c r="M1170" s="2" t="str">
        <f>IF(Sheet1[[#This Row],[risk_score]]&lt;0.3,"Low",IF(Sheet1[[#This Row],[risk_score]]&lt;0.7,"Medium","High"))</f>
        <v>Medium</v>
      </c>
      <c r="N1170">
        <f>YEAR(Sheet1[[#This Row],[date_joined]])</f>
        <v>2018</v>
      </c>
      <c r="O1170" s="2" t="str">
        <f>TEXT(Sheet1[[#This Row],[date_joined]],"mmm")</f>
        <v>Nov</v>
      </c>
      <c r="P1170" s="2" t="str">
        <f>"Q"&amp;ROUNDUP(MONTH(Sheet1[[#This Row],[date_joined]])/3,0)</f>
        <v>Q4</v>
      </c>
      <c r="Q1170" s="2" t="str">
        <f>IF(Sheet1[[#This Row],[age]]&lt;30,"Young",IF(Sheet1[[#This Row],[age]]&lt;=50,"Adult","Senior"))</f>
        <v>Senior</v>
      </c>
      <c r="R1170" s="2" t="str">
        <f t="shared" si="36"/>
        <v>High</v>
      </c>
      <c r="S1170" s="2" t="str">
        <f t="shared" si="37"/>
        <v>East - Salaried</v>
      </c>
    </row>
    <row r="1171" spans="1:19" x14ac:dyDescent="0.3">
      <c r="A1171" t="s">
        <v>2365</v>
      </c>
      <c r="B1171" t="s">
        <v>2366</v>
      </c>
      <c r="C1171">
        <v>19</v>
      </c>
      <c r="D1171" s="2" t="s">
        <v>13</v>
      </c>
      <c r="E1171" s="2" t="s">
        <v>22</v>
      </c>
      <c r="F1171" s="2" t="s">
        <v>31</v>
      </c>
      <c r="G1171" s="2" t="s">
        <v>24</v>
      </c>
      <c r="H1171" s="2" t="s">
        <v>17</v>
      </c>
      <c r="I1171" s="2" t="s">
        <v>17</v>
      </c>
      <c r="J1171">
        <v>0.36</v>
      </c>
      <c r="K1171" s="1">
        <v>43134</v>
      </c>
      <c r="L1171" s="2" t="str">
        <f>IF(Sheet1[[#This Row],[age]]&lt;18, "Under 18",IF(Sheet1[[#This Row],[age]]&lt;=30,"18-30",IF(Sheet1[[#This Row],[age]]&lt;=45,"31-45",IF(Sheet1[[#This Row],[age]]&lt;=60,"46-60","60+"))))</f>
        <v>18-30</v>
      </c>
      <c r="M1171" s="2" t="str">
        <f>IF(Sheet1[[#This Row],[risk_score]]&lt;0.3,"Low",IF(Sheet1[[#This Row],[risk_score]]&lt;0.7,"Medium","High"))</f>
        <v>Medium</v>
      </c>
      <c r="N1171">
        <f>YEAR(Sheet1[[#This Row],[date_joined]])</f>
        <v>2018</v>
      </c>
      <c r="O1171" s="2" t="str">
        <f>TEXT(Sheet1[[#This Row],[date_joined]],"mmm")</f>
        <v>Feb</v>
      </c>
      <c r="P1171" s="2" t="str">
        <f>"Q"&amp;ROUNDUP(MONTH(Sheet1[[#This Row],[date_joined]])/3,0)</f>
        <v>Q1</v>
      </c>
      <c r="Q1171" s="2" t="str">
        <f>IF(Sheet1[[#This Row],[age]]&lt;30,"Young",IF(Sheet1[[#This Row],[age]]&lt;=50,"Adult","Senior"))</f>
        <v>Young</v>
      </c>
      <c r="R1171" s="2" t="str">
        <f t="shared" si="36"/>
        <v>Low</v>
      </c>
      <c r="S1171" s="2" t="str">
        <f t="shared" si="37"/>
        <v>East - Self-employed</v>
      </c>
    </row>
    <row r="1172" spans="1:19" x14ac:dyDescent="0.3">
      <c r="A1172" t="s">
        <v>2367</v>
      </c>
      <c r="B1172" t="s">
        <v>2368</v>
      </c>
      <c r="C1172">
        <v>50</v>
      </c>
      <c r="D1172" s="2" t="s">
        <v>13</v>
      </c>
      <c r="E1172" s="2" t="s">
        <v>14</v>
      </c>
      <c r="F1172" s="2" t="s">
        <v>15</v>
      </c>
      <c r="G1172" s="2" t="s">
        <v>16</v>
      </c>
      <c r="H1172" s="2" t="s">
        <v>18</v>
      </c>
      <c r="I1172" s="2" t="s">
        <v>18</v>
      </c>
      <c r="J1172">
        <v>0.47</v>
      </c>
      <c r="K1172" s="1">
        <v>44913</v>
      </c>
      <c r="L1172" s="2" t="str">
        <f>IF(Sheet1[[#This Row],[age]]&lt;18, "Under 18",IF(Sheet1[[#This Row],[age]]&lt;=30,"18-30",IF(Sheet1[[#This Row],[age]]&lt;=45,"31-45",IF(Sheet1[[#This Row],[age]]&lt;=60,"46-60","60+"))))</f>
        <v>46-60</v>
      </c>
      <c r="M1172" s="2" t="str">
        <f>IF(Sheet1[[#This Row],[risk_score]]&lt;0.3,"Low",IF(Sheet1[[#This Row],[risk_score]]&lt;0.7,"Medium","High"))</f>
        <v>Medium</v>
      </c>
      <c r="N1172">
        <f>YEAR(Sheet1[[#This Row],[date_joined]])</f>
        <v>2022</v>
      </c>
      <c r="O1172" s="2" t="str">
        <f>TEXT(Sheet1[[#This Row],[date_joined]],"mmm")</f>
        <v>Dec</v>
      </c>
      <c r="P1172" s="2" t="str">
        <f>"Q"&amp;ROUNDUP(MONTH(Sheet1[[#This Row],[date_joined]])/3,0)</f>
        <v>Q4</v>
      </c>
      <c r="Q1172" s="2" t="str">
        <f>IF(Sheet1[[#This Row],[age]]&lt;30,"Young",IF(Sheet1[[#This Row],[age]]&lt;=50,"Adult","Senior"))</f>
        <v>Adult</v>
      </c>
      <c r="R1172" s="2" t="str">
        <f t="shared" si="36"/>
        <v>Very High</v>
      </c>
      <c r="S1172" s="2" t="str">
        <f t="shared" si="37"/>
        <v>West - Student</v>
      </c>
    </row>
    <row r="1173" spans="1:19" x14ac:dyDescent="0.3">
      <c r="A1173" t="s">
        <v>2369</v>
      </c>
      <c r="B1173" t="s">
        <v>2370</v>
      </c>
      <c r="C1173">
        <v>23</v>
      </c>
      <c r="D1173" s="2" t="s">
        <v>21</v>
      </c>
      <c r="E1173" s="2" t="s">
        <v>22</v>
      </c>
      <c r="F1173" s="2" t="s">
        <v>23</v>
      </c>
      <c r="G1173" s="2" t="s">
        <v>24</v>
      </c>
      <c r="H1173" s="2" t="s">
        <v>17</v>
      </c>
      <c r="I1173" s="2" t="s">
        <v>17</v>
      </c>
      <c r="J1173">
        <v>0.71</v>
      </c>
      <c r="K1173" s="1">
        <v>43898</v>
      </c>
      <c r="L1173" s="2" t="str">
        <f>IF(Sheet1[[#This Row],[age]]&lt;18, "Under 18",IF(Sheet1[[#This Row],[age]]&lt;=30,"18-30",IF(Sheet1[[#This Row],[age]]&lt;=45,"31-45",IF(Sheet1[[#This Row],[age]]&lt;=60,"46-60","60+"))))</f>
        <v>18-30</v>
      </c>
      <c r="M1173" s="2" t="str">
        <f>IF(Sheet1[[#This Row],[risk_score]]&lt;0.3,"Low",IF(Sheet1[[#This Row],[risk_score]]&lt;0.7,"Medium","High"))</f>
        <v>High</v>
      </c>
      <c r="N1173">
        <f>YEAR(Sheet1[[#This Row],[date_joined]])</f>
        <v>2020</v>
      </c>
      <c r="O1173" s="2" t="str">
        <f>TEXT(Sheet1[[#This Row],[date_joined]],"mmm")</f>
        <v>Mar</v>
      </c>
      <c r="P1173" s="2" t="str">
        <f>"Q"&amp;ROUNDUP(MONTH(Sheet1[[#This Row],[date_joined]])/3,0)</f>
        <v>Q1</v>
      </c>
      <c r="Q1173" s="2" t="str">
        <f>IF(Sheet1[[#This Row],[age]]&lt;30,"Young",IF(Sheet1[[#This Row],[age]]&lt;=50,"Adult","Senior"))</f>
        <v>Young</v>
      </c>
      <c r="R1173" s="2" t="str">
        <f t="shared" si="36"/>
        <v>Low</v>
      </c>
      <c r="S1173" s="2" t="str">
        <f t="shared" si="37"/>
        <v>East - Salaried</v>
      </c>
    </row>
    <row r="1174" spans="1:19" x14ac:dyDescent="0.3">
      <c r="A1174" t="s">
        <v>2371</v>
      </c>
      <c r="B1174" t="s">
        <v>2372</v>
      </c>
      <c r="C1174">
        <v>34</v>
      </c>
      <c r="D1174" s="2" t="s">
        <v>13</v>
      </c>
      <c r="E1174" s="2" t="s">
        <v>22</v>
      </c>
      <c r="F1174" s="2" t="s">
        <v>23</v>
      </c>
      <c r="G1174" s="2" t="s">
        <v>66</v>
      </c>
      <c r="H1174" s="2" t="s">
        <v>17</v>
      </c>
      <c r="I1174" s="2" t="s">
        <v>17</v>
      </c>
      <c r="J1174">
        <v>0.38</v>
      </c>
      <c r="K1174" s="1">
        <v>44212</v>
      </c>
      <c r="L1174" s="2" t="str">
        <f>IF(Sheet1[[#This Row],[age]]&lt;18, "Under 18",IF(Sheet1[[#This Row],[age]]&lt;=30,"18-30",IF(Sheet1[[#This Row],[age]]&lt;=45,"31-45",IF(Sheet1[[#This Row],[age]]&lt;=60,"46-60","60+"))))</f>
        <v>31-45</v>
      </c>
      <c r="M1174" s="2" t="str">
        <f>IF(Sheet1[[#This Row],[risk_score]]&lt;0.3,"Low",IF(Sheet1[[#This Row],[risk_score]]&lt;0.7,"Medium","High"))</f>
        <v>Medium</v>
      </c>
      <c r="N1174">
        <f>YEAR(Sheet1[[#This Row],[date_joined]])</f>
        <v>2021</v>
      </c>
      <c r="O1174" s="2" t="str">
        <f>TEXT(Sheet1[[#This Row],[date_joined]],"mmm")</f>
        <v>Jan</v>
      </c>
      <c r="P1174" s="2" t="str">
        <f>"Q"&amp;ROUNDUP(MONTH(Sheet1[[#This Row],[date_joined]])/3,0)</f>
        <v>Q1</v>
      </c>
      <c r="Q1174" s="2" t="str">
        <f>IF(Sheet1[[#This Row],[age]]&lt;30,"Young",IF(Sheet1[[#This Row],[age]]&lt;=50,"Adult","Senior"))</f>
        <v>Adult</v>
      </c>
      <c r="R1174" s="2" t="str">
        <f t="shared" si="36"/>
        <v>Low</v>
      </c>
      <c r="S1174" s="2" t="str">
        <f t="shared" si="37"/>
        <v>North-East - Salaried</v>
      </c>
    </row>
    <row r="1175" spans="1:19" x14ac:dyDescent="0.3">
      <c r="A1175" t="s">
        <v>2373</v>
      </c>
      <c r="B1175" t="s">
        <v>2374</v>
      </c>
      <c r="C1175">
        <v>44</v>
      </c>
      <c r="D1175" s="2" t="s">
        <v>21</v>
      </c>
      <c r="E1175" s="2" t="s">
        <v>22</v>
      </c>
      <c r="F1175" s="2" t="s">
        <v>37</v>
      </c>
      <c r="G1175" s="2" t="s">
        <v>27</v>
      </c>
      <c r="H1175" s="2" t="s">
        <v>18</v>
      </c>
      <c r="I1175" s="2" t="s">
        <v>18</v>
      </c>
      <c r="J1175">
        <v>0.43</v>
      </c>
      <c r="K1175" s="1">
        <v>43218</v>
      </c>
      <c r="L1175" s="2" t="str">
        <f>IF(Sheet1[[#This Row],[age]]&lt;18, "Under 18",IF(Sheet1[[#This Row],[age]]&lt;=30,"18-30",IF(Sheet1[[#This Row],[age]]&lt;=45,"31-45",IF(Sheet1[[#This Row],[age]]&lt;=60,"46-60","60+"))))</f>
        <v>31-45</v>
      </c>
      <c r="M1175" s="2" t="str">
        <f>IF(Sheet1[[#This Row],[risk_score]]&lt;0.3,"Low",IF(Sheet1[[#This Row],[risk_score]]&lt;0.7,"Medium","High"))</f>
        <v>Medium</v>
      </c>
      <c r="N1175">
        <f>YEAR(Sheet1[[#This Row],[date_joined]])</f>
        <v>2018</v>
      </c>
      <c r="O1175" s="2" t="str">
        <f>TEXT(Sheet1[[#This Row],[date_joined]],"mmm")</f>
        <v>Apr</v>
      </c>
      <c r="P1175" s="2" t="str">
        <f>"Q"&amp;ROUNDUP(MONTH(Sheet1[[#This Row],[date_joined]])/3,0)</f>
        <v>Q2</v>
      </c>
      <c r="Q1175" s="2" t="str">
        <f>IF(Sheet1[[#This Row],[age]]&lt;30,"Young",IF(Sheet1[[#This Row],[age]]&lt;=50,"Adult","Senior"))</f>
        <v>Adult</v>
      </c>
      <c r="R1175" s="2" t="str">
        <f t="shared" si="36"/>
        <v>Very High</v>
      </c>
      <c r="S1175" s="2" t="str">
        <f t="shared" si="37"/>
        <v>North - Retired</v>
      </c>
    </row>
    <row r="1176" spans="1:19" x14ac:dyDescent="0.3">
      <c r="A1176" t="s">
        <v>2375</v>
      </c>
      <c r="B1176" t="s">
        <v>2376</v>
      </c>
      <c r="C1176">
        <v>20</v>
      </c>
      <c r="D1176" s="2" t="s">
        <v>13</v>
      </c>
      <c r="E1176" s="2" t="s">
        <v>14</v>
      </c>
      <c r="F1176" s="2" t="s">
        <v>23</v>
      </c>
      <c r="G1176" s="2" t="s">
        <v>16</v>
      </c>
      <c r="H1176" s="2" t="s">
        <v>17</v>
      </c>
      <c r="I1176" s="2" t="s">
        <v>18</v>
      </c>
      <c r="J1176">
        <v>0.67</v>
      </c>
      <c r="K1176" s="1">
        <v>44694</v>
      </c>
      <c r="L1176" s="2" t="str">
        <f>IF(Sheet1[[#This Row],[age]]&lt;18, "Under 18",IF(Sheet1[[#This Row],[age]]&lt;=30,"18-30",IF(Sheet1[[#This Row],[age]]&lt;=45,"31-45",IF(Sheet1[[#This Row],[age]]&lt;=60,"46-60","60+"))))</f>
        <v>18-30</v>
      </c>
      <c r="M1176" s="2" t="str">
        <f>IF(Sheet1[[#This Row],[risk_score]]&lt;0.3,"Low",IF(Sheet1[[#This Row],[risk_score]]&lt;0.7,"Medium","High"))</f>
        <v>Medium</v>
      </c>
      <c r="N1176">
        <f>YEAR(Sheet1[[#This Row],[date_joined]])</f>
        <v>2022</v>
      </c>
      <c r="O1176" s="2" t="str">
        <f>TEXT(Sheet1[[#This Row],[date_joined]],"mmm")</f>
        <v>May</v>
      </c>
      <c r="P1176" s="2" t="str">
        <f>"Q"&amp;ROUNDUP(MONTH(Sheet1[[#This Row],[date_joined]])/3,0)</f>
        <v>Q2</v>
      </c>
      <c r="Q1176" s="2" t="str">
        <f>IF(Sheet1[[#This Row],[age]]&lt;30,"Young",IF(Sheet1[[#This Row],[age]]&lt;=50,"Adult","Senior"))</f>
        <v>Young</v>
      </c>
      <c r="R1176" s="2" t="str">
        <f t="shared" si="36"/>
        <v>High</v>
      </c>
      <c r="S1176" s="2" t="str">
        <f t="shared" si="37"/>
        <v>West - Salaried</v>
      </c>
    </row>
    <row r="1177" spans="1:19" x14ac:dyDescent="0.3">
      <c r="A1177" t="s">
        <v>2377</v>
      </c>
      <c r="B1177" t="s">
        <v>2378</v>
      </c>
      <c r="C1177">
        <v>52</v>
      </c>
      <c r="D1177" s="2" t="s">
        <v>21</v>
      </c>
      <c r="E1177" s="2" t="s">
        <v>30</v>
      </c>
      <c r="F1177" s="2" t="s">
        <v>37</v>
      </c>
      <c r="G1177" s="2" t="s">
        <v>32</v>
      </c>
      <c r="H1177" s="2" t="s">
        <v>17</v>
      </c>
      <c r="I1177" s="2" t="s">
        <v>17</v>
      </c>
      <c r="J1177">
        <v>0.6</v>
      </c>
      <c r="K1177" s="1">
        <v>44955</v>
      </c>
      <c r="L1177" s="2" t="str">
        <f>IF(Sheet1[[#This Row],[age]]&lt;18, "Under 18",IF(Sheet1[[#This Row],[age]]&lt;=30,"18-30",IF(Sheet1[[#This Row],[age]]&lt;=45,"31-45",IF(Sheet1[[#This Row],[age]]&lt;=60,"46-60","60+"))))</f>
        <v>46-60</v>
      </c>
      <c r="M1177" s="2" t="str">
        <f>IF(Sheet1[[#This Row],[risk_score]]&lt;0.3,"Low",IF(Sheet1[[#This Row],[risk_score]]&lt;0.7,"Medium","High"))</f>
        <v>Medium</v>
      </c>
      <c r="N1177">
        <f>YEAR(Sheet1[[#This Row],[date_joined]])</f>
        <v>2023</v>
      </c>
      <c r="O1177" s="2" t="str">
        <f>TEXT(Sheet1[[#This Row],[date_joined]],"mmm")</f>
        <v>Jan</v>
      </c>
      <c r="P1177" s="2" t="str">
        <f>"Q"&amp;ROUNDUP(MONTH(Sheet1[[#This Row],[date_joined]])/3,0)</f>
        <v>Q1</v>
      </c>
      <c r="Q1177" s="2" t="str">
        <f>IF(Sheet1[[#This Row],[age]]&lt;30,"Young",IF(Sheet1[[#This Row],[age]]&lt;=50,"Adult","Senior"))</f>
        <v>Senior</v>
      </c>
      <c r="R1177" s="2" t="str">
        <f t="shared" si="36"/>
        <v>Low</v>
      </c>
      <c r="S1177" s="2" t="str">
        <f t="shared" si="37"/>
        <v>South - Retired</v>
      </c>
    </row>
    <row r="1178" spans="1:19" x14ac:dyDescent="0.3">
      <c r="A1178" t="s">
        <v>2379</v>
      </c>
      <c r="B1178" t="s">
        <v>2380</v>
      </c>
      <c r="C1178">
        <v>35</v>
      </c>
      <c r="D1178" s="2" t="s">
        <v>21</v>
      </c>
      <c r="E1178" s="2" t="s">
        <v>14</v>
      </c>
      <c r="F1178" s="2" t="s">
        <v>15</v>
      </c>
      <c r="G1178" s="2" t="s">
        <v>27</v>
      </c>
      <c r="H1178" s="2" t="s">
        <v>18</v>
      </c>
      <c r="I1178" s="2" t="s">
        <v>18</v>
      </c>
      <c r="J1178">
        <v>0.34</v>
      </c>
      <c r="K1178" s="1">
        <v>44596</v>
      </c>
      <c r="L1178" s="2" t="str">
        <f>IF(Sheet1[[#This Row],[age]]&lt;18, "Under 18",IF(Sheet1[[#This Row],[age]]&lt;=30,"18-30",IF(Sheet1[[#This Row],[age]]&lt;=45,"31-45",IF(Sheet1[[#This Row],[age]]&lt;=60,"46-60","60+"))))</f>
        <v>31-45</v>
      </c>
      <c r="M1178" s="2" t="str">
        <f>IF(Sheet1[[#This Row],[risk_score]]&lt;0.3,"Low",IF(Sheet1[[#This Row],[risk_score]]&lt;0.7,"Medium","High"))</f>
        <v>Medium</v>
      </c>
      <c r="N1178">
        <f>YEAR(Sheet1[[#This Row],[date_joined]])</f>
        <v>2022</v>
      </c>
      <c r="O1178" s="2" t="str">
        <f>TEXT(Sheet1[[#This Row],[date_joined]],"mmm")</f>
        <v>Feb</v>
      </c>
      <c r="P1178" s="2" t="str">
        <f>"Q"&amp;ROUNDUP(MONTH(Sheet1[[#This Row],[date_joined]])/3,0)</f>
        <v>Q1</v>
      </c>
      <c r="Q1178" s="2" t="str">
        <f>IF(Sheet1[[#This Row],[age]]&lt;30,"Young",IF(Sheet1[[#This Row],[age]]&lt;=50,"Adult","Senior"))</f>
        <v>Adult</v>
      </c>
      <c r="R1178" s="2" t="str">
        <f t="shared" si="36"/>
        <v>Very High</v>
      </c>
      <c r="S1178" s="2" t="str">
        <f t="shared" si="37"/>
        <v>North - Student</v>
      </c>
    </row>
    <row r="1179" spans="1:19" x14ac:dyDescent="0.3">
      <c r="A1179" t="s">
        <v>2381</v>
      </c>
      <c r="B1179" t="s">
        <v>2382</v>
      </c>
      <c r="C1179">
        <v>58</v>
      </c>
      <c r="D1179" s="2" t="s">
        <v>13</v>
      </c>
      <c r="E1179" s="2" t="s">
        <v>14</v>
      </c>
      <c r="F1179" s="2" t="s">
        <v>37</v>
      </c>
      <c r="G1179" s="2" t="s">
        <v>32</v>
      </c>
      <c r="H1179" s="2" t="s">
        <v>17</v>
      </c>
      <c r="I1179" s="2" t="s">
        <v>18</v>
      </c>
      <c r="J1179">
        <v>0.27</v>
      </c>
      <c r="K1179" s="1">
        <v>44728</v>
      </c>
      <c r="L1179" s="2" t="str">
        <f>IF(Sheet1[[#This Row],[age]]&lt;18, "Under 18",IF(Sheet1[[#This Row],[age]]&lt;=30,"18-30",IF(Sheet1[[#This Row],[age]]&lt;=45,"31-45",IF(Sheet1[[#This Row],[age]]&lt;=60,"46-60","60+"))))</f>
        <v>46-60</v>
      </c>
      <c r="M1179" s="2" t="str">
        <f>IF(Sheet1[[#This Row],[risk_score]]&lt;0.3,"Low",IF(Sheet1[[#This Row],[risk_score]]&lt;0.7,"Medium","High"))</f>
        <v>Low</v>
      </c>
      <c r="N1179">
        <f>YEAR(Sheet1[[#This Row],[date_joined]])</f>
        <v>2022</v>
      </c>
      <c r="O1179" s="2" t="str">
        <f>TEXT(Sheet1[[#This Row],[date_joined]],"mmm")</f>
        <v>Jun</v>
      </c>
      <c r="P1179" s="2" t="str">
        <f>"Q"&amp;ROUNDUP(MONTH(Sheet1[[#This Row],[date_joined]])/3,0)</f>
        <v>Q2</v>
      </c>
      <c r="Q1179" s="2" t="str">
        <f>IF(Sheet1[[#This Row],[age]]&lt;30,"Young",IF(Sheet1[[#This Row],[age]]&lt;=50,"Adult","Senior"))</f>
        <v>Senior</v>
      </c>
      <c r="R1179" s="2" t="str">
        <f t="shared" si="36"/>
        <v>High</v>
      </c>
      <c r="S1179" s="2" t="str">
        <f t="shared" si="37"/>
        <v>South - Retired</v>
      </c>
    </row>
    <row r="1180" spans="1:19" x14ac:dyDescent="0.3">
      <c r="A1180" t="s">
        <v>2383</v>
      </c>
      <c r="B1180" t="s">
        <v>2384</v>
      </c>
      <c r="C1180">
        <v>57</v>
      </c>
      <c r="D1180" s="2" t="s">
        <v>21</v>
      </c>
      <c r="E1180" s="2" t="s">
        <v>22</v>
      </c>
      <c r="F1180" s="2" t="s">
        <v>31</v>
      </c>
      <c r="G1180" s="2" t="s">
        <v>66</v>
      </c>
      <c r="H1180" s="2" t="s">
        <v>18</v>
      </c>
      <c r="I1180" s="2" t="s">
        <v>18</v>
      </c>
      <c r="J1180">
        <v>0.33</v>
      </c>
      <c r="K1180" s="1">
        <v>43881</v>
      </c>
      <c r="L1180" s="2" t="str">
        <f>IF(Sheet1[[#This Row],[age]]&lt;18, "Under 18",IF(Sheet1[[#This Row],[age]]&lt;=30,"18-30",IF(Sheet1[[#This Row],[age]]&lt;=45,"31-45",IF(Sheet1[[#This Row],[age]]&lt;=60,"46-60","60+"))))</f>
        <v>46-60</v>
      </c>
      <c r="M1180" s="2" t="str">
        <f>IF(Sheet1[[#This Row],[risk_score]]&lt;0.3,"Low",IF(Sheet1[[#This Row],[risk_score]]&lt;0.7,"Medium","High"))</f>
        <v>Medium</v>
      </c>
      <c r="N1180">
        <f>YEAR(Sheet1[[#This Row],[date_joined]])</f>
        <v>2020</v>
      </c>
      <c r="O1180" s="2" t="str">
        <f>TEXT(Sheet1[[#This Row],[date_joined]],"mmm")</f>
        <v>Feb</v>
      </c>
      <c r="P1180" s="2" t="str">
        <f>"Q"&amp;ROUNDUP(MONTH(Sheet1[[#This Row],[date_joined]])/3,0)</f>
        <v>Q1</v>
      </c>
      <c r="Q1180" s="2" t="str">
        <f>IF(Sheet1[[#This Row],[age]]&lt;30,"Young",IF(Sheet1[[#This Row],[age]]&lt;=50,"Adult","Senior"))</f>
        <v>Senior</v>
      </c>
      <c r="R1180" s="2" t="str">
        <f t="shared" si="36"/>
        <v>Very High</v>
      </c>
      <c r="S1180" s="2" t="str">
        <f t="shared" si="37"/>
        <v>North-East - Self-employed</v>
      </c>
    </row>
    <row r="1181" spans="1:19" x14ac:dyDescent="0.3">
      <c r="A1181" t="s">
        <v>2385</v>
      </c>
      <c r="B1181" t="s">
        <v>2386</v>
      </c>
      <c r="C1181">
        <v>64</v>
      </c>
      <c r="D1181" s="2" t="s">
        <v>13</v>
      </c>
      <c r="E1181" s="2" t="s">
        <v>30</v>
      </c>
      <c r="F1181" s="2" t="s">
        <v>23</v>
      </c>
      <c r="G1181" s="2" t="s">
        <v>27</v>
      </c>
      <c r="H1181" s="2" t="s">
        <v>18</v>
      </c>
      <c r="I1181" s="2" t="s">
        <v>17</v>
      </c>
      <c r="J1181">
        <v>0.35</v>
      </c>
      <c r="K1181" s="1">
        <v>43797</v>
      </c>
      <c r="L1181" s="2" t="str">
        <f>IF(Sheet1[[#This Row],[age]]&lt;18, "Under 18",IF(Sheet1[[#This Row],[age]]&lt;=30,"18-30",IF(Sheet1[[#This Row],[age]]&lt;=45,"31-45",IF(Sheet1[[#This Row],[age]]&lt;=60,"46-60","60+"))))</f>
        <v>60+</v>
      </c>
      <c r="M1181" s="2" t="str">
        <f>IF(Sheet1[[#This Row],[risk_score]]&lt;0.3,"Low",IF(Sheet1[[#This Row],[risk_score]]&lt;0.7,"Medium","High"))</f>
        <v>Medium</v>
      </c>
      <c r="N1181">
        <f>YEAR(Sheet1[[#This Row],[date_joined]])</f>
        <v>2019</v>
      </c>
      <c r="O1181" s="2" t="str">
        <f>TEXT(Sheet1[[#This Row],[date_joined]],"mmm")</f>
        <v>Nov</v>
      </c>
      <c r="P1181" s="2" t="str">
        <f>"Q"&amp;ROUNDUP(MONTH(Sheet1[[#This Row],[date_joined]])/3,0)</f>
        <v>Q4</v>
      </c>
      <c r="Q1181" s="2" t="str">
        <f>IF(Sheet1[[#This Row],[age]]&lt;30,"Young",IF(Sheet1[[#This Row],[age]]&lt;=50,"Adult","Senior"))</f>
        <v>Senior</v>
      </c>
      <c r="R1181" s="2" t="str">
        <f t="shared" si="36"/>
        <v>High</v>
      </c>
      <c r="S1181" s="2" t="str">
        <f t="shared" si="37"/>
        <v>North - Salaried</v>
      </c>
    </row>
    <row r="1182" spans="1:19" x14ac:dyDescent="0.3">
      <c r="A1182" t="s">
        <v>2387</v>
      </c>
      <c r="B1182" t="s">
        <v>2388</v>
      </c>
      <c r="C1182">
        <v>45</v>
      </c>
      <c r="D1182" s="2" t="s">
        <v>13</v>
      </c>
      <c r="E1182" s="2" t="s">
        <v>14</v>
      </c>
      <c r="F1182" s="2" t="s">
        <v>15</v>
      </c>
      <c r="G1182" s="2" t="s">
        <v>16</v>
      </c>
      <c r="H1182" s="2" t="s">
        <v>17</v>
      </c>
      <c r="I1182" s="2" t="s">
        <v>18</v>
      </c>
      <c r="J1182">
        <v>0.28000000000000003</v>
      </c>
      <c r="K1182" s="1">
        <v>43563</v>
      </c>
      <c r="L1182" s="2" t="str">
        <f>IF(Sheet1[[#This Row],[age]]&lt;18, "Under 18",IF(Sheet1[[#This Row],[age]]&lt;=30,"18-30",IF(Sheet1[[#This Row],[age]]&lt;=45,"31-45",IF(Sheet1[[#This Row],[age]]&lt;=60,"46-60","60+"))))</f>
        <v>31-45</v>
      </c>
      <c r="M1182" s="2" t="str">
        <f>IF(Sheet1[[#This Row],[risk_score]]&lt;0.3,"Low",IF(Sheet1[[#This Row],[risk_score]]&lt;0.7,"Medium","High"))</f>
        <v>Low</v>
      </c>
      <c r="N1182">
        <f>YEAR(Sheet1[[#This Row],[date_joined]])</f>
        <v>2019</v>
      </c>
      <c r="O1182" s="2" t="str">
        <f>TEXT(Sheet1[[#This Row],[date_joined]],"mmm")</f>
        <v>Apr</v>
      </c>
      <c r="P1182" s="2" t="str">
        <f>"Q"&amp;ROUNDUP(MONTH(Sheet1[[#This Row],[date_joined]])/3,0)</f>
        <v>Q2</v>
      </c>
      <c r="Q1182" s="2" t="str">
        <f>IF(Sheet1[[#This Row],[age]]&lt;30,"Young",IF(Sheet1[[#This Row],[age]]&lt;=50,"Adult","Senior"))</f>
        <v>Adult</v>
      </c>
      <c r="R1182" s="2" t="str">
        <f t="shared" si="36"/>
        <v>High</v>
      </c>
      <c r="S1182" s="2" t="str">
        <f t="shared" si="37"/>
        <v>West - Student</v>
      </c>
    </row>
    <row r="1183" spans="1:19" x14ac:dyDescent="0.3">
      <c r="A1183" t="s">
        <v>2389</v>
      </c>
      <c r="B1183" t="s">
        <v>2390</v>
      </c>
      <c r="C1183">
        <v>20</v>
      </c>
      <c r="D1183" s="2" t="s">
        <v>13</v>
      </c>
      <c r="E1183" s="2" t="s">
        <v>22</v>
      </c>
      <c r="F1183" s="2" t="s">
        <v>31</v>
      </c>
      <c r="G1183" s="2" t="s">
        <v>16</v>
      </c>
      <c r="H1183" s="2" t="s">
        <v>18</v>
      </c>
      <c r="I1183" s="2" t="s">
        <v>18</v>
      </c>
      <c r="J1183">
        <v>0.36</v>
      </c>
      <c r="K1183" s="1">
        <v>44363</v>
      </c>
      <c r="L1183" s="2" t="str">
        <f>IF(Sheet1[[#This Row],[age]]&lt;18, "Under 18",IF(Sheet1[[#This Row],[age]]&lt;=30,"18-30",IF(Sheet1[[#This Row],[age]]&lt;=45,"31-45",IF(Sheet1[[#This Row],[age]]&lt;=60,"46-60","60+"))))</f>
        <v>18-30</v>
      </c>
      <c r="M1183" s="2" t="str">
        <f>IF(Sheet1[[#This Row],[risk_score]]&lt;0.3,"Low",IF(Sheet1[[#This Row],[risk_score]]&lt;0.7,"Medium","High"))</f>
        <v>Medium</v>
      </c>
      <c r="N1183">
        <f>YEAR(Sheet1[[#This Row],[date_joined]])</f>
        <v>2021</v>
      </c>
      <c r="O1183" s="2" t="str">
        <f>TEXT(Sheet1[[#This Row],[date_joined]],"mmm")</f>
        <v>Jun</v>
      </c>
      <c r="P1183" s="2" t="str">
        <f>"Q"&amp;ROUNDUP(MONTH(Sheet1[[#This Row],[date_joined]])/3,0)</f>
        <v>Q2</v>
      </c>
      <c r="Q1183" s="2" t="str">
        <f>IF(Sheet1[[#This Row],[age]]&lt;30,"Young",IF(Sheet1[[#This Row],[age]]&lt;=50,"Adult","Senior"))</f>
        <v>Young</v>
      </c>
      <c r="R1183" s="2" t="str">
        <f t="shared" si="36"/>
        <v>Very High</v>
      </c>
      <c r="S1183" s="2" t="str">
        <f t="shared" si="37"/>
        <v>West - Self-employed</v>
      </c>
    </row>
    <row r="1184" spans="1:19" x14ac:dyDescent="0.3">
      <c r="A1184" t="s">
        <v>2391</v>
      </c>
      <c r="B1184" t="s">
        <v>2392</v>
      </c>
      <c r="C1184">
        <v>46</v>
      </c>
      <c r="D1184" s="2" t="s">
        <v>13</v>
      </c>
      <c r="E1184" s="2" t="s">
        <v>22</v>
      </c>
      <c r="F1184" s="2" t="s">
        <v>15</v>
      </c>
      <c r="G1184" s="2" t="s">
        <v>32</v>
      </c>
      <c r="H1184" s="2" t="s">
        <v>17</v>
      </c>
      <c r="I1184" s="2" t="s">
        <v>18</v>
      </c>
      <c r="J1184">
        <v>0.6</v>
      </c>
      <c r="K1184" s="1">
        <v>44355</v>
      </c>
      <c r="L1184" s="2" t="str">
        <f>IF(Sheet1[[#This Row],[age]]&lt;18, "Under 18",IF(Sheet1[[#This Row],[age]]&lt;=30,"18-30",IF(Sheet1[[#This Row],[age]]&lt;=45,"31-45",IF(Sheet1[[#This Row],[age]]&lt;=60,"46-60","60+"))))</f>
        <v>46-60</v>
      </c>
      <c r="M1184" s="2" t="str">
        <f>IF(Sheet1[[#This Row],[risk_score]]&lt;0.3,"Low",IF(Sheet1[[#This Row],[risk_score]]&lt;0.7,"Medium","High"))</f>
        <v>Medium</v>
      </c>
      <c r="N1184">
        <f>YEAR(Sheet1[[#This Row],[date_joined]])</f>
        <v>2021</v>
      </c>
      <c r="O1184" s="2" t="str">
        <f>TEXT(Sheet1[[#This Row],[date_joined]],"mmm")</f>
        <v>Jun</v>
      </c>
      <c r="P1184" s="2" t="str">
        <f>"Q"&amp;ROUNDUP(MONTH(Sheet1[[#This Row],[date_joined]])/3,0)</f>
        <v>Q2</v>
      </c>
      <c r="Q1184" s="2" t="str">
        <f>IF(Sheet1[[#This Row],[age]]&lt;30,"Young",IF(Sheet1[[#This Row],[age]]&lt;=50,"Adult","Senior"))</f>
        <v>Adult</v>
      </c>
      <c r="R1184" s="2" t="str">
        <f t="shared" si="36"/>
        <v>High</v>
      </c>
      <c r="S1184" s="2" t="str">
        <f t="shared" si="37"/>
        <v>South - Student</v>
      </c>
    </row>
    <row r="1185" spans="1:19" x14ac:dyDescent="0.3">
      <c r="A1185" t="s">
        <v>2393</v>
      </c>
      <c r="B1185" t="s">
        <v>2394</v>
      </c>
      <c r="C1185">
        <v>26</v>
      </c>
      <c r="D1185" s="2" t="s">
        <v>13</v>
      </c>
      <c r="E1185" s="2" t="s">
        <v>22</v>
      </c>
      <c r="F1185" s="2" t="s">
        <v>15</v>
      </c>
      <c r="G1185" s="2" t="s">
        <v>32</v>
      </c>
      <c r="H1185" s="2" t="s">
        <v>17</v>
      </c>
      <c r="I1185" s="2" t="s">
        <v>17</v>
      </c>
      <c r="J1185">
        <v>0.32</v>
      </c>
      <c r="K1185" s="1">
        <v>44427</v>
      </c>
      <c r="L1185" s="2" t="str">
        <f>IF(Sheet1[[#This Row],[age]]&lt;18, "Under 18",IF(Sheet1[[#This Row],[age]]&lt;=30,"18-30",IF(Sheet1[[#This Row],[age]]&lt;=45,"31-45",IF(Sheet1[[#This Row],[age]]&lt;=60,"46-60","60+"))))</f>
        <v>18-30</v>
      </c>
      <c r="M1185" s="2" t="str">
        <f>IF(Sheet1[[#This Row],[risk_score]]&lt;0.3,"Low",IF(Sheet1[[#This Row],[risk_score]]&lt;0.7,"Medium","High"))</f>
        <v>Medium</v>
      </c>
      <c r="N1185">
        <f>YEAR(Sheet1[[#This Row],[date_joined]])</f>
        <v>2021</v>
      </c>
      <c r="O1185" s="2" t="str">
        <f>TEXT(Sheet1[[#This Row],[date_joined]],"mmm")</f>
        <v>Aug</v>
      </c>
      <c r="P1185" s="2" t="str">
        <f>"Q"&amp;ROUNDUP(MONTH(Sheet1[[#This Row],[date_joined]])/3,0)</f>
        <v>Q3</v>
      </c>
      <c r="Q1185" s="2" t="str">
        <f>IF(Sheet1[[#This Row],[age]]&lt;30,"Young",IF(Sheet1[[#This Row],[age]]&lt;=50,"Adult","Senior"))</f>
        <v>Young</v>
      </c>
      <c r="R1185" s="2" t="str">
        <f t="shared" si="36"/>
        <v>Low</v>
      </c>
      <c r="S1185" s="2" t="str">
        <f t="shared" si="37"/>
        <v>South - Student</v>
      </c>
    </row>
    <row r="1186" spans="1:19" x14ac:dyDescent="0.3">
      <c r="A1186" t="s">
        <v>2395</v>
      </c>
      <c r="B1186" t="s">
        <v>2396</v>
      </c>
      <c r="C1186">
        <v>27</v>
      </c>
      <c r="D1186" s="2" t="s">
        <v>21</v>
      </c>
      <c r="E1186" s="2" t="s">
        <v>22</v>
      </c>
      <c r="F1186" s="2" t="s">
        <v>23</v>
      </c>
      <c r="G1186" s="2" t="s">
        <v>27</v>
      </c>
      <c r="H1186" s="2" t="s">
        <v>18</v>
      </c>
      <c r="I1186" s="2" t="s">
        <v>18</v>
      </c>
      <c r="J1186">
        <v>0.1</v>
      </c>
      <c r="K1186" s="1">
        <v>44083</v>
      </c>
      <c r="L1186" s="2" t="str">
        <f>IF(Sheet1[[#This Row],[age]]&lt;18, "Under 18",IF(Sheet1[[#This Row],[age]]&lt;=30,"18-30",IF(Sheet1[[#This Row],[age]]&lt;=45,"31-45",IF(Sheet1[[#This Row],[age]]&lt;=60,"46-60","60+"))))</f>
        <v>18-30</v>
      </c>
      <c r="M1186" s="2" t="str">
        <f>IF(Sheet1[[#This Row],[risk_score]]&lt;0.3,"Low",IF(Sheet1[[#This Row],[risk_score]]&lt;0.7,"Medium","High"))</f>
        <v>Low</v>
      </c>
      <c r="N1186">
        <f>YEAR(Sheet1[[#This Row],[date_joined]])</f>
        <v>2020</v>
      </c>
      <c r="O1186" s="2" t="str">
        <f>TEXT(Sheet1[[#This Row],[date_joined]],"mmm")</f>
        <v>Sep</v>
      </c>
      <c r="P1186" s="2" t="str">
        <f>"Q"&amp;ROUNDUP(MONTH(Sheet1[[#This Row],[date_joined]])/3,0)</f>
        <v>Q3</v>
      </c>
      <c r="Q1186" s="2" t="str">
        <f>IF(Sheet1[[#This Row],[age]]&lt;30,"Young",IF(Sheet1[[#This Row],[age]]&lt;=50,"Adult","Senior"))</f>
        <v>Young</v>
      </c>
      <c r="R1186" s="2" t="str">
        <f t="shared" si="36"/>
        <v>Very High</v>
      </c>
      <c r="S1186" s="2" t="str">
        <f t="shared" si="37"/>
        <v>North - Salaried</v>
      </c>
    </row>
    <row r="1187" spans="1:19" x14ac:dyDescent="0.3">
      <c r="A1187" t="s">
        <v>2397</v>
      </c>
      <c r="B1187" t="s">
        <v>2398</v>
      </c>
      <c r="C1187">
        <v>20</v>
      </c>
      <c r="D1187" s="2" t="s">
        <v>21</v>
      </c>
      <c r="E1187" s="2" t="s">
        <v>22</v>
      </c>
      <c r="F1187" s="2" t="s">
        <v>31</v>
      </c>
      <c r="G1187" s="2" t="s">
        <v>66</v>
      </c>
      <c r="H1187" s="2" t="s">
        <v>18</v>
      </c>
      <c r="I1187" s="2" t="s">
        <v>17</v>
      </c>
      <c r="J1187">
        <v>0.3</v>
      </c>
      <c r="K1187" s="1">
        <v>43435</v>
      </c>
      <c r="L1187" s="2" t="str">
        <f>IF(Sheet1[[#This Row],[age]]&lt;18, "Under 18",IF(Sheet1[[#This Row],[age]]&lt;=30,"18-30",IF(Sheet1[[#This Row],[age]]&lt;=45,"31-45",IF(Sheet1[[#This Row],[age]]&lt;=60,"46-60","60+"))))</f>
        <v>18-30</v>
      </c>
      <c r="M1187" s="2" t="str">
        <f>IF(Sheet1[[#This Row],[risk_score]]&lt;0.3,"Low",IF(Sheet1[[#This Row],[risk_score]]&lt;0.7,"Medium","High"))</f>
        <v>Medium</v>
      </c>
      <c r="N1187">
        <f>YEAR(Sheet1[[#This Row],[date_joined]])</f>
        <v>2018</v>
      </c>
      <c r="O1187" s="2" t="str">
        <f>TEXT(Sheet1[[#This Row],[date_joined]],"mmm")</f>
        <v>Dec</v>
      </c>
      <c r="P1187" s="2" t="str">
        <f>"Q"&amp;ROUNDUP(MONTH(Sheet1[[#This Row],[date_joined]])/3,0)</f>
        <v>Q4</v>
      </c>
      <c r="Q1187" s="2" t="str">
        <f>IF(Sheet1[[#This Row],[age]]&lt;30,"Young",IF(Sheet1[[#This Row],[age]]&lt;=50,"Adult","Senior"))</f>
        <v>Young</v>
      </c>
      <c r="R1187" s="2" t="str">
        <f t="shared" si="36"/>
        <v>High</v>
      </c>
      <c r="S1187" s="2" t="str">
        <f t="shared" si="37"/>
        <v>North-East - Self-employed</v>
      </c>
    </row>
    <row r="1188" spans="1:19" x14ac:dyDescent="0.3">
      <c r="A1188" t="s">
        <v>2399</v>
      </c>
      <c r="B1188" t="s">
        <v>2400</v>
      </c>
      <c r="C1188">
        <v>25</v>
      </c>
      <c r="D1188" s="2" t="s">
        <v>13</v>
      </c>
      <c r="E1188" s="2" t="s">
        <v>30</v>
      </c>
      <c r="F1188" s="2" t="s">
        <v>37</v>
      </c>
      <c r="G1188" s="2" t="s">
        <v>81</v>
      </c>
      <c r="H1188" s="2" t="s">
        <v>17</v>
      </c>
      <c r="I1188" s="2" t="s">
        <v>17</v>
      </c>
      <c r="J1188">
        <v>0.4</v>
      </c>
      <c r="K1188" s="1">
        <v>43952</v>
      </c>
      <c r="L1188" s="2" t="str">
        <f>IF(Sheet1[[#This Row],[age]]&lt;18, "Under 18",IF(Sheet1[[#This Row],[age]]&lt;=30,"18-30",IF(Sheet1[[#This Row],[age]]&lt;=45,"31-45",IF(Sheet1[[#This Row],[age]]&lt;=60,"46-60","60+"))))</f>
        <v>18-30</v>
      </c>
      <c r="M1188" s="2" t="str">
        <f>IF(Sheet1[[#This Row],[risk_score]]&lt;0.3,"Low",IF(Sheet1[[#This Row],[risk_score]]&lt;0.7,"Medium","High"))</f>
        <v>Medium</v>
      </c>
      <c r="N1188">
        <f>YEAR(Sheet1[[#This Row],[date_joined]])</f>
        <v>2020</v>
      </c>
      <c r="O1188" s="2" t="str">
        <f>TEXT(Sheet1[[#This Row],[date_joined]],"mmm")</f>
        <v>May</v>
      </c>
      <c r="P1188" s="2" t="str">
        <f>"Q"&amp;ROUNDUP(MONTH(Sheet1[[#This Row],[date_joined]])/3,0)</f>
        <v>Q2</v>
      </c>
      <c r="Q1188" s="2" t="str">
        <f>IF(Sheet1[[#This Row],[age]]&lt;30,"Young",IF(Sheet1[[#This Row],[age]]&lt;=50,"Adult","Senior"))</f>
        <v>Young</v>
      </c>
      <c r="R1188" s="2" t="str">
        <f t="shared" si="36"/>
        <v>Low</v>
      </c>
      <c r="S1188" s="2" t="str">
        <f t="shared" si="37"/>
        <v>Central - Retired</v>
      </c>
    </row>
    <row r="1189" spans="1:19" x14ac:dyDescent="0.3">
      <c r="A1189" t="s">
        <v>2401</v>
      </c>
      <c r="B1189" t="s">
        <v>2402</v>
      </c>
      <c r="C1189">
        <v>58</v>
      </c>
      <c r="D1189" s="2" t="s">
        <v>13</v>
      </c>
      <c r="E1189" s="2" t="s">
        <v>22</v>
      </c>
      <c r="F1189" s="2" t="s">
        <v>31</v>
      </c>
      <c r="G1189" s="2" t="s">
        <v>81</v>
      </c>
      <c r="H1189" s="2" t="s">
        <v>17</v>
      </c>
      <c r="I1189" s="2" t="s">
        <v>18</v>
      </c>
      <c r="J1189">
        <v>0.52</v>
      </c>
      <c r="K1189" s="1">
        <v>44214</v>
      </c>
      <c r="L1189" s="2" t="str">
        <f>IF(Sheet1[[#This Row],[age]]&lt;18, "Under 18",IF(Sheet1[[#This Row],[age]]&lt;=30,"18-30",IF(Sheet1[[#This Row],[age]]&lt;=45,"31-45",IF(Sheet1[[#This Row],[age]]&lt;=60,"46-60","60+"))))</f>
        <v>46-60</v>
      </c>
      <c r="M1189" s="2" t="str">
        <f>IF(Sheet1[[#This Row],[risk_score]]&lt;0.3,"Low",IF(Sheet1[[#This Row],[risk_score]]&lt;0.7,"Medium","High"))</f>
        <v>Medium</v>
      </c>
      <c r="N1189">
        <f>YEAR(Sheet1[[#This Row],[date_joined]])</f>
        <v>2021</v>
      </c>
      <c r="O1189" s="2" t="str">
        <f>TEXT(Sheet1[[#This Row],[date_joined]],"mmm")</f>
        <v>Jan</v>
      </c>
      <c r="P1189" s="2" t="str">
        <f>"Q"&amp;ROUNDUP(MONTH(Sheet1[[#This Row],[date_joined]])/3,0)</f>
        <v>Q1</v>
      </c>
      <c r="Q1189" s="2" t="str">
        <f>IF(Sheet1[[#This Row],[age]]&lt;30,"Young",IF(Sheet1[[#This Row],[age]]&lt;=50,"Adult","Senior"))</f>
        <v>Senior</v>
      </c>
      <c r="R1189" s="2" t="str">
        <f t="shared" si="36"/>
        <v>High</v>
      </c>
      <c r="S1189" s="2" t="str">
        <f t="shared" si="37"/>
        <v>Central - Self-employed</v>
      </c>
    </row>
    <row r="1190" spans="1:19" x14ac:dyDescent="0.3">
      <c r="A1190" t="s">
        <v>2403</v>
      </c>
      <c r="B1190" t="s">
        <v>2404</v>
      </c>
      <c r="C1190">
        <v>28</v>
      </c>
      <c r="D1190" s="2" t="s">
        <v>13</v>
      </c>
      <c r="E1190" s="2" t="s">
        <v>22</v>
      </c>
      <c r="F1190" s="2" t="s">
        <v>23</v>
      </c>
      <c r="G1190" s="2" t="s">
        <v>32</v>
      </c>
      <c r="H1190" s="2" t="s">
        <v>17</v>
      </c>
      <c r="I1190" s="2" t="s">
        <v>18</v>
      </c>
      <c r="J1190">
        <v>0.28000000000000003</v>
      </c>
      <c r="K1190" s="1">
        <v>44226</v>
      </c>
      <c r="L1190" s="2" t="str">
        <f>IF(Sheet1[[#This Row],[age]]&lt;18, "Under 18",IF(Sheet1[[#This Row],[age]]&lt;=30,"18-30",IF(Sheet1[[#This Row],[age]]&lt;=45,"31-45",IF(Sheet1[[#This Row],[age]]&lt;=60,"46-60","60+"))))</f>
        <v>18-30</v>
      </c>
      <c r="M1190" s="2" t="str">
        <f>IF(Sheet1[[#This Row],[risk_score]]&lt;0.3,"Low",IF(Sheet1[[#This Row],[risk_score]]&lt;0.7,"Medium","High"))</f>
        <v>Low</v>
      </c>
      <c r="N1190">
        <f>YEAR(Sheet1[[#This Row],[date_joined]])</f>
        <v>2021</v>
      </c>
      <c r="O1190" s="2" t="str">
        <f>TEXT(Sheet1[[#This Row],[date_joined]],"mmm")</f>
        <v>Jan</v>
      </c>
      <c r="P1190" s="2" t="str">
        <f>"Q"&amp;ROUNDUP(MONTH(Sheet1[[#This Row],[date_joined]])/3,0)</f>
        <v>Q1</v>
      </c>
      <c r="Q1190" s="2" t="str">
        <f>IF(Sheet1[[#This Row],[age]]&lt;30,"Young",IF(Sheet1[[#This Row],[age]]&lt;=50,"Adult","Senior"))</f>
        <v>Young</v>
      </c>
      <c r="R1190" s="2" t="str">
        <f t="shared" si="36"/>
        <v>High</v>
      </c>
      <c r="S1190" s="2" t="str">
        <f t="shared" si="37"/>
        <v>South - Salaried</v>
      </c>
    </row>
    <row r="1191" spans="1:19" x14ac:dyDescent="0.3">
      <c r="A1191" t="s">
        <v>2405</v>
      </c>
      <c r="B1191" t="s">
        <v>2406</v>
      </c>
      <c r="C1191">
        <v>67</v>
      </c>
      <c r="D1191" s="2" t="s">
        <v>21</v>
      </c>
      <c r="E1191" s="2" t="s">
        <v>30</v>
      </c>
      <c r="F1191" s="2" t="s">
        <v>23</v>
      </c>
      <c r="G1191" s="2" t="s">
        <v>27</v>
      </c>
      <c r="H1191" s="2" t="s">
        <v>18</v>
      </c>
      <c r="I1191" s="2" t="s">
        <v>17</v>
      </c>
      <c r="J1191">
        <v>0.77</v>
      </c>
      <c r="K1191" s="1">
        <v>43763</v>
      </c>
      <c r="L1191" s="2" t="str">
        <f>IF(Sheet1[[#This Row],[age]]&lt;18, "Under 18",IF(Sheet1[[#This Row],[age]]&lt;=30,"18-30",IF(Sheet1[[#This Row],[age]]&lt;=45,"31-45",IF(Sheet1[[#This Row],[age]]&lt;=60,"46-60","60+"))))</f>
        <v>60+</v>
      </c>
      <c r="M1191" s="2" t="str">
        <f>IF(Sheet1[[#This Row],[risk_score]]&lt;0.3,"Low",IF(Sheet1[[#This Row],[risk_score]]&lt;0.7,"Medium","High"))</f>
        <v>High</v>
      </c>
      <c r="N1191">
        <f>YEAR(Sheet1[[#This Row],[date_joined]])</f>
        <v>2019</v>
      </c>
      <c r="O1191" s="2" t="str">
        <f>TEXT(Sheet1[[#This Row],[date_joined]],"mmm")</f>
        <v>Oct</v>
      </c>
      <c r="P1191" s="2" t="str">
        <f>"Q"&amp;ROUNDUP(MONTH(Sheet1[[#This Row],[date_joined]])/3,0)</f>
        <v>Q4</v>
      </c>
      <c r="Q1191" s="2" t="str">
        <f>IF(Sheet1[[#This Row],[age]]&lt;30,"Young",IF(Sheet1[[#This Row],[age]]&lt;=50,"Adult","Senior"))</f>
        <v>Senior</v>
      </c>
      <c r="R1191" s="2" t="str">
        <f t="shared" si="36"/>
        <v>High</v>
      </c>
      <c r="S1191" s="2" t="str">
        <f t="shared" si="37"/>
        <v>North - Salaried</v>
      </c>
    </row>
    <row r="1192" spans="1:19" x14ac:dyDescent="0.3">
      <c r="A1192" t="s">
        <v>2407</v>
      </c>
      <c r="B1192" t="s">
        <v>2408</v>
      </c>
      <c r="C1192">
        <v>41</v>
      </c>
      <c r="D1192" s="2" t="s">
        <v>13</v>
      </c>
      <c r="E1192" s="2" t="s">
        <v>30</v>
      </c>
      <c r="F1192" s="2" t="s">
        <v>31</v>
      </c>
      <c r="G1192" s="2" t="s">
        <v>27</v>
      </c>
      <c r="H1192" s="2" t="s">
        <v>18</v>
      </c>
      <c r="I1192" s="2" t="s">
        <v>18</v>
      </c>
      <c r="J1192">
        <v>0.36</v>
      </c>
      <c r="K1192" s="1">
        <v>44557</v>
      </c>
      <c r="L1192" s="2" t="str">
        <f>IF(Sheet1[[#This Row],[age]]&lt;18, "Under 18",IF(Sheet1[[#This Row],[age]]&lt;=30,"18-30",IF(Sheet1[[#This Row],[age]]&lt;=45,"31-45",IF(Sheet1[[#This Row],[age]]&lt;=60,"46-60","60+"))))</f>
        <v>31-45</v>
      </c>
      <c r="M1192" s="2" t="str">
        <f>IF(Sheet1[[#This Row],[risk_score]]&lt;0.3,"Low",IF(Sheet1[[#This Row],[risk_score]]&lt;0.7,"Medium","High"))</f>
        <v>Medium</v>
      </c>
      <c r="N1192">
        <f>YEAR(Sheet1[[#This Row],[date_joined]])</f>
        <v>2021</v>
      </c>
      <c r="O1192" s="2" t="str">
        <f>TEXT(Sheet1[[#This Row],[date_joined]],"mmm")</f>
        <v>Dec</v>
      </c>
      <c r="P1192" s="2" t="str">
        <f>"Q"&amp;ROUNDUP(MONTH(Sheet1[[#This Row],[date_joined]])/3,0)</f>
        <v>Q4</v>
      </c>
      <c r="Q1192" s="2" t="str">
        <f>IF(Sheet1[[#This Row],[age]]&lt;30,"Young",IF(Sheet1[[#This Row],[age]]&lt;=50,"Adult","Senior"))</f>
        <v>Adult</v>
      </c>
      <c r="R1192" s="2" t="str">
        <f t="shared" si="36"/>
        <v>Very High</v>
      </c>
      <c r="S1192" s="2" t="str">
        <f t="shared" si="37"/>
        <v>North - Self-employed</v>
      </c>
    </row>
    <row r="1193" spans="1:19" x14ac:dyDescent="0.3">
      <c r="A1193" t="s">
        <v>2409</v>
      </c>
      <c r="B1193" t="s">
        <v>2410</v>
      </c>
      <c r="C1193">
        <v>66</v>
      </c>
      <c r="D1193" s="2" t="s">
        <v>21</v>
      </c>
      <c r="E1193" s="2" t="s">
        <v>14</v>
      </c>
      <c r="F1193" s="2" t="s">
        <v>23</v>
      </c>
      <c r="G1193" s="2" t="s">
        <v>81</v>
      </c>
      <c r="H1193" s="2" t="s">
        <v>17</v>
      </c>
      <c r="I1193" s="2" t="s">
        <v>17</v>
      </c>
      <c r="J1193">
        <v>0.24</v>
      </c>
      <c r="K1193" s="1">
        <v>43962</v>
      </c>
      <c r="L1193" s="2" t="str">
        <f>IF(Sheet1[[#This Row],[age]]&lt;18, "Under 18",IF(Sheet1[[#This Row],[age]]&lt;=30,"18-30",IF(Sheet1[[#This Row],[age]]&lt;=45,"31-45",IF(Sheet1[[#This Row],[age]]&lt;=60,"46-60","60+"))))</f>
        <v>60+</v>
      </c>
      <c r="M1193" s="2" t="str">
        <f>IF(Sheet1[[#This Row],[risk_score]]&lt;0.3,"Low",IF(Sheet1[[#This Row],[risk_score]]&lt;0.7,"Medium","High"))</f>
        <v>Low</v>
      </c>
      <c r="N1193">
        <f>YEAR(Sheet1[[#This Row],[date_joined]])</f>
        <v>2020</v>
      </c>
      <c r="O1193" s="2" t="str">
        <f>TEXT(Sheet1[[#This Row],[date_joined]],"mmm")</f>
        <v>May</v>
      </c>
      <c r="P1193" s="2" t="str">
        <f>"Q"&amp;ROUNDUP(MONTH(Sheet1[[#This Row],[date_joined]])/3,0)</f>
        <v>Q2</v>
      </c>
      <c r="Q1193" s="2" t="str">
        <f>IF(Sheet1[[#This Row],[age]]&lt;30,"Young",IF(Sheet1[[#This Row],[age]]&lt;=50,"Adult","Senior"))</f>
        <v>Senior</v>
      </c>
      <c r="R1193" s="2" t="str">
        <f t="shared" si="36"/>
        <v>Low</v>
      </c>
      <c r="S1193" s="2" t="str">
        <f t="shared" si="37"/>
        <v>Central - Salaried</v>
      </c>
    </row>
    <row r="1194" spans="1:19" x14ac:dyDescent="0.3">
      <c r="A1194" t="s">
        <v>2411</v>
      </c>
      <c r="B1194" t="s">
        <v>2412</v>
      </c>
      <c r="C1194">
        <v>22</v>
      </c>
      <c r="D1194" s="2" t="s">
        <v>21</v>
      </c>
      <c r="E1194" s="2" t="s">
        <v>30</v>
      </c>
      <c r="F1194" s="2" t="s">
        <v>37</v>
      </c>
      <c r="G1194" s="2" t="s">
        <v>66</v>
      </c>
      <c r="H1194" s="2" t="s">
        <v>18</v>
      </c>
      <c r="I1194" s="2" t="s">
        <v>18</v>
      </c>
      <c r="J1194">
        <v>0.27</v>
      </c>
      <c r="K1194" s="1">
        <v>44453</v>
      </c>
      <c r="L1194" s="2" t="str">
        <f>IF(Sheet1[[#This Row],[age]]&lt;18, "Under 18",IF(Sheet1[[#This Row],[age]]&lt;=30,"18-30",IF(Sheet1[[#This Row],[age]]&lt;=45,"31-45",IF(Sheet1[[#This Row],[age]]&lt;=60,"46-60","60+"))))</f>
        <v>18-30</v>
      </c>
      <c r="M1194" s="2" t="str">
        <f>IF(Sheet1[[#This Row],[risk_score]]&lt;0.3,"Low",IF(Sheet1[[#This Row],[risk_score]]&lt;0.7,"Medium","High"))</f>
        <v>Low</v>
      </c>
      <c r="N1194">
        <f>YEAR(Sheet1[[#This Row],[date_joined]])</f>
        <v>2021</v>
      </c>
      <c r="O1194" s="2" t="str">
        <f>TEXT(Sheet1[[#This Row],[date_joined]],"mmm")</f>
        <v>Sep</v>
      </c>
      <c r="P1194" s="2" t="str">
        <f>"Q"&amp;ROUNDUP(MONTH(Sheet1[[#This Row],[date_joined]])/3,0)</f>
        <v>Q3</v>
      </c>
      <c r="Q1194" s="2" t="str">
        <f>IF(Sheet1[[#This Row],[age]]&lt;30,"Young",IF(Sheet1[[#This Row],[age]]&lt;=50,"Adult","Senior"))</f>
        <v>Young</v>
      </c>
      <c r="R1194" s="2" t="str">
        <f t="shared" si="36"/>
        <v>Very High</v>
      </c>
      <c r="S1194" s="2" t="str">
        <f t="shared" si="37"/>
        <v>North-East - Retired</v>
      </c>
    </row>
    <row r="1195" spans="1:19" x14ac:dyDescent="0.3">
      <c r="A1195" t="s">
        <v>2413</v>
      </c>
      <c r="B1195" t="s">
        <v>2414</v>
      </c>
      <c r="C1195">
        <v>57</v>
      </c>
      <c r="D1195" s="2" t="s">
        <v>13</v>
      </c>
      <c r="E1195" s="2" t="s">
        <v>14</v>
      </c>
      <c r="F1195" s="2" t="s">
        <v>15</v>
      </c>
      <c r="G1195" s="2" t="s">
        <v>32</v>
      </c>
      <c r="H1195" s="2" t="s">
        <v>17</v>
      </c>
      <c r="I1195" s="2" t="s">
        <v>18</v>
      </c>
      <c r="J1195">
        <v>0.72</v>
      </c>
      <c r="K1195" s="1">
        <v>44302</v>
      </c>
      <c r="L1195" s="2" t="str">
        <f>IF(Sheet1[[#This Row],[age]]&lt;18, "Under 18",IF(Sheet1[[#This Row],[age]]&lt;=30,"18-30",IF(Sheet1[[#This Row],[age]]&lt;=45,"31-45",IF(Sheet1[[#This Row],[age]]&lt;=60,"46-60","60+"))))</f>
        <v>46-60</v>
      </c>
      <c r="M1195" s="2" t="str">
        <f>IF(Sheet1[[#This Row],[risk_score]]&lt;0.3,"Low",IF(Sheet1[[#This Row],[risk_score]]&lt;0.7,"Medium","High"))</f>
        <v>High</v>
      </c>
      <c r="N1195">
        <f>YEAR(Sheet1[[#This Row],[date_joined]])</f>
        <v>2021</v>
      </c>
      <c r="O1195" s="2" t="str">
        <f>TEXT(Sheet1[[#This Row],[date_joined]],"mmm")</f>
        <v>Apr</v>
      </c>
      <c r="P1195" s="2" t="str">
        <f>"Q"&amp;ROUNDUP(MONTH(Sheet1[[#This Row],[date_joined]])/3,0)</f>
        <v>Q2</v>
      </c>
      <c r="Q1195" s="2" t="str">
        <f>IF(Sheet1[[#This Row],[age]]&lt;30,"Young",IF(Sheet1[[#This Row],[age]]&lt;=50,"Adult","Senior"))</f>
        <v>Senior</v>
      </c>
      <c r="R1195" s="2" t="str">
        <f t="shared" si="36"/>
        <v>High</v>
      </c>
      <c r="S1195" s="2" t="str">
        <f t="shared" si="37"/>
        <v>South - Student</v>
      </c>
    </row>
    <row r="1196" spans="1:19" x14ac:dyDescent="0.3">
      <c r="A1196" t="s">
        <v>2415</v>
      </c>
      <c r="B1196" t="s">
        <v>2416</v>
      </c>
      <c r="C1196">
        <v>65</v>
      </c>
      <c r="D1196" s="2" t="s">
        <v>21</v>
      </c>
      <c r="E1196" s="2" t="s">
        <v>30</v>
      </c>
      <c r="F1196" s="2" t="s">
        <v>23</v>
      </c>
      <c r="G1196" s="2" t="s">
        <v>27</v>
      </c>
      <c r="H1196" s="2" t="s">
        <v>18</v>
      </c>
      <c r="I1196" s="2" t="s">
        <v>17</v>
      </c>
      <c r="J1196">
        <v>0.46</v>
      </c>
      <c r="K1196" s="1">
        <v>43576</v>
      </c>
      <c r="L1196" s="2" t="str">
        <f>IF(Sheet1[[#This Row],[age]]&lt;18, "Under 18",IF(Sheet1[[#This Row],[age]]&lt;=30,"18-30",IF(Sheet1[[#This Row],[age]]&lt;=45,"31-45",IF(Sheet1[[#This Row],[age]]&lt;=60,"46-60","60+"))))</f>
        <v>60+</v>
      </c>
      <c r="M1196" s="2" t="str">
        <f>IF(Sheet1[[#This Row],[risk_score]]&lt;0.3,"Low",IF(Sheet1[[#This Row],[risk_score]]&lt;0.7,"Medium","High"))</f>
        <v>Medium</v>
      </c>
      <c r="N1196">
        <f>YEAR(Sheet1[[#This Row],[date_joined]])</f>
        <v>2019</v>
      </c>
      <c r="O1196" s="2" t="str">
        <f>TEXT(Sheet1[[#This Row],[date_joined]],"mmm")</f>
        <v>Apr</v>
      </c>
      <c r="P1196" s="2" t="str">
        <f>"Q"&amp;ROUNDUP(MONTH(Sheet1[[#This Row],[date_joined]])/3,0)</f>
        <v>Q2</v>
      </c>
      <c r="Q1196" s="2" t="str">
        <f>IF(Sheet1[[#This Row],[age]]&lt;30,"Young",IF(Sheet1[[#This Row],[age]]&lt;=50,"Adult","Senior"))</f>
        <v>Senior</v>
      </c>
      <c r="R1196" s="2" t="str">
        <f t="shared" si="36"/>
        <v>High</v>
      </c>
      <c r="S1196" s="2" t="str">
        <f t="shared" si="37"/>
        <v>North - Salaried</v>
      </c>
    </row>
    <row r="1197" spans="1:19" x14ac:dyDescent="0.3">
      <c r="A1197" t="s">
        <v>2417</v>
      </c>
      <c r="B1197" t="s">
        <v>2418</v>
      </c>
      <c r="C1197">
        <v>24</v>
      </c>
      <c r="D1197" s="2" t="s">
        <v>13</v>
      </c>
      <c r="E1197" s="2" t="s">
        <v>30</v>
      </c>
      <c r="F1197" s="2" t="s">
        <v>15</v>
      </c>
      <c r="G1197" s="2" t="s">
        <v>32</v>
      </c>
      <c r="H1197" s="2" t="s">
        <v>17</v>
      </c>
      <c r="I1197" s="2" t="s">
        <v>17</v>
      </c>
      <c r="J1197">
        <v>0.38</v>
      </c>
      <c r="K1197" s="1">
        <v>44841</v>
      </c>
      <c r="L1197" s="2" t="str">
        <f>IF(Sheet1[[#This Row],[age]]&lt;18, "Under 18",IF(Sheet1[[#This Row],[age]]&lt;=30,"18-30",IF(Sheet1[[#This Row],[age]]&lt;=45,"31-45",IF(Sheet1[[#This Row],[age]]&lt;=60,"46-60","60+"))))</f>
        <v>18-30</v>
      </c>
      <c r="M1197" s="2" t="str">
        <f>IF(Sheet1[[#This Row],[risk_score]]&lt;0.3,"Low",IF(Sheet1[[#This Row],[risk_score]]&lt;0.7,"Medium","High"))</f>
        <v>Medium</v>
      </c>
      <c r="N1197">
        <f>YEAR(Sheet1[[#This Row],[date_joined]])</f>
        <v>2022</v>
      </c>
      <c r="O1197" s="2" t="str">
        <f>TEXT(Sheet1[[#This Row],[date_joined]],"mmm")</f>
        <v>Oct</v>
      </c>
      <c r="P1197" s="2" t="str">
        <f>"Q"&amp;ROUNDUP(MONTH(Sheet1[[#This Row],[date_joined]])/3,0)</f>
        <v>Q4</v>
      </c>
      <c r="Q1197" s="2" t="str">
        <f>IF(Sheet1[[#This Row],[age]]&lt;30,"Young",IF(Sheet1[[#This Row],[age]]&lt;=50,"Adult","Senior"))</f>
        <v>Young</v>
      </c>
      <c r="R1197" s="2" t="str">
        <f t="shared" si="36"/>
        <v>Low</v>
      </c>
      <c r="S1197" s="2" t="str">
        <f t="shared" si="37"/>
        <v>South - Student</v>
      </c>
    </row>
    <row r="1198" spans="1:19" x14ac:dyDescent="0.3">
      <c r="A1198" t="s">
        <v>2419</v>
      </c>
      <c r="B1198" t="s">
        <v>2420</v>
      </c>
      <c r="C1198">
        <v>41</v>
      </c>
      <c r="D1198" s="2" t="s">
        <v>13</v>
      </c>
      <c r="E1198" s="2" t="s">
        <v>22</v>
      </c>
      <c r="F1198" s="2" t="s">
        <v>37</v>
      </c>
      <c r="G1198" s="2" t="s">
        <v>16</v>
      </c>
      <c r="H1198" s="2" t="s">
        <v>17</v>
      </c>
      <c r="I1198" s="2" t="s">
        <v>18</v>
      </c>
      <c r="J1198">
        <v>0.5</v>
      </c>
      <c r="K1198" s="1">
        <v>44277</v>
      </c>
      <c r="L1198" s="2" t="str">
        <f>IF(Sheet1[[#This Row],[age]]&lt;18, "Under 18",IF(Sheet1[[#This Row],[age]]&lt;=30,"18-30",IF(Sheet1[[#This Row],[age]]&lt;=45,"31-45",IF(Sheet1[[#This Row],[age]]&lt;=60,"46-60","60+"))))</f>
        <v>31-45</v>
      </c>
      <c r="M1198" s="2" t="str">
        <f>IF(Sheet1[[#This Row],[risk_score]]&lt;0.3,"Low",IF(Sheet1[[#This Row],[risk_score]]&lt;0.7,"Medium","High"))</f>
        <v>Medium</v>
      </c>
      <c r="N1198">
        <f>YEAR(Sheet1[[#This Row],[date_joined]])</f>
        <v>2021</v>
      </c>
      <c r="O1198" s="2" t="str">
        <f>TEXT(Sheet1[[#This Row],[date_joined]],"mmm")</f>
        <v>Mar</v>
      </c>
      <c r="P1198" s="2" t="str">
        <f>"Q"&amp;ROUNDUP(MONTH(Sheet1[[#This Row],[date_joined]])/3,0)</f>
        <v>Q1</v>
      </c>
      <c r="Q1198" s="2" t="str">
        <f>IF(Sheet1[[#This Row],[age]]&lt;30,"Young",IF(Sheet1[[#This Row],[age]]&lt;=50,"Adult","Senior"))</f>
        <v>Adult</v>
      </c>
      <c r="R1198" s="2" t="str">
        <f t="shared" si="36"/>
        <v>High</v>
      </c>
      <c r="S1198" s="2" t="str">
        <f t="shared" si="37"/>
        <v>West - Retired</v>
      </c>
    </row>
    <row r="1199" spans="1:19" x14ac:dyDescent="0.3">
      <c r="A1199" t="s">
        <v>2421</v>
      </c>
      <c r="B1199" t="s">
        <v>2422</v>
      </c>
      <c r="C1199">
        <v>28</v>
      </c>
      <c r="D1199" s="2" t="s">
        <v>21</v>
      </c>
      <c r="E1199" s="2" t="s">
        <v>30</v>
      </c>
      <c r="F1199" s="2" t="s">
        <v>37</v>
      </c>
      <c r="G1199" s="2" t="s">
        <v>16</v>
      </c>
      <c r="H1199" s="2" t="s">
        <v>17</v>
      </c>
      <c r="I1199" s="2" t="s">
        <v>18</v>
      </c>
      <c r="J1199">
        <v>0.72</v>
      </c>
      <c r="K1199" s="1">
        <v>43323</v>
      </c>
      <c r="L1199" s="2" t="str">
        <f>IF(Sheet1[[#This Row],[age]]&lt;18, "Under 18",IF(Sheet1[[#This Row],[age]]&lt;=30,"18-30",IF(Sheet1[[#This Row],[age]]&lt;=45,"31-45",IF(Sheet1[[#This Row],[age]]&lt;=60,"46-60","60+"))))</f>
        <v>18-30</v>
      </c>
      <c r="M1199" s="2" t="str">
        <f>IF(Sheet1[[#This Row],[risk_score]]&lt;0.3,"Low",IF(Sheet1[[#This Row],[risk_score]]&lt;0.7,"Medium","High"))</f>
        <v>High</v>
      </c>
      <c r="N1199">
        <f>YEAR(Sheet1[[#This Row],[date_joined]])</f>
        <v>2018</v>
      </c>
      <c r="O1199" s="2" t="str">
        <f>TEXT(Sheet1[[#This Row],[date_joined]],"mmm")</f>
        <v>Aug</v>
      </c>
      <c r="P1199" s="2" t="str">
        <f>"Q"&amp;ROUNDUP(MONTH(Sheet1[[#This Row],[date_joined]])/3,0)</f>
        <v>Q3</v>
      </c>
      <c r="Q1199" s="2" t="str">
        <f>IF(Sheet1[[#This Row],[age]]&lt;30,"Young",IF(Sheet1[[#This Row],[age]]&lt;=50,"Adult","Senior"))</f>
        <v>Young</v>
      </c>
      <c r="R1199" s="2" t="str">
        <f t="shared" si="36"/>
        <v>High</v>
      </c>
      <c r="S1199" s="2" t="str">
        <f t="shared" si="37"/>
        <v>West - Retired</v>
      </c>
    </row>
    <row r="1200" spans="1:19" x14ac:dyDescent="0.3">
      <c r="A1200" t="s">
        <v>2423</v>
      </c>
      <c r="B1200" t="s">
        <v>2424</v>
      </c>
      <c r="C1200">
        <v>41</v>
      </c>
      <c r="D1200" s="2" t="s">
        <v>13</v>
      </c>
      <c r="E1200" s="2" t="s">
        <v>30</v>
      </c>
      <c r="F1200" s="2" t="s">
        <v>15</v>
      </c>
      <c r="G1200" s="2" t="s">
        <v>32</v>
      </c>
      <c r="H1200" s="2" t="s">
        <v>18</v>
      </c>
      <c r="I1200" s="2" t="s">
        <v>18</v>
      </c>
      <c r="J1200">
        <v>0.75</v>
      </c>
      <c r="K1200" s="1">
        <v>43333</v>
      </c>
      <c r="L1200" s="2" t="str">
        <f>IF(Sheet1[[#This Row],[age]]&lt;18, "Under 18",IF(Sheet1[[#This Row],[age]]&lt;=30,"18-30",IF(Sheet1[[#This Row],[age]]&lt;=45,"31-45",IF(Sheet1[[#This Row],[age]]&lt;=60,"46-60","60+"))))</f>
        <v>31-45</v>
      </c>
      <c r="M1200" s="2" t="str">
        <f>IF(Sheet1[[#This Row],[risk_score]]&lt;0.3,"Low",IF(Sheet1[[#This Row],[risk_score]]&lt;0.7,"Medium","High"))</f>
        <v>High</v>
      </c>
      <c r="N1200">
        <f>YEAR(Sheet1[[#This Row],[date_joined]])</f>
        <v>2018</v>
      </c>
      <c r="O1200" s="2" t="str">
        <f>TEXT(Sheet1[[#This Row],[date_joined]],"mmm")</f>
        <v>Aug</v>
      </c>
      <c r="P1200" s="2" t="str">
        <f>"Q"&amp;ROUNDUP(MONTH(Sheet1[[#This Row],[date_joined]])/3,0)</f>
        <v>Q3</v>
      </c>
      <c r="Q1200" s="2" t="str">
        <f>IF(Sheet1[[#This Row],[age]]&lt;30,"Young",IF(Sheet1[[#This Row],[age]]&lt;=50,"Adult","Senior"))</f>
        <v>Adult</v>
      </c>
      <c r="R1200" s="2" t="str">
        <f t="shared" si="36"/>
        <v>Very High</v>
      </c>
      <c r="S1200" s="2" t="str">
        <f t="shared" si="37"/>
        <v>South - Student</v>
      </c>
    </row>
    <row r="1201" spans="1:19" x14ac:dyDescent="0.3">
      <c r="A1201" t="s">
        <v>2425</v>
      </c>
      <c r="B1201" t="s">
        <v>2426</v>
      </c>
      <c r="C1201">
        <v>65</v>
      </c>
      <c r="D1201" s="2" t="s">
        <v>13</v>
      </c>
      <c r="E1201" s="2" t="s">
        <v>22</v>
      </c>
      <c r="F1201" s="2" t="s">
        <v>15</v>
      </c>
      <c r="G1201" s="2" t="s">
        <v>32</v>
      </c>
      <c r="H1201" s="2" t="s">
        <v>17</v>
      </c>
      <c r="I1201" s="2" t="s">
        <v>17</v>
      </c>
      <c r="J1201">
        <v>0.43</v>
      </c>
      <c r="K1201" s="1">
        <v>44360</v>
      </c>
      <c r="L1201" s="2" t="str">
        <f>IF(Sheet1[[#This Row],[age]]&lt;18, "Under 18",IF(Sheet1[[#This Row],[age]]&lt;=30,"18-30",IF(Sheet1[[#This Row],[age]]&lt;=45,"31-45",IF(Sheet1[[#This Row],[age]]&lt;=60,"46-60","60+"))))</f>
        <v>60+</v>
      </c>
      <c r="M1201" s="2" t="str">
        <f>IF(Sheet1[[#This Row],[risk_score]]&lt;0.3,"Low",IF(Sheet1[[#This Row],[risk_score]]&lt;0.7,"Medium","High"))</f>
        <v>Medium</v>
      </c>
      <c r="N1201">
        <f>YEAR(Sheet1[[#This Row],[date_joined]])</f>
        <v>2021</v>
      </c>
      <c r="O1201" s="2" t="str">
        <f>TEXT(Sheet1[[#This Row],[date_joined]],"mmm")</f>
        <v>Jun</v>
      </c>
      <c r="P1201" s="2" t="str">
        <f>"Q"&amp;ROUNDUP(MONTH(Sheet1[[#This Row],[date_joined]])/3,0)</f>
        <v>Q2</v>
      </c>
      <c r="Q1201" s="2" t="str">
        <f>IF(Sheet1[[#This Row],[age]]&lt;30,"Young",IF(Sheet1[[#This Row],[age]]&lt;=50,"Adult","Senior"))</f>
        <v>Senior</v>
      </c>
      <c r="R1201" s="2" t="str">
        <f t="shared" si="36"/>
        <v>Low</v>
      </c>
      <c r="S1201" s="2" t="str">
        <f t="shared" si="37"/>
        <v>South - Student</v>
      </c>
    </row>
    <row r="1202" spans="1:19" x14ac:dyDescent="0.3">
      <c r="A1202" t="s">
        <v>2427</v>
      </c>
      <c r="B1202" t="s">
        <v>2428</v>
      </c>
      <c r="C1202">
        <v>34</v>
      </c>
      <c r="D1202" s="2" t="s">
        <v>13</v>
      </c>
      <c r="E1202" s="2" t="s">
        <v>22</v>
      </c>
      <c r="F1202" s="2" t="s">
        <v>23</v>
      </c>
      <c r="G1202" s="2" t="s">
        <v>24</v>
      </c>
      <c r="H1202" s="2" t="s">
        <v>18</v>
      </c>
      <c r="I1202" s="2" t="s">
        <v>18</v>
      </c>
      <c r="J1202">
        <v>0.05</v>
      </c>
      <c r="K1202" s="1">
        <v>43731</v>
      </c>
      <c r="L1202" s="2" t="str">
        <f>IF(Sheet1[[#This Row],[age]]&lt;18, "Under 18",IF(Sheet1[[#This Row],[age]]&lt;=30,"18-30",IF(Sheet1[[#This Row],[age]]&lt;=45,"31-45",IF(Sheet1[[#This Row],[age]]&lt;=60,"46-60","60+"))))</f>
        <v>31-45</v>
      </c>
      <c r="M1202" s="2" t="str">
        <f>IF(Sheet1[[#This Row],[risk_score]]&lt;0.3,"Low",IF(Sheet1[[#This Row],[risk_score]]&lt;0.7,"Medium","High"))</f>
        <v>Low</v>
      </c>
      <c r="N1202">
        <f>YEAR(Sheet1[[#This Row],[date_joined]])</f>
        <v>2019</v>
      </c>
      <c r="O1202" s="2" t="str">
        <f>TEXT(Sheet1[[#This Row],[date_joined]],"mmm")</f>
        <v>Sep</v>
      </c>
      <c r="P1202" s="2" t="str">
        <f>"Q"&amp;ROUNDUP(MONTH(Sheet1[[#This Row],[date_joined]])/3,0)</f>
        <v>Q3</v>
      </c>
      <c r="Q1202" s="2" t="str">
        <f>IF(Sheet1[[#This Row],[age]]&lt;30,"Young",IF(Sheet1[[#This Row],[age]]&lt;=50,"Adult","Senior"))</f>
        <v>Adult</v>
      </c>
      <c r="R1202" s="2" t="str">
        <f t="shared" si="36"/>
        <v>Very High</v>
      </c>
      <c r="S1202" s="2" t="str">
        <f t="shared" si="37"/>
        <v>East - Salaried</v>
      </c>
    </row>
    <row r="1203" spans="1:19" x14ac:dyDescent="0.3">
      <c r="A1203" t="s">
        <v>2429</v>
      </c>
      <c r="B1203" t="s">
        <v>2430</v>
      </c>
      <c r="C1203">
        <v>31</v>
      </c>
      <c r="D1203" s="2" t="s">
        <v>13</v>
      </c>
      <c r="E1203" s="2" t="s">
        <v>14</v>
      </c>
      <c r="F1203" s="2" t="s">
        <v>15</v>
      </c>
      <c r="G1203" s="2" t="s">
        <v>81</v>
      </c>
      <c r="H1203" s="2" t="s">
        <v>18</v>
      </c>
      <c r="I1203" s="2" t="s">
        <v>17</v>
      </c>
      <c r="J1203">
        <v>0.43</v>
      </c>
      <c r="K1203" s="1">
        <v>44649</v>
      </c>
      <c r="L1203" s="2" t="str">
        <f>IF(Sheet1[[#This Row],[age]]&lt;18, "Under 18",IF(Sheet1[[#This Row],[age]]&lt;=30,"18-30",IF(Sheet1[[#This Row],[age]]&lt;=45,"31-45",IF(Sheet1[[#This Row],[age]]&lt;=60,"46-60","60+"))))</f>
        <v>31-45</v>
      </c>
      <c r="M1203" s="2" t="str">
        <f>IF(Sheet1[[#This Row],[risk_score]]&lt;0.3,"Low",IF(Sheet1[[#This Row],[risk_score]]&lt;0.7,"Medium","High"))</f>
        <v>Medium</v>
      </c>
      <c r="N1203">
        <f>YEAR(Sheet1[[#This Row],[date_joined]])</f>
        <v>2022</v>
      </c>
      <c r="O1203" s="2" t="str">
        <f>TEXT(Sheet1[[#This Row],[date_joined]],"mmm")</f>
        <v>Mar</v>
      </c>
      <c r="P1203" s="2" t="str">
        <f>"Q"&amp;ROUNDUP(MONTH(Sheet1[[#This Row],[date_joined]])/3,0)</f>
        <v>Q1</v>
      </c>
      <c r="Q1203" s="2" t="str">
        <f>IF(Sheet1[[#This Row],[age]]&lt;30,"Young",IF(Sheet1[[#This Row],[age]]&lt;=50,"Adult","Senior"))</f>
        <v>Adult</v>
      </c>
      <c r="R1203" s="2" t="str">
        <f t="shared" si="36"/>
        <v>High</v>
      </c>
      <c r="S1203" s="2" t="str">
        <f t="shared" si="37"/>
        <v>Central - Student</v>
      </c>
    </row>
    <row r="1204" spans="1:19" x14ac:dyDescent="0.3">
      <c r="A1204" t="s">
        <v>2431</v>
      </c>
      <c r="B1204" t="s">
        <v>2432</v>
      </c>
      <c r="C1204">
        <v>40</v>
      </c>
      <c r="D1204" s="2" t="s">
        <v>21</v>
      </c>
      <c r="E1204" s="2" t="s">
        <v>30</v>
      </c>
      <c r="F1204" s="2" t="s">
        <v>37</v>
      </c>
      <c r="G1204" s="2" t="s">
        <v>66</v>
      </c>
      <c r="H1204" s="2" t="s">
        <v>17</v>
      </c>
      <c r="I1204" s="2" t="s">
        <v>17</v>
      </c>
      <c r="J1204">
        <v>0.48</v>
      </c>
      <c r="K1204" s="1">
        <v>43669</v>
      </c>
      <c r="L1204" s="2" t="str">
        <f>IF(Sheet1[[#This Row],[age]]&lt;18, "Under 18",IF(Sheet1[[#This Row],[age]]&lt;=30,"18-30",IF(Sheet1[[#This Row],[age]]&lt;=45,"31-45",IF(Sheet1[[#This Row],[age]]&lt;=60,"46-60","60+"))))</f>
        <v>31-45</v>
      </c>
      <c r="M1204" s="2" t="str">
        <f>IF(Sheet1[[#This Row],[risk_score]]&lt;0.3,"Low",IF(Sheet1[[#This Row],[risk_score]]&lt;0.7,"Medium","High"))</f>
        <v>Medium</v>
      </c>
      <c r="N1204">
        <f>YEAR(Sheet1[[#This Row],[date_joined]])</f>
        <v>2019</v>
      </c>
      <c r="O1204" s="2" t="str">
        <f>TEXT(Sheet1[[#This Row],[date_joined]],"mmm")</f>
        <v>Jul</v>
      </c>
      <c r="P1204" s="2" t="str">
        <f>"Q"&amp;ROUNDUP(MONTH(Sheet1[[#This Row],[date_joined]])/3,0)</f>
        <v>Q3</v>
      </c>
      <c r="Q1204" s="2" t="str">
        <f>IF(Sheet1[[#This Row],[age]]&lt;30,"Young",IF(Sheet1[[#This Row],[age]]&lt;=50,"Adult","Senior"))</f>
        <v>Adult</v>
      </c>
      <c r="R1204" s="2" t="str">
        <f t="shared" si="36"/>
        <v>Low</v>
      </c>
      <c r="S1204" s="2" t="str">
        <f t="shared" si="37"/>
        <v>North-East - Retired</v>
      </c>
    </row>
    <row r="1205" spans="1:19" x14ac:dyDescent="0.3">
      <c r="A1205" t="s">
        <v>2433</v>
      </c>
      <c r="B1205" t="s">
        <v>2434</v>
      </c>
      <c r="C1205">
        <v>21</v>
      </c>
      <c r="D1205" s="2" t="s">
        <v>21</v>
      </c>
      <c r="E1205" s="2" t="s">
        <v>22</v>
      </c>
      <c r="F1205" s="2" t="s">
        <v>15</v>
      </c>
      <c r="G1205" s="2" t="s">
        <v>81</v>
      </c>
      <c r="H1205" s="2" t="s">
        <v>17</v>
      </c>
      <c r="I1205" s="2" t="s">
        <v>17</v>
      </c>
      <c r="J1205">
        <v>0.71</v>
      </c>
      <c r="K1205" s="1">
        <v>44575</v>
      </c>
      <c r="L1205" s="2" t="str">
        <f>IF(Sheet1[[#This Row],[age]]&lt;18, "Under 18",IF(Sheet1[[#This Row],[age]]&lt;=30,"18-30",IF(Sheet1[[#This Row],[age]]&lt;=45,"31-45",IF(Sheet1[[#This Row],[age]]&lt;=60,"46-60","60+"))))</f>
        <v>18-30</v>
      </c>
      <c r="M1205" s="2" t="str">
        <f>IF(Sheet1[[#This Row],[risk_score]]&lt;0.3,"Low",IF(Sheet1[[#This Row],[risk_score]]&lt;0.7,"Medium","High"))</f>
        <v>High</v>
      </c>
      <c r="N1205">
        <f>YEAR(Sheet1[[#This Row],[date_joined]])</f>
        <v>2022</v>
      </c>
      <c r="O1205" s="2" t="str">
        <f>TEXT(Sheet1[[#This Row],[date_joined]],"mmm")</f>
        <v>Jan</v>
      </c>
      <c r="P1205" s="2" t="str">
        <f>"Q"&amp;ROUNDUP(MONTH(Sheet1[[#This Row],[date_joined]])/3,0)</f>
        <v>Q1</v>
      </c>
      <c r="Q1205" s="2" t="str">
        <f>IF(Sheet1[[#This Row],[age]]&lt;30,"Young",IF(Sheet1[[#This Row],[age]]&lt;=50,"Adult","Senior"))</f>
        <v>Young</v>
      </c>
      <c r="R1205" s="2" t="str">
        <f t="shared" si="36"/>
        <v>Low</v>
      </c>
      <c r="S1205" s="2" t="str">
        <f t="shared" si="37"/>
        <v>Central - Student</v>
      </c>
    </row>
    <row r="1206" spans="1:19" x14ac:dyDescent="0.3">
      <c r="A1206" t="s">
        <v>2435</v>
      </c>
      <c r="B1206" t="s">
        <v>2436</v>
      </c>
      <c r="C1206">
        <v>56</v>
      </c>
      <c r="D1206" s="2" t="s">
        <v>13</v>
      </c>
      <c r="E1206" s="2" t="s">
        <v>22</v>
      </c>
      <c r="F1206" s="2" t="s">
        <v>15</v>
      </c>
      <c r="G1206" s="2" t="s">
        <v>24</v>
      </c>
      <c r="H1206" s="2" t="s">
        <v>17</v>
      </c>
      <c r="I1206" s="2" t="s">
        <v>18</v>
      </c>
      <c r="J1206">
        <v>0.45</v>
      </c>
      <c r="K1206" s="1">
        <v>44019</v>
      </c>
      <c r="L1206" s="2" t="str">
        <f>IF(Sheet1[[#This Row],[age]]&lt;18, "Under 18",IF(Sheet1[[#This Row],[age]]&lt;=30,"18-30",IF(Sheet1[[#This Row],[age]]&lt;=45,"31-45",IF(Sheet1[[#This Row],[age]]&lt;=60,"46-60","60+"))))</f>
        <v>46-60</v>
      </c>
      <c r="M1206" s="2" t="str">
        <f>IF(Sheet1[[#This Row],[risk_score]]&lt;0.3,"Low",IF(Sheet1[[#This Row],[risk_score]]&lt;0.7,"Medium","High"))</f>
        <v>Medium</v>
      </c>
      <c r="N1206">
        <f>YEAR(Sheet1[[#This Row],[date_joined]])</f>
        <v>2020</v>
      </c>
      <c r="O1206" s="2" t="str">
        <f>TEXT(Sheet1[[#This Row],[date_joined]],"mmm")</f>
        <v>Jul</v>
      </c>
      <c r="P1206" s="2" t="str">
        <f>"Q"&amp;ROUNDUP(MONTH(Sheet1[[#This Row],[date_joined]])/3,0)</f>
        <v>Q3</v>
      </c>
      <c r="Q1206" s="2" t="str">
        <f>IF(Sheet1[[#This Row],[age]]&lt;30,"Young",IF(Sheet1[[#This Row],[age]]&lt;=50,"Adult","Senior"))</f>
        <v>Senior</v>
      </c>
      <c r="R1206" s="2" t="str">
        <f t="shared" si="36"/>
        <v>High</v>
      </c>
      <c r="S1206" s="2" t="str">
        <f t="shared" si="37"/>
        <v>East - Student</v>
      </c>
    </row>
    <row r="1207" spans="1:19" x14ac:dyDescent="0.3">
      <c r="A1207" t="s">
        <v>2437</v>
      </c>
      <c r="B1207" t="s">
        <v>2438</v>
      </c>
      <c r="C1207">
        <v>26</v>
      </c>
      <c r="D1207" s="2" t="s">
        <v>13</v>
      </c>
      <c r="E1207" s="2" t="s">
        <v>14</v>
      </c>
      <c r="F1207" s="2" t="s">
        <v>23</v>
      </c>
      <c r="G1207" s="2" t="s">
        <v>32</v>
      </c>
      <c r="H1207" s="2" t="s">
        <v>17</v>
      </c>
      <c r="I1207" s="2" t="s">
        <v>17</v>
      </c>
      <c r="J1207">
        <v>0.37</v>
      </c>
      <c r="K1207" s="1">
        <v>44170</v>
      </c>
      <c r="L1207" s="2" t="str">
        <f>IF(Sheet1[[#This Row],[age]]&lt;18, "Under 18",IF(Sheet1[[#This Row],[age]]&lt;=30,"18-30",IF(Sheet1[[#This Row],[age]]&lt;=45,"31-45",IF(Sheet1[[#This Row],[age]]&lt;=60,"46-60","60+"))))</f>
        <v>18-30</v>
      </c>
      <c r="M1207" s="2" t="str">
        <f>IF(Sheet1[[#This Row],[risk_score]]&lt;0.3,"Low",IF(Sheet1[[#This Row],[risk_score]]&lt;0.7,"Medium","High"))</f>
        <v>Medium</v>
      </c>
      <c r="N1207">
        <f>YEAR(Sheet1[[#This Row],[date_joined]])</f>
        <v>2020</v>
      </c>
      <c r="O1207" s="2" t="str">
        <f>TEXT(Sheet1[[#This Row],[date_joined]],"mmm")</f>
        <v>Dec</v>
      </c>
      <c r="P1207" s="2" t="str">
        <f>"Q"&amp;ROUNDUP(MONTH(Sheet1[[#This Row],[date_joined]])/3,0)</f>
        <v>Q4</v>
      </c>
      <c r="Q1207" s="2" t="str">
        <f>IF(Sheet1[[#This Row],[age]]&lt;30,"Young",IF(Sheet1[[#This Row],[age]]&lt;=50,"Adult","Senior"))</f>
        <v>Young</v>
      </c>
      <c r="R1207" s="2" t="str">
        <f t="shared" si="36"/>
        <v>Low</v>
      </c>
      <c r="S1207" s="2" t="str">
        <f t="shared" si="37"/>
        <v>South - Salaried</v>
      </c>
    </row>
    <row r="1208" spans="1:19" x14ac:dyDescent="0.3">
      <c r="A1208" t="s">
        <v>2439</v>
      </c>
      <c r="B1208" t="s">
        <v>2440</v>
      </c>
      <c r="C1208">
        <v>54</v>
      </c>
      <c r="D1208" s="2" t="s">
        <v>21</v>
      </c>
      <c r="E1208" s="2" t="s">
        <v>22</v>
      </c>
      <c r="F1208" s="2" t="s">
        <v>37</v>
      </c>
      <c r="G1208" s="2" t="s">
        <v>32</v>
      </c>
      <c r="H1208" s="2" t="s">
        <v>17</v>
      </c>
      <c r="I1208" s="2" t="s">
        <v>17</v>
      </c>
      <c r="J1208">
        <v>0.32</v>
      </c>
      <c r="K1208" s="1">
        <v>44279</v>
      </c>
      <c r="L1208" s="2" t="str">
        <f>IF(Sheet1[[#This Row],[age]]&lt;18, "Under 18",IF(Sheet1[[#This Row],[age]]&lt;=30,"18-30",IF(Sheet1[[#This Row],[age]]&lt;=45,"31-45",IF(Sheet1[[#This Row],[age]]&lt;=60,"46-60","60+"))))</f>
        <v>46-60</v>
      </c>
      <c r="M1208" s="2" t="str">
        <f>IF(Sheet1[[#This Row],[risk_score]]&lt;0.3,"Low",IF(Sheet1[[#This Row],[risk_score]]&lt;0.7,"Medium","High"))</f>
        <v>Medium</v>
      </c>
      <c r="N1208">
        <f>YEAR(Sheet1[[#This Row],[date_joined]])</f>
        <v>2021</v>
      </c>
      <c r="O1208" s="2" t="str">
        <f>TEXT(Sheet1[[#This Row],[date_joined]],"mmm")</f>
        <v>Mar</v>
      </c>
      <c r="P1208" s="2" t="str">
        <f>"Q"&amp;ROUNDUP(MONTH(Sheet1[[#This Row],[date_joined]])/3,0)</f>
        <v>Q1</v>
      </c>
      <c r="Q1208" s="2" t="str">
        <f>IF(Sheet1[[#This Row],[age]]&lt;30,"Young",IF(Sheet1[[#This Row],[age]]&lt;=50,"Adult","Senior"))</f>
        <v>Senior</v>
      </c>
      <c r="R1208" s="2" t="str">
        <f t="shared" si="36"/>
        <v>Low</v>
      </c>
      <c r="S1208" s="2" t="str">
        <f t="shared" si="37"/>
        <v>South - Retired</v>
      </c>
    </row>
    <row r="1209" spans="1:19" x14ac:dyDescent="0.3">
      <c r="A1209" t="s">
        <v>2441</v>
      </c>
      <c r="B1209" t="s">
        <v>2442</v>
      </c>
      <c r="C1209">
        <v>27</v>
      </c>
      <c r="D1209" s="2" t="s">
        <v>21</v>
      </c>
      <c r="E1209" s="2" t="s">
        <v>14</v>
      </c>
      <c r="F1209" s="2" t="s">
        <v>37</v>
      </c>
      <c r="G1209" s="2" t="s">
        <v>27</v>
      </c>
      <c r="H1209" s="2" t="s">
        <v>17</v>
      </c>
      <c r="I1209" s="2" t="s">
        <v>17</v>
      </c>
      <c r="J1209">
        <v>0.46</v>
      </c>
      <c r="K1209" s="1">
        <v>43245</v>
      </c>
      <c r="L1209" s="2" t="str">
        <f>IF(Sheet1[[#This Row],[age]]&lt;18, "Under 18",IF(Sheet1[[#This Row],[age]]&lt;=30,"18-30",IF(Sheet1[[#This Row],[age]]&lt;=45,"31-45",IF(Sheet1[[#This Row],[age]]&lt;=60,"46-60","60+"))))</f>
        <v>18-30</v>
      </c>
      <c r="M1209" s="2" t="str">
        <f>IF(Sheet1[[#This Row],[risk_score]]&lt;0.3,"Low",IF(Sheet1[[#This Row],[risk_score]]&lt;0.7,"Medium","High"))</f>
        <v>Medium</v>
      </c>
      <c r="N1209">
        <f>YEAR(Sheet1[[#This Row],[date_joined]])</f>
        <v>2018</v>
      </c>
      <c r="O1209" s="2" t="str">
        <f>TEXT(Sheet1[[#This Row],[date_joined]],"mmm")</f>
        <v>May</v>
      </c>
      <c r="P1209" s="2" t="str">
        <f>"Q"&amp;ROUNDUP(MONTH(Sheet1[[#This Row],[date_joined]])/3,0)</f>
        <v>Q2</v>
      </c>
      <c r="Q1209" s="2" t="str">
        <f>IF(Sheet1[[#This Row],[age]]&lt;30,"Young",IF(Sheet1[[#This Row],[age]]&lt;=50,"Adult","Senior"))</f>
        <v>Young</v>
      </c>
      <c r="R1209" s="2" t="str">
        <f t="shared" si="36"/>
        <v>Low</v>
      </c>
      <c r="S1209" s="2" t="str">
        <f t="shared" si="37"/>
        <v>North - Retired</v>
      </c>
    </row>
    <row r="1210" spans="1:19" x14ac:dyDescent="0.3">
      <c r="A1210" t="s">
        <v>2443</v>
      </c>
      <c r="B1210" t="s">
        <v>2444</v>
      </c>
      <c r="C1210">
        <v>22</v>
      </c>
      <c r="D1210" s="2" t="s">
        <v>13</v>
      </c>
      <c r="E1210" s="2" t="s">
        <v>22</v>
      </c>
      <c r="F1210" s="2" t="s">
        <v>31</v>
      </c>
      <c r="G1210" s="2" t="s">
        <v>32</v>
      </c>
      <c r="H1210" s="2" t="s">
        <v>18</v>
      </c>
      <c r="I1210" s="2" t="s">
        <v>17</v>
      </c>
      <c r="J1210">
        <v>0.62</v>
      </c>
      <c r="K1210" s="1">
        <v>43414</v>
      </c>
      <c r="L1210" s="2" t="str">
        <f>IF(Sheet1[[#This Row],[age]]&lt;18, "Under 18",IF(Sheet1[[#This Row],[age]]&lt;=30,"18-30",IF(Sheet1[[#This Row],[age]]&lt;=45,"31-45",IF(Sheet1[[#This Row],[age]]&lt;=60,"46-60","60+"))))</f>
        <v>18-30</v>
      </c>
      <c r="M1210" s="2" t="str">
        <f>IF(Sheet1[[#This Row],[risk_score]]&lt;0.3,"Low",IF(Sheet1[[#This Row],[risk_score]]&lt;0.7,"Medium","High"))</f>
        <v>Medium</v>
      </c>
      <c r="N1210">
        <f>YEAR(Sheet1[[#This Row],[date_joined]])</f>
        <v>2018</v>
      </c>
      <c r="O1210" s="2" t="str">
        <f>TEXT(Sheet1[[#This Row],[date_joined]],"mmm")</f>
        <v>Nov</v>
      </c>
      <c r="P1210" s="2" t="str">
        <f>"Q"&amp;ROUNDUP(MONTH(Sheet1[[#This Row],[date_joined]])/3,0)</f>
        <v>Q4</v>
      </c>
      <c r="Q1210" s="2" t="str">
        <f>IF(Sheet1[[#This Row],[age]]&lt;30,"Young",IF(Sheet1[[#This Row],[age]]&lt;=50,"Adult","Senior"))</f>
        <v>Young</v>
      </c>
      <c r="R1210" s="2" t="str">
        <f t="shared" si="36"/>
        <v>High</v>
      </c>
      <c r="S1210" s="2" t="str">
        <f t="shared" si="37"/>
        <v>South - Self-employed</v>
      </c>
    </row>
    <row r="1211" spans="1:19" x14ac:dyDescent="0.3">
      <c r="A1211" t="s">
        <v>2445</v>
      </c>
      <c r="B1211" t="s">
        <v>2446</v>
      </c>
      <c r="C1211">
        <v>65</v>
      </c>
      <c r="D1211" s="2" t="s">
        <v>21</v>
      </c>
      <c r="E1211" s="2" t="s">
        <v>30</v>
      </c>
      <c r="F1211" s="2" t="s">
        <v>23</v>
      </c>
      <c r="G1211" s="2" t="s">
        <v>27</v>
      </c>
      <c r="H1211" s="2" t="s">
        <v>18</v>
      </c>
      <c r="I1211" s="2" t="s">
        <v>18</v>
      </c>
      <c r="J1211">
        <v>0.33</v>
      </c>
      <c r="K1211" s="1">
        <v>44646</v>
      </c>
      <c r="L1211" s="2" t="str">
        <f>IF(Sheet1[[#This Row],[age]]&lt;18, "Under 18",IF(Sheet1[[#This Row],[age]]&lt;=30,"18-30",IF(Sheet1[[#This Row],[age]]&lt;=45,"31-45",IF(Sheet1[[#This Row],[age]]&lt;=60,"46-60","60+"))))</f>
        <v>60+</v>
      </c>
      <c r="M1211" s="2" t="str">
        <f>IF(Sheet1[[#This Row],[risk_score]]&lt;0.3,"Low",IF(Sheet1[[#This Row],[risk_score]]&lt;0.7,"Medium","High"))</f>
        <v>Medium</v>
      </c>
      <c r="N1211">
        <f>YEAR(Sheet1[[#This Row],[date_joined]])</f>
        <v>2022</v>
      </c>
      <c r="O1211" s="2" t="str">
        <f>TEXT(Sheet1[[#This Row],[date_joined]],"mmm")</f>
        <v>Mar</v>
      </c>
      <c r="P1211" s="2" t="str">
        <f>"Q"&amp;ROUNDUP(MONTH(Sheet1[[#This Row],[date_joined]])/3,0)</f>
        <v>Q1</v>
      </c>
      <c r="Q1211" s="2" t="str">
        <f>IF(Sheet1[[#This Row],[age]]&lt;30,"Young",IF(Sheet1[[#This Row],[age]]&lt;=50,"Adult","Senior"))</f>
        <v>Senior</v>
      </c>
      <c r="R1211" s="2" t="str">
        <f t="shared" si="36"/>
        <v>Very High</v>
      </c>
      <c r="S1211" s="2" t="str">
        <f t="shared" si="37"/>
        <v>North - Salaried</v>
      </c>
    </row>
    <row r="1212" spans="1:19" x14ac:dyDescent="0.3">
      <c r="A1212" t="s">
        <v>2447</v>
      </c>
      <c r="B1212" t="s">
        <v>2448</v>
      </c>
      <c r="C1212">
        <v>31</v>
      </c>
      <c r="D1212" s="2" t="s">
        <v>21</v>
      </c>
      <c r="E1212" s="2" t="s">
        <v>22</v>
      </c>
      <c r="F1212" s="2" t="s">
        <v>15</v>
      </c>
      <c r="G1212" s="2" t="s">
        <v>24</v>
      </c>
      <c r="H1212" s="2" t="s">
        <v>18</v>
      </c>
      <c r="I1212" s="2" t="s">
        <v>17</v>
      </c>
      <c r="J1212">
        <v>0.42</v>
      </c>
      <c r="K1212" s="1">
        <v>43312</v>
      </c>
      <c r="L1212" s="2" t="str">
        <f>IF(Sheet1[[#This Row],[age]]&lt;18, "Under 18",IF(Sheet1[[#This Row],[age]]&lt;=30,"18-30",IF(Sheet1[[#This Row],[age]]&lt;=45,"31-45",IF(Sheet1[[#This Row],[age]]&lt;=60,"46-60","60+"))))</f>
        <v>31-45</v>
      </c>
      <c r="M1212" s="2" t="str">
        <f>IF(Sheet1[[#This Row],[risk_score]]&lt;0.3,"Low",IF(Sheet1[[#This Row],[risk_score]]&lt;0.7,"Medium","High"))</f>
        <v>Medium</v>
      </c>
      <c r="N1212">
        <f>YEAR(Sheet1[[#This Row],[date_joined]])</f>
        <v>2018</v>
      </c>
      <c r="O1212" s="2" t="str">
        <f>TEXT(Sheet1[[#This Row],[date_joined]],"mmm")</f>
        <v>Jul</v>
      </c>
      <c r="P1212" s="2" t="str">
        <f>"Q"&amp;ROUNDUP(MONTH(Sheet1[[#This Row],[date_joined]])/3,0)</f>
        <v>Q3</v>
      </c>
      <c r="Q1212" s="2" t="str">
        <f>IF(Sheet1[[#This Row],[age]]&lt;30,"Young",IF(Sheet1[[#This Row],[age]]&lt;=50,"Adult","Senior"))</f>
        <v>Adult</v>
      </c>
      <c r="R1212" s="2" t="str">
        <f t="shared" si="36"/>
        <v>High</v>
      </c>
      <c r="S1212" s="2" t="str">
        <f t="shared" si="37"/>
        <v>East - Student</v>
      </c>
    </row>
    <row r="1213" spans="1:19" x14ac:dyDescent="0.3">
      <c r="A1213" t="s">
        <v>2449</v>
      </c>
      <c r="B1213" t="s">
        <v>2450</v>
      </c>
      <c r="C1213">
        <v>28</v>
      </c>
      <c r="D1213" s="2" t="s">
        <v>13</v>
      </c>
      <c r="E1213" s="2" t="s">
        <v>30</v>
      </c>
      <c r="F1213" s="2" t="s">
        <v>31</v>
      </c>
      <c r="G1213" s="2" t="s">
        <v>66</v>
      </c>
      <c r="H1213" s="2" t="s">
        <v>17</v>
      </c>
      <c r="I1213" s="2" t="s">
        <v>17</v>
      </c>
      <c r="J1213">
        <v>0.42</v>
      </c>
      <c r="K1213" s="1">
        <v>45027</v>
      </c>
      <c r="L1213" s="2" t="str">
        <f>IF(Sheet1[[#This Row],[age]]&lt;18, "Under 18",IF(Sheet1[[#This Row],[age]]&lt;=30,"18-30",IF(Sheet1[[#This Row],[age]]&lt;=45,"31-45",IF(Sheet1[[#This Row],[age]]&lt;=60,"46-60","60+"))))</f>
        <v>18-30</v>
      </c>
      <c r="M1213" s="2" t="str">
        <f>IF(Sheet1[[#This Row],[risk_score]]&lt;0.3,"Low",IF(Sheet1[[#This Row],[risk_score]]&lt;0.7,"Medium","High"))</f>
        <v>Medium</v>
      </c>
      <c r="N1213">
        <f>YEAR(Sheet1[[#This Row],[date_joined]])</f>
        <v>2023</v>
      </c>
      <c r="O1213" s="2" t="str">
        <f>TEXT(Sheet1[[#This Row],[date_joined]],"mmm")</f>
        <v>Apr</v>
      </c>
      <c r="P1213" s="2" t="str">
        <f>"Q"&amp;ROUNDUP(MONTH(Sheet1[[#This Row],[date_joined]])/3,0)</f>
        <v>Q2</v>
      </c>
      <c r="Q1213" s="2" t="str">
        <f>IF(Sheet1[[#This Row],[age]]&lt;30,"Young",IF(Sheet1[[#This Row],[age]]&lt;=50,"Adult","Senior"))</f>
        <v>Young</v>
      </c>
      <c r="R1213" s="2" t="str">
        <f t="shared" si="36"/>
        <v>Low</v>
      </c>
      <c r="S1213" s="2" t="str">
        <f t="shared" si="37"/>
        <v>North-East - Self-employed</v>
      </c>
    </row>
    <row r="1214" spans="1:19" x14ac:dyDescent="0.3">
      <c r="A1214" t="s">
        <v>2451</v>
      </c>
      <c r="B1214" t="s">
        <v>2452</v>
      </c>
      <c r="C1214">
        <v>66</v>
      </c>
      <c r="D1214" s="2" t="s">
        <v>13</v>
      </c>
      <c r="E1214" s="2" t="s">
        <v>22</v>
      </c>
      <c r="F1214" s="2" t="s">
        <v>15</v>
      </c>
      <c r="G1214" s="2" t="s">
        <v>27</v>
      </c>
      <c r="H1214" s="2" t="s">
        <v>17</v>
      </c>
      <c r="I1214" s="2" t="s">
        <v>18</v>
      </c>
      <c r="J1214">
        <v>0.51</v>
      </c>
      <c r="K1214" s="1">
        <v>45257</v>
      </c>
      <c r="L1214" s="2" t="str">
        <f>IF(Sheet1[[#This Row],[age]]&lt;18, "Under 18",IF(Sheet1[[#This Row],[age]]&lt;=30,"18-30",IF(Sheet1[[#This Row],[age]]&lt;=45,"31-45",IF(Sheet1[[#This Row],[age]]&lt;=60,"46-60","60+"))))</f>
        <v>60+</v>
      </c>
      <c r="M1214" s="2" t="str">
        <f>IF(Sheet1[[#This Row],[risk_score]]&lt;0.3,"Low",IF(Sheet1[[#This Row],[risk_score]]&lt;0.7,"Medium","High"))</f>
        <v>Medium</v>
      </c>
      <c r="N1214">
        <f>YEAR(Sheet1[[#This Row],[date_joined]])</f>
        <v>2023</v>
      </c>
      <c r="O1214" s="2" t="str">
        <f>TEXT(Sheet1[[#This Row],[date_joined]],"mmm")</f>
        <v>Nov</v>
      </c>
      <c r="P1214" s="2" t="str">
        <f>"Q"&amp;ROUNDUP(MONTH(Sheet1[[#This Row],[date_joined]])/3,0)</f>
        <v>Q4</v>
      </c>
      <c r="Q1214" s="2" t="str">
        <f>IF(Sheet1[[#This Row],[age]]&lt;30,"Young",IF(Sheet1[[#This Row],[age]]&lt;=50,"Adult","Senior"))</f>
        <v>Senior</v>
      </c>
      <c r="R1214" s="2" t="str">
        <f t="shared" si="36"/>
        <v>High</v>
      </c>
      <c r="S1214" s="2" t="str">
        <f t="shared" si="37"/>
        <v>North - Student</v>
      </c>
    </row>
    <row r="1215" spans="1:19" x14ac:dyDescent="0.3">
      <c r="A1215" t="s">
        <v>2453</v>
      </c>
      <c r="B1215" t="s">
        <v>2454</v>
      </c>
      <c r="C1215">
        <v>53</v>
      </c>
      <c r="D1215" s="2" t="s">
        <v>13</v>
      </c>
      <c r="E1215" s="2" t="s">
        <v>14</v>
      </c>
      <c r="F1215" s="2" t="s">
        <v>15</v>
      </c>
      <c r="G1215" s="2" t="s">
        <v>66</v>
      </c>
      <c r="H1215" s="2" t="s">
        <v>17</v>
      </c>
      <c r="I1215" s="2" t="s">
        <v>18</v>
      </c>
      <c r="J1215">
        <v>0.46</v>
      </c>
      <c r="K1215" s="1">
        <v>43376</v>
      </c>
      <c r="L1215" s="2" t="str">
        <f>IF(Sheet1[[#This Row],[age]]&lt;18, "Under 18",IF(Sheet1[[#This Row],[age]]&lt;=30,"18-30",IF(Sheet1[[#This Row],[age]]&lt;=45,"31-45",IF(Sheet1[[#This Row],[age]]&lt;=60,"46-60","60+"))))</f>
        <v>46-60</v>
      </c>
      <c r="M1215" s="2" t="str">
        <f>IF(Sheet1[[#This Row],[risk_score]]&lt;0.3,"Low",IF(Sheet1[[#This Row],[risk_score]]&lt;0.7,"Medium","High"))</f>
        <v>Medium</v>
      </c>
      <c r="N1215">
        <f>YEAR(Sheet1[[#This Row],[date_joined]])</f>
        <v>2018</v>
      </c>
      <c r="O1215" s="2" t="str">
        <f>TEXT(Sheet1[[#This Row],[date_joined]],"mmm")</f>
        <v>Oct</v>
      </c>
      <c r="P1215" s="2" t="str">
        <f>"Q"&amp;ROUNDUP(MONTH(Sheet1[[#This Row],[date_joined]])/3,0)</f>
        <v>Q4</v>
      </c>
      <c r="Q1215" s="2" t="str">
        <f>IF(Sheet1[[#This Row],[age]]&lt;30,"Young",IF(Sheet1[[#This Row],[age]]&lt;=50,"Adult","Senior"))</f>
        <v>Senior</v>
      </c>
      <c r="R1215" s="2" t="str">
        <f t="shared" si="36"/>
        <v>High</v>
      </c>
      <c r="S1215" s="2" t="str">
        <f t="shared" si="37"/>
        <v>North-East - Student</v>
      </c>
    </row>
    <row r="1216" spans="1:19" x14ac:dyDescent="0.3">
      <c r="A1216" t="s">
        <v>2455</v>
      </c>
      <c r="B1216" t="s">
        <v>2456</v>
      </c>
      <c r="C1216">
        <v>50</v>
      </c>
      <c r="D1216" s="2" t="s">
        <v>21</v>
      </c>
      <c r="E1216" s="2" t="s">
        <v>22</v>
      </c>
      <c r="F1216" s="2" t="s">
        <v>23</v>
      </c>
      <c r="G1216" s="2" t="s">
        <v>66</v>
      </c>
      <c r="H1216" s="2" t="s">
        <v>18</v>
      </c>
      <c r="I1216" s="2" t="s">
        <v>17</v>
      </c>
      <c r="J1216">
        <v>0.79</v>
      </c>
      <c r="K1216" s="1">
        <v>43894</v>
      </c>
      <c r="L1216" s="2" t="str">
        <f>IF(Sheet1[[#This Row],[age]]&lt;18, "Under 18",IF(Sheet1[[#This Row],[age]]&lt;=30,"18-30",IF(Sheet1[[#This Row],[age]]&lt;=45,"31-45",IF(Sheet1[[#This Row],[age]]&lt;=60,"46-60","60+"))))</f>
        <v>46-60</v>
      </c>
      <c r="M1216" s="2" t="str">
        <f>IF(Sheet1[[#This Row],[risk_score]]&lt;0.3,"Low",IF(Sheet1[[#This Row],[risk_score]]&lt;0.7,"Medium","High"))</f>
        <v>High</v>
      </c>
      <c r="N1216">
        <f>YEAR(Sheet1[[#This Row],[date_joined]])</f>
        <v>2020</v>
      </c>
      <c r="O1216" s="2" t="str">
        <f>TEXT(Sheet1[[#This Row],[date_joined]],"mmm")</f>
        <v>Mar</v>
      </c>
      <c r="P1216" s="2" t="str">
        <f>"Q"&amp;ROUNDUP(MONTH(Sheet1[[#This Row],[date_joined]])/3,0)</f>
        <v>Q1</v>
      </c>
      <c r="Q1216" s="2" t="str">
        <f>IF(Sheet1[[#This Row],[age]]&lt;30,"Young",IF(Sheet1[[#This Row],[age]]&lt;=50,"Adult","Senior"))</f>
        <v>Adult</v>
      </c>
      <c r="R1216" s="2" t="str">
        <f t="shared" si="36"/>
        <v>High</v>
      </c>
      <c r="S1216" s="2" t="str">
        <f t="shared" si="37"/>
        <v>North-East - Salaried</v>
      </c>
    </row>
    <row r="1217" spans="1:19" x14ac:dyDescent="0.3">
      <c r="A1217" t="s">
        <v>2457</v>
      </c>
      <c r="B1217" t="s">
        <v>2458</v>
      </c>
      <c r="C1217">
        <v>21</v>
      </c>
      <c r="D1217" s="2" t="s">
        <v>13</v>
      </c>
      <c r="E1217" s="2" t="s">
        <v>14</v>
      </c>
      <c r="F1217" s="2" t="s">
        <v>15</v>
      </c>
      <c r="G1217" s="2" t="s">
        <v>27</v>
      </c>
      <c r="H1217" s="2" t="s">
        <v>17</v>
      </c>
      <c r="I1217" s="2" t="s">
        <v>17</v>
      </c>
      <c r="J1217">
        <v>0.08</v>
      </c>
      <c r="K1217" s="1">
        <v>45108</v>
      </c>
      <c r="L1217" s="2" t="str">
        <f>IF(Sheet1[[#This Row],[age]]&lt;18, "Under 18",IF(Sheet1[[#This Row],[age]]&lt;=30,"18-30",IF(Sheet1[[#This Row],[age]]&lt;=45,"31-45",IF(Sheet1[[#This Row],[age]]&lt;=60,"46-60","60+"))))</f>
        <v>18-30</v>
      </c>
      <c r="M1217" s="2" t="str">
        <f>IF(Sheet1[[#This Row],[risk_score]]&lt;0.3,"Low",IF(Sheet1[[#This Row],[risk_score]]&lt;0.7,"Medium","High"))</f>
        <v>Low</v>
      </c>
      <c r="N1217">
        <f>YEAR(Sheet1[[#This Row],[date_joined]])</f>
        <v>2023</v>
      </c>
      <c r="O1217" s="2" t="str">
        <f>TEXT(Sheet1[[#This Row],[date_joined]],"mmm")</f>
        <v>Jul</v>
      </c>
      <c r="P1217" s="2" t="str">
        <f>"Q"&amp;ROUNDUP(MONTH(Sheet1[[#This Row],[date_joined]])/3,0)</f>
        <v>Q3</v>
      </c>
      <c r="Q1217" s="2" t="str">
        <f>IF(Sheet1[[#This Row],[age]]&lt;30,"Young",IF(Sheet1[[#This Row],[age]]&lt;=50,"Adult","Senior"))</f>
        <v>Young</v>
      </c>
      <c r="R1217" s="2" t="str">
        <f t="shared" si="36"/>
        <v>Low</v>
      </c>
      <c r="S1217" s="2" t="str">
        <f t="shared" si="37"/>
        <v>North - Student</v>
      </c>
    </row>
    <row r="1218" spans="1:19" x14ac:dyDescent="0.3">
      <c r="A1218" t="s">
        <v>2459</v>
      </c>
      <c r="B1218" t="s">
        <v>2460</v>
      </c>
      <c r="C1218">
        <v>44</v>
      </c>
      <c r="D1218" s="2" t="s">
        <v>21</v>
      </c>
      <c r="E1218" s="2" t="s">
        <v>30</v>
      </c>
      <c r="F1218" s="2" t="s">
        <v>37</v>
      </c>
      <c r="G1218" s="2" t="s">
        <v>24</v>
      </c>
      <c r="H1218" s="2" t="s">
        <v>18</v>
      </c>
      <c r="I1218" s="2" t="s">
        <v>18</v>
      </c>
      <c r="J1218">
        <v>0.85</v>
      </c>
      <c r="K1218" s="1">
        <v>44803</v>
      </c>
      <c r="L1218" s="2" t="str">
        <f>IF(Sheet1[[#This Row],[age]]&lt;18, "Under 18",IF(Sheet1[[#This Row],[age]]&lt;=30,"18-30",IF(Sheet1[[#This Row],[age]]&lt;=45,"31-45",IF(Sheet1[[#This Row],[age]]&lt;=60,"46-60","60+"))))</f>
        <v>31-45</v>
      </c>
      <c r="M1218" s="2" t="str">
        <f>IF(Sheet1[[#This Row],[risk_score]]&lt;0.3,"Low",IF(Sheet1[[#This Row],[risk_score]]&lt;0.7,"Medium","High"))</f>
        <v>High</v>
      </c>
      <c r="N1218">
        <f>YEAR(Sheet1[[#This Row],[date_joined]])</f>
        <v>2022</v>
      </c>
      <c r="O1218" s="2" t="str">
        <f>TEXT(Sheet1[[#This Row],[date_joined]],"mmm")</f>
        <v>Aug</v>
      </c>
      <c r="P1218" s="2" t="str">
        <f>"Q"&amp;ROUNDUP(MONTH(Sheet1[[#This Row],[date_joined]])/3,0)</f>
        <v>Q3</v>
      </c>
      <c r="Q1218" s="2" t="str">
        <f>IF(Sheet1[[#This Row],[age]]&lt;30,"Young",IF(Sheet1[[#This Row],[age]]&lt;=50,"Adult","Senior"))</f>
        <v>Adult</v>
      </c>
      <c r="R1218" s="2" t="str">
        <f t="shared" ref="R1218:R1281" si="38">IF(AND(H1218="Yes",I1218="Yes"),"Very High",
IF(OR(H1218="Yes",I1218="Yes"),"High","Low"))</f>
        <v>Very High</v>
      </c>
      <c r="S1218" s="2" t="str">
        <f t="shared" ref="S1218:S1281" si="39">G1218&amp;" - "&amp;F1218</f>
        <v>East - Retired</v>
      </c>
    </row>
    <row r="1219" spans="1:19" x14ac:dyDescent="0.3">
      <c r="A1219" t="s">
        <v>2461</v>
      </c>
      <c r="B1219" t="s">
        <v>2462</v>
      </c>
      <c r="C1219">
        <v>41</v>
      </c>
      <c r="D1219" s="2" t="s">
        <v>13</v>
      </c>
      <c r="E1219" s="2" t="s">
        <v>14</v>
      </c>
      <c r="F1219" s="2" t="s">
        <v>23</v>
      </c>
      <c r="G1219" s="2" t="s">
        <v>16</v>
      </c>
      <c r="H1219" s="2" t="s">
        <v>18</v>
      </c>
      <c r="I1219" s="2" t="s">
        <v>17</v>
      </c>
      <c r="J1219">
        <v>0.5</v>
      </c>
      <c r="K1219" s="1">
        <v>43959</v>
      </c>
      <c r="L1219" s="2" t="str">
        <f>IF(Sheet1[[#This Row],[age]]&lt;18, "Under 18",IF(Sheet1[[#This Row],[age]]&lt;=30,"18-30",IF(Sheet1[[#This Row],[age]]&lt;=45,"31-45",IF(Sheet1[[#This Row],[age]]&lt;=60,"46-60","60+"))))</f>
        <v>31-45</v>
      </c>
      <c r="M1219" s="2" t="str">
        <f>IF(Sheet1[[#This Row],[risk_score]]&lt;0.3,"Low",IF(Sheet1[[#This Row],[risk_score]]&lt;0.7,"Medium","High"))</f>
        <v>Medium</v>
      </c>
      <c r="N1219">
        <f>YEAR(Sheet1[[#This Row],[date_joined]])</f>
        <v>2020</v>
      </c>
      <c r="O1219" s="2" t="str">
        <f>TEXT(Sheet1[[#This Row],[date_joined]],"mmm")</f>
        <v>May</v>
      </c>
      <c r="P1219" s="2" t="str">
        <f>"Q"&amp;ROUNDUP(MONTH(Sheet1[[#This Row],[date_joined]])/3,0)</f>
        <v>Q2</v>
      </c>
      <c r="Q1219" s="2" t="str">
        <f>IF(Sheet1[[#This Row],[age]]&lt;30,"Young",IF(Sheet1[[#This Row],[age]]&lt;=50,"Adult","Senior"))</f>
        <v>Adult</v>
      </c>
      <c r="R1219" s="2" t="str">
        <f t="shared" si="38"/>
        <v>High</v>
      </c>
      <c r="S1219" s="2" t="str">
        <f t="shared" si="39"/>
        <v>West - Salaried</v>
      </c>
    </row>
    <row r="1220" spans="1:19" x14ac:dyDescent="0.3">
      <c r="A1220" t="s">
        <v>2463</v>
      </c>
      <c r="B1220" t="s">
        <v>2464</v>
      </c>
      <c r="C1220">
        <v>65</v>
      </c>
      <c r="D1220" s="2" t="s">
        <v>13</v>
      </c>
      <c r="E1220" s="2" t="s">
        <v>22</v>
      </c>
      <c r="F1220" s="2" t="s">
        <v>37</v>
      </c>
      <c r="G1220" s="2" t="s">
        <v>24</v>
      </c>
      <c r="H1220" s="2" t="s">
        <v>18</v>
      </c>
      <c r="I1220" s="2" t="s">
        <v>18</v>
      </c>
      <c r="J1220">
        <v>0.77</v>
      </c>
      <c r="K1220" s="1">
        <v>43823</v>
      </c>
      <c r="L1220" s="2" t="str">
        <f>IF(Sheet1[[#This Row],[age]]&lt;18, "Under 18",IF(Sheet1[[#This Row],[age]]&lt;=30,"18-30",IF(Sheet1[[#This Row],[age]]&lt;=45,"31-45",IF(Sheet1[[#This Row],[age]]&lt;=60,"46-60","60+"))))</f>
        <v>60+</v>
      </c>
      <c r="M1220" s="2" t="str">
        <f>IF(Sheet1[[#This Row],[risk_score]]&lt;0.3,"Low",IF(Sheet1[[#This Row],[risk_score]]&lt;0.7,"Medium","High"))</f>
        <v>High</v>
      </c>
      <c r="N1220">
        <f>YEAR(Sheet1[[#This Row],[date_joined]])</f>
        <v>2019</v>
      </c>
      <c r="O1220" s="2" t="str">
        <f>TEXT(Sheet1[[#This Row],[date_joined]],"mmm")</f>
        <v>Dec</v>
      </c>
      <c r="P1220" s="2" t="str">
        <f>"Q"&amp;ROUNDUP(MONTH(Sheet1[[#This Row],[date_joined]])/3,0)</f>
        <v>Q4</v>
      </c>
      <c r="Q1220" s="2" t="str">
        <f>IF(Sheet1[[#This Row],[age]]&lt;30,"Young",IF(Sheet1[[#This Row],[age]]&lt;=50,"Adult","Senior"))</f>
        <v>Senior</v>
      </c>
      <c r="R1220" s="2" t="str">
        <f t="shared" si="38"/>
        <v>Very High</v>
      </c>
      <c r="S1220" s="2" t="str">
        <f t="shared" si="39"/>
        <v>East - Retired</v>
      </c>
    </row>
    <row r="1221" spans="1:19" x14ac:dyDescent="0.3">
      <c r="A1221" t="s">
        <v>2465</v>
      </c>
      <c r="B1221" t="s">
        <v>2466</v>
      </c>
      <c r="C1221">
        <v>32</v>
      </c>
      <c r="D1221" s="2" t="s">
        <v>21</v>
      </c>
      <c r="E1221" s="2" t="s">
        <v>22</v>
      </c>
      <c r="F1221" s="2" t="s">
        <v>23</v>
      </c>
      <c r="G1221" s="2" t="s">
        <v>66</v>
      </c>
      <c r="H1221" s="2" t="s">
        <v>18</v>
      </c>
      <c r="I1221" s="2" t="s">
        <v>17</v>
      </c>
      <c r="J1221">
        <v>0.62</v>
      </c>
      <c r="K1221" s="1">
        <v>44524</v>
      </c>
      <c r="L1221" s="2" t="str">
        <f>IF(Sheet1[[#This Row],[age]]&lt;18, "Under 18",IF(Sheet1[[#This Row],[age]]&lt;=30,"18-30",IF(Sheet1[[#This Row],[age]]&lt;=45,"31-45",IF(Sheet1[[#This Row],[age]]&lt;=60,"46-60","60+"))))</f>
        <v>31-45</v>
      </c>
      <c r="M1221" s="2" t="str">
        <f>IF(Sheet1[[#This Row],[risk_score]]&lt;0.3,"Low",IF(Sheet1[[#This Row],[risk_score]]&lt;0.7,"Medium","High"))</f>
        <v>Medium</v>
      </c>
      <c r="N1221">
        <f>YEAR(Sheet1[[#This Row],[date_joined]])</f>
        <v>2021</v>
      </c>
      <c r="O1221" s="2" t="str">
        <f>TEXT(Sheet1[[#This Row],[date_joined]],"mmm")</f>
        <v>Nov</v>
      </c>
      <c r="P1221" s="2" t="str">
        <f>"Q"&amp;ROUNDUP(MONTH(Sheet1[[#This Row],[date_joined]])/3,0)</f>
        <v>Q4</v>
      </c>
      <c r="Q1221" s="2" t="str">
        <f>IF(Sheet1[[#This Row],[age]]&lt;30,"Young",IF(Sheet1[[#This Row],[age]]&lt;=50,"Adult","Senior"))</f>
        <v>Adult</v>
      </c>
      <c r="R1221" s="2" t="str">
        <f t="shared" si="38"/>
        <v>High</v>
      </c>
      <c r="S1221" s="2" t="str">
        <f t="shared" si="39"/>
        <v>North-East - Salaried</v>
      </c>
    </row>
    <row r="1222" spans="1:19" x14ac:dyDescent="0.3">
      <c r="A1222" t="s">
        <v>2467</v>
      </c>
      <c r="B1222" t="s">
        <v>2468</v>
      </c>
      <c r="C1222">
        <v>33</v>
      </c>
      <c r="D1222" s="2" t="s">
        <v>21</v>
      </c>
      <c r="E1222" s="2" t="s">
        <v>30</v>
      </c>
      <c r="F1222" s="2" t="s">
        <v>23</v>
      </c>
      <c r="G1222" s="2" t="s">
        <v>27</v>
      </c>
      <c r="H1222" s="2" t="s">
        <v>17</v>
      </c>
      <c r="I1222" s="2" t="s">
        <v>18</v>
      </c>
      <c r="J1222">
        <v>0.78</v>
      </c>
      <c r="K1222" s="1">
        <v>45006</v>
      </c>
      <c r="L1222" s="2" t="str">
        <f>IF(Sheet1[[#This Row],[age]]&lt;18, "Under 18",IF(Sheet1[[#This Row],[age]]&lt;=30,"18-30",IF(Sheet1[[#This Row],[age]]&lt;=45,"31-45",IF(Sheet1[[#This Row],[age]]&lt;=60,"46-60","60+"))))</f>
        <v>31-45</v>
      </c>
      <c r="M1222" s="2" t="str">
        <f>IF(Sheet1[[#This Row],[risk_score]]&lt;0.3,"Low",IF(Sheet1[[#This Row],[risk_score]]&lt;0.7,"Medium","High"))</f>
        <v>High</v>
      </c>
      <c r="N1222">
        <f>YEAR(Sheet1[[#This Row],[date_joined]])</f>
        <v>2023</v>
      </c>
      <c r="O1222" s="2" t="str">
        <f>TEXT(Sheet1[[#This Row],[date_joined]],"mmm")</f>
        <v>Mar</v>
      </c>
      <c r="P1222" s="2" t="str">
        <f>"Q"&amp;ROUNDUP(MONTH(Sheet1[[#This Row],[date_joined]])/3,0)</f>
        <v>Q1</v>
      </c>
      <c r="Q1222" s="2" t="str">
        <f>IF(Sheet1[[#This Row],[age]]&lt;30,"Young",IF(Sheet1[[#This Row],[age]]&lt;=50,"Adult","Senior"))</f>
        <v>Adult</v>
      </c>
      <c r="R1222" s="2" t="str">
        <f t="shared" si="38"/>
        <v>High</v>
      </c>
      <c r="S1222" s="2" t="str">
        <f t="shared" si="39"/>
        <v>North - Salaried</v>
      </c>
    </row>
    <row r="1223" spans="1:19" x14ac:dyDescent="0.3">
      <c r="A1223" t="s">
        <v>2469</v>
      </c>
      <c r="B1223" t="s">
        <v>2470</v>
      </c>
      <c r="C1223">
        <v>52</v>
      </c>
      <c r="D1223" s="2" t="s">
        <v>13</v>
      </c>
      <c r="E1223" s="2" t="s">
        <v>14</v>
      </c>
      <c r="F1223" s="2" t="s">
        <v>15</v>
      </c>
      <c r="G1223" s="2" t="s">
        <v>27</v>
      </c>
      <c r="H1223" s="2" t="s">
        <v>17</v>
      </c>
      <c r="I1223" s="2" t="s">
        <v>17</v>
      </c>
      <c r="J1223">
        <v>0.42</v>
      </c>
      <c r="K1223" s="1">
        <v>44052</v>
      </c>
      <c r="L1223" s="2" t="str">
        <f>IF(Sheet1[[#This Row],[age]]&lt;18, "Under 18",IF(Sheet1[[#This Row],[age]]&lt;=30,"18-30",IF(Sheet1[[#This Row],[age]]&lt;=45,"31-45",IF(Sheet1[[#This Row],[age]]&lt;=60,"46-60","60+"))))</f>
        <v>46-60</v>
      </c>
      <c r="M1223" s="2" t="str">
        <f>IF(Sheet1[[#This Row],[risk_score]]&lt;0.3,"Low",IF(Sheet1[[#This Row],[risk_score]]&lt;0.7,"Medium","High"))</f>
        <v>Medium</v>
      </c>
      <c r="N1223">
        <f>YEAR(Sheet1[[#This Row],[date_joined]])</f>
        <v>2020</v>
      </c>
      <c r="O1223" s="2" t="str">
        <f>TEXT(Sheet1[[#This Row],[date_joined]],"mmm")</f>
        <v>Aug</v>
      </c>
      <c r="P1223" s="2" t="str">
        <f>"Q"&amp;ROUNDUP(MONTH(Sheet1[[#This Row],[date_joined]])/3,0)</f>
        <v>Q3</v>
      </c>
      <c r="Q1223" s="2" t="str">
        <f>IF(Sheet1[[#This Row],[age]]&lt;30,"Young",IF(Sheet1[[#This Row],[age]]&lt;=50,"Adult","Senior"))</f>
        <v>Senior</v>
      </c>
      <c r="R1223" s="2" t="str">
        <f t="shared" si="38"/>
        <v>Low</v>
      </c>
      <c r="S1223" s="2" t="str">
        <f t="shared" si="39"/>
        <v>North - Student</v>
      </c>
    </row>
    <row r="1224" spans="1:19" x14ac:dyDescent="0.3">
      <c r="A1224" t="s">
        <v>2471</v>
      </c>
      <c r="B1224" t="s">
        <v>2472</v>
      </c>
      <c r="C1224">
        <v>66</v>
      </c>
      <c r="D1224" s="2" t="s">
        <v>21</v>
      </c>
      <c r="E1224" s="2" t="s">
        <v>14</v>
      </c>
      <c r="F1224" s="2" t="s">
        <v>15</v>
      </c>
      <c r="G1224" s="2" t="s">
        <v>66</v>
      </c>
      <c r="H1224" s="2" t="s">
        <v>18</v>
      </c>
      <c r="I1224" s="2" t="s">
        <v>17</v>
      </c>
      <c r="J1224">
        <v>0.56999999999999995</v>
      </c>
      <c r="K1224" s="1">
        <v>43255</v>
      </c>
      <c r="L1224" s="2" t="str">
        <f>IF(Sheet1[[#This Row],[age]]&lt;18, "Under 18",IF(Sheet1[[#This Row],[age]]&lt;=30,"18-30",IF(Sheet1[[#This Row],[age]]&lt;=45,"31-45",IF(Sheet1[[#This Row],[age]]&lt;=60,"46-60","60+"))))</f>
        <v>60+</v>
      </c>
      <c r="M1224" s="2" t="str">
        <f>IF(Sheet1[[#This Row],[risk_score]]&lt;0.3,"Low",IF(Sheet1[[#This Row],[risk_score]]&lt;0.7,"Medium","High"))</f>
        <v>Medium</v>
      </c>
      <c r="N1224">
        <f>YEAR(Sheet1[[#This Row],[date_joined]])</f>
        <v>2018</v>
      </c>
      <c r="O1224" s="2" t="str">
        <f>TEXT(Sheet1[[#This Row],[date_joined]],"mmm")</f>
        <v>Jun</v>
      </c>
      <c r="P1224" s="2" t="str">
        <f>"Q"&amp;ROUNDUP(MONTH(Sheet1[[#This Row],[date_joined]])/3,0)</f>
        <v>Q2</v>
      </c>
      <c r="Q1224" s="2" t="str">
        <f>IF(Sheet1[[#This Row],[age]]&lt;30,"Young",IF(Sheet1[[#This Row],[age]]&lt;=50,"Adult","Senior"))</f>
        <v>Senior</v>
      </c>
      <c r="R1224" s="2" t="str">
        <f t="shared" si="38"/>
        <v>High</v>
      </c>
      <c r="S1224" s="2" t="str">
        <f t="shared" si="39"/>
        <v>North-East - Student</v>
      </c>
    </row>
    <row r="1225" spans="1:19" x14ac:dyDescent="0.3">
      <c r="A1225" t="s">
        <v>2473</v>
      </c>
      <c r="B1225" t="s">
        <v>2474</v>
      </c>
      <c r="C1225">
        <v>37</v>
      </c>
      <c r="D1225" s="2" t="s">
        <v>13</v>
      </c>
      <c r="E1225" s="2" t="s">
        <v>30</v>
      </c>
      <c r="F1225" s="2" t="s">
        <v>31</v>
      </c>
      <c r="G1225" s="2" t="s">
        <v>27</v>
      </c>
      <c r="H1225" s="2" t="s">
        <v>17</v>
      </c>
      <c r="I1225" s="2" t="s">
        <v>18</v>
      </c>
      <c r="J1225">
        <v>0.68</v>
      </c>
      <c r="K1225" s="1">
        <v>44202</v>
      </c>
      <c r="L1225" s="2" t="str">
        <f>IF(Sheet1[[#This Row],[age]]&lt;18, "Under 18",IF(Sheet1[[#This Row],[age]]&lt;=30,"18-30",IF(Sheet1[[#This Row],[age]]&lt;=45,"31-45",IF(Sheet1[[#This Row],[age]]&lt;=60,"46-60","60+"))))</f>
        <v>31-45</v>
      </c>
      <c r="M1225" s="2" t="str">
        <f>IF(Sheet1[[#This Row],[risk_score]]&lt;0.3,"Low",IF(Sheet1[[#This Row],[risk_score]]&lt;0.7,"Medium","High"))</f>
        <v>Medium</v>
      </c>
      <c r="N1225">
        <f>YEAR(Sheet1[[#This Row],[date_joined]])</f>
        <v>2021</v>
      </c>
      <c r="O1225" s="2" t="str">
        <f>TEXT(Sheet1[[#This Row],[date_joined]],"mmm")</f>
        <v>Jan</v>
      </c>
      <c r="P1225" s="2" t="str">
        <f>"Q"&amp;ROUNDUP(MONTH(Sheet1[[#This Row],[date_joined]])/3,0)</f>
        <v>Q1</v>
      </c>
      <c r="Q1225" s="2" t="str">
        <f>IF(Sheet1[[#This Row],[age]]&lt;30,"Young",IF(Sheet1[[#This Row],[age]]&lt;=50,"Adult","Senior"))</f>
        <v>Adult</v>
      </c>
      <c r="R1225" s="2" t="str">
        <f t="shared" si="38"/>
        <v>High</v>
      </c>
      <c r="S1225" s="2" t="str">
        <f t="shared" si="39"/>
        <v>North - Self-employed</v>
      </c>
    </row>
    <row r="1226" spans="1:19" x14ac:dyDescent="0.3">
      <c r="A1226" t="s">
        <v>2475</v>
      </c>
      <c r="B1226" t="s">
        <v>2476</v>
      </c>
      <c r="C1226">
        <v>40</v>
      </c>
      <c r="D1226" s="2" t="s">
        <v>13</v>
      </c>
      <c r="E1226" s="2" t="s">
        <v>30</v>
      </c>
      <c r="F1226" s="2" t="s">
        <v>23</v>
      </c>
      <c r="G1226" s="2" t="s">
        <v>16</v>
      </c>
      <c r="H1226" s="2" t="s">
        <v>18</v>
      </c>
      <c r="I1226" s="2" t="s">
        <v>18</v>
      </c>
      <c r="J1226">
        <v>0.55000000000000004</v>
      </c>
      <c r="K1226" s="1">
        <v>44662</v>
      </c>
      <c r="L1226" s="2" t="str">
        <f>IF(Sheet1[[#This Row],[age]]&lt;18, "Under 18",IF(Sheet1[[#This Row],[age]]&lt;=30,"18-30",IF(Sheet1[[#This Row],[age]]&lt;=45,"31-45",IF(Sheet1[[#This Row],[age]]&lt;=60,"46-60","60+"))))</f>
        <v>31-45</v>
      </c>
      <c r="M1226" s="2" t="str">
        <f>IF(Sheet1[[#This Row],[risk_score]]&lt;0.3,"Low",IF(Sheet1[[#This Row],[risk_score]]&lt;0.7,"Medium","High"))</f>
        <v>Medium</v>
      </c>
      <c r="N1226">
        <f>YEAR(Sheet1[[#This Row],[date_joined]])</f>
        <v>2022</v>
      </c>
      <c r="O1226" s="2" t="str">
        <f>TEXT(Sheet1[[#This Row],[date_joined]],"mmm")</f>
        <v>Apr</v>
      </c>
      <c r="P1226" s="2" t="str">
        <f>"Q"&amp;ROUNDUP(MONTH(Sheet1[[#This Row],[date_joined]])/3,0)</f>
        <v>Q2</v>
      </c>
      <c r="Q1226" s="2" t="str">
        <f>IF(Sheet1[[#This Row],[age]]&lt;30,"Young",IF(Sheet1[[#This Row],[age]]&lt;=50,"Adult","Senior"))</f>
        <v>Adult</v>
      </c>
      <c r="R1226" s="2" t="str">
        <f t="shared" si="38"/>
        <v>Very High</v>
      </c>
      <c r="S1226" s="2" t="str">
        <f t="shared" si="39"/>
        <v>West - Salaried</v>
      </c>
    </row>
    <row r="1227" spans="1:19" x14ac:dyDescent="0.3">
      <c r="A1227" t="s">
        <v>2477</v>
      </c>
      <c r="B1227" t="s">
        <v>2478</v>
      </c>
      <c r="C1227">
        <v>22</v>
      </c>
      <c r="D1227" s="2" t="s">
        <v>21</v>
      </c>
      <c r="E1227" s="2" t="s">
        <v>14</v>
      </c>
      <c r="F1227" s="2" t="s">
        <v>31</v>
      </c>
      <c r="G1227" s="2" t="s">
        <v>24</v>
      </c>
      <c r="H1227" s="2" t="s">
        <v>18</v>
      </c>
      <c r="I1227" s="2" t="s">
        <v>17</v>
      </c>
      <c r="J1227">
        <v>0.6</v>
      </c>
      <c r="K1227" s="1">
        <v>44576</v>
      </c>
      <c r="L1227" s="2" t="str">
        <f>IF(Sheet1[[#This Row],[age]]&lt;18, "Under 18",IF(Sheet1[[#This Row],[age]]&lt;=30,"18-30",IF(Sheet1[[#This Row],[age]]&lt;=45,"31-45",IF(Sheet1[[#This Row],[age]]&lt;=60,"46-60","60+"))))</f>
        <v>18-30</v>
      </c>
      <c r="M1227" s="2" t="str">
        <f>IF(Sheet1[[#This Row],[risk_score]]&lt;0.3,"Low",IF(Sheet1[[#This Row],[risk_score]]&lt;0.7,"Medium","High"))</f>
        <v>Medium</v>
      </c>
      <c r="N1227">
        <f>YEAR(Sheet1[[#This Row],[date_joined]])</f>
        <v>2022</v>
      </c>
      <c r="O1227" s="2" t="str">
        <f>TEXT(Sheet1[[#This Row],[date_joined]],"mmm")</f>
        <v>Jan</v>
      </c>
      <c r="P1227" s="2" t="str">
        <f>"Q"&amp;ROUNDUP(MONTH(Sheet1[[#This Row],[date_joined]])/3,0)</f>
        <v>Q1</v>
      </c>
      <c r="Q1227" s="2" t="str">
        <f>IF(Sheet1[[#This Row],[age]]&lt;30,"Young",IF(Sheet1[[#This Row],[age]]&lt;=50,"Adult","Senior"))</f>
        <v>Young</v>
      </c>
      <c r="R1227" s="2" t="str">
        <f t="shared" si="38"/>
        <v>High</v>
      </c>
      <c r="S1227" s="2" t="str">
        <f t="shared" si="39"/>
        <v>East - Self-employed</v>
      </c>
    </row>
    <row r="1228" spans="1:19" x14ac:dyDescent="0.3">
      <c r="A1228" t="s">
        <v>2479</v>
      </c>
      <c r="B1228" t="s">
        <v>2480</v>
      </c>
      <c r="C1228">
        <v>33</v>
      </c>
      <c r="D1228" s="2" t="s">
        <v>13</v>
      </c>
      <c r="E1228" s="2" t="s">
        <v>14</v>
      </c>
      <c r="F1228" s="2" t="s">
        <v>15</v>
      </c>
      <c r="G1228" s="2" t="s">
        <v>27</v>
      </c>
      <c r="H1228" s="2" t="s">
        <v>18</v>
      </c>
      <c r="I1228" s="2" t="s">
        <v>18</v>
      </c>
      <c r="J1228">
        <v>0.44</v>
      </c>
      <c r="K1228" s="1">
        <v>43170</v>
      </c>
      <c r="L1228" s="2" t="str">
        <f>IF(Sheet1[[#This Row],[age]]&lt;18, "Under 18",IF(Sheet1[[#This Row],[age]]&lt;=30,"18-30",IF(Sheet1[[#This Row],[age]]&lt;=45,"31-45",IF(Sheet1[[#This Row],[age]]&lt;=60,"46-60","60+"))))</f>
        <v>31-45</v>
      </c>
      <c r="M1228" s="2" t="str">
        <f>IF(Sheet1[[#This Row],[risk_score]]&lt;0.3,"Low",IF(Sheet1[[#This Row],[risk_score]]&lt;0.7,"Medium","High"))</f>
        <v>Medium</v>
      </c>
      <c r="N1228">
        <f>YEAR(Sheet1[[#This Row],[date_joined]])</f>
        <v>2018</v>
      </c>
      <c r="O1228" s="2" t="str">
        <f>TEXT(Sheet1[[#This Row],[date_joined]],"mmm")</f>
        <v>Mar</v>
      </c>
      <c r="P1228" s="2" t="str">
        <f>"Q"&amp;ROUNDUP(MONTH(Sheet1[[#This Row],[date_joined]])/3,0)</f>
        <v>Q1</v>
      </c>
      <c r="Q1228" s="2" t="str">
        <f>IF(Sheet1[[#This Row],[age]]&lt;30,"Young",IF(Sheet1[[#This Row],[age]]&lt;=50,"Adult","Senior"))</f>
        <v>Adult</v>
      </c>
      <c r="R1228" s="2" t="str">
        <f t="shared" si="38"/>
        <v>Very High</v>
      </c>
      <c r="S1228" s="2" t="str">
        <f t="shared" si="39"/>
        <v>North - Student</v>
      </c>
    </row>
    <row r="1229" spans="1:19" x14ac:dyDescent="0.3">
      <c r="A1229" t="s">
        <v>2481</v>
      </c>
      <c r="B1229" t="s">
        <v>2482</v>
      </c>
      <c r="C1229">
        <v>48</v>
      </c>
      <c r="D1229" s="2" t="s">
        <v>13</v>
      </c>
      <c r="E1229" s="2" t="s">
        <v>30</v>
      </c>
      <c r="F1229" s="2" t="s">
        <v>37</v>
      </c>
      <c r="G1229" s="2" t="s">
        <v>66</v>
      </c>
      <c r="H1229" s="2" t="s">
        <v>18</v>
      </c>
      <c r="I1229" s="2" t="s">
        <v>17</v>
      </c>
      <c r="J1229">
        <v>0.65</v>
      </c>
      <c r="K1229" s="1">
        <v>44591</v>
      </c>
      <c r="L1229" s="2" t="str">
        <f>IF(Sheet1[[#This Row],[age]]&lt;18, "Under 18",IF(Sheet1[[#This Row],[age]]&lt;=30,"18-30",IF(Sheet1[[#This Row],[age]]&lt;=45,"31-45",IF(Sheet1[[#This Row],[age]]&lt;=60,"46-60","60+"))))</f>
        <v>46-60</v>
      </c>
      <c r="M1229" s="2" t="str">
        <f>IF(Sheet1[[#This Row],[risk_score]]&lt;0.3,"Low",IF(Sheet1[[#This Row],[risk_score]]&lt;0.7,"Medium","High"))</f>
        <v>Medium</v>
      </c>
      <c r="N1229">
        <f>YEAR(Sheet1[[#This Row],[date_joined]])</f>
        <v>2022</v>
      </c>
      <c r="O1229" s="2" t="str">
        <f>TEXT(Sheet1[[#This Row],[date_joined]],"mmm")</f>
        <v>Jan</v>
      </c>
      <c r="P1229" s="2" t="str">
        <f>"Q"&amp;ROUNDUP(MONTH(Sheet1[[#This Row],[date_joined]])/3,0)</f>
        <v>Q1</v>
      </c>
      <c r="Q1229" s="2" t="str">
        <f>IF(Sheet1[[#This Row],[age]]&lt;30,"Young",IF(Sheet1[[#This Row],[age]]&lt;=50,"Adult","Senior"))</f>
        <v>Adult</v>
      </c>
      <c r="R1229" s="2" t="str">
        <f t="shared" si="38"/>
        <v>High</v>
      </c>
      <c r="S1229" s="2" t="str">
        <f t="shared" si="39"/>
        <v>North-East - Retired</v>
      </c>
    </row>
    <row r="1230" spans="1:19" x14ac:dyDescent="0.3">
      <c r="A1230" t="s">
        <v>2483</v>
      </c>
      <c r="B1230" t="s">
        <v>2484</v>
      </c>
      <c r="C1230">
        <v>18</v>
      </c>
      <c r="D1230" s="2" t="s">
        <v>13</v>
      </c>
      <c r="E1230" s="2" t="s">
        <v>14</v>
      </c>
      <c r="F1230" s="2" t="s">
        <v>37</v>
      </c>
      <c r="G1230" s="2" t="s">
        <v>27</v>
      </c>
      <c r="H1230" s="2" t="s">
        <v>17</v>
      </c>
      <c r="I1230" s="2" t="s">
        <v>18</v>
      </c>
      <c r="J1230">
        <v>0.48</v>
      </c>
      <c r="K1230" s="1">
        <v>44633</v>
      </c>
      <c r="L1230" s="2" t="str">
        <f>IF(Sheet1[[#This Row],[age]]&lt;18, "Under 18",IF(Sheet1[[#This Row],[age]]&lt;=30,"18-30",IF(Sheet1[[#This Row],[age]]&lt;=45,"31-45",IF(Sheet1[[#This Row],[age]]&lt;=60,"46-60","60+"))))</f>
        <v>18-30</v>
      </c>
      <c r="M1230" s="2" t="str">
        <f>IF(Sheet1[[#This Row],[risk_score]]&lt;0.3,"Low",IF(Sheet1[[#This Row],[risk_score]]&lt;0.7,"Medium","High"))</f>
        <v>Medium</v>
      </c>
      <c r="N1230">
        <f>YEAR(Sheet1[[#This Row],[date_joined]])</f>
        <v>2022</v>
      </c>
      <c r="O1230" s="2" t="str">
        <f>TEXT(Sheet1[[#This Row],[date_joined]],"mmm")</f>
        <v>Mar</v>
      </c>
      <c r="P1230" s="2" t="str">
        <f>"Q"&amp;ROUNDUP(MONTH(Sheet1[[#This Row],[date_joined]])/3,0)</f>
        <v>Q1</v>
      </c>
      <c r="Q1230" s="2" t="str">
        <f>IF(Sheet1[[#This Row],[age]]&lt;30,"Young",IF(Sheet1[[#This Row],[age]]&lt;=50,"Adult","Senior"))</f>
        <v>Young</v>
      </c>
      <c r="R1230" s="2" t="str">
        <f t="shared" si="38"/>
        <v>High</v>
      </c>
      <c r="S1230" s="2" t="str">
        <f t="shared" si="39"/>
        <v>North - Retired</v>
      </c>
    </row>
    <row r="1231" spans="1:19" x14ac:dyDescent="0.3">
      <c r="A1231" t="s">
        <v>2485</v>
      </c>
      <c r="B1231" t="s">
        <v>2486</v>
      </c>
      <c r="C1231">
        <v>30</v>
      </c>
      <c r="D1231" s="2" t="s">
        <v>21</v>
      </c>
      <c r="E1231" s="2" t="s">
        <v>22</v>
      </c>
      <c r="F1231" s="2" t="s">
        <v>31</v>
      </c>
      <c r="G1231" s="2" t="s">
        <v>32</v>
      </c>
      <c r="H1231" s="2" t="s">
        <v>17</v>
      </c>
      <c r="I1231" s="2" t="s">
        <v>17</v>
      </c>
      <c r="J1231">
        <v>0.68</v>
      </c>
      <c r="K1231" s="1">
        <v>44566</v>
      </c>
      <c r="L1231" s="2" t="str">
        <f>IF(Sheet1[[#This Row],[age]]&lt;18, "Under 18",IF(Sheet1[[#This Row],[age]]&lt;=30,"18-30",IF(Sheet1[[#This Row],[age]]&lt;=45,"31-45",IF(Sheet1[[#This Row],[age]]&lt;=60,"46-60","60+"))))</f>
        <v>18-30</v>
      </c>
      <c r="M1231" s="2" t="str">
        <f>IF(Sheet1[[#This Row],[risk_score]]&lt;0.3,"Low",IF(Sheet1[[#This Row],[risk_score]]&lt;0.7,"Medium","High"))</f>
        <v>Medium</v>
      </c>
      <c r="N1231">
        <f>YEAR(Sheet1[[#This Row],[date_joined]])</f>
        <v>2022</v>
      </c>
      <c r="O1231" s="2" t="str">
        <f>TEXT(Sheet1[[#This Row],[date_joined]],"mmm")</f>
        <v>Jan</v>
      </c>
      <c r="P1231" s="2" t="str">
        <f>"Q"&amp;ROUNDUP(MONTH(Sheet1[[#This Row],[date_joined]])/3,0)</f>
        <v>Q1</v>
      </c>
      <c r="Q1231" s="2" t="str">
        <f>IF(Sheet1[[#This Row],[age]]&lt;30,"Young",IF(Sheet1[[#This Row],[age]]&lt;=50,"Adult","Senior"))</f>
        <v>Adult</v>
      </c>
      <c r="R1231" s="2" t="str">
        <f t="shared" si="38"/>
        <v>Low</v>
      </c>
      <c r="S1231" s="2" t="str">
        <f t="shared" si="39"/>
        <v>South - Self-employed</v>
      </c>
    </row>
    <row r="1232" spans="1:19" x14ac:dyDescent="0.3">
      <c r="A1232" t="s">
        <v>2487</v>
      </c>
      <c r="B1232" t="s">
        <v>2488</v>
      </c>
      <c r="C1232">
        <v>50</v>
      </c>
      <c r="D1232" s="2" t="s">
        <v>21</v>
      </c>
      <c r="E1232" s="2" t="s">
        <v>14</v>
      </c>
      <c r="F1232" s="2" t="s">
        <v>37</v>
      </c>
      <c r="G1232" s="2" t="s">
        <v>81</v>
      </c>
      <c r="H1232" s="2" t="s">
        <v>18</v>
      </c>
      <c r="I1232" s="2" t="s">
        <v>18</v>
      </c>
      <c r="J1232">
        <v>0.75</v>
      </c>
      <c r="K1232" s="1">
        <v>44168</v>
      </c>
      <c r="L1232" s="2" t="str">
        <f>IF(Sheet1[[#This Row],[age]]&lt;18, "Under 18",IF(Sheet1[[#This Row],[age]]&lt;=30,"18-30",IF(Sheet1[[#This Row],[age]]&lt;=45,"31-45",IF(Sheet1[[#This Row],[age]]&lt;=60,"46-60","60+"))))</f>
        <v>46-60</v>
      </c>
      <c r="M1232" s="2" t="str">
        <f>IF(Sheet1[[#This Row],[risk_score]]&lt;0.3,"Low",IF(Sheet1[[#This Row],[risk_score]]&lt;0.7,"Medium","High"))</f>
        <v>High</v>
      </c>
      <c r="N1232">
        <f>YEAR(Sheet1[[#This Row],[date_joined]])</f>
        <v>2020</v>
      </c>
      <c r="O1232" s="2" t="str">
        <f>TEXT(Sheet1[[#This Row],[date_joined]],"mmm")</f>
        <v>Dec</v>
      </c>
      <c r="P1232" s="2" t="str">
        <f>"Q"&amp;ROUNDUP(MONTH(Sheet1[[#This Row],[date_joined]])/3,0)</f>
        <v>Q4</v>
      </c>
      <c r="Q1232" s="2" t="str">
        <f>IF(Sheet1[[#This Row],[age]]&lt;30,"Young",IF(Sheet1[[#This Row],[age]]&lt;=50,"Adult","Senior"))</f>
        <v>Adult</v>
      </c>
      <c r="R1232" s="2" t="str">
        <f t="shared" si="38"/>
        <v>Very High</v>
      </c>
      <c r="S1232" s="2" t="str">
        <f t="shared" si="39"/>
        <v>Central - Retired</v>
      </c>
    </row>
    <row r="1233" spans="1:19" x14ac:dyDescent="0.3">
      <c r="A1233" t="s">
        <v>2489</v>
      </c>
      <c r="B1233" t="s">
        <v>2490</v>
      </c>
      <c r="C1233">
        <v>23</v>
      </c>
      <c r="D1233" s="2" t="s">
        <v>13</v>
      </c>
      <c r="E1233" s="2" t="s">
        <v>22</v>
      </c>
      <c r="F1233" s="2" t="s">
        <v>15</v>
      </c>
      <c r="G1233" s="2" t="s">
        <v>24</v>
      </c>
      <c r="H1233" s="2" t="s">
        <v>17</v>
      </c>
      <c r="I1233" s="2" t="s">
        <v>18</v>
      </c>
      <c r="J1233">
        <v>0.52</v>
      </c>
      <c r="K1233" s="1">
        <v>43280</v>
      </c>
      <c r="L1233" s="2" t="str">
        <f>IF(Sheet1[[#This Row],[age]]&lt;18, "Under 18",IF(Sheet1[[#This Row],[age]]&lt;=30,"18-30",IF(Sheet1[[#This Row],[age]]&lt;=45,"31-45",IF(Sheet1[[#This Row],[age]]&lt;=60,"46-60","60+"))))</f>
        <v>18-30</v>
      </c>
      <c r="M1233" s="2" t="str">
        <f>IF(Sheet1[[#This Row],[risk_score]]&lt;0.3,"Low",IF(Sheet1[[#This Row],[risk_score]]&lt;0.7,"Medium","High"))</f>
        <v>Medium</v>
      </c>
      <c r="N1233">
        <f>YEAR(Sheet1[[#This Row],[date_joined]])</f>
        <v>2018</v>
      </c>
      <c r="O1233" s="2" t="str">
        <f>TEXT(Sheet1[[#This Row],[date_joined]],"mmm")</f>
        <v>Jun</v>
      </c>
      <c r="P1233" s="2" t="str">
        <f>"Q"&amp;ROUNDUP(MONTH(Sheet1[[#This Row],[date_joined]])/3,0)</f>
        <v>Q2</v>
      </c>
      <c r="Q1233" s="2" t="str">
        <f>IF(Sheet1[[#This Row],[age]]&lt;30,"Young",IF(Sheet1[[#This Row],[age]]&lt;=50,"Adult","Senior"))</f>
        <v>Young</v>
      </c>
      <c r="R1233" s="2" t="str">
        <f t="shared" si="38"/>
        <v>High</v>
      </c>
      <c r="S1233" s="2" t="str">
        <f t="shared" si="39"/>
        <v>East - Student</v>
      </c>
    </row>
    <row r="1234" spans="1:19" x14ac:dyDescent="0.3">
      <c r="A1234" t="s">
        <v>2491</v>
      </c>
      <c r="B1234" t="s">
        <v>2492</v>
      </c>
      <c r="C1234">
        <v>37</v>
      </c>
      <c r="D1234" s="2" t="s">
        <v>21</v>
      </c>
      <c r="E1234" s="2" t="s">
        <v>22</v>
      </c>
      <c r="F1234" s="2" t="s">
        <v>37</v>
      </c>
      <c r="G1234" s="2" t="s">
        <v>16</v>
      </c>
      <c r="H1234" s="2" t="s">
        <v>18</v>
      </c>
      <c r="I1234" s="2" t="s">
        <v>18</v>
      </c>
      <c r="J1234">
        <v>0.81</v>
      </c>
      <c r="K1234" s="1">
        <v>45249</v>
      </c>
      <c r="L1234" s="2" t="str">
        <f>IF(Sheet1[[#This Row],[age]]&lt;18, "Under 18",IF(Sheet1[[#This Row],[age]]&lt;=30,"18-30",IF(Sheet1[[#This Row],[age]]&lt;=45,"31-45",IF(Sheet1[[#This Row],[age]]&lt;=60,"46-60","60+"))))</f>
        <v>31-45</v>
      </c>
      <c r="M1234" s="2" t="str">
        <f>IF(Sheet1[[#This Row],[risk_score]]&lt;0.3,"Low",IF(Sheet1[[#This Row],[risk_score]]&lt;0.7,"Medium","High"))</f>
        <v>High</v>
      </c>
      <c r="N1234">
        <f>YEAR(Sheet1[[#This Row],[date_joined]])</f>
        <v>2023</v>
      </c>
      <c r="O1234" s="2" t="str">
        <f>TEXT(Sheet1[[#This Row],[date_joined]],"mmm")</f>
        <v>Nov</v>
      </c>
      <c r="P1234" s="2" t="str">
        <f>"Q"&amp;ROUNDUP(MONTH(Sheet1[[#This Row],[date_joined]])/3,0)</f>
        <v>Q4</v>
      </c>
      <c r="Q1234" s="2" t="str">
        <f>IF(Sheet1[[#This Row],[age]]&lt;30,"Young",IF(Sheet1[[#This Row],[age]]&lt;=50,"Adult","Senior"))</f>
        <v>Adult</v>
      </c>
      <c r="R1234" s="2" t="str">
        <f t="shared" si="38"/>
        <v>Very High</v>
      </c>
      <c r="S1234" s="2" t="str">
        <f t="shared" si="39"/>
        <v>West - Retired</v>
      </c>
    </row>
    <row r="1235" spans="1:19" x14ac:dyDescent="0.3">
      <c r="A1235" t="s">
        <v>2493</v>
      </c>
      <c r="B1235" t="s">
        <v>2494</v>
      </c>
      <c r="C1235">
        <v>67</v>
      </c>
      <c r="D1235" s="2" t="s">
        <v>13</v>
      </c>
      <c r="E1235" s="2" t="s">
        <v>30</v>
      </c>
      <c r="F1235" s="2" t="s">
        <v>37</v>
      </c>
      <c r="G1235" s="2" t="s">
        <v>16</v>
      </c>
      <c r="H1235" s="2" t="s">
        <v>17</v>
      </c>
      <c r="I1235" s="2" t="s">
        <v>18</v>
      </c>
      <c r="J1235">
        <v>0.2</v>
      </c>
      <c r="K1235" s="1">
        <v>43521</v>
      </c>
      <c r="L1235" s="2" t="str">
        <f>IF(Sheet1[[#This Row],[age]]&lt;18, "Under 18",IF(Sheet1[[#This Row],[age]]&lt;=30,"18-30",IF(Sheet1[[#This Row],[age]]&lt;=45,"31-45",IF(Sheet1[[#This Row],[age]]&lt;=60,"46-60","60+"))))</f>
        <v>60+</v>
      </c>
      <c r="M1235" s="2" t="str">
        <f>IF(Sheet1[[#This Row],[risk_score]]&lt;0.3,"Low",IF(Sheet1[[#This Row],[risk_score]]&lt;0.7,"Medium","High"))</f>
        <v>Low</v>
      </c>
      <c r="N1235">
        <f>YEAR(Sheet1[[#This Row],[date_joined]])</f>
        <v>2019</v>
      </c>
      <c r="O1235" s="2" t="str">
        <f>TEXT(Sheet1[[#This Row],[date_joined]],"mmm")</f>
        <v>Feb</v>
      </c>
      <c r="P1235" s="2" t="str">
        <f>"Q"&amp;ROUNDUP(MONTH(Sheet1[[#This Row],[date_joined]])/3,0)</f>
        <v>Q1</v>
      </c>
      <c r="Q1235" s="2" t="str">
        <f>IF(Sheet1[[#This Row],[age]]&lt;30,"Young",IF(Sheet1[[#This Row],[age]]&lt;=50,"Adult","Senior"))</f>
        <v>Senior</v>
      </c>
      <c r="R1235" s="2" t="str">
        <f t="shared" si="38"/>
        <v>High</v>
      </c>
      <c r="S1235" s="2" t="str">
        <f t="shared" si="39"/>
        <v>West - Retired</v>
      </c>
    </row>
    <row r="1236" spans="1:19" x14ac:dyDescent="0.3">
      <c r="A1236" t="s">
        <v>2495</v>
      </c>
      <c r="B1236" t="s">
        <v>2496</v>
      </c>
      <c r="C1236">
        <v>56</v>
      </c>
      <c r="D1236" s="2" t="s">
        <v>21</v>
      </c>
      <c r="E1236" s="2" t="s">
        <v>22</v>
      </c>
      <c r="F1236" s="2" t="s">
        <v>23</v>
      </c>
      <c r="G1236" s="2" t="s">
        <v>66</v>
      </c>
      <c r="H1236" s="2" t="s">
        <v>17</v>
      </c>
      <c r="I1236" s="2" t="s">
        <v>17</v>
      </c>
      <c r="J1236">
        <v>0.23</v>
      </c>
      <c r="K1236" s="1">
        <v>45291</v>
      </c>
      <c r="L1236" s="2" t="str">
        <f>IF(Sheet1[[#This Row],[age]]&lt;18, "Under 18",IF(Sheet1[[#This Row],[age]]&lt;=30,"18-30",IF(Sheet1[[#This Row],[age]]&lt;=45,"31-45",IF(Sheet1[[#This Row],[age]]&lt;=60,"46-60","60+"))))</f>
        <v>46-60</v>
      </c>
      <c r="M1236" s="2" t="str">
        <f>IF(Sheet1[[#This Row],[risk_score]]&lt;0.3,"Low",IF(Sheet1[[#This Row],[risk_score]]&lt;0.7,"Medium","High"))</f>
        <v>Low</v>
      </c>
      <c r="N1236">
        <f>YEAR(Sheet1[[#This Row],[date_joined]])</f>
        <v>2023</v>
      </c>
      <c r="O1236" s="2" t="str">
        <f>TEXT(Sheet1[[#This Row],[date_joined]],"mmm")</f>
        <v>Dec</v>
      </c>
      <c r="P1236" s="2" t="str">
        <f>"Q"&amp;ROUNDUP(MONTH(Sheet1[[#This Row],[date_joined]])/3,0)</f>
        <v>Q4</v>
      </c>
      <c r="Q1236" s="2" t="str">
        <f>IF(Sheet1[[#This Row],[age]]&lt;30,"Young",IF(Sheet1[[#This Row],[age]]&lt;=50,"Adult","Senior"))</f>
        <v>Senior</v>
      </c>
      <c r="R1236" s="2" t="str">
        <f t="shared" si="38"/>
        <v>Low</v>
      </c>
      <c r="S1236" s="2" t="str">
        <f t="shared" si="39"/>
        <v>North-East - Salaried</v>
      </c>
    </row>
    <row r="1237" spans="1:19" x14ac:dyDescent="0.3">
      <c r="A1237" t="s">
        <v>2497</v>
      </c>
      <c r="B1237" t="s">
        <v>2498</v>
      </c>
      <c r="C1237">
        <v>58</v>
      </c>
      <c r="D1237" s="2" t="s">
        <v>13</v>
      </c>
      <c r="E1237" s="2" t="s">
        <v>30</v>
      </c>
      <c r="F1237" s="2" t="s">
        <v>31</v>
      </c>
      <c r="G1237" s="2" t="s">
        <v>27</v>
      </c>
      <c r="H1237" s="2" t="s">
        <v>17</v>
      </c>
      <c r="I1237" s="2" t="s">
        <v>18</v>
      </c>
      <c r="J1237">
        <v>0.83</v>
      </c>
      <c r="K1237" s="1">
        <v>43175</v>
      </c>
      <c r="L1237" s="2" t="str">
        <f>IF(Sheet1[[#This Row],[age]]&lt;18, "Under 18",IF(Sheet1[[#This Row],[age]]&lt;=30,"18-30",IF(Sheet1[[#This Row],[age]]&lt;=45,"31-45",IF(Sheet1[[#This Row],[age]]&lt;=60,"46-60","60+"))))</f>
        <v>46-60</v>
      </c>
      <c r="M1237" s="2" t="str">
        <f>IF(Sheet1[[#This Row],[risk_score]]&lt;0.3,"Low",IF(Sheet1[[#This Row],[risk_score]]&lt;0.7,"Medium","High"))</f>
        <v>High</v>
      </c>
      <c r="N1237">
        <f>YEAR(Sheet1[[#This Row],[date_joined]])</f>
        <v>2018</v>
      </c>
      <c r="O1237" s="2" t="str">
        <f>TEXT(Sheet1[[#This Row],[date_joined]],"mmm")</f>
        <v>Mar</v>
      </c>
      <c r="P1237" s="2" t="str">
        <f>"Q"&amp;ROUNDUP(MONTH(Sheet1[[#This Row],[date_joined]])/3,0)</f>
        <v>Q1</v>
      </c>
      <c r="Q1237" s="2" t="str">
        <f>IF(Sheet1[[#This Row],[age]]&lt;30,"Young",IF(Sheet1[[#This Row],[age]]&lt;=50,"Adult","Senior"))</f>
        <v>Senior</v>
      </c>
      <c r="R1237" s="2" t="str">
        <f t="shared" si="38"/>
        <v>High</v>
      </c>
      <c r="S1237" s="2" t="str">
        <f t="shared" si="39"/>
        <v>North - Self-employed</v>
      </c>
    </row>
    <row r="1238" spans="1:19" x14ac:dyDescent="0.3">
      <c r="A1238" t="s">
        <v>2499</v>
      </c>
      <c r="B1238" t="s">
        <v>2500</v>
      </c>
      <c r="C1238">
        <v>33</v>
      </c>
      <c r="D1238" s="2" t="s">
        <v>13</v>
      </c>
      <c r="E1238" s="2" t="s">
        <v>30</v>
      </c>
      <c r="F1238" s="2" t="s">
        <v>31</v>
      </c>
      <c r="G1238" s="2" t="s">
        <v>66</v>
      </c>
      <c r="H1238" s="2" t="s">
        <v>18</v>
      </c>
      <c r="I1238" s="2" t="s">
        <v>18</v>
      </c>
      <c r="J1238">
        <v>0.23</v>
      </c>
      <c r="K1238" s="1">
        <v>43253</v>
      </c>
      <c r="L1238" s="2" t="str">
        <f>IF(Sheet1[[#This Row],[age]]&lt;18, "Under 18",IF(Sheet1[[#This Row],[age]]&lt;=30,"18-30",IF(Sheet1[[#This Row],[age]]&lt;=45,"31-45",IF(Sheet1[[#This Row],[age]]&lt;=60,"46-60","60+"))))</f>
        <v>31-45</v>
      </c>
      <c r="M1238" s="2" t="str">
        <f>IF(Sheet1[[#This Row],[risk_score]]&lt;0.3,"Low",IF(Sheet1[[#This Row],[risk_score]]&lt;0.7,"Medium","High"))</f>
        <v>Low</v>
      </c>
      <c r="N1238">
        <f>YEAR(Sheet1[[#This Row],[date_joined]])</f>
        <v>2018</v>
      </c>
      <c r="O1238" s="2" t="str">
        <f>TEXT(Sheet1[[#This Row],[date_joined]],"mmm")</f>
        <v>Jun</v>
      </c>
      <c r="P1238" s="2" t="str">
        <f>"Q"&amp;ROUNDUP(MONTH(Sheet1[[#This Row],[date_joined]])/3,0)</f>
        <v>Q2</v>
      </c>
      <c r="Q1238" s="2" t="str">
        <f>IF(Sheet1[[#This Row],[age]]&lt;30,"Young",IF(Sheet1[[#This Row],[age]]&lt;=50,"Adult","Senior"))</f>
        <v>Adult</v>
      </c>
      <c r="R1238" s="2" t="str">
        <f t="shared" si="38"/>
        <v>Very High</v>
      </c>
      <c r="S1238" s="2" t="str">
        <f t="shared" si="39"/>
        <v>North-East - Self-employed</v>
      </c>
    </row>
    <row r="1239" spans="1:19" x14ac:dyDescent="0.3">
      <c r="A1239" t="s">
        <v>2501</v>
      </c>
      <c r="B1239" t="s">
        <v>2502</v>
      </c>
      <c r="C1239">
        <v>38</v>
      </c>
      <c r="D1239" s="2" t="s">
        <v>21</v>
      </c>
      <c r="E1239" s="2" t="s">
        <v>22</v>
      </c>
      <c r="F1239" s="2" t="s">
        <v>15</v>
      </c>
      <c r="G1239" s="2" t="s">
        <v>27</v>
      </c>
      <c r="H1239" s="2" t="s">
        <v>18</v>
      </c>
      <c r="I1239" s="2" t="s">
        <v>17</v>
      </c>
      <c r="J1239">
        <v>0.31</v>
      </c>
      <c r="K1239" s="1">
        <v>44092</v>
      </c>
      <c r="L1239" s="2" t="str">
        <f>IF(Sheet1[[#This Row],[age]]&lt;18, "Under 18",IF(Sheet1[[#This Row],[age]]&lt;=30,"18-30",IF(Sheet1[[#This Row],[age]]&lt;=45,"31-45",IF(Sheet1[[#This Row],[age]]&lt;=60,"46-60","60+"))))</f>
        <v>31-45</v>
      </c>
      <c r="M1239" s="2" t="str">
        <f>IF(Sheet1[[#This Row],[risk_score]]&lt;0.3,"Low",IF(Sheet1[[#This Row],[risk_score]]&lt;0.7,"Medium","High"))</f>
        <v>Medium</v>
      </c>
      <c r="N1239">
        <f>YEAR(Sheet1[[#This Row],[date_joined]])</f>
        <v>2020</v>
      </c>
      <c r="O1239" s="2" t="str">
        <f>TEXT(Sheet1[[#This Row],[date_joined]],"mmm")</f>
        <v>Sep</v>
      </c>
      <c r="P1239" s="2" t="str">
        <f>"Q"&amp;ROUNDUP(MONTH(Sheet1[[#This Row],[date_joined]])/3,0)</f>
        <v>Q3</v>
      </c>
      <c r="Q1239" s="2" t="str">
        <f>IF(Sheet1[[#This Row],[age]]&lt;30,"Young",IF(Sheet1[[#This Row],[age]]&lt;=50,"Adult","Senior"))</f>
        <v>Adult</v>
      </c>
      <c r="R1239" s="2" t="str">
        <f t="shared" si="38"/>
        <v>High</v>
      </c>
      <c r="S1239" s="2" t="str">
        <f t="shared" si="39"/>
        <v>North - Student</v>
      </c>
    </row>
    <row r="1240" spans="1:19" x14ac:dyDescent="0.3">
      <c r="A1240" t="s">
        <v>2503</v>
      </c>
      <c r="B1240" t="s">
        <v>2504</v>
      </c>
      <c r="C1240">
        <v>26</v>
      </c>
      <c r="D1240" s="2" t="s">
        <v>21</v>
      </c>
      <c r="E1240" s="2" t="s">
        <v>22</v>
      </c>
      <c r="F1240" s="2" t="s">
        <v>23</v>
      </c>
      <c r="G1240" s="2" t="s">
        <v>66</v>
      </c>
      <c r="H1240" s="2" t="s">
        <v>18</v>
      </c>
      <c r="I1240" s="2" t="s">
        <v>17</v>
      </c>
      <c r="J1240">
        <v>0.94</v>
      </c>
      <c r="K1240" s="1">
        <v>43703</v>
      </c>
      <c r="L1240" s="2" t="str">
        <f>IF(Sheet1[[#This Row],[age]]&lt;18, "Under 18",IF(Sheet1[[#This Row],[age]]&lt;=30,"18-30",IF(Sheet1[[#This Row],[age]]&lt;=45,"31-45",IF(Sheet1[[#This Row],[age]]&lt;=60,"46-60","60+"))))</f>
        <v>18-30</v>
      </c>
      <c r="M1240" s="2" t="str">
        <f>IF(Sheet1[[#This Row],[risk_score]]&lt;0.3,"Low",IF(Sheet1[[#This Row],[risk_score]]&lt;0.7,"Medium","High"))</f>
        <v>High</v>
      </c>
      <c r="N1240">
        <f>YEAR(Sheet1[[#This Row],[date_joined]])</f>
        <v>2019</v>
      </c>
      <c r="O1240" s="2" t="str">
        <f>TEXT(Sheet1[[#This Row],[date_joined]],"mmm")</f>
        <v>Aug</v>
      </c>
      <c r="P1240" s="2" t="str">
        <f>"Q"&amp;ROUNDUP(MONTH(Sheet1[[#This Row],[date_joined]])/3,0)</f>
        <v>Q3</v>
      </c>
      <c r="Q1240" s="2" t="str">
        <f>IF(Sheet1[[#This Row],[age]]&lt;30,"Young",IF(Sheet1[[#This Row],[age]]&lt;=50,"Adult","Senior"))</f>
        <v>Young</v>
      </c>
      <c r="R1240" s="2" t="str">
        <f t="shared" si="38"/>
        <v>High</v>
      </c>
      <c r="S1240" s="2" t="str">
        <f t="shared" si="39"/>
        <v>North-East - Salaried</v>
      </c>
    </row>
    <row r="1241" spans="1:19" x14ac:dyDescent="0.3">
      <c r="A1241" t="s">
        <v>2505</v>
      </c>
      <c r="B1241" t="s">
        <v>2506</v>
      </c>
      <c r="C1241">
        <v>22</v>
      </c>
      <c r="D1241" s="2" t="s">
        <v>13</v>
      </c>
      <c r="E1241" s="2" t="s">
        <v>14</v>
      </c>
      <c r="F1241" s="2" t="s">
        <v>15</v>
      </c>
      <c r="G1241" s="2" t="s">
        <v>27</v>
      </c>
      <c r="H1241" s="2" t="s">
        <v>18</v>
      </c>
      <c r="I1241" s="2" t="s">
        <v>18</v>
      </c>
      <c r="J1241">
        <v>0.55000000000000004</v>
      </c>
      <c r="K1241" s="1">
        <v>43986</v>
      </c>
      <c r="L1241" s="2" t="str">
        <f>IF(Sheet1[[#This Row],[age]]&lt;18, "Under 18",IF(Sheet1[[#This Row],[age]]&lt;=30,"18-30",IF(Sheet1[[#This Row],[age]]&lt;=45,"31-45",IF(Sheet1[[#This Row],[age]]&lt;=60,"46-60","60+"))))</f>
        <v>18-30</v>
      </c>
      <c r="M1241" s="2" t="str">
        <f>IF(Sheet1[[#This Row],[risk_score]]&lt;0.3,"Low",IF(Sheet1[[#This Row],[risk_score]]&lt;0.7,"Medium","High"))</f>
        <v>Medium</v>
      </c>
      <c r="N1241">
        <f>YEAR(Sheet1[[#This Row],[date_joined]])</f>
        <v>2020</v>
      </c>
      <c r="O1241" s="2" t="str">
        <f>TEXT(Sheet1[[#This Row],[date_joined]],"mmm")</f>
        <v>Jun</v>
      </c>
      <c r="P1241" s="2" t="str">
        <f>"Q"&amp;ROUNDUP(MONTH(Sheet1[[#This Row],[date_joined]])/3,0)</f>
        <v>Q2</v>
      </c>
      <c r="Q1241" s="2" t="str">
        <f>IF(Sheet1[[#This Row],[age]]&lt;30,"Young",IF(Sheet1[[#This Row],[age]]&lt;=50,"Adult","Senior"))</f>
        <v>Young</v>
      </c>
      <c r="R1241" s="2" t="str">
        <f t="shared" si="38"/>
        <v>Very High</v>
      </c>
      <c r="S1241" s="2" t="str">
        <f t="shared" si="39"/>
        <v>North - Student</v>
      </c>
    </row>
    <row r="1242" spans="1:19" x14ac:dyDescent="0.3">
      <c r="A1242" t="s">
        <v>2507</v>
      </c>
      <c r="B1242" t="s">
        <v>2508</v>
      </c>
      <c r="C1242">
        <v>31</v>
      </c>
      <c r="D1242" s="2" t="s">
        <v>13</v>
      </c>
      <c r="E1242" s="2" t="s">
        <v>22</v>
      </c>
      <c r="F1242" s="2" t="s">
        <v>15</v>
      </c>
      <c r="G1242" s="2" t="s">
        <v>66</v>
      </c>
      <c r="H1242" s="2" t="s">
        <v>18</v>
      </c>
      <c r="I1242" s="2" t="s">
        <v>17</v>
      </c>
      <c r="J1242">
        <v>0.4</v>
      </c>
      <c r="K1242" s="1">
        <v>43109</v>
      </c>
      <c r="L1242" s="2" t="str">
        <f>IF(Sheet1[[#This Row],[age]]&lt;18, "Under 18",IF(Sheet1[[#This Row],[age]]&lt;=30,"18-30",IF(Sheet1[[#This Row],[age]]&lt;=45,"31-45",IF(Sheet1[[#This Row],[age]]&lt;=60,"46-60","60+"))))</f>
        <v>31-45</v>
      </c>
      <c r="M1242" s="2" t="str">
        <f>IF(Sheet1[[#This Row],[risk_score]]&lt;0.3,"Low",IF(Sheet1[[#This Row],[risk_score]]&lt;0.7,"Medium","High"))</f>
        <v>Medium</v>
      </c>
      <c r="N1242">
        <f>YEAR(Sheet1[[#This Row],[date_joined]])</f>
        <v>2018</v>
      </c>
      <c r="O1242" s="2" t="str">
        <f>TEXT(Sheet1[[#This Row],[date_joined]],"mmm")</f>
        <v>Jan</v>
      </c>
      <c r="P1242" s="2" t="str">
        <f>"Q"&amp;ROUNDUP(MONTH(Sheet1[[#This Row],[date_joined]])/3,0)</f>
        <v>Q1</v>
      </c>
      <c r="Q1242" s="2" t="str">
        <f>IF(Sheet1[[#This Row],[age]]&lt;30,"Young",IF(Sheet1[[#This Row],[age]]&lt;=50,"Adult","Senior"))</f>
        <v>Adult</v>
      </c>
      <c r="R1242" s="2" t="str">
        <f t="shared" si="38"/>
        <v>High</v>
      </c>
      <c r="S1242" s="2" t="str">
        <f t="shared" si="39"/>
        <v>North-East - Student</v>
      </c>
    </row>
    <row r="1243" spans="1:19" x14ac:dyDescent="0.3">
      <c r="A1243" t="s">
        <v>2509</v>
      </c>
      <c r="B1243" t="s">
        <v>2510</v>
      </c>
      <c r="C1243">
        <v>38</v>
      </c>
      <c r="D1243" s="2" t="s">
        <v>13</v>
      </c>
      <c r="E1243" s="2" t="s">
        <v>22</v>
      </c>
      <c r="F1243" s="2" t="s">
        <v>37</v>
      </c>
      <c r="G1243" s="2" t="s">
        <v>24</v>
      </c>
      <c r="H1243" s="2" t="s">
        <v>17</v>
      </c>
      <c r="I1243" s="2" t="s">
        <v>18</v>
      </c>
      <c r="J1243">
        <v>0</v>
      </c>
      <c r="K1243" s="1">
        <v>43697</v>
      </c>
      <c r="L1243" s="2" t="str">
        <f>IF(Sheet1[[#This Row],[age]]&lt;18, "Under 18",IF(Sheet1[[#This Row],[age]]&lt;=30,"18-30",IF(Sheet1[[#This Row],[age]]&lt;=45,"31-45",IF(Sheet1[[#This Row],[age]]&lt;=60,"46-60","60+"))))</f>
        <v>31-45</v>
      </c>
      <c r="M1243" s="2" t="str">
        <f>IF(Sheet1[[#This Row],[risk_score]]&lt;0.3,"Low",IF(Sheet1[[#This Row],[risk_score]]&lt;0.7,"Medium","High"))</f>
        <v>Low</v>
      </c>
      <c r="N1243">
        <f>YEAR(Sheet1[[#This Row],[date_joined]])</f>
        <v>2019</v>
      </c>
      <c r="O1243" s="2" t="str">
        <f>TEXT(Sheet1[[#This Row],[date_joined]],"mmm")</f>
        <v>Aug</v>
      </c>
      <c r="P1243" s="2" t="str">
        <f>"Q"&amp;ROUNDUP(MONTH(Sheet1[[#This Row],[date_joined]])/3,0)</f>
        <v>Q3</v>
      </c>
      <c r="Q1243" s="2" t="str">
        <f>IF(Sheet1[[#This Row],[age]]&lt;30,"Young",IF(Sheet1[[#This Row],[age]]&lt;=50,"Adult","Senior"))</f>
        <v>Adult</v>
      </c>
      <c r="R1243" s="2" t="str">
        <f t="shared" si="38"/>
        <v>High</v>
      </c>
      <c r="S1243" s="2" t="str">
        <f t="shared" si="39"/>
        <v>East - Retired</v>
      </c>
    </row>
    <row r="1244" spans="1:19" x14ac:dyDescent="0.3">
      <c r="A1244" t="s">
        <v>2511</v>
      </c>
      <c r="B1244" t="s">
        <v>2512</v>
      </c>
      <c r="C1244">
        <v>60</v>
      </c>
      <c r="D1244" s="2" t="s">
        <v>21</v>
      </c>
      <c r="E1244" s="2" t="s">
        <v>22</v>
      </c>
      <c r="F1244" s="2" t="s">
        <v>31</v>
      </c>
      <c r="G1244" s="2" t="s">
        <v>32</v>
      </c>
      <c r="H1244" s="2" t="s">
        <v>17</v>
      </c>
      <c r="I1244" s="2" t="s">
        <v>18</v>
      </c>
      <c r="J1244">
        <v>0.28000000000000003</v>
      </c>
      <c r="K1244" s="1">
        <v>43192</v>
      </c>
      <c r="L1244" s="2" t="str">
        <f>IF(Sheet1[[#This Row],[age]]&lt;18, "Under 18",IF(Sheet1[[#This Row],[age]]&lt;=30,"18-30",IF(Sheet1[[#This Row],[age]]&lt;=45,"31-45",IF(Sheet1[[#This Row],[age]]&lt;=60,"46-60","60+"))))</f>
        <v>46-60</v>
      </c>
      <c r="M1244" s="2" t="str">
        <f>IF(Sheet1[[#This Row],[risk_score]]&lt;0.3,"Low",IF(Sheet1[[#This Row],[risk_score]]&lt;0.7,"Medium","High"))</f>
        <v>Low</v>
      </c>
      <c r="N1244">
        <f>YEAR(Sheet1[[#This Row],[date_joined]])</f>
        <v>2018</v>
      </c>
      <c r="O1244" s="2" t="str">
        <f>TEXT(Sheet1[[#This Row],[date_joined]],"mmm")</f>
        <v>Apr</v>
      </c>
      <c r="P1244" s="2" t="str">
        <f>"Q"&amp;ROUNDUP(MONTH(Sheet1[[#This Row],[date_joined]])/3,0)</f>
        <v>Q2</v>
      </c>
      <c r="Q1244" s="2" t="str">
        <f>IF(Sheet1[[#This Row],[age]]&lt;30,"Young",IF(Sheet1[[#This Row],[age]]&lt;=50,"Adult","Senior"))</f>
        <v>Senior</v>
      </c>
      <c r="R1244" s="2" t="str">
        <f t="shared" si="38"/>
        <v>High</v>
      </c>
      <c r="S1244" s="2" t="str">
        <f t="shared" si="39"/>
        <v>South - Self-employed</v>
      </c>
    </row>
    <row r="1245" spans="1:19" x14ac:dyDescent="0.3">
      <c r="A1245" t="s">
        <v>2513</v>
      </c>
      <c r="B1245" t="s">
        <v>2514</v>
      </c>
      <c r="C1245">
        <v>59</v>
      </c>
      <c r="D1245" s="2" t="s">
        <v>13</v>
      </c>
      <c r="E1245" s="2" t="s">
        <v>14</v>
      </c>
      <c r="F1245" s="2" t="s">
        <v>31</v>
      </c>
      <c r="G1245" s="2" t="s">
        <v>66</v>
      </c>
      <c r="H1245" s="2" t="s">
        <v>18</v>
      </c>
      <c r="I1245" s="2" t="s">
        <v>18</v>
      </c>
      <c r="J1245">
        <v>0.61</v>
      </c>
      <c r="K1245" s="1">
        <v>43212</v>
      </c>
      <c r="L1245" s="2" t="str">
        <f>IF(Sheet1[[#This Row],[age]]&lt;18, "Under 18",IF(Sheet1[[#This Row],[age]]&lt;=30,"18-30",IF(Sheet1[[#This Row],[age]]&lt;=45,"31-45",IF(Sheet1[[#This Row],[age]]&lt;=60,"46-60","60+"))))</f>
        <v>46-60</v>
      </c>
      <c r="M1245" s="2" t="str">
        <f>IF(Sheet1[[#This Row],[risk_score]]&lt;0.3,"Low",IF(Sheet1[[#This Row],[risk_score]]&lt;0.7,"Medium","High"))</f>
        <v>Medium</v>
      </c>
      <c r="N1245">
        <f>YEAR(Sheet1[[#This Row],[date_joined]])</f>
        <v>2018</v>
      </c>
      <c r="O1245" s="2" t="str">
        <f>TEXT(Sheet1[[#This Row],[date_joined]],"mmm")</f>
        <v>Apr</v>
      </c>
      <c r="P1245" s="2" t="str">
        <f>"Q"&amp;ROUNDUP(MONTH(Sheet1[[#This Row],[date_joined]])/3,0)</f>
        <v>Q2</v>
      </c>
      <c r="Q1245" s="2" t="str">
        <f>IF(Sheet1[[#This Row],[age]]&lt;30,"Young",IF(Sheet1[[#This Row],[age]]&lt;=50,"Adult","Senior"))</f>
        <v>Senior</v>
      </c>
      <c r="R1245" s="2" t="str">
        <f t="shared" si="38"/>
        <v>Very High</v>
      </c>
      <c r="S1245" s="2" t="str">
        <f t="shared" si="39"/>
        <v>North-East - Self-employed</v>
      </c>
    </row>
    <row r="1246" spans="1:19" x14ac:dyDescent="0.3">
      <c r="A1246" t="s">
        <v>2515</v>
      </c>
      <c r="B1246" t="s">
        <v>2516</v>
      </c>
      <c r="C1246">
        <v>68</v>
      </c>
      <c r="D1246" s="2" t="s">
        <v>13</v>
      </c>
      <c r="E1246" s="2" t="s">
        <v>14</v>
      </c>
      <c r="F1246" s="2" t="s">
        <v>31</v>
      </c>
      <c r="G1246" s="2" t="s">
        <v>16</v>
      </c>
      <c r="H1246" s="2" t="s">
        <v>18</v>
      </c>
      <c r="I1246" s="2" t="s">
        <v>18</v>
      </c>
      <c r="J1246">
        <v>0.56000000000000005</v>
      </c>
      <c r="K1246" s="1">
        <v>44185</v>
      </c>
      <c r="L1246" s="2" t="str">
        <f>IF(Sheet1[[#This Row],[age]]&lt;18, "Under 18",IF(Sheet1[[#This Row],[age]]&lt;=30,"18-30",IF(Sheet1[[#This Row],[age]]&lt;=45,"31-45",IF(Sheet1[[#This Row],[age]]&lt;=60,"46-60","60+"))))</f>
        <v>60+</v>
      </c>
      <c r="M1246" s="2" t="str">
        <f>IF(Sheet1[[#This Row],[risk_score]]&lt;0.3,"Low",IF(Sheet1[[#This Row],[risk_score]]&lt;0.7,"Medium","High"))</f>
        <v>Medium</v>
      </c>
      <c r="N1246">
        <f>YEAR(Sheet1[[#This Row],[date_joined]])</f>
        <v>2020</v>
      </c>
      <c r="O1246" s="2" t="str">
        <f>TEXT(Sheet1[[#This Row],[date_joined]],"mmm")</f>
        <v>Dec</v>
      </c>
      <c r="P1246" s="2" t="str">
        <f>"Q"&amp;ROUNDUP(MONTH(Sheet1[[#This Row],[date_joined]])/3,0)</f>
        <v>Q4</v>
      </c>
      <c r="Q1246" s="2" t="str">
        <f>IF(Sheet1[[#This Row],[age]]&lt;30,"Young",IF(Sheet1[[#This Row],[age]]&lt;=50,"Adult","Senior"))</f>
        <v>Senior</v>
      </c>
      <c r="R1246" s="2" t="str">
        <f t="shared" si="38"/>
        <v>Very High</v>
      </c>
      <c r="S1246" s="2" t="str">
        <f t="shared" si="39"/>
        <v>West - Self-employed</v>
      </c>
    </row>
    <row r="1247" spans="1:19" x14ac:dyDescent="0.3">
      <c r="A1247" t="s">
        <v>2517</v>
      </c>
      <c r="B1247" t="s">
        <v>2518</v>
      </c>
      <c r="C1247">
        <v>61</v>
      </c>
      <c r="D1247" s="2" t="s">
        <v>21</v>
      </c>
      <c r="E1247" s="2" t="s">
        <v>14</v>
      </c>
      <c r="F1247" s="2" t="s">
        <v>31</v>
      </c>
      <c r="G1247" s="2" t="s">
        <v>81</v>
      </c>
      <c r="H1247" s="2" t="s">
        <v>17</v>
      </c>
      <c r="I1247" s="2" t="s">
        <v>17</v>
      </c>
      <c r="J1247">
        <v>0.4</v>
      </c>
      <c r="K1247" s="1">
        <v>43578</v>
      </c>
      <c r="L1247" s="2" t="str">
        <f>IF(Sheet1[[#This Row],[age]]&lt;18, "Under 18",IF(Sheet1[[#This Row],[age]]&lt;=30,"18-30",IF(Sheet1[[#This Row],[age]]&lt;=45,"31-45",IF(Sheet1[[#This Row],[age]]&lt;=60,"46-60","60+"))))</f>
        <v>60+</v>
      </c>
      <c r="M1247" s="2" t="str">
        <f>IF(Sheet1[[#This Row],[risk_score]]&lt;0.3,"Low",IF(Sheet1[[#This Row],[risk_score]]&lt;0.7,"Medium","High"))</f>
        <v>Medium</v>
      </c>
      <c r="N1247">
        <f>YEAR(Sheet1[[#This Row],[date_joined]])</f>
        <v>2019</v>
      </c>
      <c r="O1247" s="2" t="str">
        <f>TEXT(Sheet1[[#This Row],[date_joined]],"mmm")</f>
        <v>Apr</v>
      </c>
      <c r="P1247" s="2" t="str">
        <f>"Q"&amp;ROUNDUP(MONTH(Sheet1[[#This Row],[date_joined]])/3,0)</f>
        <v>Q2</v>
      </c>
      <c r="Q1247" s="2" t="str">
        <f>IF(Sheet1[[#This Row],[age]]&lt;30,"Young",IF(Sheet1[[#This Row],[age]]&lt;=50,"Adult","Senior"))</f>
        <v>Senior</v>
      </c>
      <c r="R1247" s="2" t="str">
        <f t="shared" si="38"/>
        <v>Low</v>
      </c>
      <c r="S1247" s="2" t="str">
        <f t="shared" si="39"/>
        <v>Central - Self-employed</v>
      </c>
    </row>
    <row r="1248" spans="1:19" x14ac:dyDescent="0.3">
      <c r="A1248" t="s">
        <v>2519</v>
      </c>
      <c r="B1248" t="s">
        <v>2520</v>
      </c>
      <c r="C1248">
        <v>43</v>
      </c>
      <c r="D1248" s="2" t="s">
        <v>21</v>
      </c>
      <c r="E1248" s="2" t="s">
        <v>30</v>
      </c>
      <c r="F1248" s="2" t="s">
        <v>31</v>
      </c>
      <c r="G1248" s="2" t="s">
        <v>81</v>
      </c>
      <c r="H1248" s="2" t="s">
        <v>17</v>
      </c>
      <c r="I1248" s="2" t="s">
        <v>17</v>
      </c>
      <c r="J1248">
        <v>0.35</v>
      </c>
      <c r="K1248" s="1">
        <v>44771</v>
      </c>
      <c r="L1248" s="2" t="str">
        <f>IF(Sheet1[[#This Row],[age]]&lt;18, "Under 18",IF(Sheet1[[#This Row],[age]]&lt;=30,"18-30",IF(Sheet1[[#This Row],[age]]&lt;=45,"31-45",IF(Sheet1[[#This Row],[age]]&lt;=60,"46-60","60+"))))</f>
        <v>31-45</v>
      </c>
      <c r="M1248" s="2" t="str">
        <f>IF(Sheet1[[#This Row],[risk_score]]&lt;0.3,"Low",IF(Sheet1[[#This Row],[risk_score]]&lt;0.7,"Medium","High"))</f>
        <v>Medium</v>
      </c>
      <c r="N1248">
        <f>YEAR(Sheet1[[#This Row],[date_joined]])</f>
        <v>2022</v>
      </c>
      <c r="O1248" s="2" t="str">
        <f>TEXT(Sheet1[[#This Row],[date_joined]],"mmm")</f>
        <v>Jul</v>
      </c>
      <c r="P1248" s="2" t="str">
        <f>"Q"&amp;ROUNDUP(MONTH(Sheet1[[#This Row],[date_joined]])/3,0)</f>
        <v>Q3</v>
      </c>
      <c r="Q1248" s="2" t="str">
        <f>IF(Sheet1[[#This Row],[age]]&lt;30,"Young",IF(Sheet1[[#This Row],[age]]&lt;=50,"Adult","Senior"))</f>
        <v>Adult</v>
      </c>
      <c r="R1248" s="2" t="str">
        <f t="shared" si="38"/>
        <v>Low</v>
      </c>
      <c r="S1248" s="2" t="str">
        <f t="shared" si="39"/>
        <v>Central - Self-employed</v>
      </c>
    </row>
    <row r="1249" spans="1:19" x14ac:dyDescent="0.3">
      <c r="A1249" t="s">
        <v>2521</v>
      </c>
      <c r="B1249" t="s">
        <v>2522</v>
      </c>
      <c r="C1249">
        <v>57</v>
      </c>
      <c r="D1249" s="2" t="s">
        <v>21</v>
      </c>
      <c r="E1249" s="2" t="s">
        <v>30</v>
      </c>
      <c r="F1249" s="2" t="s">
        <v>37</v>
      </c>
      <c r="G1249" s="2" t="s">
        <v>27</v>
      </c>
      <c r="H1249" s="2" t="s">
        <v>17</v>
      </c>
      <c r="I1249" s="2" t="s">
        <v>17</v>
      </c>
      <c r="J1249">
        <v>0.77</v>
      </c>
      <c r="K1249" s="1">
        <v>44587</v>
      </c>
      <c r="L1249" s="2" t="str">
        <f>IF(Sheet1[[#This Row],[age]]&lt;18, "Under 18",IF(Sheet1[[#This Row],[age]]&lt;=30,"18-30",IF(Sheet1[[#This Row],[age]]&lt;=45,"31-45",IF(Sheet1[[#This Row],[age]]&lt;=60,"46-60","60+"))))</f>
        <v>46-60</v>
      </c>
      <c r="M1249" s="2" t="str">
        <f>IF(Sheet1[[#This Row],[risk_score]]&lt;0.3,"Low",IF(Sheet1[[#This Row],[risk_score]]&lt;0.7,"Medium","High"))</f>
        <v>High</v>
      </c>
      <c r="N1249">
        <f>YEAR(Sheet1[[#This Row],[date_joined]])</f>
        <v>2022</v>
      </c>
      <c r="O1249" s="2" t="str">
        <f>TEXT(Sheet1[[#This Row],[date_joined]],"mmm")</f>
        <v>Jan</v>
      </c>
      <c r="P1249" s="2" t="str">
        <f>"Q"&amp;ROUNDUP(MONTH(Sheet1[[#This Row],[date_joined]])/3,0)</f>
        <v>Q1</v>
      </c>
      <c r="Q1249" s="2" t="str">
        <f>IF(Sheet1[[#This Row],[age]]&lt;30,"Young",IF(Sheet1[[#This Row],[age]]&lt;=50,"Adult","Senior"))</f>
        <v>Senior</v>
      </c>
      <c r="R1249" s="2" t="str">
        <f t="shared" si="38"/>
        <v>Low</v>
      </c>
      <c r="S1249" s="2" t="str">
        <f t="shared" si="39"/>
        <v>North - Retired</v>
      </c>
    </row>
    <row r="1250" spans="1:19" x14ac:dyDescent="0.3">
      <c r="A1250" t="s">
        <v>2523</v>
      </c>
      <c r="B1250" t="s">
        <v>2524</v>
      </c>
      <c r="C1250">
        <v>20</v>
      </c>
      <c r="D1250" s="2" t="s">
        <v>13</v>
      </c>
      <c r="E1250" s="2" t="s">
        <v>30</v>
      </c>
      <c r="F1250" s="2" t="s">
        <v>23</v>
      </c>
      <c r="G1250" s="2" t="s">
        <v>24</v>
      </c>
      <c r="H1250" s="2" t="s">
        <v>18</v>
      </c>
      <c r="I1250" s="2" t="s">
        <v>18</v>
      </c>
      <c r="J1250">
        <v>0.65</v>
      </c>
      <c r="K1250" s="1">
        <v>43102</v>
      </c>
      <c r="L1250" s="2" t="str">
        <f>IF(Sheet1[[#This Row],[age]]&lt;18, "Under 18",IF(Sheet1[[#This Row],[age]]&lt;=30,"18-30",IF(Sheet1[[#This Row],[age]]&lt;=45,"31-45",IF(Sheet1[[#This Row],[age]]&lt;=60,"46-60","60+"))))</f>
        <v>18-30</v>
      </c>
      <c r="M1250" s="2" t="str">
        <f>IF(Sheet1[[#This Row],[risk_score]]&lt;0.3,"Low",IF(Sheet1[[#This Row],[risk_score]]&lt;0.7,"Medium","High"))</f>
        <v>Medium</v>
      </c>
      <c r="N1250">
        <f>YEAR(Sheet1[[#This Row],[date_joined]])</f>
        <v>2018</v>
      </c>
      <c r="O1250" s="2" t="str">
        <f>TEXT(Sheet1[[#This Row],[date_joined]],"mmm")</f>
        <v>Jan</v>
      </c>
      <c r="P1250" s="2" t="str">
        <f>"Q"&amp;ROUNDUP(MONTH(Sheet1[[#This Row],[date_joined]])/3,0)</f>
        <v>Q1</v>
      </c>
      <c r="Q1250" s="2" t="str">
        <f>IF(Sheet1[[#This Row],[age]]&lt;30,"Young",IF(Sheet1[[#This Row],[age]]&lt;=50,"Adult","Senior"))</f>
        <v>Young</v>
      </c>
      <c r="R1250" s="2" t="str">
        <f t="shared" si="38"/>
        <v>Very High</v>
      </c>
      <c r="S1250" s="2" t="str">
        <f t="shared" si="39"/>
        <v>East - Salaried</v>
      </c>
    </row>
    <row r="1251" spans="1:19" x14ac:dyDescent="0.3">
      <c r="A1251" t="s">
        <v>2525</v>
      </c>
      <c r="B1251" t="s">
        <v>2526</v>
      </c>
      <c r="C1251">
        <v>20</v>
      </c>
      <c r="D1251" s="2" t="s">
        <v>21</v>
      </c>
      <c r="E1251" s="2" t="s">
        <v>14</v>
      </c>
      <c r="F1251" s="2" t="s">
        <v>23</v>
      </c>
      <c r="G1251" s="2" t="s">
        <v>16</v>
      </c>
      <c r="H1251" s="2" t="s">
        <v>18</v>
      </c>
      <c r="I1251" s="2" t="s">
        <v>18</v>
      </c>
      <c r="J1251">
        <v>0.27</v>
      </c>
      <c r="K1251" s="1">
        <v>44644</v>
      </c>
      <c r="L1251" s="2" t="str">
        <f>IF(Sheet1[[#This Row],[age]]&lt;18, "Under 18",IF(Sheet1[[#This Row],[age]]&lt;=30,"18-30",IF(Sheet1[[#This Row],[age]]&lt;=45,"31-45",IF(Sheet1[[#This Row],[age]]&lt;=60,"46-60","60+"))))</f>
        <v>18-30</v>
      </c>
      <c r="M1251" s="2" t="str">
        <f>IF(Sheet1[[#This Row],[risk_score]]&lt;0.3,"Low",IF(Sheet1[[#This Row],[risk_score]]&lt;0.7,"Medium","High"))</f>
        <v>Low</v>
      </c>
      <c r="N1251">
        <f>YEAR(Sheet1[[#This Row],[date_joined]])</f>
        <v>2022</v>
      </c>
      <c r="O1251" s="2" t="str">
        <f>TEXT(Sheet1[[#This Row],[date_joined]],"mmm")</f>
        <v>Mar</v>
      </c>
      <c r="P1251" s="2" t="str">
        <f>"Q"&amp;ROUNDUP(MONTH(Sheet1[[#This Row],[date_joined]])/3,0)</f>
        <v>Q1</v>
      </c>
      <c r="Q1251" s="2" t="str">
        <f>IF(Sheet1[[#This Row],[age]]&lt;30,"Young",IF(Sheet1[[#This Row],[age]]&lt;=50,"Adult","Senior"))</f>
        <v>Young</v>
      </c>
      <c r="R1251" s="2" t="str">
        <f t="shared" si="38"/>
        <v>Very High</v>
      </c>
      <c r="S1251" s="2" t="str">
        <f t="shared" si="39"/>
        <v>West - Salaried</v>
      </c>
    </row>
    <row r="1252" spans="1:19" x14ac:dyDescent="0.3">
      <c r="A1252" t="s">
        <v>2527</v>
      </c>
      <c r="B1252" t="s">
        <v>2528</v>
      </c>
      <c r="C1252">
        <v>52</v>
      </c>
      <c r="D1252" s="2" t="s">
        <v>13</v>
      </c>
      <c r="E1252" s="2" t="s">
        <v>14</v>
      </c>
      <c r="F1252" s="2" t="s">
        <v>15</v>
      </c>
      <c r="G1252" s="2" t="s">
        <v>32</v>
      </c>
      <c r="H1252" s="2" t="s">
        <v>18</v>
      </c>
      <c r="I1252" s="2" t="s">
        <v>17</v>
      </c>
      <c r="J1252">
        <v>0.52</v>
      </c>
      <c r="K1252" s="1">
        <v>44833</v>
      </c>
      <c r="L1252" s="2" t="str">
        <f>IF(Sheet1[[#This Row],[age]]&lt;18, "Under 18",IF(Sheet1[[#This Row],[age]]&lt;=30,"18-30",IF(Sheet1[[#This Row],[age]]&lt;=45,"31-45",IF(Sheet1[[#This Row],[age]]&lt;=60,"46-60","60+"))))</f>
        <v>46-60</v>
      </c>
      <c r="M1252" s="2" t="str">
        <f>IF(Sheet1[[#This Row],[risk_score]]&lt;0.3,"Low",IF(Sheet1[[#This Row],[risk_score]]&lt;0.7,"Medium","High"))</f>
        <v>Medium</v>
      </c>
      <c r="N1252">
        <f>YEAR(Sheet1[[#This Row],[date_joined]])</f>
        <v>2022</v>
      </c>
      <c r="O1252" s="2" t="str">
        <f>TEXT(Sheet1[[#This Row],[date_joined]],"mmm")</f>
        <v>Sep</v>
      </c>
      <c r="P1252" s="2" t="str">
        <f>"Q"&amp;ROUNDUP(MONTH(Sheet1[[#This Row],[date_joined]])/3,0)</f>
        <v>Q3</v>
      </c>
      <c r="Q1252" s="2" t="str">
        <f>IF(Sheet1[[#This Row],[age]]&lt;30,"Young",IF(Sheet1[[#This Row],[age]]&lt;=50,"Adult","Senior"))</f>
        <v>Senior</v>
      </c>
      <c r="R1252" s="2" t="str">
        <f t="shared" si="38"/>
        <v>High</v>
      </c>
      <c r="S1252" s="2" t="str">
        <f t="shared" si="39"/>
        <v>South - Student</v>
      </c>
    </row>
    <row r="1253" spans="1:19" x14ac:dyDescent="0.3">
      <c r="A1253" t="s">
        <v>2529</v>
      </c>
      <c r="B1253" t="s">
        <v>2530</v>
      </c>
      <c r="C1253">
        <v>61</v>
      </c>
      <c r="D1253" s="2" t="s">
        <v>21</v>
      </c>
      <c r="E1253" s="2" t="s">
        <v>14</v>
      </c>
      <c r="F1253" s="2" t="s">
        <v>31</v>
      </c>
      <c r="G1253" s="2" t="s">
        <v>24</v>
      </c>
      <c r="H1253" s="2" t="s">
        <v>17</v>
      </c>
      <c r="I1253" s="2" t="s">
        <v>17</v>
      </c>
      <c r="J1253">
        <v>0.41</v>
      </c>
      <c r="K1253" s="1">
        <v>44946</v>
      </c>
      <c r="L1253" s="2" t="str">
        <f>IF(Sheet1[[#This Row],[age]]&lt;18, "Under 18",IF(Sheet1[[#This Row],[age]]&lt;=30,"18-30",IF(Sheet1[[#This Row],[age]]&lt;=45,"31-45",IF(Sheet1[[#This Row],[age]]&lt;=60,"46-60","60+"))))</f>
        <v>60+</v>
      </c>
      <c r="M1253" s="2" t="str">
        <f>IF(Sheet1[[#This Row],[risk_score]]&lt;0.3,"Low",IF(Sheet1[[#This Row],[risk_score]]&lt;0.7,"Medium","High"))</f>
        <v>Medium</v>
      </c>
      <c r="N1253">
        <f>YEAR(Sheet1[[#This Row],[date_joined]])</f>
        <v>2023</v>
      </c>
      <c r="O1253" s="2" t="str">
        <f>TEXT(Sheet1[[#This Row],[date_joined]],"mmm")</f>
        <v>Jan</v>
      </c>
      <c r="P1253" s="2" t="str">
        <f>"Q"&amp;ROUNDUP(MONTH(Sheet1[[#This Row],[date_joined]])/3,0)</f>
        <v>Q1</v>
      </c>
      <c r="Q1253" s="2" t="str">
        <f>IF(Sheet1[[#This Row],[age]]&lt;30,"Young",IF(Sheet1[[#This Row],[age]]&lt;=50,"Adult","Senior"))</f>
        <v>Senior</v>
      </c>
      <c r="R1253" s="2" t="str">
        <f t="shared" si="38"/>
        <v>Low</v>
      </c>
      <c r="S1253" s="2" t="str">
        <f t="shared" si="39"/>
        <v>East - Self-employed</v>
      </c>
    </row>
    <row r="1254" spans="1:19" x14ac:dyDescent="0.3">
      <c r="A1254" t="s">
        <v>2531</v>
      </c>
      <c r="B1254" t="s">
        <v>2532</v>
      </c>
      <c r="C1254">
        <v>66</v>
      </c>
      <c r="D1254" s="2" t="s">
        <v>13</v>
      </c>
      <c r="E1254" s="2" t="s">
        <v>14</v>
      </c>
      <c r="F1254" s="2" t="s">
        <v>37</v>
      </c>
      <c r="G1254" s="2" t="s">
        <v>16</v>
      </c>
      <c r="H1254" s="2" t="s">
        <v>18</v>
      </c>
      <c r="I1254" s="2" t="s">
        <v>18</v>
      </c>
      <c r="J1254">
        <v>0.5</v>
      </c>
      <c r="K1254" s="1">
        <v>43779</v>
      </c>
      <c r="L1254" s="2" t="str">
        <f>IF(Sheet1[[#This Row],[age]]&lt;18, "Under 18",IF(Sheet1[[#This Row],[age]]&lt;=30,"18-30",IF(Sheet1[[#This Row],[age]]&lt;=45,"31-45",IF(Sheet1[[#This Row],[age]]&lt;=60,"46-60","60+"))))</f>
        <v>60+</v>
      </c>
      <c r="M1254" s="2" t="str">
        <f>IF(Sheet1[[#This Row],[risk_score]]&lt;0.3,"Low",IF(Sheet1[[#This Row],[risk_score]]&lt;0.7,"Medium","High"))</f>
        <v>Medium</v>
      </c>
      <c r="N1254">
        <f>YEAR(Sheet1[[#This Row],[date_joined]])</f>
        <v>2019</v>
      </c>
      <c r="O1254" s="2" t="str">
        <f>TEXT(Sheet1[[#This Row],[date_joined]],"mmm")</f>
        <v>Nov</v>
      </c>
      <c r="P1254" s="2" t="str">
        <f>"Q"&amp;ROUNDUP(MONTH(Sheet1[[#This Row],[date_joined]])/3,0)</f>
        <v>Q4</v>
      </c>
      <c r="Q1254" s="2" t="str">
        <f>IF(Sheet1[[#This Row],[age]]&lt;30,"Young",IF(Sheet1[[#This Row],[age]]&lt;=50,"Adult","Senior"))</f>
        <v>Senior</v>
      </c>
      <c r="R1254" s="2" t="str">
        <f t="shared" si="38"/>
        <v>Very High</v>
      </c>
      <c r="S1254" s="2" t="str">
        <f t="shared" si="39"/>
        <v>West - Retired</v>
      </c>
    </row>
    <row r="1255" spans="1:19" x14ac:dyDescent="0.3">
      <c r="A1255" t="s">
        <v>2533</v>
      </c>
      <c r="B1255" t="s">
        <v>2534</v>
      </c>
      <c r="C1255">
        <v>18</v>
      </c>
      <c r="D1255" s="2" t="s">
        <v>21</v>
      </c>
      <c r="E1255" s="2" t="s">
        <v>30</v>
      </c>
      <c r="F1255" s="2" t="s">
        <v>23</v>
      </c>
      <c r="G1255" s="2" t="s">
        <v>32</v>
      </c>
      <c r="H1255" s="2" t="s">
        <v>17</v>
      </c>
      <c r="I1255" s="2" t="s">
        <v>17</v>
      </c>
      <c r="J1255">
        <v>0.25</v>
      </c>
      <c r="K1255" s="1">
        <v>43758</v>
      </c>
      <c r="L1255" s="2" t="str">
        <f>IF(Sheet1[[#This Row],[age]]&lt;18, "Under 18",IF(Sheet1[[#This Row],[age]]&lt;=30,"18-30",IF(Sheet1[[#This Row],[age]]&lt;=45,"31-45",IF(Sheet1[[#This Row],[age]]&lt;=60,"46-60","60+"))))</f>
        <v>18-30</v>
      </c>
      <c r="M1255" s="2" t="str">
        <f>IF(Sheet1[[#This Row],[risk_score]]&lt;0.3,"Low",IF(Sheet1[[#This Row],[risk_score]]&lt;0.7,"Medium","High"))</f>
        <v>Low</v>
      </c>
      <c r="N1255">
        <f>YEAR(Sheet1[[#This Row],[date_joined]])</f>
        <v>2019</v>
      </c>
      <c r="O1255" s="2" t="str">
        <f>TEXT(Sheet1[[#This Row],[date_joined]],"mmm")</f>
        <v>Oct</v>
      </c>
      <c r="P1255" s="2" t="str">
        <f>"Q"&amp;ROUNDUP(MONTH(Sheet1[[#This Row],[date_joined]])/3,0)</f>
        <v>Q4</v>
      </c>
      <c r="Q1255" s="2" t="str">
        <f>IF(Sheet1[[#This Row],[age]]&lt;30,"Young",IF(Sheet1[[#This Row],[age]]&lt;=50,"Adult","Senior"))</f>
        <v>Young</v>
      </c>
      <c r="R1255" s="2" t="str">
        <f t="shared" si="38"/>
        <v>Low</v>
      </c>
      <c r="S1255" s="2" t="str">
        <f t="shared" si="39"/>
        <v>South - Salaried</v>
      </c>
    </row>
    <row r="1256" spans="1:19" x14ac:dyDescent="0.3">
      <c r="A1256" t="s">
        <v>2535</v>
      </c>
      <c r="B1256" t="s">
        <v>2536</v>
      </c>
      <c r="C1256">
        <v>53</v>
      </c>
      <c r="D1256" s="2" t="s">
        <v>13</v>
      </c>
      <c r="E1256" s="2" t="s">
        <v>22</v>
      </c>
      <c r="F1256" s="2" t="s">
        <v>31</v>
      </c>
      <c r="G1256" s="2" t="s">
        <v>24</v>
      </c>
      <c r="H1256" s="2" t="s">
        <v>17</v>
      </c>
      <c r="I1256" s="2" t="s">
        <v>17</v>
      </c>
      <c r="J1256">
        <v>0.51</v>
      </c>
      <c r="K1256" s="1">
        <v>44914</v>
      </c>
      <c r="L1256" s="2" t="str">
        <f>IF(Sheet1[[#This Row],[age]]&lt;18, "Under 18",IF(Sheet1[[#This Row],[age]]&lt;=30,"18-30",IF(Sheet1[[#This Row],[age]]&lt;=45,"31-45",IF(Sheet1[[#This Row],[age]]&lt;=60,"46-60","60+"))))</f>
        <v>46-60</v>
      </c>
      <c r="M1256" s="2" t="str">
        <f>IF(Sheet1[[#This Row],[risk_score]]&lt;0.3,"Low",IF(Sheet1[[#This Row],[risk_score]]&lt;0.7,"Medium","High"))</f>
        <v>Medium</v>
      </c>
      <c r="N1256">
        <f>YEAR(Sheet1[[#This Row],[date_joined]])</f>
        <v>2022</v>
      </c>
      <c r="O1256" s="2" t="str">
        <f>TEXT(Sheet1[[#This Row],[date_joined]],"mmm")</f>
        <v>Dec</v>
      </c>
      <c r="P1256" s="2" t="str">
        <f>"Q"&amp;ROUNDUP(MONTH(Sheet1[[#This Row],[date_joined]])/3,0)</f>
        <v>Q4</v>
      </c>
      <c r="Q1256" s="2" t="str">
        <f>IF(Sheet1[[#This Row],[age]]&lt;30,"Young",IF(Sheet1[[#This Row],[age]]&lt;=50,"Adult","Senior"))</f>
        <v>Senior</v>
      </c>
      <c r="R1256" s="2" t="str">
        <f t="shared" si="38"/>
        <v>Low</v>
      </c>
      <c r="S1256" s="2" t="str">
        <f t="shared" si="39"/>
        <v>East - Self-employed</v>
      </c>
    </row>
    <row r="1257" spans="1:19" x14ac:dyDescent="0.3">
      <c r="A1257" t="s">
        <v>2537</v>
      </c>
      <c r="B1257" t="s">
        <v>2538</v>
      </c>
      <c r="C1257">
        <v>60</v>
      </c>
      <c r="D1257" s="2" t="s">
        <v>13</v>
      </c>
      <c r="E1257" s="2" t="s">
        <v>22</v>
      </c>
      <c r="F1257" s="2" t="s">
        <v>31</v>
      </c>
      <c r="G1257" s="2" t="s">
        <v>81</v>
      </c>
      <c r="H1257" s="2" t="s">
        <v>18</v>
      </c>
      <c r="I1257" s="2" t="s">
        <v>17</v>
      </c>
      <c r="J1257">
        <v>0.34</v>
      </c>
      <c r="K1257" s="1">
        <v>43242</v>
      </c>
      <c r="L1257" s="2" t="str">
        <f>IF(Sheet1[[#This Row],[age]]&lt;18, "Under 18",IF(Sheet1[[#This Row],[age]]&lt;=30,"18-30",IF(Sheet1[[#This Row],[age]]&lt;=45,"31-45",IF(Sheet1[[#This Row],[age]]&lt;=60,"46-60","60+"))))</f>
        <v>46-60</v>
      </c>
      <c r="M1257" s="2" t="str">
        <f>IF(Sheet1[[#This Row],[risk_score]]&lt;0.3,"Low",IF(Sheet1[[#This Row],[risk_score]]&lt;0.7,"Medium","High"))</f>
        <v>Medium</v>
      </c>
      <c r="N1257">
        <f>YEAR(Sheet1[[#This Row],[date_joined]])</f>
        <v>2018</v>
      </c>
      <c r="O1257" s="2" t="str">
        <f>TEXT(Sheet1[[#This Row],[date_joined]],"mmm")</f>
        <v>May</v>
      </c>
      <c r="P1257" s="2" t="str">
        <f>"Q"&amp;ROUNDUP(MONTH(Sheet1[[#This Row],[date_joined]])/3,0)</f>
        <v>Q2</v>
      </c>
      <c r="Q1257" s="2" t="str">
        <f>IF(Sheet1[[#This Row],[age]]&lt;30,"Young",IF(Sheet1[[#This Row],[age]]&lt;=50,"Adult","Senior"))</f>
        <v>Senior</v>
      </c>
      <c r="R1257" s="2" t="str">
        <f t="shared" si="38"/>
        <v>High</v>
      </c>
      <c r="S1257" s="2" t="str">
        <f t="shared" si="39"/>
        <v>Central - Self-employed</v>
      </c>
    </row>
    <row r="1258" spans="1:19" x14ac:dyDescent="0.3">
      <c r="A1258" t="s">
        <v>2539</v>
      </c>
      <c r="B1258" t="s">
        <v>2540</v>
      </c>
      <c r="C1258">
        <v>18</v>
      </c>
      <c r="D1258" s="2" t="s">
        <v>21</v>
      </c>
      <c r="E1258" s="2" t="s">
        <v>14</v>
      </c>
      <c r="F1258" s="2" t="s">
        <v>37</v>
      </c>
      <c r="G1258" s="2" t="s">
        <v>32</v>
      </c>
      <c r="H1258" s="2" t="s">
        <v>17</v>
      </c>
      <c r="I1258" s="2" t="s">
        <v>18</v>
      </c>
      <c r="J1258">
        <v>0.44</v>
      </c>
      <c r="K1258" s="1">
        <v>43949</v>
      </c>
      <c r="L1258" s="2" t="str">
        <f>IF(Sheet1[[#This Row],[age]]&lt;18, "Under 18",IF(Sheet1[[#This Row],[age]]&lt;=30,"18-30",IF(Sheet1[[#This Row],[age]]&lt;=45,"31-45",IF(Sheet1[[#This Row],[age]]&lt;=60,"46-60","60+"))))</f>
        <v>18-30</v>
      </c>
      <c r="M1258" s="2" t="str">
        <f>IF(Sheet1[[#This Row],[risk_score]]&lt;0.3,"Low",IF(Sheet1[[#This Row],[risk_score]]&lt;0.7,"Medium","High"))</f>
        <v>Medium</v>
      </c>
      <c r="N1258">
        <f>YEAR(Sheet1[[#This Row],[date_joined]])</f>
        <v>2020</v>
      </c>
      <c r="O1258" s="2" t="str">
        <f>TEXT(Sheet1[[#This Row],[date_joined]],"mmm")</f>
        <v>Apr</v>
      </c>
      <c r="P1258" s="2" t="str">
        <f>"Q"&amp;ROUNDUP(MONTH(Sheet1[[#This Row],[date_joined]])/3,0)</f>
        <v>Q2</v>
      </c>
      <c r="Q1258" s="2" t="str">
        <f>IF(Sheet1[[#This Row],[age]]&lt;30,"Young",IF(Sheet1[[#This Row],[age]]&lt;=50,"Adult","Senior"))</f>
        <v>Young</v>
      </c>
      <c r="R1258" s="2" t="str">
        <f t="shared" si="38"/>
        <v>High</v>
      </c>
      <c r="S1258" s="2" t="str">
        <f t="shared" si="39"/>
        <v>South - Retired</v>
      </c>
    </row>
    <row r="1259" spans="1:19" x14ac:dyDescent="0.3">
      <c r="A1259" t="s">
        <v>2541</v>
      </c>
      <c r="B1259" t="s">
        <v>2542</v>
      </c>
      <c r="C1259">
        <v>52</v>
      </c>
      <c r="D1259" s="2" t="s">
        <v>13</v>
      </c>
      <c r="E1259" s="2" t="s">
        <v>14</v>
      </c>
      <c r="F1259" s="2" t="s">
        <v>37</v>
      </c>
      <c r="G1259" s="2" t="s">
        <v>24</v>
      </c>
      <c r="H1259" s="2" t="s">
        <v>17</v>
      </c>
      <c r="I1259" s="2" t="s">
        <v>17</v>
      </c>
      <c r="J1259">
        <v>0.47</v>
      </c>
      <c r="K1259" s="1">
        <v>44516</v>
      </c>
      <c r="L1259" s="2" t="str">
        <f>IF(Sheet1[[#This Row],[age]]&lt;18, "Under 18",IF(Sheet1[[#This Row],[age]]&lt;=30,"18-30",IF(Sheet1[[#This Row],[age]]&lt;=45,"31-45",IF(Sheet1[[#This Row],[age]]&lt;=60,"46-60","60+"))))</f>
        <v>46-60</v>
      </c>
      <c r="M1259" s="2" t="str">
        <f>IF(Sheet1[[#This Row],[risk_score]]&lt;0.3,"Low",IF(Sheet1[[#This Row],[risk_score]]&lt;0.7,"Medium","High"))</f>
        <v>Medium</v>
      </c>
      <c r="N1259">
        <f>YEAR(Sheet1[[#This Row],[date_joined]])</f>
        <v>2021</v>
      </c>
      <c r="O1259" s="2" t="str">
        <f>TEXT(Sheet1[[#This Row],[date_joined]],"mmm")</f>
        <v>Nov</v>
      </c>
      <c r="P1259" s="2" t="str">
        <f>"Q"&amp;ROUNDUP(MONTH(Sheet1[[#This Row],[date_joined]])/3,0)</f>
        <v>Q4</v>
      </c>
      <c r="Q1259" s="2" t="str">
        <f>IF(Sheet1[[#This Row],[age]]&lt;30,"Young",IF(Sheet1[[#This Row],[age]]&lt;=50,"Adult","Senior"))</f>
        <v>Senior</v>
      </c>
      <c r="R1259" s="2" t="str">
        <f t="shared" si="38"/>
        <v>Low</v>
      </c>
      <c r="S1259" s="2" t="str">
        <f t="shared" si="39"/>
        <v>East - Retired</v>
      </c>
    </row>
    <row r="1260" spans="1:19" x14ac:dyDescent="0.3">
      <c r="A1260" t="s">
        <v>2543</v>
      </c>
      <c r="B1260" t="s">
        <v>2544</v>
      </c>
      <c r="C1260">
        <v>18</v>
      </c>
      <c r="D1260" s="2" t="s">
        <v>13</v>
      </c>
      <c r="E1260" s="2" t="s">
        <v>22</v>
      </c>
      <c r="F1260" s="2" t="s">
        <v>31</v>
      </c>
      <c r="G1260" s="2" t="s">
        <v>27</v>
      </c>
      <c r="H1260" s="2" t="s">
        <v>18</v>
      </c>
      <c r="I1260" s="2" t="s">
        <v>17</v>
      </c>
      <c r="J1260">
        <v>0.59</v>
      </c>
      <c r="K1260" s="1">
        <v>43119</v>
      </c>
      <c r="L1260" s="2" t="str">
        <f>IF(Sheet1[[#This Row],[age]]&lt;18, "Under 18",IF(Sheet1[[#This Row],[age]]&lt;=30,"18-30",IF(Sheet1[[#This Row],[age]]&lt;=45,"31-45",IF(Sheet1[[#This Row],[age]]&lt;=60,"46-60","60+"))))</f>
        <v>18-30</v>
      </c>
      <c r="M1260" s="2" t="str">
        <f>IF(Sheet1[[#This Row],[risk_score]]&lt;0.3,"Low",IF(Sheet1[[#This Row],[risk_score]]&lt;0.7,"Medium","High"))</f>
        <v>Medium</v>
      </c>
      <c r="N1260">
        <f>YEAR(Sheet1[[#This Row],[date_joined]])</f>
        <v>2018</v>
      </c>
      <c r="O1260" s="2" t="str">
        <f>TEXT(Sheet1[[#This Row],[date_joined]],"mmm")</f>
        <v>Jan</v>
      </c>
      <c r="P1260" s="2" t="str">
        <f>"Q"&amp;ROUNDUP(MONTH(Sheet1[[#This Row],[date_joined]])/3,0)</f>
        <v>Q1</v>
      </c>
      <c r="Q1260" s="2" t="str">
        <f>IF(Sheet1[[#This Row],[age]]&lt;30,"Young",IF(Sheet1[[#This Row],[age]]&lt;=50,"Adult","Senior"))</f>
        <v>Young</v>
      </c>
      <c r="R1260" s="2" t="str">
        <f t="shared" si="38"/>
        <v>High</v>
      </c>
      <c r="S1260" s="2" t="str">
        <f t="shared" si="39"/>
        <v>North - Self-employed</v>
      </c>
    </row>
    <row r="1261" spans="1:19" x14ac:dyDescent="0.3">
      <c r="A1261" t="s">
        <v>2545</v>
      </c>
      <c r="B1261" t="s">
        <v>2546</v>
      </c>
      <c r="C1261">
        <v>24</v>
      </c>
      <c r="D1261" s="2" t="s">
        <v>21</v>
      </c>
      <c r="E1261" s="2" t="s">
        <v>14</v>
      </c>
      <c r="F1261" s="2" t="s">
        <v>15</v>
      </c>
      <c r="G1261" s="2" t="s">
        <v>81</v>
      </c>
      <c r="H1261" s="2" t="s">
        <v>17</v>
      </c>
      <c r="I1261" s="2" t="s">
        <v>17</v>
      </c>
      <c r="J1261">
        <v>0.52</v>
      </c>
      <c r="K1261" s="1">
        <v>44714</v>
      </c>
      <c r="L1261" s="2" t="str">
        <f>IF(Sheet1[[#This Row],[age]]&lt;18, "Under 18",IF(Sheet1[[#This Row],[age]]&lt;=30,"18-30",IF(Sheet1[[#This Row],[age]]&lt;=45,"31-45",IF(Sheet1[[#This Row],[age]]&lt;=60,"46-60","60+"))))</f>
        <v>18-30</v>
      </c>
      <c r="M1261" s="2" t="str">
        <f>IF(Sheet1[[#This Row],[risk_score]]&lt;0.3,"Low",IF(Sheet1[[#This Row],[risk_score]]&lt;0.7,"Medium","High"))</f>
        <v>Medium</v>
      </c>
      <c r="N1261">
        <f>YEAR(Sheet1[[#This Row],[date_joined]])</f>
        <v>2022</v>
      </c>
      <c r="O1261" s="2" t="str">
        <f>TEXT(Sheet1[[#This Row],[date_joined]],"mmm")</f>
        <v>Jun</v>
      </c>
      <c r="P1261" s="2" t="str">
        <f>"Q"&amp;ROUNDUP(MONTH(Sheet1[[#This Row],[date_joined]])/3,0)</f>
        <v>Q2</v>
      </c>
      <c r="Q1261" s="2" t="str">
        <f>IF(Sheet1[[#This Row],[age]]&lt;30,"Young",IF(Sheet1[[#This Row],[age]]&lt;=50,"Adult","Senior"))</f>
        <v>Young</v>
      </c>
      <c r="R1261" s="2" t="str">
        <f t="shared" si="38"/>
        <v>Low</v>
      </c>
      <c r="S1261" s="2" t="str">
        <f t="shared" si="39"/>
        <v>Central - Student</v>
      </c>
    </row>
    <row r="1262" spans="1:19" x14ac:dyDescent="0.3">
      <c r="A1262" t="s">
        <v>2547</v>
      </c>
      <c r="B1262" t="s">
        <v>2548</v>
      </c>
      <c r="C1262">
        <v>40</v>
      </c>
      <c r="D1262" s="2" t="s">
        <v>21</v>
      </c>
      <c r="E1262" s="2" t="s">
        <v>30</v>
      </c>
      <c r="F1262" s="2" t="s">
        <v>15</v>
      </c>
      <c r="G1262" s="2" t="s">
        <v>66</v>
      </c>
      <c r="H1262" s="2" t="s">
        <v>17</v>
      </c>
      <c r="I1262" s="2" t="s">
        <v>18</v>
      </c>
      <c r="J1262">
        <v>0.55000000000000004</v>
      </c>
      <c r="K1262" s="1">
        <v>43502</v>
      </c>
      <c r="L1262" s="2" t="str">
        <f>IF(Sheet1[[#This Row],[age]]&lt;18, "Under 18",IF(Sheet1[[#This Row],[age]]&lt;=30,"18-30",IF(Sheet1[[#This Row],[age]]&lt;=45,"31-45",IF(Sheet1[[#This Row],[age]]&lt;=60,"46-60","60+"))))</f>
        <v>31-45</v>
      </c>
      <c r="M1262" s="2" t="str">
        <f>IF(Sheet1[[#This Row],[risk_score]]&lt;0.3,"Low",IF(Sheet1[[#This Row],[risk_score]]&lt;0.7,"Medium","High"))</f>
        <v>Medium</v>
      </c>
      <c r="N1262">
        <f>YEAR(Sheet1[[#This Row],[date_joined]])</f>
        <v>2019</v>
      </c>
      <c r="O1262" s="2" t="str">
        <f>TEXT(Sheet1[[#This Row],[date_joined]],"mmm")</f>
        <v>Feb</v>
      </c>
      <c r="P1262" s="2" t="str">
        <f>"Q"&amp;ROUNDUP(MONTH(Sheet1[[#This Row],[date_joined]])/3,0)</f>
        <v>Q1</v>
      </c>
      <c r="Q1262" s="2" t="str">
        <f>IF(Sheet1[[#This Row],[age]]&lt;30,"Young",IF(Sheet1[[#This Row],[age]]&lt;=50,"Adult","Senior"))</f>
        <v>Adult</v>
      </c>
      <c r="R1262" s="2" t="str">
        <f t="shared" si="38"/>
        <v>High</v>
      </c>
      <c r="S1262" s="2" t="str">
        <f t="shared" si="39"/>
        <v>North-East - Student</v>
      </c>
    </row>
    <row r="1263" spans="1:19" x14ac:dyDescent="0.3">
      <c r="A1263" t="s">
        <v>2549</v>
      </c>
      <c r="B1263" t="s">
        <v>2550</v>
      </c>
      <c r="C1263">
        <v>54</v>
      </c>
      <c r="D1263" s="2" t="s">
        <v>21</v>
      </c>
      <c r="E1263" s="2" t="s">
        <v>22</v>
      </c>
      <c r="F1263" s="2" t="s">
        <v>31</v>
      </c>
      <c r="G1263" s="2" t="s">
        <v>66</v>
      </c>
      <c r="H1263" s="2" t="s">
        <v>17</v>
      </c>
      <c r="I1263" s="2" t="s">
        <v>17</v>
      </c>
      <c r="J1263">
        <v>0.49</v>
      </c>
      <c r="K1263" s="1">
        <v>44588</v>
      </c>
      <c r="L1263" s="2" t="str">
        <f>IF(Sheet1[[#This Row],[age]]&lt;18, "Under 18",IF(Sheet1[[#This Row],[age]]&lt;=30,"18-30",IF(Sheet1[[#This Row],[age]]&lt;=45,"31-45",IF(Sheet1[[#This Row],[age]]&lt;=60,"46-60","60+"))))</f>
        <v>46-60</v>
      </c>
      <c r="M1263" s="2" t="str">
        <f>IF(Sheet1[[#This Row],[risk_score]]&lt;0.3,"Low",IF(Sheet1[[#This Row],[risk_score]]&lt;0.7,"Medium","High"))</f>
        <v>Medium</v>
      </c>
      <c r="N1263">
        <f>YEAR(Sheet1[[#This Row],[date_joined]])</f>
        <v>2022</v>
      </c>
      <c r="O1263" s="2" t="str">
        <f>TEXT(Sheet1[[#This Row],[date_joined]],"mmm")</f>
        <v>Jan</v>
      </c>
      <c r="P1263" s="2" t="str">
        <f>"Q"&amp;ROUNDUP(MONTH(Sheet1[[#This Row],[date_joined]])/3,0)</f>
        <v>Q1</v>
      </c>
      <c r="Q1263" s="2" t="str">
        <f>IF(Sheet1[[#This Row],[age]]&lt;30,"Young",IF(Sheet1[[#This Row],[age]]&lt;=50,"Adult","Senior"))</f>
        <v>Senior</v>
      </c>
      <c r="R1263" s="2" t="str">
        <f t="shared" si="38"/>
        <v>Low</v>
      </c>
      <c r="S1263" s="2" t="str">
        <f t="shared" si="39"/>
        <v>North-East - Self-employed</v>
      </c>
    </row>
    <row r="1264" spans="1:19" x14ac:dyDescent="0.3">
      <c r="A1264" t="s">
        <v>2551</v>
      </c>
      <c r="B1264" t="s">
        <v>2552</v>
      </c>
      <c r="C1264">
        <v>53</v>
      </c>
      <c r="D1264" s="2" t="s">
        <v>13</v>
      </c>
      <c r="E1264" s="2" t="s">
        <v>14</v>
      </c>
      <c r="F1264" s="2" t="s">
        <v>23</v>
      </c>
      <c r="G1264" s="2" t="s">
        <v>24</v>
      </c>
      <c r="H1264" s="2" t="s">
        <v>17</v>
      </c>
      <c r="I1264" s="2" t="s">
        <v>17</v>
      </c>
      <c r="J1264">
        <v>0</v>
      </c>
      <c r="K1264" s="1">
        <v>43829</v>
      </c>
      <c r="L1264" s="2" t="str">
        <f>IF(Sheet1[[#This Row],[age]]&lt;18, "Under 18",IF(Sheet1[[#This Row],[age]]&lt;=30,"18-30",IF(Sheet1[[#This Row],[age]]&lt;=45,"31-45",IF(Sheet1[[#This Row],[age]]&lt;=60,"46-60","60+"))))</f>
        <v>46-60</v>
      </c>
      <c r="M1264" s="2" t="str">
        <f>IF(Sheet1[[#This Row],[risk_score]]&lt;0.3,"Low",IF(Sheet1[[#This Row],[risk_score]]&lt;0.7,"Medium","High"))</f>
        <v>Low</v>
      </c>
      <c r="N1264">
        <f>YEAR(Sheet1[[#This Row],[date_joined]])</f>
        <v>2019</v>
      </c>
      <c r="O1264" s="2" t="str">
        <f>TEXT(Sheet1[[#This Row],[date_joined]],"mmm")</f>
        <v>Dec</v>
      </c>
      <c r="P1264" s="2" t="str">
        <f>"Q"&amp;ROUNDUP(MONTH(Sheet1[[#This Row],[date_joined]])/3,0)</f>
        <v>Q4</v>
      </c>
      <c r="Q1264" s="2" t="str">
        <f>IF(Sheet1[[#This Row],[age]]&lt;30,"Young",IF(Sheet1[[#This Row],[age]]&lt;=50,"Adult","Senior"))</f>
        <v>Senior</v>
      </c>
      <c r="R1264" s="2" t="str">
        <f t="shared" si="38"/>
        <v>Low</v>
      </c>
      <c r="S1264" s="2" t="str">
        <f t="shared" si="39"/>
        <v>East - Salaried</v>
      </c>
    </row>
    <row r="1265" spans="1:19" x14ac:dyDescent="0.3">
      <c r="A1265" t="s">
        <v>2553</v>
      </c>
      <c r="B1265" t="s">
        <v>2554</v>
      </c>
      <c r="C1265">
        <v>45</v>
      </c>
      <c r="D1265" s="2" t="s">
        <v>21</v>
      </c>
      <c r="E1265" s="2" t="s">
        <v>14</v>
      </c>
      <c r="F1265" s="2" t="s">
        <v>31</v>
      </c>
      <c r="G1265" s="2" t="s">
        <v>16</v>
      </c>
      <c r="H1265" s="2" t="s">
        <v>17</v>
      </c>
      <c r="I1265" s="2" t="s">
        <v>17</v>
      </c>
      <c r="J1265">
        <v>0.59</v>
      </c>
      <c r="K1265" s="1">
        <v>44824</v>
      </c>
      <c r="L1265" s="2" t="str">
        <f>IF(Sheet1[[#This Row],[age]]&lt;18, "Under 18",IF(Sheet1[[#This Row],[age]]&lt;=30,"18-30",IF(Sheet1[[#This Row],[age]]&lt;=45,"31-45",IF(Sheet1[[#This Row],[age]]&lt;=60,"46-60","60+"))))</f>
        <v>31-45</v>
      </c>
      <c r="M1265" s="2" t="str">
        <f>IF(Sheet1[[#This Row],[risk_score]]&lt;0.3,"Low",IF(Sheet1[[#This Row],[risk_score]]&lt;0.7,"Medium","High"))</f>
        <v>Medium</v>
      </c>
      <c r="N1265">
        <f>YEAR(Sheet1[[#This Row],[date_joined]])</f>
        <v>2022</v>
      </c>
      <c r="O1265" s="2" t="str">
        <f>TEXT(Sheet1[[#This Row],[date_joined]],"mmm")</f>
        <v>Sep</v>
      </c>
      <c r="P1265" s="2" t="str">
        <f>"Q"&amp;ROUNDUP(MONTH(Sheet1[[#This Row],[date_joined]])/3,0)</f>
        <v>Q3</v>
      </c>
      <c r="Q1265" s="2" t="str">
        <f>IF(Sheet1[[#This Row],[age]]&lt;30,"Young",IF(Sheet1[[#This Row],[age]]&lt;=50,"Adult","Senior"))</f>
        <v>Adult</v>
      </c>
      <c r="R1265" s="2" t="str">
        <f t="shared" si="38"/>
        <v>Low</v>
      </c>
      <c r="S1265" s="2" t="str">
        <f t="shared" si="39"/>
        <v>West - Self-employed</v>
      </c>
    </row>
    <row r="1266" spans="1:19" x14ac:dyDescent="0.3">
      <c r="A1266" t="s">
        <v>2555</v>
      </c>
      <c r="B1266" t="s">
        <v>2556</v>
      </c>
      <c r="C1266">
        <v>43</v>
      </c>
      <c r="D1266" s="2" t="s">
        <v>13</v>
      </c>
      <c r="E1266" s="2" t="s">
        <v>22</v>
      </c>
      <c r="F1266" s="2" t="s">
        <v>37</v>
      </c>
      <c r="G1266" s="2" t="s">
        <v>27</v>
      </c>
      <c r="H1266" s="2" t="s">
        <v>17</v>
      </c>
      <c r="I1266" s="2" t="s">
        <v>17</v>
      </c>
      <c r="J1266">
        <v>0.56999999999999995</v>
      </c>
      <c r="K1266" s="1">
        <v>44338</v>
      </c>
      <c r="L1266" s="2" t="str">
        <f>IF(Sheet1[[#This Row],[age]]&lt;18, "Under 18",IF(Sheet1[[#This Row],[age]]&lt;=30,"18-30",IF(Sheet1[[#This Row],[age]]&lt;=45,"31-45",IF(Sheet1[[#This Row],[age]]&lt;=60,"46-60","60+"))))</f>
        <v>31-45</v>
      </c>
      <c r="M1266" s="2" t="str">
        <f>IF(Sheet1[[#This Row],[risk_score]]&lt;0.3,"Low",IF(Sheet1[[#This Row],[risk_score]]&lt;0.7,"Medium","High"))</f>
        <v>Medium</v>
      </c>
      <c r="N1266">
        <f>YEAR(Sheet1[[#This Row],[date_joined]])</f>
        <v>2021</v>
      </c>
      <c r="O1266" s="2" t="str">
        <f>TEXT(Sheet1[[#This Row],[date_joined]],"mmm")</f>
        <v>May</v>
      </c>
      <c r="P1266" s="2" t="str">
        <f>"Q"&amp;ROUNDUP(MONTH(Sheet1[[#This Row],[date_joined]])/3,0)</f>
        <v>Q2</v>
      </c>
      <c r="Q1266" s="2" t="str">
        <f>IF(Sheet1[[#This Row],[age]]&lt;30,"Young",IF(Sheet1[[#This Row],[age]]&lt;=50,"Adult","Senior"))</f>
        <v>Adult</v>
      </c>
      <c r="R1266" s="2" t="str">
        <f t="shared" si="38"/>
        <v>Low</v>
      </c>
      <c r="S1266" s="2" t="str">
        <f t="shared" si="39"/>
        <v>North - Retired</v>
      </c>
    </row>
    <row r="1267" spans="1:19" x14ac:dyDescent="0.3">
      <c r="A1267" t="s">
        <v>2557</v>
      </c>
      <c r="B1267" t="s">
        <v>2558</v>
      </c>
      <c r="C1267">
        <v>21</v>
      </c>
      <c r="D1267" s="2" t="s">
        <v>21</v>
      </c>
      <c r="E1267" s="2" t="s">
        <v>14</v>
      </c>
      <c r="F1267" s="2" t="s">
        <v>31</v>
      </c>
      <c r="G1267" s="2" t="s">
        <v>32</v>
      </c>
      <c r="H1267" s="2" t="s">
        <v>17</v>
      </c>
      <c r="I1267" s="2" t="s">
        <v>17</v>
      </c>
      <c r="J1267">
        <v>0.71</v>
      </c>
      <c r="K1267" s="1">
        <v>43799</v>
      </c>
      <c r="L1267" s="2" t="str">
        <f>IF(Sheet1[[#This Row],[age]]&lt;18, "Under 18",IF(Sheet1[[#This Row],[age]]&lt;=30,"18-30",IF(Sheet1[[#This Row],[age]]&lt;=45,"31-45",IF(Sheet1[[#This Row],[age]]&lt;=60,"46-60","60+"))))</f>
        <v>18-30</v>
      </c>
      <c r="M1267" s="2" t="str">
        <f>IF(Sheet1[[#This Row],[risk_score]]&lt;0.3,"Low",IF(Sheet1[[#This Row],[risk_score]]&lt;0.7,"Medium","High"))</f>
        <v>High</v>
      </c>
      <c r="N1267">
        <f>YEAR(Sheet1[[#This Row],[date_joined]])</f>
        <v>2019</v>
      </c>
      <c r="O1267" s="2" t="str">
        <f>TEXT(Sheet1[[#This Row],[date_joined]],"mmm")</f>
        <v>Nov</v>
      </c>
      <c r="P1267" s="2" t="str">
        <f>"Q"&amp;ROUNDUP(MONTH(Sheet1[[#This Row],[date_joined]])/3,0)</f>
        <v>Q4</v>
      </c>
      <c r="Q1267" s="2" t="str">
        <f>IF(Sheet1[[#This Row],[age]]&lt;30,"Young",IF(Sheet1[[#This Row],[age]]&lt;=50,"Adult","Senior"))</f>
        <v>Young</v>
      </c>
      <c r="R1267" s="2" t="str">
        <f t="shared" si="38"/>
        <v>Low</v>
      </c>
      <c r="S1267" s="2" t="str">
        <f t="shared" si="39"/>
        <v>South - Self-employed</v>
      </c>
    </row>
    <row r="1268" spans="1:19" x14ac:dyDescent="0.3">
      <c r="A1268" t="s">
        <v>2559</v>
      </c>
      <c r="B1268" t="s">
        <v>2560</v>
      </c>
      <c r="C1268">
        <v>46</v>
      </c>
      <c r="D1268" s="2" t="s">
        <v>21</v>
      </c>
      <c r="E1268" s="2" t="s">
        <v>30</v>
      </c>
      <c r="F1268" s="2" t="s">
        <v>31</v>
      </c>
      <c r="G1268" s="2" t="s">
        <v>32</v>
      </c>
      <c r="H1268" s="2" t="s">
        <v>17</v>
      </c>
      <c r="I1268" s="2" t="s">
        <v>18</v>
      </c>
      <c r="J1268">
        <v>0.33</v>
      </c>
      <c r="K1268" s="1">
        <v>44309</v>
      </c>
      <c r="L1268" s="2" t="str">
        <f>IF(Sheet1[[#This Row],[age]]&lt;18, "Under 18",IF(Sheet1[[#This Row],[age]]&lt;=30,"18-30",IF(Sheet1[[#This Row],[age]]&lt;=45,"31-45",IF(Sheet1[[#This Row],[age]]&lt;=60,"46-60","60+"))))</f>
        <v>46-60</v>
      </c>
      <c r="M1268" s="2" t="str">
        <f>IF(Sheet1[[#This Row],[risk_score]]&lt;0.3,"Low",IF(Sheet1[[#This Row],[risk_score]]&lt;0.7,"Medium","High"))</f>
        <v>Medium</v>
      </c>
      <c r="N1268">
        <f>YEAR(Sheet1[[#This Row],[date_joined]])</f>
        <v>2021</v>
      </c>
      <c r="O1268" s="2" t="str">
        <f>TEXT(Sheet1[[#This Row],[date_joined]],"mmm")</f>
        <v>Apr</v>
      </c>
      <c r="P1268" s="2" t="str">
        <f>"Q"&amp;ROUNDUP(MONTH(Sheet1[[#This Row],[date_joined]])/3,0)</f>
        <v>Q2</v>
      </c>
      <c r="Q1268" s="2" t="str">
        <f>IF(Sheet1[[#This Row],[age]]&lt;30,"Young",IF(Sheet1[[#This Row],[age]]&lt;=50,"Adult","Senior"))</f>
        <v>Adult</v>
      </c>
      <c r="R1268" s="2" t="str">
        <f t="shared" si="38"/>
        <v>High</v>
      </c>
      <c r="S1268" s="2" t="str">
        <f t="shared" si="39"/>
        <v>South - Self-employed</v>
      </c>
    </row>
    <row r="1269" spans="1:19" x14ac:dyDescent="0.3">
      <c r="A1269" t="s">
        <v>2561</v>
      </c>
      <c r="B1269" t="s">
        <v>2562</v>
      </c>
      <c r="C1269">
        <v>60</v>
      </c>
      <c r="D1269" s="2" t="s">
        <v>13</v>
      </c>
      <c r="E1269" s="2" t="s">
        <v>30</v>
      </c>
      <c r="F1269" s="2" t="s">
        <v>23</v>
      </c>
      <c r="G1269" s="2" t="s">
        <v>66</v>
      </c>
      <c r="H1269" s="2" t="s">
        <v>18</v>
      </c>
      <c r="I1269" s="2" t="s">
        <v>17</v>
      </c>
      <c r="J1269">
        <v>0.52</v>
      </c>
      <c r="K1269" s="1">
        <v>43392</v>
      </c>
      <c r="L1269" s="2" t="str">
        <f>IF(Sheet1[[#This Row],[age]]&lt;18, "Under 18",IF(Sheet1[[#This Row],[age]]&lt;=30,"18-30",IF(Sheet1[[#This Row],[age]]&lt;=45,"31-45",IF(Sheet1[[#This Row],[age]]&lt;=60,"46-60","60+"))))</f>
        <v>46-60</v>
      </c>
      <c r="M1269" s="2" t="str">
        <f>IF(Sheet1[[#This Row],[risk_score]]&lt;0.3,"Low",IF(Sheet1[[#This Row],[risk_score]]&lt;0.7,"Medium","High"))</f>
        <v>Medium</v>
      </c>
      <c r="N1269">
        <f>YEAR(Sheet1[[#This Row],[date_joined]])</f>
        <v>2018</v>
      </c>
      <c r="O1269" s="2" t="str">
        <f>TEXT(Sheet1[[#This Row],[date_joined]],"mmm")</f>
        <v>Oct</v>
      </c>
      <c r="P1269" s="2" t="str">
        <f>"Q"&amp;ROUNDUP(MONTH(Sheet1[[#This Row],[date_joined]])/3,0)</f>
        <v>Q4</v>
      </c>
      <c r="Q1269" s="2" t="str">
        <f>IF(Sheet1[[#This Row],[age]]&lt;30,"Young",IF(Sheet1[[#This Row],[age]]&lt;=50,"Adult","Senior"))</f>
        <v>Senior</v>
      </c>
      <c r="R1269" s="2" t="str">
        <f t="shared" si="38"/>
        <v>High</v>
      </c>
      <c r="S1269" s="2" t="str">
        <f t="shared" si="39"/>
        <v>North-East - Salaried</v>
      </c>
    </row>
    <row r="1270" spans="1:19" x14ac:dyDescent="0.3">
      <c r="A1270" t="s">
        <v>2563</v>
      </c>
      <c r="B1270" t="s">
        <v>2564</v>
      </c>
      <c r="C1270">
        <v>40</v>
      </c>
      <c r="D1270" s="2" t="s">
        <v>21</v>
      </c>
      <c r="E1270" s="2" t="s">
        <v>14</v>
      </c>
      <c r="F1270" s="2" t="s">
        <v>37</v>
      </c>
      <c r="G1270" s="2" t="s">
        <v>32</v>
      </c>
      <c r="H1270" s="2" t="s">
        <v>18</v>
      </c>
      <c r="I1270" s="2" t="s">
        <v>18</v>
      </c>
      <c r="J1270">
        <v>0.69</v>
      </c>
      <c r="K1270" s="1">
        <v>43367</v>
      </c>
      <c r="L1270" s="2" t="str">
        <f>IF(Sheet1[[#This Row],[age]]&lt;18, "Under 18",IF(Sheet1[[#This Row],[age]]&lt;=30,"18-30",IF(Sheet1[[#This Row],[age]]&lt;=45,"31-45",IF(Sheet1[[#This Row],[age]]&lt;=60,"46-60","60+"))))</f>
        <v>31-45</v>
      </c>
      <c r="M1270" s="2" t="str">
        <f>IF(Sheet1[[#This Row],[risk_score]]&lt;0.3,"Low",IF(Sheet1[[#This Row],[risk_score]]&lt;0.7,"Medium","High"))</f>
        <v>Medium</v>
      </c>
      <c r="N1270">
        <f>YEAR(Sheet1[[#This Row],[date_joined]])</f>
        <v>2018</v>
      </c>
      <c r="O1270" s="2" t="str">
        <f>TEXT(Sheet1[[#This Row],[date_joined]],"mmm")</f>
        <v>Sep</v>
      </c>
      <c r="P1270" s="2" t="str">
        <f>"Q"&amp;ROUNDUP(MONTH(Sheet1[[#This Row],[date_joined]])/3,0)</f>
        <v>Q3</v>
      </c>
      <c r="Q1270" s="2" t="str">
        <f>IF(Sheet1[[#This Row],[age]]&lt;30,"Young",IF(Sheet1[[#This Row],[age]]&lt;=50,"Adult","Senior"))</f>
        <v>Adult</v>
      </c>
      <c r="R1270" s="2" t="str">
        <f t="shared" si="38"/>
        <v>Very High</v>
      </c>
      <c r="S1270" s="2" t="str">
        <f t="shared" si="39"/>
        <v>South - Retired</v>
      </c>
    </row>
    <row r="1271" spans="1:19" x14ac:dyDescent="0.3">
      <c r="A1271" t="s">
        <v>2565</v>
      </c>
      <c r="B1271" t="s">
        <v>2566</v>
      </c>
      <c r="C1271">
        <v>33</v>
      </c>
      <c r="D1271" s="2" t="s">
        <v>21</v>
      </c>
      <c r="E1271" s="2" t="s">
        <v>22</v>
      </c>
      <c r="F1271" s="2" t="s">
        <v>15</v>
      </c>
      <c r="G1271" s="2" t="s">
        <v>81</v>
      </c>
      <c r="H1271" s="2" t="s">
        <v>18</v>
      </c>
      <c r="I1271" s="2" t="s">
        <v>18</v>
      </c>
      <c r="J1271">
        <v>0.72</v>
      </c>
      <c r="K1271" s="1">
        <v>44596</v>
      </c>
      <c r="L1271" s="2" t="str">
        <f>IF(Sheet1[[#This Row],[age]]&lt;18, "Under 18",IF(Sheet1[[#This Row],[age]]&lt;=30,"18-30",IF(Sheet1[[#This Row],[age]]&lt;=45,"31-45",IF(Sheet1[[#This Row],[age]]&lt;=60,"46-60","60+"))))</f>
        <v>31-45</v>
      </c>
      <c r="M1271" s="2" t="str">
        <f>IF(Sheet1[[#This Row],[risk_score]]&lt;0.3,"Low",IF(Sheet1[[#This Row],[risk_score]]&lt;0.7,"Medium","High"))</f>
        <v>High</v>
      </c>
      <c r="N1271">
        <f>YEAR(Sheet1[[#This Row],[date_joined]])</f>
        <v>2022</v>
      </c>
      <c r="O1271" s="2" t="str">
        <f>TEXT(Sheet1[[#This Row],[date_joined]],"mmm")</f>
        <v>Feb</v>
      </c>
      <c r="P1271" s="2" t="str">
        <f>"Q"&amp;ROUNDUP(MONTH(Sheet1[[#This Row],[date_joined]])/3,0)</f>
        <v>Q1</v>
      </c>
      <c r="Q1271" s="2" t="str">
        <f>IF(Sheet1[[#This Row],[age]]&lt;30,"Young",IF(Sheet1[[#This Row],[age]]&lt;=50,"Adult","Senior"))</f>
        <v>Adult</v>
      </c>
      <c r="R1271" s="2" t="str">
        <f t="shared" si="38"/>
        <v>Very High</v>
      </c>
      <c r="S1271" s="2" t="str">
        <f t="shared" si="39"/>
        <v>Central - Student</v>
      </c>
    </row>
    <row r="1272" spans="1:19" x14ac:dyDescent="0.3">
      <c r="A1272" t="s">
        <v>2567</v>
      </c>
      <c r="B1272" t="s">
        <v>2568</v>
      </c>
      <c r="C1272">
        <v>60</v>
      </c>
      <c r="D1272" s="2" t="s">
        <v>13</v>
      </c>
      <c r="E1272" s="2" t="s">
        <v>22</v>
      </c>
      <c r="F1272" s="2" t="s">
        <v>23</v>
      </c>
      <c r="G1272" s="2" t="s">
        <v>66</v>
      </c>
      <c r="H1272" s="2" t="s">
        <v>18</v>
      </c>
      <c r="I1272" s="2" t="s">
        <v>18</v>
      </c>
      <c r="J1272">
        <v>0.33</v>
      </c>
      <c r="K1272" s="1">
        <v>44589</v>
      </c>
      <c r="L1272" s="2" t="str">
        <f>IF(Sheet1[[#This Row],[age]]&lt;18, "Under 18",IF(Sheet1[[#This Row],[age]]&lt;=30,"18-30",IF(Sheet1[[#This Row],[age]]&lt;=45,"31-45",IF(Sheet1[[#This Row],[age]]&lt;=60,"46-60","60+"))))</f>
        <v>46-60</v>
      </c>
      <c r="M1272" s="2" t="str">
        <f>IF(Sheet1[[#This Row],[risk_score]]&lt;0.3,"Low",IF(Sheet1[[#This Row],[risk_score]]&lt;0.7,"Medium","High"))</f>
        <v>Medium</v>
      </c>
      <c r="N1272">
        <f>YEAR(Sheet1[[#This Row],[date_joined]])</f>
        <v>2022</v>
      </c>
      <c r="O1272" s="2" t="str">
        <f>TEXT(Sheet1[[#This Row],[date_joined]],"mmm")</f>
        <v>Jan</v>
      </c>
      <c r="P1272" s="2" t="str">
        <f>"Q"&amp;ROUNDUP(MONTH(Sheet1[[#This Row],[date_joined]])/3,0)</f>
        <v>Q1</v>
      </c>
      <c r="Q1272" s="2" t="str">
        <f>IF(Sheet1[[#This Row],[age]]&lt;30,"Young",IF(Sheet1[[#This Row],[age]]&lt;=50,"Adult","Senior"))</f>
        <v>Senior</v>
      </c>
      <c r="R1272" s="2" t="str">
        <f t="shared" si="38"/>
        <v>Very High</v>
      </c>
      <c r="S1272" s="2" t="str">
        <f t="shared" si="39"/>
        <v>North-East - Salaried</v>
      </c>
    </row>
    <row r="1273" spans="1:19" x14ac:dyDescent="0.3">
      <c r="A1273" t="s">
        <v>2569</v>
      </c>
      <c r="B1273" t="s">
        <v>2570</v>
      </c>
      <c r="C1273">
        <v>39</v>
      </c>
      <c r="D1273" s="2" t="s">
        <v>13</v>
      </c>
      <c r="E1273" s="2" t="s">
        <v>22</v>
      </c>
      <c r="F1273" s="2" t="s">
        <v>15</v>
      </c>
      <c r="G1273" s="2" t="s">
        <v>24</v>
      </c>
      <c r="H1273" s="2" t="s">
        <v>17</v>
      </c>
      <c r="I1273" s="2" t="s">
        <v>17</v>
      </c>
      <c r="J1273">
        <v>0.53</v>
      </c>
      <c r="K1273" s="1">
        <v>44895</v>
      </c>
      <c r="L1273" s="2" t="str">
        <f>IF(Sheet1[[#This Row],[age]]&lt;18, "Under 18",IF(Sheet1[[#This Row],[age]]&lt;=30,"18-30",IF(Sheet1[[#This Row],[age]]&lt;=45,"31-45",IF(Sheet1[[#This Row],[age]]&lt;=60,"46-60","60+"))))</f>
        <v>31-45</v>
      </c>
      <c r="M1273" s="2" t="str">
        <f>IF(Sheet1[[#This Row],[risk_score]]&lt;0.3,"Low",IF(Sheet1[[#This Row],[risk_score]]&lt;0.7,"Medium","High"))</f>
        <v>Medium</v>
      </c>
      <c r="N1273">
        <f>YEAR(Sheet1[[#This Row],[date_joined]])</f>
        <v>2022</v>
      </c>
      <c r="O1273" s="2" t="str">
        <f>TEXT(Sheet1[[#This Row],[date_joined]],"mmm")</f>
        <v>Nov</v>
      </c>
      <c r="P1273" s="2" t="str">
        <f>"Q"&amp;ROUNDUP(MONTH(Sheet1[[#This Row],[date_joined]])/3,0)</f>
        <v>Q4</v>
      </c>
      <c r="Q1273" s="2" t="str">
        <f>IF(Sheet1[[#This Row],[age]]&lt;30,"Young",IF(Sheet1[[#This Row],[age]]&lt;=50,"Adult","Senior"))</f>
        <v>Adult</v>
      </c>
      <c r="R1273" s="2" t="str">
        <f t="shared" si="38"/>
        <v>Low</v>
      </c>
      <c r="S1273" s="2" t="str">
        <f t="shared" si="39"/>
        <v>East - Student</v>
      </c>
    </row>
    <row r="1274" spans="1:19" x14ac:dyDescent="0.3">
      <c r="A1274" t="s">
        <v>2571</v>
      </c>
      <c r="B1274" t="s">
        <v>2572</v>
      </c>
      <c r="C1274">
        <v>54</v>
      </c>
      <c r="D1274" s="2" t="s">
        <v>21</v>
      </c>
      <c r="E1274" s="2" t="s">
        <v>14</v>
      </c>
      <c r="F1274" s="2" t="s">
        <v>15</v>
      </c>
      <c r="G1274" s="2" t="s">
        <v>16</v>
      </c>
      <c r="H1274" s="2" t="s">
        <v>17</v>
      </c>
      <c r="I1274" s="2" t="s">
        <v>17</v>
      </c>
      <c r="J1274">
        <v>0.77</v>
      </c>
      <c r="K1274" s="1">
        <v>44255</v>
      </c>
      <c r="L1274" s="2" t="str">
        <f>IF(Sheet1[[#This Row],[age]]&lt;18, "Under 18",IF(Sheet1[[#This Row],[age]]&lt;=30,"18-30",IF(Sheet1[[#This Row],[age]]&lt;=45,"31-45",IF(Sheet1[[#This Row],[age]]&lt;=60,"46-60","60+"))))</f>
        <v>46-60</v>
      </c>
      <c r="M1274" s="2" t="str">
        <f>IF(Sheet1[[#This Row],[risk_score]]&lt;0.3,"Low",IF(Sheet1[[#This Row],[risk_score]]&lt;0.7,"Medium","High"))</f>
        <v>High</v>
      </c>
      <c r="N1274">
        <f>YEAR(Sheet1[[#This Row],[date_joined]])</f>
        <v>2021</v>
      </c>
      <c r="O1274" s="2" t="str">
        <f>TEXT(Sheet1[[#This Row],[date_joined]],"mmm")</f>
        <v>Feb</v>
      </c>
      <c r="P1274" s="2" t="str">
        <f>"Q"&amp;ROUNDUP(MONTH(Sheet1[[#This Row],[date_joined]])/3,0)</f>
        <v>Q1</v>
      </c>
      <c r="Q1274" s="2" t="str">
        <f>IF(Sheet1[[#This Row],[age]]&lt;30,"Young",IF(Sheet1[[#This Row],[age]]&lt;=50,"Adult","Senior"))</f>
        <v>Senior</v>
      </c>
      <c r="R1274" s="2" t="str">
        <f t="shared" si="38"/>
        <v>Low</v>
      </c>
      <c r="S1274" s="2" t="str">
        <f t="shared" si="39"/>
        <v>West - Student</v>
      </c>
    </row>
    <row r="1275" spans="1:19" x14ac:dyDescent="0.3">
      <c r="A1275" t="s">
        <v>2573</v>
      </c>
      <c r="B1275" t="s">
        <v>2574</v>
      </c>
      <c r="C1275">
        <v>60</v>
      </c>
      <c r="D1275" s="2" t="s">
        <v>13</v>
      </c>
      <c r="E1275" s="2" t="s">
        <v>22</v>
      </c>
      <c r="F1275" s="2" t="s">
        <v>15</v>
      </c>
      <c r="G1275" s="2" t="s">
        <v>66</v>
      </c>
      <c r="H1275" s="2" t="s">
        <v>18</v>
      </c>
      <c r="I1275" s="2" t="s">
        <v>18</v>
      </c>
      <c r="J1275">
        <v>0.74</v>
      </c>
      <c r="K1275" s="1">
        <v>45012</v>
      </c>
      <c r="L1275" s="2" t="str">
        <f>IF(Sheet1[[#This Row],[age]]&lt;18, "Under 18",IF(Sheet1[[#This Row],[age]]&lt;=30,"18-30",IF(Sheet1[[#This Row],[age]]&lt;=45,"31-45",IF(Sheet1[[#This Row],[age]]&lt;=60,"46-60","60+"))))</f>
        <v>46-60</v>
      </c>
      <c r="M1275" s="2" t="str">
        <f>IF(Sheet1[[#This Row],[risk_score]]&lt;0.3,"Low",IF(Sheet1[[#This Row],[risk_score]]&lt;0.7,"Medium","High"))</f>
        <v>High</v>
      </c>
      <c r="N1275">
        <f>YEAR(Sheet1[[#This Row],[date_joined]])</f>
        <v>2023</v>
      </c>
      <c r="O1275" s="2" t="str">
        <f>TEXT(Sheet1[[#This Row],[date_joined]],"mmm")</f>
        <v>Mar</v>
      </c>
      <c r="P1275" s="2" t="str">
        <f>"Q"&amp;ROUNDUP(MONTH(Sheet1[[#This Row],[date_joined]])/3,0)</f>
        <v>Q1</v>
      </c>
      <c r="Q1275" s="2" t="str">
        <f>IF(Sheet1[[#This Row],[age]]&lt;30,"Young",IF(Sheet1[[#This Row],[age]]&lt;=50,"Adult","Senior"))</f>
        <v>Senior</v>
      </c>
      <c r="R1275" s="2" t="str">
        <f t="shared" si="38"/>
        <v>Very High</v>
      </c>
      <c r="S1275" s="2" t="str">
        <f t="shared" si="39"/>
        <v>North-East - Student</v>
      </c>
    </row>
    <row r="1276" spans="1:19" x14ac:dyDescent="0.3">
      <c r="A1276" t="s">
        <v>2575</v>
      </c>
      <c r="B1276" t="s">
        <v>2576</v>
      </c>
      <c r="C1276">
        <v>22</v>
      </c>
      <c r="D1276" s="2" t="s">
        <v>21</v>
      </c>
      <c r="E1276" s="2" t="s">
        <v>14</v>
      </c>
      <c r="F1276" s="2" t="s">
        <v>23</v>
      </c>
      <c r="G1276" s="2" t="s">
        <v>27</v>
      </c>
      <c r="H1276" s="2" t="s">
        <v>17</v>
      </c>
      <c r="I1276" s="2" t="s">
        <v>17</v>
      </c>
      <c r="J1276">
        <v>0.15</v>
      </c>
      <c r="K1276" s="1">
        <v>43181</v>
      </c>
      <c r="L1276" s="2" t="str">
        <f>IF(Sheet1[[#This Row],[age]]&lt;18, "Under 18",IF(Sheet1[[#This Row],[age]]&lt;=30,"18-30",IF(Sheet1[[#This Row],[age]]&lt;=45,"31-45",IF(Sheet1[[#This Row],[age]]&lt;=60,"46-60","60+"))))</f>
        <v>18-30</v>
      </c>
      <c r="M1276" s="2" t="str">
        <f>IF(Sheet1[[#This Row],[risk_score]]&lt;0.3,"Low",IF(Sheet1[[#This Row],[risk_score]]&lt;0.7,"Medium","High"))</f>
        <v>Low</v>
      </c>
      <c r="N1276">
        <f>YEAR(Sheet1[[#This Row],[date_joined]])</f>
        <v>2018</v>
      </c>
      <c r="O1276" s="2" t="str">
        <f>TEXT(Sheet1[[#This Row],[date_joined]],"mmm")</f>
        <v>Mar</v>
      </c>
      <c r="P1276" s="2" t="str">
        <f>"Q"&amp;ROUNDUP(MONTH(Sheet1[[#This Row],[date_joined]])/3,0)</f>
        <v>Q1</v>
      </c>
      <c r="Q1276" s="2" t="str">
        <f>IF(Sheet1[[#This Row],[age]]&lt;30,"Young",IF(Sheet1[[#This Row],[age]]&lt;=50,"Adult","Senior"))</f>
        <v>Young</v>
      </c>
      <c r="R1276" s="2" t="str">
        <f t="shared" si="38"/>
        <v>Low</v>
      </c>
      <c r="S1276" s="2" t="str">
        <f t="shared" si="39"/>
        <v>North - Salaried</v>
      </c>
    </row>
    <row r="1277" spans="1:19" x14ac:dyDescent="0.3">
      <c r="A1277" t="s">
        <v>2577</v>
      </c>
      <c r="B1277" t="s">
        <v>2578</v>
      </c>
      <c r="C1277">
        <v>51</v>
      </c>
      <c r="D1277" s="2" t="s">
        <v>13</v>
      </c>
      <c r="E1277" s="2" t="s">
        <v>30</v>
      </c>
      <c r="F1277" s="2" t="s">
        <v>37</v>
      </c>
      <c r="G1277" s="2" t="s">
        <v>81</v>
      </c>
      <c r="H1277" s="2" t="s">
        <v>18</v>
      </c>
      <c r="I1277" s="2" t="s">
        <v>18</v>
      </c>
      <c r="J1277">
        <v>0.62</v>
      </c>
      <c r="K1277" s="1">
        <v>43353</v>
      </c>
      <c r="L1277" s="2" t="str">
        <f>IF(Sheet1[[#This Row],[age]]&lt;18, "Under 18",IF(Sheet1[[#This Row],[age]]&lt;=30,"18-30",IF(Sheet1[[#This Row],[age]]&lt;=45,"31-45",IF(Sheet1[[#This Row],[age]]&lt;=60,"46-60","60+"))))</f>
        <v>46-60</v>
      </c>
      <c r="M1277" s="2" t="str">
        <f>IF(Sheet1[[#This Row],[risk_score]]&lt;0.3,"Low",IF(Sheet1[[#This Row],[risk_score]]&lt;0.7,"Medium","High"))</f>
        <v>Medium</v>
      </c>
      <c r="N1277">
        <f>YEAR(Sheet1[[#This Row],[date_joined]])</f>
        <v>2018</v>
      </c>
      <c r="O1277" s="2" t="str">
        <f>TEXT(Sheet1[[#This Row],[date_joined]],"mmm")</f>
        <v>Sep</v>
      </c>
      <c r="P1277" s="2" t="str">
        <f>"Q"&amp;ROUNDUP(MONTH(Sheet1[[#This Row],[date_joined]])/3,0)</f>
        <v>Q3</v>
      </c>
      <c r="Q1277" s="2" t="str">
        <f>IF(Sheet1[[#This Row],[age]]&lt;30,"Young",IF(Sheet1[[#This Row],[age]]&lt;=50,"Adult","Senior"))</f>
        <v>Senior</v>
      </c>
      <c r="R1277" s="2" t="str">
        <f t="shared" si="38"/>
        <v>Very High</v>
      </c>
      <c r="S1277" s="2" t="str">
        <f t="shared" si="39"/>
        <v>Central - Retired</v>
      </c>
    </row>
    <row r="1278" spans="1:19" x14ac:dyDescent="0.3">
      <c r="A1278" t="s">
        <v>2579</v>
      </c>
      <c r="B1278" t="s">
        <v>2580</v>
      </c>
      <c r="C1278">
        <v>52</v>
      </c>
      <c r="D1278" s="2" t="s">
        <v>21</v>
      </c>
      <c r="E1278" s="2" t="s">
        <v>14</v>
      </c>
      <c r="F1278" s="2" t="s">
        <v>31</v>
      </c>
      <c r="G1278" s="2" t="s">
        <v>66</v>
      </c>
      <c r="H1278" s="2" t="s">
        <v>18</v>
      </c>
      <c r="I1278" s="2" t="s">
        <v>17</v>
      </c>
      <c r="J1278">
        <v>0.65</v>
      </c>
      <c r="K1278" s="1">
        <v>43809</v>
      </c>
      <c r="L1278" s="2" t="str">
        <f>IF(Sheet1[[#This Row],[age]]&lt;18, "Under 18",IF(Sheet1[[#This Row],[age]]&lt;=30,"18-30",IF(Sheet1[[#This Row],[age]]&lt;=45,"31-45",IF(Sheet1[[#This Row],[age]]&lt;=60,"46-60","60+"))))</f>
        <v>46-60</v>
      </c>
      <c r="M1278" s="2" t="str">
        <f>IF(Sheet1[[#This Row],[risk_score]]&lt;0.3,"Low",IF(Sheet1[[#This Row],[risk_score]]&lt;0.7,"Medium","High"))</f>
        <v>Medium</v>
      </c>
      <c r="N1278">
        <f>YEAR(Sheet1[[#This Row],[date_joined]])</f>
        <v>2019</v>
      </c>
      <c r="O1278" s="2" t="str">
        <f>TEXT(Sheet1[[#This Row],[date_joined]],"mmm")</f>
        <v>Dec</v>
      </c>
      <c r="P1278" s="2" t="str">
        <f>"Q"&amp;ROUNDUP(MONTH(Sheet1[[#This Row],[date_joined]])/3,0)</f>
        <v>Q4</v>
      </c>
      <c r="Q1278" s="2" t="str">
        <f>IF(Sheet1[[#This Row],[age]]&lt;30,"Young",IF(Sheet1[[#This Row],[age]]&lt;=50,"Adult","Senior"))</f>
        <v>Senior</v>
      </c>
      <c r="R1278" s="2" t="str">
        <f t="shared" si="38"/>
        <v>High</v>
      </c>
      <c r="S1278" s="2" t="str">
        <f t="shared" si="39"/>
        <v>North-East - Self-employed</v>
      </c>
    </row>
    <row r="1279" spans="1:19" x14ac:dyDescent="0.3">
      <c r="A1279" t="s">
        <v>2581</v>
      </c>
      <c r="B1279" t="s">
        <v>2582</v>
      </c>
      <c r="C1279">
        <v>57</v>
      </c>
      <c r="D1279" s="2" t="s">
        <v>13</v>
      </c>
      <c r="E1279" s="2" t="s">
        <v>30</v>
      </c>
      <c r="F1279" s="2" t="s">
        <v>31</v>
      </c>
      <c r="G1279" s="2" t="s">
        <v>27</v>
      </c>
      <c r="H1279" s="2" t="s">
        <v>17</v>
      </c>
      <c r="I1279" s="2" t="s">
        <v>17</v>
      </c>
      <c r="J1279">
        <v>0.57999999999999996</v>
      </c>
      <c r="K1279" s="1">
        <v>43332</v>
      </c>
      <c r="L1279" s="2" t="str">
        <f>IF(Sheet1[[#This Row],[age]]&lt;18, "Under 18",IF(Sheet1[[#This Row],[age]]&lt;=30,"18-30",IF(Sheet1[[#This Row],[age]]&lt;=45,"31-45",IF(Sheet1[[#This Row],[age]]&lt;=60,"46-60","60+"))))</f>
        <v>46-60</v>
      </c>
      <c r="M1279" s="2" t="str">
        <f>IF(Sheet1[[#This Row],[risk_score]]&lt;0.3,"Low",IF(Sheet1[[#This Row],[risk_score]]&lt;0.7,"Medium","High"))</f>
        <v>Medium</v>
      </c>
      <c r="N1279">
        <f>YEAR(Sheet1[[#This Row],[date_joined]])</f>
        <v>2018</v>
      </c>
      <c r="O1279" s="2" t="str">
        <f>TEXT(Sheet1[[#This Row],[date_joined]],"mmm")</f>
        <v>Aug</v>
      </c>
      <c r="P1279" s="2" t="str">
        <f>"Q"&amp;ROUNDUP(MONTH(Sheet1[[#This Row],[date_joined]])/3,0)</f>
        <v>Q3</v>
      </c>
      <c r="Q1279" s="2" t="str">
        <f>IF(Sheet1[[#This Row],[age]]&lt;30,"Young",IF(Sheet1[[#This Row],[age]]&lt;=50,"Adult","Senior"))</f>
        <v>Senior</v>
      </c>
      <c r="R1279" s="2" t="str">
        <f t="shared" si="38"/>
        <v>Low</v>
      </c>
      <c r="S1279" s="2" t="str">
        <f t="shared" si="39"/>
        <v>North - Self-employed</v>
      </c>
    </row>
    <row r="1280" spans="1:19" x14ac:dyDescent="0.3">
      <c r="A1280" t="s">
        <v>2583</v>
      </c>
      <c r="B1280" t="s">
        <v>2584</v>
      </c>
      <c r="C1280">
        <v>31</v>
      </c>
      <c r="D1280" s="2" t="s">
        <v>21</v>
      </c>
      <c r="E1280" s="2" t="s">
        <v>14</v>
      </c>
      <c r="F1280" s="2" t="s">
        <v>31</v>
      </c>
      <c r="G1280" s="2" t="s">
        <v>27</v>
      </c>
      <c r="H1280" s="2" t="s">
        <v>18</v>
      </c>
      <c r="I1280" s="2" t="s">
        <v>17</v>
      </c>
      <c r="J1280">
        <v>0.5</v>
      </c>
      <c r="K1280" s="1">
        <v>43265</v>
      </c>
      <c r="L1280" s="2" t="str">
        <f>IF(Sheet1[[#This Row],[age]]&lt;18, "Under 18",IF(Sheet1[[#This Row],[age]]&lt;=30,"18-30",IF(Sheet1[[#This Row],[age]]&lt;=45,"31-45",IF(Sheet1[[#This Row],[age]]&lt;=60,"46-60","60+"))))</f>
        <v>31-45</v>
      </c>
      <c r="M1280" s="2" t="str">
        <f>IF(Sheet1[[#This Row],[risk_score]]&lt;0.3,"Low",IF(Sheet1[[#This Row],[risk_score]]&lt;0.7,"Medium","High"))</f>
        <v>Medium</v>
      </c>
      <c r="N1280">
        <f>YEAR(Sheet1[[#This Row],[date_joined]])</f>
        <v>2018</v>
      </c>
      <c r="O1280" s="2" t="str">
        <f>TEXT(Sheet1[[#This Row],[date_joined]],"mmm")</f>
        <v>Jun</v>
      </c>
      <c r="P1280" s="2" t="str">
        <f>"Q"&amp;ROUNDUP(MONTH(Sheet1[[#This Row],[date_joined]])/3,0)</f>
        <v>Q2</v>
      </c>
      <c r="Q1280" s="2" t="str">
        <f>IF(Sheet1[[#This Row],[age]]&lt;30,"Young",IF(Sheet1[[#This Row],[age]]&lt;=50,"Adult","Senior"))</f>
        <v>Adult</v>
      </c>
      <c r="R1280" s="2" t="str">
        <f t="shared" si="38"/>
        <v>High</v>
      </c>
      <c r="S1280" s="2" t="str">
        <f t="shared" si="39"/>
        <v>North - Self-employed</v>
      </c>
    </row>
    <row r="1281" spans="1:19" x14ac:dyDescent="0.3">
      <c r="A1281" t="s">
        <v>2585</v>
      </c>
      <c r="B1281" t="s">
        <v>2586</v>
      </c>
      <c r="C1281">
        <v>62</v>
      </c>
      <c r="D1281" s="2" t="s">
        <v>21</v>
      </c>
      <c r="E1281" s="2" t="s">
        <v>22</v>
      </c>
      <c r="F1281" s="2" t="s">
        <v>31</v>
      </c>
      <c r="G1281" s="2" t="s">
        <v>27</v>
      </c>
      <c r="H1281" s="2" t="s">
        <v>18</v>
      </c>
      <c r="I1281" s="2" t="s">
        <v>17</v>
      </c>
      <c r="J1281">
        <v>0.71</v>
      </c>
      <c r="K1281" s="1">
        <v>44618</v>
      </c>
      <c r="L1281" s="2" t="str">
        <f>IF(Sheet1[[#This Row],[age]]&lt;18, "Under 18",IF(Sheet1[[#This Row],[age]]&lt;=30,"18-30",IF(Sheet1[[#This Row],[age]]&lt;=45,"31-45",IF(Sheet1[[#This Row],[age]]&lt;=60,"46-60","60+"))))</f>
        <v>60+</v>
      </c>
      <c r="M1281" s="2" t="str">
        <f>IF(Sheet1[[#This Row],[risk_score]]&lt;0.3,"Low",IF(Sheet1[[#This Row],[risk_score]]&lt;0.7,"Medium","High"))</f>
        <v>High</v>
      </c>
      <c r="N1281">
        <f>YEAR(Sheet1[[#This Row],[date_joined]])</f>
        <v>2022</v>
      </c>
      <c r="O1281" s="2" t="str">
        <f>TEXT(Sheet1[[#This Row],[date_joined]],"mmm")</f>
        <v>Feb</v>
      </c>
      <c r="P1281" s="2" t="str">
        <f>"Q"&amp;ROUNDUP(MONTH(Sheet1[[#This Row],[date_joined]])/3,0)</f>
        <v>Q1</v>
      </c>
      <c r="Q1281" s="2" t="str">
        <f>IF(Sheet1[[#This Row],[age]]&lt;30,"Young",IF(Sheet1[[#This Row],[age]]&lt;=50,"Adult","Senior"))</f>
        <v>Senior</v>
      </c>
      <c r="R1281" s="2" t="str">
        <f t="shared" si="38"/>
        <v>High</v>
      </c>
      <c r="S1281" s="2" t="str">
        <f t="shared" si="39"/>
        <v>North - Self-employed</v>
      </c>
    </row>
    <row r="1282" spans="1:19" x14ac:dyDescent="0.3">
      <c r="A1282" t="s">
        <v>2587</v>
      </c>
      <c r="B1282" t="s">
        <v>2588</v>
      </c>
      <c r="C1282">
        <v>19</v>
      </c>
      <c r="D1282" s="2" t="s">
        <v>13</v>
      </c>
      <c r="E1282" s="2" t="s">
        <v>14</v>
      </c>
      <c r="F1282" s="2" t="s">
        <v>23</v>
      </c>
      <c r="G1282" s="2" t="s">
        <v>24</v>
      </c>
      <c r="H1282" s="2" t="s">
        <v>17</v>
      </c>
      <c r="I1282" s="2" t="s">
        <v>17</v>
      </c>
      <c r="J1282">
        <v>0.65</v>
      </c>
      <c r="K1282" s="1">
        <v>43260</v>
      </c>
      <c r="L1282" s="2" t="str">
        <f>IF(Sheet1[[#This Row],[age]]&lt;18, "Under 18",IF(Sheet1[[#This Row],[age]]&lt;=30,"18-30",IF(Sheet1[[#This Row],[age]]&lt;=45,"31-45",IF(Sheet1[[#This Row],[age]]&lt;=60,"46-60","60+"))))</f>
        <v>18-30</v>
      </c>
      <c r="M1282" s="2" t="str">
        <f>IF(Sheet1[[#This Row],[risk_score]]&lt;0.3,"Low",IF(Sheet1[[#This Row],[risk_score]]&lt;0.7,"Medium","High"))</f>
        <v>Medium</v>
      </c>
      <c r="N1282">
        <f>YEAR(Sheet1[[#This Row],[date_joined]])</f>
        <v>2018</v>
      </c>
      <c r="O1282" s="2" t="str">
        <f>TEXT(Sheet1[[#This Row],[date_joined]],"mmm")</f>
        <v>Jun</v>
      </c>
      <c r="P1282" s="2" t="str">
        <f>"Q"&amp;ROUNDUP(MONTH(Sheet1[[#This Row],[date_joined]])/3,0)</f>
        <v>Q2</v>
      </c>
      <c r="Q1282" s="2" t="str">
        <f>IF(Sheet1[[#This Row],[age]]&lt;30,"Young",IF(Sheet1[[#This Row],[age]]&lt;=50,"Adult","Senior"))</f>
        <v>Young</v>
      </c>
      <c r="R1282" s="2" t="str">
        <f t="shared" ref="R1282:R1345" si="40">IF(AND(H1282="Yes",I1282="Yes"),"Very High",
IF(OR(H1282="Yes",I1282="Yes"),"High","Low"))</f>
        <v>Low</v>
      </c>
      <c r="S1282" s="2" t="str">
        <f t="shared" ref="S1282:S1345" si="41">G1282&amp;" - "&amp;F1282</f>
        <v>East - Salaried</v>
      </c>
    </row>
    <row r="1283" spans="1:19" x14ac:dyDescent="0.3">
      <c r="A1283" t="s">
        <v>2589</v>
      </c>
      <c r="B1283" t="s">
        <v>2590</v>
      </c>
      <c r="C1283">
        <v>19</v>
      </c>
      <c r="D1283" s="2" t="s">
        <v>21</v>
      </c>
      <c r="E1283" s="2" t="s">
        <v>14</v>
      </c>
      <c r="F1283" s="2" t="s">
        <v>37</v>
      </c>
      <c r="G1283" s="2" t="s">
        <v>81</v>
      </c>
      <c r="H1283" s="2" t="s">
        <v>18</v>
      </c>
      <c r="I1283" s="2" t="s">
        <v>17</v>
      </c>
      <c r="J1283">
        <v>0.36</v>
      </c>
      <c r="K1283" s="1">
        <v>43395</v>
      </c>
      <c r="L1283" s="2" t="str">
        <f>IF(Sheet1[[#This Row],[age]]&lt;18, "Under 18",IF(Sheet1[[#This Row],[age]]&lt;=30,"18-30",IF(Sheet1[[#This Row],[age]]&lt;=45,"31-45",IF(Sheet1[[#This Row],[age]]&lt;=60,"46-60","60+"))))</f>
        <v>18-30</v>
      </c>
      <c r="M1283" s="2" t="str">
        <f>IF(Sheet1[[#This Row],[risk_score]]&lt;0.3,"Low",IF(Sheet1[[#This Row],[risk_score]]&lt;0.7,"Medium","High"))</f>
        <v>Medium</v>
      </c>
      <c r="N1283">
        <f>YEAR(Sheet1[[#This Row],[date_joined]])</f>
        <v>2018</v>
      </c>
      <c r="O1283" s="2" t="str">
        <f>TEXT(Sheet1[[#This Row],[date_joined]],"mmm")</f>
        <v>Oct</v>
      </c>
      <c r="P1283" s="2" t="str">
        <f>"Q"&amp;ROUNDUP(MONTH(Sheet1[[#This Row],[date_joined]])/3,0)</f>
        <v>Q4</v>
      </c>
      <c r="Q1283" s="2" t="str">
        <f>IF(Sheet1[[#This Row],[age]]&lt;30,"Young",IF(Sheet1[[#This Row],[age]]&lt;=50,"Adult","Senior"))</f>
        <v>Young</v>
      </c>
      <c r="R1283" s="2" t="str">
        <f t="shared" si="40"/>
        <v>High</v>
      </c>
      <c r="S1283" s="2" t="str">
        <f t="shared" si="41"/>
        <v>Central - Retired</v>
      </c>
    </row>
    <row r="1284" spans="1:19" x14ac:dyDescent="0.3">
      <c r="A1284" t="s">
        <v>2591</v>
      </c>
      <c r="B1284" t="s">
        <v>2592</v>
      </c>
      <c r="C1284">
        <v>33</v>
      </c>
      <c r="D1284" s="2" t="s">
        <v>21</v>
      </c>
      <c r="E1284" s="2" t="s">
        <v>30</v>
      </c>
      <c r="F1284" s="2" t="s">
        <v>23</v>
      </c>
      <c r="G1284" s="2" t="s">
        <v>81</v>
      </c>
      <c r="H1284" s="2" t="s">
        <v>17</v>
      </c>
      <c r="I1284" s="2" t="s">
        <v>18</v>
      </c>
      <c r="J1284">
        <v>0.56000000000000005</v>
      </c>
      <c r="K1284" s="1">
        <v>44189</v>
      </c>
      <c r="L1284" s="2" t="str">
        <f>IF(Sheet1[[#This Row],[age]]&lt;18, "Under 18",IF(Sheet1[[#This Row],[age]]&lt;=30,"18-30",IF(Sheet1[[#This Row],[age]]&lt;=45,"31-45",IF(Sheet1[[#This Row],[age]]&lt;=60,"46-60","60+"))))</f>
        <v>31-45</v>
      </c>
      <c r="M1284" s="2" t="str">
        <f>IF(Sheet1[[#This Row],[risk_score]]&lt;0.3,"Low",IF(Sheet1[[#This Row],[risk_score]]&lt;0.7,"Medium","High"))</f>
        <v>Medium</v>
      </c>
      <c r="N1284">
        <f>YEAR(Sheet1[[#This Row],[date_joined]])</f>
        <v>2020</v>
      </c>
      <c r="O1284" s="2" t="str">
        <f>TEXT(Sheet1[[#This Row],[date_joined]],"mmm")</f>
        <v>Dec</v>
      </c>
      <c r="P1284" s="2" t="str">
        <f>"Q"&amp;ROUNDUP(MONTH(Sheet1[[#This Row],[date_joined]])/3,0)</f>
        <v>Q4</v>
      </c>
      <c r="Q1284" s="2" t="str">
        <f>IF(Sheet1[[#This Row],[age]]&lt;30,"Young",IF(Sheet1[[#This Row],[age]]&lt;=50,"Adult","Senior"))</f>
        <v>Adult</v>
      </c>
      <c r="R1284" s="2" t="str">
        <f t="shared" si="40"/>
        <v>High</v>
      </c>
      <c r="S1284" s="2" t="str">
        <f t="shared" si="41"/>
        <v>Central - Salaried</v>
      </c>
    </row>
    <row r="1285" spans="1:19" x14ac:dyDescent="0.3">
      <c r="A1285" t="s">
        <v>2593</v>
      </c>
      <c r="B1285" t="s">
        <v>2594</v>
      </c>
      <c r="C1285">
        <v>19</v>
      </c>
      <c r="D1285" s="2" t="s">
        <v>13</v>
      </c>
      <c r="E1285" s="2" t="s">
        <v>30</v>
      </c>
      <c r="F1285" s="2" t="s">
        <v>15</v>
      </c>
      <c r="G1285" s="2" t="s">
        <v>27</v>
      </c>
      <c r="H1285" s="2" t="s">
        <v>18</v>
      </c>
      <c r="I1285" s="2" t="s">
        <v>18</v>
      </c>
      <c r="J1285">
        <v>0.51</v>
      </c>
      <c r="K1285" s="1">
        <v>44504</v>
      </c>
      <c r="L1285" s="2" t="str">
        <f>IF(Sheet1[[#This Row],[age]]&lt;18, "Under 18",IF(Sheet1[[#This Row],[age]]&lt;=30,"18-30",IF(Sheet1[[#This Row],[age]]&lt;=45,"31-45",IF(Sheet1[[#This Row],[age]]&lt;=60,"46-60","60+"))))</f>
        <v>18-30</v>
      </c>
      <c r="M1285" s="2" t="str">
        <f>IF(Sheet1[[#This Row],[risk_score]]&lt;0.3,"Low",IF(Sheet1[[#This Row],[risk_score]]&lt;0.7,"Medium","High"))</f>
        <v>Medium</v>
      </c>
      <c r="N1285">
        <f>YEAR(Sheet1[[#This Row],[date_joined]])</f>
        <v>2021</v>
      </c>
      <c r="O1285" s="2" t="str">
        <f>TEXT(Sheet1[[#This Row],[date_joined]],"mmm")</f>
        <v>Nov</v>
      </c>
      <c r="P1285" s="2" t="str">
        <f>"Q"&amp;ROUNDUP(MONTH(Sheet1[[#This Row],[date_joined]])/3,0)</f>
        <v>Q4</v>
      </c>
      <c r="Q1285" s="2" t="str">
        <f>IF(Sheet1[[#This Row],[age]]&lt;30,"Young",IF(Sheet1[[#This Row],[age]]&lt;=50,"Adult","Senior"))</f>
        <v>Young</v>
      </c>
      <c r="R1285" s="2" t="str">
        <f t="shared" si="40"/>
        <v>Very High</v>
      </c>
      <c r="S1285" s="2" t="str">
        <f t="shared" si="41"/>
        <v>North - Student</v>
      </c>
    </row>
    <row r="1286" spans="1:19" x14ac:dyDescent="0.3">
      <c r="A1286" t="s">
        <v>2595</v>
      </c>
      <c r="B1286" t="s">
        <v>2596</v>
      </c>
      <c r="C1286">
        <v>56</v>
      </c>
      <c r="D1286" s="2" t="s">
        <v>13</v>
      </c>
      <c r="E1286" s="2" t="s">
        <v>22</v>
      </c>
      <c r="F1286" s="2" t="s">
        <v>15</v>
      </c>
      <c r="G1286" s="2" t="s">
        <v>27</v>
      </c>
      <c r="H1286" s="2" t="s">
        <v>18</v>
      </c>
      <c r="I1286" s="2" t="s">
        <v>17</v>
      </c>
      <c r="J1286">
        <v>0.52</v>
      </c>
      <c r="K1286" s="1">
        <v>43601</v>
      </c>
      <c r="L1286" s="2" t="str">
        <f>IF(Sheet1[[#This Row],[age]]&lt;18, "Under 18",IF(Sheet1[[#This Row],[age]]&lt;=30,"18-30",IF(Sheet1[[#This Row],[age]]&lt;=45,"31-45",IF(Sheet1[[#This Row],[age]]&lt;=60,"46-60","60+"))))</f>
        <v>46-60</v>
      </c>
      <c r="M1286" s="2" t="str">
        <f>IF(Sheet1[[#This Row],[risk_score]]&lt;0.3,"Low",IF(Sheet1[[#This Row],[risk_score]]&lt;0.7,"Medium","High"))</f>
        <v>Medium</v>
      </c>
      <c r="N1286">
        <f>YEAR(Sheet1[[#This Row],[date_joined]])</f>
        <v>2019</v>
      </c>
      <c r="O1286" s="2" t="str">
        <f>TEXT(Sheet1[[#This Row],[date_joined]],"mmm")</f>
        <v>May</v>
      </c>
      <c r="P1286" s="2" t="str">
        <f>"Q"&amp;ROUNDUP(MONTH(Sheet1[[#This Row],[date_joined]])/3,0)</f>
        <v>Q2</v>
      </c>
      <c r="Q1286" s="2" t="str">
        <f>IF(Sheet1[[#This Row],[age]]&lt;30,"Young",IF(Sheet1[[#This Row],[age]]&lt;=50,"Adult","Senior"))</f>
        <v>Senior</v>
      </c>
      <c r="R1286" s="2" t="str">
        <f t="shared" si="40"/>
        <v>High</v>
      </c>
      <c r="S1286" s="2" t="str">
        <f t="shared" si="41"/>
        <v>North - Student</v>
      </c>
    </row>
    <row r="1287" spans="1:19" x14ac:dyDescent="0.3">
      <c r="A1287" t="s">
        <v>2597</v>
      </c>
      <c r="B1287" t="s">
        <v>2598</v>
      </c>
      <c r="C1287">
        <v>28</v>
      </c>
      <c r="D1287" s="2" t="s">
        <v>13</v>
      </c>
      <c r="E1287" s="2" t="s">
        <v>14</v>
      </c>
      <c r="F1287" s="2" t="s">
        <v>15</v>
      </c>
      <c r="G1287" s="2" t="s">
        <v>32</v>
      </c>
      <c r="H1287" s="2" t="s">
        <v>17</v>
      </c>
      <c r="I1287" s="2" t="s">
        <v>18</v>
      </c>
      <c r="J1287">
        <v>0.41</v>
      </c>
      <c r="K1287" s="1">
        <v>44149</v>
      </c>
      <c r="L1287" s="2" t="str">
        <f>IF(Sheet1[[#This Row],[age]]&lt;18, "Under 18",IF(Sheet1[[#This Row],[age]]&lt;=30,"18-30",IF(Sheet1[[#This Row],[age]]&lt;=45,"31-45",IF(Sheet1[[#This Row],[age]]&lt;=60,"46-60","60+"))))</f>
        <v>18-30</v>
      </c>
      <c r="M1287" s="2" t="str">
        <f>IF(Sheet1[[#This Row],[risk_score]]&lt;0.3,"Low",IF(Sheet1[[#This Row],[risk_score]]&lt;0.7,"Medium","High"))</f>
        <v>Medium</v>
      </c>
      <c r="N1287">
        <f>YEAR(Sheet1[[#This Row],[date_joined]])</f>
        <v>2020</v>
      </c>
      <c r="O1287" s="2" t="str">
        <f>TEXT(Sheet1[[#This Row],[date_joined]],"mmm")</f>
        <v>Nov</v>
      </c>
      <c r="P1287" s="2" t="str">
        <f>"Q"&amp;ROUNDUP(MONTH(Sheet1[[#This Row],[date_joined]])/3,0)</f>
        <v>Q4</v>
      </c>
      <c r="Q1287" s="2" t="str">
        <f>IF(Sheet1[[#This Row],[age]]&lt;30,"Young",IF(Sheet1[[#This Row],[age]]&lt;=50,"Adult","Senior"))</f>
        <v>Young</v>
      </c>
      <c r="R1287" s="2" t="str">
        <f t="shared" si="40"/>
        <v>High</v>
      </c>
      <c r="S1287" s="2" t="str">
        <f t="shared" si="41"/>
        <v>South - Student</v>
      </c>
    </row>
    <row r="1288" spans="1:19" x14ac:dyDescent="0.3">
      <c r="A1288" t="s">
        <v>2599</v>
      </c>
      <c r="B1288" t="s">
        <v>2600</v>
      </c>
      <c r="C1288">
        <v>50</v>
      </c>
      <c r="D1288" s="2" t="s">
        <v>13</v>
      </c>
      <c r="E1288" s="2" t="s">
        <v>30</v>
      </c>
      <c r="F1288" s="2" t="s">
        <v>23</v>
      </c>
      <c r="G1288" s="2" t="s">
        <v>81</v>
      </c>
      <c r="H1288" s="2" t="s">
        <v>17</v>
      </c>
      <c r="I1288" s="2" t="s">
        <v>17</v>
      </c>
      <c r="J1288">
        <v>0.28000000000000003</v>
      </c>
      <c r="K1288" s="1">
        <v>43825</v>
      </c>
      <c r="L1288" s="2" t="str">
        <f>IF(Sheet1[[#This Row],[age]]&lt;18, "Under 18",IF(Sheet1[[#This Row],[age]]&lt;=30,"18-30",IF(Sheet1[[#This Row],[age]]&lt;=45,"31-45",IF(Sheet1[[#This Row],[age]]&lt;=60,"46-60","60+"))))</f>
        <v>46-60</v>
      </c>
      <c r="M1288" s="2" t="str">
        <f>IF(Sheet1[[#This Row],[risk_score]]&lt;0.3,"Low",IF(Sheet1[[#This Row],[risk_score]]&lt;0.7,"Medium","High"))</f>
        <v>Low</v>
      </c>
      <c r="N1288">
        <f>YEAR(Sheet1[[#This Row],[date_joined]])</f>
        <v>2019</v>
      </c>
      <c r="O1288" s="2" t="str">
        <f>TEXT(Sheet1[[#This Row],[date_joined]],"mmm")</f>
        <v>Dec</v>
      </c>
      <c r="P1288" s="2" t="str">
        <f>"Q"&amp;ROUNDUP(MONTH(Sheet1[[#This Row],[date_joined]])/3,0)</f>
        <v>Q4</v>
      </c>
      <c r="Q1288" s="2" t="str">
        <f>IF(Sheet1[[#This Row],[age]]&lt;30,"Young",IF(Sheet1[[#This Row],[age]]&lt;=50,"Adult","Senior"))</f>
        <v>Adult</v>
      </c>
      <c r="R1288" s="2" t="str">
        <f t="shared" si="40"/>
        <v>Low</v>
      </c>
      <c r="S1288" s="2" t="str">
        <f t="shared" si="41"/>
        <v>Central - Salaried</v>
      </c>
    </row>
    <row r="1289" spans="1:19" x14ac:dyDescent="0.3">
      <c r="A1289" t="s">
        <v>2601</v>
      </c>
      <c r="B1289" t="s">
        <v>2602</v>
      </c>
      <c r="C1289">
        <v>29</v>
      </c>
      <c r="D1289" s="2" t="s">
        <v>21</v>
      </c>
      <c r="E1289" s="2" t="s">
        <v>14</v>
      </c>
      <c r="F1289" s="2" t="s">
        <v>15</v>
      </c>
      <c r="G1289" s="2" t="s">
        <v>66</v>
      </c>
      <c r="H1289" s="2" t="s">
        <v>18</v>
      </c>
      <c r="I1289" s="2" t="s">
        <v>17</v>
      </c>
      <c r="J1289">
        <v>0.66</v>
      </c>
      <c r="K1289" s="1">
        <v>43626</v>
      </c>
      <c r="L1289" s="2" t="str">
        <f>IF(Sheet1[[#This Row],[age]]&lt;18, "Under 18",IF(Sheet1[[#This Row],[age]]&lt;=30,"18-30",IF(Sheet1[[#This Row],[age]]&lt;=45,"31-45",IF(Sheet1[[#This Row],[age]]&lt;=60,"46-60","60+"))))</f>
        <v>18-30</v>
      </c>
      <c r="M1289" s="2" t="str">
        <f>IF(Sheet1[[#This Row],[risk_score]]&lt;0.3,"Low",IF(Sheet1[[#This Row],[risk_score]]&lt;0.7,"Medium","High"))</f>
        <v>Medium</v>
      </c>
      <c r="N1289">
        <f>YEAR(Sheet1[[#This Row],[date_joined]])</f>
        <v>2019</v>
      </c>
      <c r="O1289" s="2" t="str">
        <f>TEXT(Sheet1[[#This Row],[date_joined]],"mmm")</f>
        <v>Jun</v>
      </c>
      <c r="P1289" s="2" t="str">
        <f>"Q"&amp;ROUNDUP(MONTH(Sheet1[[#This Row],[date_joined]])/3,0)</f>
        <v>Q2</v>
      </c>
      <c r="Q1289" s="2" t="str">
        <f>IF(Sheet1[[#This Row],[age]]&lt;30,"Young",IF(Sheet1[[#This Row],[age]]&lt;=50,"Adult","Senior"))</f>
        <v>Young</v>
      </c>
      <c r="R1289" s="2" t="str">
        <f t="shared" si="40"/>
        <v>High</v>
      </c>
      <c r="S1289" s="2" t="str">
        <f t="shared" si="41"/>
        <v>North-East - Student</v>
      </c>
    </row>
    <row r="1290" spans="1:19" x14ac:dyDescent="0.3">
      <c r="A1290" t="s">
        <v>2603</v>
      </c>
      <c r="B1290" t="s">
        <v>2604</v>
      </c>
      <c r="C1290">
        <v>58</v>
      </c>
      <c r="D1290" s="2" t="s">
        <v>21</v>
      </c>
      <c r="E1290" s="2" t="s">
        <v>14</v>
      </c>
      <c r="F1290" s="2" t="s">
        <v>31</v>
      </c>
      <c r="G1290" s="2" t="s">
        <v>16</v>
      </c>
      <c r="H1290" s="2" t="s">
        <v>18</v>
      </c>
      <c r="I1290" s="2" t="s">
        <v>18</v>
      </c>
      <c r="J1290">
        <v>0.56999999999999995</v>
      </c>
      <c r="K1290" s="1">
        <v>43162</v>
      </c>
      <c r="L1290" s="2" t="str">
        <f>IF(Sheet1[[#This Row],[age]]&lt;18, "Under 18",IF(Sheet1[[#This Row],[age]]&lt;=30,"18-30",IF(Sheet1[[#This Row],[age]]&lt;=45,"31-45",IF(Sheet1[[#This Row],[age]]&lt;=60,"46-60","60+"))))</f>
        <v>46-60</v>
      </c>
      <c r="M1290" s="2" t="str">
        <f>IF(Sheet1[[#This Row],[risk_score]]&lt;0.3,"Low",IF(Sheet1[[#This Row],[risk_score]]&lt;0.7,"Medium","High"))</f>
        <v>Medium</v>
      </c>
      <c r="N1290">
        <f>YEAR(Sheet1[[#This Row],[date_joined]])</f>
        <v>2018</v>
      </c>
      <c r="O1290" s="2" t="str">
        <f>TEXT(Sheet1[[#This Row],[date_joined]],"mmm")</f>
        <v>Mar</v>
      </c>
      <c r="P1290" s="2" t="str">
        <f>"Q"&amp;ROUNDUP(MONTH(Sheet1[[#This Row],[date_joined]])/3,0)</f>
        <v>Q1</v>
      </c>
      <c r="Q1290" s="2" t="str">
        <f>IF(Sheet1[[#This Row],[age]]&lt;30,"Young",IF(Sheet1[[#This Row],[age]]&lt;=50,"Adult","Senior"))</f>
        <v>Senior</v>
      </c>
      <c r="R1290" s="2" t="str">
        <f t="shared" si="40"/>
        <v>Very High</v>
      </c>
      <c r="S1290" s="2" t="str">
        <f t="shared" si="41"/>
        <v>West - Self-employed</v>
      </c>
    </row>
    <row r="1291" spans="1:19" x14ac:dyDescent="0.3">
      <c r="A1291" t="s">
        <v>2605</v>
      </c>
      <c r="B1291" t="s">
        <v>2606</v>
      </c>
      <c r="C1291">
        <v>33</v>
      </c>
      <c r="D1291" s="2" t="s">
        <v>13</v>
      </c>
      <c r="E1291" s="2" t="s">
        <v>14</v>
      </c>
      <c r="F1291" s="2" t="s">
        <v>23</v>
      </c>
      <c r="G1291" s="2" t="s">
        <v>66</v>
      </c>
      <c r="H1291" s="2" t="s">
        <v>17</v>
      </c>
      <c r="I1291" s="2" t="s">
        <v>18</v>
      </c>
      <c r="J1291">
        <v>0.68</v>
      </c>
      <c r="K1291" s="1">
        <v>43206</v>
      </c>
      <c r="L1291" s="2" t="str">
        <f>IF(Sheet1[[#This Row],[age]]&lt;18, "Under 18",IF(Sheet1[[#This Row],[age]]&lt;=30,"18-30",IF(Sheet1[[#This Row],[age]]&lt;=45,"31-45",IF(Sheet1[[#This Row],[age]]&lt;=60,"46-60","60+"))))</f>
        <v>31-45</v>
      </c>
      <c r="M1291" s="2" t="str">
        <f>IF(Sheet1[[#This Row],[risk_score]]&lt;0.3,"Low",IF(Sheet1[[#This Row],[risk_score]]&lt;0.7,"Medium","High"))</f>
        <v>Medium</v>
      </c>
      <c r="N1291">
        <f>YEAR(Sheet1[[#This Row],[date_joined]])</f>
        <v>2018</v>
      </c>
      <c r="O1291" s="2" t="str">
        <f>TEXT(Sheet1[[#This Row],[date_joined]],"mmm")</f>
        <v>Apr</v>
      </c>
      <c r="P1291" s="2" t="str">
        <f>"Q"&amp;ROUNDUP(MONTH(Sheet1[[#This Row],[date_joined]])/3,0)</f>
        <v>Q2</v>
      </c>
      <c r="Q1291" s="2" t="str">
        <f>IF(Sheet1[[#This Row],[age]]&lt;30,"Young",IF(Sheet1[[#This Row],[age]]&lt;=50,"Adult","Senior"))</f>
        <v>Adult</v>
      </c>
      <c r="R1291" s="2" t="str">
        <f t="shared" si="40"/>
        <v>High</v>
      </c>
      <c r="S1291" s="2" t="str">
        <f t="shared" si="41"/>
        <v>North-East - Salaried</v>
      </c>
    </row>
    <row r="1292" spans="1:19" x14ac:dyDescent="0.3">
      <c r="A1292" t="s">
        <v>2607</v>
      </c>
      <c r="B1292" t="s">
        <v>2608</v>
      </c>
      <c r="C1292">
        <v>69</v>
      </c>
      <c r="D1292" s="2" t="s">
        <v>13</v>
      </c>
      <c r="E1292" s="2" t="s">
        <v>14</v>
      </c>
      <c r="F1292" s="2" t="s">
        <v>15</v>
      </c>
      <c r="G1292" s="2" t="s">
        <v>66</v>
      </c>
      <c r="H1292" s="2" t="s">
        <v>18</v>
      </c>
      <c r="I1292" s="2" t="s">
        <v>18</v>
      </c>
      <c r="J1292">
        <v>0.63</v>
      </c>
      <c r="K1292" s="1">
        <v>43857</v>
      </c>
      <c r="L1292" s="2" t="str">
        <f>IF(Sheet1[[#This Row],[age]]&lt;18, "Under 18",IF(Sheet1[[#This Row],[age]]&lt;=30,"18-30",IF(Sheet1[[#This Row],[age]]&lt;=45,"31-45",IF(Sheet1[[#This Row],[age]]&lt;=60,"46-60","60+"))))</f>
        <v>60+</v>
      </c>
      <c r="M1292" s="2" t="str">
        <f>IF(Sheet1[[#This Row],[risk_score]]&lt;0.3,"Low",IF(Sheet1[[#This Row],[risk_score]]&lt;0.7,"Medium","High"))</f>
        <v>Medium</v>
      </c>
      <c r="N1292">
        <f>YEAR(Sheet1[[#This Row],[date_joined]])</f>
        <v>2020</v>
      </c>
      <c r="O1292" s="2" t="str">
        <f>TEXT(Sheet1[[#This Row],[date_joined]],"mmm")</f>
        <v>Jan</v>
      </c>
      <c r="P1292" s="2" t="str">
        <f>"Q"&amp;ROUNDUP(MONTH(Sheet1[[#This Row],[date_joined]])/3,0)</f>
        <v>Q1</v>
      </c>
      <c r="Q1292" s="2" t="str">
        <f>IF(Sheet1[[#This Row],[age]]&lt;30,"Young",IF(Sheet1[[#This Row],[age]]&lt;=50,"Adult","Senior"))</f>
        <v>Senior</v>
      </c>
      <c r="R1292" s="2" t="str">
        <f t="shared" si="40"/>
        <v>Very High</v>
      </c>
      <c r="S1292" s="2" t="str">
        <f t="shared" si="41"/>
        <v>North-East - Student</v>
      </c>
    </row>
    <row r="1293" spans="1:19" x14ac:dyDescent="0.3">
      <c r="A1293" t="s">
        <v>2609</v>
      </c>
      <c r="B1293" t="s">
        <v>2610</v>
      </c>
      <c r="C1293">
        <v>24</v>
      </c>
      <c r="D1293" s="2" t="s">
        <v>21</v>
      </c>
      <c r="E1293" s="2" t="s">
        <v>22</v>
      </c>
      <c r="F1293" s="2" t="s">
        <v>31</v>
      </c>
      <c r="G1293" s="2" t="s">
        <v>24</v>
      </c>
      <c r="H1293" s="2" t="s">
        <v>17</v>
      </c>
      <c r="I1293" s="2" t="s">
        <v>18</v>
      </c>
      <c r="J1293">
        <v>0.6</v>
      </c>
      <c r="K1293" s="1">
        <v>43709</v>
      </c>
      <c r="L1293" s="2" t="str">
        <f>IF(Sheet1[[#This Row],[age]]&lt;18, "Under 18",IF(Sheet1[[#This Row],[age]]&lt;=30,"18-30",IF(Sheet1[[#This Row],[age]]&lt;=45,"31-45",IF(Sheet1[[#This Row],[age]]&lt;=60,"46-60","60+"))))</f>
        <v>18-30</v>
      </c>
      <c r="M1293" s="2" t="str">
        <f>IF(Sheet1[[#This Row],[risk_score]]&lt;0.3,"Low",IF(Sheet1[[#This Row],[risk_score]]&lt;0.7,"Medium","High"))</f>
        <v>Medium</v>
      </c>
      <c r="N1293">
        <f>YEAR(Sheet1[[#This Row],[date_joined]])</f>
        <v>2019</v>
      </c>
      <c r="O1293" s="2" t="str">
        <f>TEXT(Sheet1[[#This Row],[date_joined]],"mmm")</f>
        <v>Sep</v>
      </c>
      <c r="P1293" s="2" t="str">
        <f>"Q"&amp;ROUNDUP(MONTH(Sheet1[[#This Row],[date_joined]])/3,0)</f>
        <v>Q3</v>
      </c>
      <c r="Q1293" s="2" t="str">
        <f>IF(Sheet1[[#This Row],[age]]&lt;30,"Young",IF(Sheet1[[#This Row],[age]]&lt;=50,"Adult","Senior"))</f>
        <v>Young</v>
      </c>
      <c r="R1293" s="2" t="str">
        <f t="shared" si="40"/>
        <v>High</v>
      </c>
      <c r="S1293" s="2" t="str">
        <f t="shared" si="41"/>
        <v>East - Self-employed</v>
      </c>
    </row>
    <row r="1294" spans="1:19" x14ac:dyDescent="0.3">
      <c r="A1294" t="s">
        <v>2611</v>
      </c>
      <c r="B1294" t="s">
        <v>2612</v>
      </c>
      <c r="C1294">
        <v>34</v>
      </c>
      <c r="D1294" s="2" t="s">
        <v>21</v>
      </c>
      <c r="E1294" s="2" t="s">
        <v>30</v>
      </c>
      <c r="F1294" s="2" t="s">
        <v>37</v>
      </c>
      <c r="G1294" s="2" t="s">
        <v>66</v>
      </c>
      <c r="H1294" s="2" t="s">
        <v>18</v>
      </c>
      <c r="I1294" s="2" t="s">
        <v>17</v>
      </c>
      <c r="J1294">
        <v>0.19</v>
      </c>
      <c r="K1294" s="1">
        <v>44095</v>
      </c>
      <c r="L1294" s="2" t="str">
        <f>IF(Sheet1[[#This Row],[age]]&lt;18, "Under 18",IF(Sheet1[[#This Row],[age]]&lt;=30,"18-30",IF(Sheet1[[#This Row],[age]]&lt;=45,"31-45",IF(Sheet1[[#This Row],[age]]&lt;=60,"46-60","60+"))))</f>
        <v>31-45</v>
      </c>
      <c r="M1294" s="2" t="str">
        <f>IF(Sheet1[[#This Row],[risk_score]]&lt;0.3,"Low",IF(Sheet1[[#This Row],[risk_score]]&lt;0.7,"Medium","High"))</f>
        <v>Low</v>
      </c>
      <c r="N1294">
        <f>YEAR(Sheet1[[#This Row],[date_joined]])</f>
        <v>2020</v>
      </c>
      <c r="O1294" s="2" t="str">
        <f>TEXT(Sheet1[[#This Row],[date_joined]],"mmm")</f>
        <v>Sep</v>
      </c>
      <c r="P1294" s="2" t="str">
        <f>"Q"&amp;ROUNDUP(MONTH(Sheet1[[#This Row],[date_joined]])/3,0)</f>
        <v>Q3</v>
      </c>
      <c r="Q1294" s="2" t="str">
        <f>IF(Sheet1[[#This Row],[age]]&lt;30,"Young",IF(Sheet1[[#This Row],[age]]&lt;=50,"Adult","Senior"))</f>
        <v>Adult</v>
      </c>
      <c r="R1294" s="2" t="str">
        <f t="shared" si="40"/>
        <v>High</v>
      </c>
      <c r="S1294" s="2" t="str">
        <f t="shared" si="41"/>
        <v>North-East - Retired</v>
      </c>
    </row>
    <row r="1295" spans="1:19" x14ac:dyDescent="0.3">
      <c r="A1295" t="s">
        <v>2613</v>
      </c>
      <c r="B1295" t="s">
        <v>2614</v>
      </c>
      <c r="C1295">
        <v>23</v>
      </c>
      <c r="D1295" s="2" t="s">
        <v>13</v>
      </c>
      <c r="E1295" s="2" t="s">
        <v>30</v>
      </c>
      <c r="F1295" s="2" t="s">
        <v>23</v>
      </c>
      <c r="G1295" s="2" t="s">
        <v>32</v>
      </c>
      <c r="H1295" s="2" t="s">
        <v>18</v>
      </c>
      <c r="I1295" s="2" t="s">
        <v>17</v>
      </c>
      <c r="J1295">
        <v>0.89</v>
      </c>
      <c r="K1295" s="1">
        <v>43708</v>
      </c>
      <c r="L1295" s="2" t="str">
        <f>IF(Sheet1[[#This Row],[age]]&lt;18, "Under 18",IF(Sheet1[[#This Row],[age]]&lt;=30,"18-30",IF(Sheet1[[#This Row],[age]]&lt;=45,"31-45",IF(Sheet1[[#This Row],[age]]&lt;=60,"46-60","60+"))))</f>
        <v>18-30</v>
      </c>
      <c r="M1295" s="2" t="str">
        <f>IF(Sheet1[[#This Row],[risk_score]]&lt;0.3,"Low",IF(Sheet1[[#This Row],[risk_score]]&lt;0.7,"Medium","High"))</f>
        <v>High</v>
      </c>
      <c r="N1295">
        <f>YEAR(Sheet1[[#This Row],[date_joined]])</f>
        <v>2019</v>
      </c>
      <c r="O1295" s="2" t="str">
        <f>TEXT(Sheet1[[#This Row],[date_joined]],"mmm")</f>
        <v>Aug</v>
      </c>
      <c r="P1295" s="2" t="str">
        <f>"Q"&amp;ROUNDUP(MONTH(Sheet1[[#This Row],[date_joined]])/3,0)</f>
        <v>Q3</v>
      </c>
      <c r="Q1295" s="2" t="str">
        <f>IF(Sheet1[[#This Row],[age]]&lt;30,"Young",IF(Sheet1[[#This Row],[age]]&lt;=50,"Adult","Senior"))</f>
        <v>Young</v>
      </c>
      <c r="R1295" s="2" t="str">
        <f t="shared" si="40"/>
        <v>High</v>
      </c>
      <c r="S1295" s="2" t="str">
        <f t="shared" si="41"/>
        <v>South - Salaried</v>
      </c>
    </row>
    <row r="1296" spans="1:19" x14ac:dyDescent="0.3">
      <c r="A1296" t="s">
        <v>2615</v>
      </c>
      <c r="B1296" t="s">
        <v>2616</v>
      </c>
      <c r="C1296">
        <v>36</v>
      </c>
      <c r="D1296" s="2" t="s">
        <v>21</v>
      </c>
      <c r="E1296" s="2" t="s">
        <v>22</v>
      </c>
      <c r="F1296" s="2" t="s">
        <v>31</v>
      </c>
      <c r="G1296" s="2" t="s">
        <v>66</v>
      </c>
      <c r="H1296" s="2" t="s">
        <v>17</v>
      </c>
      <c r="I1296" s="2" t="s">
        <v>17</v>
      </c>
      <c r="J1296">
        <v>0.59</v>
      </c>
      <c r="K1296" s="1">
        <v>44980</v>
      </c>
      <c r="L1296" s="2" t="str">
        <f>IF(Sheet1[[#This Row],[age]]&lt;18, "Under 18",IF(Sheet1[[#This Row],[age]]&lt;=30,"18-30",IF(Sheet1[[#This Row],[age]]&lt;=45,"31-45",IF(Sheet1[[#This Row],[age]]&lt;=60,"46-60","60+"))))</f>
        <v>31-45</v>
      </c>
      <c r="M1296" s="2" t="str">
        <f>IF(Sheet1[[#This Row],[risk_score]]&lt;0.3,"Low",IF(Sheet1[[#This Row],[risk_score]]&lt;0.7,"Medium","High"))</f>
        <v>Medium</v>
      </c>
      <c r="N1296">
        <f>YEAR(Sheet1[[#This Row],[date_joined]])</f>
        <v>2023</v>
      </c>
      <c r="O1296" s="2" t="str">
        <f>TEXT(Sheet1[[#This Row],[date_joined]],"mmm")</f>
        <v>Feb</v>
      </c>
      <c r="P1296" s="2" t="str">
        <f>"Q"&amp;ROUNDUP(MONTH(Sheet1[[#This Row],[date_joined]])/3,0)</f>
        <v>Q1</v>
      </c>
      <c r="Q1296" s="2" t="str">
        <f>IF(Sheet1[[#This Row],[age]]&lt;30,"Young",IF(Sheet1[[#This Row],[age]]&lt;=50,"Adult","Senior"))</f>
        <v>Adult</v>
      </c>
      <c r="R1296" s="2" t="str">
        <f t="shared" si="40"/>
        <v>Low</v>
      </c>
      <c r="S1296" s="2" t="str">
        <f t="shared" si="41"/>
        <v>North-East - Self-employed</v>
      </c>
    </row>
    <row r="1297" spans="1:19" x14ac:dyDescent="0.3">
      <c r="A1297" t="s">
        <v>2617</v>
      </c>
      <c r="B1297" t="s">
        <v>2618</v>
      </c>
      <c r="C1297">
        <v>21</v>
      </c>
      <c r="D1297" s="2" t="s">
        <v>13</v>
      </c>
      <c r="E1297" s="2" t="s">
        <v>14</v>
      </c>
      <c r="F1297" s="2" t="s">
        <v>15</v>
      </c>
      <c r="G1297" s="2" t="s">
        <v>27</v>
      </c>
      <c r="H1297" s="2" t="s">
        <v>18</v>
      </c>
      <c r="I1297" s="2" t="s">
        <v>17</v>
      </c>
      <c r="J1297">
        <v>0.59</v>
      </c>
      <c r="K1297" s="1">
        <v>43321</v>
      </c>
      <c r="L1297" s="2" t="str">
        <f>IF(Sheet1[[#This Row],[age]]&lt;18, "Under 18",IF(Sheet1[[#This Row],[age]]&lt;=30,"18-30",IF(Sheet1[[#This Row],[age]]&lt;=45,"31-45",IF(Sheet1[[#This Row],[age]]&lt;=60,"46-60","60+"))))</f>
        <v>18-30</v>
      </c>
      <c r="M1297" s="2" t="str">
        <f>IF(Sheet1[[#This Row],[risk_score]]&lt;0.3,"Low",IF(Sheet1[[#This Row],[risk_score]]&lt;0.7,"Medium","High"))</f>
        <v>Medium</v>
      </c>
      <c r="N1297">
        <f>YEAR(Sheet1[[#This Row],[date_joined]])</f>
        <v>2018</v>
      </c>
      <c r="O1297" s="2" t="str">
        <f>TEXT(Sheet1[[#This Row],[date_joined]],"mmm")</f>
        <v>Aug</v>
      </c>
      <c r="P1297" s="2" t="str">
        <f>"Q"&amp;ROUNDUP(MONTH(Sheet1[[#This Row],[date_joined]])/3,0)</f>
        <v>Q3</v>
      </c>
      <c r="Q1297" s="2" t="str">
        <f>IF(Sheet1[[#This Row],[age]]&lt;30,"Young",IF(Sheet1[[#This Row],[age]]&lt;=50,"Adult","Senior"))</f>
        <v>Young</v>
      </c>
      <c r="R1297" s="2" t="str">
        <f t="shared" si="40"/>
        <v>High</v>
      </c>
      <c r="S1297" s="2" t="str">
        <f t="shared" si="41"/>
        <v>North - Student</v>
      </c>
    </row>
    <row r="1298" spans="1:19" x14ac:dyDescent="0.3">
      <c r="A1298" t="s">
        <v>2619</v>
      </c>
      <c r="B1298" t="s">
        <v>2620</v>
      </c>
      <c r="C1298">
        <v>43</v>
      </c>
      <c r="D1298" s="2" t="s">
        <v>13</v>
      </c>
      <c r="E1298" s="2" t="s">
        <v>22</v>
      </c>
      <c r="F1298" s="2" t="s">
        <v>37</v>
      </c>
      <c r="G1298" s="2" t="s">
        <v>27</v>
      </c>
      <c r="H1298" s="2" t="s">
        <v>18</v>
      </c>
      <c r="I1298" s="2" t="s">
        <v>18</v>
      </c>
      <c r="J1298">
        <v>0.54</v>
      </c>
      <c r="K1298" s="1">
        <v>43498</v>
      </c>
      <c r="L1298" s="2" t="str">
        <f>IF(Sheet1[[#This Row],[age]]&lt;18, "Under 18",IF(Sheet1[[#This Row],[age]]&lt;=30,"18-30",IF(Sheet1[[#This Row],[age]]&lt;=45,"31-45",IF(Sheet1[[#This Row],[age]]&lt;=60,"46-60","60+"))))</f>
        <v>31-45</v>
      </c>
      <c r="M1298" s="2" t="str">
        <f>IF(Sheet1[[#This Row],[risk_score]]&lt;0.3,"Low",IF(Sheet1[[#This Row],[risk_score]]&lt;0.7,"Medium","High"))</f>
        <v>Medium</v>
      </c>
      <c r="N1298">
        <f>YEAR(Sheet1[[#This Row],[date_joined]])</f>
        <v>2019</v>
      </c>
      <c r="O1298" s="2" t="str">
        <f>TEXT(Sheet1[[#This Row],[date_joined]],"mmm")</f>
        <v>Feb</v>
      </c>
      <c r="P1298" s="2" t="str">
        <f>"Q"&amp;ROUNDUP(MONTH(Sheet1[[#This Row],[date_joined]])/3,0)</f>
        <v>Q1</v>
      </c>
      <c r="Q1298" s="2" t="str">
        <f>IF(Sheet1[[#This Row],[age]]&lt;30,"Young",IF(Sheet1[[#This Row],[age]]&lt;=50,"Adult","Senior"))</f>
        <v>Adult</v>
      </c>
      <c r="R1298" s="2" t="str">
        <f t="shared" si="40"/>
        <v>Very High</v>
      </c>
      <c r="S1298" s="2" t="str">
        <f t="shared" si="41"/>
        <v>North - Retired</v>
      </c>
    </row>
    <row r="1299" spans="1:19" x14ac:dyDescent="0.3">
      <c r="A1299" t="s">
        <v>2621</v>
      </c>
      <c r="B1299" t="s">
        <v>2622</v>
      </c>
      <c r="C1299">
        <v>36</v>
      </c>
      <c r="D1299" s="2" t="s">
        <v>21</v>
      </c>
      <c r="E1299" s="2" t="s">
        <v>30</v>
      </c>
      <c r="F1299" s="2" t="s">
        <v>31</v>
      </c>
      <c r="G1299" s="2" t="s">
        <v>27</v>
      </c>
      <c r="H1299" s="2" t="s">
        <v>18</v>
      </c>
      <c r="I1299" s="2" t="s">
        <v>18</v>
      </c>
      <c r="J1299">
        <v>0.47</v>
      </c>
      <c r="K1299" s="1">
        <v>44871</v>
      </c>
      <c r="L1299" s="2" t="str">
        <f>IF(Sheet1[[#This Row],[age]]&lt;18, "Under 18",IF(Sheet1[[#This Row],[age]]&lt;=30,"18-30",IF(Sheet1[[#This Row],[age]]&lt;=45,"31-45",IF(Sheet1[[#This Row],[age]]&lt;=60,"46-60","60+"))))</f>
        <v>31-45</v>
      </c>
      <c r="M1299" s="2" t="str">
        <f>IF(Sheet1[[#This Row],[risk_score]]&lt;0.3,"Low",IF(Sheet1[[#This Row],[risk_score]]&lt;0.7,"Medium","High"))</f>
        <v>Medium</v>
      </c>
      <c r="N1299">
        <f>YEAR(Sheet1[[#This Row],[date_joined]])</f>
        <v>2022</v>
      </c>
      <c r="O1299" s="2" t="str">
        <f>TEXT(Sheet1[[#This Row],[date_joined]],"mmm")</f>
        <v>Nov</v>
      </c>
      <c r="P1299" s="2" t="str">
        <f>"Q"&amp;ROUNDUP(MONTH(Sheet1[[#This Row],[date_joined]])/3,0)</f>
        <v>Q4</v>
      </c>
      <c r="Q1299" s="2" t="str">
        <f>IF(Sheet1[[#This Row],[age]]&lt;30,"Young",IF(Sheet1[[#This Row],[age]]&lt;=50,"Adult","Senior"))</f>
        <v>Adult</v>
      </c>
      <c r="R1299" s="2" t="str">
        <f t="shared" si="40"/>
        <v>Very High</v>
      </c>
      <c r="S1299" s="2" t="str">
        <f t="shared" si="41"/>
        <v>North - Self-employed</v>
      </c>
    </row>
    <row r="1300" spans="1:19" x14ac:dyDescent="0.3">
      <c r="A1300" t="s">
        <v>2623</v>
      </c>
      <c r="B1300" t="s">
        <v>2624</v>
      </c>
      <c r="C1300">
        <v>49</v>
      </c>
      <c r="D1300" s="2" t="s">
        <v>21</v>
      </c>
      <c r="E1300" s="2" t="s">
        <v>14</v>
      </c>
      <c r="F1300" s="2" t="s">
        <v>15</v>
      </c>
      <c r="G1300" s="2" t="s">
        <v>66</v>
      </c>
      <c r="H1300" s="2" t="s">
        <v>18</v>
      </c>
      <c r="I1300" s="2" t="s">
        <v>18</v>
      </c>
      <c r="J1300">
        <v>0.38</v>
      </c>
      <c r="K1300" s="1">
        <v>43438</v>
      </c>
      <c r="L1300" s="2" t="str">
        <f>IF(Sheet1[[#This Row],[age]]&lt;18, "Under 18",IF(Sheet1[[#This Row],[age]]&lt;=30,"18-30",IF(Sheet1[[#This Row],[age]]&lt;=45,"31-45",IF(Sheet1[[#This Row],[age]]&lt;=60,"46-60","60+"))))</f>
        <v>46-60</v>
      </c>
      <c r="M1300" s="2" t="str">
        <f>IF(Sheet1[[#This Row],[risk_score]]&lt;0.3,"Low",IF(Sheet1[[#This Row],[risk_score]]&lt;0.7,"Medium","High"))</f>
        <v>Medium</v>
      </c>
      <c r="N1300">
        <f>YEAR(Sheet1[[#This Row],[date_joined]])</f>
        <v>2018</v>
      </c>
      <c r="O1300" s="2" t="str">
        <f>TEXT(Sheet1[[#This Row],[date_joined]],"mmm")</f>
        <v>Dec</v>
      </c>
      <c r="P1300" s="2" t="str">
        <f>"Q"&amp;ROUNDUP(MONTH(Sheet1[[#This Row],[date_joined]])/3,0)</f>
        <v>Q4</v>
      </c>
      <c r="Q1300" s="2" t="str">
        <f>IF(Sheet1[[#This Row],[age]]&lt;30,"Young",IF(Sheet1[[#This Row],[age]]&lt;=50,"Adult","Senior"))</f>
        <v>Adult</v>
      </c>
      <c r="R1300" s="2" t="str">
        <f t="shared" si="40"/>
        <v>Very High</v>
      </c>
      <c r="S1300" s="2" t="str">
        <f t="shared" si="41"/>
        <v>North-East - Student</v>
      </c>
    </row>
    <row r="1301" spans="1:19" x14ac:dyDescent="0.3">
      <c r="A1301" t="s">
        <v>2625</v>
      </c>
      <c r="B1301" t="s">
        <v>2626</v>
      </c>
      <c r="C1301">
        <v>49</v>
      </c>
      <c r="D1301" s="2" t="s">
        <v>21</v>
      </c>
      <c r="E1301" s="2" t="s">
        <v>14</v>
      </c>
      <c r="F1301" s="2" t="s">
        <v>15</v>
      </c>
      <c r="G1301" s="2" t="s">
        <v>81</v>
      </c>
      <c r="H1301" s="2" t="s">
        <v>17</v>
      </c>
      <c r="I1301" s="2" t="s">
        <v>18</v>
      </c>
      <c r="J1301">
        <v>0.35</v>
      </c>
      <c r="K1301" s="1">
        <v>43459</v>
      </c>
      <c r="L1301" s="2" t="str">
        <f>IF(Sheet1[[#This Row],[age]]&lt;18, "Under 18",IF(Sheet1[[#This Row],[age]]&lt;=30,"18-30",IF(Sheet1[[#This Row],[age]]&lt;=45,"31-45",IF(Sheet1[[#This Row],[age]]&lt;=60,"46-60","60+"))))</f>
        <v>46-60</v>
      </c>
      <c r="M1301" s="2" t="str">
        <f>IF(Sheet1[[#This Row],[risk_score]]&lt;0.3,"Low",IF(Sheet1[[#This Row],[risk_score]]&lt;0.7,"Medium","High"))</f>
        <v>Medium</v>
      </c>
      <c r="N1301">
        <f>YEAR(Sheet1[[#This Row],[date_joined]])</f>
        <v>2018</v>
      </c>
      <c r="O1301" s="2" t="str">
        <f>TEXT(Sheet1[[#This Row],[date_joined]],"mmm")</f>
        <v>Dec</v>
      </c>
      <c r="P1301" s="2" t="str">
        <f>"Q"&amp;ROUNDUP(MONTH(Sheet1[[#This Row],[date_joined]])/3,0)</f>
        <v>Q4</v>
      </c>
      <c r="Q1301" s="2" t="str">
        <f>IF(Sheet1[[#This Row],[age]]&lt;30,"Young",IF(Sheet1[[#This Row],[age]]&lt;=50,"Adult","Senior"))</f>
        <v>Adult</v>
      </c>
      <c r="R1301" s="2" t="str">
        <f t="shared" si="40"/>
        <v>High</v>
      </c>
      <c r="S1301" s="2" t="str">
        <f t="shared" si="41"/>
        <v>Central - Student</v>
      </c>
    </row>
    <row r="1302" spans="1:19" x14ac:dyDescent="0.3">
      <c r="A1302" t="s">
        <v>2627</v>
      </c>
      <c r="B1302" t="s">
        <v>2628</v>
      </c>
      <c r="C1302">
        <v>56</v>
      </c>
      <c r="D1302" s="2" t="s">
        <v>13</v>
      </c>
      <c r="E1302" s="2" t="s">
        <v>22</v>
      </c>
      <c r="F1302" s="2" t="s">
        <v>37</v>
      </c>
      <c r="G1302" s="2" t="s">
        <v>27</v>
      </c>
      <c r="H1302" s="2" t="s">
        <v>18</v>
      </c>
      <c r="I1302" s="2" t="s">
        <v>18</v>
      </c>
      <c r="J1302">
        <v>0.55000000000000004</v>
      </c>
      <c r="K1302" s="1">
        <v>43840</v>
      </c>
      <c r="L1302" s="2" t="str">
        <f>IF(Sheet1[[#This Row],[age]]&lt;18, "Under 18",IF(Sheet1[[#This Row],[age]]&lt;=30,"18-30",IF(Sheet1[[#This Row],[age]]&lt;=45,"31-45",IF(Sheet1[[#This Row],[age]]&lt;=60,"46-60","60+"))))</f>
        <v>46-60</v>
      </c>
      <c r="M1302" s="2" t="str">
        <f>IF(Sheet1[[#This Row],[risk_score]]&lt;0.3,"Low",IF(Sheet1[[#This Row],[risk_score]]&lt;0.7,"Medium","High"))</f>
        <v>Medium</v>
      </c>
      <c r="N1302">
        <f>YEAR(Sheet1[[#This Row],[date_joined]])</f>
        <v>2020</v>
      </c>
      <c r="O1302" s="2" t="str">
        <f>TEXT(Sheet1[[#This Row],[date_joined]],"mmm")</f>
        <v>Jan</v>
      </c>
      <c r="P1302" s="2" t="str">
        <f>"Q"&amp;ROUNDUP(MONTH(Sheet1[[#This Row],[date_joined]])/3,0)</f>
        <v>Q1</v>
      </c>
      <c r="Q1302" s="2" t="str">
        <f>IF(Sheet1[[#This Row],[age]]&lt;30,"Young",IF(Sheet1[[#This Row],[age]]&lt;=50,"Adult","Senior"))</f>
        <v>Senior</v>
      </c>
      <c r="R1302" s="2" t="str">
        <f t="shared" si="40"/>
        <v>Very High</v>
      </c>
      <c r="S1302" s="2" t="str">
        <f t="shared" si="41"/>
        <v>North - Retired</v>
      </c>
    </row>
    <row r="1303" spans="1:19" x14ac:dyDescent="0.3">
      <c r="A1303" t="s">
        <v>2629</v>
      </c>
      <c r="B1303" t="s">
        <v>2630</v>
      </c>
      <c r="C1303">
        <v>32</v>
      </c>
      <c r="D1303" s="2" t="s">
        <v>21</v>
      </c>
      <c r="E1303" s="2" t="s">
        <v>30</v>
      </c>
      <c r="F1303" s="2" t="s">
        <v>23</v>
      </c>
      <c r="G1303" s="2" t="s">
        <v>81</v>
      </c>
      <c r="H1303" s="2" t="s">
        <v>18</v>
      </c>
      <c r="I1303" s="2" t="s">
        <v>18</v>
      </c>
      <c r="J1303">
        <v>0.6</v>
      </c>
      <c r="K1303" s="1">
        <v>44492</v>
      </c>
      <c r="L1303" s="2" t="str">
        <f>IF(Sheet1[[#This Row],[age]]&lt;18, "Under 18",IF(Sheet1[[#This Row],[age]]&lt;=30,"18-30",IF(Sheet1[[#This Row],[age]]&lt;=45,"31-45",IF(Sheet1[[#This Row],[age]]&lt;=60,"46-60","60+"))))</f>
        <v>31-45</v>
      </c>
      <c r="M1303" s="2" t="str">
        <f>IF(Sheet1[[#This Row],[risk_score]]&lt;0.3,"Low",IF(Sheet1[[#This Row],[risk_score]]&lt;0.7,"Medium","High"))</f>
        <v>Medium</v>
      </c>
      <c r="N1303">
        <f>YEAR(Sheet1[[#This Row],[date_joined]])</f>
        <v>2021</v>
      </c>
      <c r="O1303" s="2" t="str">
        <f>TEXT(Sheet1[[#This Row],[date_joined]],"mmm")</f>
        <v>Oct</v>
      </c>
      <c r="P1303" s="2" t="str">
        <f>"Q"&amp;ROUNDUP(MONTH(Sheet1[[#This Row],[date_joined]])/3,0)</f>
        <v>Q4</v>
      </c>
      <c r="Q1303" s="2" t="str">
        <f>IF(Sheet1[[#This Row],[age]]&lt;30,"Young",IF(Sheet1[[#This Row],[age]]&lt;=50,"Adult","Senior"))</f>
        <v>Adult</v>
      </c>
      <c r="R1303" s="2" t="str">
        <f t="shared" si="40"/>
        <v>Very High</v>
      </c>
      <c r="S1303" s="2" t="str">
        <f t="shared" si="41"/>
        <v>Central - Salaried</v>
      </c>
    </row>
    <row r="1304" spans="1:19" x14ac:dyDescent="0.3">
      <c r="A1304" t="s">
        <v>2631</v>
      </c>
      <c r="B1304" t="s">
        <v>2632</v>
      </c>
      <c r="C1304">
        <v>38</v>
      </c>
      <c r="D1304" s="2" t="s">
        <v>13</v>
      </c>
      <c r="E1304" s="2" t="s">
        <v>30</v>
      </c>
      <c r="F1304" s="2" t="s">
        <v>23</v>
      </c>
      <c r="G1304" s="2" t="s">
        <v>66</v>
      </c>
      <c r="H1304" s="2" t="s">
        <v>18</v>
      </c>
      <c r="I1304" s="2" t="s">
        <v>17</v>
      </c>
      <c r="J1304">
        <v>0.39</v>
      </c>
      <c r="K1304" s="1">
        <v>44619</v>
      </c>
      <c r="L1304" s="2" t="str">
        <f>IF(Sheet1[[#This Row],[age]]&lt;18, "Under 18",IF(Sheet1[[#This Row],[age]]&lt;=30,"18-30",IF(Sheet1[[#This Row],[age]]&lt;=45,"31-45",IF(Sheet1[[#This Row],[age]]&lt;=60,"46-60","60+"))))</f>
        <v>31-45</v>
      </c>
      <c r="M1304" s="2" t="str">
        <f>IF(Sheet1[[#This Row],[risk_score]]&lt;0.3,"Low",IF(Sheet1[[#This Row],[risk_score]]&lt;0.7,"Medium","High"))</f>
        <v>Medium</v>
      </c>
      <c r="N1304">
        <f>YEAR(Sheet1[[#This Row],[date_joined]])</f>
        <v>2022</v>
      </c>
      <c r="O1304" s="2" t="str">
        <f>TEXT(Sheet1[[#This Row],[date_joined]],"mmm")</f>
        <v>Feb</v>
      </c>
      <c r="P1304" s="2" t="str">
        <f>"Q"&amp;ROUNDUP(MONTH(Sheet1[[#This Row],[date_joined]])/3,0)</f>
        <v>Q1</v>
      </c>
      <c r="Q1304" s="2" t="str">
        <f>IF(Sheet1[[#This Row],[age]]&lt;30,"Young",IF(Sheet1[[#This Row],[age]]&lt;=50,"Adult","Senior"))</f>
        <v>Adult</v>
      </c>
      <c r="R1304" s="2" t="str">
        <f t="shared" si="40"/>
        <v>High</v>
      </c>
      <c r="S1304" s="2" t="str">
        <f t="shared" si="41"/>
        <v>North-East - Salaried</v>
      </c>
    </row>
    <row r="1305" spans="1:19" x14ac:dyDescent="0.3">
      <c r="A1305" t="s">
        <v>2633</v>
      </c>
      <c r="B1305" t="s">
        <v>2634</v>
      </c>
      <c r="C1305">
        <v>29</v>
      </c>
      <c r="D1305" s="2" t="s">
        <v>21</v>
      </c>
      <c r="E1305" s="2" t="s">
        <v>30</v>
      </c>
      <c r="F1305" s="2" t="s">
        <v>37</v>
      </c>
      <c r="G1305" s="2" t="s">
        <v>27</v>
      </c>
      <c r="H1305" s="2" t="s">
        <v>17</v>
      </c>
      <c r="I1305" s="2" t="s">
        <v>18</v>
      </c>
      <c r="J1305">
        <v>0.62</v>
      </c>
      <c r="K1305" s="1">
        <v>43620</v>
      </c>
      <c r="L1305" s="2" t="str">
        <f>IF(Sheet1[[#This Row],[age]]&lt;18, "Under 18",IF(Sheet1[[#This Row],[age]]&lt;=30,"18-30",IF(Sheet1[[#This Row],[age]]&lt;=45,"31-45",IF(Sheet1[[#This Row],[age]]&lt;=60,"46-60","60+"))))</f>
        <v>18-30</v>
      </c>
      <c r="M1305" s="2" t="str">
        <f>IF(Sheet1[[#This Row],[risk_score]]&lt;0.3,"Low",IF(Sheet1[[#This Row],[risk_score]]&lt;0.7,"Medium","High"))</f>
        <v>Medium</v>
      </c>
      <c r="N1305">
        <f>YEAR(Sheet1[[#This Row],[date_joined]])</f>
        <v>2019</v>
      </c>
      <c r="O1305" s="2" t="str">
        <f>TEXT(Sheet1[[#This Row],[date_joined]],"mmm")</f>
        <v>Jun</v>
      </c>
      <c r="P1305" s="2" t="str">
        <f>"Q"&amp;ROUNDUP(MONTH(Sheet1[[#This Row],[date_joined]])/3,0)</f>
        <v>Q2</v>
      </c>
      <c r="Q1305" s="2" t="str">
        <f>IF(Sheet1[[#This Row],[age]]&lt;30,"Young",IF(Sheet1[[#This Row],[age]]&lt;=50,"Adult","Senior"))</f>
        <v>Young</v>
      </c>
      <c r="R1305" s="2" t="str">
        <f t="shared" si="40"/>
        <v>High</v>
      </c>
      <c r="S1305" s="2" t="str">
        <f t="shared" si="41"/>
        <v>North - Retired</v>
      </c>
    </row>
    <row r="1306" spans="1:19" x14ac:dyDescent="0.3">
      <c r="A1306" t="s">
        <v>2635</v>
      </c>
      <c r="B1306" t="s">
        <v>2636</v>
      </c>
      <c r="C1306">
        <v>31</v>
      </c>
      <c r="D1306" s="2" t="s">
        <v>13</v>
      </c>
      <c r="E1306" s="2" t="s">
        <v>22</v>
      </c>
      <c r="F1306" s="2" t="s">
        <v>23</v>
      </c>
      <c r="G1306" s="2" t="s">
        <v>66</v>
      </c>
      <c r="H1306" s="2" t="s">
        <v>18</v>
      </c>
      <c r="I1306" s="2" t="s">
        <v>17</v>
      </c>
      <c r="J1306">
        <v>0.62</v>
      </c>
      <c r="K1306" s="1">
        <v>43963</v>
      </c>
      <c r="L1306" s="2" t="str">
        <f>IF(Sheet1[[#This Row],[age]]&lt;18, "Under 18",IF(Sheet1[[#This Row],[age]]&lt;=30,"18-30",IF(Sheet1[[#This Row],[age]]&lt;=45,"31-45",IF(Sheet1[[#This Row],[age]]&lt;=60,"46-60","60+"))))</f>
        <v>31-45</v>
      </c>
      <c r="M1306" s="2" t="str">
        <f>IF(Sheet1[[#This Row],[risk_score]]&lt;0.3,"Low",IF(Sheet1[[#This Row],[risk_score]]&lt;0.7,"Medium","High"))</f>
        <v>Medium</v>
      </c>
      <c r="N1306">
        <f>YEAR(Sheet1[[#This Row],[date_joined]])</f>
        <v>2020</v>
      </c>
      <c r="O1306" s="2" t="str">
        <f>TEXT(Sheet1[[#This Row],[date_joined]],"mmm")</f>
        <v>May</v>
      </c>
      <c r="P1306" s="2" t="str">
        <f>"Q"&amp;ROUNDUP(MONTH(Sheet1[[#This Row],[date_joined]])/3,0)</f>
        <v>Q2</v>
      </c>
      <c r="Q1306" s="2" t="str">
        <f>IF(Sheet1[[#This Row],[age]]&lt;30,"Young",IF(Sheet1[[#This Row],[age]]&lt;=50,"Adult","Senior"))</f>
        <v>Adult</v>
      </c>
      <c r="R1306" s="2" t="str">
        <f t="shared" si="40"/>
        <v>High</v>
      </c>
      <c r="S1306" s="2" t="str">
        <f t="shared" si="41"/>
        <v>North-East - Salaried</v>
      </c>
    </row>
    <row r="1307" spans="1:19" x14ac:dyDescent="0.3">
      <c r="A1307" t="s">
        <v>2637</v>
      </c>
      <c r="B1307" t="s">
        <v>2638</v>
      </c>
      <c r="C1307">
        <v>59</v>
      </c>
      <c r="D1307" s="2" t="s">
        <v>21</v>
      </c>
      <c r="E1307" s="2" t="s">
        <v>30</v>
      </c>
      <c r="F1307" s="2" t="s">
        <v>37</v>
      </c>
      <c r="G1307" s="2" t="s">
        <v>81</v>
      </c>
      <c r="H1307" s="2" t="s">
        <v>18</v>
      </c>
      <c r="I1307" s="2" t="s">
        <v>18</v>
      </c>
      <c r="J1307">
        <v>0.53</v>
      </c>
      <c r="K1307" s="1">
        <v>43649</v>
      </c>
      <c r="L1307" s="2" t="str">
        <f>IF(Sheet1[[#This Row],[age]]&lt;18, "Under 18",IF(Sheet1[[#This Row],[age]]&lt;=30,"18-30",IF(Sheet1[[#This Row],[age]]&lt;=45,"31-45",IF(Sheet1[[#This Row],[age]]&lt;=60,"46-60","60+"))))</f>
        <v>46-60</v>
      </c>
      <c r="M1307" s="2" t="str">
        <f>IF(Sheet1[[#This Row],[risk_score]]&lt;0.3,"Low",IF(Sheet1[[#This Row],[risk_score]]&lt;0.7,"Medium","High"))</f>
        <v>Medium</v>
      </c>
      <c r="N1307">
        <f>YEAR(Sheet1[[#This Row],[date_joined]])</f>
        <v>2019</v>
      </c>
      <c r="O1307" s="2" t="str">
        <f>TEXT(Sheet1[[#This Row],[date_joined]],"mmm")</f>
        <v>Jul</v>
      </c>
      <c r="P1307" s="2" t="str">
        <f>"Q"&amp;ROUNDUP(MONTH(Sheet1[[#This Row],[date_joined]])/3,0)</f>
        <v>Q3</v>
      </c>
      <c r="Q1307" s="2" t="str">
        <f>IF(Sheet1[[#This Row],[age]]&lt;30,"Young",IF(Sheet1[[#This Row],[age]]&lt;=50,"Adult","Senior"))</f>
        <v>Senior</v>
      </c>
      <c r="R1307" s="2" t="str">
        <f t="shared" si="40"/>
        <v>Very High</v>
      </c>
      <c r="S1307" s="2" t="str">
        <f t="shared" si="41"/>
        <v>Central - Retired</v>
      </c>
    </row>
    <row r="1308" spans="1:19" x14ac:dyDescent="0.3">
      <c r="A1308" t="s">
        <v>2639</v>
      </c>
      <c r="B1308" t="s">
        <v>2640</v>
      </c>
      <c r="C1308">
        <v>32</v>
      </c>
      <c r="D1308" s="2" t="s">
        <v>21</v>
      </c>
      <c r="E1308" s="2" t="s">
        <v>30</v>
      </c>
      <c r="F1308" s="2" t="s">
        <v>37</v>
      </c>
      <c r="G1308" s="2" t="s">
        <v>24</v>
      </c>
      <c r="H1308" s="2" t="s">
        <v>18</v>
      </c>
      <c r="I1308" s="2" t="s">
        <v>18</v>
      </c>
      <c r="J1308">
        <v>0.51</v>
      </c>
      <c r="K1308" s="1">
        <v>44244</v>
      </c>
      <c r="L1308" s="2" t="str">
        <f>IF(Sheet1[[#This Row],[age]]&lt;18, "Under 18",IF(Sheet1[[#This Row],[age]]&lt;=30,"18-30",IF(Sheet1[[#This Row],[age]]&lt;=45,"31-45",IF(Sheet1[[#This Row],[age]]&lt;=60,"46-60","60+"))))</f>
        <v>31-45</v>
      </c>
      <c r="M1308" s="2" t="str">
        <f>IF(Sheet1[[#This Row],[risk_score]]&lt;0.3,"Low",IF(Sheet1[[#This Row],[risk_score]]&lt;0.7,"Medium","High"))</f>
        <v>Medium</v>
      </c>
      <c r="N1308">
        <f>YEAR(Sheet1[[#This Row],[date_joined]])</f>
        <v>2021</v>
      </c>
      <c r="O1308" s="2" t="str">
        <f>TEXT(Sheet1[[#This Row],[date_joined]],"mmm")</f>
        <v>Feb</v>
      </c>
      <c r="P1308" s="2" t="str">
        <f>"Q"&amp;ROUNDUP(MONTH(Sheet1[[#This Row],[date_joined]])/3,0)</f>
        <v>Q1</v>
      </c>
      <c r="Q1308" s="2" t="str">
        <f>IF(Sheet1[[#This Row],[age]]&lt;30,"Young",IF(Sheet1[[#This Row],[age]]&lt;=50,"Adult","Senior"))</f>
        <v>Adult</v>
      </c>
      <c r="R1308" s="2" t="str">
        <f t="shared" si="40"/>
        <v>Very High</v>
      </c>
      <c r="S1308" s="2" t="str">
        <f t="shared" si="41"/>
        <v>East - Retired</v>
      </c>
    </row>
    <row r="1309" spans="1:19" x14ac:dyDescent="0.3">
      <c r="A1309" t="s">
        <v>2641</v>
      </c>
      <c r="B1309" t="s">
        <v>2642</v>
      </c>
      <c r="C1309">
        <v>26</v>
      </c>
      <c r="D1309" s="2" t="s">
        <v>13</v>
      </c>
      <c r="E1309" s="2" t="s">
        <v>30</v>
      </c>
      <c r="F1309" s="2" t="s">
        <v>37</v>
      </c>
      <c r="G1309" s="2" t="s">
        <v>66</v>
      </c>
      <c r="H1309" s="2" t="s">
        <v>18</v>
      </c>
      <c r="I1309" s="2" t="s">
        <v>18</v>
      </c>
      <c r="J1309">
        <v>0.17</v>
      </c>
      <c r="K1309" s="1">
        <v>44462</v>
      </c>
      <c r="L1309" s="2" t="str">
        <f>IF(Sheet1[[#This Row],[age]]&lt;18, "Under 18",IF(Sheet1[[#This Row],[age]]&lt;=30,"18-30",IF(Sheet1[[#This Row],[age]]&lt;=45,"31-45",IF(Sheet1[[#This Row],[age]]&lt;=60,"46-60","60+"))))</f>
        <v>18-30</v>
      </c>
      <c r="M1309" s="2" t="str">
        <f>IF(Sheet1[[#This Row],[risk_score]]&lt;0.3,"Low",IF(Sheet1[[#This Row],[risk_score]]&lt;0.7,"Medium","High"))</f>
        <v>Low</v>
      </c>
      <c r="N1309">
        <f>YEAR(Sheet1[[#This Row],[date_joined]])</f>
        <v>2021</v>
      </c>
      <c r="O1309" s="2" t="str">
        <f>TEXT(Sheet1[[#This Row],[date_joined]],"mmm")</f>
        <v>Sep</v>
      </c>
      <c r="P1309" s="2" t="str">
        <f>"Q"&amp;ROUNDUP(MONTH(Sheet1[[#This Row],[date_joined]])/3,0)</f>
        <v>Q3</v>
      </c>
      <c r="Q1309" s="2" t="str">
        <f>IF(Sheet1[[#This Row],[age]]&lt;30,"Young",IF(Sheet1[[#This Row],[age]]&lt;=50,"Adult","Senior"))</f>
        <v>Young</v>
      </c>
      <c r="R1309" s="2" t="str">
        <f t="shared" si="40"/>
        <v>Very High</v>
      </c>
      <c r="S1309" s="2" t="str">
        <f t="shared" si="41"/>
        <v>North-East - Retired</v>
      </c>
    </row>
    <row r="1310" spans="1:19" x14ac:dyDescent="0.3">
      <c r="A1310" t="s">
        <v>2643</v>
      </c>
      <c r="B1310" t="s">
        <v>2644</v>
      </c>
      <c r="C1310">
        <v>46</v>
      </c>
      <c r="D1310" s="2" t="s">
        <v>21</v>
      </c>
      <c r="E1310" s="2" t="s">
        <v>30</v>
      </c>
      <c r="F1310" s="2" t="s">
        <v>31</v>
      </c>
      <c r="G1310" s="2" t="s">
        <v>32</v>
      </c>
      <c r="H1310" s="2" t="s">
        <v>17</v>
      </c>
      <c r="I1310" s="2" t="s">
        <v>18</v>
      </c>
      <c r="J1310">
        <v>0.85</v>
      </c>
      <c r="K1310" s="1">
        <v>44115</v>
      </c>
      <c r="L1310" s="2" t="str">
        <f>IF(Sheet1[[#This Row],[age]]&lt;18, "Under 18",IF(Sheet1[[#This Row],[age]]&lt;=30,"18-30",IF(Sheet1[[#This Row],[age]]&lt;=45,"31-45",IF(Sheet1[[#This Row],[age]]&lt;=60,"46-60","60+"))))</f>
        <v>46-60</v>
      </c>
      <c r="M1310" s="2" t="str">
        <f>IF(Sheet1[[#This Row],[risk_score]]&lt;0.3,"Low",IF(Sheet1[[#This Row],[risk_score]]&lt;0.7,"Medium","High"))</f>
        <v>High</v>
      </c>
      <c r="N1310">
        <f>YEAR(Sheet1[[#This Row],[date_joined]])</f>
        <v>2020</v>
      </c>
      <c r="O1310" s="2" t="str">
        <f>TEXT(Sheet1[[#This Row],[date_joined]],"mmm")</f>
        <v>Oct</v>
      </c>
      <c r="P1310" s="2" t="str">
        <f>"Q"&amp;ROUNDUP(MONTH(Sheet1[[#This Row],[date_joined]])/3,0)</f>
        <v>Q4</v>
      </c>
      <c r="Q1310" s="2" t="str">
        <f>IF(Sheet1[[#This Row],[age]]&lt;30,"Young",IF(Sheet1[[#This Row],[age]]&lt;=50,"Adult","Senior"))</f>
        <v>Adult</v>
      </c>
      <c r="R1310" s="2" t="str">
        <f t="shared" si="40"/>
        <v>High</v>
      </c>
      <c r="S1310" s="2" t="str">
        <f t="shared" si="41"/>
        <v>South - Self-employed</v>
      </c>
    </row>
    <row r="1311" spans="1:19" x14ac:dyDescent="0.3">
      <c r="A1311" t="s">
        <v>2645</v>
      </c>
      <c r="B1311" t="s">
        <v>2646</v>
      </c>
      <c r="C1311">
        <v>65</v>
      </c>
      <c r="D1311" s="2" t="s">
        <v>21</v>
      </c>
      <c r="E1311" s="2" t="s">
        <v>14</v>
      </c>
      <c r="F1311" s="2" t="s">
        <v>31</v>
      </c>
      <c r="G1311" s="2" t="s">
        <v>81</v>
      </c>
      <c r="H1311" s="2" t="s">
        <v>18</v>
      </c>
      <c r="I1311" s="2" t="s">
        <v>18</v>
      </c>
      <c r="J1311">
        <v>0.64</v>
      </c>
      <c r="K1311" s="1">
        <v>44839</v>
      </c>
      <c r="L1311" s="2" t="str">
        <f>IF(Sheet1[[#This Row],[age]]&lt;18, "Under 18",IF(Sheet1[[#This Row],[age]]&lt;=30,"18-30",IF(Sheet1[[#This Row],[age]]&lt;=45,"31-45",IF(Sheet1[[#This Row],[age]]&lt;=60,"46-60","60+"))))</f>
        <v>60+</v>
      </c>
      <c r="M1311" s="2" t="str">
        <f>IF(Sheet1[[#This Row],[risk_score]]&lt;0.3,"Low",IF(Sheet1[[#This Row],[risk_score]]&lt;0.7,"Medium","High"))</f>
        <v>Medium</v>
      </c>
      <c r="N1311">
        <f>YEAR(Sheet1[[#This Row],[date_joined]])</f>
        <v>2022</v>
      </c>
      <c r="O1311" s="2" t="str">
        <f>TEXT(Sheet1[[#This Row],[date_joined]],"mmm")</f>
        <v>Oct</v>
      </c>
      <c r="P1311" s="2" t="str">
        <f>"Q"&amp;ROUNDUP(MONTH(Sheet1[[#This Row],[date_joined]])/3,0)</f>
        <v>Q4</v>
      </c>
      <c r="Q1311" s="2" t="str">
        <f>IF(Sheet1[[#This Row],[age]]&lt;30,"Young",IF(Sheet1[[#This Row],[age]]&lt;=50,"Adult","Senior"))</f>
        <v>Senior</v>
      </c>
      <c r="R1311" s="2" t="str">
        <f t="shared" si="40"/>
        <v>Very High</v>
      </c>
      <c r="S1311" s="2" t="str">
        <f t="shared" si="41"/>
        <v>Central - Self-employed</v>
      </c>
    </row>
    <row r="1312" spans="1:19" x14ac:dyDescent="0.3">
      <c r="A1312" t="s">
        <v>2647</v>
      </c>
      <c r="B1312" t="s">
        <v>2648</v>
      </c>
      <c r="C1312">
        <v>53</v>
      </c>
      <c r="D1312" s="2" t="s">
        <v>21</v>
      </c>
      <c r="E1312" s="2" t="s">
        <v>14</v>
      </c>
      <c r="F1312" s="2" t="s">
        <v>37</v>
      </c>
      <c r="G1312" s="2" t="s">
        <v>27</v>
      </c>
      <c r="H1312" s="2" t="s">
        <v>17</v>
      </c>
      <c r="I1312" s="2" t="s">
        <v>18</v>
      </c>
      <c r="J1312">
        <v>0.77</v>
      </c>
      <c r="K1312" s="1">
        <v>44160</v>
      </c>
      <c r="L1312" s="2" t="str">
        <f>IF(Sheet1[[#This Row],[age]]&lt;18, "Under 18",IF(Sheet1[[#This Row],[age]]&lt;=30,"18-30",IF(Sheet1[[#This Row],[age]]&lt;=45,"31-45",IF(Sheet1[[#This Row],[age]]&lt;=60,"46-60","60+"))))</f>
        <v>46-60</v>
      </c>
      <c r="M1312" s="2" t="str">
        <f>IF(Sheet1[[#This Row],[risk_score]]&lt;0.3,"Low",IF(Sheet1[[#This Row],[risk_score]]&lt;0.7,"Medium","High"))</f>
        <v>High</v>
      </c>
      <c r="N1312">
        <f>YEAR(Sheet1[[#This Row],[date_joined]])</f>
        <v>2020</v>
      </c>
      <c r="O1312" s="2" t="str">
        <f>TEXT(Sheet1[[#This Row],[date_joined]],"mmm")</f>
        <v>Nov</v>
      </c>
      <c r="P1312" s="2" t="str">
        <f>"Q"&amp;ROUNDUP(MONTH(Sheet1[[#This Row],[date_joined]])/3,0)</f>
        <v>Q4</v>
      </c>
      <c r="Q1312" s="2" t="str">
        <f>IF(Sheet1[[#This Row],[age]]&lt;30,"Young",IF(Sheet1[[#This Row],[age]]&lt;=50,"Adult","Senior"))</f>
        <v>Senior</v>
      </c>
      <c r="R1312" s="2" t="str">
        <f t="shared" si="40"/>
        <v>High</v>
      </c>
      <c r="S1312" s="2" t="str">
        <f t="shared" si="41"/>
        <v>North - Retired</v>
      </c>
    </row>
    <row r="1313" spans="1:19" x14ac:dyDescent="0.3">
      <c r="A1313" t="s">
        <v>2649</v>
      </c>
      <c r="B1313" t="s">
        <v>2650</v>
      </c>
      <c r="C1313">
        <v>26</v>
      </c>
      <c r="D1313" s="2" t="s">
        <v>21</v>
      </c>
      <c r="E1313" s="2" t="s">
        <v>30</v>
      </c>
      <c r="F1313" s="2" t="s">
        <v>31</v>
      </c>
      <c r="G1313" s="2" t="s">
        <v>81</v>
      </c>
      <c r="H1313" s="2" t="s">
        <v>18</v>
      </c>
      <c r="I1313" s="2" t="s">
        <v>17</v>
      </c>
      <c r="J1313">
        <v>0.45</v>
      </c>
      <c r="K1313" s="1">
        <v>43105</v>
      </c>
      <c r="L1313" s="2" t="str">
        <f>IF(Sheet1[[#This Row],[age]]&lt;18, "Under 18",IF(Sheet1[[#This Row],[age]]&lt;=30,"18-30",IF(Sheet1[[#This Row],[age]]&lt;=45,"31-45",IF(Sheet1[[#This Row],[age]]&lt;=60,"46-60","60+"))))</f>
        <v>18-30</v>
      </c>
      <c r="M1313" s="2" t="str">
        <f>IF(Sheet1[[#This Row],[risk_score]]&lt;0.3,"Low",IF(Sheet1[[#This Row],[risk_score]]&lt;0.7,"Medium","High"))</f>
        <v>Medium</v>
      </c>
      <c r="N1313">
        <f>YEAR(Sheet1[[#This Row],[date_joined]])</f>
        <v>2018</v>
      </c>
      <c r="O1313" s="2" t="str">
        <f>TEXT(Sheet1[[#This Row],[date_joined]],"mmm")</f>
        <v>Jan</v>
      </c>
      <c r="P1313" s="2" t="str">
        <f>"Q"&amp;ROUNDUP(MONTH(Sheet1[[#This Row],[date_joined]])/3,0)</f>
        <v>Q1</v>
      </c>
      <c r="Q1313" s="2" t="str">
        <f>IF(Sheet1[[#This Row],[age]]&lt;30,"Young",IF(Sheet1[[#This Row],[age]]&lt;=50,"Adult","Senior"))</f>
        <v>Young</v>
      </c>
      <c r="R1313" s="2" t="str">
        <f t="shared" si="40"/>
        <v>High</v>
      </c>
      <c r="S1313" s="2" t="str">
        <f t="shared" si="41"/>
        <v>Central - Self-employed</v>
      </c>
    </row>
    <row r="1314" spans="1:19" x14ac:dyDescent="0.3">
      <c r="A1314" t="s">
        <v>2651</v>
      </c>
      <c r="B1314" t="s">
        <v>2652</v>
      </c>
      <c r="C1314">
        <v>51</v>
      </c>
      <c r="D1314" s="2" t="s">
        <v>13</v>
      </c>
      <c r="E1314" s="2" t="s">
        <v>14</v>
      </c>
      <c r="F1314" s="2" t="s">
        <v>23</v>
      </c>
      <c r="G1314" s="2" t="s">
        <v>16</v>
      </c>
      <c r="H1314" s="2" t="s">
        <v>18</v>
      </c>
      <c r="I1314" s="2" t="s">
        <v>18</v>
      </c>
      <c r="J1314">
        <v>0.31</v>
      </c>
      <c r="K1314" s="1">
        <v>43950</v>
      </c>
      <c r="L1314" s="2" t="str">
        <f>IF(Sheet1[[#This Row],[age]]&lt;18, "Under 18",IF(Sheet1[[#This Row],[age]]&lt;=30,"18-30",IF(Sheet1[[#This Row],[age]]&lt;=45,"31-45",IF(Sheet1[[#This Row],[age]]&lt;=60,"46-60","60+"))))</f>
        <v>46-60</v>
      </c>
      <c r="M1314" s="2" t="str">
        <f>IF(Sheet1[[#This Row],[risk_score]]&lt;0.3,"Low",IF(Sheet1[[#This Row],[risk_score]]&lt;0.7,"Medium","High"))</f>
        <v>Medium</v>
      </c>
      <c r="N1314">
        <f>YEAR(Sheet1[[#This Row],[date_joined]])</f>
        <v>2020</v>
      </c>
      <c r="O1314" s="2" t="str">
        <f>TEXT(Sheet1[[#This Row],[date_joined]],"mmm")</f>
        <v>Apr</v>
      </c>
      <c r="P1314" s="2" t="str">
        <f>"Q"&amp;ROUNDUP(MONTH(Sheet1[[#This Row],[date_joined]])/3,0)</f>
        <v>Q2</v>
      </c>
      <c r="Q1314" s="2" t="str">
        <f>IF(Sheet1[[#This Row],[age]]&lt;30,"Young",IF(Sheet1[[#This Row],[age]]&lt;=50,"Adult","Senior"))</f>
        <v>Senior</v>
      </c>
      <c r="R1314" s="2" t="str">
        <f t="shared" si="40"/>
        <v>Very High</v>
      </c>
      <c r="S1314" s="2" t="str">
        <f t="shared" si="41"/>
        <v>West - Salaried</v>
      </c>
    </row>
    <row r="1315" spans="1:19" x14ac:dyDescent="0.3">
      <c r="A1315" t="s">
        <v>2653</v>
      </c>
      <c r="B1315" t="s">
        <v>2654</v>
      </c>
      <c r="C1315">
        <v>37</v>
      </c>
      <c r="D1315" s="2" t="s">
        <v>21</v>
      </c>
      <c r="E1315" s="2" t="s">
        <v>22</v>
      </c>
      <c r="F1315" s="2" t="s">
        <v>23</v>
      </c>
      <c r="G1315" s="2" t="s">
        <v>27</v>
      </c>
      <c r="H1315" s="2" t="s">
        <v>18</v>
      </c>
      <c r="I1315" s="2" t="s">
        <v>18</v>
      </c>
      <c r="J1315">
        <v>0.47</v>
      </c>
      <c r="K1315" s="1">
        <v>44121</v>
      </c>
      <c r="L1315" s="2" t="str">
        <f>IF(Sheet1[[#This Row],[age]]&lt;18, "Under 18",IF(Sheet1[[#This Row],[age]]&lt;=30,"18-30",IF(Sheet1[[#This Row],[age]]&lt;=45,"31-45",IF(Sheet1[[#This Row],[age]]&lt;=60,"46-60","60+"))))</f>
        <v>31-45</v>
      </c>
      <c r="M1315" s="2" t="str">
        <f>IF(Sheet1[[#This Row],[risk_score]]&lt;0.3,"Low",IF(Sheet1[[#This Row],[risk_score]]&lt;0.7,"Medium","High"))</f>
        <v>Medium</v>
      </c>
      <c r="N1315">
        <f>YEAR(Sheet1[[#This Row],[date_joined]])</f>
        <v>2020</v>
      </c>
      <c r="O1315" s="2" t="str">
        <f>TEXT(Sheet1[[#This Row],[date_joined]],"mmm")</f>
        <v>Oct</v>
      </c>
      <c r="P1315" s="2" t="str">
        <f>"Q"&amp;ROUNDUP(MONTH(Sheet1[[#This Row],[date_joined]])/3,0)</f>
        <v>Q4</v>
      </c>
      <c r="Q1315" s="2" t="str">
        <f>IF(Sheet1[[#This Row],[age]]&lt;30,"Young",IF(Sheet1[[#This Row],[age]]&lt;=50,"Adult","Senior"))</f>
        <v>Adult</v>
      </c>
      <c r="R1315" s="2" t="str">
        <f t="shared" si="40"/>
        <v>Very High</v>
      </c>
      <c r="S1315" s="2" t="str">
        <f t="shared" si="41"/>
        <v>North - Salaried</v>
      </c>
    </row>
    <row r="1316" spans="1:19" x14ac:dyDescent="0.3">
      <c r="A1316" t="s">
        <v>2655</v>
      </c>
      <c r="B1316" t="s">
        <v>2656</v>
      </c>
      <c r="C1316">
        <v>54</v>
      </c>
      <c r="D1316" s="2" t="s">
        <v>13</v>
      </c>
      <c r="E1316" s="2" t="s">
        <v>14</v>
      </c>
      <c r="F1316" s="2" t="s">
        <v>31</v>
      </c>
      <c r="G1316" s="2" t="s">
        <v>32</v>
      </c>
      <c r="H1316" s="2" t="s">
        <v>17</v>
      </c>
      <c r="I1316" s="2" t="s">
        <v>18</v>
      </c>
      <c r="J1316">
        <v>0.31</v>
      </c>
      <c r="K1316" s="1">
        <v>44759</v>
      </c>
      <c r="L1316" s="2" t="str">
        <f>IF(Sheet1[[#This Row],[age]]&lt;18, "Under 18",IF(Sheet1[[#This Row],[age]]&lt;=30,"18-30",IF(Sheet1[[#This Row],[age]]&lt;=45,"31-45",IF(Sheet1[[#This Row],[age]]&lt;=60,"46-60","60+"))))</f>
        <v>46-60</v>
      </c>
      <c r="M1316" s="2" t="str">
        <f>IF(Sheet1[[#This Row],[risk_score]]&lt;0.3,"Low",IF(Sheet1[[#This Row],[risk_score]]&lt;0.7,"Medium","High"))</f>
        <v>Medium</v>
      </c>
      <c r="N1316">
        <f>YEAR(Sheet1[[#This Row],[date_joined]])</f>
        <v>2022</v>
      </c>
      <c r="O1316" s="2" t="str">
        <f>TEXT(Sheet1[[#This Row],[date_joined]],"mmm")</f>
        <v>Jul</v>
      </c>
      <c r="P1316" s="2" t="str">
        <f>"Q"&amp;ROUNDUP(MONTH(Sheet1[[#This Row],[date_joined]])/3,0)</f>
        <v>Q3</v>
      </c>
      <c r="Q1316" s="2" t="str">
        <f>IF(Sheet1[[#This Row],[age]]&lt;30,"Young",IF(Sheet1[[#This Row],[age]]&lt;=50,"Adult","Senior"))</f>
        <v>Senior</v>
      </c>
      <c r="R1316" s="2" t="str">
        <f t="shared" si="40"/>
        <v>High</v>
      </c>
      <c r="S1316" s="2" t="str">
        <f t="shared" si="41"/>
        <v>South - Self-employed</v>
      </c>
    </row>
    <row r="1317" spans="1:19" x14ac:dyDescent="0.3">
      <c r="A1317" t="s">
        <v>2657</v>
      </c>
      <c r="B1317" t="s">
        <v>2658</v>
      </c>
      <c r="C1317">
        <v>63</v>
      </c>
      <c r="D1317" s="2" t="s">
        <v>21</v>
      </c>
      <c r="E1317" s="2" t="s">
        <v>30</v>
      </c>
      <c r="F1317" s="2" t="s">
        <v>37</v>
      </c>
      <c r="G1317" s="2" t="s">
        <v>24</v>
      </c>
      <c r="H1317" s="2" t="s">
        <v>18</v>
      </c>
      <c r="I1317" s="2" t="s">
        <v>17</v>
      </c>
      <c r="J1317">
        <v>0.3</v>
      </c>
      <c r="K1317" s="1">
        <v>44015</v>
      </c>
      <c r="L1317" s="2" t="str">
        <f>IF(Sheet1[[#This Row],[age]]&lt;18, "Under 18",IF(Sheet1[[#This Row],[age]]&lt;=30,"18-30",IF(Sheet1[[#This Row],[age]]&lt;=45,"31-45",IF(Sheet1[[#This Row],[age]]&lt;=60,"46-60","60+"))))</f>
        <v>60+</v>
      </c>
      <c r="M1317" s="2" t="str">
        <f>IF(Sheet1[[#This Row],[risk_score]]&lt;0.3,"Low",IF(Sheet1[[#This Row],[risk_score]]&lt;0.7,"Medium","High"))</f>
        <v>Medium</v>
      </c>
      <c r="N1317">
        <f>YEAR(Sheet1[[#This Row],[date_joined]])</f>
        <v>2020</v>
      </c>
      <c r="O1317" s="2" t="str">
        <f>TEXT(Sheet1[[#This Row],[date_joined]],"mmm")</f>
        <v>Jul</v>
      </c>
      <c r="P1317" s="2" t="str">
        <f>"Q"&amp;ROUNDUP(MONTH(Sheet1[[#This Row],[date_joined]])/3,0)</f>
        <v>Q3</v>
      </c>
      <c r="Q1317" s="2" t="str">
        <f>IF(Sheet1[[#This Row],[age]]&lt;30,"Young",IF(Sheet1[[#This Row],[age]]&lt;=50,"Adult","Senior"))</f>
        <v>Senior</v>
      </c>
      <c r="R1317" s="2" t="str">
        <f t="shared" si="40"/>
        <v>High</v>
      </c>
      <c r="S1317" s="2" t="str">
        <f t="shared" si="41"/>
        <v>East - Retired</v>
      </c>
    </row>
    <row r="1318" spans="1:19" x14ac:dyDescent="0.3">
      <c r="A1318" t="s">
        <v>2659</v>
      </c>
      <c r="B1318" t="s">
        <v>2660</v>
      </c>
      <c r="C1318">
        <v>33</v>
      </c>
      <c r="D1318" s="2" t="s">
        <v>13</v>
      </c>
      <c r="E1318" s="2" t="s">
        <v>22</v>
      </c>
      <c r="F1318" s="2" t="s">
        <v>31</v>
      </c>
      <c r="G1318" s="2" t="s">
        <v>16</v>
      </c>
      <c r="H1318" s="2" t="s">
        <v>17</v>
      </c>
      <c r="I1318" s="2" t="s">
        <v>18</v>
      </c>
      <c r="J1318">
        <v>0.7</v>
      </c>
      <c r="K1318" s="1">
        <v>44868</v>
      </c>
      <c r="L1318" s="2" t="str">
        <f>IF(Sheet1[[#This Row],[age]]&lt;18, "Under 18",IF(Sheet1[[#This Row],[age]]&lt;=30,"18-30",IF(Sheet1[[#This Row],[age]]&lt;=45,"31-45",IF(Sheet1[[#This Row],[age]]&lt;=60,"46-60","60+"))))</f>
        <v>31-45</v>
      </c>
      <c r="M1318" s="2" t="str">
        <f>IF(Sheet1[[#This Row],[risk_score]]&lt;0.3,"Low",IF(Sheet1[[#This Row],[risk_score]]&lt;0.7,"Medium","High"))</f>
        <v>High</v>
      </c>
      <c r="N1318">
        <f>YEAR(Sheet1[[#This Row],[date_joined]])</f>
        <v>2022</v>
      </c>
      <c r="O1318" s="2" t="str">
        <f>TEXT(Sheet1[[#This Row],[date_joined]],"mmm")</f>
        <v>Nov</v>
      </c>
      <c r="P1318" s="2" t="str">
        <f>"Q"&amp;ROUNDUP(MONTH(Sheet1[[#This Row],[date_joined]])/3,0)</f>
        <v>Q4</v>
      </c>
      <c r="Q1318" s="2" t="str">
        <f>IF(Sheet1[[#This Row],[age]]&lt;30,"Young",IF(Sheet1[[#This Row],[age]]&lt;=50,"Adult","Senior"))</f>
        <v>Adult</v>
      </c>
      <c r="R1318" s="2" t="str">
        <f t="shared" si="40"/>
        <v>High</v>
      </c>
      <c r="S1318" s="2" t="str">
        <f t="shared" si="41"/>
        <v>West - Self-employed</v>
      </c>
    </row>
    <row r="1319" spans="1:19" x14ac:dyDescent="0.3">
      <c r="A1319" t="s">
        <v>2661</v>
      </c>
      <c r="B1319" t="s">
        <v>2662</v>
      </c>
      <c r="C1319">
        <v>22</v>
      </c>
      <c r="D1319" s="2" t="s">
        <v>13</v>
      </c>
      <c r="E1319" s="2" t="s">
        <v>22</v>
      </c>
      <c r="F1319" s="2" t="s">
        <v>31</v>
      </c>
      <c r="G1319" s="2" t="s">
        <v>81</v>
      </c>
      <c r="H1319" s="2" t="s">
        <v>17</v>
      </c>
      <c r="I1319" s="2" t="s">
        <v>17</v>
      </c>
      <c r="J1319">
        <v>0.49</v>
      </c>
      <c r="K1319" s="1">
        <v>44557</v>
      </c>
      <c r="L1319" s="2" t="str">
        <f>IF(Sheet1[[#This Row],[age]]&lt;18, "Under 18",IF(Sheet1[[#This Row],[age]]&lt;=30,"18-30",IF(Sheet1[[#This Row],[age]]&lt;=45,"31-45",IF(Sheet1[[#This Row],[age]]&lt;=60,"46-60","60+"))))</f>
        <v>18-30</v>
      </c>
      <c r="M1319" s="2" t="str">
        <f>IF(Sheet1[[#This Row],[risk_score]]&lt;0.3,"Low",IF(Sheet1[[#This Row],[risk_score]]&lt;0.7,"Medium","High"))</f>
        <v>Medium</v>
      </c>
      <c r="N1319">
        <f>YEAR(Sheet1[[#This Row],[date_joined]])</f>
        <v>2021</v>
      </c>
      <c r="O1319" s="2" t="str">
        <f>TEXT(Sheet1[[#This Row],[date_joined]],"mmm")</f>
        <v>Dec</v>
      </c>
      <c r="P1319" s="2" t="str">
        <f>"Q"&amp;ROUNDUP(MONTH(Sheet1[[#This Row],[date_joined]])/3,0)</f>
        <v>Q4</v>
      </c>
      <c r="Q1319" s="2" t="str">
        <f>IF(Sheet1[[#This Row],[age]]&lt;30,"Young",IF(Sheet1[[#This Row],[age]]&lt;=50,"Adult","Senior"))</f>
        <v>Young</v>
      </c>
      <c r="R1319" s="2" t="str">
        <f t="shared" si="40"/>
        <v>Low</v>
      </c>
      <c r="S1319" s="2" t="str">
        <f t="shared" si="41"/>
        <v>Central - Self-employed</v>
      </c>
    </row>
    <row r="1320" spans="1:19" x14ac:dyDescent="0.3">
      <c r="A1320" t="s">
        <v>2663</v>
      </c>
      <c r="B1320" t="s">
        <v>2664</v>
      </c>
      <c r="C1320">
        <v>28</v>
      </c>
      <c r="D1320" s="2" t="s">
        <v>21</v>
      </c>
      <c r="E1320" s="2" t="s">
        <v>30</v>
      </c>
      <c r="F1320" s="2" t="s">
        <v>31</v>
      </c>
      <c r="G1320" s="2" t="s">
        <v>32</v>
      </c>
      <c r="H1320" s="2" t="s">
        <v>17</v>
      </c>
      <c r="I1320" s="2" t="s">
        <v>17</v>
      </c>
      <c r="J1320">
        <v>0.83</v>
      </c>
      <c r="K1320" s="1">
        <v>44543</v>
      </c>
      <c r="L1320" s="2" t="str">
        <f>IF(Sheet1[[#This Row],[age]]&lt;18, "Under 18",IF(Sheet1[[#This Row],[age]]&lt;=30,"18-30",IF(Sheet1[[#This Row],[age]]&lt;=45,"31-45",IF(Sheet1[[#This Row],[age]]&lt;=60,"46-60","60+"))))</f>
        <v>18-30</v>
      </c>
      <c r="M1320" s="2" t="str">
        <f>IF(Sheet1[[#This Row],[risk_score]]&lt;0.3,"Low",IF(Sheet1[[#This Row],[risk_score]]&lt;0.7,"Medium","High"))</f>
        <v>High</v>
      </c>
      <c r="N1320">
        <f>YEAR(Sheet1[[#This Row],[date_joined]])</f>
        <v>2021</v>
      </c>
      <c r="O1320" s="2" t="str">
        <f>TEXT(Sheet1[[#This Row],[date_joined]],"mmm")</f>
        <v>Dec</v>
      </c>
      <c r="P1320" s="2" t="str">
        <f>"Q"&amp;ROUNDUP(MONTH(Sheet1[[#This Row],[date_joined]])/3,0)</f>
        <v>Q4</v>
      </c>
      <c r="Q1320" s="2" t="str">
        <f>IF(Sheet1[[#This Row],[age]]&lt;30,"Young",IF(Sheet1[[#This Row],[age]]&lt;=50,"Adult","Senior"))</f>
        <v>Young</v>
      </c>
      <c r="R1320" s="2" t="str">
        <f t="shared" si="40"/>
        <v>Low</v>
      </c>
      <c r="S1320" s="2" t="str">
        <f t="shared" si="41"/>
        <v>South - Self-employed</v>
      </c>
    </row>
    <row r="1321" spans="1:19" x14ac:dyDescent="0.3">
      <c r="A1321" t="s">
        <v>2665</v>
      </c>
      <c r="B1321" t="s">
        <v>2666</v>
      </c>
      <c r="C1321">
        <v>21</v>
      </c>
      <c r="D1321" s="2" t="s">
        <v>13</v>
      </c>
      <c r="E1321" s="2" t="s">
        <v>22</v>
      </c>
      <c r="F1321" s="2" t="s">
        <v>23</v>
      </c>
      <c r="G1321" s="2" t="s">
        <v>81</v>
      </c>
      <c r="H1321" s="2" t="s">
        <v>18</v>
      </c>
      <c r="I1321" s="2" t="s">
        <v>18</v>
      </c>
      <c r="J1321">
        <v>0.47</v>
      </c>
      <c r="K1321" s="1">
        <v>44056</v>
      </c>
      <c r="L1321" s="2" t="str">
        <f>IF(Sheet1[[#This Row],[age]]&lt;18, "Under 18",IF(Sheet1[[#This Row],[age]]&lt;=30,"18-30",IF(Sheet1[[#This Row],[age]]&lt;=45,"31-45",IF(Sheet1[[#This Row],[age]]&lt;=60,"46-60","60+"))))</f>
        <v>18-30</v>
      </c>
      <c r="M1321" s="2" t="str">
        <f>IF(Sheet1[[#This Row],[risk_score]]&lt;0.3,"Low",IF(Sheet1[[#This Row],[risk_score]]&lt;0.7,"Medium","High"))</f>
        <v>Medium</v>
      </c>
      <c r="N1321">
        <f>YEAR(Sheet1[[#This Row],[date_joined]])</f>
        <v>2020</v>
      </c>
      <c r="O1321" s="2" t="str">
        <f>TEXT(Sheet1[[#This Row],[date_joined]],"mmm")</f>
        <v>Aug</v>
      </c>
      <c r="P1321" s="2" t="str">
        <f>"Q"&amp;ROUNDUP(MONTH(Sheet1[[#This Row],[date_joined]])/3,0)</f>
        <v>Q3</v>
      </c>
      <c r="Q1321" s="2" t="str">
        <f>IF(Sheet1[[#This Row],[age]]&lt;30,"Young",IF(Sheet1[[#This Row],[age]]&lt;=50,"Adult","Senior"))</f>
        <v>Young</v>
      </c>
      <c r="R1321" s="2" t="str">
        <f t="shared" si="40"/>
        <v>Very High</v>
      </c>
      <c r="S1321" s="2" t="str">
        <f t="shared" si="41"/>
        <v>Central - Salaried</v>
      </c>
    </row>
    <row r="1322" spans="1:19" x14ac:dyDescent="0.3">
      <c r="A1322" t="s">
        <v>2667</v>
      </c>
      <c r="B1322" t="s">
        <v>2668</v>
      </c>
      <c r="C1322">
        <v>19</v>
      </c>
      <c r="D1322" s="2" t="s">
        <v>21</v>
      </c>
      <c r="E1322" s="2" t="s">
        <v>22</v>
      </c>
      <c r="F1322" s="2" t="s">
        <v>15</v>
      </c>
      <c r="G1322" s="2" t="s">
        <v>16</v>
      </c>
      <c r="H1322" s="2" t="s">
        <v>18</v>
      </c>
      <c r="I1322" s="2" t="s">
        <v>17</v>
      </c>
      <c r="J1322">
        <v>0.5</v>
      </c>
      <c r="K1322" s="1">
        <v>44344</v>
      </c>
      <c r="L1322" s="2" t="str">
        <f>IF(Sheet1[[#This Row],[age]]&lt;18, "Under 18",IF(Sheet1[[#This Row],[age]]&lt;=30,"18-30",IF(Sheet1[[#This Row],[age]]&lt;=45,"31-45",IF(Sheet1[[#This Row],[age]]&lt;=60,"46-60","60+"))))</f>
        <v>18-30</v>
      </c>
      <c r="M1322" s="2" t="str">
        <f>IF(Sheet1[[#This Row],[risk_score]]&lt;0.3,"Low",IF(Sheet1[[#This Row],[risk_score]]&lt;0.7,"Medium","High"))</f>
        <v>Medium</v>
      </c>
      <c r="N1322">
        <f>YEAR(Sheet1[[#This Row],[date_joined]])</f>
        <v>2021</v>
      </c>
      <c r="O1322" s="2" t="str">
        <f>TEXT(Sheet1[[#This Row],[date_joined]],"mmm")</f>
        <v>May</v>
      </c>
      <c r="P1322" s="2" t="str">
        <f>"Q"&amp;ROUNDUP(MONTH(Sheet1[[#This Row],[date_joined]])/3,0)</f>
        <v>Q2</v>
      </c>
      <c r="Q1322" s="2" t="str">
        <f>IF(Sheet1[[#This Row],[age]]&lt;30,"Young",IF(Sheet1[[#This Row],[age]]&lt;=50,"Adult","Senior"))</f>
        <v>Young</v>
      </c>
      <c r="R1322" s="2" t="str">
        <f t="shared" si="40"/>
        <v>High</v>
      </c>
      <c r="S1322" s="2" t="str">
        <f t="shared" si="41"/>
        <v>West - Student</v>
      </c>
    </row>
    <row r="1323" spans="1:19" x14ac:dyDescent="0.3">
      <c r="A1323" t="s">
        <v>2669</v>
      </c>
      <c r="B1323" t="s">
        <v>2670</v>
      </c>
      <c r="C1323">
        <v>54</v>
      </c>
      <c r="D1323" s="2" t="s">
        <v>13</v>
      </c>
      <c r="E1323" s="2" t="s">
        <v>22</v>
      </c>
      <c r="F1323" s="2" t="s">
        <v>15</v>
      </c>
      <c r="G1323" s="2" t="s">
        <v>81</v>
      </c>
      <c r="H1323" s="2" t="s">
        <v>17</v>
      </c>
      <c r="I1323" s="2" t="s">
        <v>17</v>
      </c>
      <c r="J1323">
        <v>0.19</v>
      </c>
      <c r="K1323" s="1">
        <v>44708</v>
      </c>
      <c r="L1323" s="2" t="str">
        <f>IF(Sheet1[[#This Row],[age]]&lt;18, "Under 18",IF(Sheet1[[#This Row],[age]]&lt;=30,"18-30",IF(Sheet1[[#This Row],[age]]&lt;=45,"31-45",IF(Sheet1[[#This Row],[age]]&lt;=60,"46-60","60+"))))</f>
        <v>46-60</v>
      </c>
      <c r="M1323" s="2" t="str">
        <f>IF(Sheet1[[#This Row],[risk_score]]&lt;0.3,"Low",IF(Sheet1[[#This Row],[risk_score]]&lt;0.7,"Medium","High"))</f>
        <v>Low</v>
      </c>
      <c r="N1323">
        <f>YEAR(Sheet1[[#This Row],[date_joined]])</f>
        <v>2022</v>
      </c>
      <c r="O1323" s="2" t="str">
        <f>TEXT(Sheet1[[#This Row],[date_joined]],"mmm")</f>
        <v>May</v>
      </c>
      <c r="P1323" s="2" t="str">
        <f>"Q"&amp;ROUNDUP(MONTH(Sheet1[[#This Row],[date_joined]])/3,0)</f>
        <v>Q2</v>
      </c>
      <c r="Q1323" s="2" t="str">
        <f>IF(Sheet1[[#This Row],[age]]&lt;30,"Young",IF(Sheet1[[#This Row],[age]]&lt;=50,"Adult","Senior"))</f>
        <v>Senior</v>
      </c>
      <c r="R1323" s="2" t="str">
        <f t="shared" si="40"/>
        <v>Low</v>
      </c>
      <c r="S1323" s="2" t="str">
        <f t="shared" si="41"/>
        <v>Central - Student</v>
      </c>
    </row>
    <row r="1324" spans="1:19" x14ac:dyDescent="0.3">
      <c r="A1324" t="s">
        <v>2671</v>
      </c>
      <c r="B1324" t="s">
        <v>2672</v>
      </c>
      <c r="C1324">
        <v>31</v>
      </c>
      <c r="D1324" s="2" t="s">
        <v>13</v>
      </c>
      <c r="E1324" s="2" t="s">
        <v>14</v>
      </c>
      <c r="F1324" s="2" t="s">
        <v>37</v>
      </c>
      <c r="G1324" s="2" t="s">
        <v>81</v>
      </c>
      <c r="H1324" s="2" t="s">
        <v>18</v>
      </c>
      <c r="I1324" s="2" t="s">
        <v>17</v>
      </c>
      <c r="J1324">
        <v>0.43</v>
      </c>
      <c r="K1324" s="1">
        <v>44501</v>
      </c>
      <c r="L1324" s="2" t="str">
        <f>IF(Sheet1[[#This Row],[age]]&lt;18, "Under 18",IF(Sheet1[[#This Row],[age]]&lt;=30,"18-30",IF(Sheet1[[#This Row],[age]]&lt;=45,"31-45",IF(Sheet1[[#This Row],[age]]&lt;=60,"46-60","60+"))))</f>
        <v>31-45</v>
      </c>
      <c r="M1324" s="2" t="str">
        <f>IF(Sheet1[[#This Row],[risk_score]]&lt;0.3,"Low",IF(Sheet1[[#This Row],[risk_score]]&lt;0.7,"Medium","High"))</f>
        <v>Medium</v>
      </c>
      <c r="N1324">
        <f>YEAR(Sheet1[[#This Row],[date_joined]])</f>
        <v>2021</v>
      </c>
      <c r="O1324" s="2" t="str">
        <f>TEXT(Sheet1[[#This Row],[date_joined]],"mmm")</f>
        <v>Nov</v>
      </c>
      <c r="P1324" s="2" t="str">
        <f>"Q"&amp;ROUNDUP(MONTH(Sheet1[[#This Row],[date_joined]])/3,0)</f>
        <v>Q4</v>
      </c>
      <c r="Q1324" s="2" t="str">
        <f>IF(Sheet1[[#This Row],[age]]&lt;30,"Young",IF(Sheet1[[#This Row],[age]]&lt;=50,"Adult","Senior"))</f>
        <v>Adult</v>
      </c>
      <c r="R1324" s="2" t="str">
        <f t="shared" si="40"/>
        <v>High</v>
      </c>
      <c r="S1324" s="2" t="str">
        <f t="shared" si="41"/>
        <v>Central - Retired</v>
      </c>
    </row>
    <row r="1325" spans="1:19" x14ac:dyDescent="0.3">
      <c r="A1325" t="s">
        <v>2673</v>
      </c>
      <c r="B1325" t="s">
        <v>2674</v>
      </c>
      <c r="C1325">
        <v>33</v>
      </c>
      <c r="D1325" s="2" t="s">
        <v>13</v>
      </c>
      <c r="E1325" s="2" t="s">
        <v>14</v>
      </c>
      <c r="F1325" s="2" t="s">
        <v>37</v>
      </c>
      <c r="G1325" s="2" t="s">
        <v>16</v>
      </c>
      <c r="H1325" s="2" t="s">
        <v>18</v>
      </c>
      <c r="I1325" s="2" t="s">
        <v>17</v>
      </c>
      <c r="J1325">
        <v>0.33</v>
      </c>
      <c r="K1325" s="1">
        <v>43385</v>
      </c>
      <c r="L1325" s="2" t="str">
        <f>IF(Sheet1[[#This Row],[age]]&lt;18, "Under 18",IF(Sheet1[[#This Row],[age]]&lt;=30,"18-30",IF(Sheet1[[#This Row],[age]]&lt;=45,"31-45",IF(Sheet1[[#This Row],[age]]&lt;=60,"46-60","60+"))))</f>
        <v>31-45</v>
      </c>
      <c r="M1325" s="2" t="str">
        <f>IF(Sheet1[[#This Row],[risk_score]]&lt;0.3,"Low",IF(Sheet1[[#This Row],[risk_score]]&lt;0.7,"Medium","High"))</f>
        <v>Medium</v>
      </c>
      <c r="N1325">
        <f>YEAR(Sheet1[[#This Row],[date_joined]])</f>
        <v>2018</v>
      </c>
      <c r="O1325" s="2" t="str">
        <f>TEXT(Sheet1[[#This Row],[date_joined]],"mmm")</f>
        <v>Oct</v>
      </c>
      <c r="P1325" s="2" t="str">
        <f>"Q"&amp;ROUNDUP(MONTH(Sheet1[[#This Row],[date_joined]])/3,0)</f>
        <v>Q4</v>
      </c>
      <c r="Q1325" s="2" t="str">
        <f>IF(Sheet1[[#This Row],[age]]&lt;30,"Young",IF(Sheet1[[#This Row],[age]]&lt;=50,"Adult","Senior"))</f>
        <v>Adult</v>
      </c>
      <c r="R1325" s="2" t="str">
        <f t="shared" si="40"/>
        <v>High</v>
      </c>
      <c r="S1325" s="2" t="str">
        <f t="shared" si="41"/>
        <v>West - Retired</v>
      </c>
    </row>
    <row r="1326" spans="1:19" x14ac:dyDescent="0.3">
      <c r="A1326" t="s">
        <v>2675</v>
      </c>
      <c r="B1326" t="s">
        <v>2676</v>
      </c>
      <c r="C1326">
        <v>34</v>
      </c>
      <c r="D1326" s="2" t="s">
        <v>13</v>
      </c>
      <c r="E1326" s="2" t="s">
        <v>14</v>
      </c>
      <c r="F1326" s="2" t="s">
        <v>15</v>
      </c>
      <c r="G1326" s="2" t="s">
        <v>16</v>
      </c>
      <c r="H1326" s="2" t="s">
        <v>17</v>
      </c>
      <c r="I1326" s="2" t="s">
        <v>18</v>
      </c>
      <c r="J1326">
        <v>0.8</v>
      </c>
      <c r="K1326" s="1">
        <v>45243</v>
      </c>
      <c r="L1326" s="2" t="str">
        <f>IF(Sheet1[[#This Row],[age]]&lt;18, "Under 18",IF(Sheet1[[#This Row],[age]]&lt;=30,"18-30",IF(Sheet1[[#This Row],[age]]&lt;=45,"31-45",IF(Sheet1[[#This Row],[age]]&lt;=60,"46-60","60+"))))</f>
        <v>31-45</v>
      </c>
      <c r="M1326" s="2" t="str">
        <f>IF(Sheet1[[#This Row],[risk_score]]&lt;0.3,"Low",IF(Sheet1[[#This Row],[risk_score]]&lt;0.7,"Medium","High"))</f>
        <v>High</v>
      </c>
      <c r="N1326">
        <f>YEAR(Sheet1[[#This Row],[date_joined]])</f>
        <v>2023</v>
      </c>
      <c r="O1326" s="2" t="str">
        <f>TEXT(Sheet1[[#This Row],[date_joined]],"mmm")</f>
        <v>Nov</v>
      </c>
      <c r="P1326" s="2" t="str">
        <f>"Q"&amp;ROUNDUP(MONTH(Sheet1[[#This Row],[date_joined]])/3,0)</f>
        <v>Q4</v>
      </c>
      <c r="Q1326" s="2" t="str">
        <f>IF(Sheet1[[#This Row],[age]]&lt;30,"Young",IF(Sheet1[[#This Row],[age]]&lt;=50,"Adult","Senior"))</f>
        <v>Adult</v>
      </c>
      <c r="R1326" s="2" t="str">
        <f t="shared" si="40"/>
        <v>High</v>
      </c>
      <c r="S1326" s="2" t="str">
        <f t="shared" si="41"/>
        <v>West - Student</v>
      </c>
    </row>
    <row r="1327" spans="1:19" x14ac:dyDescent="0.3">
      <c r="A1327" t="s">
        <v>2677</v>
      </c>
      <c r="B1327" t="s">
        <v>2678</v>
      </c>
      <c r="C1327">
        <v>23</v>
      </c>
      <c r="D1327" s="2" t="s">
        <v>21</v>
      </c>
      <c r="E1327" s="2" t="s">
        <v>14</v>
      </c>
      <c r="F1327" s="2" t="s">
        <v>23</v>
      </c>
      <c r="G1327" s="2" t="s">
        <v>27</v>
      </c>
      <c r="H1327" s="2" t="s">
        <v>17</v>
      </c>
      <c r="I1327" s="2" t="s">
        <v>17</v>
      </c>
      <c r="J1327">
        <v>0.39</v>
      </c>
      <c r="K1327" s="1">
        <v>44400</v>
      </c>
      <c r="L1327" s="2" t="str">
        <f>IF(Sheet1[[#This Row],[age]]&lt;18, "Under 18",IF(Sheet1[[#This Row],[age]]&lt;=30,"18-30",IF(Sheet1[[#This Row],[age]]&lt;=45,"31-45",IF(Sheet1[[#This Row],[age]]&lt;=60,"46-60","60+"))))</f>
        <v>18-30</v>
      </c>
      <c r="M1327" s="2" t="str">
        <f>IF(Sheet1[[#This Row],[risk_score]]&lt;0.3,"Low",IF(Sheet1[[#This Row],[risk_score]]&lt;0.7,"Medium","High"))</f>
        <v>Medium</v>
      </c>
      <c r="N1327">
        <f>YEAR(Sheet1[[#This Row],[date_joined]])</f>
        <v>2021</v>
      </c>
      <c r="O1327" s="2" t="str">
        <f>TEXT(Sheet1[[#This Row],[date_joined]],"mmm")</f>
        <v>Jul</v>
      </c>
      <c r="P1327" s="2" t="str">
        <f>"Q"&amp;ROUNDUP(MONTH(Sheet1[[#This Row],[date_joined]])/3,0)</f>
        <v>Q3</v>
      </c>
      <c r="Q1327" s="2" t="str">
        <f>IF(Sheet1[[#This Row],[age]]&lt;30,"Young",IF(Sheet1[[#This Row],[age]]&lt;=50,"Adult","Senior"))</f>
        <v>Young</v>
      </c>
      <c r="R1327" s="2" t="str">
        <f t="shared" si="40"/>
        <v>Low</v>
      </c>
      <c r="S1327" s="2" t="str">
        <f t="shared" si="41"/>
        <v>North - Salaried</v>
      </c>
    </row>
    <row r="1328" spans="1:19" x14ac:dyDescent="0.3">
      <c r="A1328" t="s">
        <v>2679</v>
      </c>
      <c r="B1328" t="s">
        <v>2680</v>
      </c>
      <c r="C1328">
        <v>60</v>
      </c>
      <c r="D1328" s="2" t="s">
        <v>21</v>
      </c>
      <c r="E1328" s="2" t="s">
        <v>22</v>
      </c>
      <c r="F1328" s="2" t="s">
        <v>31</v>
      </c>
      <c r="G1328" s="2" t="s">
        <v>66</v>
      </c>
      <c r="H1328" s="2" t="s">
        <v>17</v>
      </c>
      <c r="I1328" s="2" t="s">
        <v>18</v>
      </c>
      <c r="J1328">
        <v>0.63</v>
      </c>
      <c r="K1328" s="1">
        <v>44614</v>
      </c>
      <c r="L1328" s="2" t="str">
        <f>IF(Sheet1[[#This Row],[age]]&lt;18, "Under 18",IF(Sheet1[[#This Row],[age]]&lt;=30,"18-30",IF(Sheet1[[#This Row],[age]]&lt;=45,"31-45",IF(Sheet1[[#This Row],[age]]&lt;=60,"46-60","60+"))))</f>
        <v>46-60</v>
      </c>
      <c r="M1328" s="2" t="str">
        <f>IF(Sheet1[[#This Row],[risk_score]]&lt;0.3,"Low",IF(Sheet1[[#This Row],[risk_score]]&lt;0.7,"Medium","High"))</f>
        <v>Medium</v>
      </c>
      <c r="N1328">
        <f>YEAR(Sheet1[[#This Row],[date_joined]])</f>
        <v>2022</v>
      </c>
      <c r="O1328" s="2" t="str">
        <f>TEXT(Sheet1[[#This Row],[date_joined]],"mmm")</f>
        <v>Feb</v>
      </c>
      <c r="P1328" s="2" t="str">
        <f>"Q"&amp;ROUNDUP(MONTH(Sheet1[[#This Row],[date_joined]])/3,0)</f>
        <v>Q1</v>
      </c>
      <c r="Q1328" s="2" t="str">
        <f>IF(Sheet1[[#This Row],[age]]&lt;30,"Young",IF(Sheet1[[#This Row],[age]]&lt;=50,"Adult","Senior"))</f>
        <v>Senior</v>
      </c>
      <c r="R1328" s="2" t="str">
        <f t="shared" si="40"/>
        <v>High</v>
      </c>
      <c r="S1328" s="2" t="str">
        <f t="shared" si="41"/>
        <v>North-East - Self-employed</v>
      </c>
    </row>
    <row r="1329" spans="1:19" x14ac:dyDescent="0.3">
      <c r="A1329" t="s">
        <v>2681</v>
      </c>
      <c r="B1329" t="s">
        <v>2682</v>
      </c>
      <c r="C1329">
        <v>62</v>
      </c>
      <c r="D1329" s="2" t="s">
        <v>21</v>
      </c>
      <c r="E1329" s="2" t="s">
        <v>30</v>
      </c>
      <c r="F1329" s="2" t="s">
        <v>31</v>
      </c>
      <c r="G1329" s="2" t="s">
        <v>81</v>
      </c>
      <c r="H1329" s="2" t="s">
        <v>18</v>
      </c>
      <c r="I1329" s="2" t="s">
        <v>17</v>
      </c>
      <c r="J1329">
        <v>0.56000000000000005</v>
      </c>
      <c r="K1329" s="1">
        <v>44127</v>
      </c>
      <c r="L1329" s="2" t="str">
        <f>IF(Sheet1[[#This Row],[age]]&lt;18, "Under 18",IF(Sheet1[[#This Row],[age]]&lt;=30,"18-30",IF(Sheet1[[#This Row],[age]]&lt;=45,"31-45",IF(Sheet1[[#This Row],[age]]&lt;=60,"46-60","60+"))))</f>
        <v>60+</v>
      </c>
      <c r="M1329" s="2" t="str">
        <f>IF(Sheet1[[#This Row],[risk_score]]&lt;0.3,"Low",IF(Sheet1[[#This Row],[risk_score]]&lt;0.7,"Medium","High"))</f>
        <v>Medium</v>
      </c>
      <c r="N1329">
        <f>YEAR(Sheet1[[#This Row],[date_joined]])</f>
        <v>2020</v>
      </c>
      <c r="O1329" s="2" t="str">
        <f>TEXT(Sheet1[[#This Row],[date_joined]],"mmm")</f>
        <v>Oct</v>
      </c>
      <c r="P1329" s="2" t="str">
        <f>"Q"&amp;ROUNDUP(MONTH(Sheet1[[#This Row],[date_joined]])/3,0)</f>
        <v>Q4</v>
      </c>
      <c r="Q1329" s="2" t="str">
        <f>IF(Sheet1[[#This Row],[age]]&lt;30,"Young",IF(Sheet1[[#This Row],[age]]&lt;=50,"Adult","Senior"))</f>
        <v>Senior</v>
      </c>
      <c r="R1329" s="2" t="str">
        <f t="shared" si="40"/>
        <v>High</v>
      </c>
      <c r="S1329" s="2" t="str">
        <f t="shared" si="41"/>
        <v>Central - Self-employed</v>
      </c>
    </row>
    <row r="1330" spans="1:19" x14ac:dyDescent="0.3">
      <c r="A1330" t="s">
        <v>2683</v>
      </c>
      <c r="B1330" t="s">
        <v>2684</v>
      </c>
      <c r="C1330">
        <v>20</v>
      </c>
      <c r="D1330" s="2" t="s">
        <v>13</v>
      </c>
      <c r="E1330" s="2" t="s">
        <v>22</v>
      </c>
      <c r="F1330" s="2" t="s">
        <v>37</v>
      </c>
      <c r="G1330" s="2" t="s">
        <v>66</v>
      </c>
      <c r="H1330" s="2" t="s">
        <v>17</v>
      </c>
      <c r="I1330" s="2" t="s">
        <v>17</v>
      </c>
      <c r="J1330">
        <v>0.52</v>
      </c>
      <c r="K1330" s="1">
        <v>43173</v>
      </c>
      <c r="L1330" s="2" t="str">
        <f>IF(Sheet1[[#This Row],[age]]&lt;18, "Under 18",IF(Sheet1[[#This Row],[age]]&lt;=30,"18-30",IF(Sheet1[[#This Row],[age]]&lt;=45,"31-45",IF(Sheet1[[#This Row],[age]]&lt;=60,"46-60","60+"))))</f>
        <v>18-30</v>
      </c>
      <c r="M1330" s="2" t="str">
        <f>IF(Sheet1[[#This Row],[risk_score]]&lt;0.3,"Low",IF(Sheet1[[#This Row],[risk_score]]&lt;0.7,"Medium","High"))</f>
        <v>Medium</v>
      </c>
      <c r="N1330">
        <f>YEAR(Sheet1[[#This Row],[date_joined]])</f>
        <v>2018</v>
      </c>
      <c r="O1330" s="2" t="str">
        <f>TEXT(Sheet1[[#This Row],[date_joined]],"mmm")</f>
        <v>Mar</v>
      </c>
      <c r="P1330" s="2" t="str">
        <f>"Q"&amp;ROUNDUP(MONTH(Sheet1[[#This Row],[date_joined]])/3,0)</f>
        <v>Q1</v>
      </c>
      <c r="Q1330" s="2" t="str">
        <f>IF(Sheet1[[#This Row],[age]]&lt;30,"Young",IF(Sheet1[[#This Row],[age]]&lt;=50,"Adult","Senior"))</f>
        <v>Young</v>
      </c>
      <c r="R1330" s="2" t="str">
        <f t="shared" si="40"/>
        <v>Low</v>
      </c>
      <c r="S1330" s="2" t="str">
        <f t="shared" si="41"/>
        <v>North-East - Retired</v>
      </c>
    </row>
    <row r="1331" spans="1:19" x14ac:dyDescent="0.3">
      <c r="A1331" t="s">
        <v>2685</v>
      </c>
      <c r="B1331" t="s">
        <v>2686</v>
      </c>
      <c r="C1331">
        <v>60</v>
      </c>
      <c r="D1331" s="2" t="s">
        <v>13</v>
      </c>
      <c r="E1331" s="2" t="s">
        <v>22</v>
      </c>
      <c r="F1331" s="2" t="s">
        <v>15</v>
      </c>
      <c r="G1331" s="2" t="s">
        <v>32</v>
      </c>
      <c r="H1331" s="2" t="s">
        <v>18</v>
      </c>
      <c r="I1331" s="2" t="s">
        <v>17</v>
      </c>
      <c r="J1331">
        <v>0.23</v>
      </c>
      <c r="K1331" s="1">
        <v>44645</v>
      </c>
      <c r="L1331" s="2" t="str">
        <f>IF(Sheet1[[#This Row],[age]]&lt;18, "Under 18",IF(Sheet1[[#This Row],[age]]&lt;=30,"18-30",IF(Sheet1[[#This Row],[age]]&lt;=45,"31-45",IF(Sheet1[[#This Row],[age]]&lt;=60,"46-60","60+"))))</f>
        <v>46-60</v>
      </c>
      <c r="M1331" s="2" t="str">
        <f>IF(Sheet1[[#This Row],[risk_score]]&lt;0.3,"Low",IF(Sheet1[[#This Row],[risk_score]]&lt;0.7,"Medium","High"))</f>
        <v>Low</v>
      </c>
      <c r="N1331">
        <f>YEAR(Sheet1[[#This Row],[date_joined]])</f>
        <v>2022</v>
      </c>
      <c r="O1331" s="2" t="str">
        <f>TEXT(Sheet1[[#This Row],[date_joined]],"mmm")</f>
        <v>Mar</v>
      </c>
      <c r="P1331" s="2" t="str">
        <f>"Q"&amp;ROUNDUP(MONTH(Sheet1[[#This Row],[date_joined]])/3,0)</f>
        <v>Q1</v>
      </c>
      <c r="Q1331" s="2" t="str">
        <f>IF(Sheet1[[#This Row],[age]]&lt;30,"Young",IF(Sheet1[[#This Row],[age]]&lt;=50,"Adult","Senior"))</f>
        <v>Senior</v>
      </c>
      <c r="R1331" s="2" t="str">
        <f t="shared" si="40"/>
        <v>High</v>
      </c>
      <c r="S1331" s="2" t="str">
        <f t="shared" si="41"/>
        <v>South - Student</v>
      </c>
    </row>
    <row r="1332" spans="1:19" x14ac:dyDescent="0.3">
      <c r="A1332" t="s">
        <v>2687</v>
      </c>
      <c r="B1332" t="s">
        <v>2688</v>
      </c>
      <c r="C1332">
        <v>31</v>
      </c>
      <c r="D1332" s="2" t="s">
        <v>21</v>
      </c>
      <c r="E1332" s="2" t="s">
        <v>22</v>
      </c>
      <c r="F1332" s="2" t="s">
        <v>23</v>
      </c>
      <c r="G1332" s="2" t="s">
        <v>81</v>
      </c>
      <c r="H1332" s="2" t="s">
        <v>18</v>
      </c>
      <c r="I1332" s="2" t="s">
        <v>17</v>
      </c>
      <c r="J1332">
        <v>0.74</v>
      </c>
      <c r="K1332" s="1">
        <v>44306</v>
      </c>
      <c r="L1332" s="2" t="str">
        <f>IF(Sheet1[[#This Row],[age]]&lt;18, "Under 18",IF(Sheet1[[#This Row],[age]]&lt;=30,"18-30",IF(Sheet1[[#This Row],[age]]&lt;=45,"31-45",IF(Sheet1[[#This Row],[age]]&lt;=60,"46-60","60+"))))</f>
        <v>31-45</v>
      </c>
      <c r="M1332" s="2" t="str">
        <f>IF(Sheet1[[#This Row],[risk_score]]&lt;0.3,"Low",IF(Sheet1[[#This Row],[risk_score]]&lt;0.7,"Medium","High"))</f>
        <v>High</v>
      </c>
      <c r="N1332">
        <f>YEAR(Sheet1[[#This Row],[date_joined]])</f>
        <v>2021</v>
      </c>
      <c r="O1332" s="2" t="str">
        <f>TEXT(Sheet1[[#This Row],[date_joined]],"mmm")</f>
        <v>Apr</v>
      </c>
      <c r="P1332" s="2" t="str">
        <f>"Q"&amp;ROUNDUP(MONTH(Sheet1[[#This Row],[date_joined]])/3,0)</f>
        <v>Q2</v>
      </c>
      <c r="Q1332" s="2" t="str">
        <f>IF(Sheet1[[#This Row],[age]]&lt;30,"Young",IF(Sheet1[[#This Row],[age]]&lt;=50,"Adult","Senior"))</f>
        <v>Adult</v>
      </c>
      <c r="R1332" s="2" t="str">
        <f t="shared" si="40"/>
        <v>High</v>
      </c>
      <c r="S1332" s="2" t="str">
        <f t="shared" si="41"/>
        <v>Central - Salaried</v>
      </c>
    </row>
    <row r="1333" spans="1:19" x14ac:dyDescent="0.3">
      <c r="A1333" t="s">
        <v>2689</v>
      </c>
      <c r="B1333" t="s">
        <v>2690</v>
      </c>
      <c r="C1333">
        <v>63</v>
      </c>
      <c r="D1333" s="2" t="s">
        <v>21</v>
      </c>
      <c r="E1333" s="2" t="s">
        <v>14</v>
      </c>
      <c r="F1333" s="2" t="s">
        <v>31</v>
      </c>
      <c r="G1333" s="2" t="s">
        <v>81</v>
      </c>
      <c r="H1333" s="2" t="s">
        <v>17</v>
      </c>
      <c r="I1333" s="2" t="s">
        <v>17</v>
      </c>
      <c r="J1333">
        <v>0.45</v>
      </c>
      <c r="K1333" s="1">
        <v>44023</v>
      </c>
      <c r="L1333" s="2" t="str">
        <f>IF(Sheet1[[#This Row],[age]]&lt;18, "Under 18",IF(Sheet1[[#This Row],[age]]&lt;=30,"18-30",IF(Sheet1[[#This Row],[age]]&lt;=45,"31-45",IF(Sheet1[[#This Row],[age]]&lt;=60,"46-60","60+"))))</f>
        <v>60+</v>
      </c>
      <c r="M1333" s="2" t="str">
        <f>IF(Sheet1[[#This Row],[risk_score]]&lt;0.3,"Low",IF(Sheet1[[#This Row],[risk_score]]&lt;0.7,"Medium","High"))</f>
        <v>Medium</v>
      </c>
      <c r="N1333">
        <f>YEAR(Sheet1[[#This Row],[date_joined]])</f>
        <v>2020</v>
      </c>
      <c r="O1333" s="2" t="str">
        <f>TEXT(Sheet1[[#This Row],[date_joined]],"mmm")</f>
        <v>Jul</v>
      </c>
      <c r="P1333" s="2" t="str">
        <f>"Q"&amp;ROUNDUP(MONTH(Sheet1[[#This Row],[date_joined]])/3,0)</f>
        <v>Q3</v>
      </c>
      <c r="Q1333" s="2" t="str">
        <f>IF(Sheet1[[#This Row],[age]]&lt;30,"Young",IF(Sheet1[[#This Row],[age]]&lt;=50,"Adult","Senior"))</f>
        <v>Senior</v>
      </c>
      <c r="R1333" s="2" t="str">
        <f t="shared" si="40"/>
        <v>Low</v>
      </c>
      <c r="S1333" s="2" t="str">
        <f t="shared" si="41"/>
        <v>Central - Self-employed</v>
      </c>
    </row>
    <row r="1334" spans="1:19" x14ac:dyDescent="0.3">
      <c r="A1334" t="s">
        <v>2691</v>
      </c>
      <c r="B1334" t="s">
        <v>2692</v>
      </c>
      <c r="C1334">
        <v>36</v>
      </c>
      <c r="D1334" s="2" t="s">
        <v>21</v>
      </c>
      <c r="E1334" s="2" t="s">
        <v>14</v>
      </c>
      <c r="F1334" s="2" t="s">
        <v>15</v>
      </c>
      <c r="G1334" s="2" t="s">
        <v>81</v>
      </c>
      <c r="H1334" s="2" t="s">
        <v>18</v>
      </c>
      <c r="I1334" s="2" t="s">
        <v>18</v>
      </c>
      <c r="J1334">
        <v>0.16</v>
      </c>
      <c r="K1334" s="1">
        <v>44294</v>
      </c>
      <c r="L1334" s="2" t="str">
        <f>IF(Sheet1[[#This Row],[age]]&lt;18, "Under 18",IF(Sheet1[[#This Row],[age]]&lt;=30,"18-30",IF(Sheet1[[#This Row],[age]]&lt;=45,"31-45",IF(Sheet1[[#This Row],[age]]&lt;=60,"46-60","60+"))))</f>
        <v>31-45</v>
      </c>
      <c r="M1334" s="2" t="str">
        <f>IF(Sheet1[[#This Row],[risk_score]]&lt;0.3,"Low",IF(Sheet1[[#This Row],[risk_score]]&lt;0.7,"Medium","High"))</f>
        <v>Low</v>
      </c>
      <c r="N1334">
        <f>YEAR(Sheet1[[#This Row],[date_joined]])</f>
        <v>2021</v>
      </c>
      <c r="O1334" s="2" t="str">
        <f>TEXT(Sheet1[[#This Row],[date_joined]],"mmm")</f>
        <v>Apr</v>
      </c>
      <c r="P1334" s="2" t="str">
        <f>"Q"&amp;ROUNDUP(MONTH(Sheet1[[#This Row],[date_joined]])/3,0)</f>
        <v>Q2</v>
      </c>
      <c r="Q1334" s="2" t="str">
        <f>IF(Sheet1[[#This Row],[age]]&lt;30,"Young",IF(Sheet1[[#This Row],[age]]&lt;=50,"Adult","Senior"))</f>
        <v>Adult</v>
      </c>
      <c r="R1334" s="2" t="str">
        <f t="shared" si="40"/>
        <v>Very High</v>
      </c>
      <c r="S1334" s="2" t="str">
        <f t="shared" si="41"/>
        <v>Central - Student</v>
      </c>
    </row>
    <row r="1335" spans="1:19" x14ac:dyDescent="0.3">
      <c r="A1335" t="s">
        <v>2693</v>
      </c>
      <c r="B1335" t="s">
        <v>2694</v>
      </c>
      <c r="C1335">
        <v>30</v>
      </c>
      <c r="D1335" s="2" t="s">
        <v>13</v>
      </c>
      <c r="E1335" s="2" t="s">
        <v>14</v>
      </c>
      <c r="F1335" s="2" t="s">
        <v>15</v>
      </c>
      <c r="G1335" s="2" t="s">
        <v>81</v>
      </c>
      <c r="H1335" s="2" t="s">
        <v>18</v>
      </c>
      <c r="I1335" s="2" t="s">
        <v>17</v>
      </c>
      <c r="J1335">
        <v>0.14000000000000001</v>
      </c>
      <c r="K1335" s="1">
        <v>45113</v>
      </c>
      <c r="L1335" s="2" t="str">
        <f>IF(Sheet1[[#This Row],[age]]&lt;18, "Under 18",IF(Sheet1[[#This Row],[age]]&lt;=30,"18-30",IF(Sheet1[[#This Row],[age]]&lt;=45,"31-45",IF(Sheet1[[#This Row],[age]]&lt;=60,"46-60","60+"))))</f>
        <v>18-30</v>
      </c>
      <c r="M1335" s="2" t="str">
        <f>IF(Sheet1[[#This Row],[risk_score]]&lt;0.3,"Low",IF(Sheet1[[#This Row],[risk_score]]&lt;0.7,"Medium","High"))</f>
        <v>Low</v>
      </c>
      <c r="N1335">
        <f>YEAR(Sheet1[[#This Row],[date_joined]])</f>
        <v>2023</v>
      </c>
      <c r="O1335" s="2" t="str">
        <f>TEXT(Sheet1[[#This Row],[date_joined]],"mmm")</f>
        <v>Jul</v>
      </c>
      <c r="P1335" s="2" t="str">
        <f>"Q"&amp;ROUNDUP(MONTH(Sheet1[[#This Row],[date_joined]])/3,0)</f>
        <v>Q3</v>
      </c>
      <c r="Q1335" s="2" t="str">
        <f>IF(Sheet1[[#This Row],[age]]&lt;30,"Young",IF(Sheet1[[#This Row],[age]]&lt;=50,"Adult","Senior"))</f>
        <v>Adult</v>
      </c>
      <c r="R1335" s="2" t="str">
        <f t="shared" si="40"/>
        <v>High</v>
      </c>
      <c r="S1335" s="2" t="str">
        <f t="shared" si="41"/>
        <v>Central - Student</v>
      </c>
    </row>
    <row r="1336" spans="1:19" x14ac:dyDescent="0.3">
      <c r="A1336" t="s">
        <v>2695</v>
      </c>
      <c r="B1336" t="s">
        <v>2696</v>
      </c>
      <c r="C1336">
        <v>29</v>
      </c>
      <c r="D1336" s="2" t="s">
        <v>13</v>
      </c>
      <c r="E1336" s="2" t="s">
        <v>14</v>
      </c>
      <c r="F1336" s="2" t="s">
        <v>31</v>
      </c>
      <c r="G1336" s="2" t="s">
        <v>81</v>
      </c>
      <c r="H1336" s="2" t="s">
        <v>17</v>
      </c>
      <c r="I1336" s="2" t="s">
        <v>18</v>
      </c>
      <c r="J1336">
        <v>0.45</v>
      </c>
      <c r="K1336" s="1">
        <v>43328</v>
      </c>
      <c r="L1336" s="2" t="str">
        <f>IF(Sheet1[[#This Row],[age]]&lt;18, "Under 18",IF(Sheet1[[#This Row],[age]]&lt;=30,"18-30",IF(Sheet1[[#This Row],[age]]&lt;=45,"31-45",IF(Sheet1[[#This Row],[age]]&lt;=60,"46-60","60+"))))</f>
        <v>18-30</v>
      </c>
      <c r="M1336" s="2" t="str">
        <f>IF(Sheet1[[#This Row],[risk_score]]&lt;0.3,"Low",IF(Sheet1[[#This Row],[risk_score]]&lt;0.7,"Medium","High"))</f>
        <v>Medium</v>
      </c>
      <c r="N1336">
        <f>YEAR(Sheet1[[#This Row],[date_joined]])</f>
        <v>2018</v>
      </c>
      <c r="O1336" s="2" t="str">
        <f>TEXT(Sheet1[[#This Row],[date_joined]],"mmm")</f>
        <v>Aug</v>
      </c>
      <c r="P1336" s="2" t="str">
        <f>"Q"&amp;ROUNDUP(MONTH(Sheet1[[#This Row],[date_joined]])/3,0)</f>
        <v>Q3</v>
      </c>
      <c r="Q1336" s="2" t="str">
        <f>IF(Sheet1[[#This Row],[age]]&lt;30,"Young",IF(Sheet1[[#This Row],[age]]&lt;=50,"Adult","Senior"))</f>
        <v>Young</v>
      </c>
      <c r="R1336" s="2" t="str">
        <f t="shared" si="40"/>
        <v>High</v>
      </c>
      <c r="S1336" s="2" t="str">
        <f t="shared" si="41"/>
        <v>Central - Self-employed</v>
      </c>
    </row>
    <row r="1337" spans="1:19" x14ac:dyDescent="0.3">
      <c r="A1337" t="s">
        <v>2697</v>
      </c>
      <c r="B1337" t="s">
        <v>2698</v>
      </c>
      <c r="C1337">
        <v>56</v>
      </c>
      <c r="D1337" s="2" t="s">
        <v>21</v>
      </c>
      <c r="E1337" s="2" t="s">
        <v>22</v>
      </c>
      <c r="F1337" s="2" t="s">
        <v>15</v>
      </c>
      <c r="G1337" s="2" t="s">
        <v>16</v>
      </c>
      <c r="H1337" s="2" t="s">
        <v>17</v>
      </c>
      <c r="I1337" s="2" t="s">
        <v>17</v>
      </c>
      <c r="J1337">
        <v>0.67</v>
      </c>
      <c r="K1337" s="1">
        <v>44469</v>
      </c>
      <c r="L1337" s="2" t="str">
        <f>IF(Sheet1[[#This Row],[age]]&lt;18, "Under 18",IF(Sheet1[[#This Row],[age]]&lt;=30,"18-30",IF(Sheet1[[#This Row],[age]]&lt;=45,"31-45",IF(Sheet1[[#This Row],[age]]&lt;=60,"46-60","60+"))))</f>
        <v>46-60</v>
      </c>
      <c r="M1337" s="2" t="str">
        <f>IF(Sheet1[[#This Row],[risk_score]]&lt;0.3,"Low",IF(Sheet1[[#This Row],[risk_score]]&lt;0.7,"Medium","High"))</f>
        <v>Medium</v>
      </c>
      <c r="N1337">
        <f>YEAR(Sheet1[[#This Row],[date_joined]])</f>
        <v>2021</v>
      </c>
      <c r="O1337" s="2" t="str">
        <f>TEXT(Sheet1[[#This Row],[date_joined]],"mmm")</f>
        <v>Sep</v>
      </c>
      <c r="P1337" s="2" t="str">
        <f>"Q"&amp;ROUNDUP(MONTH(Sheet1[[#This Row],[date_joined]])/3,0)</f>
        <v>Q3</v>
      </c>
      <c r="Q1337" s="2" t="str">
        <f>IF(Sheet1[[#This Row],[age]]&lt;30,"Young",IF(Sheet1[[#This Row],[age]]&lt;=50,"Adult","Senior"))</f>
        <v>Senior</v>
      </c>
      <c r="R1337" s="2" t="str">
        <f t="shared" si="40"/>
        <v>Low</v>
      </c>
      <c r="S1337" s="2" t="str">
        <f t="shared" si="41"/>
        <v>West - Student</v>
      </c>
    </row>
    <row r="1338" spans="1:19" x14ac:dyDescent="0.3">
      <c r="A1338" t="s">
        <v>2699</v>
      </c>
      <c r="B1338" t="s">
        <v>2700</v>
      </c>
      <c r="C1338">
        <v>47</v>
      </c>
      <c r="D1338" s="2" t="s">
        <v>13</v>
      </c>
      <c r="E1338" s="2" t="s">
        <v>14</v>
      </c>
      <c r="F1338" s="2" t="s">
        <v>37</v>
      </c>
      <c r="G1338" s="2" t="s">
        <v>32</v>
      </c>
      <c r="H1338" s="2" t="s">
        <v>17</v>
      </c>
      <c r="I1338" s="2" t="s">
        <v>17</v>
      </c>
      <c r="J1338">
        <v>0.67</v>
      </c>
      <c r="K1338" s="1">
        <v>44672</v>
      </c>
      <c r="L1338" s="2" t="str">
        <f>IF(Sheet1[[#This Row],[age]]&lt;18, "Under 18",IF(Sheet1[[#This Row],[age]]&lt;=30,"18-30",IF(Sheet1[[#This Row],[age]]&lt;=45,"31-45",IF(Sheet1[[#This Row],[age]]&lt;=60,"46-60","60+"))))</f>
        <v>46-60</v>
      </c>
      <c r="M1338" s="2" t="str">
        <f>IF(Sheet1[[#This Row],[risk_score]]&lt;0.3,"Low",IF(Sheet1[[#This Row],[risk_score]]&lt;0.7,"Medium","High"))</f>
        <v>Medium</v>
      </c>
      <c r="N1338">
        <f>YEAR(Sheet1[[#This Row],[date_joined]])</f>
        <v>2022</v>
      </c>
      <c r="O1338" s="2" t="str">
        <f>TEXT(Sheet1[[#This Row],[date_joined]],"mmm")</f>
        <v>Apr</v>
      </c>
      <c r="P1338" s="2" t="str">
        <f>"Q"&amp;ROUNDUP(MONTH(Sheet1[[#This Row],[date_joined]])/3,0)</f>
        <v>Q2</v>
      </c>
      <c r="Q1338" s="2" t="str">
        <f>IF(Sheet1[[#This Row],[age]]&lt;30,"Young",IF(Sheet1[[#This Row],[age]]&lt;=50,"Adult","Senior"))</f>
        <v>Adult</v>
      </c>
      <c r="R1338" s="2" t="str">
        <f t="shared" si="40"/>
        <v>Low</v>
      </c>
      <c r="S1338" s="2" t="str">
        <f t="shared" si="41"/>
        <v>South - Retired</v>
      </c>
    </row>
    <row r="1339" spans="1:19" x14ac:dyDescent="0.3">
      <c r="A1339" t="s">
        <v>2701</v>
      </c>
      <c r="B1339" t="s">
        <v>2702</v>
      </c>
      <c r="C1339">
        <v>60</v>
      </c>
      <c r="D1339" s="2" t="s">
        <v>21</v>
      </c>
      <c r="E1339" s="2" t="s">
        <v>14</v>
      </c>
      <c r="F1339" s="2" t="s">
        <v>37</v>
      </c>
      <c r="G1339" s="2" t="s">
        <v>32</v>
      </c>
      <c r="H1339" s="2" t="s">
        <v>17</v>
      </c>
      <c r="I1339" s="2" t="s">
        <v>17</v>
      </c>
      <c r="J1339">
        <v>0.25</v>
      </c>
      <c r="K1339" s="1">
        <v>44251</v>
      </c>
      <c r="L1339" s="2" t="str">
        <f>IF(Sheet1[[#This Row],[age]]&lt;18, "Under 18",IF(Sheet1[[#This Row],[age]]&lt;=30,"18-30",IF(Sheet1[[#This Row],[age]]&lt;=45,"31-45",IF(Sheet1[[#This Row],[age]]&lt;=60,"46-60","60+"))))</f>
        <v>46-60</v>
      </c>
      <c r="M1339" s="2" t="str">
        <f>IF(Sheet1[[#This Row],[risk_score]]&lt;0.3,"Low",IF(Sheet1[[#This Row],[risk_score]]&lt;0.7,"Medium","High"))</f>
        <v>Low</v>
      </c>
      <c r="N1339">
        <f>YEAR(Sheet1[[#This Row],[date_joined]])</f>
        <v>2021</v>
      </c>
      <c r="O1339" s="2" t="str">
        <f>TEXT(Sheet1[[#This Row],[date_joined]],"mmm")</f>
        <v>Feb</v>
      </c>
      <c r="P1339" s="2" t="str">
        <f>"Q"&amp;ROUNDUP(MONTH(Sheet1[[#This Row],[date_joined]])/3,0)</f>
        <v>Q1</v>
      </c>
      <c r="Q1339" s="2" t="str">
        <f>IF(Sheet1[[#This Row],[age]]&lt;30,"Young",IF(Sheet1[[#This Row],[age]]&lt;=50,"Adult","Senior"))</f>
        <v>Senior</v>
      </c>
      <c r="R1339" s="2" t="str">
        <f t="shared" si="40"/>
        <v>Low</v>
      </c>
      <c r="S1339" s="2" t="str">
        <f t="shared" si="41"/>
        <v>South - Retired</v>
      </c>
    </row>
    <row r="1340" spans="1:19" x14ac:dyDescent="0.3">
      <c r="A1340" t="s">
        <v>2703</v>
      </c>
      <c r="B1340" t="s">
        <v>2704</v>
      </c>
      <c r="C1340">
        <v>34</v>
      </c>
      <c r="D1340" s="2" t="s">
        <v>13</v>
      </c>
      <c r="E1340" s="2" t="s">
        <v>30</v>
      </c>
      <c r="F1340" s="2" t="s">
        <v>23</v>
      </c>
      <c r="G1340" s="2" t="s">
        <v>16</v>
      </c>
      <c r="H1340" s="2" t="s">
        <v>18</v>
      </c>
      <c r="I1340" s="2" t="s">
        <v>18</v>
      </c>
      <c r="J1340">
        <v>0.66</v>
      </c>
      <c r="K1340" s="1">
        <v>44395</v>
      </c>
      <c r="L1340" s="2" t="str">
        <f>IF(Sheet1[[#This Row],[age]]&lt;18, "Under 18",IF(Sheet1[[#This Row],[age]]&lt;=30,"18-30",IF(Sheet1[[#This Row],[age]]&lt;=45,"31-45",IF(Sheet1[[#This Row],[age]]&lt;=60,"46-60","60+"))))</f>
        <v>31-45</v>
      </c>
      <c r="M1340" s="2" t="str">
        <f>IF(Sheet1[[#This Row],[risk_score]]&lt;0.3,"Low",IF(Sheet1[[#This Row],[risk_score]]&lt;0.7,"Medium","High"))</f>
        <v>Medium</v>
      </c>
      <c r="N1340">
        <f>YEAR(Sheet1[[#This Row],[date_joined]])</f>
        <v>2021</v>
      </c>
      <c r="O1340" s="2" t="str">
        <f>TEXT(Sheet1[[#This Row],[date_joined]],"mmm")</f>
        <v>Jul</v>
      </c>
      <c r="P1340" s="2" t="str">
        <f>"Q"&amp;ROUNDUP(MONTH(Sheet1[[#This Row],[date_joined]])/3,0)</f>
        <v>Q3</v>
      </c>
      <c r="Q1340" s="2" t="str">
        <f>IF(Sheet1[[#This Row],[age]]&lt;30,"Young",IF(Sheet1[[#This Row],[age]]&lt;=50,"Adult","Senior"))</f>
        <v>Adult</v>
      </c>
      <c r="R1340" s="2" t="str">
        <f t="shared" si="40"/>
        <v>Very High</v>
      </c>
      <c r="S1340" s="2" t="str">
        <f t="shared" si="41"/>
        <v>West - Salaried</v>
      </c>
    </row>
    <row r="1341" spans="1:19" x14ac:dyDescent="0.3">
      <c r="A1341" t="s">
        <v>2705</v>
      </c>
      <c r="B1341" t="s">
        <v>2706</v>
      </c>
      <c r="C1341">
        <v>51</v>
      </c>
      <c r="D1341" s="2" t="s">
        <v>21</v>
      </c>
      <c r="E1341" s="2" t="s">
        <v>30</v>
      </c>
      <c r="F1341" s="2" t="s">
        <v>23</v>
      </c>
      <c r="G1341" s="2" t="s">
        <v>66</v>
      </c>
      <c r="H1341" s="2" t="s">
        <v>17</v>
      </c>
      <c r="I1341" s="2" t="s">
        <v>18</v>
      </c>
      <c r="J1341">
        <v>0.3</v>
      </c>
      <c r="K1341" s="1">
        <v>44184</v>
      </c>
      <c r="L1341" s="2" t="str">
        <f>IF(Sheet1[[#This Row],[age]]&lt;18, "Under 18",IF(Sheet1[[#This Row],[age]]&lt;=30,"18-30",IF(Sheet1[[#This Row],[age]]&lt;=45,"31-45",IF(Sheet1[[#This Row],[age]]&lt;=60,"46-60","60+"))))</f>
        <v>46-60</v>
      </c>
      <c r="M1341" s="2" t="str">
        <f>IF(Sheet1[[#This Row],[risk_score]]&lt;0.3,"Low",IF(Sheet1[[#This Row],[risk_score]]&lt;0.7,"Medium","High"))</f>
        <v>Medium</v>
      </c>
      <c r="N1341">
        <f>YEAR(Sheet1[[#This Row],[date_joined]])</f>
        <v>2020</v>
      </c>
      <c r="O1341" s="2" t="str">
        <f>TEXT(Sheet1[[#This Row],[date_joined]],"mmm")</f>
        <v>Dec</v>
      </c>
      <c r="P1341" s="2" t="str">
        <f>"Q"&amp;ROUNDUP(MONTH(Sheet1[[#This Row],[date_joined]])/3,0)</f>
        <v>Q4</v>
      </c>
      <c r="Q1341" s="2" t="str">
        <f>IF(Sheet1[[#This Row],[age]]&lt;30,"Young",IF(Sheet1[[#This Row],[age]]&lt;=50,"Adult","Senior"))</f>
        <v>Senior</v>
      </c>
      <c r="R1341" s="2" t="str">
        <f t="shared" si="40"/>
        <v>High</v>
      </c>
      <c r="S1341" s="2" t="str">
        <f t="shared" si="41"/>
        <v>North-East - Salaried</v>
      </c>
    </row>
    <row r="1342" spans="1:19" x14ac:dyDescent="0.3">
      <c r="A1342" t="s">
        <v>2707</v>
      </c>
      <c r="B1342" t="s">
        <v>2708</v>
      </c>
      <c r="C1342">
        <v>50</v>
      </c>
      <c r="D1342" s="2" t="s">
        <v>13</v>
      </c>
      <c r="E1342" s="2" t="s">
        <v>30</v>
      </c>
      <c r="F1342" s="2" t="s">
        <v>37</v>
      </c>
      <c r="G1342" s="2" t="s">
        <v>27</v>
      </c>
      <c r="H1342" s="2" t="s">
        <v>17</v>
      </c>
      <c r="I1342" s="2" t="s">
        <v>17</v>
      </c>
      <c r="J1342">
        <v>0.43</v>
      </c>
      <c r="K1342" s="1">
        <v>43206</v>
      </c>
      <c r="L1342" s="2" t="str">
        <f>IF(Sheet1[[#This Row],[age]]&lt;18, "Under 18",IF(Sheet1[[#This Row],[age]]&lt;=30,"18-30",IF(Sheet1[[#This Row],[age]]&lt;=45,"31-45",IF(Sheet1[[#This Row],[age]]&lt;=60,"46-60","60+"))))</f>
        <v>46-60</v>
      </c>
      <c r="M1342" s="2" t="str">
        <f>IF(Sheet1[[#This Row],[risk_score]]&lt;0.3,"Low",IF(Sheet1[[#This Row],[risk_score]]&lt;0.7,"Medium","High"))</f>
        <v>Medium</v>
      </c>
      <c r="N1342">
        <f>YEAR(Sheet1[[#This Row],[date_joined]])</f>
        <v>2018</v>
      </c>
      <c r="O1342" s="2" t="str">
        <f>TEXT(Sheet1[[#This Row],[date_joined]],"mmm")</f>
        <v>Apr</v>
      </c>
      <c r="P1342" s="2" t="str">
        <f>"Q"&amp;ROUNDUP(MONTH(Sheet1[[#This Row],[date_joined]])/3,0)</f>
        <v>Q2</v>
      </c>
      <c r="Q1342" s="2" t="str">
        <f>IF(Sheet1[[#This Row],[age]]&lt;30,"Young",IF(Sheet1[[#This Row],[age]]&lt;=50,"Adult","Senior"))</f>
        <v>Adult</v>
      </c>
      <c r="R1342" s="2" t="str">
        <f t="shared" si="40"/>
        <v>Low</v>
      </c>
      <c r="S1342" s="2" t="str">
        <f t="shared" si="41"/>
        <v>North - Retired</v>
      </c>
    </row>
    <row r="1343" spans="1:19" x14ac:dyDescent="0.3">
      <c r="A1343" t="s">
        <v>2709</v>
      </c>
      <c r="B1343" t="s">
        <v>2710</v>
      </c>
      <c r="C1343">
        <v>57</v>
      </c>
      <c r="D1343" s="2" t="s">
        <v>13</v>
      </c>
      <c r="E1343" s="2" t="s">
        <v>14</v>
      </c>
      <c r="F1343" s="2" t="s">
        <v>31</v>
      </c>
      <c r="G1343" s="2" t="s">
        <v>24</v>
      </c>
      <c r="H1343" s="2" t="s">
        <v>17</v>
      </c>
      <c r="I1343" s="2" t="s">
        <v>18</v>
      </c>
      <c r="J1343">
        <v>0.62</v>
      </c>
      <c r="K1343" s="1">
        <v>44452</v>
      </c>
      <c r="L1343" s="2" t="str">
        <f>IF(Sheet1[[#This Row],[age]]&lt;18, "Under 18",IF(Sheet1[[#This Row],[age]]&lt;=30,"18-30",IF(Sheet1[[#This Row],[age]]&lt;=45,"31-45",IF(Sheet1[[#This Row],[age]]&lt;=60,"46-60","60+"))))</f>
        <v>46-60</v>
      </c>
      <c r="M1343" s="2" t="str">
        <f>IF(Sheet1[[#This Row],[risk_score]]&lt;0.3,"Low",IF(Sheet1[[#This Row],[risk_score]]&lt;0.7,"Medium","High"))</f>
        <v>Medium</v>
      </c>
      <c r="N1343">
        <f>YEAR(Sheet1[[#This Row],[date_joined]])</f>
        <v>2021</v>
      </c>
      <c r="O1343" s="2" t="str">
        <f>TEXT(Sheet1[[#This Row],[date_joined]],"mmm")</f>
        <v>Sep</v>
      </c>
      <c r="P1343" s="2" t="str">
        <f>"Q"&amp;ROUNDUP(MONTH(Sheet1[[#This Row],[date_joined]])/3,0)</f>
        <v>Q3</v>
      </c>
      <c r="Q1343" s="2" t="str">
        <f>IF(Sheet1[[#This Row],[age]]&lt;30,"Young",IF(Sheet1[[#This Row],[age]]&lt;=50,"Adult","Senior"))</f>
        <v>Senior</v>
      </c>
      <c r="R1343" s="2" t="str">
        <f t="shared" si="40"/>
        <v>High</v>
      </c>
      <c r="S1343" s="2" t="str">
        <f t="shared" si="41"/>
        <v>East - Self-employed</v>
      </c>
    </row>
    <row r="1344" spans="1:19" x14ac:dyDescent="0.3">
      <c r="A1344" t="s">
        <v>2711</v>
      </c>
      <c r="B1344" t="s">
        <v>2712</v>
      </c>
      <c r="C1344">
        <v>46</v>
      </c>
      <c r="D1344" s="2" t="s">
        <v>21</v>
      </c>
      <c r="E1344" s="2" t="s">
        <v>14</v>
      </c>
      <c r="F1344" s="2" t="s">
        <v>15</v>
      </c>
      <c r="G1344" s="2" t="s">
        <v>81</v>
      </c>
      <c r="H1344" s="2" t="s">
        <v>18</v>
      </c>
      <c r="I1344" s="2" t="s">
        <v>17</v>
      </c>
      <c r="J1344">
        <v>0.49</v>
      </c>
      <c r="K1344" s="1">
        <v>45057</v>
      </c>
      <c r="L1344" s="2" t="str">
        <f>IF(Sheet1[[#This Row],[age]]&lt;18, "Under 18",IF(Sheet1[[#This Row],[age]]&lt;=30,"18-30",IF(Sheet1[[#This Row],[age]]&lt;=45,"31-45",IF(Sheet1[[#This Row],[age]]&lt;=60,"46-60","60+"))))</f>
        <v>46-60</v>
      </c>
      <c r="M1344" s="2" t="str">
        <f>IF(Sheet1[[#This Row],[risk_score]]&lt;0.3,"Low",IF(Sheet1[[#This Row],[risk_score]]&lt;0.7,"Medium","High"))</f>
        <v>Medium</v>
      </c>
      <c r="N1344">
        <f>YEAR(Sheet1[[#This Row],[date_joined]])</f>
        <v>2023</v>
      </c>
      <c r="O1344" s="2" t="str">
        <f>TEXT(Sheet1[[#This Row],[date_joined]],"mmm")</f>
        <v>May</v>
      </c>
      <c r="P1344" s="2" t="str">
        <f>"Q"&amp;ROUNDUP(MONTH(Sheet1[[#This Row],[date_joined]])/3,0)</f>
        <v>Q2</v>
      </c>
      <c r="Q1344" s="2" t="str">
        <f>IF(Sheet1[[#This Row],[age]]&lt;30,"Young",IF(Sheet1[[#This Row],[age]]&lt;=50,"Adult","Senior"))</f>
        <v>Adult</v>
      </c>
      <c r="R1344" s="2" t="str">
        <f t="shared" si="40"/>
        <v>High</v>
      </c>
      <c r="S1344" s="2" t="str">
        <f t="shared" si="41"/>
        <v>Central - Student</v>
      </c>
    </row>
    <row r="1345" spans="1:19" x14ac:dyDescent="0.3">
      <c r="A1345" t="s">
        <v>2713</v>
      </c>
      <c r="B1345" t="s">
        <v>2714</v>
      </c>
      <c r="C1345">
        <v>51</v>
      </c>
      <c r="D1345" s="2" t="s">
        <v>21</v>
      </c>
      <c r="E1345" s="2" t="s">
        <v>30</v>
      </c>
      <c r="F1345" s="2" t="s">
        <v>37</v>
      </c>
      <c r="G1345" s="2" t="s">
        <v>24</v>
      </c>
      <c r="H1345" s="2" t="s">
        <v>18</v>
      </c>
      <c r="I1345" s="2" t="s">
        <v>18</v>
      </c>
      <c r="J1345">
        <v>0.26</v>
      </c>
      <c r="K1345" s="1">
        <v>44020</v>
      </c>
      <c r="L1345" s="2" t="str">
        <f>IF(Sheet1[[#This Row],[age]]&lt;18, "Under 18",IF(Sheet1[[#This Row],[age]]&lt;=30,"18-30",IF(Sheet1[[#This Row],[age]]&lt;=45,"31-45",IF(Sheet1[[#This Row],[age]]&lt;=60,"46-60","60+"))))</f>
        <v>46-60</v>
      </c>
      <c r="M1345" s="2" t="str">
        <f>IF(Sheet1[[#This Row],[risk_score]]&lt;0.3,"Low",IF(Sheet1[[#This Row],[risk_score]]&lt;0.7,"Medium","High"))</f>
        <v>Low</v>
      </c>
      <c r="N1345">
        <f>YEAR(Sheet1[[#This Row],[date_joined]])</f>
        <v>2020</v>
      </c>
      <c r="O1345" s="2" t="str">
        <f>TEXT(Sheet1[[#This Row],[date_joined]],"mmm")</f>
        <v>Jul</v>
      </c>
      <c r="P1345" s="2" t="str">
        <f>"Q"&amp;ROUNDUP(MONTH(Sheet1[[#This Row],[date_joined]])/3,0)</f>
        <v>Q3</v>
      </c>
      <c r="Q1345" s="2" t="str">
        <f>IF(Sheet1[[#This Row],[age]]&lt;30,"Young",IF(Sheet1[[#This Row],[age]]&lt;=50,"Adult","Senior"))</f>
        <v>Senior</v>
      </c>
      <c r="R1345" s="2" t="str">
        <f t="shared" si="40"/>
        <v>Very High</v>
      </c>
      <c r="S1345" s="2" t="str">
        <f t="shared" si="41"/>
        <v>East - Retired</v>
      </c>
    </row>
    <row r="1346" spans="1:19" x14ac:dyDescent="0.3">
      <c r="A1346" t="s">
        <v>2715</v>
      </c>
      <c r="B1346" t="s">
        <v>2716</v>
      </c>
      <c r="C1346">
        <v>63</v>
      </c>
      <c r="D1346" s="2" t="s">
        <v>21</v>
      </c>
      <c r="E1346" s="2" t="s">
        <v>30</v>
      </c>
      <c r="F1346" s="2" t="s">
        <v>31</v>
      </c>
      <c r="G1346" s="2" t="s">
        <v>81</v>
      </c>
      <c r="H1346" s="2" t="s">
        <v>18</v>
      </c>
      <c r="I1346" s="2" t="s">
        <v>17</v>
      </c>
      <c r="J1346">
        <v>0.54</v>
      </c>
      <c r="K1346" s="1">
        <v>45061</v>
      </c>
      <c r="L1346" s="2" t="str">
        <f>IF(Sheet1[[#This Row],[age]]&lt;18, "Under 18",IF(Sheet1[[#This Row],[age]]&lt;=30,"18-30",IF(Sheet1[[#This Row],[age]]&lt;=45,"31-45",IF(Sheet1[[#This Row],[age]]&lt;=60,"46-60","60+"))))</f>
        <v>60+</v>
      </c>
      <c r="M1346" s="2" t="str">
        <f>IF(Sheet1[[#This Row],[risk_score]]&lt;0.3,"Low",IF(Sheet1[[#This Row],[risk_score]]&lt;0.7,"Medium","High"))</f>
        <v>Medium</v>
      </c>
      <c r="N1346">
        <f>YEAR(Sheet1[[#This Row],[date_joined]])</f>
        <v>2023</v>
      </c>
      <c r="O1346" s="2" t="str">
        <f>TEXT(Sheet1[[#This Row],[date_joined]],"mmm")</f>
        <v>May</v>
      </c>
      <c r="P1346" s="2" t="str">
        <f>"Q"&amp;ROUNDUP(MONTH(Sheet1[[#This Row],[date_joined]])/3,0)</f>
        <v>Q2</v>
      </c>
      <c r="Q1346" s="2" t="str">
        <f>IF(Sheet1[[#This Row],[age]]&lt;30,"Young",IF(Sheet1[[#This Row],[age]]&lt;=50,"Adult","Senior"))</f>
        <v>Senior</v>
      </c>
      <c r="R1346" s="2" t="str">
        <f t="shared" ref="R1346:R1409" si="42">IF(AND(H1346="Yes",I1346="Yes"),"Very High",
IF(OR(H1346="Yes",I1346="Yes"),"High","Low"))</f>
        <v>High</v>
      </c>
      <c r="S1346" s="2" t="str">
        <f t="shared" ref="S1346:S1409" si="43">G1346&amp;" - "&amp;F1346</f>
        <v>Central - Self-employed</v>
      </c>
    </row>
    <row r="1347" spans="1:19" x14ac:dyDescent="0.3">
      <c r="A1347" t="s">
        <v>2717</v>
      </c>
      <c r="B1347" t="s">
        <v>2718</v>
      </c>
      <c r="C1347">
        <v>62</v>
      </c>
      <c r="D1347" s="2" t="s">
        <v>21</v>
      </c>
      <c r="E1347" s="2" t="s">
        <v>30</v>
      </c>
      <c r="F1347" s="2" t="s">
        <v>31</v>
      </c>
      <c r="G1347" s="2" t="s">
        <v>16</v>
      </c>
      <c r="H1347" s="2" t="s">
        <v>17</v>
      </c>
      <c r="I1347" s="2" t="s">
        <v>17</v>
      </c>
      <c r="J1347">
        <v>0.3</v>
      </c>
      <c r="K1347" s="1">
        <v>44497</v>
      </c>
      <c r="L1347" s="2" t="str">
        <f>IF(Sheet1[[#This Row],[age]]&lt;18, "Under 18",IF(Sheet1[[#This Row],[age]]&lt;=30,"18-30",IF(Sheet1[[#This Row],[age]]&lt;=45,"31-45",IF(Sheet1[[#This Row],[age]]&lt;=60,"46-60","60+"))))</f>
        <v>60+</v>
      </c>
      <c r="M1347" s="2" t="str">
        <f>IF(Sheet1[[#This Row],[risk_score]]&lt;0.3,"Low",IF(Sheet1[[#This Row],[risk_score]]&lt;0.7,"Medium","High"))</f>
        <v>Medium</v>
      </c>
      <c r="N1347">
        <f>YEAR(Sheet1[[#This Row],[date_joined]])</f>
        <v>2021</v>
      </c>
      <c r="O1347" s="2" t="str">
        <f>TEXT(Sheet1[[#This Row],[date_joined]],"mmm")</f>
        <v>Oct</v>
      </c>
      <c r="P1347" s="2" t="str">
        <f>"Q"&amp;ROUNDUP(MONTH(Sheet1[[#This Row],[date_joined]])/3,0)</f>
        <v>Q4</v>
      </c>
      <c r="Q1347" s="2" t="str">
        <f>IF(Sheet1[[#This Row],[age]]&lt;30,"Young",IF(Sheet1[[#This Row],[age]]&lt;=50,"Adult","Senior"))</f>
        <v>Senior</v>
      </c>
      <c r="R1347" s="2" t="str">
        <f t="shared" si="42"/>
        <v>Low</v>
      </c>
      <c r="S1347" s="2" t="str">
        <f t="shared" si="43"/>
        <v>West - Self-employed</v>
      </c>
    </row>
    <row r="1348" spans="1:19" x14ac:dyDescent="0.3">
      <c r="A1348" t="s">
        <v>2719</v>
      </c>
      <c r="B1348" t="s">
        <v>2720</v>
      </c>
      <c r="C1348">
        <v>61</v>
      </c>
      <c r="D1348" s="2" t="s">
        <v>21</v>
      </c>
      <c r="E1348" s="2" t="s">
        <v>14</v>
      </c>
      <c r="F1348" s="2" t="s">
        <v>31</v>
      </c>
      <c r="G1348" s="2" t="s">
        <v>24</v>
      </c>
      <c r="H1348" s="2" t="s">
        <v>18</v>
      </c>
      <c r="I1348" s="2" t="s">
        <v>17</v>
      </c>
      <c r="J1348">
        <v>0.57999999999999996</v>
      </c>
      <c r="K1348" s="1">
        <v>44580</v>
      </c>
      <c r="L1348" s="2" t="str">
        <f>IF(Sheet1[[#This Row],[age]]&lt;18, "Under 18",IF(Sheet1[[#This Row],[age]]&lt;=30,"18-30",IF(Sheet1[[#This Row],[age]]&lt;=45,"31-45",IF(Sheet1[[#This Row],[age]]&lt;=60,"46-60","60+"))))</f>
        <v>60+</v>
      </c>
      <c r="M1348" s="2" t="str">
        <f>IF(Sheet1[[#This Row],[risk_score]]&lt;0.3,"Low",IF(Sheet1[[#This Row],[risk_score]]&lt;0.7,"Medium","High"))</f>
        <v>Medium</v>
      </c>
      <c r="N1348">
        <f>YEAR(Sheet1[[#This Row],[date_joined]])</f>
        <v>2022</v>
      </c>
      <c r="O1348" s="2" t="str">
        <f>TEXT(Sheet1[[#This Row],[date_joined]],"mmm")</f>
        <v>Jan</v>
      </c>
      <c r="P1348" s="2" t="str">
        <f>"Q"&amp;ROUNDUP(MONTH(Sheet1[[#This Row],[date_joined]])/3,0)</f>
        <v>Q1</v>
      </c>
      <c r="Q1348" s="2" t="str">
        <f>IF(Sheet1[[#This Row],[age]]&lt;30,"Young",IF(Sheet1[[#This Row],[age]]&lt;=50,"Adult","Senior"))</f>
        <v>Senior</v>
      </c>
      <c r="R1348" s="2" t="str">
        <f t="shared" si="42"/>
        <v>High</v>
      </c>
      <c r="S1348" s="2" t="str">
        <f t="shared" si="43"/>
        <v>East - Self-employed</v>
      </c>
    </row>
    <row r="1349" spans="1:19" x14ac:dyDescent="0.3">
      <c r="A1349" t="s">
        <v>2721</v>
      </c>
      <c r="B1349" t="s">
        <v>2722</v>
      </c>
      <c r="C1349">
        <v>18</v>
      </c>
      <c r="D1349" s="2" t="s">
        <v>21</v>
      </c>
      <c r="E1349" s="2" t="s">
        <v>30</v>
      </c>
      <c r="F1349" s="2" t="s">
        <v>31</v>
      </c>
      <c r="G1349" s="2" t="s">
        <v>16</v>
      </c>
      <c r="H1349" s="2" t="s">
        <v>17</v>
      </c>
      <c r="I1349" s="2" t="s">
        <v>18</v>
      </c>
      <c r="J1349">
        <v>0.15</v>
      </c>
      <c r="K1349" s="1">
        <v>43843</v>
      </c>
      <c r="L1349" s="2" t="str">
        <f>IF(Sheet1[[#This Row],[age]]&lt;18, "Under 18",IF(Sheet1[[#This Row],[age]]&lt;=30,"18-30",IF(Sheet1[[#This Row],[age]]&lt;=45,"31-45",IF(Sheet1[[#This Row],[age]]&lt;=60,"46-60","60+"))))</f>
        <v>18-30</v>
      </c>
      <c r="M1349" s="2" t="str">
        <f>IF(Sheet1[[#This Row],[risk_score]]&lt;0.3,"Low",IF(Sheet1[[#This Row],[risk_score]]&lt;0.7,"Medium","High"))</f>
        <v>Low</v>
      </c>
      <c r="N1349">
        <f>YEAR(Sheet1[[#This Row],[date_joined]])</f>
        <v>2020</v>
      </c>
      <c r="O1349" s="2" t="str">
        <f>TEXT(Sheet1[[#This Row],[date_joined]],"mmm")</f>
        <v>Jan</v>
      </c>
      <c r="P1349" s="2" t="str">
        <f>"Q"&amp;ROUNDUP(MONTH(Sheet1[[#This Row],[date_joined]])/3,0)</f>
        <v>Q1</v>
      </c>
      <c r="Q1349" s="2" t="str">
        <f>IF(Sheet1[[#This Row],[age]]&lt;30,"Young",IF(Sheet1[[#This Row],[age]]&lt;=50,"Adult","Senior"))</f>
        <v>Young</v>
      </c>
      <c r="R1349" s="2" t="str">
        <f t="shared" si="42"/>
        <v>High</v>
      </c>
      <c r="S1349" s="2" t="str">
        <f t="shared" si="43"/>
        <v>West - Self-employed</v>
      </c>
    </row>
    <row r="1350" spans="1:19" x14ac:dyDescent="0.3">
      <c r="A1350" t="s">
        <v>2723</v>
      </c>
      <c r="B1350" t="s">
        <v>2724</v>
      </c>
      <c r="C1350">
        <v>56</v>
      </c>
      <c r="D1350" s="2" t="s">
        <v>13</v>
      </c>
      <c r="E1350" s="2" t="s">
        <v>22</v>
      </c>
      <c r="F1350" s="2" t="s">
        <v>37</v>
      </c>
      <c r="G1350" s="2" t="s">
        <v>16</v>
      </c>
      <c r="H1350" s="2" t="s">
        <v>18</v>
      </c>
      <c r="I1350" s="2" t="s">
        <v>17</v>
      </c>
      <c r="J1350">
        <v>0.56999999999999995</v>
      </c>
      <c r="K1350" s="1">
        <v>44153</v>
      </c>
      <c r="L1350" s="2" t="str">
        <f>IF(Sheet1[[#This Row],[age]]&lt;18, "Under 18",IF(Sheet1[[#This Row],[age]]&lt;=30,"18-30",IF(Sheet1[[#This Row],[age]]&lt;=45,"31-45",IF(Sheet1[[#This Row],[age]]&lt;=60,"46-60","60+"))))</f>
        <v>46-60</v>
      </c>
      <c r="M1350" s="2" t="str">
        <f>IF(Sheet1[[#This Row],[risk_score]]&lt;0.3,"Low",IF(Sheet1[[#This Row],[risk_score]]&lt;0.7,"Medium","High"))</f>
        <v>Medium</v>
      </c>
      <c r="N1350">
        <f>YEAR(Sheet1[[#This Row],[date_joined]])</f>
        <v>2020</v>
      </c>
      <c r="O1350" s="2" t="str">
        <f>TEXT(Sheet1[[#This Row],[date_joined]],"mmm")</f>
        <v>Nov</v>
      </c>
      <c r="P1350" s="2" t="str">
        <f>"Q"&amp;ROUNDUP(MONTH(Sheet1[[#This Row],[date_joined]])/3,0)</f>
        <v>Q4</v>
      </c>
      <c r="Q1350" s="2" t="str">
        <f>IF(Sheet1[[#This Row],[age]]&lt;30,"Young",IF(Sheet1[[#This Row],[age]]&lt;=50,"Adult","Senior"))</f>
        <v>Senior</v>
      </c>
      <c r="R1350" s="2" t="str">
        <f t="shared" si="42"/>
        <v>High</v>
      </c>
      <c r="S1350" s="2" t="str">
        <f t="shared" si="43"/>
        <v>West - Retired</v>
      </c>
    </row>
    <row r="1351" spans="1:19" x14ac:dyDescent="0.3">
      <c r="A1351" t="s">
        <v>2725</v>
      </c>
      <c r="B1351" t="s">
        <v>2726</v>
      </c>
      <c r="C1351">
        <v>39</v>
      </c>
      <c r="D1351" s="2" t="s">
        <v>21</v>
      </c>
      <c r="E1351" s="2" t="s">
        <v>30</v>
      </c>
      <c r="F1351" s="2" t="s">
        <v>31</v>
      </c>
      <c r="G1351" s="2" t="s">
        <v>16</v>
      </c>
      <c r="H1351" s="2" t="s">
        <v>18</v>
      </c>
      <c r="I1351" s="2" t="s">
        <v>17</v>
      </c>
      <c r="J1351">
        <v>0.28000000000000003</v>
      </c>
      <c r="K1351" s="1">
        <v>44084</v>
      </c>
      <c r="L1351" s="2" t="str">
        <f>IF(Sheet1[[#This Row],[age]]&lt;18, "Under 18",IF(Sheet1[[#This Row],[age]]&lt;=30,"18-30",IF(Sheet1[[#This Row],[age]]&lt;=45,"31-45",IF(Sheet1[[#This Row],[age]]&lt;=60,"46-60","60+"))))</f>
        <v>31-45</v>
      </c>
      <c r="M1351" s="2" t="str">
        <f>IF(Sheet1[[#This Row],[risk_score]]&lt;0.3,"Low",IF(Sheet1[[#This Row],[risk_score]]&lt;0.7,"Medium","High"))</f>
        <v>Low</v>
      </c>
      <c r="N1351">
        <f>YEAR(Sheet1[[#This Row],[date_joined]])</f>
        <v>2020</v>
      </c>
      <c r="O1351" s="2" t="str">
        <f>TEXT(Sheet1[[#This Row],[date_joined]],"mmm")</f>
        <v>Sep</v>
      </c>
      <c r="P1351" s="2" t="str">
        <f>"Q"&amp;ROUNDUP(MONTH(Sheet1[[#This Row],[date_joined]])/3,0)</f>
        <v>Q3</v>
      </c>
      <c r="Q1351" s="2" t="str">
        <f>IF(Sheet1[[#This Row],[age]]&lt;30,"Young",IF(Sheet1[[#This Row],[age]]&lt;=50,"Adult","Senior"))</f>
        <v>Adult</v>
      </c>
      <c r="R1351" s="2" t="str">
        <f t="shared" si="42"/>
        <v>High</v>
      </c>
      <c r="S1351" s="2" t="str">
        <f t="shared" si="43"/>
        <v>West - Self-employed</v>
      </c>
    </row>
    <row r="1352" spans="1:19" x14ac:dyDescent="0.3">
      <c r="A1352" t="s">
        <v>2727</v>
      </c>
      <c r="B1352" t="s">
        <v>2728</v>
      </c>
      <c r="C1352">
        <v>44</v>
      </c>
      <c r="D1352" s="2" t="s">
        <v>13</v>
      </c>
      <c r="E1352" s="2" t="s">
        <v>30</v>
      </c>
      <c r="F1352" s="2" t="s">
        <v>37</v>
      </c>
      <c r="G1352" s="2" t="s">
        <v>32</v>
      </c>
      <c r="H1352" s="2" t="s">
        <v>18</v>
      </c>
      <c r="I1352" s="2" t="s">
        <v>18</v>
      </c>
      <c r="J1352">
        <v>7.0000000000000007E-2</v>
      </c>
      <c r="K1352" s="1">
        <v>45010</v>
      </c>
      <c r="L1352" s="2" t="str">
        <f>IF(Sheet1[[#This Row],[age]]&lt;18, "Under 18",IF(Sheet1[[#This Row],[age]]&lt;=30,"18-30",IF(Sheet1[[#This Row],[age]]&lt;=45,"31-45",IF(Sheet1[[#This Row],[age]]&lt;=60,"46-60","60+"))))</f>
        <v>31-45</v>
      </c>
      <c r="M1352" s="2" t="str">
        <f>IF(Sheet1[[#This Row],[risk_score]]&lt;0.3,"Low",IF(Sheet1[[#This Row],[risk_score]]&lt;0.7,"Medium","High"))</f>
        <v>Low</v>
      </c>
      <c r="N1352">
        <f>YEAR(Sheet1[[#This Row],[date_joined]])</f>
        <v>2023</v>
      </c>
      <c r="O1352" s="2" t="str">
        <f>TEXT(Sheet1[[#This Row],[date_joined]],"mmm")</f>
        <v>Mar</v>
      </c>
      <c r="P1352" s="2" t="str">
        <f>"Q"&amp;ROUNDUP(MONTH(Sheet1[[#This Row],[date_joined]])/3,0)</f>
        <v>Q1</v>
      </c>
      <c r="Q1352" s="2" t="str">
        <f>IF(Sheet1[[#This Row],[age]]&lt;30,"Young",IF(Sheet1[[#This Row],[age]]&lt;=50,"Adult","Senior"))</f>
        <v>Adult</v>
      </c>
      <c r="R1352" s="2" t="str">
        <f t="shared" si="42"/>
        <v>Very High</v>
      </c>
      <c r="S1352" s="2" t="str">
        <f t="shared" si="43"/>
        <v>South - Retired</v>
      </c>
    </row>
    <row r="1353" spans="1:19" x14ac:dyDescent="0.3">
      <c r="A1353" t="s">
        <v>2729</v>
      </c>
      <c r="B1353" t="s">
        <v>2730</v>
      </c>
      <c r="C1353">
        <v>51</v>
      </c>
      <c r="D1353" s="2" t="s">
        <v>13</v>
      </c>
      <c r="E1353" s="2" t="s">
        <v>22</v>
      </c>
      <c r="F1353" s="2" t="s">
        <v>37</v>
      </c>
      <c r="G1353" s="2" t="s">
        <v>24</v>
      </c>
      <c r="H1353" s="2" t="s">
        <v>17</v>
      </c>
      <c r="I1353" s="2" t="s">
        <v>18</v>
      </c>
      <c r="J1353">
        <v>0.24</v>
      </c>
      <c r="K1353" s="1">
        <v>44249</v>
      </c>
      <c r="L1353" s="2" t="str">
        <f>IF(Sheet1[[#This Row],[age]]&lt;18, "Under 18",IF(Sheet1[[#This Row],[age]]&lt;=30,"18-30",IF(Sheet1[[#This Row],[age]]&lt;=45,"31-45",IF(Sheet1[[#This Row],[age]]&lt;=60,"46-60","60+"))))</f>
        <v>46-60</v>
      </c>
      <c r="M1353" s="2" t="str">
        <f>IF(Sheet1[[#This Row],[risk_score]]&lt;0.3,"Low",IF(Sheet1[[#This Row],[risk_score]]&lt;0.7,"Medium","High"))</f>
        <v>Low</v>
      </c>
      <c r="N1353">
        <f>YEAR(Sheet1[[#This Row],[date_joined]])</f>
        <v>2021</v>
      </c>
      <c r="O1353" s="2" t="str">
        <f>TEXT(Sheet1[[#This Row],[date_joined]],"mmm")</f>
        <v>Feb</v>
      </c>
      <c r="P1353" s="2" t="str">
        <f>"Q"&amp;ROUNDUP(MONTH(Sheet1[[#This Row],[date_joined]])/3,0)</f>
        <v>Q1</v>
      </c>
      <c r="Q1353" s="2" t="str">
        <f>IF(Sheet1[[#This Row],[age]]&lt;30,"Young",IF(Sheet1[[#This Row],[age]]&lt;=50,"Adult","Senior"))</f>
        <v>Senior</v>
      </c>
      <c r="R1353" s="2" t="str">
        <f t="shared" si="42"/>
        <v>High</v>
      </c>
      <c r="S1353" s="2" t="str">
        <f t="shared" si="43"/>
        <v>East - Retired</v>
      </c>
    </row>
    <row r="1354" spans="1:19" x14ac:dyDescent="0.3">
      <c r="A1354" t="s">
        <v>2731</v>
      </c>
      <c r="B1354" t="s">
        <v>2732</v>
      </c>
      <c r="C1354">
        <v>32</v>
      </c>
      <c r="D1354" s="2" t="s">
        <v>13</v>
      </c>
      <c r="E1354" s="2" t="s">
        <v>14</v>
      </c>
      <c r="F1354" s="2" t="s">
        <v>37</v>
      </c>
      <c r="G1354" s="2" t="s">
        <v>81</v>
      </c>
      <c r="H1354" s="2" t="s">
        <v>18</v>
      </c>
      <c r="I1354" s="2" t="s">
        <v>17</v>
      </c>
      <c r="J1354">
        <v>0.5</v>
      </c>
      <c r="K1354" s="1">
        <v>44838</v>
      </c>
      <c r="L1354" s="2" t="str">
        <f>IF(Sheet1[[#This Row],[age]]&lt;18, "Under 18",IF(Sheet1[[#This Row],[age]]&lt;=30,"18-30",IF(Sheet1[[#This Row],[age]]&lt;=45,"31-45",IF(Sheet1[[#This Row],[age]]&lt;=60,"46-60","60+"))))</f>
        <v>31-45</v>
      </c>
      <c r="M1354" s="2" t="str">
        <f>IF(Sheet1[[#This Row],[risk_score]]&lt;0.3,"Low",IF(Sheet1[[#This Row],[risk_score]]&lt;0.7,"Medium","High"))</f>
        <v>Medium</v>
      </c>
      <c r="N1354">
        <f>YEAR(Sheet1[[#This Row],[date_joined]])</f>
        <v>2022</v>
      </c>
      <c r="O1354" s="2" t="str">
        <f>TEXT(Sheet1[[#This Row],[date_joined]],"mmm")</f>
        <v>Oct</v>
      </c>
      <c r="P1354" s="2" t="str">
        <f>"Q"&amp;ROUNDUP(MONTH(Sheet1[[#This Row],[date_joined]])/3,0)</f>
        <v>Q4</v>
      </c>
      <c r="Q1354" s="2" t="str">
        <f>IF(Sheet1[[#This Row],[age]]&lt;30,"Young",IF(Sheet1[[#This Row],[age]]&lt;=50,"Adult","Senior"))</f>
        <v>Adult</v>
      </c>
      <c r="R1354" s="2" t="str">
        <f t="shared" si="42"/>
        <v>High</v>
      </c>
      <c r="S1354" s="2" t="str">
        <f t="shared" si="43"/>
        <v>Central - Retired</v>
      </c>
    </row>
    <row r="1355" spans="1:19" x14ac:dyDescent="0.3">
      <c r="A1355" t="s">
        <v>2733</v>
      </c>
      <c r="B1355" t="s">
        <v>2734</v>
      </c>
      <c r="C1355">
        <v>38</v>
      </c>
      <c r="D1355" s="2" t="s">
        <v>21</v>
      </c>
      <c r="E1355" s="2" t="s">
        <v>14</v>
      </c>
      <c r="F1355" s="2" t="s">
        <v>23</v>
      </c>
      <c r="G1355" s="2" t="s">
        <v>24</v>
      </c>
      <c r="H1355" s="2" t="s">
        <v>17</v>
      </c>
      <c r="I1355" s="2" t="s">
        <v>17</v>
      </c>
      <c r="J1355">
        <v>0.57999999999999996</v>
      </c>
      <c r="K1355" s="1">
        <v>43893</v>
      </c>
      <c r="L1355" s="2" t="str">
        <f>IF(Sheet1[[#This Row],[age]]&lt;18, "Under 18",IF(Sheet1[[#This Row],[age]]&lt;=30,"18-30",IF(Sheet1[[#This Row],[age]]&lt;=45,"31-45",IF(Sheet1[[#This Row],[age]]&lt;=60,"46-60","60+"))))</f>
        <v>31-45</v>
      </c>
      <c r="M1355" s="2" t="str">
        <f>IF(Sheet1[[#This Row],[risk_score]]&lt;0.3,"Low",IF(Sheet1[[#This Row],[risk_score]]&lt;0.7,"Medium","High"))</f>
        <v>Medium</v>
      </c>
      <c r="N1355">
        <f>YEAR(Sheet1[[#This Row],[date_joined]])</f>
        <v>2020</v>
      </c>
      <c r="O1355" s="2" t="str">
        <f>TEXT(Sheet1[[#This Row],[date_joined]],"mmm")</f>
        <v>Mar</v>
      </c>
      <c r="P1355" s="2" t="str">
        <f>"Q"&amp;ROUNDUP(MONTH(Sheet1[[#This Row],[date_joined]])/3,0)</f>
        <v>Q1</v>
      </c>
      <c r="Q1355" s="2" t="str">
        <f>IF(Sheet1[[#This Row],[age]]&lt;30,"Young",IF(Sheet1[[#This Row],[age]]&lt;=50,"Adult","Senior"))</f>
        <v>Adult</v>
      </c>
      <c r="R1355" s="2" t="str">
        <f t="shared" si="42"/>
        <v>Low</v>
      </c>
      <c r="S1355" s="2" t="str">
        <f t="shared" si="43"/>
        <v>East - Salaried</v>
      </c>
    </row>
    <row r="1356" spans="1:19" x14ac:dyDescent="0.3">
      <c r="A1356" t="s">
        <v>2735</v>
      </c>
      <c r="B1356" t="s">
        <v>2736</v>
      </c>
      <c r="C1356">
        <v>41</v>
      </c>
      <c r="D1356" s="2" t="s">
        <v>13</v>
      </c>
      <c r="E1356" s="2" t="s">
        <v>14</v>
      </c>
      <c r="F1356" s="2" t="s">
        <v>15</v>
      </c>
      <c r="G1356" s="2" t="s">
        <v>32</v>
      </c>
      <c r="H1356" s="2" t="s">
        <v>17</v>
      </c>
      <c r="I1356" s="2" t="s">
        <v>17</v>
      </c>
      <c r="J1356">
        <v>0.55000000000000004</v>
      </c>
      <c r="K1356" s="1">
        <v>43452</v>
      </c>
      <c r="L1356" s="2" t="str">
        <f>IF(Sheet1[[#This Row],[age]]&lt;18, "Under 18",IF(Sheet1[[#This Row],[age]]&lt;=30,"18-30",IF(Sheet1[[#This Row],[age]]&lt;=45,"31-45",IF(Sheet1[[#This Row],[age]]&lt;=60,"46-60","60+"))))</f>
        <v>31-45</v>
      </c>
      <c r="M1356" s="2" t="str">
        <f>IF(Sheet1[[#This Row],[risk_score]]&lt;0.3,"Low",IF(Sheet1[[#This Row],[risk_score]]&lt;0.7,"Medium","High"))</f>
        <v>Medium</v>
      </c>
      <c r="N1356">
        <f>YEAR(Sheet1[[#This Row],[date_joined]])</f>
        <v>2018</v>
      </c>
      <c r="O1356" s="2" t="str">
        <f>TEXT(Sheet1[[#This Row],[date_joined]],"mmm")</f>
        <v>Dec</v>
      </c>
      <c r="P1356" s="2" t="str">
        <f>"Q"&amp;ROUNDUP(MONTH(Sheet1[[#This Row],[date_joined]])/3,0)</f>
        <v>Q4</v>
      </c>
      <c r="Q1356" s="2" t="str">
        <f>IF(Sheet1[[#This Row],[age]]&lt;30,"Young",IF(Sheet1[[#This Row],[age]]&lt;=50,"Adult","Senior"))</f>
        <v>Adult</v>
      </c>
      <c r="R1356" s="2" t="str">
        <f t="shared" si="42"/>
        <v>Low</v>
      </c>
      <c r="S1356" s="2" t="str">
        <f t="shared" si="43"/>
        <v>South - Student</v>
      </c>
    </row>
    <row r="1357" spans="1:19" x14ac:dyDescent="0.3">
      <c r="A1357" t="s">
        <v>2737</v>
      </c>
      <c r="B1357" t="s">
        <v>2738</v>
      </c>
      <c r="C1357">
        <v>28</v>
      </c>
      <c r="D1357" s="2" t="s">
        <v>13</v>
      </c>
      <c r="E1357" s="2" t="s">
        <v>22</v>
      </c>
      <c r="F1357" s="2" t="s">
        <v>15</v>
      </c>
      <c r="G1357" s="2" t="s">
        <v>32</v>
      </c>
      <c r="H1357" s="2" t="s">
        <v>18</v>
      </c>
      <c r="I1357" s="2" t="s">
        <v>17</v>
      </c>
      <c r="J1357">
        <v>0.52</v>
      </c>
      <c r="K1357" s="1">
        <v>43183</v>
      </c>
      <c r="L1357" s="2" t="str">
        <f>IF(Sheet1[[#This Row],[age]]&lt;18, "Under 18",IF(Sheet1[[#This Row],[age]]&lt;=30,"18-30",IF(Sheet1[[#This Row],[age]]&lt;=45,"31-45",IF(Sheet1[[#This Row],[age]]&lt;=60,"46-60","60+"))))</f>
        <v>18-30</v>
      </c>
      <c r="M1357" s="2" t="str">
        <f>IF(Sheet1[[#This Row],[risk_score]]&lt;0.3,"Low",IF(Sheet1[[#This Row],[risk_score]]&lt;0.7,"Medium","High"))</f>
        <v>Medium</v>
      </c>
      <c r="N1357">
        <f>YEAR(Sheet1[[#This Row],[date_joined]])</f>
        <v>2018</v>
      </c>
      <c r="O1357" s="2" t="str">
        <f>TEXT(Sheet1[[#This Row],[date_joined]],"mmm")</f>
        <v>Mar</v>
      </c>
      <c r="P1357" s="2" t="str">
        <f>"Q"&amp;ROUNDUP(MONTH(Sheet1[[#This Row],[date_joined]])/3,0)</f>
        <v>Q1</v>
      </c>
      <c r="Q1357" s="2" t="str">
        <f>IF(Sheet1[[#This Row],[age]]&lt;30,"Young",IF(Sheet1[[#This Row],[age]]&lt;=50,"Adult","Senior"))</f>
        <v>Young</v>
      </c>
      <c r="R1357" s="2" t="str">
        <f t="shared" si="42"/>
        <v>High</v>
      </c>
      <c r="S1357" s="2" t="str">
        <f t="shared" si="43"/>
        <v>South - Student</v>
      </c>
    </row>
    <row r="1358" spans="1:19" x14ac:dyDescent="0.3">
      <c r="A1358" t="s">
        <v>2739</v>
      </c>
      <c r="B1358" t="s">
        <v>2740</v>
      </c>
      <c r="C1358">
        <v>68</v>
      </c>
      <c r="D1358" s="2" t="s">
        <v>13</v>
      </c>
      <c r="E1358" s="2" t="s">
        <v>14</v>
      </c>
      <c r="F1358" s="2" t="s">
        <v>23</v>
      </c>
      <c r="G1358" s="2" t="s">
        <v>16</v>
      </c>
      <c r="H1358" s="2" t="s">
        <v>17</v>
      </c>
      <c r="I1358" s="2" t="s">
        <v>17</v>
      </c>
      <c r="J1358">
        <v>0.52</v>
      </c>
      <c r="K1358" s="1">
        <v>43593</v>
      </c>
      <c r="L1358" s="2" t="str">
        <f>IF(Sheet1[[#This Row],[age]]&lt;18, "Under 18",IF(Sheet1[[#This Row],[age]]&lt;=30,"18-30",IF(Sheet1[[#This Row],[age]]&lt;=45,"31-45",IF(Sheet1[[#This Row],[age]]&lt;=60,"46-60","60+"))))</f>
        <v>60+</v>
      </c>
      <c r="M1358" s="2" t="str">
        <f>IF(Sheet1[[#This Row],[risk_score]]&lt;0.3,"Low",IF(Sheet1[[#This Row],[risk_score]]&lt;0.7,"Medium","High"))</f>
        <v>Medium</v>
      </c>
      <c r="N1358">
        <f>YEAR(Sheet1[[#This Row],[date_joined]])</f>
        <v>2019</v>
      </c>
      <c r="O1358" s="2" t="str">
        <f>TEXT(Sheet1[[#This Row],[date_joined]],"mmm")</f>
        <v>May</v>
      </c>
      <c r="P1358" s="2" t="str">
        <f>"Q"&amp;ROUNDUP(MONTH(Sheet1[[#This Row],[date_joined]])/3,0)</f>
        <v>Q2</v>
      </c>
      <c r="Q1358" s="2" t="str">
        <f>IF(Sheet1[[#This Row],[age]]&lt;30,"Young",IF(Sheet1[[#This Row],[age]]&lt;=50,"Adult","Senior"))</f>
        <v>Senior</v>
      </c>
      <c r="R1358" s="2" t="str">
        <f t="shared" si="42"/>
        <v>Low</v>
      </c>
      <c r="S1358" s="2" t="str">
        <f t="shared" si="43"/>
        <v>West - Salaried</v>
      </c>
    </row>
    <row r="1359" spans="1:19" x14ac:dyDescent="0.3">
      <c r="A1359" t="s">
        <v>2741</v>
      </c>
      <c r="B1359" t="s">
        <v>2742</v>
      </c>
      <c r="C1359">
        <v>62</v>
      </c>
      <c r="D1359" s="2" t="s">
        <v>21</v>
      </c>
      <c r="E1359" s="2" t="s">
        <v>14</v>
      </c>
      <c r="F1359" s="2" t="s">
        <v>37</v>
      </c>
      <c r="G1359" s="2" t="s">
        <v>81</v>
      </c>
      <c r="H1359" s="2" t="s">
        <v>17</v>
      </c>
      <c r="I1359" s="2" t="s">
        <v>17</v>
      </c>
      <c r="J1359">
        <v>0.12</v>
      </c>
      <c r="K1359" s="1">
        <v>43678</v>
      </c>
      <c r="L1359" s="2" t="str">
        <f>IF(Sheet1[[#This Row],[age]]&lt;18, "Under 18",IF(Sheet1[[#This Row],[age]]&lt;=30,"18-30",IF(Sheet1[[#This Row],[age]]&lt;=45,"31-45",IF(Sheet1[[#This Row],[age]]&lt;=60,"46-60","60+"))))</f>
        <v>60+</v>
      </c>
      <c r="M1359" s="2" t="str">
        <f>IF(Sheet1[[#This Row],[risk_score]]&lt;0.3,"Low",IF(Sheet1[[#This Row],[risk_score]]&lt;0.7,"Medium","High"))</f>
        <v>Low</v>
      </c>
      <c r="N1359">
        <f>YEAR(Sheet1[[#This Row],[date_joined]])</f>
        <v>2019</v>
      </c>
      <c r="O1359" s="2" t="str">
        <f>TEXT(Sheet1[[#This Row],[date_joined]],"mmm")</f>
        <v>Aug</v>
      </c>
      <c r="P1359" s="2" t="str">
        <f>"Q"&amp;ROUNDUP(MONTH(Sheet1[[#This Row],[date_joined]])/3,0)</f>
        <v>Q3</v>
      </c>
      <c r="Q1359" s="2" t="str">
        <f>IF(Sheet1[[#This Row],[age]]&lt;30,"Young",IF(Sheet1[[#This Row],[age]]&lt;=50,"Adult","Senior"))</f>
        <v>Senior</v>
      </c>
      <c r="R1359" s="2" t="str">
        <f t="shared" si="42"/>
        <v>Low</v>
      </c>
      <c r="S1359" s="2" t="str">
        <f t="shared" si="43"/>
        <v>Central - Retired</v>
      </c>
    </row>
    <row r="1360" spans="1:19" x14ac:dyDescent="0.3">
      <c r="A1360" t="s">
        <v>2743</v>
      </c>
      <c r="B1360" t="s">
        <v>2744</v>
      </c>
      <c r="C1360">
        <v>59</v>
      </c>
      <c r="D1360" s="2" t="s">
        <v>21</v>
      </c>
      <c r="E1360" s="2" t="s">
        <v>30</v>
      </c>
      <c r="F1360" s="2" t="s">
        <v>37</v>
      </c>
      <c r="G1360" s="2" t="s">
        <v>66</v>
      </c>
      <c r="H1360" s="2" t="s">
        <v>18</v>
      </c>
      <c r="I1360" s="2" t="s">
        <v>18</v>
      </c>
      <c r="J1360">
        <v>0.49</v>
      </c>
      <c r="K1360" s="1">
        <v>44393</v>
      </c>
      <c r="L1360" s="2" t="str">
        <f>IF(Sheet1[[#This Row],[age]]&lt;18, "Under 18",IF(Sheet1[[#This Row],[age]]&lt;=30,"18-30",IF(Sheet1[[#This Row],[age]]&lt;=45,"31-45",IF(Sheet1[[#This Row],[age]]&lt;=60,"46-60","60+"))))</f>
        <v>46-60</v>
      </c>
      <c r="M1360" s="2" t="str">
        <f>IF(Sheet1[[#This Row],[risk_score]]&lt;0.3,"Low",IF(Sheet1[[#This Row],[risk_score]]&lt;0.7,"Medium","High"))</f>
        <v>Medium</v>
      </c>
      <c r="N1360">
        <f>YEAR(Sheet1[[#This Row],[date_joined]])</f>
        <v>2021</v>
      </c>
      <c r="O1360" s="2" t="str">
        <f>TEXT(Sheet1[[#This Row],[date_joined]],"mmm")</f>
        <v>Jul</v>
      </c>
      <c r="P1360" s="2" t="str">
        <f>"Q"&amp;ROUNDUP(MONTH(Sheet1[[#This Row],[date_joined]])/3,0)</f>
        <v>Q3</v>
      </c>
      <c r="Q1360" s="2" t="str">
        <f>IF(Sheet1[[#This Row],[age]]&lt;30,"Young",IF(Sheet1[[#This Row],[age]]&lt;=50,"Adult","Senior"))</f>
        <v>Senior</v>
      </c>
      <c r="R1360" s="2" t="str">
        <f t="shared" si="42"/>
        <v>Very High</v>
      </c>
      <c r="S1360" s="2" t="str">
        <f t="shared" si="43"/>
        <v>North-East - Retired</v>
      </c>
    </row>
    <row r="1361" spans="1:19" x14ac:dyDescent="0.3">
      <c r="A1361" t="s">
        <v>2745</v>
      </c>
      <c r="B1361" t="s">
        <v>2746</v>
      </c>
      <c r="C1361">
        <v>54</v>
      </c>
      <c r="D1361" s="2" t="s">
        <v>13</v>
      </c>
      <c r="E1361" s="2" t="s">
        <v>22</v>
      </c>
      <c r="F1361" s="2" t="s">
        <v>23</v>
      </c>
      <c r="G1361" s="2" t="s">
        <v>27</v>
      </c>
      <c r="H1361" s="2" t="s">
        <v>18</v>
      </c>
      <c r="I1361" s="2" t="s">
        <v>17</v>
      </c>
      <c r="J1361">
        <v>0.49</v>
      </c>
      <c r="K1361" s="1">
        <v>43388</v>
      </c>
      <c r="L1361" s="2" t="str">
        <f>IF(Sheet1[[#This Row],[age]]&lt;18, "Under 18",IF(Sheet1[[#This Row],[age]]&lt;=30,"18-30",IF(Sheet1[[#This Row],[age]]&lt;=45,"31-45",IF(Sheet1[[#This Row],[age]]&lt;=60,"46-60","60+"))))</f>
        <v>46-60</v>
      </c>
      <c r="M1361" s="2" t="str">
        <f>IF(Sheet1[[#This Row],[risk_score]]&lt;0.3,"Low",IF(Sheet1[[#This Row],[risk_score]]&lt;0.7,"Medium","High"))</f>
        <v>Medium</v>
      </c>
      <c r="N1361">
        <f>YEAR(Sheet1[[#This Row],[date_joined]])</f>
        <v>2018</v>
      </c>
      <c r="O1361" s="2" t="str">
        <f>TEXT(Sheet1[[#This Row],[date_joined]],"mmm")</f>
        <v>Oct</v>
      </c>
      <c r="P1361" s="2" t="str">
        <f>"Q"&amp;ROUNDUP(MONTH(Sheet1[[#This Row],[date_joined]])/3,0)</f>
        <v>Q4</v>
      </c>
      <c r="Q1361" s="2" t="str">
        <f>IF(Sheet1[[#This Row],[age]]&lt;30,"Young",IF(Sheet1[[#This Row],[age]]&lt;=50,"Adult","Senior"))</f>
        <v>Senior</v>
      </c>
      <c r="R1361" s="2" t="str">
        <f t="shared" si="42"/>
        <v>High</v>
      </c>
      <c r="S1361" s="2" t="str">
        <f t="shared" si="43"/>
        <v>North - Salaried</v>
      </c>
    </row>
    <row r="1362" spans="1:19" x14ac:dyDescent="0.3">
      <c r="A1362" t="s">
        <v>2747</v>
      </c>
      <c r="B1362" t="s">
        <v>2748</v>
      </c>
      <c r="C1362">
        <v>19</v>
      </c>
      <c r="D1362" s="2" t="s">
        <v>13</v>
      </c>
      <c r="E1362" s="2" t="s">
        <v>30</v>
      </c>
      <c r="F1362" s="2" t="s">
        <v>31</v>
      </c>
      <c r="G1362" s="2" t="s">
        <v>24</v>
      </c>
      <c r="H1362" s="2" t="s">
        <v>17</v>
      </c>
      <c r="I1362" s="2" t="s">
        <v>17</v>
      </c>
      <c r="J1362">
        <v>0.73</v>
      </c>
      <c r="K1362" s="1">
        <v>43627</v>
      </c>
      <c r="L1362" s="2" t="str">
        <f>IF(Sheet1[[#This Row],[age]]&lt;18, "Under 18",IF(Sheet1[[#This Row],[age]]&lt;=30,"18-30",IF(Sheet1[[#This Row],[age]]&lt;=45,"31-45",IF(Sheet1[[#This Row],[age]]&lt;=60,"46-60","60+"))))</f>
        <v>18-30</v>
      </c>
      <c r="M1362" s="2" t="str">
        <f>IF(Sheet1[[#This Row],[risk_score]]&lt;0.3,"Low",IF(Sheet1[[#This Row],[risk_score]]&lt;0.7,"Medium","High"))</f>
        <v>High</v>
      </c>
      <c r="N1362">
        <f>YEAR(Sheet1[[#This Row],[date_joined]])</f>
        <v>2019</v>
      </c>
      <c r="O1362" s="2" t="str">
        <f>TEXT(Sheet1[[#This Row],[date_joined]],"mmm")</f>
        <v>Jun</v>
      </c>
      <c r="P1362" s="2" t="str">
        <f>"Q"&amp;ROUNDUP(MONTH(Sheet1[[#This Row],[date_joined]])/3,0)</f>
        <v>Q2</v>
      </c>
      <c r="Q1362" s="2" t="str">
        <f>IF(Sheet1[[#This Row],[age]]&lt;30,"Young",IF(Sheet1[[#This Row],[age]]&lt;=50,"Adult","Senior"))</f>
        <v>Young</v>
      </c>
      <c r="R1362" s="2" t="str">
        <f t="shared" si="42"/>
        <v>Low</v>
      </c>
      <c r="S1362" s="2" t="str">
        <f t="shared" si="43"/>
        <v>East - Self-employed</v>
      </c>
    </row>
    <row r="1363" spans="1:19" x14ac:dyDescent="0.3">
      <c r="A1363" t="s">
        <v>2749</v>
      </c>
      <c r="B1363" t="s">
        <v>2750</v>
      </c>
      <c r="C1363">
        <v>23</v>
      </c>
      <c r="D1363" s="2" t="s">
        <v>13</v>
      </c>
      <c r="E1363" s="2" t="s">
        <v>14</v>
      </c>
      <c r="F1363" s="2" t="s">
        <v>23</v>
      </c>
      <c r="G1363" s="2" t="s">
        <v>81</v>
      </c>
      <c r="H1363" s="2" t="s">
        <v>18</v>
      </c>
      <c r="I1363" s="2" t="s">
        <v>17</v>
      </c>
      <c r="J1363">
        <v>0.83</v>
      </c>
      <c r="K1363" s="1">
        <v>43446</v>
      </c>
      <c r="L1363" s="2" t="str">
        <f>IF(Sheet1[[#This Row],[age]]&lt;18, "Under 18",IF(Sheet1[[#This Row],[age]]&lt;=30,"18-30",IF(Sheet1[[#This Row],[age]]&lt;=45,"31-45",IF(Sheet1[[#This Row],[age]]&lt;=60,"46-60","60+"))))</f>
        <v>18-30</v>
      </c>
      <c r="M1363" s="2" t="str">
        <f>IF(Sheet1[[#This Row],[risk_score]]&lt;0.3,"Low",IF(Sheet1[[#This Row],[risk_score]]&lt;0.7,"Medium","High"))</f>
        <v>High</v>
      </c>
      <c r="N1363">
        <f>YEAR(Sheet1[[#This Row],[date_joined]])</f>
        <v>2018</v>
      </c>
      <c r="O1363" s="2" t="str">
        <f>TEXT(Sheet1[[#This Row],[date_joined]],"mmm")</f>
        <v>Dec</v>
      </c>
      <c r="P1363" s="2" t="str">
        <f>"Q"&amp;ROUNDUP(MONTH(Sheet1[[#This Row],[date_joined]])/3,0)</f>
        <v>Q4</v>
      </c>
      <c r="Q1363" s="2" t="str">
        <f>IF(Sheet1[[#This Row],[age]]&lt;30,"Young",IF(Sheet1[[#This Row],[age]]&lt;=50,"Adult","Senior"))</f>
        <v>Young</v>
      </c>
      <c r="R1363" s="2" t="str">
        <f t="shared" si="42"/>
        <v>High</v>
      </c>
      <c r="S1363" s="2" t="str">
        <f t="shared" si="43"/>
        <v>Central - Salaried</v>
      </c>
    </row>
    <row r="1364" spans="1:19" x14ac:dyDescent="0.3">
      <c r="A1364" t="s">
        <v>2751</v>
      </c>
      <c r="B1364" t="s">
        <v>2752</v>
      </c>
      <c r="C1364">
        <v>24</v>
      </c>
      <c r="D1364" s="2" t="s">
        <v>21</v>
      </c>
      <c r="E1364" s="2" t="s">
        <v>22</v>
      </c>
      <c r="F1364" s="2" t="s">
        <v>15</v>
      </c>
      <c r="G1364" s="2" t="s">
        <v>66</v>
      </c>
      <c r="H1364" s="2" t="s">
        <v>18</v>
      </c>
      <c r="I1364" s="2" t="s">
        <v>18</v>
      </c>
      <c r="J1364">
        <v>0.59</v>
      </c>
      <c r="K1364" s="1">
        <v>43959</v>
      </c>
      <c r="L1364" s="2" t="str">
        <f>IF(Sheet1[[#This Row],[age]]&lt;18, "Under 18",IF(Sheet1[[#This Row],[age]]&lt;=30,"18-30",IF(Sheet1[[#This Row],[age]]&lt;=45,"31-45",IF(Sheet1[[#This Row],[age]]&lt;=60,"46-60","60+"))))</f>
        <v>18-30</v>
      </c>
      <c r="M1364" s="2" t="str">
        <f>IF(Sheet1[[#This Row],[risk_score]]&lt;0.3,"Low",IF(Sheet1[[#This Row],[risk_score]]&lt;0.7,"Medium","High"))</f>
        <v>Medium</v>
      </c>
      <c r="N1364">
        <f>YEAR(Sheet1[[#This Row],[date_joined]])</f>
        <v>2020</v>
      </c>
      <c r="O1364" s="2" t="str">
        <f>TEXT(Sheet1[[#This Row],[date_joined]],"mmm")</f>
        <v>May</v>
      </c>
      <c r="P1364" s="2" t="str">
        <f>"Q"&amp;ROUNDUP(MONTH(Sheet1[[#This Row],[date_joined]])/3,0)</f>
        <v>Q2</v>
      </c>
      <c r="Q1364" s="2" t="str">
        <f>IF(Sheet1[[#This Row],[age]]&lt;30,"Young",IF(Sheet1[[#This Row],[age]]&lt;=50,"Adult","Senior"))</f>
        <v>Young</v>
      </c>
      <c r="R1364" s="2" t="str">
        <f t="shared" si="42"/>
        <v>Very High</v>
      </c>
      <c r="S1364" s="2" t="str">
        <f t="shared" si="43"/>
        <v>North-East - Student</v>
      </c>
    </row>
    <row r="1365" spans="1:19" x14ac:dyDescent="0.3">
      <c r="A1365" t="s">
        <v>2753</v>
      </c>
      <c r="B1365" t="s">
        <v>2754</v>
      </c>
      <c r="C1365">
        <v>33</v>
      </c>
      <c r="D1365" s="2" t="s">
        <v>13</v>
      </c>
      <c r="E1365" s="2" t="s">
        <v>30</v>
      </c>
      <c r="F1365" s="2" t="s">
        <v>37</v>
      </c>
      <c r="G1365" s="2" t="s">
        <v>24</v>
      </c>
      <c r="H1365" s="2" t="s">
        <v>18</v>
      </c>
      <c r="I1365" s="2" t="s">
        <v>18</v>
      </c>
      <c r="J1365">
        <v>0.44</v>
      </c>
      <c r="K1365" s="1">
        <v>43892</v>
      </c>
      <c r="L1365" s="2" t="str">
        <f>IF(Sheet1[[#This Row],[age]]&lt;18, "Under 18",IF(Sheet1[[#This Row],[age]]&lt;=30,"18-30",IF(Sheet1[[#This Row],[age]]&lt;=45,"31-45",IF(Sheet1[[#This Row],[age]]&lt;=60,"46-60","60+"))))</f>
        <v>31-45</v>
      </c>
      <c r="M1365" s="2" t="str">
        <f>IF(Sheet1[[#This Row],[risk_score]]&lt;0.3,"Low",IF(Sheet1[[#This Row],[risk_score]]&lt;0.7,"Medium","High"))</f>
        <v>Medium</v>
      </c>
      <c r="N1365">
        <f>YEAR(Sheet1[[#This Row],[date_joined]])</f>
        <v>2020</v>
      </c>
      <c r="O1365" s="2" t="str">
        <f>TEXT(Sheet1[[#This Row],[date_joined]],"mmm")</f>
        <v>Mar</v>
      </c>
      <c r="P1365" s="2" t="str">
        <f>"Q"&amp;ROUNDUP(MONTH(Sheet1[[#This Row],[date_joined]])/3,0)</f>
        <v>Q1</v>
      </c>
      <c r="Q1365" s="2" t="str">
        <f>IF(Sheet1[[#This Row],[age]]&lt;30,"Young",IF(Sheet1[[#This Row],[age]]&lt;=50,"Adult","Senior"))</f>
        <v>Adult</v>
      </c>
      <c r="R1365" s="2" t="str">
        <f t="shared" si="42"/>
        <v>Very High</v>
      </c>
      <c r="S1365" s="2" t="str">
        <f t="shared" si="43"/>
        <v>East - Retired</v>
      </c>
    </row>
    <row r="1366" spans="1:19" x14ac:dyDescent="0.3">
      <c r="A1366" t="s">
        <v>2755</v>
      </c>
      <c r="B1366" t="s">
        <v>2756</v>
      </c>
      <c r="C1366">
        <v>63</v>
      </c>
      <c r="D1366" s="2" t="s">
        <v>21</v>
      </c>
      <c r="E1366" s="2" t="s">
        <v>30</v>
      </c>
      <c r="F1366" s="2" t="s">
        <v>31</v>
      </c>
      <c r="G1366" s="2" t="s">
        <v>24</v>
      </c>
      <c r="H1366" s="2" t="s">
        <v>17</v>
      </c>
      <c r="I1366" s="2" t="s">
        <v>18</v>
      </c>
      <c r="J1366">
        <v>0.49</v>
      </c>
      <c r="K1366" s="1">
        <v>44014</v>
      </c>
      <c r="L1366" s="2" t="str">
        <f>IF(Sheet1[[#This Row],[age]]&lt;18, "Under 18",IF(Sheet1[[#This Row],[age]]&lt;=30,"18-30",IF(Sheet1[[#This Row],[age]]&lt;=45,"31-45",IF(Sheet1[[#This Row],[age]]&lt;=60,"46-60","60+"))))</f>
        <v>60+</v>
      </c>
      <c r="M1366" s="2" t="str">
        <f>IF(Sheet1[[#This Row],[risk_score]]&lt;0.3,"Low",IF(Sheet1[[#This Row],[risk_score]]&lt;0.7,"Medium","High"))</f>
        <v>Medium</v>
      </c>
      <c r="N1366">
        <f>YEAR(Sheet1[[#This Row],[date_joined]])</f>
        <v>2020</v>
      </c>
      <c r="O1366" s="2" t="str">
        <f>TEXT(Sheet1[[#This Row],[date_joined]],"mmm")</f>
        <v>Jul</v>
      </c>
      <c r="P1366" s="2" t="str">
        <f>"Q"&amp;ROUNDUP(MONTH(Sheet1[[#This Row],[date_joined]])/3,0)</f>
        <v>Q3</v>
      </c>
      <c r="Q1366" s="2" t="str">
        <f>IF(Sheet1[[#This Row],[age]]&lt;30,"Young",IF(Sheet1[[#This Row],[age]]&lt;=50,"Adult","Senior"))</f>
        <v>Senior</v>
      </c>
      <c r="R1366" s="2" t="str">
        <f t="shared" si="42"/>
        <v>High</v>
      </c>
      <c r="S1366" s="2" t="str">
        <f t="shared" si="43"/>
        <v>East - Self-employed</v>
      </c>
    </row>
    <row r="1367" spans="1:19" x14ac:dyDescent="0.3">
      <c r="A1367" t="s">
        <v>2757</v>
      </c>
      <c r="B1367" t="s">
        <v>2758</v>
      </c>
      <c r="C1367">
        <v>46</v>
      </c>
      <c r="D1367" s="2" t="s">
        <v>21</v>
      </c>
      <c r="E1367" s="2" t="s">
        <v>14</v>
      </c>
      <c r="F1367" s="2" t="s">
        <v>31</v>
      </c>
      <c r="G1367" s="2" t="s">
        <v>66</v>
      </c>
      <c r="H1367" s="2" t="s">
        <v>18</v>
      </c>
      <c r="I1367" s="2" t="s">
        <v>18</v>
      </c>
      <c r="J1367">
        <v>0.6</v>
      </c>
      <c r="K1367" s="1">
        <v>43236</v>
      </c>
      <c r="L1367" s="2" t="str">
        <f>IF(Sheet1[[#This Row],[age]]&lt;18, "Under 18",IF(Sheet1[[#This Row],[age]]&lt;=30,"18-30",IF(Sheet1[[#This Row],[age]]&lt;=45,"31-45",IF(Sheet1[[#This Row],[age]]&lt;=60,"46-60","60+"))))</f>
        <v>46-60</v>
      </c>
      <c r="M1367" s="2" t="str">
        <f>IF(Sheet1[[#This Row],[risk_score]]&lt;0.3,"Low",IF(Sheet1[[#This Row],[risk_score]]&lt;0.7,"Medium","High"))</f>
        <v>Medium</v>
      </c>
      <c r="N1367">
        <f>YEAR(Sheet1[[#This Row],[date_joined]])</f>
        <v>2018</v>
      </c>
      <c r="O1367" s="2" t="str">
        <f>TEXT(Sheet1[[#This Row],[date_joined]],"mmm")</f>
        <v>May</v>
      </c>
      <c r="P1367" s="2" t="str">
        <f>"Q"&amp;ROUNDUP(MONTH(Sheet1[[#This Row],[date_joined]])/3,0)</f>
        <v>Q2</v>
      </c>
      <c r="Q1367" s="2" t="str">
        <f>IF(Sheet1[[#This Row],[age]]&lt;30,"Young",IF(Sheet1[[#This Row],[age]]&lt;=50,"Adult","Senior"))</f>
        <v>Adult</v>
      </c>
      <c r="R1367" s="2" t="str">
        <f t="shared" si="42"/>
        <v>Very High</v>
      </c>
      <c r="S1367" s="2" t="str">
        <f t="shared" si="43"/>
        <v>North-East - Self-employed</v>
      </c>
    </row>
    <row r="1368" spans="1:19" x14ac:dyDescent="0.3">
      <c r="A1368" t="s">
        <v>2759</v>
      </c>
      <c r="B1368" t="s">
        <v>2760</v>
      </c>
      <c r="C1368">
        <v>57</v>
      </c>
      <c r="D1368" s="2" t="s">
        <v>13</v>
      </c>
      <c r="E1368" s="2" t="s">
        <v>30</v>
      </c>
      <c r="F1368" s="2" t="s">
        <v>37</v>
      </c>
      <c r="G1368" s="2" t="s">
        <v>81</v>
      </c>
      <c r="H1368" s="2" t="s">
        <v>17</v>
      </c>
      <c r="I1368" s="2" t="s">
        <v>17</v>
      </c>
      <c r="J1368">
        <v>0.42</v>
      </c>
      <c r="K1368" s="1">
        <v>43274</v>
      </c>
      <c r="L1368" s="2" t="str">
        <f>IF(Sheet1[[#This Row],[age]]&lt;18, "Under 18",IF(Sheet1[[#This Row],[age]]&lt;=30,"18-30",IF(Sheet1[[#This Row],[age]]&lt;=45,"31-45",IF(Sheet1[[#This Row],[age]]&lt;=60,"46-60","60+"))))</f>
        <v>46-60</v>
      </c>
      <c r="M1368" s="2" t="str">
        <f>IF(Sheet1[[#This Row],[risk_score]]&lt;0.3,"Low",IF(Sheet1[[#This Row],[risk_score]]&lt;0.7,"Medium","High"))</f>
        <v>Medium</v>
      </c>
      <c r="N1368">
        <f>YEAR(Sheet1[[#This Row],[date_joined]])</f>
        <v>2018</v>
      </c>
      <c r="O1368" s="2" t="str">
        <f>TEXT(Sheet1[[#This Row],[date_joined]],"mmm")</f>
        <v>Jun</v>
      </c>
      <c r="P1368" s="2" t="str">
        <f>"Q"&amp;ROUNDUP(MONTH(Sheet1[[#This Row],[date_joined]])/3,0)</f>
        <v>Q2</v>
      </c>
      <c r="Q1368" s="2" t="str">
        <f>IF(Sheet1[[#This Row],[age]]&lt;30,"Young",IF(Sheet1[[#This Row],[age]]&lt;=50,"Adult","Senior"))</f>
        <v>Senior</v>
      </c>
      <c r="R1368" s="2" t="str">
        <f t="shared" si="42"/>
        <v>Low</v>
      </c>
      <c r="S1368" s="2" t="str">
        <f t="shared" si="43"/>
        <v>Central - Retired</v>
      </c>
    </row>
    <row r="1369" spans="1:19" x14ac:dyDescent="0.3">
      <c r="A1369" t="s">
        <v>2761</v>
      </c>
      <c r="B1369" t="s">
        <v>2762</v>
      </c>
      <c r="C1369">
        <v>46</v>
      </c>
      <c r="D1369" s="2" t="s">
        <v>21</v>
      </c>
      <c r="E1369" s="2" t="s">
        <v>22</v>
      </c>
      <c r="F1369" s="2" t="s">
        <v>31</v>
      </c>
      <c r="G1369" s="2" t="s">
        <v>16</v>
      </c>
      <c r="H1369" s="2" t="s">
        <v>17</v>
      </c>
      <c r="I1369" s="2" t="s">
        <v>18</v>
      </c>
      <c r="J1369">
        <v>0.33</v>
      </c>
      <c r="K1369" s="1">
        <v>44818</v>
      </c>
      <c r="L1369" s="2" t="str">
        <f>IF(Sheet1[[#This Row],[age]]&lt;18, "Under 18",IF(Sheet1[[#This Row],[age]]&lt;=30,"18-30",IF(Sheet1[[#This Row],[age]]&lt;=45,"31-45",IF(Sheet1[[#This Row],[age]]&lt;=60,"46-60","60+"))))</f>
        <v>46-60</v>
      </c>
      <c r="M1369" s="2" t="str">
        <f>IF(Sheet1[[#This Row],[risk_score]]&lt;0.3,"Low",IF(Sheet1[[#This Row],[risk_score]]&lt;0.7,"Medium","High"))</f>
        <v>Medium</v>
      </c>
      <c r="N1369">
        <f>YEAR(Sheet1[[#This Row],[date_joined]])</f>
        <v>2022</v>
      </c>
      <c r="O1369" s="2" t="str">
        <f>TEXT(Sheet1[[#This Row],[date_joined]],"mmm")</f>
        <v>Sep</v>
      </c>
      <c r="P1369" s="2" t="str">
        <f>"Q"&amp;ROUNDUP(MONTH(Sheet1[[#This Row],[date_joined]])/3,0)</f>
        <v>Q3</v>
      </c>
      <c r="Q1369" s="2" t="str">
        <f>IF(Sheet1[[#This Row],[age]]&lt;30,"Young",IF(Sheet1[[#This Row],[age]]&lt;=50,"Adult","Senior"))</f>
        <v>Adult</v>
      </c>
      <c r="R1369" s="2" t="str">
        <f t="shared" si="42"/>
        <v>High</v>
      </c>
      <c r="S1369" s="2" t="str">
        <f t="shared" si="43"/>
        <v>West - Self-employed</v>
      </c>
    </row>
    <row r="1370" spans="1:19" x14ac:dyDescent="0.3">
      <c r="A1370" t="s">
        <v>2763</v>
      </c>
      <c r="B1370" t="s">
        <v>2764</v>
      </c>
      <c r="C1370">
        <v>56</v>
      </c>
      <c r="D1370" s="2" t="s">
        <v>13</v>
      </c>
      <c r="E1370" s="2" t="s">
        <v>30</v>
      </c>
      <c r="F1370" s="2" t="s">
        <v>23</v>
      </c>
      <c r="G1370" s="2" t="s">
        <v>24</v>
      </c>
      <c r="H1370" s="2" t="s">
        <v>18</v>
      </c>
      <c r="I1370" s="2" t="s">
        <v>17</v>
      </c>
      <c r="J1370">
        <v>0.18</v>
      </c>
      <c r="K1370" s="1">
        <v>43702</v>
      </c>
      <c r="L1370" s="2" t="str">
        <f>IF(Sheet1[[#This Row],[age]]&lt;18, "Under 18",IF(Sheet1[[#This Row],[age]]&lt;=30,"18-30",IF(Sheet1[[#This Row],[age]]&lt;=45,"31-45",IF(Sheet1[[#This Row],[age]]&lt;=60,"46-60","60+"))))</f>
        <v>46-60</v>
      </c>
      <c r="M1370" s="2" t="str">
        <f>IF(Sheet1[[#This Row],[risk_score]]&lt;0.3,"Low",IF(Sheet1[[#This Row],[risk_score]]&lt;0.7,"Medium","High"))</f>
        <v>Low</v>
      </c>
      <c r="N1370">
        <f>YEAR(Sheet1[[#This Row],[date_joined]])</f>
        <v>2019</v>
      </c>
      <c r="O1370" s="2" t="str">
        <f>TEXT(Sheet1[[#This Row],[date_joined]],"mmm")</f>
        <v>Aug</v>
      </c>
      <c r="P1370" s="2" t="str">
        <f>"Q"&amp;ROUNDUP(MONTH(Sheet1[[#This Row],[date_joined]])/3,0)</f>
        <v>Q3</v>
      </c>
      <c r="Q1370" s="2" t="str">
        <f>IF(Sheet1[[#This Row],[age]]&lt;30,"Young",IF(Sheet1[[#This Row],[age]]&lt;=50,"Adult","Senior"))</f>
        <v>Senior</v>
      </c>
      <c r="R1370" s="2" t="str">
        <f t="shared" si="42"/>
        <v>High</v>
      </c>
      <c r="S1370" s="2" t="str">
        <f t="shared" si="43"/>
        <v>East - Salaried</v>
      </c>
    </row>
    <row r="1371" spans="1:19" x14ac:dyDescent="0.3">
      <c r="A1371" t="s">
        <v>2765</v>
      </c>
      <c r="B1371" t="s">
        <v>2766</v>
      </c>
      <c r="C1371">
        <v>54</v>
      </c>
      <c r="D1371" s="2" t="s">
        <v>13</v>
      </c>
      <c r="E1371" s="2" t="s">
        <v>22</v>
      </c>
      <c r="F1371" s="2" t="s">
        <v>31</v>
      </c>
      <c r="G1371" s="2" t="s">
        <v>81</v>
      </c>
      <c r="H1371" s="2" t="s">
        <v>17</v>
      </c>
      <c r="I1371" s="2" t="s">
        <v>18</v>
      </c>
      <c r="J1371">
        <v>0.56000000000000005</v>
      </c>
      <c r="K1371" s="1">
        <v>43587</v>
      </c>
      <c r="L1371" s="2" t="str">
        <f>IF(Sheet1[[#This Row],[age]]&lt;18, "Under 18",IF(Sheet1[[#This Row],[age]]&lt;=30,"18-30",IF(Sheet1[[#This Row],[age]]&lt;=45,"31-45",IF(Sheet1[[#This Row],[age]]&lt;=60,"46-60","60+"))))</f>
        <v>46-60</v>
      </c>
      <c r="M1371" s="2" t="str">
        <f>IF(Sheet1[[#This Row],[risk_score]]&lt;0.3,"Low",IF(Sheet1[[#This Row],[risk_score]]&lt;0.7,"Medium","High"))</f>
        <v>Medium</v>
      </c>
      <c r="N1371">
        <f>YEAR(Sheet1[[#This Row],[date_joined]])</f>
        <v>2019</v>
      </c>
      <c r="O1371" s="2" t="str">
        <f>TEXT(Sheet1[[#This Row],[date_joined]],"mmm")</f>
        <v>May</v>
      </c>
      <c r="P1371" s="2" t="str">
        <f>"Q"&amp;ROUNDUP(MONTH(Sheet1[[#This Row],[date_joined]])/3,0)</f>
        <v>Q2</v>
      </c>
      <c r="Q1371" s="2" t="str">
        <f>IF(Sheet1[[#This Row],[age]]&lt;30,"Young",IF(Sheet1[[#This Row],[age]]&lt;=50,"Adult","Senior"))</f>
        <v>Senior</v>
      </c>
      <c r="R1371" s="2" t="str">
        <f t="shared" si="42"/>
        <v>High</v>
      </c>
      <c r="S1371" s="2" t="str">
        <f t="shared" si="43"/>
        <v>Central - Self-employed</v>
      </c>
    </row>
    <row r="1372" spans="1:19" x14ac:dyDescent="0.3">
      <c r="A1372" t="s">
        <v>2767</v>
      </c>
      <c r="B1372" t="s">
        <v>2768</v>
      </c>
      <c r="C1372">
        <v>34</v>
      </c>
      <c r="D1372" s="2" t="s">
        <v>13</v>
      </c>
      <c r="E1372" s="2" t="s">
        <v>14</v>
      </c>
      <c r="F1372" s="2" t="s">
        <v>23</v>
      </c>
      <c r="G1372" s="2" t="s">
        <v>32</v>
      </c>
      <c r="H1372" s="2" t="s">
        <v>18</v>
      </c>
      <c r="I1372" s="2" t="s">
        <v>18</v>
      </c>
      <c r="J1372">
        <v>0.53</v>
      </c>
      <c r="K1372" s="1">
        <v>43268</v>
      </c>
      <c r="L1372" s="2" t="str">
        <f>IF(Sheet1[[#This Row],[age]]&lt;18, "Under 18",IF(Sheet1[[#This Row],[age]]&lt;=30,"18-30",IF(Sheet1[[#This Row],[age]]&lt;=45,"31-45",IF(Sheet1[[#This Row],[age]]&lt;=60,"46-60","60+"))))</f>
        <v>31-45</v>
      </c>
      <c r="M1372" s="2" t="str">
        <f>IF(Sheet1[[#This Row],[risk_score]]&lt;0.3,"Low",IF(Sheet1[[#This Row],[risk_score]]&lt;0.7,"Medium","High"))</f>
        <v>Medium</v>
      </c>
      <c r="N1372">
        <f>YEAR(Sheet1[[#This Row],[date_joined]])</f>
        <v>2018</v>
      </c>
      <c r="O1372" s="2" t="str">
        <f>TEXT(Sheet1[[#This Row],[date_joined]],"mmm")</f>
        <v>Jun</v>
      </c>
      <c r="P1372" s="2" t="str">
        <f>"Q"&amp;ROUNDUP(MONTH(Sheet1[[#This Row],[date_joined]])/3,0)</f>
        <v>Q2</v>
      </c>
      <c r="Q1372" s="2" t="str">
        <f>IF(Sheet1[[#This Row],[age]]&lt;30,"Young",IF(Sheet1[[#This Row],[age]]&lt;=50,"Adult","Senior"))</f>
        <v>Adult</v>
      </c>
      <c r="R1372" s="2" t="str">
        <f t="shared" si="42"/>
        <v>Very High</v>
      </c>
      <c r="S1372" s="2" t="str">
        <f t="shared" si="43"/>
        <v>South - Salaried</v>
      </c>
    </row>
    <row r="1373" spans="1:19" x14ac:dyDescent="0.3">
      <c r="A1373" t="s">
        <v>2769</v>
      </c>
      <c r="B1373" t="s">
        <v>2770</v>
      </c>
      <c r="C1373">
        <v>32</v>
      </c>
      <c r="D1373" s="2" t="s">
        <v>13</v>
      </c>
      <c r="E1373" s="2" t="s">
        <v>30</v>
      </c>
      <c r="F1373" s="2" t="s">
        <v>23</v>
      </c>
      <c r="G1373" s="2" t="s">
        <v>66</v>
      </c>
      <c r="H1373" s="2" t="s">
        <v>17</v>
      </c>
      <c r="I1373" s="2" t="s">
        <v>17</v>
      </c>
      <c r="J1373">
        <v>0.05</v>
      </c>
      <c r="K1373" s="1">
        <v>44321</v>
      </c>
      <c r="L1373" s="2" t="str">
        <f>IF(Sheet1[[#This Row],[age]]&lt;18, "Under 18",IF(Sheet1[[#This Row],[age]]&lt;=30,"18-30",IF(Sheet1[[#This Row],[age]]&lt;=45,"31-45",IF(Sheet1[[#This Row],[age]]&lt;=60,"46-60","60+"))))</f>
        <v>31-45</v>
      </c>
      <c r="M1373" s="2" t="str">
        <f>IF(Sheet1[[#This Row],[risk_score]]&lt;0.3,"Low",IF(Sheet1[[#This Row],[risk_score]]&lt;0.7,"Medium","High"))</f>
        <v>Low</v>
      </c>
      <c r="N1373">
        <f>YEAR(Sheet1[[#This Row],[date_joined]])</f>
        <v>2021</v>
      </c>
      <c r="O1373" s="2" t="str">
        <f>TEXT(Sheet1[[#This Row],[date_joined]],"mmm")</f>
        <v>May</v>
      </c>
      <c r="P1373" s="2" t="str">
        <f>"Q"&amp;ROUNDUP(MONTH(Sheet1[[#This Row],[date_joined]])/3,0)</f>
        <v>Q2</v>
      </c>
      <c r="Q1373" s="2" t="str">
        <f>IF(Sheet1[[#This Row],[age]]&lt;30,"Young",IF(Sheet1[[#This Row],[age]]&lt;=50,"Adult","Senior"))</f>
        <v>Adult</v>
      </c>
      <c r="R1373" s="2" t="str">
        <f t="shared" si="42"/>
        <v>Low</v>
      </c>
      <c r="S1373" s="2" t="str">
        <f t="shared" si="43"/>
        <v>North-East - Salaried</v>
      </c>
    </row>
    <row r="1374" spans="1:19" x14ac:dyDescent="0.3">
      <c r="A1374" t="s">
        <v>2771</v>
      </c>
      <c r="B1374" t="s">
        <v>2772</v>
      </c>
      <c r="C1374">
        <v>26</v>
      </c>
      <c r="D1374" s="2" t="s">
        <v>13</v>
      </c>
      <c r="E1374" s="2" t="s">
        <v>14</v>
      </c>
      <c r="F1374" s="2" t="s">
        <v>23</v>
      </c>
      <c r="G1374" s="2" t="s">
        <v>24</v>
      </c>
      <c r="H1374" s="2" t="s">
        <v>18</v>
      </c>
      <c r="I1374" s="2" t="s">
        <v>18</v>
      </c>
      <c r="J1374">
        <v>0.04</v>
      </c>
      <c r="K1374" s="1">
        <v>44439</v>
      </c>
      <c r="L1374" s="2" t="str">
        <f>IF(Sheet1[[#This Row],[age]]&lt;18, "Under 18",IF(Sheet1[[#This Row],[age]]&lt;=30,"18-30",IF(Sheet1[[#This Row],[age]]&lt;=45,"31-45",IF(Sheet1[[#This Row],[age]]&lt;=60,"46-60","60+"))))</f>
        <v>18-30</v>
      </c>
      <c r="M1374" s="2" t="str">
        <f>IF(Sheet1[[#This Row],[risk_score]]&lt;0.3,"Low",IF(Sheet1[[#This Row],[risk_score]]&lt;0.7,"Medium","High"))</f>
        <v>Low</v>
      </c>
      <c r="N1374">
        <f>YEAR(Sheet1[[#This Row],[date_joined]])</f>
        <v>2021</v>
      </c>
      <c r="O1374" s="2" t="str">
        <f>TEXT(Sheet1[[#This Row],[date_joined]],"mmm")</f>
        <v>Aug</v>
      </c>
      <c r="P1374" s="2" t="str">
        <f>"Q"&amp;ROUNDUP(MONTH(Sheet1[[#This Row],[date_joined]])/3,0)</f>
        <v>Q3</v>
      </c>
      <c r="Q1374" s="2" t="str">
        <f>IF(Sheet1[[#This Row],[age]]&lt;30,"Young",IF(Sheet1[[#This Row],[age]]&lt;=50,"Adult","Senior"))</f>
        <v>Young</v>
      </c>
      <c r="R1374" s="2" t="str">
        <f t="shared" si="42"/>
        <v>Very High</v>
      </c>
      <c r="S1374" s="2" t="str">
        <f t="shared" si="43"/>
        <v>East - Salaried</v>
      </c>
    </row>
    <row r="1375" spans="1:19" x14ac:dyDescent="0.3">
      <c r="A1375" t="s">
        <v>2773</v>
      </c>
      <c r="B1375" t="s">
        <v>2774</v>
      </c>
      <c r="C1375">
        <v>33</v>
      </c>
      <c r="D1375" s="2" t="s">
        <v>21</v>
      </c>
      <c r="E1375" s="2" t="s">
        <v>30</v>
      </c>
      <c r="F1375" s="2" t="s">
        <v>23</v>
      </c>
      <c r="G1375" s="2" t="s">
        <v>27</v>
      </c>
      <c r="H1375" s="2" t="s">
        <v>18</v>
      </c>
      <c r="I1375" s="2" t="s">
        <v>18</v>
      </c>
      <c r="J1375">
        <v>0.44</v>
      </c>
      <c r="K1375" s="1">
        <v>44224</v>
      </c>
      <c r="L1375" s="2" t="str">
        <f>IF(Sheet1[[#This Row],[age]]&lt;18, "Under 18",IF(Sheet1[[#This Row],[age]]&lt;=30,"18-30",IF(Sheet1[[#This Row],[age]]&lt;=45,"31-45",IF(Sheet1[[#This Row],[age]]&lt;=60,"46-60","60+"))))</f>
        <v>31-45</v>
      </c>
      <c r="M1375" s="2" t="str">
        <f>IF(Sheet1[[#This Row],[risk_score]]&lt;0.3,"Low",IF(Sheet1[[#This Row],[risk_score]]&lt;0.7,"Medium","High"))</f>
        <v>Medium</v>
      </c>
      <c r="N1375">
        <f>YEAR(Sheet1[[#This Row],[date_joined]])</f>
        <v>2021</v>
      </c>
      <c r="O1375" s="2" t="str">
        <f>TEXT(Sheet1[[#This Row],[date_joined]],"mmm")</f>
        <v>Jan</v>
      </c>
      <c r="P1375" s="2" t="str">
        <f>"Q"&amp;ROUNDUP(MONTH(Sheet1[[#This Row],[date_joined]])/3,0)</f>
        <v>Q1</v>
      </c>
      <c r="Q1375" s="2" t="str">
        <f>IF(Sheet1[[#This Row],[age]]&lt;30,"Young",IF(Sheet1[[#This Row],[age]]&lt;=50,"Adult","Senior"))</f>
        <v>Adult</v>
      </c>
      <c r="R1375" s="2" t="str">
        <f t="shared" si="42"/>
        <v>Very High</v>
      </c>
      <c r="S1375" s="2" t="str">
        <f t="shared" si="43"/>
        <v>North - Salaried</v>
      </c>
    </row>
    <row r="1376" spans="1:19" x14ac:dyDescent="0.3">
      <c r="A1376" t="s">
        <v>2775</v>
      </c>
      <c r="B1376" t="s">
        <v>2776</v>
      </c>
      <c r="C1376">
        <v>57</v>
      </c>
      <c r="D1376" s="2" t="s">
        <v>13</v>
      </c>
      <c r="E1376" s="2" t="s">
        <v>14</v>
      </c>
      <c r="F1376" s="2" t="s">
        <v>23</v>
      </c>
      <c r="G1376" s="2" t="s">
        <v>66</v>
      </c>
      <c r="H1376" s="2" t="s">
        <v>18</v>
      </c>
      <c r="I1376" s="2" t="s">
        <v>18</v>
      </c>
      <c r="J1376">
        <v>0.38</v>
      </c>
      <c r="K1376" s="1">
        <v>44510</v>
      </c>
      <c r="L1376" s="2" t="str">
        <f>IF(Sheet1[[#This Row],[age]]&lt;18, "Under 18",IF(Sheet1[[#This Row],[age]]&lt;=30,"18-30",IF(Sheet1[[#This Row],[age]]&lt;=45,"31-45",IF(Sheet1[[#This Row],[age]]&lt;=60,"46-60","60+"))))</f>
        <v>46-60</v>
      </c>
      <c r="M1376" s="2" t="str">
        <f>IF(Sheet1[[#This Row],[risk_score]]&lt;0.3,"Low",IF(Sheet1[[#This Row],[risk_score]]&lt;0.7,"Medium","High"))</f>
        <v>Medium</v>
      </c>
      <c r="N1376">
        <f>YEAR(Sheet1[[#This Row],[date_joined]])</f>
        <v>2021</v>
      </c>
      <c r="O1376" s="2" t="str">
        <f>TEXT(Sheet1[[#This Row],[date_joined]],"mmm")</f>
        <v>Nov</v>
      </c>
      <c r="P1376" s="2" t="str">
        <f>"Q"&amp;ROUNDUP(MONTH(Sheet1[[#This Row],[date_joined]])/3,0)</f>
        <v>Q4</v>
      </c>
      <c r="Q1376" s="2" t="str">
        <f>IF(Sheet1[[#This Row],[age]]&lt;30,"Young",IF(Sheet1[[#This Row],[age]]&lt;=50,"Adult","Senior"))</f>
        <v>Senior</v>
      </c>
      <c r="R1376" s="2" t="str">
        <f t="shared" si="42"/>
        <v>Very High</v>
      </c>
      <c r="S1376" s="2" t="str">
        <f t="shared" si="43"/>
        <v>North-East - Salaried</v>
      </c>
    </row>
    <row r="1377" spans="1:19" x14ac:dyDescent="0.3">
      <c r="A1377" t="s">
        <v>2777</v>
      </c>
      <c r="B1377" t="s">
        <v>2778</v>
      </c>
      <c r="C1377">
        <v>42</v>
      </c>
      <c r="D1377" s="2" t="s">
        <v>13</v>
      </c>
      <c r="E1377" s="2" t="s">
        <v>22</v>
      </c>
      <c r="F1377" s="2" t="s">
        <v>15</v>
      </c>
      <c r="G1377" s="2" t="s">
        <v>81</v>
      </c>
      <c r="H1377" s="2" t="s">
        <v>18</v>
      </c>
      <c r="I1377" s="2" t="s">
        <v>18</v>
      </c>
      <c r="J1377">
        <v>0.22</v>
      </c>
      <c r="K1377" s="1">
        <v>44063</v>
      </c>
      <c r="L1377" s="2" t="str">
        <f>IF(Sheet1[[#This Row],[age]]&lt;18, "Under 18",IF(Sheet1[[#This Row],[age]]&lt;=30,"18-30",IF(Sheet1[[#This Row],[age]]&lt;=45,"31-45",IF(Sheet1[[#This Row],[age]]&lt;=60,"46-60","60+"))))</f>
        <v>31-45</v>
      </c>
      <c r="M1377" s="2" t="str">
        <f>IF(Sheet1[[#This Row],[risk_score]]&lt;0.3,"Low",IF(Sheet1[[#This Row],[risk_score]]&lt;0.7,"Medium","High"))</f>
        <v>Low</v>
      </c>
      <c r="N1377">
        <f>YEAR(Sheet1[[#This Row],[date_joined]])</f>
        <v>2020</v>
      </c>
      <c r="O1377" s="2" t="str">
        <f>TEXT(Sheet1[[#This Row],[date_joined]],"mmm")</f>
        <v>Aug</v>
      </c>
      <c r="P1377" s="2" t="str">
        <f>"Q"&amp;ROUNDUP(MONTH(Sheet1[[#This Row],[date_joined]])/3,0)</f>
        <v>Q3</v>
      </c>
      <c r="Q1377" s="2" t="str">
        <f>IF(Sheet1[[#This Row],[age]]&lt;30,"Young",IF(Sheet1[[#This Row],[age]]&lt;=50,"Adult","Senior"))</f>
        <v>Adult</v>
      </c>
      <c r="R1377" s="2" t="str">
        <f t="shared" si="42"/>
        <v>Very High</v>
      </c>
      <c r="S1377" s="2" t="str">
        <f t="shared" si="43"/>
        <v>Central - Student</v>
      </c>
    </row>
    <row r="1378" spans="1:19" x14ac:dyDescent="0.3">
      <c r="A1378" t="s">
        <v>2779</v>
      </c>
      <c r="B1378" t="s">
        <v>2780</v>
      </c>
      <c r="C1378">
        <v>23</v>
      </c>
      <c r="D1378" s="2" t="s">
        <v>21</v>
      </c>
      <c r="E1378" s="2" t="s">
        <v>30</v>
      </c>
      <c r="F1378" s="2" t="s">
        <v>23</v>
      </c>
      <c r="G1378" s="2" t="s">
        <v>16</v>
      </c>
      <c r="H1378" s="2" t="s">
        <v>17</v>
      </c>
      <c r="I1378" s="2" t="s">
        <v>17</v>
      </c>
      <c r="J1378">
        <v>0.56000000000000005</v>
      </c>
      <c r="K1378" s="1">
        <v>43628</v>
      </c>
      <c r="L1378" s="2" t="str">
        <f>IF(Sheet1[[#This Row],[age]]&lt;18, "Under 18",IF(Sheet1[[#This Row],[age]]&lt;=30,"18-30",IF(Sheet1[[#This Row],[age]]&lt;=45,"31-45",IF(Sheet1[[#This Row],[age]]&lt;=60,"46-60","60+"))))</f>
        <v>18-30</v>
      </c>
      <c r="M1378" s="2" t="str">
        <f>IF(Sheet1[[#This Row],[risk_score]]&lt;0.3,"Low",IF(Sheet1[[#This Row],[risk_score]]&lt;0.7,"Medium","High"))</f>
        <v>Medium</v>
      </c>
      <c r="N1378">
        <f>YEAR(Sheet1[[#This Row],[date_joined]])</f>
        <v>2019</v>
      </c>
      <c r="O1378" s="2" t="str">
        <f>TEXT(Sheet1[[#This Row],[date_joined]],"mmm")</f>
        <v>Jun</v>
      </c>
      <c r="P1378" s="2" t="str">
        <f>"Q"&amp;ROUNDUP(MONTH(Sheet1[[#This Row],[date_joined]])/3,0)</f>
        <v>Q2</v>
      </c>
      <c r="Q1378" s="2" t="str">
        <f>IF(Sheet1[[#This Row],[age]]&lt;30,"Young",IF(Sheet1[[#This Row],[age]]&lt;=50,"Adult","Senior"))</f>
        <v>Young</v>
      </c>
      <c r="R1378" s="2" t="str">
        <f t="shared" si="42"/>
        <v>Low</v>
      </c>
      <c r="S1378" s="2" t="str">
        <f t="shared" si="43"/>
        <v>West - Salaried</v>
      </c>
    </row>
    <row r="1379" spans="1:19" x14ac:dyDescent="0.3">
      <c r="A1379" t="s">
        <v>2781</v>
      </c>
      <c r="B1379" t="s">
        <v>2782</v>
      </c>
      <c r="C1379">
        <v>65</v>
      </c>
      <c r="D1379" s="2" t="s">
        <v>13</v>
      </c>
      <c r="E1379" s="2" t="s">
        <v>30</v>
      </c>
      <c r="F1379" s="2" t="s">
        <v>37</v>
      </c>
      <c r="G1379" s="2" t="s">
        <v>81</v>
      </c>
      <c r="H1379" s="2" t="s">
        <v>18</v>
      </c>
      <c r="I1379" s="2" t="s">
        <v>17</v>
      </c>
      <c r="J1379">
        <v>0.49</v>
      </c>
      <c r="K1379" s="1">
        <v>43203</v>
      </c>
      <c r="L1379" s="2" t="str">
        <f>IF(Sheet1[[#This Row],[age]]&lt;18, "Under 18",IF(Sheet1[[#This Row],[age]]&lt;=30,"18-30",IF(Sheet1[[#This Row],[age]]&lt;=45,"31-45",IF(Sheet1[[#This Row],[age]]&lt;=60,"46-60","60+"))))</f>
        <v>60+</v>
      </c>
      <c r="M1379" s="2" t="str">
        <f>IF(Sheet1[[#This Row],[risk_score]]&lt;0.3,"Low",IF(Sheet1[[#This Row],[risk_score]]&lt;0.7,"Medium","High"))</f>
        <v>Medium</v>
      </c>
      <c r="N1379">
        <f>YEAR(Sheet1[[#This Row],[date_joined]])</f>
        <v>2018</v>
      </c>
      <c r="O1379" s="2" t="str">
        <f>TEXT(Sheet1[[#This Row],[date_joined]],"mmm")</f>
        <v>Apr</v>
      </c>
      <c r="P1379" s="2" t="str">
        <f>"Q"&amp;ROUNDUP(MONTH(Sheet1[[#This Row],[date_joined]])/3,0)</f>
        <v>Q2</v>
      </c>
      <c r="Q1379" s="2" t="str">
        <f>IF(Sheet1[[#This Row],[age]]&lt;30,"Young",IF(Sheet1[[#This Row],[age]]&lt;=50,"Adult","Senior"))</f>
        <v>Senior</v>
      </c>
      <c r="R1379" s="2" t="str">
        <f t="shared" si="42"/>
        <v>High</v>
      </c>
      <c r="S1379" s="2" t="str">
        <f t="shared" si="43"/>
        <v>Central - Retired</v>
      </c>
    </row>
    <row r="1380" spans="1:19" x14ac:dyDescent="0.3">
      <c r="A1380" t="s">
        <v>2783</v>
      </c>
      <c r="B1380" t="s">
        <v>2784</v>
      </c>
      <c r="C1380">
        <v>47</v>
      </c>
      <c r="D1380" s="2" t="s">
        <v>13</v>
      </c>
      <c r="E1380" s="2" t="s">
        <v>14</v>
      </c>
      <c r="F1380" s="2" t="s">
        <v>15</v>
      </c>
      <c r="G1380" s="2" t="s">
        <v>81</v>
      </c>
      <c r="H1380" s="2" t="s">
        <v>18</v>
      </c>
      <c r="I1380" s="2" t="s">
        <v>18</v>
      </c>
      <c r="J1380">
        <v>0.43</v>
      </c>
      <c r="K1380" s="1">
        <v>43437</v>
      </c>
      <c r="L1380" s="2" t="str">
        <f>IF(Sheet1[[#This Row],[age]]&lt;18, "Under 18",IF(Sheet1[[#This Row],[age]]&lt;=30,"18-30",IF(Sheet1[[#This Row],[age]]&lt;=45,"31-45",IF(Sheet1[[#This Row],[age]]&lt;=60,"46-60","60+"))))</f>
        <v>46-60</v>
      </c>
      <c r="M1380" s="2" t="str">
        <f>IF(Sheet1[[#This Row],[risk_score]]&lt;0.3,"Low",IF(Sheet1[[#This Row],[risk_score]]&lt;0.7,"Medium","High"))</f>
        <v>Medium</v>
      </c>
      <c r="N1380">
        <f>YEAR(Sheet1[[#This Row],[date_joined]])</f>
        <v>2018</v>
      </c>
      <c r="O1380" s="2" t="str">
        <f>TEXT(Sheet1[[#This Row],[date_joined]],"mmm")</f>
        <v>Dec</v>
      </c>
      <c r="P1380" s="2" t="str">
        <f>"Q"&amp;ROUNDUP(MONTH(Sheet1[[#This Row],[date_joined]])/3,0)</f>
        <v>Q4</v>
      </c>
      <c r="Q1380" s="2" t="str">
        <f>IF(Sheet1[[#This Row],[age]]&lt;30,"Young",IF(Sheet1[[#This Row],[age]]&lt;=50,"Adult","Senior"))</f>
        <v>Adult</v>
      </c>
      <c r="R1380" s="2" t="str">
        <f t="shared" si="42"/>
        <v>Very High</v>
      </c>
      <c r="S1380" s="2" t="str">
        <f t="shared" si="43"/>
        <v>Central - Student</v>
      </c>
    </row>
    <row r="1381" spans="1:19" x14ac:dyDescent="0.3">
      <c r="A1381" t="s">
        <v>2785</v>
      </c>
      <c r="B1381" t="s">
        <v>2786</v>
      </c>
      <c r="C1381">
        <v>67</v>
      </c>
      <c r="D1381" s="2" t="s">
        <v>21</v>
      </c>
      <c r="E1381" s="2" t="s">
        <v>14</v>
      </c>
      <c r="F1381" s="2" t="s">
        <v>37</v>
      </c>
      <c r="G1381" s="2" t="s">
        <v>32</v>
      </c>
      <c r="H1381" s="2" t="s">
        <v>18</v>
      </c>
      <c r="I1381" s="2" t="s">
        <v>17</v>
      </c>
      <c r="J1381">
        <v>0.3</v>
      </c>
      <c r="K1381" s="1">
        <v>44003</v>
      </c>
      <c r="L1381" s="2" t="str">
        <f>IF(Sheet1[[#This Row],[age]]&lt;18, "Under 18",IF(Sheet1[[#This Row],[age]]&lt;=30,"18-30",IF(Sheet1[[#This Row],[age]]&lt;=45,"31-45",IF(Sheet1[[#This Row],[age]]&lt;=60,"46-60","60+"))))</f>
        <v>60+</v>
      </c>
      <c r="M1381" s="2" t="str">
        <f>IF(Sheet1[[#This Row],[risk_score]]&lt;0.3,"Low",IF(Sheet1[[#This Row],[risk_score]]&lt;0.7,"Medium","High"))</f>
        <v>Medium</v>
      </c>
      <c r="N1381">
        <f>YEAR(Sheet1[[#This Row],[date_joined]])</f>
        <v>2020</v>
      </c>
      <c r="O1381" s="2" t="str">
        <f>TEXT(Sheet1[[#This Row],[date_joined]],"mmm")</f>
        <v>Jun</v>
      </c>
      <c r="P1381" s="2" t="str">
        <f>"Q"&amp;ROUNDUP(MONTH(Sheet1[[#This Row],[date_joined]])/3,0)</f>
        <v>Q2</v>
      </c>
      <c r="Q1381" s="2" t="str">
        <f>IF(Sheet1[[#This Row],[age]]&lt;30,"Young",IF(Sheet1[[#This Row],[age]]&lt;=50,"Adult","Senior"))</f>
        <v>Senior</v>
      </c>
      <c r="R1381" s="2" t="str">
        <f t="shared" si="42"/>
        <v>High</v>
      </c>
      <c r="S1381" s="2" t="str">
        <f t="shared" si="43"/>
        <v>South - Retired</v>
      </c>
    </row>
    <row r="1382" spans="1:19" x14ac:dyDescent="0.3">
      <c r="A1382" t="s">
        <v>2787</v>
      </c>
      <c r="B1382" t="s">
        <v>2788</v>
      </c>
      <c r="C1382">
        <v>52</v>
      </c>
      <c r="D1382" s="2" t="s">
        <v>21</v>
      </c>
      <c r="E1382" s="2" t="s">
        <v>22</v>
      </c>
      <c r="F1382" s="2" t="s">
        <v>15</v>
      </c>
      <c r="G1382" s="2" t="s">
        <v>27</v>
      </c>
      <c r="H1382" s="2" t="s">
        <v>17</v>
      </c>
      <c r="I1382" s="2" t="s">
        <v>17</v>
      </c>
      <c r="J1382">
        <v>0.54</v>
      </c>
      <c r="K1382" s="1">
        <v>44232</v>
      </c>
      <c r="L1382" s="2" t="str">
        <f>IF(Sheet1[[#This Row],[age]]&lt;18, "Under 18",IF(Sheet1[[#This Row],[age]]&lt;=30,"18-30",IF(Sheet1[[#This Row],[age]]&lt;=45,"31-45",IF(Sheet1[[#This Row],[age]]&lt;=60,"46-60","60+"))))</f>
        <v>46-60</v>
      </c>
      <c r="M1382" s="2" t="str">
        <f>IF(Sheet1[[#This Row],[risk_score]]&lt;0.3,"Low",IF(Sheet1[[#This Row],[risk_score]]&lt;0.7,"Medium","High"))</f>
        <v>Medium</v>
      </c>
      <c r="N1382">
        <f>YEAR(Sheet1[[#This Row],[date_joined]])</f>
        <v>2021</v>
      </c>
      <c r="O1382" s="2" t="str">
        <f>TEXT(Sheet1[[#This Row],[date_joined]],"mmm")</f>
        <v>Feb</v>
      </c>
      <c r="P1382" s="2" t="str">
        <f>"Q"&amp;ROUNDUP(MONTH(Sheet1[[#This Row],[date_joined]])/3,0)</f>
        <v>Q1</v>
      </c>
      <c r="Q1382" s="2" t="str">
        <f>IF(Sheet1[[#This Row],[age]]&lt;30,"Young",IF(Sheet1[[#This Row],[age]]&lt;=50,"Adult","Senior"))</f>
        <v>Senior</v>
      </c>
      <c r="R1382" s="2" t="str">
        <f t="shared" si="42"/>
        <v>Low</v>
      </c>
      <c r="S1382" s="2" t="str">
        <f t="shared" si="43"/>
        <v>North - Student</v>
      </c>
    </row>
    <row r="1383" spans="1:19" x14ac:dyDescent="0.3">
      <c r="A1383" t="s">
        <v>2789</v>
      </c>
      <c r="B1383" t="s">
        <v>2790</v>
      </c>
      <c r="C1383">
        <v>65</v>
      </c>
      <c r="D1383" s="2" t="s">
        <v>21</v>
      </c>
      <c r="E1383" s="2" t="s">
        <v>30</v>
      </c>
      <c r="F1383" s="2" t="s">
        <v>37</v>
      </c>
      <c r="G1383" s="2" t="s">
        <v>27</v>
      </c>
      <c r="H1383" s="2" t="s">
        <v>17</v>
      </c>
      <c r="I1383" s="2" t="s">
        <v>18</v>
      </c>
      <c r="J1383">
        <v>0.09</v>
      </c>
      <c r="K1383" s="1">
        <v>43768</v>
      </c>
      <c r="L1383" s="2" t="str">
        <f>IF(Sheet1[[#This Row],[age]]&lt;18, "Under 18",IF(Sheet1[[#This Row],[age]]&lt;=30,"18-30",IF(Sheet1[[#This Row],[age]]&lt;=45,"31-45",IF(Sheet1[[#This Row],[age]]&lt;=60,"46-60","60+"))))</f>
        <v>60+</v>
      </c>
      <c r="M1383" s="2" t="str">
        <f>IF(Sheet1[[#This Row],[risk_score]]&lt;0.3,"Low",IF(Sheet1[[#This Row],[risk_score]]&lt;0.7,"Medium","High"))</f>
        <v>Low</v>
      </c>
      <c r="N1383">
        <f>YEAR(Sheet1[[#This Row],[date_joined]])</f>
        <v>2019</v>
      </c>
      <c r="O1383" s="2" t="str">
        <f>TEXT(Sheet1[[#This Row],[date_joined]],"mmm")</f>
        <v>Oct</v>
      </c>
      <c r="P1383" s="2" t="str">
        <f>"Q"&amp;ROUNDUP(MONTH(Sheet1[[#This Row],[date_joined]])/3,0)</f>
        <v>Q4</v>
      </c>
      <c r="Q1383" s="2" t="str">
        <f>IF(Sheet1[[#This Row],[age]]&lt;30,"Young",IF(Sheet1[[#This Row],[age]]&lt;=50,"Adult","Senior"))</f>
        <v>Senior</v>
      </c>
      <c r="R1383" s="2" t="str">
        <f t="shared" si="42"/>
        <v>High</v>
      </c>
      <c r="S1383" s="2" t="str">
        <f t="shared" si="43"/>
        <v>North - Retired</v>
      </c>
    </row>
    <row r="1384" spans="1:19" x14ac:dyDescent="0.3">
      <c r="A1384" t="s">
        <v>2791</v>
      </c>
      <c r="B1384" t="s">
        <v>2792</v>
      </c>
      <c r="C1384">
        <v>64</v>
      </c>
      <c r="D1384" s="2" t="s">
        <v>13</v>
      </c>
      <c r="E1384" s="2" t="s">
        <v>22</v>
      </c>
      <c r="F1384" s="2" t="s">
        <v>31</v>
      </c>
      <c r="G1384" s="2" t="s">
        <v>24</v>
      </c>
      <c r="H1384" s="2" t="s">
        <v>18</v>
      </c>
      <c r="I1384" s="2" t="s">
        <v>18</v>
      </c>
      <c r="J1384">
        <v>0.7</v>
      </c>
      <c r="K1384" s="1">
        <v>43107</v>
      </c>
      <c r="L1384" s="2" t="str">
        <f>IF(Sheet1[[#This Row],[age]]&lt;18, "Under 18",IF(Sheet1[[#This Row],[age]]&lt;=30,"18-30",IF(Sheet1[[#This Row],[age]]&lt;=45,"31-45",IF(Sheet1[[#This Row],[age]]&lt;=60,"46-60","60+"))))</f>
        <v>60+</v>
      </c>
      <c r="M1384" s="2" t="str">
        <f>IF(Sheet1[[#This Row],[risk_score]]&lt;0.3,"Low",IF(Sheet1[[#This Row],[risk_score]]&lt;0.7,"Medium","High"))</f>
        <v>High</v>
      </c>
      <c r="N1384">
        <f>YEAR(Sheet1[[#This Row],[date_joined]])</f>
        <v>2018</v>
      </c>
      <c r="O1384" s="2" t="str">
        <f>TEXT(Sheet1[[#This Row],[date_joined]],"mmm")</f>
        <v>Jan</v>
      </c>
      <c r="P1384" s="2" t="str">
        <f>"Q"&amp;ROUNDUP(MONTH(Sheet1[[#This Row],[date_joined]])/3,0)</f>
        <v>Q1</v>
      </c>
      <c r="Q1384" s="2" t="str">
        <f>IF(Sheet1[[#This Row],[age]]&lt;30,"Young",IF(Sheet1[[#This Row],[age]]&lt;=50,"Adult","Senior"))</f>
        <v>Senior</v>
      </c>
      <c r="R1384" s="2" t="str">
        <f t="shared" si="42"/>
        <v>Very High</v>
      </c>
      <c r="S1384" s="2" t="str">
        <f t="shared" si="43"/>
        <v>East - Self-employed</v>
      </c>
    </row>
    <row r="1385" spans="1:19" x14ac:dyDescent="0.3">
      <c r="A1385" t="s">
        <v>2793</v>
      </c>
      <c r="B1385" t="s">
        <v>2794</v>
      </c>
      <c r="C1385">
        <v>62</v>
      </c>
      <c r="D1385" s="2" t="s">
        <v>21</v>
      </c>
      <c r="E1385" s="2" t="s">
        <v>22</v>
      </c>
      <c r="F1385" s="2" t="s">
        <v>23</v>
      </c>
      <c r="G1385" s="2" t="s">
        <v>81</v>
      </c>
      <c r="H1385" s="2" t="s">
        <v>17</v>
      </c>
      <c r="I1385" s="2" t="s">
        <v>18</v>
      </c>
      <c r="J1385">
        <v>0.53</v>
      </c>
      <c r="K1385" s="1">
        <v>43397</v>
      </c>
      <c r="L1385" s="2" t="str">
        <f>IF(Sheet1[[#This Row],[age]]&lt;18, "Under 18",IF(Sheet1[[#This Row],[age]]&lt;=30,"18-30",IF(Sheet1[[#This Row],[age]]&lt;=45,"31-45",IF(Sheet1[[#This Row],[age]]&lt;=60,"46-60","60+"))))</f>
        <v>60+</v>
      </c>
      <c r="M1385" s="2" t="str">
        <f>IF(Sheet1[[#This Row],[risk_score]]&lt;0.3,"Low",IF(Sheet1[[#This Row],[risk_score]]&lt;0.7,"Medium","High"))</f>
        <v>Medium</v>
      </c>
      <c r="N1385">
        <f>YEAR(Sheet1[[#This Row],[date_joined]])</f>
        <v>2018</v>
      </c>
      <c r="O1385" s="2" t="str">
        <f>TEXT(Sheet1[[#This Row],[date_joined]],"mmm")</f>
        <v>Oct</v>
      </c>
      <c r="P1385" s="2" t="str">
        <f>"Q"&amp;ROUNDUP(MONTH(Sheet1[[#This Row],[date_joined]])/3,0)</f>
        <v>Q4</v>
      </c>
      <c r="Q1385" s="2" t="str">
        <f>IF(Sheet1[[#This Row],[age]]&lt;30,"Young",IF(Sheet1[[#This Row],[age]]&lt;=50,"Adult","Senior"))</f>
        <v>Senior</v>
      </c>
      <c r="R1385" s="2" t="str">
        <f t="shared" si="42"/>
        <v>High</v>
      </c>
      <c r="S1385" s="2" t="str">
        <f t="shared" si="43"/>
        <v>Central - Salaried</v>
      </c>
    </row>
    <row r="1386" spans="1:19" x14ac:dyDescent="0.3">
      <c r="A1386" t="s">
        <v>2795</v>
      </c>
      <c r="B1386" t="s">
        <v>2796</v>
      </c>
      <c r="C1386">
        <v>23</v>
      </c>
      <c r="D1386" s="2" t="s">
        <v>21</v>
      </c>
      <c r="E1386" s="2" t="s">
        <v>22</v>
      </c>
      <c r="F1386" s="2" t="s">
        <v>15</v>
      </c>
      <c r="G1386" s="2" t="s">
        <v>81</v>
      </c>
      <c r="H1386" s="2" t="s">
        <v>18</v>
      </c>
      <c r="I1386" s="2" t="s">
        <v>17</v>
      </c>
      <c r="J1386">
        <v>0.93</v>
      </c>
      <c r="K1386" s="1">
        <v>43875</v>
      </c>
      <c r="L1386" s="2" t="str">
        <f>IF(Sheet1[[#This Row],[age]]&lt;18, "Under 18",IF(Sheet1[[#This Row],[age]]&lt;=30,"18-30",IF(Sheet1[[#This Row],[age]]&lt;=45,"31-45",IF(Sheet1[[#This Row],[age]]&lt;=60,"46-60","60+"))))</f>
        <v>18-30</v>
      </c>
      <c r="M1386" s="2" t="str">
        <f>IF(Sheet1[[#This Row],[risk_score]]&lt;0.3,"Low",IF(Sheet1[[#This Row],[risk_score]]&lt;0.7,"Medium","High"))</f>
        <v>High</v>
      </c>
      <c r="N1386">
        <f>YEAR(Sheet1[[#This Row],[date_joined]])</f>
        <v>2020</v>
      </c>
      <c r="O1386" s="2" t="str">
        <f>TEXT(Sheet1[[#This Row],[date_joined]],"mmm")</f>
        <v>Feb</v>
      </c>
      <c r="P1386" s="2" t="str">
        <f>"Q"&amp;ROUNDUP(MONTH(Sheet1[[#This Row],[date_joined]])/3,0)</f>
        <v>Q1</v>
      </c>
      <c r="Q1386" s="2" t="str">
        <f>IF(Sheet1[[#This Row],[age]]&lt;30,"Young",IF(Sheet1[[#This Row],[age]]&lt;=50,"Adult","Senior"))</f>
        <v>Young</v>
      </c>
      <c r="R1386" s="2" t="str">
        <f t="shared" si="42"/>
        <v>High</v>
      </c>
      <c r="S1386" s="2" t="str">
        <f t="shared" si="43"/>
        <v>Central - Student</v>
      </c>
    </row>
    <row r="1387" spans="1:19" x14ac:dyDescent="0.3">
      <c r="A1387" t="s">
        <v>2797</v>
      </c>
      <c r="B1387" t="s">
        <v>2798</v>
      </c>
      <c r="C1387">
        <v>54</v>
      </c>
      <c r="D1387" s="2" t="s">
        <v>21</v>
      </c>
      <c r="E1387" s="2" t="s">
        <v>14</v>
      </c>
      <c r="F1387" s="2" t="s">
        <v>23</v>
      </c>
      <c r="G1387" s="2" t="s">
        <v>27</v>
      </c>
      <c r="H1387" s="2" t="s">
        <v>18</v>
      </c>
      <c r="I1387" s="2" t="s">
        <v>17</v>
      </c>
      <c r="J1387">
        <v>0.23</v>
      </c>
      <c r="K1387" s="1">
        <v>44429</v>
      </c>
      <c r="L1387" s="2" t="str">
        <f>IF(Sheet1[[#This Row],[age]]&lt;18, "Under 18",IF(Sheet1[[#This Row],[age]]&lt;=30,"18-30",IF(Sheet1[[#This Row],[age]]&lt;=45,"31-45",IF(Sheet1[[#This Row],[age]]&lt;=60,"46-60","60+"))))</f>
        <v>46-60</v>
      </c>
      <c r="M1387" s="2" t="str">
        <f>IF(Sheet1[[#This Row],[risk_score]]&lt;0.3,"Low",IF(Sheet1[[#This Row],[risk_score]]&lt;0.7,"Medium","High"))</f>
        <v>Low</v>
      </c>
      <c r="N1387">
        <f>YEAR(Sheet1[[#This Row],[date_joined]])</f>
        <v>2021</v>
      </c>
      <c r="O1387" s="2" t="str">
        <f>TEXT(Sheet1[[#This Row],[date_joined]],"mmm")</f>
        <v>Aug</v>
      </c>
      <c r="P1387" s="2" t="str">
        <f>"Q"&amp;ROUNDUP(MONTH(Sheet1[[#This Row],[date_joined]])/3,0)</f>
        <v>Q3</v>
      </c>
      <c r="Q1387" s="2" t="str">
        <f>IF(Sheet1[[#This Row],[age]]&lt;30,"Young",IF(Sheet1[[#This Row],[age]]&lt;=50,"Adult","Senior"))</f>
        <v>Senior</v>
      </c>
      <c r="R1387" s="2" t="str">
        <f t="shared" si="42"/>
        <v>High</v>
      </c>
      <c r="S1387" s="2" t="str">
        <f t="shared" si="43"/>
        <v>North - Salaried</v>
      </c>
    </row>
    <row r="1388" spans="1:19" x14ac:dyDescent="0.3">
      <c r="A1388" t="s">
        <v>2799</v>
      </c>
      <c r="B1388" t="s">
        <v>2800</v>
      </c>
      <c r="C1388">
        <v>21</v>
      </c>
      <c r="D1388" s="2" t="s">
        <v>13</v>
      </c>
      <c r="E1388" s="2" t="s">
        <v>14</v>
      </c>
      <c r="F1388" s="2" t="s">
        <v>15</v>
      </c>
      <c r="G1388" s="2" t="s">
        <v>16</v>
      </c>
      <c r="H1388" s="2" t="s">
        <v>18</v>
      </c>
      <c r="I1388" s="2" t="s">
        <v>18</v>
      </c>
      <c r="J1388">
        <v>0.54</v>
      </c>
      <c r="K1388" s="1">
        <v>43729</v>
      </c>
      <c r="L1388" s="2" t="str">
        <f>IF(Sheet1[[#This Row],[age]]&lt;18, "Under 18",IF(Sheet1[[#This Row],[age]]&lt;=30,"18-30",IF(Sheet1[[#This Row],[age]]&lt;=45,"31-45",IF(Sheet1[[#This Row],[age]]&lt;=60,"46-60","60+"))))</f>
        <v>18-30</v>
      </c>
      <c r="M1388" s="2" t="str">
        <f>IF(Sheet1[[#This Row],[risk_score]]&lt;0.3,"Low",IF(Sheet1[[#This Row],[risk_score]]&lt;0.7,"Medium","High"))</f>
        <v>Medium</v>
      </c>
      <c r="N1388">
        <f>YEAR(Sheet1[[#This Row],[date_joined]])</f>
        <v>2019</v>
      </c>
      <c r="O1388" s="2" t="str">
        <f>TEXT(Sheet1[[#This Row],[date_joined]],"mmm")</f>
        <v>Sep</v>
      </c>
      <c r="P1388" s="2" t="str">
        <f>"Q"&amp;ROUNDUP(MONTH(Sheet1[[#This Row],[date_joined]])/3,0)</f>
        <v>Q3</v>
      </c>
      <c r="Q1388" s="2" t="str">
        <f>IF(Sheet1[[#This Row],[age]]&lt;30,"Young",IF(Sheet1[[#This Row],[age]]&lt;=50,"Adult","Senior"))</f>
        <v>Young</v>
      </c>
      <c r="R1388" s="2" t="str">
        <f t="shared" si="42"/>
        <v>Very High</v>
      </c>
      <c r="S1388" s="2" t="str">
        <f t="shared" si="43"/>
        <v>West - Student</v>
      </c>
    </row>
    <row r="1389" spans="1:19" x14ac:dyDescent="0.3">
      <c r="A1389" t="s">
        <v>2801</v>
      </c>
      <c r="B1389" t="s">
        <v>2802</v>
      </c>
      <c r="C1389">
        <v>19</v>
      </c>
      <c r="D1389" s="2" t="s">
        <v>13</v>
      </c>
      <c r="E1389" s="2" t="s">
        <v>30</v>
      </c>
      <c r="F1389" s="2" t="s">
        <v>15</v>
      </c>
      <c r="G1389" s="2" t="s">
        <v>81</v>
      </c>
      <c r="H1389" s="2" t="s">
        <v>17</v>
      </c>
      <c r="I1389" s="2" t="s">
        <v>17</v>
      </c>
      <c r="J1389">
        <v>0.18</v>
      </c>
      <c r="K1389" s="1">
        <v>43941</v>
      </c>
      <c r="L1389" s="2" t="str">
        <f>IF(Sheet1[[#This Row],[age]]&lt;18, "Under 18",IF(Sheet1[[#This Row],[age]]&lt;=30,"18-30",IF(Sheet1[[#This Row],[age]]&lt;=45,"31-45",IF(Sheet1[[#This Row],[age]]&lt;=60,"46-60","60+"))))</f>
        <v>18-30</v>
      </c>
      <c r="M1389" s="2" t="str">
        <f>IF(Sheet1[[#This Row],[risk_score]]&lt;0.3,"Low",IF(Sheet1[[#This Row],[risk_score]]&lt;0.7,"Medium","High"))</f>
        <v>Low</v>
      </c>
      <c r="N1389">
        <f>YEAR(Sheet1[[#This Row],[date_joined]])</f>
        <v>2020</v>
      </c>
      <c r="O1389" s="2" t="str">
        <f>TEXT(Sheet1[[#This Row],[date_joined]],"mmm")</f>
        <v>Apr</v>
      </c>
      <c r="P1389" s="2" t="str">
        <f>"Q"&amp;ROUNDUP(MONTH(Sheet1[[#This Row],[date_joined]])/3,0)</f>
        <v>Q2</v>
      </c>
      <c r="Q1389" s="2" t="str">
        <f>IF(Sheet1[[#This Row],[age]]&lt;30,"Young",IF(Sheet1[[#This Row],[age]]&lt;=50,"Adult","Senior"))</f>
        <v>Young</v>
      </c>
      <c r="R1389" s="2" t="str">
        <f t="shared" si="42"/>
        <v>Low</v>
      </c>
      <c r="S1389" s="2" t="str">
        <f t="shared" si="43"/>
        <v>Central - Student</v>
      </c>
    </row>
    <row r="1390" spans="1:19" x14ac:dyDescent="0.3">
      <c r="A1390" t="s">
        <v>2803</v>
      </c>
      <c r="B1390" t="s">
        <v>2804</v>
      </c>
      <c r="C1390">
        <v>55</v>
      </c>
      <c r="D1390" s="2" t="s">
        <v>13</v>
      </c>
      <c r="E1390" s="2" t="s">
        <v>30</v>
      </c>
      <c r="F1390" s="2" t="s">
        <v>37</v>
      </c>
      <c r="G1390" s="2" t="s">
        <v>81</v>
      </c>
      <c r="H1390" s="2" t="s">
        <v>17</v>
      </c>
      <c r="I1390" s="2" t="s">
        <v>18</v>
      </c>
      <c r="J1390">
        <v>0.44</v>
      </c>
      <c r="K1390" s="1">
        <v>43874</v>
      </c>
      <c r="L1390" s="2" t="str">
        <f>IF(Sheet1[[#This Row],[age]]&lt;18, "Under 18",IF(Sheet1[[#This Row],[age]]&lt;=30,"18-30",IF(Sheet1[[#This Row],[age]]&lt;=45,"31-45",IF(Sheet1[[#This Row],[age]]&lt;=60,"46-60","60+"))))</f>
        <v>46-60</v>
      </c>
      <c r="M1390" s="2" t="str">
        <f>IF(Sheet1[[#This Row],[risk_score]]&lt;0.3,"Low",IF(Sheet1[[#This Row],[risk_score]]&lt;0.7,"Medium","High"))</f>
        <v>Medium</v>
      </c>
      <c r="N1390">
        <f>YEAR(Sheet1[[#This Row],[date_joined]])</f>
        <v>2020</v>
      </c>
      <c r="O1390" s="2" t="str">
        <f>TEXT(Sheet1[[#This Row],[date_joined]],"mmm")</f>
        <v>Feb</v>
      </c>
      <c r="P1390" s="2" t="str">
        <f>"Q"&amp;ROUNDUP(MONTH(Sheet1[[#This Row],[date_joined]])/3,0)</f>
        <v>Q1</v>
      </c>
      <c r="Q1390" s="2" t="str">
        <f>IF(Sheet1[[#This Row],[age]]&lt;30,"Young",IF(Sheet1[[#This Row],[age]]&lt;=50,"Adult","Senior"))</f>
        <v>Senior</v>
      </c>
      <c r="R1390" s="2" t="str">
        <f t="shared" si="42"/>
        <v>High</v>
      </c>
      <c r="S1390" s="2" t="str">
        <f t="shared" si="43"/>
        <v>Central - Retired</v>
      </c>
    </row>
    <row r="1391" spans="1:19" x14ac:dyDescent="0.3">
      <c r="A1391" t="s">
        <v>2805</v>
      </c>
      <c r="B1391" t="s">
        <v>2806</v>
      </c>
      <c r="C1391">
        <v>53</v>
      </c>
      <c r="D1391" s="2" t="s">
        <v>21</v>
      </c>
      <c r="E1391" s="2" t="s">
        <v>14</v>
      </c>
      <c r="F1391" s="2" t="s">
        <v>37</v>
      </c>
      <c r="G1391" s="2" t="s">
        <v>66</v>
      </c>
      <c r="H1391" s="2" t="s">
        <v>18</v>
      </c>
      <c r="I1391" s="2" t="s">
        <v>17</v>
      </c>
      <c r="J1391">
        <v>0.54</v>
      </c>
      <c r="K1391" s="1">
        <v>43159</v>
      </c>
      <c r="L1391" s="2" t="str">
        <f>IF(Sheet1[[#This Row],[age]]&lt;18, "Under 18",IF(Sheet1[[#This Row],[age]]&lt;=30,"18-30",IF(Sheet1[[#This Row],[age]]&lt;=45,"31-45",IF(Sheet1[[#This Row],[age]]&lt;=60,"46-60","60+"))))</f>
        <v>46-60</v>
      </c>
      <c r="M1391" s="2" t="str">
        <f>IF(Sheet1[[#This Row],[risk_score]]&lt;0.3,"Low",IF(Sheet1[[#This Row],[risk_score]]&lt;0.7,"Medium","High"))</f>
        <v>Medium</v>
      </c>
      <c r="N1391">
        <f>YEAR(Sheet1[[#This Row],[date_joined]])</f>
        <v>2018</v>
      </c>
      <c r="O1391" s="2" t="str">
        <f>TEXT(Sheet1[[#This Row],[date_joined]],"mmm")</f>
        <v>Feb</v>
      </c>
      <c r="P1391" s="2" t="str">
        <f>"Q"&amp;ROUNDUP(MONTH(Sheet1[[#This Row],[date_joined]])/3,0)</f>
        <v>Q1</v>
      </c>
      <c r="Q1391" s="2" t="str">
        <f>IF(Sheet1[[#This Row],[age]]&lt;30,"Young",IF(Sheet1[[#This Row],[age]]&lt;=50,"Adult","Senior"))</f>
        <v>Senior</v>
      </c>
      <c r="R1391" s="2" t="str">
        <f t="shared" si="42"/>
        <v>High</v>
      </c>
      <c r="S1391" s="2" t="str">
        <f t="shared" si="43"/>
        <v>North-East - Retired</v>
      </c>
    </row>
    <row r="1392" spans="1:19" x14ac:dyDescent="0.3">
      <c r="A1392" t="s">
        <v>2807</v>
      </c>
      <c r="B1392" t="s">
        <v>2808</v>
      </c>
      <c r="C1392">
        <v>54</v>
      </c>
      <c r="D1392" s="2" t="s">
        <v>21</v>
      </c>
      <c r="E1392" s="2" t="s">
        <v>14</v>
      </c>
      <c r="F1392" s="2" t="s">
        <v>23</v>
      </c>
      <c r="G1392" s="2" t="s">
        <v>81</v>
      </c>
      <c r="H1392" s="2" t="s">
        <v>18</v>
      </c>
      <c r="I1392" s="2" t="s">
        <v>18</v>
      </c>
      <c r="J1392">
        <v>0.8</v>
      </c>
      <c r="K1392" s="1">
        <v>44683</v>
      </c>
      <c r="L1392" s="2" t="str">
        <f>IF(Sheet1[[#This Row],[age]]&lt;18, "Under 18",IF(Sheet1[[#This Row],[age]]&lt;=30,"18-30",IF(Sheet1[[#This Row],[age]]&lt;=45,"31-45",IF(Sheet1[[#This Row],[age]]&lt;=60,"46-60","60+"))))</f>
        <v>46-60</v>
      </c>
      <c r="M1392" s="2" t="str">
        <f>IF(Sheet1[[#This Row],[risk_score]]&lt;0.3,"Low",IF(Sheet1[[#This Row],[risk_score]]&lt;0.7,"Medium","High"))</f>
        <v>High</v>
      </c>
      <c r="N1392">
        <f>YEAR(Sheet1[[#This Row],[date_joined]])</f>
        <v>2022</v>
      </c>
      <c r="O1392" s="2" t="str">
        <f>TEXT(Sheet1[[#This Row],[date_joined]],"mmm")</f>
        <v>May</v>
      </c>
      <c r="P1392" s="2" t="str">
        <f>"Q"&amp;ROUNDUP(MONTH(Sheet1[[#This Row],[date_joined]])/3,0)</f>
        <v>Q2</v>
      </c>
      <c r="Q1392" s="2" t="str">
        <f>IF(Sheet1[[#This Row],[age]]&lt;30,"Young",IF(Sheet1[[#This Row],[age]]&lt;=50,"Adult","Senior"))</f>
        <v>Senior</v>
      </c>
      <c r="R1392" s="2" t="str">
        <f t="shared" si="42"/>
        <v>Very High</v>
      </c>
      <c r="S1392" s="2" t="str">
        <f t="shared" si="43"/>
        <v>Central - Salaried</v>
      </c>
    </row>
    <row r="1393" spans="1:19" x14ac:dyDescent="0.3">
      <c r="A1393" t="s">
        <v>2809</v>
      </c>
      <c r="B1393" t="s">
        <v>2810</v>
      </c>
      <c r="C1393">
        <v>42</v>
      </c>
      <c r="D1393" s="2" t="s">
        <v>13</v>
      </c>
      <c r="E1393" s="2" t="s">
        <v>14</v>
      </c>
      <c r="F1393" s="2" t="s">
        <v>37</v>
      </c>
      <c r="G1393" s="2" t="s">
        <v>66</v>
      </c>
      <c r="H1393" s="2" t="s">
        <v>17</v>
      </c>
      <c r="I1393" s="2" t="s">
        <v>18</v>
      </c>
      <c r="J1393">
        <v>0.35</v>
      </c>
      <c r="K1393" s="1">
        <v>44404</v>
      </c>
      <c r="L1393" s="2" t="str">
        <f>IF(Sheet1[[#This Row],[age]]&lt;18, "Under 18",IF(Sheet1[[#This Row],[age]]&lt;=30,"18-30",IF(Sheet1[[#This Row],[age]]&lt;=45,"31-45",IF(Sheet1[[#This Row],[age]]&lt;=60,"46-60","60+"))))</f>
        <v>31-45</v>
      </c>
      <c r="M1393" s="2" t="str">
        <f>IF(Sheet1[[#This Row],[risk_score]]&lt;0.3,"Low",IF(Sheet1[[#This Row],[risk_score]]&lt;0.7,"Medium","High"))</f>
        <v>Medium</v>
      </c>
      <c r="N1393">
        <f>YEAR(Sheet1[[#This Row],[date_joined]])</f>
        <v>2021</v>
      </c>
      <c r="O1393" s="2" t="str">
        <f>TEXT(Sheet1[[#This Row],[date_joined]],"mmm")</f>
        <v>Jul</v>
      </c>
      <c r="P1393" s="2" t="str">
        <f>"Q"&amp;ROUNDUP(MONTH(Sheet1[[#This Row],[date_joined]])/3,0)</f>
        <v>Q3</v>
      </c>
      <c r="Q1393" s="2" t="str">
        <f>IF(Sheet1[[#This Row],[age]]&lt;30,"Young",IF(Sheet1[[#This Row],[age]]&lt;=50,"Adult","Senior"))</f>
        <v>Adult</v>
      </c>
      <c r="R1393" s="2" t="str">
        <f t="shared" si="42"/>
        <v>High</v>
      </c>
      <c r="S1393" s="2" t="str">
        <f t="shared" si="43"/>
        <v>North-East - Retired</v>
      </c>
    </row>
    <row r="1394" spans="1:19" x14ac:dyDescent="0.3">
      <c r="A1394" t="s">
        <v>2811</v>
      </c>
      <c r="B1394" t="s">
        <v>2812</v>
      </c>
      <c r="C1394">
        <v>68</v>
      </c>
      <c r="D1394" s="2" t="s">
        <v>21</v>
      </c>
      <c r="E1394" s="2" t="s">
        <v>14</v>
      </c>
      <c r="F1394" s="2" t="s">
        <v>15</v>
      </c>
      <c r="G1394" s="2" t="s">
        <v>32</v>
      </c>
      <c r="H1394" s="2" t="s">
        <v>17</v>
      </c>
      <c r="I1394" s="2" t="s">
        <v>17</v>
      </c>
      <c r="J1394">
        <v>0.55000000000000004</v>
      </c>
      <c r="K1394" s="1">
        <v>44867</v>
      </c>
      <c r="L1394" s="2" t="str">
        <f>IF(Sheet1[[#This Row],[age]]&lt;18, "Under 18",IF(Sheet1[[#This Row],[age]]&lt;=30,"18-30",IF(Sheet1[[#This Row],[age]]&lt;=45,"31-45",IF(Sheet1[[#This Row],[age]]&lt;=60,"46-60","60+"))))</f>
        <v>60+</v>
      </c>
      <c r="M1394" s="2" t="str">
        <f>IF(Sheet1[[#This Row],[risk_score]]&lt;0.3,"Low",IF(Sheet1[[#This Row],[risk_score]]&lt;0.7,"Medium","High"))</f>
        <v>Medium</v>
      </c>
      <c r="N1394">
        <f>YEAR(Sheet1[[#This Row],[date_joined]])</f>
        <v>2022</v>
      </c>
      <c r="O1394" s="2" t="str">
        <f>TEXT(Sheet1[[#This Row],[date_joined]],"mmm")</f>
        <v>Nov</v>
      </c>
      <c r="P1394" s="2" t="str">
        <f>"Q"&amp;ROUNDUP(MONTH(Sheet1[[#This Row],[date_joined]])/3,0)</f>
        <v>Q4</v>
      </c>
      <c r="Q1394" s="2" t="str">
        <f>IF(Sheet1[[#This Row],[age]]&lt;30,"Young",IF(Sheet1[[#This Row],[age]]&lt;=50,"Adult","Senior"))</f>
        <v>Senior</v>
      </c>
      <c r="R1394" s="2" t="str">
        <f t="shared" si="42"/>
        <v>Low</v>
      </c>
      <c r="S1394" s="2" t="str">
        <f t="shared" si="43"/>
        <v>South - Student</v>
      </c>
    </row>
    <row r="1395" spans="1:19" x14ac:dyDescent="0.3">
      <c r="A1395" t="s">
        <v>2813</v>
      </c>
      <c r="B1395" t="s">
        <v>2814</v>
      </c>
      <c r="C1395">
        <v>52</v>
      </c>
      <c r="D1395" s="2" t="s">
        <v>13</v>
      </c>
      <c r="E1395" s="2" t="s">
        <v>30</v>
      </c>
      <c r="F1395" s="2" t="s">
        <v>37</v>
      </c>
      <c r="G1395" s="2" t="s">
        <v>27</v>
      </c>
      <c r="H1395" s="2" t="s">
        <v>18</v>
      </c>
      <c r="I1395" s="2" t="s">
        <v>17</v>
      </c>
      <c r="J1395">
        <v>0.98</v>
      </c>
      <c r="K1395" s="1">
        <v>43351</v>
      </c>
      <c r="L1395" s="2" t="str">
        <f>IF(Sheet1[[#This Row],[age]]&lt;18, "Under 18",IF(Sheet1[[#This Row],[age]]&lt;=30,"18-30",IF(Sheet1[[#This Row],[age]]&lt;=45,"31-45",IF(Sheet1[[#This Row],[age]]&lt;=60,"46-60","60+"))))</f>
        <v>46-60</v>
      </c>
      <c r="M1395" s="2" t="str">
        <f>IF(Sheet1[[#This Row],[risk_score]]&lt;0.3,"Low",IF(Sheet1[[#This Row],[risk_score]]&lt;0.7,"Medium","High"))</f>
        <v>High</v>
      </c>
      <c r="N1395">
        <f>YEAR(Sheet1[[#This Row],[date_joined]])</f>
        <v>2018</v>
      </c>
      <c r="O1395" s="2" t="str">
        <f>TEXT(Sheet1[[#This Row],[date_joined]],"mmm")</f>
        <v>Sep</v>
      </c>
      <c r="P1395" s="2" t="str">
        <f>"Q"&amp;ROUNDUP(MONTH(Sheet1[[#This Row],[date_joined]])/3,0)</f>
        <v>Q3</v>
      </c>
      <c r="Q1395" s="2" t="str">
        <f>IF(Sheet1[[#This Row],[age]]&lt;30,"Young",IF(Sheet1[[#This Row],[age]]&lt;=50,"Adult","Senior"))</f>
        <v>Senior</v>
      </c>
      <c r="R1395" s="2" t="str">
        <f t="shared" si="42"/>
        <v>High</v>
      </c>
      <c r="S1395" s="2" t="str">
        <f t="shared" si="43"/>
        <v>North - Retired</v>
      </c>
    </row>
    <row r="1396" spans="1:19" x14ac:dyDescent="0.3">
      <c r="A1396" t="s">
        <v>2815</v>
      </c>
      <c r="B1396" t="s">
        <v>2816</v>
      </c>
      <c r="C1396">
        <v>39</v>
      </c>
      <c r="D1396" s="2" t="s">
        <v>13</v>
      </c>
      <c r="E1396" s="2" t="s">
        <v>14</v>
      </c>
      <c r="F1396" s="2" t="s">
        <v>31</v>
      </c>
      <c r="G1396" s="2" t="s">
        <v>66</v>
      </c>
      <c r="H1396" s="2" t="s">
        <v>18</v>
      </c>
      <c r="I1396" s="2" t="s">
        <v>18</v>
      </c>
      <c r="J1396">
        <v>0.56999999999999995</v>
      </c>
      <c r="K1396" s="1">
        <v>44466</v>
      </c>
      <c r="L1396" s="2" t="str">
        <f>IF(Sheet1[[#This Row],[age]]&lt;18, "Under 18",IF(Sheet1[[#This Row],[age]]&lt;=30,"18-30",IF(Sheet1[[#This Row],[age]]&lt;=45,"31-45",IF(Sheet1[[#This Row],[age]]&lt;=60,"46-60","60+"))))</f>
        <v>31-45</v>
      </c>
      <c r="M1396" s="2" t="str">
        <f>IF(Sheet1[[#This Row],[risk_score]]&lt;0.3,"Low",IF(Sheet1[[#This Row],[risk_score]]&lt;0.7,"Medium","High"))</f>
        <v>Medium</v>
      </c>
      <c r="N1396">
        <f>YEAR(Sheet1[[#This Row],[date_joined]])</f>
        <v>2021</v>
      </c>
      <c r="O1396" s="2" t="str">
        <f>TEXT(Sheet1[[#This Row],[date_joined]],"mmm")</f>
        <v>Sep</v>
      </c>
      <c r="P1396" s="2" t="str">
        <f>"Q"&amp;ROUNDUP(MONTH(Sheet1[[#This Row],[date_joined]])/3,0)</f>
        <v>Q3</v>
      </c>
      <c r="Q1396" s="2" t="str">
        <f>IF(Sheet1[[#This Row],[age]]&lt;30,"Young",IF(Sheet1[[#This Row],[age]]&lt;=50,"Adult","Senior"))</f>
        <v>Adult</v>
      </c>
      <c r="R1396" s="2" t="str">
        <f t="shared" si="42"/>
        <v>Very High</v>
      </c>
      <c r="S1396" s="2" t="str">
        <f t="shared" si="43"/>
        <v>North-East - Self-employed</v>
      </c>
    </row>
    <row r="1397" spans="1:19" x14ac:dyDescent="0.3">
      <c r="A1397" t="s">
        <v>2817</v>
      </c>
      <c r="B1397" t="s">
        <v>2818</v>
      </c>
      <c r="C1397">
        <v>57</v>
      </c>
      <c r="D1397" s="2" t="s">
        <v>13</v>
      </c>
      <c r="E1397" s="2" t="s">
        <v>22</v>
      </c>
      <c r="F1397" s="2" t="s">
        <v>37</v>
      </c>
      <c r="G1397" s="2" t="s">
        <v>27</v>
      </c>
      <c r="H1397" s="2" t="s">
        <v>17</v>
      </c>
      <c r="I1397" s="2" t="s">
        <v>17</v>
      </c>
      <c r="J1397">
        <v>0.26</v>
      </c>
      <c r="K1397" s="1">
        <v>43549</v>
      </c>
      <c r="L1397" s="2" t="str">
        <f>IF(Sheet1[[#This Row],[age]]&lt;18, "Under 18",IF(Sheet1[[#This Row],[age]]&lt;=30,"18-30",IF(Sheet1[[#This Row],[age]]&lt;=45,"31-45",IF(Sheet1[[#This Row],[age]]&lt;=60,"46-60","60+"))))</f>
        <v>46-60</v>
      </c>
      <c r="M1397" s="2" t="str">
        <f>IF(Sheet1[[#This Row],[risk_score]]&lt;0.3,"Low",IF(Sheet1[[#This Row],[risk_score]]&lt;0.7,"Medium","High"))</f>
        <v>Low</v>
      </c>
      <c r="N1397">
        <f>YEAR(Sheet1[[#This Row],[date_joined]])</f>
        <v>2019</v>
      </c>
      <c r="O1397" s="2" t="str">
        <f>TEXT(Sheet1[[#This Row],[date_joined]],"mmm")</f>
        <v>Mar</v>
      </c>
      <c r="P1397" s="2" t="str">
        <f>"Q"&amp;ROUNDUP(MONTH(Sheet1[[#This Row],[date_joined]])/3,0)</f>
        <v>Q1</v>
      </c>
      <c r="Q1397" s="2" t="str">
        <f>IF(Sheet1[[#This Row],[age]]&lt;30,"Young",IF(Sheet1[[#This Row],[age]]&lt;=50,"Adult","Senior"))</f>
        <v>Senior</v>
      </c>
      <c r="R1397" s="2" t="str">
        <f t="shared" si="42"/>
        <v>Low</v>
      </c>
      <c r="S1397" s="2" t="str">
        <f t="shared" si="43"/>
        <v>North - Retired</v>
      </c>
    </row>
    <row r="1398" spans="1:19" x14ac:dyDescent="0.3">
      <c r="A1398" t="s">
        <v>2819</v>
      </c>
      <c r="B1398" t="s">
        <v>2820</v>
      </c>
      <c r="C1398">
        <v>56</v>
      </c>
      <c r="D1398" s="2" t="s">
        <v>13</v>
      </c>
      <c r="E1398" s="2" t="s">
        <v>14</v>
      </c>
      <c r="F1398" s="2" t="s">
        <v>37</v>
      </c>
      <c r="G1398" s="2" t="s">
        <v>81</v>
      </c>
      <c r="H1398" s="2" t="s">
        <v>18</v>
      </c>
      <c r="I1398" s="2" t="s">
        <v>18</v>
      </c>
      <c r="J1398">
        <v>0.78</v>
      </c>
      <c r="K1398" s="1">
        <v>44127</v>
      </c>
      <c r="L1398" s="2" t="str">
        <f>IF(Sheet1[[#This Row],[age]]&lt;18, "Under 18",IF(Sheet1[[#This Row],[age]]&lt;=30,"18-30",IF(Sheet1[[#This Row],[age]]&lt;=45,"31-45",IF(Sheet1[[#This Row],[age]]&lt;=60,"46-60","60+"))))</f>
        <v>46-60</v>
      </c>
      <c r="M1398" s="2" t="str">
        <f>IF(Sheet1[[#This Row],[risk_score]]&lt;0.3,"Low",IF(Sheet1[[#This Row],[risk_score]]&lt;0.7,"Medium","High"))</f>
        <v>High</v>
      </c>
      <c r="N1398">
        <f>YEAR(Sheet1[[#This Row],[date_joined]])</f>
        <v>2020</v>
      </c>
      <c r="O1398" s="2" t="str">
        <f>TEXT(Sheet1[[#This Row],[date_joined]],"mmm")</f>
        <v>Oct</v>
      </c>
      <c r="P1398" s="2" t="str">
        <f>"Q"&amp;ROUNDUP(MONTH(Sheet1[[#This Row],[date_joined]])/3,0)</f>
        <v>Q4</v>
      </c>
      <c r="Q1398" s="2" t="str">
        <f>IF(Sheet1[[#This Row],[age]]&lt;30,"Young",IF(Sheet1[[#This Row],[age]]&lt;=50,"Adult","Senior"))</f>
        <v>Senior</v>
      </c>
      <c r="R1398" s="2" t="str">
        <f t="shared" si="42"/>
        <v>Very High</v>
      </c>
      <c r="S1398" s="2" t="str">
        <f t="shared" si="43"/>
        <v>Central - Retired</v>
      </c>
    </row>
    <row r="1399" spans="1:19" x14ac:dyDescent="0.3">
      <c r="A1399" t="s">
        <v>2821</v>
      </c>
      <c r="B1399" t="s">
        <v>2822</v>
      </c>
      <c r="C1399">
        <v>53</v>
      </c>
      <c r="D1399" s="2" t="s">
        <v>13</v>
      </c>
      <c r="E1399" s="2" t="s">
        <v>22</v>
      </c>
      <c r="F1399" s="2" t="s">
        <v>23</v>
      </c>
      <c r="G1399" s="2" t="s">
        <v>27</v>
      </c>
      <c r="H1399" s="2" t="s">
        <v>18</v>
      </c>
      <c r="I1399" s="2" t="s">
        <v>18</v>
      </c>
      <c r="J1399">
        <v>0.42</v>
      </c>
      <c r="K1399" s="1">
        <v>43775</v>
      </c>
      <c r="L1399" s="2" t="str">
        <f>IF(Sheet1[[#This Row],[age]]&lt;18, "Under 18",IF(Sheet1[[#This Row],[age]]&lt;=30,"18-30",IF(Sheet1[[#This Row],[age]]&lt;=45,"31-45",IF(Sheet1[[#This Row],[age]]&lt;=60,"46-60","60+"))))</f>
        <v>46-60</v>
      </c>
      <c r="M1399" s="2" t="str">
        <f>IF(Sheet1[[#This Row],[risk_score]]&lt;0.3,"Low",IF(Sheet1[[#This Row],[risk_score]]&lt;0.7,"Medium","High"))</f>
        <v>Medium</v>
      </c>
      <c r="N1399">
        <f>YEAR(Sheet1[[#This Row],[date_joined]])</f>
        <v>2019</v>
      </c>
      <c r="O1399" s="2" t="str">
        <f>TEXT(Sheet1[[#This Row],[date_joined]],"mmm")</f>
        <v>Nov</v>
      </c>
      <c r="P1399" s="2" t="str">
        <f>"Q"&amp;ROUNDUP(MONTH(Sheet1[[#This Row],[date_joined]])/3,0)</f>
        <v>Q4</v>
      </c>
      <c r="Q1399" s="2" t="str">
        <f>IF(Sheet1[[#This Row],[age]]&lt;30,"Young",IF(Sheet1[[#This Row],[age]]&lt;=50,"Adult","Senior"))</f>
        <v>Senior</v>
      </c>
      <c r="R1399" s="2" t="str">
        <f t="shared" si="42"/>
        <v>Very High</v>
      </c>
      <c r="S1399" s="2" t="str">
        <f t="shared" si="43"/>
        <v>North - Salaried</v>
      </c>
    </row>
    <row r="1400" spans="1:19" x14ac:dyDescent="0.3">
      <c r="A1400" t="s">
        <v>2823</v>
      </c>
      <c r="B1400" t="s">
        <v>2824</v>
      </c>
      <c r="C1400">
        <v>54</v>
      </c>
      <c r="D1400" s="2" t="s">
        <v>13</v>
      </c>
      <c r="E1400" s="2" t="s">
        <v>14</v>
      </c>
      <c r="F1400" s="2" t="s">
        <v>23</v>
      </c>
      <c r="G1400" s="2" t="s">
        <v>27</v>
      </c>
      <c r="H1400" s="2" t="s">
        <v>17</v>
      </c>
      <c r="I1400" s="2" t="s">
        <v>17</v>
      </c>
      <c r="J1400">
        <v>0.36</v>
      </c>
      <c r="K1400" s="1">
        <v>44663</v>
      </c>
      <c r="L1400" s="2" t="str">
        <f>IF(Sheet1[[#This Row],[age]]&lt;18, "Under 18",IF(Sheet1[[#This Row],[age]]&lt;=30,"18-30",IF(Sheet1[[#This Row],[age]]&lt;=45,"31-45",IF(Sheet1[[#This Row],[age]]&lt;=60,"46-60","60+"))))</f>
        <v>46-60</v>
      </c>
      <c r="M1400" s="2" t="str">
        <f>IF(Sheet1[[#This Row],[risk_score]]&lt;0.3,"Low",IF(Sheet1[[#This Row],[risk_score]]&lt;0.7,"Medium","High"))</f>
        <v>Medium</v>
      </c>
      <c r="N1400">
        <f>YEAR(Sheet1[[#This Row],[date_joined]])</f>
        <v>2022</v>
      </c>
      <c r="O1400" s="2" t="str">
        <f>TEXT(Sheet1[[#This Row],[date_joined]],"mmm")</f>
        <v>Apr</v>
      </c>
      <c r="P1400" s="2" t="str">
        <f>"Q"&amp;ROUNDUP(MONTH(Sheet1[[#This Row],[date_joined]])/3,0)</f>
        <v>Q2</v>
      </c>
      <c r="Q1400" s="2" t="str">
        <f>IF(Sheet1[[#This Row],[age]]&lt;30,"Young",IF(Sheet1[[#This Row],[age]]&lt;=50,"Adult","Senior"))</f>
        <v>Senior</v>
      </c>
      <c r="R1400" s="2" t="str">
        <f t="shared" si="42"/>
        <v>Low</v>
      </c>
      <c r="S1400" s="2" t="str">
        <f t="shared" si="43"/>
        <v>North - Salaried</v>
      </c>
    </row>
    <row r="1401" spans="1:19" x14ac:dyDescent="0.3">
      <c r="A1401" t="s">
        <v>2825</v>
      </c>
      <c r="B1401" t="s">
        <v>2826</v>
      </c>
      <c r="C1401">
        <v>40</v>
      </c>
      <c r="D1401" s="2" t="s">
        <v>21</v>
      </c>
      <c r="E1401" s="2" t="s">
        <v>30</v>
      </c>
      <c r="F1401" s="2" t="s">
        <v>15</v>
      </c>
      <c r="G1401" s="2" t="s">
        <v>66</v>
      </c>
      <c r="H1401" s="2" t="s">
        <v>17</v>
      </c>
      <c r="I1401" s="2" t="s">
        <v>18</v>
      </c>
      <c r="J1401">
        <v>0.52</v>
      </c>
      <c r="K1401" s="1">
        <v>43865</v>
      </c>
      <c r="L1401" s="2" t="str">
        <f>IF(Sheet1[[#This Row],[age]]&lt;18, "Under 18",IF(Sheet1[[#This Row],[age]]&lt;=30,"18-30",IF(Sheet1[[#This Row],[age]]&lt;=45,"31-45",IF(Sheet1[[#This Row],[age]]&lt;=60,"46-60","60+"))))</f>
        <v>31-45</v>
      </c>
      <c r="M1401" s="2" t="str">
        <f>IF(Sheet1[[#This Row],[risk_score]]&lt;0.3,"Low",IF(Sheet1[[#This Row],[risk_score]]&lt;0.7,"Medium","High"))</f>
        <v>Medium</v>
      </c>
      <c r="N1401">
        <f>YEAR(Sheet1[[#This Row],[date_joined]])</f>
        <v>2020</v>
      </c>
      <c r="O1401" s="2" t="str">
        <f>TEXT(Sheet1[[#This Row],[date_joined]],"mmm")</f>
        <v>Feb</v>
      </c>
      <c r="P1401" s="2" t="str">
        <f>"Q"&amp;ROUNDUP(MONTH(Sheet1[[#This Row],[date_joined]])/3,0)</f>
        <v>Q1</v>
      </c>
      <c r="Q1401" s="2" t="str">
        <f>IF(Sheet1[[#This Row],[age]]&lt;30,"Young",IF(Sheet1[[#This Row],[age]]&lt;=50,"Adult","Senior"))</f>
        <v>Adult</v>
      </c>
      <c r="R1401" s="2" t="str">
        <f t="shared" si="42"/>
        <v>High</v>
      </c>
      <c r="S1401" s="2" t="str">
        <f t="shared" si="43"/>
        <v>North-East - Student</v>
      </c>
    </row>
    <row r="1402" spans="1:19" x14ac:dyDescent="0.3">
      <c r="A1402" t="s">
        <v>2827</v>
      </c>
      <c r="B1402" t="s">
        <v>2828</v>
      </c>
      <c r="C1402">
        <v>25</v>
      </c>
      <c r="D1402" s="2" t="s">
        <v>13</v>
      </c>
      <c r="E1402" s="2" t="s">
        <v>22</v>
      </c>
      <c r="F1402" s="2" t="s">
        <v>31</v>
      </c>
      <c r="G1402" s="2" t="s">
        <v>16</v>
      </c>
      <c r="H1402" s="2" t="s">
        <v>17</v>
      </c>
      <c r="I1402" s="2" t="s">
        <v>18</v>
      </c>
      <c r="J1402">
        <v>0.35</v>
      </c>
      <c r="K1402" s="1">
        <v>44302</v>
      </c>
      <c r="L1402" s="2" t="str">
        <f>IF(Sheet1[[#This Row],[age]]&lt;18, "Under 18",IF(Sheet1[[#This Row],[age]]&lt;=30,"18-30",IF(Sheet1[[#This Row],[age]]&lt;=45,"31-45",IF(Sheet1[[#This Row],[age]]&lt;=60,"46-60","60+"))))</f>
        <v>18-30</v>
      </c>
      <c r="M1402" s="2" t="str">
        <f>IF(Sheet1[[#This Row],[risk_score]]&lt;0.3,"Low",IF(Sheet1[[#This Row],[risk_score]]&lt;0.7,"Medium","High"))</f>
        <v>Medium</v>
      </c>
      <c r="N1402">
        <f>YEAR(Sheet1[[#This Row],[date_joined]])</f>
        <v>2021</v>
      </c>
      <c r="O1402" s="2" t="str">
        <f>TEXT(Sheet1[[#This Row],[date_joined]],"mmm")</f>
        <v>Apr</v>
      </c>
      <c r="P1402" s="2" t="str">
        <f>"Q"&amp;ROUNDUP(MONTH(Sheet1[[#This Row],[date_joined]])/3,0)</f>
        <v>Q2</v>
      </c>
      <c r="Q1402" s="2" t="str">
        <f>IF(Sheet1[[#This Row],[age]]&lt;30,"Young",IF(Sheet1[[#This Row],[age]]&lt;=50,"Adult","Senior"))</f>
        <v>Young</v>
      </c>
      <c r="R1402" s="2" t="str">
        <f t="shared" si="42"/>
        <v>High</v>
      </c>
      <c r="S1402" s="2" t="str">
        <f t="shared" si="43"/>
        <v>West - Self-employed</v>
      </c>
    </row>
    <row r="1403" spans="1:19" x14ac:dyDescent="0.3">
      <c r="A1403" t="s">
        <v>2829</v>
      </c>
      <c r="B1403" t="s">
        <v>2830</v>
      </c>
      <c r="C1403">
        <v>50</v>
      </c>
      <c r="D1403" s="2" t="s">
        <v>21</v>
      </c>
      <c r="E1403" s="2" t="s">
        <v>14</v>
      </c>
      <c r="F1403" s="2" t="s">
        <v>15</v>
      </c>
      <c r="G1403" s="2" t="s">
        <v>24</v>
      </c>
      <c r="H1403" s="2" t="s">
        <v>18</v>
      </c>
      <c r="I1403" s="2" t="s">
        <v>17</v>
      </c>
      <c r="J1403">
        <v>0.37</v>
      </c>
      <c r="K1403" s="1">
        <v>43676</v>
      </c>
      <c r="L1403" s="2" t="str">
        <f>IF(Sheet1[[#This Row],[age]]&lt;18, "Under 18",IF(Sheet1[[#This Row],[age]]&lt;=30,"18-30",IF(Sheet1[[#This Row],[age]]&lt;=45,"31-45",IF(Sheet1[[#This Row],[age]]&lt;=60,"46-60","60+"))))</f>
        <v>46-60</v>
      </c>
      <c r="M1403" s="2" t="str">
        <f>IF(Sheet1[[#This Row],[risk_score]]&lt;0.3,"Low",IF(Sheet1[[#This Row],[risk_score]]&lt;0.7,"Medium","High"))</f>
        <v>Medium</v>
      </c>
      <c r="N1403">
        <f>YEAR(Sheet1[[#This Row],[date_joined]])</f>
        <v>2019</v>
      </c>
      <c r="O1403" s="2" t="str">
        <f>TEXT(Sheet1[[#This Row],[date_joined]],"mmm")</f>
        <v>Jul</v>
      </c>
      <c r="P1403" s="2" t="str">
        <f>"Q"&amp;ROUNDUP(MONTH(Sheet1[[#This Row],[date_joined]])/3,0)</f>
        <v>Q3</v>
      </c>
      <c r="Q1403" s="2" t="str">
        <f>IF(Sheet1[[#This Row],[age]]&lt;30,"Young",IF(Sheet1[[#This Row],[age]]&lt;=50,"Adult","Senior"))</f>
        <v>Adult</v>
      </c>
      <c r="R1403" s="2" t="str">
        <f t="shared" si="42"/>
        <v>High</v>
      </c>
      <c r="S1403" s="2" t="str">
        <f t="shared" si="43"/>
        <v>East - Student</v>
      </c>
    </row>
    <row r="1404" spans="1:19" x14ac:dyDescent="0.3">
      <c r="A1404" t="s">
        <v>2831</v>
      </c>
      <c r="B1404" t="s">
        <v>2832</v>
      </c>
      <c r="C1404">
        <v>30</v>
      </c>
      <c r="D1404" s="2" t="s">
        <v>13</v>
      </c>
      <c r="E1404" s="2" t="s">
        <v>14</v>
      </c>
      <c r="F1404" s="2" t="s">
        <v>15</v>
      </c>
      <c r="G1404" s="2" t="s">
        <v>32</v>
      </c>
      <c r="H1404" s="2" t="s">
        <v>18</v>
      </c>
      <c r="I1404" s="2" t="s">
        <v>17</v>
      </c>
      <c r="J1404">
        <v>0.57999999999999996</v>
      </c>
      <c r="K1404" s="1">
        <v>43680</v>
      </c>
      <c r="L1404" s="2" t="str">
        <f>IF(Sheet1[[#This Row],[age]]&lt;18, "Under 18",IF(Sheet1[[#This Row],[age]]&lt;=30,"18-30",IF(Sheet1[[#This Row],[age]]&lt;=45,"31-45",IF(Sheet1[[#This Row],[age]]&lt;=60,"46-60","60+"))))</f>
        <v>18-30</v>
      </c>
      <c r="M1404" s="2" t="str">
        <f>IF(Sheet1[[#This Row],[risk_score]]&lt;0.3,"Low",IF(Sheet1[[#This Row],[risk_score]]&lt;0.7,"Medium","High"))</f>
        <v>Medium</v>
      </c>
      <c r="N1404">
        <f>YEAR(Sheet1[[#This Row],[date_joined]])</f>
        <v>2019</v>
      </c>
      <c r="O1404" s="2" t="str">
        <f>TEXT(Sheet1[[#This Row],[date_joined]],"mmm")</f>
        <v>Aug</v>
      </c>
      <c r="P1404" s="2" t="str">
        <f>"Q"&amp;ROUNDUP(MONTH(Sheet1[[#This Row],[date_joined]])/3,0)</f>
        <v>Q3</v>
      </c>
      <c r="Q1404" s="2" t="str">
        <f>IF(Sheet1[[#This Row],[age]]&lt;30,"Young",IF(Sheet1[[#This Row],[age]]&lt;=50,"Adult","Senior"))</f>
        <v>Adult</v>
      </c>
      <c r="R1404" s="2" t="str">
        <f t="shared" si="42"/>
        <v>High</v>
      </c>
      <c r="S1404" s="2" t="str">
        <f t="shared" si="43"/>
        <v>South - Student</v>
      </c>
    </row>
    <row r="1405" spans="1:19" x14ac:dyDescent="0.3">
      <c r="A1405" t="s">
        <v>2833</v>
      </c>
      <c r="B1405" t="s">
        <v>2834</v>
      </c>
      <c r="C1405">
        <v>60</v>
      </c>
      <c r="D1405" s="2" t="s">
        <v>21</v>
      </c>
      <c r="E1405" s="2" t="s">
        <v>22</v>
      </c>
      <c r="F1405" s="2" t="s">
        <v>15</v>
      </c>
      <c r="G1405" s="2" t="s">
        <v>66</v>
      </c>
      <c r="H1405" s="2" t="s">
        <v>18</v>
      </c>
      <c r="I1405" s="2" t="s">
        <v>18</v>
      </c>
      <c r="J1405">
        <v>0.65</v>
      </c>
      <c r="K1405" s="1">
        <v>43764</v>
      </c>
      <c r="L1405" s="2" t="str">
        <f>IF(Sheet1[[#This Row],[age]]&lt;18, "Under 18",IF(Sheet1[[#This Row],[age]]&lt;=30,"18-30",IF(Sheet1[[#This Row],[age]]&lt;=45,"31-45",IF(Sheet1[[#This Row],[age]]&lt;=60,"46-60","60+"))))</f>
        <v>46-60</v>
      </c>
      <c r="M1405" s="2" t="str">
        <f>IF(Sheet1[[#This Row],[risk_score]]&lt;0.3,"Low",IF(Sheet1[[#This Row],[risk_score]]&lt;0.7,"Medium","High"))</f>
        <v>Medium</v>
      </c>
      <c r="N1405">
        <f>YEAR(Sheet1[[#This Row],[date_joined]])</f>
        <v>2019</v>
      </c>
      <c r="O1405" s="2" t="str">
        <f>TEXT(Sheet1[[#This Row],[date_joined]],"mmm")</f>
        <v>Oct</v>
      </c>
      <c r="P1405" s="2" t="str">
        <f>"Q"&amp;ROUNDUP(MONTH(Sheet1[[#This Row],[date_joined]])/3,0)</f>
        <v>Q4</v>
      </c>
      <c r="Q1405" s="2" t="str">
        <f>IF(Sheet1[[#This Row],[age]]&lt;30,"Young",IF(Sheet1[[#This Row],[age]]&lt;=50,"Adult","Senior"))</f>
        <v>Senior</v>
      </c>
      <c r="R1405" s="2" t="str">
        <f t="shared" si="42"/>
        <v>Very High</v>
      </c>
      <c r="S1405" s="2" t="str">
        <f t="shared" si="43"/>
        <v>North-East - Student</v>
      </c>
    </row>
    <row r="1406" spans="1:19" x14ac:dyDescent="0.3">
      <c r="A1406" t="s">
        <v>2835</v>
      </c>
      <c r="B1406" t="s">
        <v>2836</v>
      </c>
      <c r="C1406">
        <v>28</v>
      </c>
      <c r="D1406" s="2" t="s">
        <v>13</v>
      </c>
      <c r="E1406" s="2" t="s">
        <v>14</v>
      </c>
      <c r="F1406" s="2" t="s">
        <v>23</v>
      </c>
      <c r="G1406" s="2" t="s">
        <v>66</v>
      </c>
      <c r="H1406" s="2" t="s">
        <v>17</v>
      </c>
      <c r="I1406" s="2" t="s">
        <v>18</v>
      </c>
      <c r="J1406">
        <v>0.52</v>
      </c>
      <c r="K1406" s="1">
        <v>44673</v>
      </c>
      <c r="L1406" s="2" t="str">
        <f>IF(Sheet1[[#This Row],[age]]&lt;18, "Under 18",IF(Sheet1[[#This Row],[age]]&lt;=30,"18-30",IF(Sheet1[[#This Row],[age]]&lt;=45,"31-45",IF(Sheet1[[#This Row],[age]]&lt;=60,"46-60","60+"))))</f>
        <v>18-30</v>
      </c>
      <c r="M1406" s="2" t="str">
        <f>IF(Sheet1[[#This Row],[risk_score]]&lt;0.3,"Low",IF(Sheet1[[#This Row],[risk_score]]&lt;0.7,"Medium","High"))</f>
        <v>Medium</v>
      </c>
      <c r="N1406">
        <f>YEAR(Sheet1[[#This Row],[date_joined]])</f>
        <v>2022</v>
      </c>
      <c r="O1406" s="2" t="str">
        <f>TEXT(Sheet1[[#This Row],[date_joined]],"mmm")</f>
        <v>Apr</v>
      </c>
      <c r="P1406" s="2" t="str">
        <f>"Q"&amp;ROUNDUP(MONTH(Sheet1[[#This Row],[date_joined]])/3,0)</f>
        <v>Q2</v>
      </c>
      <c r="Q1406" s="2" t="str">
        <f>IF(Sheet1[[#This Row],[age]]&lt;30,"Young",IF(Sheet1[[#This Row],[age]]&lt;=50,"Adult","Senior"))</f>
        <v>Young</v>
      </c>
      <c r="R1406" s="2" t="str">
        <f t="shared" si="42"/>
        <v>High</v>
      </c>
      <c r="S1406" s="2" t="str">
        <f t="shared" si="43"/>
        <v>North-East - Salaried</v>
      </c>
    </row>
    <row r="1407" spans="1:19" x14ac:dyDescent="0.3">
      <c r="A1407" t="s">
        <v>2837</v>
      </c>
      <c r="B1407" t="s">
        <v>2838</v>
      </c>
      <c r="C1407">
        <v>39</v>
      </c>
      <c r="D1407" s="2" t="s">
        <v>21</v>
      </c>
      <c r="E1407" s="2" t="s">
        <v>14</v>
      </c>
      <c r="F1407" s="2" t="s">
        <v>31</v>
      </c>
      <c r="G1407" s="2" t="s">
        <v>66</v>
      </c>
      <c r="H1407" s="2" t="s">
        <v>17</v>
      </c>
      <c r="I1407" s="2" t="s">
        <v>18</v>
      </c>
      <c r="J1407">
        <v>0.8</v>
      </c>
      <c r="K1407" s="1">
        <v>43235</v>
      </c>
      <c r="L1407" s="2" t="str">
        <f>IF(Sheet1[[#This Row],[age]]&lt;18, "Under 18",IF(Sheet1[[#This Row],[age]]&lt;=30,"18-30",IF(Sheet1[[#This Row],[age]]&lt;=45,"31-45",IF(Sheet1[[#This Row],[age]]&lt;=60,"46-60","60+"))))</f>
        <v>31-45</v>
      </c>
      <c r="M1407" s="2" t="str">
        <f>IF(Sheet1[[#This Row],[risk_score]]&lt;0.3,"Low",IF(Sheet1[[#This Row],[risk_score]]&lt;0.7,"Medium","High"))</f>
        <v>High</v>
      </c>
      <c r="N1407">
        <f>YEAR(Sheet1[[#This Row],[date_joined]])</f>
        <v>2018</v>
      </c>
      <c r="O1407" s="2" t="str">
        <f>TEXT(Sheet1[[#This Row],[date_joined]],"mmm")</f>
        <v>May</v>
      </c>
      <c r="P1407" s="2" t="str">
        <f>"Q"&amp;ROUNDUP(MONTH(Sheet1[[#This Row],[date_joined]])/3,0)</f>
        <v>Q2</v>
      </c>
      <c r="Q1407" s="2" t="str">
        <f>IF(Sheet1[[#This Row],[age]]&lt;30,"Young",IF(Sheet1[[#This Row],[age]]&lt;=50,"Adult","Senior"))</f>
        <v>Adult</v>
      </c>
      <c r="R1407" s="2" t="str">
        <f t="shared" si="42"/>
        <v>High</v>
      </c>
      <c r="S1407" s="2" t="str">
        <f t="shared" si="43"/>
        <v>North-East - Self-employed</v>
      </c>
    </row>
    <row r="1408" spans="1:19" x14ac:dyDescent="0.3">
      <c r="A1408" t="s">
        <v>2839</v>
      </c>
      <c r="B1408" t="s">
        <v>2840</v>
      </c>
      <c r="C1408">
        <v>40</v>
      </c>
      <c r="D1408" s="2" t="s">
        <v>21</v>
      </c>
      <c r="E1408" s="2" t="s">
        <v>22</v>
      </c>
      <c r="F1408" s="2" t="s">
        <v>37</v>
      </c>
      <c r="G1408" s="2" t="s">
        <v>16</v>
      </c>
      <c r="H1408" s="2" t="s">
        <v>18</v>
      </c>
      <c r="I1408" s="2" t="s">
        <v>18</v>
      </c>
      <c r="J1408">
        <v>0.73</v>
      </c>
      <c r="K1408" s="1">
        <v>43538</v>
      </c>
      <c r="L1408" s="2" t="str">
        <f>IF(Sheet1[[#This Row],[age]]&lt;18, "Under 18",IF(Sheet1[[#This Row],[age]]&lt;=30,"18-30",IF(Sheet1[[#This Row],[age]]&lt;=45,"31-45",IF(Sheet1[[#This Row],[age]]&lt;=60,"46-60","60+"))))</f>
        <v>31-45</v>
      </c>
      <c r="M1408" s="2" t="str">
        <f>IF(Sheet1[[#This Row],[risk_score]]&lt;0.3,"Low",IF(Sheet1[[#This Row],[risk_score]]&lt;0.7,"Medium","High"))</f>
        <v>High</v>
      </c>
      <c r="N1408">
        <f>YEAR(Sheet1[[#This Row],[date_joined]])</f>
        <v>2019</v>
      </c>
      <c r="O1408" s="2" t="str">
        <f>TEXT(Sheet1[[#This Row],[date_joined]],"mmm")</f>
        <v>Mar</v>
      </c>
      <c r="P1408" s="2" t="str">
        <f>"Q"&amp;ROUNDUP(MONTH(Sheet1[[#This Row],[date_joined]])/3,0)</f>
        <v>Q1</v>
      </c>
      <c r="Q1408" s="2" t="str">
        <f>IF(Sheet1[[#This Row],[age]]&lt;30,"Young",IF(Sheet1[[#This Row],[age]]&lt;=50,"Adult","Senior"))</f>
        <v>Adult</v>
      </c>
      <c r="R1408" s="2" t="str">
        <f t="shared" si="42"/>
        <v>Very High</v>
      </c>
      <c r="S1408" s="2" t="str">
        <f t="shared" si="43"/>
        <v>West - Retired</v>
      </c>
    </row>
    <row r="1409" spans="1:19" x14ac:dyDescent="0.3">
      <c r="A1409" t="s">
        <v>2841</v>
      </c>
      <c r="B1409" t="s">
        <v>2842</v>
      </c>
      <c r="C1409">
        <v>26</v>
      </c>
      <c r="D1409" s="2" t="s">
        <v>21</v>
      </c>
      <c r="E1409" s="2" t="s">
        <v>30</v>
      </c>
      <c r="F1409" s="2" t="s">
        <v>15</v>
      </c>
      <c r="G1409" s="2" t="s">
        <v>32</v>
      </c>
      <c r="H1409" s="2" t="s">
        <v>17</v>
      </c>
      <c r="I1409" s="2" t="s">
        <v>18</v>
      </c>
      <c r="J1409">
        <v>0.27</v>
      </c>
      <c r="K1409" s="1">
        <v>43349</v>
      </c>
      <c r="L1409" s="2" t="str">
        <f>IF(Sheet1[[#This Row],[age]]&lt;18, "Under 18",IF(Sheet1[[#This Row],[age]]&lt;=30,"18-30",IF(Sheet1[[#This Row],[age]]&lt;=45,"31-45",IF(Sheet1[[#This Row],[age]]&lt;=60,"46-60","60+"))))</f>
        <v>18-30</v>
      </c>
      <c r="M1409" s="2" t="str">
        <f>IF(Sheet1[[#This Row],[risk_score]]&lt;0.3,"Low",IF(Sheet1[[#This Row],[risk_score]]&lt;0.7,"Medium","High"))</f>
        <v>Low</v>
      </c>
      <c r="N1409">
        <f>YEAR(Sheet1[[#This Row],[date_joined]])</f>
        <v>2018</v>
      </c>
      <c r="O1409" s="2" t="str">
        <f>TEXT(Sheet1[[#This Row],[date_joined]],"mmm")</f>
        <v>Sep</v>
      </c>
      <c r="P1409" s="2" t="str">
        <f>"Q"&amp;ROUNDUP(MONTH(Sheet1[[#This Row],[date_joined]])/3,0)</f>
        <v>Q3</v>
      </c>
      <c r="Q1409" s="2" t="str">
        <f>IF(Sheet1[[#This Row],[age]]&lt;30,"Young",IF(Sheet1[[#This Row],[age]]&lt;=50,"Adult","Senior"))</f>
        <v>Young</v>
      </c>
      <c r="R1409" s="2" t="str">
        <f t="shared" si="42"/>
        <v>High</v>
      </c>
      <c r="S1409" s="2" t="str">
        <f t="shared" si="43"/>
        <v>South - Student</v>
      </c>
    </row>
    <row r="1410" spans="1:19" x14ac:dyDescent="0.3">
      <c r="A1410" t="s">
        <v>2843</v>
      </c>
      <c r="B1410" t="s">
        <v>2844</v>
      </c>
      <c r="C1410">
        <v>66</v>
      </c>
      <c r="D1410" s="2" t="s">
        <v>13</v>
      </c>
      <c r="E1410" s="2" t="s">
        <v>14</v>
      </c>
      <c r="F1410" s="2" t="s">
        <v>31</v>
      </c>
      <c r="G1410" s="2" t="s">
        <v>24</v>
      </c>
      <c r="H1410" s="2" t="s">
        <v>18</v>
      </c>
      <c r="I1410" s="2" t="s">
        <v>18</v>
      </c>
      <c r="J1410">
        <v>0.76</v>
      </c>
      <c r="K1410" s="1">
        <v>43165</v>
      </c>
      <c r="L1410" s="2" t="str">
        <f>IF(Sheet1[[#This Row],[age]]&lt;18, "Under 18",IF(Sheet1[[#This Row],[age]]&lt;=30,"18-30",IF(Sheet1[[#This Row],[age]]&lt;=45,"31-45",IF(Sheet1[[#This Row],[age]]&lt;=60,"46-60","60+"))))</f>
        <v>60+</v>
      </c>
      <c r="M1410" s="2" t="str">
        <f>IF(Sheet1[[#This Row],[risk_score]]&lt;0.3,"Low",IF(Sheet1[[#This Row],[risk_score]]&lt;0.7,"Medium","High"))</f>
        <v>High</v>
      </c>
      <c r="N1410">
        <f>YEAR(Sheet1[[#This Row],[date_joined]])</f>
        <v>2018</v>
      </c>
      <c r="O1410" s="2" t="str">
        <f>TEXT(Sheet1[[#This Row],[date_joined]],"mmm")</f>
        <v>Mar</v>
      </c>
      <c r="P1410" s="2" t="str">
        <f>"Q"&amp;ROUNDUP(MONTH(Sheet1[[#This Row],[date_joined]])/3,0)</f>
        <v>Q1</v>
      </c>
      <c r="Q1410" s="2" t="str">
        <f>IF(Sheet1[[#This Row],[age]]&lt;30,"Young",IF(Sheet1[[#This Row],[age]]&lt;=50,"Adult","Senior"))</f>
        <v>Senior</v>
      </c>
      <c r="R1410" s="2" t="str">
        <f t="shared" ref="R1410:R1473" si="44">IF(AND(H1410="Yes",I1410="Yes"),"Very High",
IF(OR(H1410="Yes",I1410="Yes"),"High","Low"))</f>
        <v>Very High</v>
      </c>
      <c r="S1410" s="2" t="str">
        <f t="shared" ref="S1410:S1473" si="45">G1410&amp;" - "&amp;F1410</f>
        <v>East - Self-employed</v>
      </c>
    </row>
    <row r="1411" spans="1:19" x14ac:dyDescent="0.3">
      <c r="A1411" t="s">
        <v>2845</v>
      </c>
      <c r="B1411" t="s">
        <v>2846</v>
      </c>
      <c r="C1411">
        <v>49</v>
      </c>
      <c r="D1411" s="2" t="s">
        <v>13</v>
      </c>
      <c r="E1411" s="2" t="s">
        <v>14</v>
      </c>
      <c r="F1411" s="2" t="s">
        <v>23</v>
      </c>
      <c r="G1411" s="2" t="s">
        <v>32</v>
      </c>
      <c r="H1411" s="2" t="s">
        <v>18</v>
      </c>
      <c r="I1411" s="2" t="s">
        <v>17</v>
      </c>
      <c r="J1411">
        <v>0.54</v>
      </c>
      <c r="K1411" s="1">
        <v>44838</v>
      </c>
      <c r="L1411" s="2" t="str">
        <f>IF(Sheet1[[#This Row],[age]]&lt;18, "Under 18",IF(Sheet1[[#This Row],[age]]&lt;=30,"18-30",IF(Sheet1[[#This Row],[age]]&lt;=45,"31-45",IF(Sheet1[[#This Row],[age]]&lt;=60,"46-60","60+"))))</f>
        <v>46-60</v>
      </c>
      <c r="M1411" s="2" t="str">
        <f>IF(Sheet1[[#This Row],[risk_score]]&lt;0.3,"Low",IF(Sheet1[[#This Row],[risk_score]]&lt;0.7,"Medium","High"))</f>
        <v>Medium</v>
      </c>
      <c r="N1411">
        <f>YEAR(Sheet1[[#This Row],[date_joined]])</f>
        <v>2022</v>
      </c>
      <c r="O1411" s="2" t="str">
        <f>TEXT(Sheet1[[#This Row],[date_joined]],"mmm")</f>
        <v>Oct</v>
      </c>
      <c r="P1411" s="2" t="str">
        <f>"Q"&amp;ROUNDUP(MONTH(Sheet1[[#This Row],[date_joined]])/3,0)</f>
        <v>Q4</v>
      </c>
      <c r="Q1411" s="2" t="str">
        <f>IF(Sheet1[[#This Row],[age]]&lt;30,"Young",IF(Sheet1[[#This Row],[age]]&lt;=50,"Adult","Senior"))</f>
        <v>Adult</v>
      </c>
      <c r="R1411" s="2" t="str">
        <f t="shared" si="44"/>
        <v>High</v>
      </c>
      <c r="S1411" s="2" t="str">
        <f t="shared" si="45"/>
        <v>South - Salaried</v>
      </c>
    </row>
    <row r="1412" spans="1:19" x14ac:dyDescent="0.3">
      <c r="A1412" t="s">
        <v>2847</v>
      </c>
      <c r="B1412" t="s">
        <v>2848</v>
      </c>
      <c r="C1412">
        <v>40</v>
      </c>
      <c r="D1412" s="2" t="s">
        <v>21</v>
      </c>
      <c r="E1412" s="2" t="s">
        <v>22</v>
      </c>
      <c r="F1412" s="2" t="s">
        <v>23</v>
      </c>
      <c r="G1412" s="2" t="s">
        <v>24</v>
      </c>
      <c r="H1412" s="2" t="s">
        <v>17</v>
      </c>
      <c r="I1412" s="2" t="s">
        <v>18</v>
      </c>
      <c r="J1412">
        <v>0.63</v>
      </c>
      <c r="K1412" s="1">
        <v>43646</v>
      </c>
      <c r="L1412" s="2" t="str">
        <f>IF(Sheet1[[#This Row],[age]]&lt;18, "Under 18",IF(Sheet1[[#This Row],[age]]&lt;=30,"18-30",IF(Sheet1[[#This Row],[age]]&lt;=45,"31-45",IF(Sheet1[[#This Row],[age]]&lt;=60,"46-60","60+"))))</f>
        <v>31-45</v>
      </c>
      <c r="M1412" s="2" t="str">
        <f>IF(Sheet1[[#This Row],[risk_score]]&lt;0.3,"Low",IF(Sheet1[[#This Row],[risk_score]]&lt;0.7,"Medium","High"))</f>
        <v>Medium</v>
      </c>
      <c r="N1412">
        <f>YEAR(Sheet1[[#This Row],[date_joined]])</f>
        <v>2019</v>
      </c>
      <c r="O1412" s="2" t="str">
        <f>TEXT(Sheet1[[#This Row],[date_joined]],"mmm")</f>
        <v>Jun</v>
      </c>
      <c r="P1412" s="2" t="str">
        <f>"Q"&amp;ROUNDUP(MONTH(Sheet1[[#This Row],[date_joined]])/3,0)</f>
        <v>Q2</v>
      </c>
      <c r="Q1412" s="2" t="str">
        <f>IF(Sheet1[[#This Row],[age]]&lt;30,"Young",IF(Sheet1[[#This Row],[age]]&lt;=50,"Adult","Senior"))</f>
        <v>Adult</v>
      </c>
      <c r="R1412" s="2" t="str">
        <f t="shared" si="44"/>
        <v>High</v>
      </c>
      <c r="S1412" s="2" t="str">
        <f t="shared" si="45"/>
        <v>East - Salaried</v>
      </c>
    </row>
    <row r="1413" spans="1:19" x14ac:dyDescent="0.3">
      <c r="A1413" t="s">
        <v>2849</v>
      </c>
      <c r="B1413" t="s">
        <v>2850</v>
      </c>
      <c r="C1413">
        <v>46</v>
      </c>
      <c r="D1413" s="2" t="s">
        <v>21</v>
      </c>
      <c r="E1413" s="2" t="s">
        <v>30</v>
      </c>
      <c r="F1413" s="2" t="s">
        <v>23</v>
      </c>
      <c r="G1413" s="2" t="s">
        <v>66</v>
      </c>
      <c r="H1413" s="2" t="s">
        <v>18</v>
      </c>
      <c r="I1413" s="2" t="s">
        <v>17</v>
      </c>
      <c r="J1413">
        <v>0.66</v>
      </c>
      <c r="K1413" s="1">
        <v>43318</v>
      </c>
      <c r="L1413" s="2" t="str">
        <f>IF(Sheet1[[#This Row],[age]]&lt;18, "Under 18",IF(Sheet1[[#This Row],[age]]&lt;=30,"18-30",IF(Sheet1[[#This Row],[age]]&lt;=45,"31-45",IF(Sheet1[[#This Row],[age]]&lt;=60,"46-60","60+"))))</f>
        <v>46-60</v>
      </c>
      <c r="M1413" s="2" t="str">
        <f>IF(Sheet1[[#This Row],[risk_score]]&lt;0.3,"Low",IF(Sheet1[[#This Row],[risk_score]]&lt;0.7,"Medium","High"))</f>
        <v>Medium</v>
      </c>
      <c r="N1413">
        <f>YEAR(Sheet1[[#This Row],[date_joined]])</f>
        <v>2018</v>
      </c>
      <c r="O1413" s="2" t="str">
        <f>TEXT(Sheet1[[#This Row],[date_joined]],"mmm")</f>
        <v>Aug</v>
      </c>
      <c r="P1413" s="2" t="str">
        <f>"Q"&amp;ROUNDUP(MONTH(Sheet1[[#This Row],[date_joined]])/3,0)</f>
        <v>Q3</v>
      </c>
      <c r="Q1413" s="2" t="str">
        <f>IF(Sheet1[[#This Row],[age]]&lt;30,"Young",IF(Sheet1[[#This Row],[age]]&lt;=50,"Adult","Senior"))</f>
        <v>Adult</v>
      </c>
      <c r="R1413" s="2" t="str">
        <f t="shared" si="44"/>
        <v>High</v>
      </c>
      <c r="S1413" s="2" t="str">
        <f t="shared" si="45"/>
        <v>North-East - Salaried</v>
      </c>
    </row>
    <row r="1414" spans="1:19" x14ac:dyDescent="0.3">
      <c r="A1414" t="s">
        <v>2851</v>
      </c>
      <c r="B1414" t="s">
        <v>2852</v>
      </c>
      <c r="C1414">
        <v>44</v>
      </c>
      <c r="D1414" s="2" t="s">
        <v>21</v>
      </c>
      <c r="E1414" s="2" t="s">
        <v>22</v>
      </c>
      <c r="F1414" s="2" t="s">
        <v>15</v>
      </c>
      <c r="G1414" s="2" t="s">
        <v>16</v>
      </c>
      <c r="H1414" s="2" t="s">
        <v>17</v>
      </c>
      <c r="I1414" s="2" t="s">
        <v>17</v>
      </c>
      <c r="J1414">
        <v>0.57999999999999996</v>
      </c>
      <c r="K1414" s="1">
        <v>43853</v>
      </c>
      <c r="L1414" s="2" t="str">
        <f>IF(Sheet1[[#This Row],[age]]&lt;18, "Under 18",IF(Sheet1[[#This Row],[age]]&lt;=30,"18-30",IF(Sheet1[[#This Row],[age]]&lt;=45,"31-45",IF(Sheet1[[#This Row],[age]]&lt;=60,"46-60","60+"))))</f>
        <v>31-45</v>
      </c>
      <c r="M1414" s="2" t="str">
        <f>IF(Sheet1[[#This Row],[risk_score]]&lt;0.3,"Low",IF(Sheet1[[#This Row],[risk_score]]&lt;0.7,"Medium","High"))</f>
        <v>Medium</v>
      </c>
      <c r="N1414">
        <f>YEAR(Sheet1[[#This Row],[date_joined]])</f>
        <v>2020</v>
      </c>
      <c r="O1414" s="2" t="str">
        <f>TEXT(Sheet1[[#This Row],[date_joined]],"mmm")</f>
        <v>Jan</v>
      </c>
      <c r="P1414" s="2" t="str">
        <f>"Q"&amp;ROUNDUP(MONTH(Sheet1[[#This Row],[date_joined]])/3,0)</f>
        <v>Q1</v>
      </c>
      <c r="Q1414" s="2" t="str">
        <f>IF(Sheet1[[#This Row],[age]]&lt;30,"Young",IF(Sheet1[[#This Row],[age]]&lt;=50,"Adult","Senior"))</f>
        <v>Adult</v>
      </c>
      <c r="R1414" s="2" t="str">
        <f t="shared" si="44"/>
        <v>Low</v>
      </c>
      <c r="S1414" s="2" t="str">
        <f t="shared" si="45"/>
        <v>West - Student</v>
      </c>
    </row>
    <row r="1415" spans="1:19" x14ac:dyDescent="0.3">
      <c r="A1415" t="s">
        <v>2853</v>
      </c>
      <c r="B1415" t="s">
        <v>2854</v>
      </c>
      <c r="C1415">
        <v>69</v>
      </c>
      <c r="D1415" s="2" t="s">
        <v>13</v>
      </c>
      <c r="E1415" s="2" t="s">
        <v>30</v>
      </c>
      <c r="F1415" s="2" t="s">
        <v>23</v>
      </c>
      <c r="G1415" s="2" t="s">
        <v>16</v>
      </c>
      <c r="H1415" s="2" t="s">
        <v>17</v>
      </c>
      <c r="I1415" s="2" t="s">
        <v>17</v>
      </c>
      <c r="J1415">
        <v>0.5</v>
      </c>
      <c r="K1415" s="1">
        <v>44658</v>
      </c>
      <c r="L1415" s="2" t="str">
        <f>IF(Sheet1[[#This Row],[age]]&lt;18, "Under 18",IF(Sheet1[[#This Row],[age]]&lt;=30,"18-30",IF(Sheet1[[#This Row],[age]]&lt;=45,"31-45",IF(Sheet1[[#This Row],[age]]&lt;=60,"46-60","60+"))))</f>
        <v>60+</v>
      </c>
      <c r="M1415" s="2" t="str">
        <f>IF(Sheet1[[#This Row],[risk_score]]&lt;0.3,"Low",IF(Sheet1[[#This Row],[risk_score]]&lt;0.7,"Medium","High"))</f>
        <v>Medium</v>
      </c>
      <c r="N1415">
        <f>YEAR(Sheet1[[#This Row],[date_joined]])</f>
        <v>2022</v>
      </c>
      <c r="O1415" s="2" t="str">
        <f>TEXT(Sheet1[[#This Row],[date_joined]],"mmm")</f>
        <v>Apr</v>
      </c>
      <c r="P1415" s="2" t="str">
        <f>"Q"&amp;ROUNDUP(MONTH(Sheet1[[#This Row],[date_joined]])/3,0)</f>
        <v>Q2</v>
      </c>
      <c r="Q1415" s="2" t="str">
        <f>IF(Sheet1[[#This Row],[age]]&lt;30,"Young",IF(Sheet1[[#This Row],[age]]&lt;=50,"Adult","Senior"))</f>
        <v>Senior</v>
      </c>
      <c r="R1415" s="2" t="str">
        <f t="shared" si="44"/>
        <v>Low</v>
      </c>
      <c r="S1415" s="2" t="str">
        <f t="shared" si="45"/>
        <v>West - Salaried</v>
      </c>
    </row>
    <row r="1416" spans="1:19" x14ac:dyDescent="0.3">
      <c r="A1416" t="s">
        <v>2855</v>
      </c>
      <c r="B1416" t="s">
        <v>2856</v>
      </c>
      <c r="C1416">
        <v>67</v>
      </c>
      <c r="D1416" s="2" t="s">
        <v>21</v>
      </c>
      <c r="E1416" s="2" t="s">
        <v>14</v>
      </c>
      <c r="F1416" s="2" t="s">
        <v>15</v>
      </c>
      <c r="G1416" s="2" t="s">
        <v>66</v>
      </c>
      <c r="H1416" s="2" t="s">
        <v>17</v>
      </c>
      <c r="I1416" s="2" t="s">
        <v>18</v>
      </c>
      <c r="J1416">
        <v>0.44</v>
      </c>
      <c r="K1416" s="1">
        <v>43992</v>
      </c>
      <c r="L1416" s="2" t="str">
        <f>IF(Sheet1[[#This Row],[age]]&lt;18, "Under 18",IF(Sheet1[[#This Row],[age]]&lt;=30,"18-30",IF(Sheet1[[#This Row],[age]]&lt;=45,"31-45",IF(Sheet1[[#This Row],[age]]&lt;=60,"46-60","60+"))))</f>
        <v>60+</v>
      </c>
      <c r="M1416" s="2" t="str">
        <f>IF(Sheet1[[#This Row],[risk_score]]&lt;0.3,"Low",IF(Sheet1[[#This Row],[risk_score]]&lt;0.7,"Medium","High"))</f>
        <v>Medium</v>
      </c>
      <c r="N1416">
        <f>YEAR(Sheet1[[#This Row],[date_joined]])</f>
        <v>2020</v>
      </c>
      <c r="O1416" s="2" t="str">
        <f>TEXT(Sheet1[[#This Row],[date_joined]],"mmm")</f>
        <v>Jun</v>
      </c>
      <c r="P1416" s="2" t="str">
        <f>"Q"&amp;ROUNDUP(MONTH(Sheet1[[#This Row],[date_joined]])/3,0)</f>
        <v>Q2</v>
      </c>
      <c r="Q1416" s="2" t="str">
        <f>IF(Sheet1[[#This Row],[age]]&lt;30,"Young",IF(Sheet1[[#This Row],[age]]&lt;=50,"Adult","Senior"))</f>
        <v>Senior</v>
      </c>
      <c r="R1416" s="2" t="str">
        <f t="shared" si="44"/>
        <v>High</v>
      </c>
      <c r="S1416" s="2" t="str">
        <f t="shared" si="45"/>
        <v>North-East - Student</v>
      </c>
    </row>
    <row r="1417" spans="1:19" x14ac:dyDescent="0.3">
      <c r="A1417" t="s">
        <v>2857</v>
      </c>
      <c r="B1417" t="s">
        <v>2858</v>
      </c>
      <c r="C1417">
        <v>32</v>
      </c>
      <c r="D1417" s="2" t="s">
        <v>21</v>
      </c>
      <c r="E1417" s="2" t="s">
        <v>22</v>
      </c>
      <c r="F1417" s="2" t="s">
        <v>23</v>
      </c>
      <c r="G1417" s="2" t="s">
        <v>27</v>
      </c>
      <c r="H1417" s="2" t="s">
        <v>17</v>
      </c>
      <c r="I1417" s="2" t="s">
        <v>18</v>
      </c>
      <c r="J1417">
        <v>0.65</v>
      </c>
      <c r="K1417" s="1">
        <v>43535</v>
      </c>
      <c r="L1417" s="2" t="str">
        <f>IF(Sheet1[[#This Row],[age]]&lt;18, "Under 18",IF(Sheet1[[#This Row],[age]]&lt;=30,"18-30",IF(Sheet1[[#This Row],[age]]&lt;=45,"31-45",IF(Sheet1[[#This Row],[age]]&lt;=60,"46-60","60+"))))</f>
        <v>31-45</v>
      </c>
      <c r="M1417" s="2" t="str">
        <f>IF(Sheet1[[#This Row],[risk_score]]&lt;0.3,"Low",IF(Sheet1[[#This Row],[risk_score]]&lt;0.7,"Medium","High"))</f>
        <v>Medium</v>
      </c>
      <c r="N1417">
        <f>YEAR(Sheet1[[#This Row],[date_joined]])</f>
        <v>2019</v>
      </c>
      <c r="O1417" s="2" t="str">
        <f>TEXT(Sheet1[[#This Row],[date_joined]],"mmm")</f>
        <v>Mar</v>
      </c>
      <c r="P1417" s="2" t="str">
        <f>"Q"&amp;ROUNDUP(MONTH(Sheet1[[#This Row],[date_joined]])/3,0)</f>
        <v>Q1</v>
      </c>
      <c r="Q1417" s="2" t="str">
        <f>IF(Sheet1[[#This Row],[age]]&lt;30,"Young",IF(Sheet1[[#This Row],[age]]&lt;=50,"Adult","Senior"))</f>
        <v>Adult</v>
      </c>
      <c r="R1417" s="2" t="str">
        <f t="shared" si="44"/>
        <v>High</v>
      </c>
      <c r="S1417" s="2" t="str">
        <f t="shared" si="45"/>
        <v>North - Salaried</v>
      </c>
    </row>
    <row r="1418" spans="1:19" x14ac:dyDescent="0.3">
      <c r="A1418" t="s">
        <v>2859</v>
      </c>
      <c r="B1418" t="s">
        <v>2860</v>
      </c>
      <c r="C1418">
        <v>67</v>
      </c>
      <c r="D1418" s="2" t="s">
        <v>13</v>
      </c>
      <c r="E1418" s="2" t="s">
        <v>14</v>
      </c>
      <c r="F1418" s="2" t="s">
        <v>23</v>
      </c>
      <c r="G1418" s="2" t="s">
        <v>32</v>
      </c>
      <c r="H1418" s="2" t="s">
        <v>17</v>
      </c>
      <c r="I1418" s="2" t="s">
        <v>18</v>
      </c>
      <c r="J1418">
        <v>0.55000000000000004</v>
      </c>
      <c r="K1418" s="1">
        <v>44255</v>
      </c>
      <c r="L1418" s="2" t="str">
        <f>IF(Sheet1[[#This Row],[age]]&lt;18, "Under 18",IF(Sheet1[[#This Row],[age]]&lt;=30,"18-30",IF(Sheet1[[#This Row],[age]]&lt;=45,"31-45",IF(Sheet1[[#This Row],[age]]&lt;=60,"46-60","60+"))))</f>
        <v>60+</v>
      </c>
      <c r="M1418" s="2" t="str">
        <f>IF(Sheet1[[#This Row],[risk_score]]&lt;0.3,"Low",IF(Sheet1[[#This Row],[risk_score]]&lt;0.7,"Medium","High"))</f>
        <v>Medium</v>
      </c>
      <c r="N1418">
        <f>YEAR(Sheet1[[#This Row],[date_joined]])</f>
        <v>2021</v>
      </c>
      <c r="O1418" s="2" t="str">
        <f>TEXT(Sheet1[[#This Row],[date_joined]],"mmm")</f>
        <v>Feb</v>
      </c>
      <c r="P1418" s="2" t="str">
        <f>"Q"&amp;ROUNDUP(MONTH(Sheet1[[#This Row],[date_joined]])/3,0)</f>
        <v>Q1</v>
      </c>
      <c r="Q1418" s="2" t="str">
        <f>IF(Sheet1[[#This Row],[age]]&lt;30,"Young",IF(Sheet1[[#This Row],[age]]&lt;=50,"Adult","Senior"))</f>
        <v>Senior</v>
      </c>
      <c r="R1418" s="2" t="str">
        <f t="shared" si="44"/>
        <v>High</v>
      </c>
      <c r="S1418" s="2" t="str">
        <f t="shared" si="45"/>
        <v>South - Salaried</v>
      </c>
    </row>
    <row r="1419" spans="1:19" x14ac:dyDescent="0.3">
      <c r="A1419" t="s">
        <v>2861</v>
      </c>
      <c r="B1419" t="s">
        <v>2862</v>
      </c>
      <c r="C1419">
        <v>50</v>
      </c>
      <c r="D1419" s="2" t="s">
        <v>13</v>
      </c>
      <c r="E1419" s="2" t="s">
        <v>14</v>
      </c>
      <c r="F1419" s="2" t="s">
        <v>37</v>
      </c>
      <c r="G1419" s="2" t="s">
        <v>81</v>
      </c>
      <c r="H1419" s="2" t="s">
        <v>18</v>
      </c>
      <c r="I1419" s="2" t="s">
        <v>18</v>
      </c>
      <c r="J1419">
        <v>0.14000000000000001</v>
      </c>
      <c r="K1419" s="1">
        <v>43667</v>
      </c>
      <c r="L1419" s="2" t="str">
        <f>IF(Sheet1[[#This Row],[age]]&lt;18, "Under 18",IF(Sheet1[[#This Row],[age]]&lt;=30,"18-30",IF(Sheet1[[#This Row],[age]]&lt;=45,"31-45",IF(Sheet1[[#This Row],[age]]&lt;=60,"46-60","60+"))))</f>
        <v>46-60</v>
      </c>
      <c r="M1419" s="2" t="str">
        <f>IF(Sheet1[[#This Row],[risk_score]]&lt;0.3,"Low",IF(Sheet1[[#This Row],[risk_score]]&lt;0.7,"Medium","High"))</f>
        <v>Low</v>
      </c>
      <c r="N1419">
        <f>YEAR(Sheet1[[#This Row],[date_joined]])</f>
        <v>2019</v>
      </c>
      <c r="O1419" s="2" t="str">
        <f>TEXT(Sheet1[[#This Row],[date_joined]],"mmm")</f>
        <v>Jul</v>
      </c>
      <c r="P1419" s="2" t="str">
        <f>"Q"&amp;ROUNDUP(MONTH(Sheet1[[#This Row],[date_joined]])/3,0)</f>
        <v>Q3</v>
      </c>
      <c r="Q1419" s="2" t="str">
        <f>IF(Sheet1[[#This Row],[age]]&lt;30,"Young",IF(Sheet1[[#This Row],[age]]&lt;=50,"Adult","Senior"))</f>
        <v>Adult</v>
      </c>
      <c r="R1419" s="2" t="str">
        <f t="shared" si="44"/>
        <v>Very High</v>
      </c>
      <c r="S1419" s="2" t="str">
        <f t="shared" si="45"/>
        <v>Central - Retired</v>
      </c>
    </row>
    <row r="1420" spans="1:19" x14ac:dyDescent="0.3">
      <c r="A1420" t="s">
        <v>2863</v>
      </c>
      <c r="B1420" t="s">
        <v>2864</v>
      </c>
      <c r="C1420">
        <v>48</v>
      </c>
      <c r="D1420" s="2" t="s">
        <v>13</v>
      </c>
      <c r="E1420" s="2" t="s">
        <v>22</v>
      </c>
      <c r="F1420" s="2" t="s">
        <v>23</v>
      </c>
      <c r="G1420" s="2" t="s">
        <v>24</v>
      </c>
      <c r="H1420" s="2" t="s">
        <v>18</v>
      </c>
      <c r="I1420" s="2" t="s">
        <v>18</v>
      </c>
      <c r="J1420">
        <v>0.65</v>
      </c>
      <c r="K1420" s="1">
        <v>43558</v>
      </c>
      <c r="L1420" s="2" t="str">
        <f>IF(Sheet1[[#This Row],[age]]&lt;18, "Under 18",IF(Sheet1[[#This Row],[age]]&lt;=30,"18-30",IF(Sheet1[[#This Row],[age]]&lt;=45,"31-45",IF(Sheet1[[#This Row],[age]]&lt;=60,"46-60","60+"))))</f>
        <v>46-60</v>
      </c>
      <c r="M1420" s="2" t="str">
        <f>IF(Sheet1[[#This Row],[risk_score]]&lt;0.3,"Low",IF(Sheet1[[#This Row],[risk_score]]&lt;0.7,"Medium","High"))</f>
        <v>Medium</v>
      </c>
      <c r="N1420">
        <f>YEAR(Sheet1[[#This Row],[date_joined]])</f>
        <v>2019</v>
      </c>
      <c r="O1420" s="2" t="str">
        <f>TEXT(Sheet1[[#This Row],[date_joined]],"mmm")</f>
        <v>Apr</v>
      </c>
      <c r="P1420" s="2" t="str">
        <f>"Q"&amp;ROUNDUP(MONTH(Sheet1[[#This Row],[date_joined]])/3,0)</f>
        <v>Q2</v>
      </c>
      <c r="Q1420" s="2" t="str">
        <f>IF(Sheet1[[#This Row],[age]]&lt;30,"Young",IF(Sheet1[[#This Row],[age]]&lt;=50,"Adult","Senior"))</f>
        <v>Adult</v>
      </c>
      <c r="R1420" s="2" t="str">
        <f t="shared" si="44"/>
        <v>Very High</v>
      </c>
      <c r="S1420" s="2" t="str">
        <f t="shared" si="45"/>
        <v>East - Salaried</v>
      </c>
    </row>
    <row r="1421" spans="1:19" x14ac:dyDescent="0.3">
      <c r="A1421" t="s">
        <v>2865</v>
      </c>
      <c r="B1421" t="s">
        <v>2866</v>
      </c>
      <c r="C1421">
        <v>66</v>
      </c>
      <c r="D1421" s="2" t="s">
        <v>21</v>
      </c>
      <c r="E1421" s="2" t="s">
        <v>14</v>
      </c>
      <c r="F1421" s="2" t="s">
        <v>15</v>
      </c>
      <c r="G1421" s="2" t="s">
        <v>16</v>
      </c>
      <c r="H1421" s="2" t="s">
        <v>17</v>
      </c>
      <c r="I1421" s="2" t="s">
        <v>17</v>
      </c>
      <c r="J1421">
        <v>0.75</v>
      </c>
      <c r="K1421" s="1">
        <v>44360</v>
      </c>
      <c r="L1421" s="2" t="str">
        <f>IF(Sheet1[[#This Row],[age]]&lt;18, "Under 18",IF(Sheet1[[#This Row],[age]]&lt;=30,"18-30",IF(Sheet1[[#This Row],[age]]&lt;=45,"31-45",IF(Sheet1[[#This Row],[age]]&lt;=60,"46-60","60+"))))</f>
        <v>60+</v>
      </c>
      <c r="M1421" s="2" t="str">
        <f>IF(Sheet1[[#This Row],[risk_score]]&lt;0.3,"Low",IF(Sheet1[[#This Row],[risk_score]]&lt;0.7,"Medium","High"))</f>
        <v>High</v>
      </c>
      <c r="N1421">
        <f>YEAR(Sheet1[[#This Row],[date_joined]])</f>
        <v>2021</v>
      </c>
      <c r="O1421" s="2" t="str">
        <f>TEXT(Sheet1[[#This Row],[date_joined]],"mmm")</f>
        <v>Jun</v>
      </c>
      <c r="P1421" s="2" t="str">
        <f>"Q"&amp;ROUNDUP(MONTH(Sheet1[[#This Row],[date_joined]])/3,0)</f>
        <v>Q2</v>
      </c>
      <c r="Q1421" s="2" t="str">
        <f>IF(Sheet1[[#This Row],[age]]&lt;30,"Young",IF(Sheet1[[#This Row],[age]]&lt;=50,"Adult","Senior"))</f>
        <v>Senior</v>
      </c>
      <c r="R1421" s="2" t="str">
        <f t="shared" si="44"/>
        <v>Low</v>
      </c>
      <c r="S1421" s="2" t="str">
        <f t="shared" si="45"/>
        <v>West - Student</v>
      </c>
    </row>
    <row r="1422" spans="1:19" x14ac:dyDescent="0.3">
      <c r="A1422" t="s">
        <v>2867</v>
      </c>
      <c r="B1422" t="s">
        <v>2868</v>
      </c>
      <c r="C1422">
        <v>56</v>
      </c>
      <c r="D1422" s="2" t="s">
        <v>21</v>
      </c>
      <c r="E1422" s="2" t="s">
        <v>22</v>
      </c>
      <c r="F1422" s="2" t="s">
        <v>15</v>
      </c>
      <c r="G1422" s="2" t="s">
        <v>27</v>
      </c>
      <c r="H1422" s="2" t="s">
        <v>17</v>
      </c>
      <c r="I1422" s="2" t="s">
        <v>18</v>
      </c>
      <c r="J1422">
        <v>0.4</v>
      </c>
      <c r="K1422" s="1">
        <v>43559</v>
      </c>
      <c r="L1422" s="2" t="str">
        <f>IF(Sheet1[[#This Row],[age]]&lt;18, "Under 18",IF(Sheet1[[#This Row],[age]]&lt;=30,"18-30",IF(Sheet1[[#This Row],[age]]&lt;=45,"31-45",IF(Sheet1[[#This Row],[age]]&lt;=60,"46-60","60+"))))</f>
        <v>46-60</v>
      </c>
      <c r="M1422" s="2" t="str">
        <f>IF(Sheet1[[#This Row],[risk_score]]&lt;0.3,"Low",IF(Sheet1[[#This Row],[risk_score]]&lt;0.7,"Medium","High"))</f>
        <v>Medium</v>
      </c>
      <c r="N1422">
        <f>YEAR(Sheet1[[#This Row],[date_joined]])</f>
        <v>2019</v>
      </c>
      <c r="O1422" s="2" t="str">
        <f>TEXT(Sheet1[[#This Row],[date_joined]],"mmm")</f>
        <v>Apr</v>
      </c>
      <c r="P1422" s="2" t="str">
        <f>"Q"&amp;ROUNDUP(MONTH(Sheet1[[#This Row],[date_joined]])/3,0)</f>
        <v>Q2</v>
      </c>
      <c r="Q1422" s="2" t="str">
        <f>IF(Sheet1[[#This Row],[age]]&lt;30,"Young",IF(Sheet1[[#This Row],[age]]&lt;=50,"Adult","Senior"))</f>
        <v>Senior</v>
      </c>
      <c r="R1422" s="2" t="str">
        <f t="shared" si="44"/>
        <v>High</v>
      </c>
      <c r="S1422" s="2" t="str">
        <f t="shared" si="45"/>
        <v>North - Student</v>
      </c>
    </row>
    <row r="1423" spans="1:19" x14ac:dyDescent="0.3">
      <c r="A1423" t="s">
        <v>2869</v>
      </c>
      <c r="B1423" t="s">
        <v>2870</v>
      </c>
      <c r="C1423">
        <v>56</v>
      </c>
      <c r="D1423" s="2" t="s">
        <v>21</v>
      </c>
      <c r="E1423" s="2" t="s">
        <v>14</v>
      </c>
      <c r="F1423" s="2" t="s">
        <v>23</v>
      </c>
      <c r="G1423" s="2" t="s">
        <v>27</v>
      </c>
      <c r="H1423" s="2" t="s">
        <v>17</v>
      </c>
      <c r="I1423" s="2" t="s">
        <v>17</v>
      </c>
      <c r="J1423">
        <v>0.2</v>
      </c>
      <c r="K1423" s="1">
        <v>44959</v>
      </c>
      <c r="L1423" s="2" t="str">
        <f>IF(Sheet1[[#This Row],[age]]&lt;18, "Under 18",IF(Sheet1[[#This Row],[age]]&lt;=30,"18-30",IF(Sheet1[[#This Row],[age]]&lt;=45,"31-45",IF(Sheet1[[#This Row],[age]]&lt;=60,"46-60","60+"))))</f>
        <v>46-60</v>
      </c>
      <c r="M1423" s="2" t="str">
        <f>IF(Sheet1[[#This Row],[risk_score]]&lt;0.3,"Low",IF(Sheet1[[#This Row],[risk_score]]&lt;0.7,"Medium","High"))</f>
        <v>Low</v>
      </c>
      <c r="N1423">
        <f>YEAR(Sheet1[[#This Row],[date_joined]])</f>
        <v>2023</v>
      </c>
      <c r="O1423" s="2" t="str">
        <f>TEXT(Sheet1[[#This Row],[date_joined]],"mmm")</f>
        <v>Feb</v>
      </c>
      <c r="P1423" s="2" t="str">
        <f>"Q"&amp;ROUNDUP(MONTH(Sheet1[[#This Row],[date_joined]])/3,0)</f>
        <v>Q1</v>
      </c>
      <c r="Q1423" s="2" t="str">
        <f>IF(Sheet1[[#This Row],[age]]&lt;30,"Young",IF(Sheet1[[#This Row],[age]]&lt;=50,"Adult","Senior"))</f>
        <v>Senior</v>
      </c>
      <c r="R1423" s="2" t="str">
        <f t="shared" si="44"/>
        <v>Low</v>
      </c>
      <c r="S1423" s="2" t="str">
        <f t="shared" si="45"/>
        <v>North - Salaried</v>
      </c>
    </row>
    <row r="1424" spans="1:19" x14ac:dyDescent="0.3">
      <c r="A1424" t="s">
        <v>2871</v>
      </c>
      <c r="B1424" t="s">
        <v>2872</v>
      </c>
      <c r="C1424">
        <v>19</v>
      </c>
      <c r="D1424" s="2" t="s">
        <v>13</v>
      </c>
      <c r="E1424" s="2" t="s">
        <v>14</v>
      </c>
      <c r="F1424" s="2" t="s">
        <v>23</v>
      </c>
      <c r="G1424" s="2" t="s">
        <v>32</v>
      </c>
      <c r="H1424" s="2" t="s">
        <v>17</v>
      </c>
      <c r="I1424" s="2" t="s">
        <v>18</v>
      </c>
      <c r="J1424">
        <v>0.45</v>
      </c>
      <c r="K1424" s="1">
        <v>44419</v>
      </c>
      <c r="L1424" s="2" t="str">
        <f>IF(Sheet1[[#This Row],[age]]&lt;18, "Under 18",IF(Sheet1[[#This Row],[age]]&lt;=30,"18-30",IF(Sheet1[[#This Row],[age]]&lt;=45,"31-45",IF(Sheet1[[#This Row],[age]]&lt;=60,"46-60","60+"))))</f>
        <v>18-30</v>
      </c>
      <c r="M1424" s="2" t="str">
        <f>IF(Sheet1[[#This Row],[risk_score]]&lt;0.3,"Low",IF(Sheet1[[#This Row],[risk_score]]&lt;0.7,"Medium","High"))</f>
        <v>Medium</v>
      </c>
      <c r="N1424">
        <f>YEAR(Sheet1[[#This Row],[date_joined]])</f>
        <v>2021</v>
      </c>
      <c r="O1424" s="2" t="str">
        <f>TEXT(Sheet1[[#This Row],[date_joined]],"mmm")</f>
        <v>Aug</v>
      </c>
      <c r="P1424" s="2" t="str">
        <f>"Q"&amp;ROUNDUP(MONTH(Sheet1[[#This Row],[date_joined]])/3,0)</f>
        <v>Q3</v>
      </c>
      <c r="Q1424" s="2" t="str">
        <f>IF(Sheet1[[#This Row],[age]]&lt;30,"Young",IF(Sheet1[[#This Row],[age]]&lt;=50,"Adult","Senior"))</f>
        <v>Young</v>
      </c>
      <c r="R1424" s="2" t="str">
        <f t="shared" si="44"/>
        <v>High</v>
      </c>
      <c r="S1424" s="2" t="str">
        <f t="shared" si="45"/>
        <v>South - Salaried</v>
      </c>
    </row>
    <row r="1425" spans="1:19" x14ac:dyDescent="0.3">
      <c r="A1425" t="s">
        <v>2873</v>
      </c>
      <c r="B1425" t="s">
        <v>2874</v>
      </c>
      <c r="C1425">
        <v>62</v>
      </c>
      <c r="D1425" s="2" t="s">
        <v>13</v>
      </c>
      <c r="E1425" s="2" t="s">
        <v>14</v>
      </c>
      <c r="F1425" s="2" t="s">
        <v>15</v>
      </c>
      <c r="G1425" s="2" t="s">
        <v>32</v>
      </c>
      <c r="H1425" s="2" t="s">
        <v>17</v>
      </c>
      <c r="I1425" s="2" t="s">
        <v>17</v>
      </c>
      <c r="J1425">
        <v>0.5</v>
      </c>
      <c r="K1425" s="1">
        <v>45187</v>
      </c>
      <c r="L1425" s="2" t="str">
        <f>IF(Sheet1[[#This Row],[age]]&lt;18, "Under 18",IF(Sheet1[[#This Row],[age]]&lt;=30,"18-30",IF(Sheet1[[#This Row],[age]]&lt;=45,"31-45",IF(Sheet1[[#This Row],[age]]&lt;=60,"46-60","60+"))))</f>
        <v>60+</v>
      </c>
      <c r="M1425" s="2" t="str">
        <f>IF(Sheet1[[#This Row],[risk_score]]&lt;0.3,"Low",IF(Sheet1[[#This Row],[risk_score]]&lt;0.7,"Medium","High"))</f>
        <v>Medium</v>
      </c>
      <c r="N1425">
        <f>YEAR(Sheet1[[#This Row],[date_joined]])</f>
        <v>2023</v>
      </c>
      <c r="O1425" s="2" t="str">
        <f>TEXT(Sheet1[[#This Row],[date_joined]],"mmm")</f>
        <v>Sep</v>
      </c>
      <c r="P1425" s="2" t="str">
        <f>"Q"&amp;ROUNDUP(MONTH(Sheet1[[#This Row],[date_joined]])/3,0)</f>
        <v>Q3</v>
      </c>
      <c r="Q1425" s="2" t="str">
        <f>IF(Sheet1[[#This Row],[age]]&lt;30,"Young",IF(Sheet1[[#This Row],[age]]&lt;=50,"Adult","Senior"))</f>
        <v>Senior</v>
      </c>
      <c r="R1425" s="2" t="str">
        <f t="shared" si="44"/>
        <v>Low</v>
      </c>
      <c r="S1425" s="2" t="str">
        <f t="shared" si="45"/>
        <v>South - Student</v>
      </c>
    </row>
    <row r="1426" spans="1:19" x14ac:dyDescent="0.3">
      <c r="A1426" t="s">
        <v>2875</v>
      </c>
      <c r="B1426" t="s">
        <v>2876</v>
      </c>
      <c r="C1426">
        <v>65</v>
      </c>
      <c r="D1426" s="2" t="s">
        <v>21</v>
      </c>
      <c r="E1426" s="2" t="s">
        <v>22</v>
      </c>
      <c r="F1426" s="2" t="s">
        <v>15</v>
      </c>
      <c r="G1426" s="2" t="s">
        <v>66</v>
      </c>
      <c r="H1426" s="2" t="s">
        <v>18</v>
      </c>
      <c r="I1426" s="2" t="s">
        <v>17</v>
      </c>
      <c r="J1426">
        <v>0.5</v>
      </c>
      <c r="K1426" s="1">
        <v>43384</v>
      </c>
      <c r="L1426" s="2" t="str">
        <f>IF(Sheet1[[#This Row],[age]]&lt;18, "Under 18",IF(Sheet1[[#This Row],[age]]&lt;=30,"18-30",IF(Sheet1[[#This Row],[age]]&lt;=45,"31-45",IF(Sheet1[[#This Row],[age]]&lt;=60,"46-60","60+"))))</f>
        <v>60+</v>
      </c>
      <c r="M1426" s="2" t="str">
        <f>IF(Sheet1[[#This Row],[risk_score]]&lt;0.3,"Low",IF(Sheet1[[#This Row],[risk_score]]&lt;0.7,"Medium","High"))</f>
        <v>Medium</v>
      </c>
      <c r="N1426">
        <f>YEAR(Sheet1[[#This Row],[date_joined]])</f>
        <v>2018</v>
      </c>
      <c r="O1426" s="2" t="str">
        <f>TEXT(Sheet1[[#This Row],[date_joined]],"mmm")</f>
        <v>Oct</v>
      </c>
      <c r="P1426" s="2" t="str">
        <f>"Q"&amp;ROUNDUP(MONTH(Sheet1[[#This Row],[date_joined]])/3,0)</f>
        <v>Q4</v>
      </c>
      <c r="Q1426" s="2" t="str">
        <f>IF(Sheet1[[#This Row],[age]]&lt;30,"Young",IF(Sheet1[[#This Row],[age]]&lt;=50,"Adult","Senior"))</f>
        <v>Senior</v>
      </c>
      <c r="R1426" s="2" t="str">
        <f t="shared" si="44"/>
        <v>High</v>
      </c>
      <c r="S1426" s="2" t="str">
        <f t="shared" si="45"/>
        <v>North-East - Student</v>
      </c>
    </row>
    <row r="1427" spans="1:19" x14ac:dyDescent="0.3">
      <c r="A1427" t="s">
        <v>2877</v>
      </c>
      <c r="B1427" t="s">
        <v>2878</v>
      </c>
      <c r="C1427">
        <v>23</v>
      </c>
      <c r="D1427" s="2" t="s">
        <v>21</v>
      </c>
      <c r="E1427" s="2" t="s">
        <v>30</v>
      </c>
      <c r="F1427" s="2" t="s">
        <v>15</v>
      </c>
      <c r="G1427" s="2" t="s">
        <v>24</v>
      </c>
      <c r="H1427" s="2" t="s">
        <v>18</v>
      </c>
      <c r="I1427" s="2" t="s">
        <v>18</v>
      </c>
      <c r="J1427">
        <v>0.48</v>
      </c>
      <c r="K1427" s="1">
        <v>44563</v>
      </c>
      <c r="L1427" s="2" t="str">
        <f>IF(Sheet1[[#This Row],[age]]&lt;18, "Under 18",IF(Sheet1[[#This Row],[age]]&lt;=30,"18-30",IF(Sheet1[[#This Row],[age]]&lt;=45,"31-45",IF(Sheet1[[#This Row],[age]]&lt;=60,"46-60","60+"))))</f>
        <v>18-30</v>
      </c>
      <c r="M1427" s="2" t="str">
        <f>IF(Sheet1[[#This Row],[risk_score]]&lt;0.3,"Low",IF(Sheet1[[#This Row],[risk_score]]&lt;0.7,"Medium","High"))</f>
        <v>Medium</v>
      </c>
      <c r="N1427">
        <f>YEAR(Sheet1[[#This Row],[date_joined]])</f>
        <v>2022</v>
      </c>
      <c r="O1427" s="2" t="str">
        <f>TEXT(Sheet1[[#This Row],[date_joined]],"mmm")</f>
        <v>Jan</v>
      </c>
      <c r="P1427" s="2" t="str">
        <f>"Q"&amp;ROUNDUP(MONTH(Sheet1[[#This Row],[date_joined]])/3,0)</f>
        <v>Q1</v>
      </c>
      <c r="Q1427" s="2" t="str">
        <f>IF(Sheet1[[#This Row],[age]]&lt;30,"Young",IF(Sheet1[[#This Row],[age]]&lt;=50,"Adult","Senior"))</f>
        <v>Young</v>
      </c>
      <c r="R1427" s="2" t="str">
        <f t="shared" si="44"/>
        <v>Very High</v>
      </c>
      <c r="S1427" s="2" t="str">
        <f t="shared" si="45"/>
        <v>East - Student</v>
      </c>
    </row>
    <row r="1428" spans="1:19" x14ac:dyDescent="0.3">
      <c r="A1428" t="s">
        <v>2879</v>
      </c>
      <c r="B1428" t="s">
        <v>2880</v>
      </c>
      <c r="C1428">
        <v>53</v>
      </c>
      <c r="D1428" s="2" t="s">
        <v>21</v>
      </c>
      <c r="E1428" s="2" t="s">
        <v>22</v>
      </c>
      <c r="F1428" s="2" t="s">
        <v>23</v>
      </c>
      <c r="G1428" s="2" t="s">
        <v>27</v>
      </c>
      <c r="H1428" s="2" t="s">
        <v>17</v>
      </c>
      <c r="I1428" s="2" t="s">
        <v>17</v>
      </c>
      <c r="J1428">
        <v>0.35</v>
      </c>
      <c r="K1428" s="1">
        <v>44357</v>
      </c>
      <c r="L1428" s="2" t="str">
        <f>IF(Sheet1[[#This Row],[age]]&lt;18, "Under 18",IF(Sheet1[[#This Row],[age]]&lt;=30,"18-30",IF(Sheet1[[#This Row],[age]]&lt;=45,"31-45",IF(Sheet1[[#This Row],[age]]&lt;=60,"46-60","60+"))))</f>
        <v>46-60</v>
      </c>
      <c r="M1428" s="2" t="str">
        <f>IF(Sheet1[[#This Row],[risk_score]]&lt;0.3,"Low",IF(Sheet1[[#This Row],[risk_score]]&lt;0.7,"Medium","High"))</f>
        <v>Medium</v>
      </c>
      <c r="N1428">
        <f>YEAR(Sheet1[[#This Row],[date_joined]])</f>
        <v>2021</v>
      </c>
      <c r="O1428" s="2" t="str">
        <f>TEXT(Sheet1[[#This Row],[date_joined]],"mmm")</f>
        <v>Jun</v>
      </c>
      <c r="P1428" s="2" t="str">
        <f>"Q"&amp;ROUNDUP(MONTH(Sheet1[[#This Row],[date_joined]])/3,0)</f>
        <v>Q2</v>
      </c>
      <c r="Q1428" s="2" t="str">
        <f>IF(Sheet1[[#This Row],[age]]&lt;30,"Young",IF(Sheet1[[#This Row],[age]]&lt;=50,"Adult","Senior"))</f>
        <v>Senior</v>
      </c>
      <c r="R1428" s="2" t="str">
        <f t="shared" si="44"/>
        <v>Low</v>
      </c>
      <c r="S1428" s="2" t="str">
        <f t="shared" si="45"/>
        <v>North - Salaried</v>
      </c>
    </row>
    <row r="1429" spans="1:19" x14ac:dyDescent="0.3">
      <c r="A1429" t="s">
        <v>2881</v>
      </c>
      <c r="B1429" t="s">
        <v>2882</v>
      </c>
      <c r="C1429">
        <v>21</v>
      </c>
      <c r="D1429" s="2" t="s">
        <v>21</v>
      </c>
      <c r="E1429" s="2" t="s">
        <v>14</v>
      </c>
      <c r="F1429" s="2" t="s">
        <v>23</v>
      </c>
      <c r="G1429" s="2" t="s">
        <v>32</v>
      </c>
      <c r="H1429" s="2" t="s">
        <v>17</v>
      </c>
      <c r="I1429" s="2" t="s">
        <v>17</v>
      </c>
      <c r="J1429">
        <v>0.44</v>
      </c>
      <c r="K1429" s="1">
        <v>45185</v>
      </c>
      <c r="L1429" s="2" t="str">
        <f>IF(Sheet1[[#This Row],[age]]&lt;18, "Under 18",IF(Sheet1[[#This Row],[age]]&lt;=30,"18-30",IF(Sheet1[[#This Row],[age]]&lt;=45,"31-45",IF(Sheet1[[#This Row],[age]]&lt;=60,"46-60","60+"))))</f>
        <v>18-30</v>
      </c>
      <c r="M1429" s="2" t="str">
        <f>IF(Sheet1[[#This Row],[risk_score]]&lt;0.3,"Low",IF(Sheet1[[#This Row],[risk_score]]&lt;0.7,"Medium","High"))</f>
        <v>Medium</v>
      </c>
      <c r="N1429">
        <f>YEAR(Sheet1[[#This Row],[date_joined]])</f>
        <v>2023</v>
      </c>
      <c r="O1429" s="2" t="str">
        <f>TEXT(Sheet1[[#This Row],[date_joined]],"mmm")</f>
        <v>Sep</v>
      </c>
      <c r="P1429" s="2" t="str">
        <f>"Q"&amp;ROUNDUP(MONTH(Sheet1[[#This Row],[date_joined]])/3,0)</f>
        <v>Q3</v>
      </c>
      <c r="Q1429" s="2" t="str">
        <f>IF(Sheet1[[#This Row],[age]]&lt;30,"Young",IF(Sheet1[[#This Row],[age]]&lt;=50,"Adult","Senior"))</f>
        <v>Young</v>
      </c>
      <c r="R1429" s="2" t="str">
        <f t="shared" si="44"/>
        <v>Low</v>
      </c>
      <c r="S1429" s="2" t="str">
        <f t="shared" si="45"/>
        <v>South - Salaried</v>
      </c>
    </row>
    <row r="1430" spans="1:19" x14ac:dyDescent="0.3">
      <c r="A1430" t="s">
        <v>2883</v>
      </c>
      <c r="B1430" t="s">
        <v>2884</v>
      </c>
      <c r="C1430">
        <v>25</v>
      </c>
      <c r="D1430" s="2" t="s">
        <v>21</v>
      </c>
      <c r="E1430" s="2" t="s">
        <v>14</v>
      </c>
      <c r="F1430" s="2" t="s">
        <v>37</v>
      </c>
      <c r="G1430" s="2" t="s">
        <v>24</v>
      </c>
      <c r="H1430" s="2" t="s">
        <v>18</v>
      </c>
      <c r="I1430" s="2" t="s">
        <v>17</v>
      </c>
      <c r="J1430">
        <v>0.66</v>
      </c>
      <c r="K1430" s="1">
        <v>43940</v>
      </c>
      <c r="L1430" s="2" t="str">
        <f>IF(Sheet1[[#This Row],[age]]&lt;18, "Under 18",IF(Sheet1[[#This Row],[age]]&lt;=30,"18-30",IF(Sheet1[[#This Row],[age]]&lt;=45,"31-45",IF(Sheet1[[#This Row],[age]]&lt;=60,"46-60","60+"))))</f>
        <v>18-30</v>
      </c>
      <c r="M1430" s="2" t="str">
        <f>IF(Sheet1[[#This Row],[risk_score]]&lt;0.3,"Low",IF(Sheet1[[#This Row],[risk_score]]&lt;0.7,"Medium","High"))</f>
        <v>Medium</v>
      </c>
      <c r="N1430">
        <f>YEAR(Sheet1[[#This Row],[date_joined]])</f>
        <v>2020</v>
      </c>
      <c r="O1430" s="2" t="str">
        <f>TEXT(Sheet1[[#This Row],[date_joined]],"mmm")</f>
        <v>Apr</v>
      </c>
      <c r="P1430" s="2" t="str">
        <f>"Q"&amp;ROUNDUP(MONTH(Sheet1[[#This Row],[date_joined]])/3,0)</f>
        <v>Q2</v>
      </c>
      <c r="Q1430" s="2" t="str">
        <f>IF(Sheet1[[#This Row],[age]]&lt;30,"Young",IF(Sheet1[[#This Row],[age]]&lt;=50,"Adult","Senior"))</f>
        <v>Young</v>
      </c>
      <c r="R1430" s="2" t="str">
        <f t="shared" si="44"/>
        <v>High</v>
      </c>
      <c r="S1430" s="2" t="str">
        <f t="shared" si="45"/>
        <v>East - Retired</v>
      </c>
    </row>
    <row r="1431" spans="1:19" x14ac:dyDescent="0.3">
      <c r="A1431" t="s">
        <v>2885</v>
      </c>
      <c r="B1431" t="s">
        <v>2886</v>
      </c>
      <c r="C1431">
        <v>37</v>
      </c>
      <c r="D1431" s="2" t="s">
        <v>21</v>
      </c>
      <c r="E1431" s="2" t="s">
        <v>30</v>
      </c>
      <c r="F1431" s="2" t="s">
        <v>15</v>
      </c>
      <c r="G1431" s="2" t="s">
        <v>27</v>
      </c>
      <c r="H1431" s="2" t="s">
        <v>17</v>
      </c>
      <c r="I1431" s="2" t="s">
        <v>17</v>
      </c>
      <c r="J1431">
        <v>0.7</v>
      </c>
      <c r="K1431" s="1">
        <v>44728</v>
      </c>
      <c r="L1431" s="2" t="str">
        <f>IF(Sheet1[[#This Row],[age]]&lt;18, "Under 18",IF(Sheet1[[#This Row],[age]]&lt;=30,"18-30",IF(Sheet1[[#This Row],[age]]&lt;=45,"31-45",IF(Sheet1[[#This Row],[age]]&lt;=60,"46-60","60+"))))</f>
        <v>31-45</v>
      </c>
      <c r="M1431" s="2" t="str">
        <f>IF(Sheet1[[#This Row],[risk_score]]&lt;0.3,"Low",IF(Sheet1[[#This Row],[risk_score]]&lt;0.7,"Medium","High"))</f>
        <v>High</v>
      </c>
      <c r="N1431">
        <f>YEAR(Sheet1[[#This Row],[date_joined]])</f>
        <v>2022</v>
      </c>
      <c r="O1431" s="2" t="str">
        <f>TEXT(Sheet1[[#This Row],[date_joined]],"mmm")</f>
        <v>Jun</v>
      </c>
      <c r="P1431" s="2" t="str">
        <f>"Q"&amp;ROUNDUP(MONTH(Sheet1[[#This Row],[date_joined]])/3,0)</f>
        <v>Q2</v>
      </c>
      <c r="Q1431" s="2" t="str">
        <f>IF(Sheet1[[#This Row],[age]]&lt;30,"Young",IF(Sheet1[[#This Row],[age]]&lt;=50,"Adult","Senior"))</f>
        <v>Adult</v>
      </c>
      <c r="R1431" s="2" t="str">
        <f t="shared" si="44"/>
        <v>Low</v>
      </c>
      <c r="S1431" s="2" t="str">
        <f t="shared" si="45"/>
        <v>North - Student</v>
      </c>
    </row>
    <row r="1432" spans="1:19" x14ac:dyDescent="0.3">
      <c r="A1432" t="s">
        <v>2887</v>
      </c>
      <c r="B1432" t="s">
        <v>2888</v>
      </c>
      <c r="C1432">
        <v>67</v>
      </c>
      <c r="D1432" s="2" t="s">
        <v>13</v>
      </c>
      <c r="E1432" s="2" t="s">
        <v>22</v>
      </c>
      <c r="F1432" s="2" t="s">
        <v>15</v>
      </c>
      <c r="G1432" s="2" t="s">
        <v>66</v>
      </c>
      <c r="H1432" s="2" t="s">
        <v>17</v>
      </c>
      <c r="I1432" s="2" t="s">
        <v>18</v>
      </c>
      <c r="J1432">
        <v>0.6</v>
      </c>
      <c r="K1432" s="1">
        <v>44312</v>
      </c>
      <c r="L1432" s="2" t="str">
        <f>IF(Sheet1[[#This Row],[age]]&lt;18, "Under 18",IF(Sheet1[[#This Row],[age]]&lt;=30,"18-30",IF(Sheet1[[#This Row],[age]]&lt;=45,"31-45",IF(Sheet1[[#This Row],[age]]&lt;=60,"46-60","60+"))))</f>
        <v>60+</v>
      </c>
      <c r="M1432" s="2" t="str">
        <f>IF(Sheet1[[#This Row],[risk_score]]&lt;0.3,"Low",IF(Sheet1[[#This Row],[risk_score]]&lt;0.7,"Medium","High"))</f>
        <v>Medium</v>
      </c>
      <c r="N1432">
        <f>YEAR(Sheet1[[#This Row],[date_joined]])</f>
        <v>2021</v>
      </c>
      <c r="O1432" s="2" t="str">
        <f>TEXT(Sheet1[[#This Row],[date_joined]],"mmm")</f>
        <v>Apr</v>
      </c>
      <c r="P1432" s="2" t="str">
        <f>"Q"&amp;ROUNDUP(MONTH(Sheet1[[#This Row],[date_joined]])/3,0)</f>
        <v>Q2</v>
      </c>
      <c r="Q1432" s="2" t="str">
        <f>IF(Sheet1[[#This Row],[age]]&lt;30,"Young",IF(Sheet1[[#This Row],[age]]&lt;=50,"Adult","Senior"))</f>
        <v>Senior</v>
      </c>
      <c r="R1432" s="2" t="str">
        <f t="shared" si="44"/>
        <v>High</v>
      </c>
      <c r="S1432" s="2" t="str">
        <f t="shared" si="45"/>
        <v>North-East - Student</v>
      </c>
    </row>
    <row r="1433" spans="1:19" x14ac:dyDescent="0.3">
      <c r="A1433" t="s">
        <v>2889</v>
      </c>
      <c r="B1433" t="s">
        <v>2890</v>
      </c>
      <c r="C1433">
        <v>59</v>
      </c>
      <c r="D1433" s="2" t="s">
        <v>21</v>
      </c>
      <c r="E1433" s="2" t="s">
        <v>30</v>
      </c>
      <c r="F1433" s="2" t="s">
        <v>31</v>
      </c>
      <c r="G1433" s="2" t="s">
        <v>16</v>
      </c>
      <c r="H1433" s="2" t="s">
        <v>18</v>
      </c>
      <c r="I1433" s="2" t="s">
        <v>18</v>
      </c>
      <c r="J1433">
        <v>0.4</v>
      </c>
      <c r="K1433" s="1">
        <v>43520</v>
      </c>
      <c r="L1433" s="2" t="str">
        <f>IF(Sheet1[[#This Row],[age]]&lt;18, "Under 18",IF(Sheet1[[#This Row],[age]]&lt;=30,"18-30",IF(Sheet1[[#This Row],[age]]&lt;=45,"31-45",IF(Sheet1[[#This Row],[age]]&lt;=60,"46-60","60+"))))</f>
        <v>46-60</v>
      </c>
      <c r="M1433" s="2" t="str">
        <f>IF(Sheet1[[#This Row],[risk_score]]&lt;0.3,"Low",IF(Sheet1[[#This Row],[risk_score]]&lt;0.7,"Medium","High"))</f>
        <v>Medium</v>
      </c>
      <c r="N1433">
        <f>YEAR(Sheet1[[#This Row],[date_joined]])</f>
        <v>2019</v>
      </c>
      <c r="O1433" s="2" t="str">
        <f>TEXT(Sheet1[[#This Row],[date_joined]],"mmm")</f>
        <v>Feb</v>
      </c>
      <c r="P1433" s="2" t="str">
        <f>"Q"&amp;ROUNDUP(MONTH(Sheet1[[#This Row],[date_joined]])/3,0)</f>
        <v>Q1</v>
      </c>
      <c r="Q1433" s="2" t="str">
        <f>IF(Sheet1[[#This Row],[age]]&lt;30,"Young",IF(Sheet1[[#This Row],[age]]&lt;=50,"Adult","Senior"))</f>
        <v>Senior</v>
      </c>
      <c r="R1433" s="2" t="str">
        <f t="shared" si="44"/>
        <v>Very High</v>
      </c>
      <c r="S1433" s="2" t="str">
        <f t="shared" si="45"/>
        <v>West - Self-employed</v>
      </c>
    </row>
    <row r="1434" spans="1:19" x14ac:dyDescent="0.3">
      <c r="A1434" t="s">
        <v>2891</v>
      </c>
      <c r="B1434" t="s">
        <v>2892</v>
      </c>
      <c r="C1434">
        <v>53</v>
      </c>
      <c r="D1434" s="2" t="s">
        <v>13</v>
      </c>
      <c r="E1434" s="2" t="s">
        <v>30</v>
      </c>
      <c r="F1434" s="2" t="s">
        <v>15</v>
      </c>
      <c r="G1434" s="2" t="s">
        <v>16</v>
      </c>
      <c r="H1434" s="2" t="s">
        <v>17</v>
      </c>
      <c r="I1434" s="2" t="s">
        <v>17</v>
      </c>
      <c r="J1434">
        <v>0.46</v>
      </c>
      <c r="K1434" s="1">
        <v>43596</v>
      </c>
      <c r="L1434" s="2" t="str">
        <f>IF(Sheet1[[#This Row],[age]]&lt;18, "Under 18",IF(Sheet1[[#This Row],[age]]&lt;=30,"18-30",IF(Sheet1[[#This Row],[age]]&lt;=45,"31-45",IF(Sheet1[[#This Row],[age]]&lt;=60,"46-60","60+"))))</f>
        <v>46-60</v>
      </c>
      <c r="M1434" s="2" t="str">
        <f>IF(Sheet1[[#This Row],[risk_score]]&lt;0.3,"Low",IF(Sheet1[[#This Row],[risk_score]]&lt;0.7,"Medium","High"))</f>
        <v>Medium</v>
      </c>
      <c r="N1434">
        <f>YEAR(Sheet1[[#This Row],[date_joined]])</f>
        <v>2019</v>
      </c>
      <c r="O1434" s="2" t="str">
        <f>TEXT(Sheet1[[#This Row],[date_joined]],"mmm")</f>
        <v>May</v>
      </c>
      <c r="P1434" s="2" t="str">
        <f>"Q"&amp;ROUNDUP(MONTH(Sheet1[[#This Row],[date_joined]])/3,0)</f>
        <v>Q2</v>
      </c>
      <c r="Q1434" s="2" t="str">
        <f>IF(Sheet1[[#This Row],[age]]&lt;30,"Young",IF(Sheet1[[#This Row],[age]]&lt;=50,"Adult","Senior"))</f>
        <v>Senior</v>
      </c>
      <c r="R1434" s="2" t="str">
        <f t="shared" si="44"/>
        <v>Low</v>
      </c>
      <c r="S1434" s="2" t="str">
        <f t="shared" si="45"/>
        <v>West - Student</v>
      </c>
    </row>
    <row r="1435" spans="1:19" x14ac:dyDescent="0.3">
      <c r="A1435" t="s">
        <v>2893</v>
      </c>
      <c r="B1435" t="s">
        <v>2894</v>
      </c>
      <c r="C1435">
        <v>56</v>
      </c>
      <c r="D1435" s="2" t="s">
        <v>13</v>
      </c>
      <c r="E1435" s="2" t="s">
        <v>30</v>
      </c>
      <c r="F1435" s="2" t="s">
        <v>37</v>
      </c>
      <c r="G1435" s="2" t="s">
        <v>66</v>
      </c>
      <c r="H1435" s="2" t="s">
        <v>17</v>
      </c>
      <c r="I1435" s="2" t="s">
        <v>17</v>
      </c>
      <c r="J1435">
        <v>0.33</v>
      </c>
      <c r="K1435" s="1">
        <v>44895</v>
      </c>
      <c r="L1435" s="2" t="str">
        <f>IF(Sheet1[[#This Row],[age]]&lt;18, "Under 18",IF(Sheet1[[#This Row],[age]]&lt;=30,"18-30",IF(Sheet1[[#This Row],[age]]&lt;=45,"31-45",IF(Sheet1[[#This Row],[age]]&lt;=60,"46-60","60+"))))</f>
        <v>46-60</v>
      </c>
      <c r="M1435" s="2" t="str">
        <f>IF(Sheet1[[#This Row],[risk_score]]&lt;0.3,"Low",IF(Sheet1[[#This Row],[risk_score]]&lt;0.7,"Medium","High"))</f>
        <v>Medium</v>
      </c>
      <c r="N1435">
        <f>YEAR(Sheet1[[#This Row],[date_joined]])</f>
        <v>2022</v>
      </c>
      <c r="O1435" s="2" t="str">
        <f>TEXT(Sheet1[[#This Row],[date_joined]],"mmm")</f>
        <v>Nov</v>
      </c>
      <c r="P1435" s="2" t="str">
        <f>"Q"&amp;ROUNDUP(MONTH(Sheet1[[#This Row],[date_joined]])/3,0)</f>
        <v>Q4</v>
      </c>
      <c r="Q1435" s="2" t="str">
        <f>IF(Sheet1[[#This Row],[age]]&lt;30,"Young",IF(Sheet1[[#This Row],[age]]&lt;=50,"Adult","Senior"))</f>
        <v>Senior</v>
      </c>
      <c r="R1435" s="2" t="str">
        <f t="shared" si="44"/>
        <v>Low</v>
      </c>
      <c r="S1435" s="2" t="str">
        <f t="shared" si="45"/>
        <v>North-East - Retired</v>
      </c>
    </row>
    <row r="1436" spans="1:19" x14ac:dyDescent="0.3">
      <c r="A1436" t="s">
        <v>2895</v>
      </c>
      <c r="B1436" t="s">
        <v>2896</v>
      </c>
      <c r="C1436">
        <v>32</v>
      </c>
      <c r="D1436" s="2" t="s">
        <v>21</v>
      </c>
      <c r="E1436" s="2" t="s">
        <v>22</v>
      </c>
      <c r="F1436" s="2" t="s">
        <v>23</v>
      </c>
      <c r="G1436" s="2" t="s">
        <v>24</v>
      </c>
      <c r="H1436" s="2" t="s">
        <v>17</v>
      </c>
      <c r="I1436" s="2" t="s">
        <v>17</v>
      </c>
      <c r="J1436">
        <v>0.54</v>
      </c>
      <c r="K1436" s="1">
        <v>43963</v>
      </c>
      <c r="L1436" s="2" t="str">
        <f>IF(Sheet1[[#This Row],[age]]&lt;18, "Under 18",IF(Sheet1[[#This Row],[age]]&lt;=30,"18-30",IF(Sheet1[[#This Row],[age]]&lt;=45,"31-45",IF(Sheet1[[#This Row],[age]]&lt;=60,"46-60","60+"))))</f>
        <v>31-45</v>
      </c>
      <c r="M1436" s="2" t="str">
        <f>IF(Sheet1[[#This Row],[risk_score]]&lt;0.3,"Low",IF(Sheet1[[#This Row],[risk_score]]&lt;0.7,"Medium","High"))</f>
        <v>Medium</v>
      </c>
      <c r="N1436">
        <f>YEAR(Sheet1[[#This Row],[date_joined]])</f>
        <v>2020</v>
      </c>
      <c r="O1436" s="2" t="str">
        <f>TEXT(Sheet1[[#This Row],[date_joined]],"mmm")</f>
        <v>May</v>
      </c>
      <c r="P1436" s="2" t="str">
        <f>"Q"&amp;ROUNDUP(MONTH(Sheet1[[#This Row],[date_joined]])/3,0)</f>
        <v>Q2</v>
      </c>
      <c r="Q1436" s="2" t="str">
        <f>IF(Sheet1[[#This Row],[age]]&lt;30,"Young",IF(Sheet1[[#This Row],[age]]&lt;=50,"Adult","Senior"))</f>
        <v>Adult</v>
      </c>
      <c r="R1436" s="2" t="str">
        <f t="shared" si="44"/>
        <v>Low</v>
      </c>
      <c r="S1436" s="2" t="str">
        <f t="shared" si="45"/>
        <v>East - Salaried</v>
      </c>
    </row>
    <row r="1437" spans="1:19" x14ac:dyDescent="0.3">
      <c r="A1437" t="s">
        <v>2897</v>
      </c>
      <c r="B1437" t="s">
        <v>2898</v>
      </c>
      <c r="C1437">
        <v>68</v>
      </c>
      <c r="D1437" s="2" t="s">
        <v>13</v>
      </c>
      <c r="E1437" s="2" t="s">
        <v>22</v>
      </c>
      <c r="F1437" s="2" t="s">
        <v>37</v>
      </c>
      <c r="G1437" s="2" t="s">
        <v>16</v>
      </c>
      <c r="H1437" s="2" t="s">
        <v>17</v>
      </c>
      <c r="I1437" s="2" t="s">
        <v>18</v>
      </c>
      <c r="J1437">
        <v>0.76</v>
      </c>
      <c r="K1437" s="1">
        <v>44159</v>
      </c>
      <c r="L1437" s="2" t="str">
        <f>IF(Sheet1[[#This Row],[age]]&lt;18, "Under 18",IF(Sheet1[[#This Row],[age]]&lt;=30,"18-30",IF(Sheet1[[#This Row],[age]]&lt;=45,"31-45",IF(Sheet1[[#This Row],[age]]&lt;=60,"46-60","60+"))))</f>
        <v>60+</v>
      </c>
      <c r="M1437" s="2" t="str">
        <f>IF(Sheet1[[#This Row],[risk_score]]&lt;0.3,"Low",IF(Sheet1[[#This Row],[risk_score]]&lt;0.7,"Medium","High"))</f>
        <v>High</v>
      </c>
      <c r="N1437">
        <f>YEAR(Sheet1[[#This Row],[date_joined]])</f>
        <v>2020</v>
      </c>
      <c r="O1437" s="2" t="str">
        <f>TEXT(Sheet1[[#This Row],[date_joined]],"mmm")</f>
        <v>Nov</v>
      </c>
      <c r="P1437" s="2" t="str">
        <f>"Q"&amp;ROUNDUP(MONTH(Sheet1[[#This Row],[date_joined]])/3,0)</f>
        <v>Q4</v>
      </c>
      <c r="Q1437" s="2" t="str">
        <f>IF(Sheet1[[#This Row],[age]]&lt;30,"Young",IF(Sheet1[[#This Row],[age]]&lt;=50,"Adult","Senior"))</f>
        <v>Senior</v>
      </c>
      <c r="R1437" s="2" t="str">
        <f t="shared" si="44"/>
        <v>High</v>
      </c>
      <c r="S1437" s="2" t="str">
        <f t="shared" si="45"/>
        <v>West - Retired</v>
      </c>
    </row>
    <row r="1438" spans="1:19" x14ac:dyDescent="0.3">
      <c r="A1438" t="s">
        <v>2899</v>
      </c>
      <c r="B1438" t="s">
        <v>2900</v>
      </c>
      <c r="C1438">
        <v>33</v>
      </c>
      <c r="D1438" s="2" t="s">
        <v>13</v>
      </c>
      <c r="E1438" s="2" t="s">
        <v>30</v>
      </c>
      <c r="F1438" s="2" t="s">
        <v>37</v>
      </c>
      <c r="G1438" s="2" t="s">
        <v>24</v>
      </c>
      <c r="H1438" s="2" t="s">
        <v>18</v>
      </c>
      <c r="I1438" s="2" t="s">
        <v>17</v>
      </c>
      <c r="J1438">
        <v>0.36</v>
      </c>
      <c r="K1438" s="1">
        <v>43529</v>
      </c>
      <c r="L1438" s="2" t="str">
        <f>IF(Sheet1[[#This Row],[age]]&lt;18, "Under 18",IF(Sheet1[[#This Row],[age]]&lt;=30,"18-30",IF(Sheet1[[#This Row],[age]]&lt;=45,"31-45",IF(Sheet1[[#This Row],[age]]&lt;=60,"46-60","60+"))))</f>
        <v>31-45</v>
      </c>
      <c r="M1438" s="2" t="str">
        <f>IF(Sheet1[[#This Row],[risk_score]]&lt;0.3,"Low",IF(Sheet1[[#This Row],[risk_score]]&lt;0.7,"Medium","High"))</f>
        <v>Medium</v>
      </c>
      <c r="N1438">
        <f>YEAR(Sheet1[[#This Row],[date_joined]])</f>
        <v>2019</v>
      </c>
      <c r="O1438" s="2" t="str">
        <f>TEXT(Sheet1[[#This Row],[date_joined]],"mmm")</f>
        <v>Mar</v>
      </c>
      <c r="P1438" s="2" t="str">
        <f>"Q"&amp;ROUNDUP(MONTH(Sheet1[[#This Row],[date_joined]])/3,0)</f>
        <v>Q1</v>
      </c>
      <c r="Q1438" s="2" t="str">
        <f>IF(Sheet1[[#This Row],[age]]&lt;30,"Young",IF(Sheet1[[#This Row],[age]]&lt;=50,"Adult","Senior"))</f>
        <v>Adult</v>
      </c>
      <c r="R1438" s="2" t="str">
        <f t="shared" si="44"/>
        <v>High</v>
      </c>
      <c r="S1438" s="2" t="str">
        <f t="shared" si="45"/>
        <v>East - Retired</v>
      </c>
    </row>
    <row r="1439" spans="1:19" x14ac:dyDescent="0.3">
      <c r="A1439" t="s">
        <v>2901</v>
      </c>
      <c r="B1439" t="s">
        <v>2902</v>
      </c>
      <c r="C1439">
        <v>19</v>
      </c>
      <c r="D1439" s="2" t="s">
        <v>21</v>
      </c>
      <c r="E1439" s="2" t="s">
        <v>30</v>
      </c>
      <c r="F1439" s="2" t="s">
        <v>37</v>
      </c>
      <c r="G1439" s="2" t="s">
        <v>66</v>
      </c>
      <c r="H1439" s="2" t="s">
        <v>17</v>
      </c>
      <c r="I1439" s="2" t="s">
        <v>17</v>
      </c>
      <c r="J1439">
        <v>0.53</v>
      </c>
      <c r="K1439" s="1">
        <v>44414</v>
      </c>
      <c r="L1439" s="2" t="str">
        <f>IF(Sheet1[[#This Row],[age]]&lt;18, "Under 18",IF(Sheet1[[#This Row],[age]]&lt;=30,"18-30",IF(Sheet1[[#This Row],[age]]&lt;=45,"31-45",IF(Sheet1[[#This Row],[age]]&lt;=60,"46-60","60+"))))</f>
        <v>18-30</v>
      </c>
      <c r="M1439" s="2" t="str">
        <f>IF(Sheet1[[#This Row],[risk_score]]&lt;0.3,"Low",IF(Sheet1[[#This Row],[risk_score]]&lt;0.7,"Medium","High"))</f>
        <v>Medium</v>
      </c>
      <c r="N1439">
        <f>YEAR(Sheet1[[#This Row],[date_joined]])</f>
        <v>2021</v>
      </c>
      <c r="O1439" s="2" t="str">
        <f>TEXT(Sheet1[[#This Row],[date_joined]],"mmm")</f>
        <v>Aug</v>
      </c>
      <c r="P1439" s="2" t="str">
        <f>"Q"&amp;ROUNDUP(MONTH(Sheet1[[#This Row],[date_joined]])/3,0)</f>
        <v>Q3</v>
      </c>
      <c r="Q1439" s="2" t="str">
        <f>IF(Sheet1[[#This Row],[age]]&lt;30,"Young",IF(Sheet1[[#This Row],[age]]&lt;=50,"Adult","Senior"))</f>
        <v>Young</v>
      </c>
      <c r="R1439" s="2" t="str">
        <f t="shared" si="44"/>
        <v>Low</v>
      </c>
      <c r="S1439" s="2" t="str">
        <f t="shared" si="45"/>
        <v>North-East - Retired</v>
      </c>
    </row>
    <row r="1440" spans="1:19" x14ac:dyDescent="0.3">
      <c r="A1440" t="s">
        <v>2903</v>
      </c>
      <c r="B1440" t="s">
        <v>2904</v>
      </c>
      <c r="C1440">
        <v>34</v>
      </c>
      <c r="D1440" s="2" t="s">
        <v>21</v>
      </c>
      <c r="E1440" s="2" t="s">
        <v>30</v>
      </c>
      <c r="F1440" s="2" t="s">
        <v>31</v>
      </c>
      <c r="G1440" s="2" t="s">
        <v>81</v>
      </c>
      <c r="H1440" s="2" t="s">
        <v>18</v>
      </c>
      <c r="I1440" s="2" t="s">
        <v>18</v>
      </c>
      <c r="J1440">
        <v>0.48</v>
      </c>
      <c r="K1440" s="1">
        <v>43197</v>
      </c>
      <c r="L1440" s="2" t="str">
        <f>IF(Sheet1[[#This Row],[age]]&lt;18, "Under 18",IF(Sheet1[[#This Row],[age]]&lt;=30,"18-30",IF(Sheet1[[#This Row],[age]]&lt;=45,"31-45",IF(Sheet1[[#This Row],[age]]&lt;=60,"46-60","60+"))))</f>
        <v>31-45</v>
      </c>
      <c r="M1440" s="2" t="str">
        <f>IF(Sheet1[[#This Row],[risk_score]]&lt;0.3,"Low",IF(Sheet1[[#This Row],[risk_score]]&lt;0.7,"Medium","High"))</f>
        <v>Medium</v>
      </c>
      <c r="N1440">
        <f>YEAR(Sheet1[[#This Row],[date_joined]])</f>
        <v>2018</v>
      </c>
      <c r="O1440" s="2" t="str">
        <f>TEXT(Sheet1[[#This Row],[date_joined]],"mmm")</f>
        <v>Apr</v>
      </c>
      <c r="P1440" s="2" t="str">
        <f>"Q"&amp;ROUNDUP(MONTH(Sheet1[[#This Row],[date_joined]])/3,0)</f>
        <v>Q2</v>
      </c>
      <c r="Q1440" s="2" t="str">
        <f>IF(Sheet1[[#This Row],[age]]&lt;30,"Young",IF(Sheet1[[#This Row],[age]]&lt;=50,"Adult","Senior"))</f>
        <v>Adult</v>
      </c>
      <c r="R1440" s="2" t="str">
        <f t="shared" si="44"/>
        <v>Very High</v>
      </c>
      <c r="S1440" s="2" t="str">
        <f t="shared" si="45"/>
        <v>Central - Self-employed</v>
      </c>
    </row>
    <row r="1441" spans="1:19" x14ac:dyDescent="0.3">
      <c r="A1441" t="s">
        <v>2905</v>
      </c>
      <c r="B1441" t="s">
        <v>2906</v>
      </c>
      <c r="C1441">
        <v>22</v>
      </c>
      <c r="D1441" s="2" t="s">
        <v>21</v>
      </c>
      <c r="E1441" s="2" t="s">
        <v>22</v>
      </c>
      <c r="F1441" s="2" t="s">
        <v>15</v>
      </c>
      <c r="G1441" s="2" t="s">
        <v>27</v>
      </c>
      <c r="H1441" s="2" t="s">
        <v>17</v>
      </c>
      <c r="I1441" s="2" t="s">
        <v>18</v>
      </c>
      <c r="J1441">
        <v>0.48</v>
      </c>
      <c r="K1441" s="1">
        <v>44641</v>
      </c>
      <c r="L1441" s="2" t="str">
        <f>IF(Sheet1[[#This Row],[age]]&lt;18, "Under 18",IF(Sheet1[[#This Row],[age]]&lt;=30,"18-30",IF(Sheet1[[#This Row],[age]]&lt;=45,"31-45",IF(Sheet1[[#This Row],[age]]&lt;=60,"46-60","60+"))))</f>
        <v>18-30</v>
      </c>
      <c r="M1441" s="2" t="str">
        <f>IF(Sheet1[[#This Row],[risk_score]]&lt;0.3,"Low",IF(Sheet1[[#This Row],[risk_score]]&lt;0.7,"Medium","High"))</f>
        <v>Medium</v>
      </c>
      <c r="N1441">
        <f>YEAR(Sheet1[[#This Row],[date_joined]])</f>
        <v>2022</v>
      </c>
      <c r="O1441" s="2" t="str">
        <f>TEXT(Sheet1[[#This Row],[date_joined]],"mmm")</f>
        <v>Mar</v>
      </c>
      <c r="P1441" s="2" t="str">
        <f>"Q"&amp;ROUNDUP(MONTH(Sheet1[[#This Row],[date_joined]])/3,0)</f>
        <v>Q1</v>
      </c>
      <c r="Q1441" s="2" t="str">
        <f>IF(Sheet1[[#This Row],[age]]&lt;30,"Young",IF(Sheet1[[#This Row],[age]]&lt;=50,"Adult","Senior"))</f>
        <v>Young</v>
      </c>
      <c r="R1441" s="2" t="str">
        <f t="shared" si="44"/>
        <v>High</v>
      </c>
      <c r="S1441" s="2" t="str">
        <f t="shared" si="45"/>
        <v>North - Student</v>
      </c>
    </row>
    <row r="1442" spans="1:19" x14ac:dyDescent="0.3">
      <c r="A1442" t="s">
        <v>2907</v>
      </c>
      <c r="B1442" t="s">
        <v>2908</v>
      </c>
      <c r="C1442">
        <v>22</v>
      </c>
      <c r="D1442" s="2" t="s">
        <v>21</v>
      </c>
      <c r="E1442" s="2" t="s">
        <v>30</v>
      </c>
      <c r="F1442" s="2" t="s">
        <v>23</v>
      </c>
      <c r="G1442" s="2" t="s">
        <v>81</v>
      </c>
      <c r="H1442" s="2" t="s">
        <v>17</v>
      </c>
      <c r="I1442" s="2" t="s">
        <v>17</v>
      </c>
      <c r="J1442">
        <v>0.13</v>
      </c>
      <c r="K1442" s="1">
        <v>44050</v>
      </c>
      <c r="L1442" s="2" t="str">
        <f>IF(Sheet1[[#This Row],[age]]&lt;18, "Under 18",IF(Sheet1[[#This Row],[age]]&lt;=30,"18-30",IF(Sheet1[[#This Row],[age]]&lt;=45,"31-45",IF(Sheet1[[#This Row],[age]]&lt;=60,"46-60","60+"))))</f>
        <v>18-30</v>
      </c>
      <c r="M1442" s="2" t="str">
        <f>IF(Sheet1[[#This Row],[risk_score]]&lt;0.3,"Low",IF(Sheet1[[#This Row],[risk_score]]&lt;0.7,"Medium","High"))</f>
        <v>Low</v>
      </c>
      <c r="N1442">
        <f>YEAR(Sheet1[[#This Row],[date_joined]])</f>
        <v>2020</v>
      </c>
      <c r="O1442" s="2" t="str">
        <f>TEXT(Sheet1[[#This Row],[date_joined]],"mmm")</f>
        <v>Aug</v>
      </c>
      <c r="P1442" s="2" t="str">
        <f>"Q"&amp;ROUNDUP(MONTH(Sheet1[[#This Row],[date_joined]])/3,0)</f>
        <v>Q3</v>
      </c>
      <c r="Q1442" s="2" t="str">
        <f>IF(Sheet1[[#This Row],[age]]&lt;30,"Young",IF(Sheet1[[#This Row],[age]]&lt;=50,"Adult","Senior"))</f>
        <v>Young</v>
      </c>
      <c r="R1442" s="2" t="str">
        <f t="shared" si="44"/>
        <v>Low</v>
      </c>
      <c r="S1442" s="2" t="str">
        <f t="shared" si="45"/>
        <v>Central - Salaried</v>
      </c>
    </row>
    <row r="1443" spans="1:19" x14ac:dyDescent="0.3">
      <c r="A1443" t="s">
        <v>2909</v>
      </c>
      <c r="B1443" t="s">
        <v>2910</v>
      </c>
      <c r="C1443">
        <v>48</v>
      </c>
      <c r="D1443" s="2" t="s">
        <v>21</v>
      </c>
      <c r="E1443" s="2" t="s">
        <v>14</v>
      </c>
      <c r="F1443" s="2" t="s">
        <v>37</v>
      </c>
      <c r="G1443" s="2" t="s">
        <v>27</v>
      </c>
      <c r="H1443" s="2" t="s">
        <v>18</v>
      </c>
      <c r="I1443" s="2" t="s">
        <v>18</v>
      </c>
      <c r="J1443">
        <v>0.28999999999999998</v>
      </c>
      <c r="K1443" s="1">
        <v>43759</v>
      </c>
      <c r="L1443" s="2" t="str">
        <f>IF(Sheet1[[#This Row],[age]]&lt;18, "Under 18",IF(Sheet1[[#This Row],[age]]&lt;=30,"18-30",IF(Sheet1[[#This Row],[age]]&lt;=45,"31-45",IF(Sheet1[[#This Row],[age]]&lt;=60,"46-60","60+"))))</f>
        <v>46-60</v>
      </c>
      <c r="M1443" s="2" t="str">
        <f>IF(Sheet1[[#This Row],[risk_score]]&lt;0.3,"Low",IF(Sheet1[[#This Row],[risk_score]]&lt;0.7,"Medium","High"))</f>
        <v>Low</v>
      </c>
      <c r="N1443">
        <f>YEAR(Sheet1[[#This Row],[date_joined]])</f>
        <v>2019</v>
      </c>
      <c r="O1443" s="2" t="str">
        <f>TEXT(Sheet1[[#This Row],[date_joined]],"mmm")</f>
        <v>Oct</v>
      </c>
      <c r="P1443" s="2" t="str">
        <f>"Q"&amp;ROUNDUP(MONTH(Sheet1[[#This Row],[date_joined]])/3,0)</f>
        <v>Q4</v>
      </c>
      <c r="Q1443" s="2" t="str">
        <f>IF(Sheet1[[#This Row],[age]]&lt;30,"Young",IF(Sheet1[[#This Row],[age]]&lt;=50,"Adult","Senior"))</f>
        <v>Adult</v>
      </c>
      <c r="R1443" s="2" t="str">
        <f t="shared" si="44"/>
        <v>Very High</v>
      </c>
      <c r="S1443" s="2" t="str">
        <f t="shared" si="45"/>
        <v>North - Retired</v>
      </c>
    </row>
    <row r="1444" spans="1:19" x14ac:dyDescent="0.3">
      <c r="A1444" t="s">
        <v>2911</v>
      </c>
      <c r="B1444" t="s">
        <v>2912</v>
      </c>
      <c r="C1444">
        <v>48</v>
      </c>
      <c r="D1444" s="2" t="s">
        <v>13</v>
      </c>
      <c r="E1444" s="2" t="s">
        <v>22</v>
      </c>
      <c r="F1444" s="2" t="s">
        <v>37</v>
      </c>
      <c r="G1444" s="2" t="s">
        <v>16</v>
      </c>
      <c r="H1444" s="2" t="s">
        <v>18</v>
      </c>
      <c r="I1444" s="2" t="s">
        <v>18</v>
      </c>
      <c r="J1444">
        <v>0.69</v>
      </c>
      <c r="K1444" s="1">
        <v>43343</v>
      </c>
      <c r="L1444" s="2" t="str">
        <f>IF(Sheet1[[#This Row],[age]]&lt;18, "Under 18",IF(Sheet1[[#This Row],[age]]&lt;=30,"18-30",IF(Sheet1[[#This Row],[age]]&lt;=45,"31-45",IF(Sheet1[[#This Row],[age]]&lt;=60,"46-60","60+"))))</f>
        <v>46-60</v>
      </c>
      <c r="M1444" s="2" t="str">
        <f>IF(Sheet1[[#This Row],[risk_score]]&lt;0.3,"Low",IF(Sheet1[[#This Row],[risk_score]]&lt;0.7,"Medium","High"))</f>
        <v>Medium</v>
      </c>
      <c r="N1444">
        <f>YEAR(Sheet1[[#This Row],[date_joined]])</f>
        <v>2018</v>
      </c>
      <c r="O1444" s="2" t="str">
        <f>TEXT(Sheet1[[#This Row],[date_joined]],"mmm")</f>
        <v>Aug</v>
      </c>
      <c r="P1444" s="2" t="str">
        <f>"Q"&amp;ROUNDUP(MONTH(Sheet1[[#This Row],[date_joined]])/3,0)</f>
        <v>Q3</v>
      </c>
      <c r="Q1444" s="2" t="str">
        <f>IF(Sheet1[[#This Row],[age]]&lt;30,"Young",IF(Sheet1[[#This Row],[age]]&lt;=50,"Adult","Senior"))</f>
        <v>Adult</v>
      </c>
      <c r="R1444" s="2" t="str">
        <f t="shared" si="44"/>
        <v>Very High</v>
      </c>
      <c r="S1444" s="2" t="str">
        <f t="shared" si="45"/>
        <v>West - Retired</v>
      </c>
    </row>
    <row r="1445" spans="1:19" x14ac:dyDescent="0.3">
      <c r="A1445" t="s">
        <v>2913</v>
      </c>
      <c r="B1445" t="s">
        <v>2914</v>
      </c>
      <c r="C1445">
        <v>27</v>
      </c>
      <c r="D1445" s="2" t="s">
        <v>21</v>
      </c>
      <c r="E1445" s="2" t="s">
        <v>22</v>
      </c>
      <c r="F1445" s="2" t="s">
        <v>23</v>
      </c>
      <c r="G1445" s="2" t="s">
        <v>16</v>
      </c>
      <c r="H1445" s="2" t="s">
        <v>17</v>
      </c>
      <c r="I1445" s="2" t="s">
        <v>18</v>
      </c>
      <c r="J1445">
        <v>0.69</v>
      </c>
      <c r="K1445" s="1">
        <v>44726</v>
      </c>
      <c r="L1445" s="2" t="str">
        <f>IF(Sheet1[[#This Row],[age]]&lt;18, "Under 18",IF(Sheet1[[#This Row],[age]]&lt;=30,"18-30",IF(Sheet1[[#This Row],[age]]&lt;=45,"31-45",IF(Sheet1[[#This Row],[age]]&lt;=60,"46-60","60+"))))</f>
        <v>18-30</v>
      </c>
      <c r="M1445" s="2" t="str">
        <f>IF(Sheet1[[#This Row],[risk_score]]&lt;0.3,"Low",IF(Sheet1[[#This Row],[risk_score]]&lt;0.7,"Medium","High"))</f>
        <v>Medium</v>
      </c>
      <c r="N1445">
        <f>YEAR(Sheet1[[#This Row],[date_joined]])</f>
        <v>2022</v>
      </c>
      <c r="O1445" s="2" t="str">
        <f>TEXT(Sheet1[[#This Row],[date_joined]],"mmm")</f>
        <v>Jun</v>
      </c>
      <c r="P1445" s="2" t="str">
        <f>"Q"&amp;ROUNDUP(MONTH(Sheet1[[#This Row],[date_joined]])/3,0)</f>
        <v>Q2</v>
      </c>
      <c r="Q1445" s="2" t="str">
        <f>IF(Sheet1[[#This Row],[age]]&lt;30,"Young",IF(Sheet1[[#This Row],[age]]&lt;=50,"Adult","Senior"))</f>
        <v>Young</v>
      </c>
      <c r="R1445" s="2" t="str">
        <f t="shared" si="44"/>
        <v>High</v>
      </c>
      <c r="S1445" s="2" t="str">
        <f t="shared" si="45"/>
        <v>West - Salaried</v>
      </c>
    </row>
    <row r="1446" spans="1:19" x14ac:dyDescent="0.3">
      <c r="A1446" t="s">
        <v>2915</v>
      </c>
      <c r="B1446" t="s">
        <v>2916</v>
      </c>
      <c r="C1446">
        <v>31</v>
      </c>
      <c r="D1446" s="2" t="s">
        <v>21</v>
      </c>
      <c r="E1446" s="2" t="s">
        <v>22</v>
      </c>
      <c r="F1446" s="2" t="s">
        <v>23</v>
      </c>
      <c r="G1446" s="2" t="s">
        <v>66</v>
      </c>
      <c r="H1446" s="2" t="s">
        <v>17</v>
      </c>
      <c r="I1446" s="2" t="s">
        <v>17</v>
      </c>
      <c r="J1446">
        <v>0.32</v>
      </c>
      <c r="K1446" s="1">
        <v>44217</v>
      </c>
      <c r="L1446" s="2" t="str">
        <f>IF(Sheet1[[#This Row],[age]]&lt;18, "Under 18",IF(Sheet1[[#This Row],[age]]&lt;=30,"18-30",IF(Sheet1[[#This Row],[age]]&lt;=45,"31-45",IF(Sheet1[[#This Row],[age]]&lt;=60,"46-60","60+"))))</f>
        <v>31-45</v>
      </c>
      <c r="M1446" s="2" t="str">
        <f>IF(Sheet1[[#This Row],[risk_score]]&lt;0.3,"Low",IF(Sheet1[[#This Row],[risk_score]]&lt;0.7,"Medium","High"))</f>
        <v>Medium</v>
      </c>
      <c r="N1446">
        <f>YEAR(Sheet1[[#This Row],[date_joined]])</f>
        <v>2021</v>
      </c>
      <c r="O1446" s="2" t="str">
        <f>TEXT(Sheet1[[#This Row],[date_joined]],"mmm")</f>
        <v>Jan</v>
      </c>
      <c r="P1446" s="2" t="str">
        <f>"Q"&amp;ROUNDUP(MONTH(Sheet1[[#This Row],[date_joined]])/3,0)</f>
        <v>Q1</v>
      </c>
      <c r="Q1446" s="2" t="str">
        <f>IF(Sheet1[[#This Row],[age]]&lt;30,"Young",IF(Sheet1[[#This Row],[age]]&lt;=50,"Adult","Senior"))</f>
        <v>Adult</v>
      </c>
      <c r="R1446" s="2" t="str">
        <f t="shared" si="44"/>
        <v>Low</v>
      </c>
      <c r="S1446" s="2" t="str">
        <f t="shared" si="45"/>
        <v>North-East - Salaried</v>
      </c>
    </row>
    <row r="1447" spans="1:19" x14ac:dyDescent="0.3">
      <c r="A1447" t="s">
        <v>2917</v>
      </c>
      <c r="B1447" t="s">
        <v>2918</v>
      </c>
      <c r="C1447">
        <v>23</v>
      </c>
      <c r="D1447" s="2" t="s">
        <v>21</v>
      </c>
      <c r="E1447" s="2" t="s">
        <v>14</v>
      </c>
      <c r="F1447" s="2" t="s">
        <v>31</v>
      </c>
      <c r="G1447" s="2" t="s">
        <v>16</v>
      </c>
      <c r="H1447" s="2" t="s">
        <v>17</v>
      </c>
      <c r="I1447" s="2" t="s">
        <v>17</v>
      </c>
      <c r="J1447">
        <v>0.46</v>
      </c>
      <c r="K1447" s="1">
        <v>43396</v>
      </c>
      <c r="L1447" s="2" t="str">
        <f>IF(Sheet1[[#This Row],[age]]&lt;18, "Under 18",IF(Sheet1[[#This Row],[age]]&lt;=30,"18-30",IF(Sheet1[[#This Row],[age]]&lt;=45,"31-45",IF(Sheet1[[#This Row],[age]]&lt;=60,"46-60","60+"))))</f>
        <v>18-30</v>
      </c>
      <c r="M1447" s="2" t="str">
        <f>IF(Sheet1[[#This Row],[risk_score]]&lt;0.3,"Low",IF(Sheet1[[#This Row],[risk_score]]&lt;0.7,"Medium","High"))</f>
        <v>Medium</v>
      </c>
      <c r="N1447">
        <f>YEAR(Sheet1[[#This Row],[date_joined]])</f>
        <v>2018</v>
      </c>
      <c r="O1447" s="2" t="str">
        <f>TEXT(Sheet1[[#This Row],[date_joined]],"mmm")</f>
        <v>Oct</v>
      </c>
      <c r="P1447" s="2" t="str">
        <f>"Q"&amp;ROUNDUP(MONTH(Sheet1[[#This Row],[date_joined]])/3,0)</f>
        <v>Q4</v>
      </c>
      <c r="Q1447" s="2" t="str">
        <f>IF(Sheet1[[#This Row],[age]]&lt;30,"Young",IF(Sheet1[[#This Row],[age]]&lt;=50,"Adult","Senior"))</f>
        <v>Young</v>
      </c>
      <c r="R1447" s="2" t="str">
        <f t="shared" si="44"/>
        <v>Low</v>
      </c>
      <c r="S1447" s="2" t="str">
        <f t="shared" si="45"/>
        <v>West - Self-employed</v>
      </c>
    </row>
    <row r="1448" spans="1:19" x14ac:dyDescent="0.3">
      <c r="A1448" t="s">
        <v>2919</v>
      </c>
      <c r="B1448" t="s">
        <v>2920</v>
      </c>
      <c r="C1448">
        <v>55</v>
      </c>
      <c r="D1448" s="2" t="s">
        <v>13</v>
      </c>
      <c r="E1448" s="2" t="s">
        <v>22</v>
      </c>
      <c r="F1448" s="2" t="s">
        <v>23</v>
      </c>
      <c r="G1448" s="2" t="s">
        <v>27</v>
      </c>
      <c r="H1448" s="2" t="s">
        <v>18</v>
      </c>
      <c r="I1448" s="2" t="s">
        <v>18</v>
      </c>
      <c r="J1448">
        <v>0.6</v>
      </c>
      <c r="K1448" s="1">
        <v>44638</v>
      </c>
      <c r="L1448" s="2" t="str">
        <f>IF(Sheet1[[#This Row],[age]]&lt;18, "Under 18",IF(Sheet1[[#This Row],[age]]&lt;=30,"18-30",IF(Sheet1[[#This Row],[age]]&lt;=45,"31-45",IF(Sheet1[[#This Row],[age]]&lt;=60,"46-60","60+"))))</f>
        <v>46-60</v>
      </c>
      <c r="M1448" s="2" t="str">
        <f>IF(Sheet1[[#This Row],[risk_score]]&lt;0.3,"Low",IF(Sheet1[[#This Row],[risk_score]]&lt;0.7,"Medium","High"))</f>
        <v>Medium</v>
      </c>
      <c r="N1448">
        <f>YEAR(Sheet1[[#This Row],[date_joined]])</f>
        <v>2022</v>
      </c>
      <c r="O1448" s="2" t="str">
        <f>TEXT(Sheet1[[#This Row],[date_joined]],"mmm")</f>
        <v>Mar</v>
      </c>
      <c r="P1448" s="2" t="str">
        <f>"Q"&amp;ROUNDUP(MONTH(Sheet1[[#This Row],[date_joined]])/3,0)</f>
        <v>Q1</v>
      </c>
      <c r="Q1448" s="2" t="str">
        <f>IF(Sheet1[[#This Row],[age]]&lt;30,"Young",IF(Sheet1[[#This Row],[age]]&lt;=50,"Adult","Senior"))</f>
        <v>Senior</v>
      </c>
      <c r="R1448" s="2" t="str">
        <f t="shared" si="44"/>
        <v>Very High</v>
      </c>
      <c r="S1448" s="2" t="str">
        <f t="shared" si="45"/>
        <v>North - Salaried</v>
      </c>
    </row>
    <row r="1449" spans="1:19" x14ac:dyDescent="0.3">
      <c r="A1449" t="s">
        <v>2921</v>
      </c>
      <c r="B1449" t="s">
        <v>2922</v>
      </c>
      <c r="C1449">
        <v>47</v>
      </c>
      <c r="D1449" s="2" t="s">
        <v>21</v>
      </c>
      <c r="E1449" s="2" t="s">
        <v>30</v>
      </c>
      <c r="F1449" s="2" t="s">
        <v>23</v>
      </c>
      <c r="G1449" s="2" t="s">
        <v>24</v>
      </c>
      <c r="H1449" s="2" t="s">
        <v>18</v>
      </c>
      <c r="I1449" s="2" t="s">
        <v>17</v>
      </c>
      <c r="J1449">
        <v>0.67</v>
      </c>
      <c r="K1449" s="1">
        <v>43689</v>
      </c>
      <c r="L1449" s="2" t="str">
        <f>IF(Sheet1[[#This Row],[age]]&lt;18, "Under 18",IF(Sheet1[[#This Row],[age]]&lt;=30,"18-30",IF(Sheet1[[#This Row],[age]]&lt;=45,"31-45",IF(Sheet1[[#This Row],[age]]&lt;=60,"46-60","60+"))))</f>
        <v>46-60</v>
      </c>
      <c r="M1449" s="2" t="str">
        <f>IF(Sheet1[[#This Row],[risk_score]]&lt;0.3,"Low",IF(Sheet1[[#This Row],[risk_score]]&lt;0.7,"Medium","High"))</f>
        <v>Medium</v>
      </c>
      <c r="N1449">
        <f>YEAR(Sheet1[[#This Row],[date_joined]])</f>
        <v>2019</v>
      </c>
      <c r="O1449" s="2" t="str">
        <f>TEXT(Sheet1[[#This Row],[date_joined]],"mmm")</f>
        <v>Aug</v>
      </c>
      <c r="P1449" s="2" t="str">
        <f>"Q"&amp;ROUNDUP(MONTH(Sheet1[[#This Row],[date_joined]])/3,0)</f>
        <v>Q3</v>
      </c>
      <c r="Q1449" s="2" t="str">
        <f>IF(Sheet1[[#This Row],[age]]&lt;30,"Young",IF(Sheet1[[#This Row],[age]]&lt;=50,"Adult","Senior"))</f>
        <v>Adult</v>
      </c>
      <c r="R1449" s="2" t="str">
        <f t="shared" si="44"/>
        <v>High</v>
      </c>
      <c r="S1449" s="2" t="str">
        <f t="shared" si="45"/>
        <v>East - Salaried</v>
      </c>
    </row>
    <row r="1450" spans="1:19" x14ac:dyDescent="0.3">
      <c r="A1450" t="s">
        <v>2923</v>
      </c>
      <c r="B1450" t="s">
        <v>2924</v>
      </c>
      <c r="C1450">
        <v>38</v>
      </c>
      <c r="D1450" s="2" t="s">
        <v>13</v>
      </c>
      <c r="E1450" s="2" t="s">
        <v>14</v>
      </c>
      <c r="F1450" s="2" t="s">
        <v>23</v>
      </c>
      <c r="G1450" s="2" t="s">
        <v>24</v>
      </c>
      <c r="H1450" s="2" t="s">
        <v>18</v>
      </c>
      <c r="I1450" s="2" t="s">
        <v>17</v>
      </c>
      <c r="J1450">
        <v>0.61</v>
      </c>
      <c r="K1450" s="1">
        <v>44391</v>
      </c>
      <c r="L1450" s="2" t="str">
        <f>IF(Sheet1[[#This Row],[age]]&lt;18, "Under 18",IF(Sheet1[[#This Row],[age]]&lt;=30,"18-30",IF(Sheet1[[#This Row],[age]]&lt;=45,"31-45",IF(Sheet1[[#This Row],[age]]&lt;=60,"46-60","60+"))))</f>
        <v>31-45</v>
      </c>
      <c r="M1450" s="2" t="str">
        <f>IF(Sheet1[[#This Row],[risk_score]]&lt;0.3,"Low",IF(Sheet1[[#This Row],[risk_score]]&lt;0.7,"Medium","High"))</f>
        <v>Medium</v>
      </c>
      <c r="N1450">
        <f>YEAR(Sheet1[[#This Row],[date_joined]])</f>
        <v>2021</v>
      </c>
      <c r="O1450" s="2" t="str">
        <f>TEXT(Sheet1[[#This Row],[date_joined]],"mmm")</f>
        <v>Jul</v>
      </c>
      <c r="P1450" s="2" t="str">
        <f>"Q"&amp;ROUNDUP(MONTH(Sheet1[[#This Row],[date_joined]])/3,0)</f>
        <v>Q3</v>
      </c>
      <c r="Q1450" s="2" t="str">
        <f>IF(Sheet1[[#This Row],[age]]&lt;30,"Young",IF(Sheet1[[#This Row],[age]]&lt;=50,"Adult","Senior"))</f>
        <v>Adult</v>
      </c>
      <c r="R1450" s="2" t="str">
        <f t="shared" si="44"/>
        <v>High</v>
      </c>
      <c r="S1450" s="2" t="str">
        <f t="shared" si="45"/>
        <v>East - Salaried</v>
      </c>
    </row>
    <row r="1451" spans="1:19" x14ac:dyDescent="0.3">
      <c r="A1451" t="s">
        <v>2925</v>
      </c>
      <c r="B1451" t="s">
        <v>2926</v>
      </c>
      <c r="C1451">
        <v>20</v>
      </c>
      <c r="D1451" s="2" t="s">
        <v>13</v>
      </c>
      <c r="E1451" s="2" t="s">
        <v>22</v>
      </c>
      <c r="F1451" s="2" t="s">
        <v>15</v>
      </c>
      <c r="G1451" s="2" t="s">
        <v>16</v>
      </c>
      <c r="H1451" s="2" t="s">
        <v>18</v>
      </c>
      <c r="I1451" s="2" t="s">
        <v>17</v>
      </c>
      <c r="J1451">
        <v>0.56000000000000005</v>
      </c>
      <c r="K1451" s="1">
        <v>43213</v>
      </c>
      <c r="L1451" s="2" t="str">
        <f>IF(Sheet1[[#This Row],[age]]&lt;18, "Under 18",IF(Sheet1[[#This Row],[age]]&lt;=30,"18-30",IF(Sheet1[[#This Row],[age]]&lt;=45,"31-45",IF(Sheet1[[#This Row],[age]]&lt;=60,"46-60","60+"))))</f>
        <v>18-30</v>
      </c>
      <c r="M1451" s="2" t="str">
        <f>IF(Sheet1[[#This Row],[risk_score]]&lt;0.3,"Low",IF(Sheet1[[#This Row],[risk_score]]&lt;0.7,"Medium","High"))</f>
        <v>Medium</v>
      </c>
      <c r="N1451">
        <f>YEAR(Sheet1[[#This Row],[date_joined]])</f>
        <v>2018</v>
      </c>
      <c r="O1451" s="2" t="str">
        <f>TEXT(Sheet1[[#This Row],[date_joined]],"mmm")</f>
        <v>Apr</v>
      </c>
      <c r="P1451" s="2" t="str">
        <f>"Q"&amp;ROUNDUP(MONTH(Sheet1[[#This Row],[date_joined]])/3,0)</f>
        <v>Q2</v>
      </c>
      <c r="Q1451" s="2" t="str">
        <f>IF(Sheet1[[#This Row],[age]]&lt;30,"Young",IF(Sheet1[[#This Row],[age]]&lt;=50,"Adult","Senior"))</f>
        <v>Young</v>
      </c>
      <c r="R1451" s="2" t="str">
        <f t="shared" si="44"/>
        <v>High</v>
      </c>
      <c r="S1451" s="2" t="str">
        <f t="shared" si="45"/>
        <v>West - Student</v>
      </c>
    </row>
    <row r="1452" spans="1:19" x14ac:dyDescent="0.3">
      <c r="A1452" t="s">
        <v>2927</v>
      </c>
      <c r="B1452" t="s">
        <v>2928</v>
      </c>
      <c r="C1452">
        <v>58</v>
      </c>
      <c r="D1452" s="2" t="s">
        <v>21</v>
      </c>
      <c r="E1452" s="2" t="s">
        <v>22</v>
      </c>
      <c r="F1452" s="2" t="s">
        <v>15</v>
      </c>
      <c r="G1452" s="2" t="s">
        <v>24</v>
      </c>
      <c r="H1452" s="2" t="s">
        <v>18</v>
      </c>
      <c r="I1452" s="2" t="s">
        <v>18</v>
      </c>
      <c r="J1452">
        <v>0.41</v>
      </c>
      <c r="K1452" s="1">
        <v>44209</v>
      </c>
      <c r="L1452" s="2" t="str">
        <f>IF(Sheet1[[#This Row],[age]]&lt;18, "Under 18",IF(Sheet1[[#This Row],[age]]&lt;=30,"18-30",IF(Sheet1[[#This Row],[age]]&lt;=45,"31-45",IF(Sheet1[[#This Row],[age]]&lt;=60,"46-60","60+"))))</f>
        <v>46-60</v>
      </c>
      <c r="M1452" s="2" t="str">
        <f>IF(Sheet1[[#This Row],[risk_score]]&lt;0.3,"Low",IF(Sheet1[[#This Row],[risk_score]]&lt;0.7,"Medium","High"))</f>
        <v>Medium</v>
      </c>
      <c r="N1452">
        <f>YEAR(Sheet1[[#This Row],[date_joined]])</f>
        <v>2021</v>
      </c>
      <c r="O1452" s="2" t="str">
        <f>TEXT(Sheet1[[#This Row],[date_joined]],"mmm")</f>
        <v>Jan</v>
      </c>
      <c r="P1452" s="2" t="str">
        <f>"Q"&amp;ROUNDUP(MONTH(Sheet1[[#This Row],[date_joined]])/3,0)</f>
        <v>Q1</v>
      </c>
      <c r="Q1452" s="2" t="str">
        <f>IF(Sheet1[[#This Row],[age]]&lt;30,"Young",IF(Sheet1[[#This Row],[age]]&lt;=50,"Adult","Senior"))</f>
        <v>Senior</v>
      </c>
      <c r="R1452" s="2" t="str">
        <f t="shared" si="44"/>
        <v>Very High</v>
      </c>
      <c r="S1452" s="2" t="str">
        <f t="shared" si="45"/>
        <v>East - Student</v>
      </c>
    </row>
    <row r="1453" spans="1:19" x14ac:dyDescent="0.3">
      <c r="A1453" t="s">
        <v>2929</v>
      </c>
      <c r="B1453" t="s">
        <v>2930</v>
      </c>
      <c r="C1453">
        <v>32</v>
      </c>
      <c r="D1453" s="2" t="s">
        <v>13</v>
      </c>
      <c r="E1453" s="2" t="s">
        <v>30</v>
      </c>
      <c r="F1453" s="2" t="s">
        <v>31</v>
      </c>
      <c r="G1453" s="2" t="s">
        <v>32</v>
      </c>
      <c r="H1453" s="2" t="s">
        <v>18</v>
      </c>
      <c r="I1453" s="2" t="s">
        <v>17</v>
      </c>
      <c r="J1453">
        <v>0.92</v>
      </c>
      <c r="K1453" s="1">
        <v>43292</v>
      </c>
      <c r="L1453" s="2" t="str">
        <f>IF(Sheet1[[#This Row],[age]]&lt;18, "Under 18",IF(Sheet1[[#This Row],[age]]&lt;=30,"18-30",IF(Sheet1[[#This Row],[age]]&lt;=45,"31-45",IF(Sheet1[[#This Row],[age]]&lt;=60,"46-60","60+"))))</f>
        <v>31-45</v>
      </c>
      <c r="M1453" s="2" t="str">
        <f>IF(Sheet1[[#This Row],[risk_score]]&lt;0.3,"Low",IF(Sheet1[[#This Row],[risk_score]]&lt;0.7,"Medium","High"))</f>
        <v>High</v>
      </c>
      <c r="N1453">
        <f>YEAR(Sheet1[[#This Row],[date_joined]])</f>
        <v>2018</v>
      </c>
      <c r="O1453" s="2" t="str">
        <f>TEXT(Sheet1[[#This Row],[date_joined]],"mmm")</f>
        <v>Jul</v>
      </c>
      <c r="P1453" s="2" t="str">
        <f>"Q"&amp;ROUNDUP(MONTH(Sheet1[[#This Row],[date_joined]])/3,0)</f>
        <v>Q3</v>
      </c>
      <c r="Q1453" s="2" t="str">
        <f>IF(Sheet1[[#This Row],[age]]&lt;30,"Young",IF(Sheet1[[#This Row],[age]]&lt;=50,"Adult","Senior"))</f>
        <v>Adult</v>
      </c>
      <c r="R1453" s="2" t="str">
        <f t="shared" si="44"/>
        <v>High</v>
      </c>
      <c r="S1453" s="2" t="str">
        <f t="shared" si="45"/>
        <v>South - Self-employed</v>
      </c>
    </row>
    <row r="1454" spans="1:19" x14ac:dyDescent="0.3">
      <c r="A1454" t="s">
        <v>2931</v>
      </c>
      <c r="B1454" t="s">
        <v>2932</v>
      </c>
      <c r="C1454">
        <v>25</v>
      </c>
      <c r="D1454" s="2" t="s">
        <v>13</v>
      </c>
      <c r="E1454" s="2" t="s">
        <v>22</v>
      </c>
      <c r="F1454" s="2" t="s">
        <v>15</v>
      </c>
      <c r="G1454" s="2" t="s">
        <v>16</v>
      </c>
      <c r="H1454" s="2" t="s">
        <v>17</v>
      </c>
      <c r="I1454" s="2" t="s">
        <v>18</v>
      </c>
      <c r="J1454">
        <v>0.49</v>
      </c>
      <c r="K1454" s="1">
        <v>44729</v>
      </c>
      <c r="L1454" s="2" t="str">
        <f>IF(Sheet1[[#This Row],[age]]&lt;18, "Under 18",IF(Sheet1[[#This Row],[age]]&lt;=30,"18-30",IF(Sheet1[[#This Row],[age]]&lt;=45,"31-45",IF(Sheet1[[#This Row],[age]]&lt;=60,"46-60","60+"))))</f>
        <v>18-30</v>
      </c>
      <c r="M1454" s="2" t="str">
        <f>IF(Sheet1[[#This Row],[risk_score]]&lt;0.3,"Low",IF(Sheet1[[#This Row],[risk_score]]&lt;0.7,"Medium","High"))</f>
        <v>Medium</v>
      </c>
      <c r="N1454">
        <f>YEAR(Sheet1[[#This Row],[date_joined]])</f>
        <v>2022</v>
      </c>
      <c r="O1454" s="2" t="str">
        <f>TEXT(Sheet1[[#This Row],[date_joined]],"mmm")</f>
        <v>Jun</v>
      </c>
      <c r="P1454" s="2" t="str">
        <f>"Q"&amp;ROUNDUP(MONTH(Sheet1[[#This Row],[date_joined]])/3,0)</f>
        <v>Q2</v>
      </c>
      <c r="Q1454" s="2" t="str">
        <f>IF(Sheet1[[#This Row],[age]]&lt;30,"Young",IF(Sheet1[[#This Row],[age]]&lt;=50,"Adult","Senior"))</f>
        <v>Young</v>
      </c>
      <c r="R1454" s="2" t="str">
        <f t="shared" si="44"/>
        <v>High</v>
      </c>
      <c r="S1454" s="2" t="str">
        <f t="shared" si="45"/>
        <v>West - Student</v>
      </c>
    </row>
    <row r="1455" spans="1:19" x14ac:dyDescent="0.3">
      <c r="A1455" t="s">
        <v>2933</v>
      </c>
      <c r="B1455" t="s">
        <v>2934</v>
      </c>
      <c r="C1455">
        <v>18</v>
      </c>
      <c r="D1455" s="2" t="s">
        <v>13</v>
      </c>
      <c r="E1455" s="2" t="s">
        <v>14</v>
      </c>
      <c r="F1455" s="2" t="s">
        <v>15</v>
      </c>
      <c r="G1455" s="2" t="s">
        <v>16</v>
      </c>
      <c r="H1455" s="2" t="s">
        <v>17</v>
      </c>
      <c r="I1455" s="2" t="s">
        <v>17</v>
      </c>
      <c r="J1455">
        <v>0.3</v>
      </c>
      <c r="K1455" s="1">
        <v>43975</v>
      </c>
      <c r="L1455" s="2" t="str">
        <f>IF(Sheet1[[#This Row],[age]]&lt;18, "Under 18",IF(Sheet1[[#This Row],[age]]&lt;=30,"18-30",IF(Sheet1[[#This Row],[age]]&lt;=45,"31-45",IF(Sheet1[[#This Row],[age]]&lt;=60,"46-60","60+"))))</f>
        <v>18-30</v>
      </c>
      <c r="M1455" s="2" t="str">
        <f>IF(Sheet1[[#This Row],[risk_score]]&lt;0.3,"Low",IF(Sheet1[[#This Row],[risk_score]]&lt;0.7,"Medium","High"))</f>
        <v>Medium</v>
      </c>
      <c r="N1455">
        <f>YEAR(Sheet1[[#This Row],[date_joined]])</f>
        <v>2020</v>
      </c>
      <c r="O1455" s="2" t="str">
        <f>TEXT(Sheet1[[#This Row],[date_joined]],"mmm")</f>
        <v>May</v>
      </c>
      <c r="P1455" s="2" t="str">
        <f>"Q"&amp;ROUNDUP(MONTH(Sheet1[[#This Row],[date_joined]])/3,0)</f>
        <v>Q2</v>
      </c>
      <c r="Q1455" s="2" t="str">
        <f>IF(Sheet1[[#This Row],[age]]&lt;30,"Young",IF(Sheet1[[#This Row],[age]]&lt;=50,"Adult","Senior"))</f>
        <v>Young</v>
      </c>
      <c r="R1455" s="2" t="str">
        <f t="shared" si="44"/>
        <v>Low</v>
      </c>
      <c r="S1455" s="2" t="str">
        <f t="shared" si="45"/>
        <v>West - Student</v>
      </c>
    </row>
    <row r="1456" spans="1:19" x14ac:dyDescent="0.3">
      <c r="A1456" t="s">
        <v>2935</v>
      </c>
      <c r="B1456" t="s">
        <v>2936</v>
      </c>
      <c r="C1456">
        <v>30</v>
      </c>
      <c r="D1456" s="2" t="s">
        <v>13</v>
      </c>
      <c r="E1456" s="2" t="s">
        <v>14</v>
      </c>
      <c r="F1456" s="2" t="s">
        <v>23</v>
      </c>
      <c r="G1456" s="2" t="s">
        <v>27</v>
      </c>
      <c r="H1456" s="2" t="s">
        <v>18</v>
      </c>
      <c r="I1456" s="2" t="s">
        <v>18</v>
      </c>
      <c r="J1456">
        <v>0.44</v>
      </c>
      <c r="K1456" s="1">
        <v>44534</v>
      </c>
      <c r="L1456" s="2" t="str">
        <f>IF(Sheet1[[#This Row],[age]]&lt;18, "Under 18",IF(Sheet1[[#This Row],[age]]&lt;=30,"18-30",IF(Sheet1[[#This Row],[age]]&lt;=45,"31-45",IF(Sheet1[[#This Row],[age]]&lt;=60,"46-60","60+"))))</f>
        <v>18-30</v>
      </c>
      <c r="M1456" s="2" t="str">
        <f>IF(Sheet1[[#This Row],[risk_score]]&lt;0.3,"Low",IF(Sheet1[[#This Row],[risk_score]]&lt;0.7,"Medium","High"))</f>
        <v>Medium</v>
      </c>
      <c r="N1456">
        <f>YEAR(Sheet1[[#This Row],[date_joined]])</f>
        <v>2021</v>
      </c>
      <c r="O1456" s="2" t="str">
        <f>TEXT(Sheet1[[#This Row],[date_joined]],"mmm")</f>
        <v>Dec</v>
      </c>
      <c r="P1456" s="2" t="str">
        <f>"Q"&amp;ROUNDUP(MONTH(Sheet1[[#This Row],[date_joined]])/3,0)</f>
        <v>Q4</v>
      </c>
      <c r="Q1456" s="2" t="str">
        <f>IF(Sheet1[[#This Row],[age]]&lt;30,"Young",IF(Sheet1[[#This Row],[age]]&lt;=50,"Adult","Senior"))</f>
        <v>Adult</v>
      </c>
      <c r="R1456" s="2" t="str">
        <f t="shared" si="44"/>
        <v>Very High</v>
      </c>
      <c r="S1456" s="2" t="str">
        <f t="shared" si="45"/>
        <v>North - Salaried</v>
      </c>
    </row>
    <row r="1457" spans="1:19" x14ac:dyDescent="0.3">
      <c r="A1457" t="s">
        <v>2937</v>
      </c>
      <c r="B1457" t="s">
        <v>2938</v>
      </c>
      <c r="C1457">
        <v>37</v>
      </c>
      <c r="D1457" s="2" t="s">
        <v>13</v>
      </c>
      <c r="E1457" s="2" t="s">
        <v>22</v>
      </c>
      <c r="F1457" s="2" t="s">
        <v>31</v>
      </c>
      <c r="G1457" s="2" t="s">
        <v>32</v>
      </c>
      <c r="H1457" s="2" t="s">
        <v>18</v>
      </c>
      <c r="I1457" s="2" t="s">
        <v>17</v>
      </c>
      <c r="J1457">
        <v>0.79</v>
      </c>
      <c r="K1457" s="1">
        <v>43774</v>
      </c>
      <c r="L1457" s="2" t="str">
        <f>IF(Sheet1[[#This Row],[age]]&lt;18, "Under 18",IF(Sheet1[[#This Row],[age]]&lt;=30,"18-30",IF(Sheet1[[#This Row],[age]]&lt;=45,"31-45",IF(Sheet1[[#This Row],[age]]&lt;=60,"46-60","60+"))))</f>
        <v>31-45</v>
      </c>
      <c r="M1457" s="2" t="str">
        <f>IF(Sheet1[[#This Row],[risk_score]]&lt;0.3,"Low",IF(Sheet1[[#This Row],[risk_score]]&lt;0.7,"Medium","High"))</f>
        <v>High</v>
      </c>
      <c r="N1457">
        <f>YEAR(Sheet1[[#This Row],[date_joined]])</f>
        <v>2019</v>
      </c>
      <c r="O1457" s="2" t="str">
        <f>TEXT(Sheet1[[#This Row],[date_joined]],"mmm")</f>
        <v>Nov</v>
      </c>
      <c r="P1457" s="2" t="str">
        <f>"Q"&amp;ROUNDUP(MONTH(Sheet1[[#This Row],[date_joined]])/3,0)</f>
        <v>Q4</v>
      </c>
      <c r="Q1457" s="2" t="str">
        <f>IF(Sheet1[[#This Row],[age]]&lt;30,"Young",IF(Sheet1[[#This Row],[age]]&lt;=50,"Adult","Senior"))</f>
        <v>Adult</v>
      </c>
      <c r="R1457" s="2" t="str">
        <f t="shared" si="44"/>
        <v>High</v>
      </c>
      <c r="S1457" s="2" t="str">
        <f t="shared" si="45"/>
        <v>South - Self-employed</v>
      </c>
    </row>
    <row r="1458" spans="1:19" x14ac:dyDescent="0.3">
      <c r="A1458" t="s">
        <v>2939</v>
      </c>
      <c r="B1458" t="s">
        <v>2940</v>
      </c>
      <c r="C1458">
        <v>38</v>
      </c>
      <c r="D1458" s="2" t="s">
        <v>13</v>
      </c>
      <c r="E1458" s="2" t="s">
        <v>14</v>
      </c>
      <c r="F1458" s="2" t="s">
        <v>15</v>
      </c>
      <c r="G1458" s="2" t="s">
        <v>16</v>
      </c>
      <c r="H1458" s="2" t="s">
        <v>17</v>
      </c>
      <c r="I1458" s="2" t="s">
        <v>18</v>
      </c>
      <c r="J1458">
        <v>0.63</v>
      </c>
      <c r="K1458" s="1">
        <v>44205</v>
      </c>
      <c r="L1458" s="2" t="str">
        <f>IF(Sheet1[[#This Row],[age]]&lt;18, "Under 18",IF(Sheet1[[#This Row],[age]]&lt;=30,"18-30",IF(Sheet1[[#This Row],[age]]&lt;=45,"31-45",IF(Sheet1[[#This Row],[age]]&lt;=60,"46-60","60+"))))</f>
        <v>31-45</v>
      </c>
      <c r="M1458" s="2" t="str">
        <f>IF(Sheet1[[#This Row],[risk_score]]&lt;0.3,"Low",IF(Sheet1[[#This Row],[risk_score]]&lt;0.7,"Medium","High"))</f>
        <v>Medium</v>
      </c>
      <c r="N1458">
        <f>YEAR(Sheet1[[#This Row],[date_joined]])</f>
        <v>2021</v>
      </c>
      <c r="O1458" s="2" t="str">
        <f>TEXT(Sheet1[[#This Row],[date_joined]],"mmm")</f>
        <v>Jan</v>
      </c>
      <c r="P1458" s="2" t="str">
        <f>"Q"&amp;ROUNDUP(MONTH(Sheet1[[#This Row],[date_joined]])/3,0)</f>
        <v>Q1</v>
      </c>
      <c r="Q1458" s="2" t="str">
        <f>IF(Sheet1[[#This Row],[age]]&lt;30,"Young",IF(Sheet1[[#This Row],[age]]&lt;=50,"Adult","Senior"))</f>
        <v>Adult</v>
      </c>
      <c r="R1458" s="2" t="str">
        <f t="shared" si="44"/>
        <v>High</v>
      </c>
      <c r="S1458" s="2" t="str">
        <f t="shared" si="45"/>
        <v>West - Student</v>
      </c>
    </row>
    <row r="1459" spans="1:19" x14ac:dyDescent="0.3">
      <c r="A1459" t="s">
        <v>2941</v>
      </c>
      <c r="B1459" t="s">
        <v>2942</v>
      </c>
      <c r="C1459">
        <v>57</v>
      </c>
      <c r="D1459" s="2" t="s">
        <v>21</v>
      </c>
      <c r="E1459" s="2" t="s">
        <v>22</v>
      </c>
      <c r="F1459" s="2" t="s">
        <v>23</v>
      </c>
      <c r="G1459" s="2" t="s">
        <v>16</v>
      </c>
      <c r="H1459" s="2" t="s">
        <v>18</v>
      </c>
      <c r="I1459" s="2" t="s">
        <v>18</v>
      </c>
      <c r="J1459">
        <v>0.73</v>
      </c>
      <c r="K1459" s="1">
        <v>44182</v>
      </c>
      <c r="L1459" s="2" t="str">
        <f>IF(Sheet1[[#This Row],[age]]&lt;18, "Under 18",IF(Sheet1[[#This Row],[age]]&lt;=30,"18-30",IF(Sheet1[[#This Row],[age]]&lt;=45,"31-45",IF(Sheet1[[#This Row],[age]]&lt;=60,"46-60","60+"))))</f>
        <v>46-60</v>
      </c>
      <c r="M1459" s="2" t="str">
        <f>IF(Sheet1[[#This Row],[risk_score]]&lt;0.3,"Low",IF(Sheet1[[#This Row],[risk_score]]&lt;0.7,"Medium","High"))</f>
        <v>High</v>
      </c>
      <c r="N1459">
        <f>YEAR(Sheet1[[#This Row],[date_joined]])</f>
        <v>2020</v>
      </c>
      <c r="O1459" s="2" t="str">
        <f>TEXT(Sheet1[[#This Row],[date_joined]],"mmm")</f>
        <v>Dec</v>
      </c>
      <c r="P1459" s="2" t="str">
        <f>"Q"&amp;ROUNDUP(MONTH(Sheet1[[#This Row],[date_joined]])/3,0)</f>
        <v>Q4</v>
      </c>
      <c r="Q1459" s="2" t="str">
        <f>IF(Sheet1[[#This Row],[age]]&lt;30,"Young",IF(Sheet1[[#This Row],[age]]&lt;=50,"Adult","Senior"))</f>
        <v>Senior</v>
      </c>
      <c r="R1459" s="2" t="str">
        <f t="shared" si="44"/>
        <v>Very High</v>
      </c>
      <c r="S1459" s="2" t="str">
        <f t="shared" si="45"/>
        <v>West - Salaried</v>
      </c>
    </row>
    <row r="1460" spans="1:19" x14ac:dyDescent="0.3">
      <c r="A1460" t="s">
        <v>2943</v>
      </c>
      <c r="B1460" t="s">
        <v>2944</v>
      </c>
      <c r="C1460">
        <v>22</v>
      </c>
      <c r="D1460" s="2" t="s">
        <v>21</v>
      </c>
      <c r="E1460" s="2" t="s">
        <v>14</v>
      </c>
      <c r="F1460" s="2" t="s">
        <v>31</v>
      </c>
      <c r="G1460" s="2" t="s">
        <v>16</v>
      </c>
      <c r="H1460" s="2" t="s">
        <v>18</v>
      </c>
      <c r="I1460" s="2" t="s">
        <v>17</v>
      </c>
      <c r="J1460">
        <v>0.36</v>
      </c>
      <c r="K1460" s="1">
        <v>44601</v>
      </c>
      <c r="L1460" s="2" t="str">
        <f>IF(Sheet1[[#This Row],[age]]&lt;18, "Under 18",IF(Sheet1[[#This Row],[age]]&lt;=30,"18-30",IF(Sheet1[[#This Row],[age]]&lt;=45,"31-45",IF(Sheet1[[#This Row],[age]]&lt;=60,"46-60","60+"))))</f>
        <v>18-30</v>
      </c>
      <c r="M1460" s="2" t="str">
        <f>IF(Sheet1[[#This Row],[risk_score]]&lt;0.3,"Low",IF(Sheet1[[#This Row],[risk_score]]&lt;0.7,"Medium","High"))</f>
        <v>Medium</v>
      </c>
      <c r="N1460">
        <f>YEAR(Sheet1[[#This Row],[date_joined]])</f>
        <v>2022</v>
      </c>
      <c r="O1460" s="2" t="str">
        <f>TEXT(Sheet1[[#This Row],[date_joined]],"mmm")</f>
        <v>Feb</v>
      </c>
      <c r="P1460" s="2" t="str">
        <f>"Q"&amp;ROUNDUP(MONTH(Sheet1[[#This Row],[date_joined]])/3,0)</f>
        <v>Q1</v>
      </c>
      <c r="Q1460" s="2" t="str">
        <f>IF(Sheet1[[#This Row],[age]]&lt;30,"Young",IF(Sheet1[[#This Row],[age]]&lt;=50,"Adult","Senior"))</f>
        <v>Young</v>
      </c>
      <c r="R1460" s="2" t="str">
        <f t="shared" si="44"/>
        <v>High</v>
      </c>
      <c r="S1460" s="2" t="str">
        <f t="shared" si="45"/>
        <v>West - Self-employed</v>
      </c>
    </row>
    <row r="1461" spans="1:19" x14ac:dyDescent="0.3">
      <c r="A1461" t="s">
        <v>2945</v>
      </c>
      <c r="B1461" t="s">
        <v>2946</v>
      </c>
      <c r="C1461">
        <v>63</v>
      </c>
      <c r="D1461" s="2" t="s">
        <v>21</v>
      </c>
      <c r="E1461" s="2" t="s">
        <v>22</v>
      </c>
      <c r="F1461" s="2" t="s">
        <v>37</v>
      </c>
      <c r="G1461" s="2" t="s">
        <v>32</v>
      </c>
      <c r="H1461" s="2" t="s">
        <v>17</v>
      </c>
      <c r="I1461" s="2" t="s">
        <v>18</v>
      </c>
      <c r="J1461">
        <v>0.31</v>
      </c>
      <c r="K1461" s="1">
        <v>43905</v>
      </c>
      <c r="L1461" s="2" t="str">
        <f>IF(Sheet1[[#This Row],[age]]&lt;18, "Under 18",IF(Sheet1[[#This Row],[age]]&lt;=30,"18-30",IF(Sheet1[[#This Row],[age]]&lt;=45,"31-45",IF(Sheet1[[#This Row],[age]]&lt;=60,"46-60","60+"))))</f>
        <v>60+</v>
      </c>
      <c r="M1461" s="2" t="str">
        <f>IF(Sheet1[[#This Row],[risk_score]]&lt;0.3,"Low",IF(Sheet1[[#This Row],[risk_score]]&lt;0.7,"Medium","High"))</f>
        <v>Medium</v>
      </c>
      <c r="N1461">
        <f>YEAR(Sheet1[[#This Row],[date_joined]])</f>
        <v>2020</v>
      </c>
      <c r="O1461" s="2" t="str">
        <f>TEXT(Sheet1[[#This Row],[date_joined]],"mmm")</f>
        <v>Mar</v>
      </c>
      <c r="P1461" s="2" t="str">
        <f>"Q"&amp;ROUNDUP(MONTH(Sheet1[[#This Row],[date_joined]])/3,0)</f>
        <v>Q1</v>
      </c>
      <c r="Q1461" s="2" t="str">
        <f>IF(Sheet1[[#This Row],[age]]&lt;30,"Young",IF(Sheet1[[#This Row],[age]]&lt;=50,"Adult","Senior"))</f>
        <v>Senior</v>
      </c>
      <c r="R1461" s="2" t="str">
        <f t="shared" si="44"/>
        <v>High</v>
      </c>
      <c r="S1461" s="2" t="str">
        <f t="shared" si="45"/>
        <v>South - Retired</v>
      </c>
    </row>
    <row r="1462" spans="1:19" x14ac:dyDescent="0.3">
      <c r="A1462" t="s">
        <v>2947</v>
      </c>
      <c r="B1462" t="s">
        <v>2948</v>
      </c>
      <c r="C1462">
        <v>31</v>
      </c>
      <c r="D1462" s="2" t="s">
        <v>21</v>
      </c>
      <c r="E1462" s="2" t="s">
        <v>14</v>
      </c>
      <c r="F1462" s="2" t="s">
        <v>31</v>
      </c>
      <c r="G1462" s="2" t="s">
        <v>27</v>
      </c>
      <c r="H1462" s="2" t="s">
        <v>17</v>
      </c>
      <c r="I1462" s="2" t="s">
        <v>17</v>
      </c>
      <c r="J1462">
        <v>0.63</v>
      </c>
      <c r="K1462" s="1">
        <v>43418</v>
      </c>
      <c r="L1462" s="2" t="str">
        <f>IF(Sheet1[[#This Row],[age]]&lt;18, "Under 18",IF(Sheet1[[#This Row],[age]]&lt;=30,"18-30",IF(Sheet1[[#This Row],[age]]&lt;=45,"31-45",IF(Sheet1[[#This Row],[age]]&lt;=60,"46-60","60+"))))</f>
        <v>31-45</v>
      </c>
      <c r="M1462" s="2" t="str">
        <f>IF(Sheet1[[#This Row],[risk_score]]&lt;0.3,"Low",IF(Sheet1[[#This Row],[risk_score]]&lt;0.7,"Medium","High"))</f>
        <v>Medium</v>
      </c>
      <c r="N1462">
        <f>YEAR(Sheet1[[#This Row],[date_joined]])</f>
        <v>2018</v>
      </c>
      <c r="O1462" s="2" t="str">
        <f>TEXT(Sheet1[[#This Row],[date_joined]],"mmm")</f>
        <v>Nov</v>
      </c>
      <c r="P1462" s="2" t="str">
        <f>"Q"&amp;ROUNDUP(MONTH(Sheet1[[#This Row],[date_joined]])/3,0)</f>
        <v>Q4</v>
      </c>
      <c r="Q1462" s="2" t="str">
        <f>IF(Sheet1[[#This Row],[age]]&lt;30,"Young",IF(Sheet1[[#This Row],[age]]&lt;=50,"Adult","Senior"))</f>
        <v>Adult</v>
      </c>
      <c r="R1462" s="2" t="str">
        <f t="shared" si="44"/>
        <v>Low</v>
      </c>
      <c r="S1462" s="2" t="str">
        <f t="shared" si="45"/>
        <v>North - Self-employed</v>
      </c>
    </row>
    <row r="1463" spans="1:19" x14ac:dyDescent="0.3">
      <c r="A1463" t="s">
        <v>2949</v>
      </c>
      <c r="B1463" t="s">
        <v>2950</v>
      </c>
      <c r="C1463">
        <v>48</v>
      </c>
      <c r="D1463" s="2" t="s">
        <v>21</v>
      </c>
      <c r="E1463" s="2" t="s">
        <v>22</v>
      </c>
      <c r="F1463" s="2" t="s">
        <v>23</v>
      </c>
      <c r="G1463" s="2" t="s">
        <v>24</v>
      </c>
      <c r="H1463" s="2" t="s">
        <v>17</v>
      </c>
      <c r="I1463" s="2" t="s">
        <v>17</v>
      </c>
      <c r="J1463">
        <v>0.41</v>
      </c>
      <c r="K1463" s="1">
        <v>43399</v>
      </c>
      <c r="L1463" s="2" t="str">
        <f>IF(Sheet1[[#This Row],[age]]&lt;18, "Under 18",IF(Sheet1[[#This Row],[age]]&lt;=30,"18-30",IF(Sheet1[[#This Row],[age]]&lt;=45,"31-45",IF(Sheet1[[#This Row],[age]]&lt;=60,"46-60","60+"))))</f>
        <v>46-60</v>
      </c>
      <c r="M1463" s="2" t="str">
        <f>IF(Sheet1[[#This Row],[risk_score]]&lt;0.3,"Low",IF(Sheet1[[#This Row],[risk_score]]&lt;0.7,"Medium","High"))</f>
        <v>Medium</v>
      </c>
      <c r="N1463">
        <f>YEAR(Sheet1[[#This Row],[date_joined]])</f>
        <v>2018</v>
      </c>
      <c r="O1463" s="2" t="str">
        <f>TEXT(Sheet1[[#This Row],[date_joined]],"mmm")</f>
        <v>Oct</v>
      </c>
      <c r="P1463" s="2" t="str">
        <f>"Q"&amp;ROUNDUP(MONTH(Sheet1[[#This Row],[date_joined]])/3,0)</f>
        <v>Q4</v>
      </c>
      <c r="Q1463" s="2" t="str">
        <f>IF(Sheet1[[#This Row],[age]]&lt;30,"Young",IF(Sheet1[[#This Row],[age]]&lt;=50,"Adult","Senior"))</f>
        <v>Adult</v>
      </c>
      <c r="R1463" s="2" t="str">
        <f t="shared" si="44"/>
        <v>Low</v>
      </c>
      <c r="S1463" s="2" t="str">
        <f t="shared" si="45"/>
        <v>East - Salaried</v>
      </c>
    </row>
    <row r="1464" spans="1:19" x14ac:dyDescent="0.3">
      <c r="A1464" t="s">
        <v>2951</v>
      </c>
      <c r="B1464" t="s">
        <v>2952</v>
      </c>
      <c r="C1464">
        <v>31</v>
      </c>
      <c r="D1464" s="2" t="s">
        <v>13</v>
      </c>
      <c r="E1464" s="2" t="s">
        <v>14</v>
      </c>
      <c r="F1464" s="2" t="s">
        <v>15</v>
      </c>
      <c r="G1464" s="2" t="s">
        <v>66</v>
      </c>
      <c r="H1464" s="2" t="s">
        <v>17</v>
      </c>
      <c r="I1464" s="2" t="s">
        <v>17</v>
      </c>
      <c r="J1464">
        <v>0.73</v>
      </c>
      <c r="K1464" s="1">
        <v>44304</v>
      </c>
      <c r="L1464" s="2" t="str">
        <f>IF(Sheet1[[#This Row],[age]]&lt;18, "Under 18",IF(Sheet1[[#This Row],[age]]&lt;=30,"18-30",IF(Sheet1[[#This Row],[age]]&lt;=45,"31-45",IF(Sheet1[[#This Row],[age]]&lt;=60,"46-60","60+"))))</f>
        <v>31-45</v>
      </c>
      <c r="M1464" s="2" t="str">
        <f>IF(Sheet1[[#This Row],[risk_score]]&lt;0.3,"Low",IF(Sheet1[[#This Row],[risk_score]]&lt;0.7,"Medium","High"))</f>
        <v>High</v>
      </c>
      <c r="N1464">
        <f>YEAR(Sheet1[[#This Row],[date_joined]])</f>
        <v>2021</v>
      </c>
      <c r="O1464" s="2" t="str">
        <f>TEXT(Sheet1[[#This Row],[date_joined]],"mmm")</f>
        <v>Apr</v>
      </c>
      <c r="P1464" s="2" t="str">
        <f>"Q"&amp;ROUNDUP(MONTH(Sheet1[[#This Row],[date_joined]])/3,0)</f>
        <v>Q2</v>
      </c>
      <c r="Q1464" s="2" t="str">
        <f>IF(Sheet1[[#This Row],[age]]&lt;30,"Young",IF(Sheet1[[#This Row],[age]]&lt;=50,"Adult","Senior"))</f>
        <v>Adult</v>
      </c>
      <c r="R1464" s="2" t="str">
        <f t="shared" si="44"/>
        <v>Low</v>
      </c>
      <c r="S1464" s="2" t="str">
        <f t="shared" si="45"/>
        <v>North-East - Student</v>
      </c>
    </row>
    <row r="1465" spans="1:19" x14ac:dyDescent="0.3">
      <c r="A1465" t="s">
        <v>2953</v>
      </c>
      <c r="B1465" t="s">
        <v>2954</v>
      </c>
      <c r="C1465">
        <v>40</v>
      </c>
      <c r="D1465" s="2" t="s">
        <v>13</v>
      </c>
      <c r="E1465" s="2" t="s">
        <v>22</v>
      </c>
      <c r="F1465" s="2" t="s">
        <v>23</v>
      </c>
      <c r="G1465" s="2" t="s">
        <v>24</v>
      </c>
      <c r="H1465" s="2" t="s">
        <v>18</v>
      </c>
      <c r="I1465" s="2" t="s">
        <v>17</v>
      </c>
      <c r="J1465">
        <v>0.54</v>
      </c>
      <c r="K1465" s="1">
        <v>45005</v>
      </c>
      <c r="L1465" s="2" t="str">
        <f>IF(Sheet1[[#This Row],[age]]&lt;18, "Under 18",IF(Sheet1[[#This Row],[age]]&lt;=30,"18-30",IF(Sheet1[[#This Row],[age]]&lt;=45,"31-45",IF(Sheet1[[#This Row],[age]]&lt;=60,"46-60","60+"))))</f>
        <v>31-45</v>
      </c>
      <c r="M1465" s="2" t="str">
        <f>IF(Sheet1[[#This Row],[risk_score]]&lt;0.3,"Low",IF(Sheet1[[#This Row],[risk_score]]&lt;0.7,"Medium","High"))</f>
        <v>Medium</v>
      </c>
      <c r="N1465">
        <f>YEAR(Sheet1[[#This Row],[date_joined]])</f>
        <v>2023</v>
      </c>
      <c r="O1465" s="2" t="str">
        <f>TEXT(Sheet1[[#This Row],[date_joined]],"mmm")</f>
        <v>Mar</v>
      </c>
      <c r="P1465" s="2" t="str">
        <f>"Q"&amp;ROUNDUP(MONTH(Sheet1[[#This Row],[date_joined]])/3,0)</f>
        <v>Q1</v>
      </c>
      <c r="Q1465" s="2" t="str">
        <f>IF(Sheet1[[#This Row],[age]]&lt;30,"Young",IF(Sheet1[[#This Row],[age]]&lt;=50,"Adult","Senior"))</f>
        <v>Adult</v>
      </c>
      <c r="R1465" s="2" t="str">
        <f t="shared" si="44"/>
        <v>High</v>
      </c>
      <c r="S1465" s="2" t="str">
        <f t="shared" si="45"/>
        <v>East - Salaried</v>
      </c>
    </row>
    <row r="1466" spans="1:19" x14ac:dyDescent="0.3">
      <c r="A1466" t="s">
        <v>2955</v>
      </c>
      <c r="B1466" t="s">
        <v>2956</v>
      </c>
      <c r="C1466">
        <v>32</v>
      </c>
      <c r="D1466" s="2" t="s">
        <v>13</v>
      </c>
      <c r="E1466" s="2" t="s">
        <v>30</v>
      </c>
      <c r="F1466" s="2" t="s">
        <v>15</v>
      </c>
      <c r="G1466" s="2" t="s">
        <v>32</v>
      </c>
      <c r="H1466" s="2" t="s">
        <v>18</v>
      </c>
      <c r="I1466" s="2" t="s">
        <v>17</v>
      </c>
      <c r="J1466">
        <v>0.61</v>
      </c>
      <c r="K1466" s="1">
        <v>43866</v>
      </c>
      <c r="L1466" s="2" t="str">
        <f>IF(Sheet1[[#This Row],[age]]&lt;18, "Under 18",IF(Sheet1[[#This Row],[age]]&lt;=30,"18-30",IF(Sheet1[[#This Row],[age]]&lt;=45,"31-45",IF(Sheet1[[#This Row],[age]]&lt;=60,"46-60","60+"))))</f>
        <v>31-45</v>
      </c>
      <c r="M1466" s="2" t="str">
        <f>IF(Sheet1[[#This Row],[risk_score]]&lt;0.3,"Low",IF(Sheet1[[#This Row],[risk_score]]&lt;0.7,"Medium","High"))</f>
        <v>Medium</v>
      </c>
      <c r="N1466">
        <f>YEAR(Sheet1[[#This Row],[date_joined]])</f>
        <v>2020</v>
      </c>
      <c r="O1466" s="2" t="str">
        <f>TEXT(Sheet1[[#This Row],[date_joined]],"mmm")</f>
        <v>Feb</v>
      </c>
      <c r="P1466" s="2" t="str">
        <f>"Q"&amp;ROUNDUP(MONTH(Sheet1[[#This Row],[date_joined]])/3,0)</f>
        <v>Q1</v>
      </c>
      <c r="Q1466" s="2" t="str">
        <f>IF(Sheet1[[#This Row],[age]]&lt;30,"Young",IF(Sheet1[[#This Row],[age]]&lt;=50,"Adult","Senior"))</f>
        <v>Adult</v>
      </c>
      <c r="R1466" s="2" t="str">
        <f t="shared" si="44"/>
        <v>High</v>
      </c>
      <c r="S1466" s="2" t="str">
        <f t="shared" si="45"/>
        <v>South - Student</v>
      </c>
    </row>
    <row r="1467" spans="1:19" x14ac:dyDescent="0.3">
      <c r="A1467" t="s">
        <v>2957</v>
      </c>
      <c r="B1467" t="s">
        <v>2958</v>
      </c>
      <c r="C1467">
        <v>45</v>
      </c>
      <c r="D1467" s="2" t="s">
        <v>21</v>
      </c>
      <c r="E1467" s="2" t="s">
        <v>30</v>
      </c>
      <c r="F1467" s="2" t="s">
        <v>37</v>
      </c>
      <c r="G1467" s="2" t="s">
        <v>24</v>
      </c>
      <c r="H1467" s="2" t="s">
        <v>17</v>
      </c>
      <c r="I1467" s="2" t="s">
        <v>18</v>
      </c>
      <c r="J1467">
        <v>0.48</v>
      </c>
      <c r="K1467" s="1">
        <v>44305</v>
      </c>
      <c r="L1467" s="2" t="str">
        <f>IF(Sheet1[[#This Row],[age]]&lt;18, "Under 18",IF(Sheet1[[#This Row],[age]]&lt;=30,"18-30",IF(Sheet1[[#This Row],[age]]&lt;=45,"31-45",IF(Sheet1[[#This Row],[age]]&lt;=60,"46-60","60+"))))</f>
        <v>31-45</v>
      </c>
      <c r="M1467" s="2" t="str">
        <f>IF(Sheet1[[#This Row],[risk_score]]&lt;0.3,"Low",IF(Sheet1[[#This Row],[risk_score]]&lt;0.7,"Medium","High"))</f>
        <v>Medium</v>
      </c>
      <c r="N1467">
        <f>YEAR(Sheet1[[#This Row],[date_joined]])</f>
        <v>2021</v>
      </c>
      <c r="O1467" s="2" t="str">
        <f>TEXT(Sheet1[[#This Row],[date_joined]],"mmm")</f>
        <v>Apr</v>
      </c>
      <c r="P1467" s="2" t="str">
        <f>"Q"&amp;ROUNDUP(MONTH(Sheet1[[#This Row],[date_joined]])/3,0)</f>
        <v>Q2</v>
      </c>
      <c r="Q1467" s="2" t="str">
        <f>IF(Sheet1[[#This Row],[age]]&lt;30,"Young",IF(Sheet1[[#This Row],[age]]&lt;=50,"Adult","Senior"))</f>
        <v>Adult</v>
      </c>
      <c r="R1467" s="2" t="str">
        <f t="shared" si="44"/>
        <v>High</v>
      </c>
      <c r="S1467" s="2" t="str">
        <f t="shared" si="45"/>
        <v>East - Retired</v>
      </c>
    </row>
    <row r="1468" spans="1:19" x14ac:dyDescent="0.3">
      <c r="A1468" t="s">
        <v>2959</v>
      </c>
      <c r="B1468" t="s">
        <v>2960</v>
      </c>
      <c r="C1468">
        <v>38</v>
      </c>
      <c r="D1468" s="2" t="s">
        <v>21</v>
      </c>
      <c r="E1468" s="2" t="s">
        <v>14</v>
      </c>
      <c r="F1468" s="2" t="s">
        <v>23</v>
      </c>
      <c r="G1468" s="2" t="s">
        <v>81</v>
      </c>
      <c r="H1468" s="2" t="s">
        <v>18</v>
      </c>
      <c r="I1468" s="2" t="s">
        <v>17</v>
      </c>
      <c r="J1468">
        <v>0.78</v>
      </c>
      <c r="K1468" s="1">
        <v>44412</v>
      </c>
      <c r="L1468" s="2" t="str">
        <f>IF(Sheet1[[#This Row],[age]]&lt;18, "Under 18",IF(Sheet1[[#This Row],[age]]&lt;=30,"18-30",IF(Sheet1[[#This Row],[age]]&lt;=45,"31-45",IF(Sheet1[[#This Row],[age]]&lt;=60,"46-60","60+"))))</f>
        <v>31-45</v>
      </c>
      <c r="M1468" s="2" t="str">
        <f>IF(Sheet1[[#This Row],[risk_score]]&lt;0.3,"Low",IF(Sheet1[[#This Row],[risk_score]]&lt;0.7,"Medium","High"))</f>
        <v>High</v>
      </c>
      <c r="N1468">
        <f>YEAR(Sheet1[[#This Row],[date_joined]])</f>
        <v>2021</v>
      </c>
      <c r="O1468" s="2" t="str">
        <f>TEXT(Sheet1[[#This Row],[date_joined]],"mmm")</f>
        <v>Aug</v>
      </c>
      <c r="P1468" s="2" t="str">
        <f>"Q"&amp;ROUNDUP(MONTH(Sheet1[[#This Row],[date_joined]])/3,0)</f>
        <v>Q3</v>
      </c>
      <c r="Q1468" s="2" t="str">
        <f>IF(Sheet1[[#This Row],[age]]&lt;30,"Young",IF(Sheet1[[#This Row],[age]]&lt;=50,"Adult","Senior"))</f>
        <v>Adult</v>
      </c>
      <c r="R1468" s="2" t="str">
        <f t="shared" si="44"/>
        <v>High</v>
      </c>
      <c r="S1468" s="2" t="str">
        <f t="shared" si="45"/>
        <v>Central - Salaried</v>
      </c>
    </row>
    <row r="1469" spans="1:19" x14ac:dyDescent="0.3">
      <c r="A1469" t="s">
        <v>2961</v>
      </c>
      <c r="B1469" t="s">
        <v>2962</v>
      </c>
      <c r="C1469">
        <v>41</v>
      </c>
      <c r="D1469" s="2" t="s">
        <v>13</v>
      </c>
      <c r="E1469" s="2" t="s">
        <v>14</v>
      </c>
      <c r="F1469" s="2" t="s">
        <v>23</v>
      </c>
      <c r="G1469" s="2" t="s">
        <v>16</v>
      </c>
      <c r="H1469" s="2" t="s">
        <v>17</v>
      </c>
      <c r="I1469" s="2" t="s">
        <v>18</v>
      </c>
      <c r="J1469">
        <v>0.41</v>
      </c>
      <c r="K1469" s="1">
        <v>43837</v>
      </c>
      <c r="L1469" s="2" t="str">
        <f>IF(Sheet1[[#This Row],[age]]&lt;18, "Under 18",IF(Sheet1[[#This Row],[age]]&lt;=30,"18-30",IF(Sheet1[[#This Row],[age]]&lt;=45,"31-45",IF(Sheet1[[#This Row],[age]]&lt;=60,"46-60","60+"))))</f>
        <v>31-45</v>
      </c>
      <c r="M1469" s="2" t="str">
        <f>IF(Sheet1[[#This Row],[risk_score]]&lt;0.3,"Low",IF(Sheet1[[#This Row],[risk_score]]&lt;0.7,"Medium","High"))</f>
        <v>Medium</v>
      </c>
      <c r="N1469">
        <f>YEAR(Sheet1[[#This Row],[date_joined]])</f>
        <v>2020</v>
      </c>
      <c r="O1469" s="2" t="str">
        <f>TEXT(Sheet1[[#This Row],[date_joined]],"mmm")</f>
        <v>Jan</v>
      </c>
      <c r="P1469" s="2" t="str">
        <f>"Q"&amp;ROUNDUP(MONTH(Sheet1[[#This Row],[date_joined]])/3,0)</f>
        <v>Q1</v>
      </c>
      <c r="Q1469" s="2" t="str">
        <f>IF(Sheet1[[#This Row],[age]]&lt;30,"Young",IF(Sheet1[[#This Row],[age]]&lt;=50,"Adult","Senior"))</f>
        <v>Adult</v>
      </c>
      <c r="R1469" s="2" t="str">
        <f t="shared" si="44"/>
        <v>High</v>
      </c>
      <c r="S1469" s="2" t="str">
        <f t="shared" si="45"/>
        <v>West - Salaried</v>
      </c>
    </row>
    <row r="1470" spans="1:19" x14ac:dyDescent="0.3">
      <c r="A1470" t="s">
        <v>2963</v>
      </c>
      <c r="B1470" t="s">
        <v>2964</v>
      </c>
      <c r="C1470">
        <v>31</v>
      </c>
      <c r="D1470" s="2" t="s">
        <v>21</v>
      </c>
      <c r="E1470" s="2" t="s">
        <v>22</v>
      </c>
      <c r="F1470" s="2" t="s">
        <v>37</v>
      </c>
      <c r="G1470" s="2" t="s">
        <v>32</v>
      </c>
      <c r="H1470" s="2" t="s">
        <v>18</v>
      </c>
      <c r="I1470" s="2" t="s">
        <v>18</v>
      </c>
      <c r="J1470">
        <v>0.37</v>
      </c>
      <c r="K1470" s="1">
        <v>43682</v>
      </c>
      <c r="L1470" s="2" t="str">
        <f>IF(Sheet1[[#This Row],[age]]&lt;18, "Under 18",IF(Sheet1[[#This Row],[age]]&lt;=30,"18-30",IF(Sheet1[[#This Row],[age]]&lt;=45,"31-45",IF(Sheet1[[#This Row],[age]]&lt;=60,"46-60","60+"))))</f>
        <v>31-45</v>
      </c>
      <c r="M1470" s="2" t="str">
        <f>IF(Sheet1[[#This Row],[risk_score]]&lt;0.3,"Low",IF(Sheet1[[#This Row],[risk_score]]&lt;0.7,"Medium","High"))</f>
        <v>Medium</v>
      </c>
      <c r="N1470">
        <f>YEAR(Sheet1[[#This Row],[date_joined]])</f>
        <v>2019</v>
      </c>
      <c r="O1470" s="2" t="str">
        <f>TEXT(Sheet1[[#This Row],[date_joined]],"mmm")</f>
        <v>Aug</v>
      </c>
      <c r="P1470" s="2" t="str">
        <f>"Q"&amp;ROUNDUP(MONTH(Sheet1[[#This Row],[date_joined]])/3,0)</f>
        <v>Q3</v>
      </c>
      <c r="Q1470" s="2" t="str">
        <f>IF(Sheet1[[#This Row],[age]]&lt;30,"Young",IF(Sheet1[[#This Row],[age]]&lt;=50,"Adult","Senior"))</f>
        <v>Adult</v>
      </c>
      <c r="R1470" s="2" t="str">
        <f t="shared" si="44"/>
        <v>Very High</v>
      </c>
      <c r="S1470" s="2" t="str">
        <f t="shared" si="45"/>
        <v>South - Retired</v>
      </c>
    </row>
    <row r="1471" spans="1:19" x14ac:dyDescent="0.3">
      <c r="A1471" t="s">
        <v>2965</v>
      </c>
      <c r="B1471" t="s">
        <v>2966</v>
      </c>
      <c r="C1471">
        <v>48</v>
      </c>
      <c r="D1471" s="2" t="s">
        <v>21</v>
      </c>
      <c r="E1471" s="2" t="s">
        <v>14</v>
      </c>
      <c r="F1471" s="2" t="s">
        <v>37</v>
      </c>
      <c r="G1471" s="2" t="s">
        <v>27</v>
      </c>
      <c r="H1471" s="2" t="s">
        <v>17</v>
      </c>
      <c r="I1471" s="2" t="s">
        <v>17</v>
      </c>
      <c r="J1471">
        <v>0.68</v>
      </c>
      <c r="K1471" s="1">
        <v>45060</v>
      </c>
      <c r="L1471" s="2" t="str">
        <f>IF(Sheet1[[#This Row],[age]]&lt;18, "Under 18",IF(Sheet1[[#This Row],[age]]&lt;=30,"18-30",IF(Sheet1[[#This Row],[age]]&lt;=45,"31-45",IF(Sheet1[[#This Row],[age]]&lt;=60,"46-60","60+"))))</f>
        <v>46-60</v>
      </c>
      <c r="M1471" s="2" t="str">
        <f>IF(Sheet1[[#This Row],[risk_score]]&lt;0.3,"Low",IF(Sheet1[[#This Row],[risk_score]]&lt;0.7,"Medium","High"))</f>
        <v>Medium</v>
      </c>
      <c r="N1471">
        <f>YEAR(Sheet1[[#This Row],[date_joined]])</f>
        <v>2023</v>
      </c>
      <c r="O1471" s="2" t="str">
        <f>TEXT(Sheet1[[#This Row],[date_joined]],"mmm")</f>
        <v>May</v>
      </c>
      <c r="P1471" s="2" t="str">
        <f>"Q"&amp;ROUNDUP(MONTH(Sheet1[[#This Row],[date_joined]])/3,0)</f>
        <v>Q2</v>
      </c>
      <c r="Q1471" s="2" t="str">
        <f>IF(Sheet1[[#This Row],[age]]&lt;30,"Young",IF(Sheet1[[#This Row],[age]]&lt;=50,"Adult","Senior"))</f>
        <v>Adult</v>
      </c>
      <c r="R1471" s="2" t="str">
        <f t="shared" si="44"/>
        <v>Low</v>
      </c>
      <c r="S1471" s="2" t="str">
        <f t="shared" si="45"/>
        <v>North - Retired</v>
      </c>
    </row>
    <row r="1472" spans="1:19" x14ac:dyDescent="0.3">
      <c r="A1472" t="s">
        <v>2967</v>
      </c>
      <c r="B1472" t="s">
        <v>2968</v>
      </c>
      <c r="C1472">
        <v>48</v>
      </c>
      <c r="D1472" s="2" t="s">
        <v>21</v>
      </c>
      <c r="E1472" s="2" t="s">
        <v>14</v>
      </c>
      <c r="F1472" s="2" t="s">
        <v>15</v>
      </c>
      <c r="G1472" s="2" t="s">
        <v>16</v>
      </c>
      <c r="H1472" s="2" t="s">
        <v>17</v>
      </c>
      <c r="I1472" s="2" t="s">
        <v>17</v>
      </c>
      <c r="J1472">
        <v>0.56000000000000005</v>
      </c>
      <c r="K1472" s="1">
        <v>43763</v>
      </c>
      <c r="L1472" s="2" t="str">
        <f>IF(Sheet1[[#This Row],[age]]&lt;18, "Under 18",IF(Sheet1[[#This Row],[age]]&lt;=30,"18-30",IF(Sheet1[[#This Row],[age]]&lt;=45,"31-45",IF(Sheet1[[#This Row],[age]]&lt;=60,"46-60","60+"))))</f>
        <v>46-60</v>
      </c>
      <c r="M1472" s="2" t="str">
        <f>IF(Sheet1[[#This Row],[risk_score]]&lt;0.3,"Low",IF(Sheet1[[#This Row],[risk_score]]&lt;0.7,"Medium","High"))</f>
        <v>Medium</v>
      </c>
      <c r="N1472">
        <f>YEAR(Sheet1[[#This Row],[date_joined]])</f>
        <v>2019</v>
      </c>
      <c r="O1472" s="2" t="str">
        <f>TEXT(Sheet1[[#This Row],[date_joined]],"mmm")</f>
        <v>Oct</v>
      </c>
      <c r="P1472" s="2" t="str">
        <f>"Q"&amp;ROUNDUP(MONTH(Sheet1[[#This Row],[date_joined]])/3,0)</f>
        <v>Q4</v>
      </c>
      <c r="Q1472" s="2" t="str">
        <f>IF(Sheet1[[#This Row],[age]]&lt;30,"Young",IF(Sheet1[[#This Row],[age]]&lt;=50,"Adult","Senior"))</f>
        <v>Adult</v>
      </c>
      <c r="R1472" s="2" t="str">
        <f t="shared" si="44"/>
        <v>Low</v>
      </c>
      <c r="S1472" s="2" t="str">
        <f t="shared" si="45"/>
        <v>West - Student</v>
      </c>
    </row>
    <row r="1473" spans="1:19" x14ac:dyDescent="0.3">
      <c r="A1473" t="s">
        <v>2969</v>
      </c>
      <c r="B1473" t="s">
        <v>2970</v>
      </c>
      <c r="C1473">
        <v>54</v>
      </c>
      <c r="D1473" s="2" t="s">
        <v>13</v>
      </c>
      <c r="E1473" s="2" t="s">
        <v>22</v>
      </c>
      <c r="F1473" s="2" t="s">
        <v>31</v>
      </c>
      <c r="G1473" s="2" t="s">
        <v>16</v>
      </c>
      <c r="H1473" s="2" t="s">
        <v>18</v>
      </c>
      <c r="I1473" s="2" t="s">
        <v>17</v>
      </c>
      <c r="J1473">
        <v>0.44</v>
      </c>
      <c r="K1473" s="1">
        <v>43561</v>
      </c>
      <c r="L1473" s="2" t="str">
        <f>IF(Sheet1[[#This Row],[age]]&lt;18, "Under 18",IF(Sheet1[[#This Row],[age]]&lt;=30,"18-30",IF(Sheet1[[#This Row],[age]]&lt;=45,"31-45",IF(Sheet1[[#This Row],[age]]&lt;=60,"46-60","60+"))))</f>
        <v>46-60</v>
      </c>
      <c r="M1473" s="2" t="str">
        <f>IF(Sheet1[[#This Row],[risk_score]]&lt;0.3,"Low",IF(Sheet1[[#This Row],[risk_score]]&lt;0.7,"Medium","High"))</f>
        <v>Medium</v>
      </c>
      <c r="N1473">
        <f>YEAR(Sheet1[[#This Row],[date_joined]])</f>
        <v>2019</v>
      </c>
      <c r="O1473" s="2" t="str">
        <f>TEXT(Sheet1[[#This Row],[date_joined]],"mmm")</f>
        <v>Apr</v>
      </c>
      <c r="P1473" s="2" t="str">
        <f>"Q"&amp;ROUNDUP(MONTH(Sheet1[[#This Row],[date_joined]])/3,0)</f>
        <v>Q2</v>
      </c>
      <c r="Q1473" s="2" t="str">
        <f>IF(Sheet1[[#This Row],[age]]&lt;30,"Young",IF(Sheet1[[#This Row],[age]]&lt;=50,"Adult","Senior"))</f>
        <v>Senior</v>
      </c>
      <c r="R1473" s="2" t="str">
        <f t="shared" si="44"/>
        <v>High</v>
      </c>
      <c r="S1473" s="2" t="str">
        <f t="shared" si="45"/>
        <v>West - Self-employed</v>
      </c>
    </row>
    <row r="1474" spans="1:19" x14ac:dyDescent="0.3">
      <c r="A1474" t="s">
        <v>2971</v>
      </c>
      <c r="B1474" t="s">
        <v>2972</v>
      </c>
      <c r="C1474">
        <v>19</v>
      </c>
      <c r="D1474" s="2" t="s">
        <v>21</v>
      </c>
      <c r="E1474" s="2" t="s">
        <v>22</v>
      </c>
      <c r="F1474" s="2" t="s">
        <v>31</v>
      </c>
      <c r="G1474" s="2" t="s">
        <v>16</v>
      </c>
      <c r="H1474" s="2" t="s">
        <v>17</v>
      </c>
      <c r="I1474" s="2" t="s">
        <v>17</v>
      </c>
      <c r="J1474">
        <v>0.67</v>
      </c>
      <c r="K1474" s="1">
        <v>44667</v>
      </c>
      <c r="L1474" s="2" t="str">
        <f>IF(Sheet1[[#This Row],[age]]&lt;18, "Under 18",IF(Sheet1[[#This Row],[age]]&lt;=30,"18-30",IF(Sheet1[[#This Row],[age]]&lt;=45,"31-45",IF(Sheet1[[#This Row],[age]]&lt;=60,"46-60","60+"))))</f>
        <v>18-30</v>
      </c>
      <c r="M1474" s="2" t="str">
        <f>IF(Sheet1[[#This Row],[risk_score]]&lt;0.3,"Low",IF(Sheet1[[#This Row],[risk_score]]&lt;0.7,"Medium","High"))</f>
        <v>Medium</v>
      </c>
      <c r="N1474">
        <f>YEAR(Sheet1[[#This Row],[date_joined]])</f>
        <v>2022</v>
      </c>
      <c r="O1474" s="2" t="str">
        <f>TEXT(Sheet1[[#This Row],[date_joined]],"mmm")</f>
        <v>Apr</v>
      </c>
      <c r="P1474" s="2" t="str">
        <f>"Q"&amp;ROUNDUP(MONTH(Sheet1[[#This Row],[date_joined]])/3,0)</f>
        <v>Q2</v>
      </c>
      <c r="Q1474" s="2" t="str">
        <f>IF(Sheet1[[#This Row],[age]]&lt;30,"Young",IF(Sheet1[[#This Row],[age]]&lt;=50,"Adult","Senior"))</f>
        <v>Young</v>
      </c>
      <c r="R1474" s="2" t="str">
        <f t="shared" ref="R1474:R1537" si="46">IF(AND(H1474="Yes",I1474="Yes"),"Very High",
IF(OR(H1474="Yes",I1474="Yes"),"High","Low"))</f>
        <v>Low</v>
      </c>
      <c r="S1474" s="2" t="str">
        <f t="shared" ref="S1474:S1537" si="47">G1474&amp;" - "&amp;F1474</f>
        <v>West - Self-employed</v>
      </c>
    </row>
    <row r="1475" spans="1:19" x14ac:dyDescent="0.3">
      <c r="A1475" t="s">
        <v>2973</v>
      </c>
      <c r="B1475" t="s">
        <v>2974</v>
      </c>
      <c r="C1475">
        <v>32</v>
      </c>
      <c r="D1475" s="2" t="s">
        <v>13</v>
      </c>
      <c r="E1475" s="2" t="s">
        <v>22</v>
      </c>
      <c r="F1475" s="2" t="s">
        <v>23</v>
      </c>
      <c r="G1475" s="2" t="s">
        <v>16</v>
      </c>
      <c r="H1475" s="2" t="s">
        <v>17</v>
      </c>
      <c r="I1475" s="2" t="s">
        <v>17</v>
      </c>
      <c r="J1475">
        <v>0.7</v>
      </c>
      <c r="K1475" s="1">
        <v>44476</v>
      </c>
      <c r="L1475" s="2" t="str">
        <f>IF(Sheet1[[#This Row],[age]]&lt;18, "Under 18",IF(Sheet1[[#This Row],[age]]&lt;=30,"18-30",IF(Sheet1[[#This Row],[age]]&lt;=45,"31-45",IF(Sheet1[[#This Row],[age]]&lt;=60,"46-60","60+"))))</f>
        <v>31-45</v>
      </c>
      <c r="M1475" s="2" t="str">
        <f>IF(Sheet1[[#This Row],[risk_score]]&lt;0.3,"Low",IF(Sheet1[[#This Row],[risk_score]]&lt;0.7,"Medium","High"))</f>
        <v>High</v>
      </c>
      <c r="N1475">
        <f>YEAR(Sheet1[[#This Row],[date_joined]])</f>
        <v>2021</v>
      </c>
      <c r="O1475" s="2" t="str">
        <f>TEXT(Sheet1[[#This Row],[date_joined]],"mmm")</f>
        <v>Oct</v>
      </c>
      <c r="P1475" s="2" t="str">
        <f>"Q"&amp;ROUNDUP(MONTH(Sheet1[[#This Row],[date_joined]])/3,0)</f>
        <v>Q4</v>
      </c>
      <c r="Q1475" s="2" t="str">
        <f>IF(Sheet1[[#This Row],[age]]&lt;30,"Young",IF(Sheet1[[#This Row],[age]]&lt;=50,"Adult","Senior"))</f>
        <v>Adult</v>
      </c>
      <c r="R1475" s="2" t="str">
        <f t="shared" si="46"/>
        <v>Low</v>
      </c>
      <c r="S1475" s="2" t="str">
        <f t="shared" si="47"/>
        <v>West - Salaried</v>
      </c>
    </row>
    <row r="1476" spans="1:19" x14ac:dyDescent="0.3">
      <c r="A1476" t="s">
        <v>2975</v>
      </c>
      <c r="B1476" t="s">
        <v>2976</v>
      </c>
      <c r="C1476">
        <v>37</v>
      </c>
      <c r="D1476" s="2" t="s">
        <v>13</v>
      </c>
      <c r="E1476" s="2" t="s">
        <v>14</v>
      </c>
      <c r="F1476" s="2" t="s">
        <v>23</v>
      </c>
      <c r="G1476" s="2" t="s">
        <v>27</v>
      </c>
      <c r="H1476" s="2" t="s">
        <v>18</v>
      </c>
      <c r="I1476" s="2" t="s">
        <v>18</v>
      </c>
      <c r="J1476">
        <v>0.89</v>
      </c>
      <c r="K1476" s="1">
        <v>45085</v>
      </c>
      <c r="L1476" s="2" t="str">
        <f>IF(Sheet1[[#This Row],[age]]&lt;18, "Under 18",IF(Sheet1[[#This Row],[age]]&lt;=30,"18-30",IF(Sheet1[[#This Row],[age]]&lt;=45,"31-45",IF(Sheet1[[#This Row],[age]]&lt;=60,"46-60","60+"))))</f>
        <v>31-45</v>
      </c>
      <c r="M1476" s="2" t="str">
        <f>IF(Sheet1[[#This Row],[risk_score]]&lt;0.3,"Low",IF(Sheet1[[#This Row],[risk_score]]&lt;0.7,"Medium","High"))</f>
        <v>High</v>
      </c>
      <c r="N1476">
        <f>YEAR(Sheet1[[#This Row],[date_joined]])</f>
        <v>2023</v>
      </c>
      <c r="O1476" s="2" t="str">
        <f>TEXT(Sheet1[[#This Row],[date_joined]],"mmm")</f>
        <v>Jun</v>
      </c>
      <c r="P1476" s="2" t="str">
        <f>"Q"&amp;ROUNDUP(MONTH(Sheet1[[#This Row],[date_joined]])/3,0)</f>
        <v>Q2</v>
      </c>
      <c r="Q1476" s="2" t="str">
        <f>IF(Sheet1[[#This Row],[age]]&lt;30,"Young",IF(Sheet1[[#This Row],[age]]&lt;=50,"Adult","Senior"))</f>
        <v>Adult</v>
      </c>
      <c r="R1476" s="2" t="str">
        <f t="shared" si="46"/>
        <v>Very High</v>
      </c>
      <c r="S1476" s="2" t="str">
        <f t="shared" si="47"/>
        <v>North - Salaried</v>
      </c>
    </row>
    <row r="1477" spans="1:19" x14ac:dyDescent="0.3">
      <c r="A1477" t="s">
        <v>2977</v>
      </c>
      <c r="B1477" t="s">
        <v>2978</v>
      </c>
      <c r="C1477">
        <v>26</v>
      </c>
      <c r="D1477" s="2" t="s">
        <v>21</v>
      </c>
      <c r="E1477" s="2" t="s">
        <v>14</v>
      </c>
      <c r="F1477" s="2" t="s">
        <v>31</v>
      </c>
      <c r="G1477" s="2" t="s">
        <v>66</v>
      </c>
      <c r="H1477" s="2" t="s">
        <v>17</v>
      </c>
      <c r="I1477" s="2" t="s">
        <v>18</v>
      </c>
      <c r="J1477">
        <v>0.99</v>
      </c>
      <c r="K1477" s="1">
        <v>44251</v>
      </c>
      <c r="L1477" s="2" t="str">
        <f>IF(Sheet1[[#This Row],[age]]&lt;18, "Under 18",IF(Sheet1[[#This Row],[age]]&lt;=30,"18-30",IF(Sheet1[[#This Row],[age]]&lt;=45,"31-45",IF(Sheet1[[#This Row],[age]]&lt;=60,"46-60","60+"))))</f>
        <v>18-30</v>
      </c>
      <c r="M1477" s="2" t="str">
        <f>IF(Sheet1[[#This Row],[risk_score]]&lt;0.3,"Low",IF(Sheet1[[#This Row],[risk_score]]&lt;0.7,"Medium","High"))</f>
        <v>High</v>
      </c>
      <c r="N1477">
        <f>YEAR(Sheet1[[#This Row],[date_joined]])</f>
        <v>2021</v>
      </c>
      <c r="O1477" s="2" t="str">
        <f>TEXT(Sheet1[[#This Row],[date_joined]],"mmm")</f>
        <v>Feb</v>
      </c>
      <c r="P1477" s="2" t="str">
        <f>"Q"&amp;ROUNDUP(MONTH(Sheet1[[#This Row],[date_joined]])/3,0)</f>
        <v>Q1</v>
      </c>
      <c r="Q1477" s="2" t="str">
        <f>IF(Sheet1[[#This Row],[age]]&lt;30,"Young",IF(Sheet1[[#This Row],[age]]&lt;=50,"Adult","Senior"))</f>
        <v>Young</v>
      </c>
      <c r="R1477" s="2" t="str">
        <f t="shared" si="46"/>
        <v>High</v>
      </c>
      <c r="S1477" s="2" t="str">
        <f t="shared" si="47"/>
        <v>North-East - Self-employed</v>
      </c>
    </row>
    <row r="1478" spans="1:19" x14ac:dyDescent="0.3">
      <c r="A1478" t="s">
        <v>2979</v>
      </c>
      <c r="B1478" t="s">
        <v>2980</v>
      </c>
      <c r="C1478">
        <v>24</v>
      </c>
      <c r="D1478" s="2" t="s">
        <v>21</v>
      </c>
      <c r="E1478" s="2" t="s">
        <v>14</v>
      </c>
      <c r="F1478" s="2" t="s">
        <v>31</v>
      </c>
      <c r="G1478" s="2" t="s">
        <v>81</v>
      </c>
      <c r="H1478" s="2" t="s">
        <v>18</v>
      </c>
      <c r="I1478" s="2" t="s">
        <v>18</v>
      </c>
      <c r="J1478">
        <v>0.59</v>
      </c>
      <c r="K1478" s="1">
        <v>44010</v>
      </c>
      <c r="L1478" s="2" t="str">
        <f>IF(Sheet1[[#This Row],[age]]&lt;18, "Under 18",IF(Sheet1[[#This Row],[age]]&lt;=30,"18-30",IF(Sheet1[[#This Row],[age]]&lt;=45,"31-45",IF(Sheet1[[#This Row],[age]]&lt;=60,"46-60","60+"))))</f>
        <v>18-30</v>
      </c>
      <c r="M1478" s="2" t="str">
        <f>IF(Sheet1[[#This Row],[risk_score]]&lt;0.3,"Low",IF(Sheet1[[#This Row],[risk_score]]&lt;0.7,"Medium","High"))</f>
        <v>Medium</v>
      </c>
      <c r="N1478">
        <f>YEAR(Sheet1[[#This Row],[date_joined]])</f>
        <v>2020</v>
      </c>
      <c r="O1478" s="2" t="str">
        <f>TEXT(Sheet1[[#This Row],[date_joined]],"mmm")</f>
        <v>Jun</v>
      </c>
      <c r="P1478" s="2" t="str">
        <f>"Q"&amp;ROUNDUP(MONTH(Sheet1[[#This Row],[date_joined]])/3,0)</f>
        <v>Q2</v>
      </c>
      <c r="Q1478" s="2" t="str">
        <f>IF(Sheet1[[#This Row],[age]]&lt;30,"Young",IF(Sheet1[[#This Row],[age]]&lt;=50,"Adult","Senior"))</f>
        <v>Young</v>
      </c>
      <c r="R1478" s="2" t="str">
        <f t="shared" si="46"/>
        <v>Very High</v>
      </c>
      <c r="S1478" s="2" t="str">
        <f t="shared" si="47"/>
        <v>Central - Self-employed</v>
      </c>
    </row>
    <row r="1479" spans="1:19" x14ac:dyDescent="0.3">
      <c r="A1479" t="s">
        <v>2981</v>
      </c>
      <c r="B1479" t="s">
        <v>2982</v>
      </c>
      <c r="C1479">
        <v>45</v>
      </c>
      <c r="D1479" s="2" t="s">
        <v>21</v>
      </c>
      <c r="E1479" s="2" t="s">
        <v>14</v>
      </c>
      <c r="F1479" s="2" t="s">
        <v>37</v>
      </c>
      <c r="G1479" s="2" t="s">
        <v>32</v>
      </c>
      <c r="H1479" s="2" t="s">
        <v>18</v>
      </c>
      <c r="I1479" s="2" t="s">
        <v>18</v>
      </c>
      <c r="J1479">
        <v>0.71</v>
      </c>
      <c r="K1479" s="1">
        <v>45035</v>
      </c>
      <c r="L1479" s="2" t="str">
        <f>IF(Sheet1[[#This Row],[age]]&lt;18, "Under 18",IF(Sheet1[[#This Row],[age]]&lt;=30,"18-30",IF(Sheet1[[#This Row],[age]]&lt;=45,"31-45",IF(Sheet1[[#This Row],[age]]&lt;=60,"46-60","60+"))))</f>
        <v>31-45</v>
      </c>
      <c r="M1479" s="2" t="str">
        <f>IF(Sheet1[[#This Row],[risk_score]]&lt;0.3,"Low",IF(Sheet1[[#This Row],[risk_score]]&lt;0.7,"Medium","High"))</f>
        <v>High</v>
      </c>
      <c r="N1479">
        <f>YEAR(Sheet1[[#This Row],[date_joined]])</f>
        <v>2023</v>
      </c>
      <c r="O1479" s="2" t="str">
        <f>TEXT(Sheet1[[#This Row],[date_joined]],"mmm")</f>
        <v>Apr</v>
      </c>
      <c r="P1479" s="2" t="str">
        <f>"Q"&amp;ROUNDUP(MONTH(Sheet1[[#This Row],[date_joined]])/3,0)</f>
        <v>Q2</v>
      </c>
      <c r="Q1479" s="2" t="str">
        <f>IF(Sheet1[[#This Row],[age]]&lt;30,"Young",IF(Sheet1[[#This Row],[age]]&lt;=50,"Adult","Senior"))</f>
        <v>Adult</v>
      </c>
      <c r="R1479" s="2" t="str">
        <f t="shared" si="46"/>
        <v>Very High</v>
      </c>
      <c r="S1479" s="2" t="str">
        <f t="shared" si="47"/>
        <v>South - Retired</v>
      </c>
    </row>
    <row r="1480" spans="1:19" x14ac:dyDescent="0.3">
      <c r="A1480" t="s">
        <v>2983</v>
      </c>
      <c r="B1480" t="s">
        <v>2984</v>
      </c>
      <c r="C1480">
        <v>19</v>
      </c>
      <c r="D1480" s="2" t="s">
        <v>21</v>
      </c>
      <c r="E1480" s="2" t="s">
        <v>30</v>
      </c>
      <c r="F1480" s="2" t="s">
        <v>31</v>
      </c>
      <c r="G1480" s="2" t="s">
        <v>16</v>
      </c>
      <c r="H1480" s="2" t="s">
        <v>18</v>
      </c>
      <c r="I1480" s="2" t="s">
        <v>18</v>
      </c>
      <c r="J1480">
        <v>0.28999999999999998</v>
      </c>
      <c r="K1480" s="1">
        <v>43690</v>
      </c>
      <c r="L1480" s="2" t="str">
        <f>IF(Sheet1[[#This Row],[age]]&lt;18, "Under 18",IF(Sheet1[[#This Row],[age]]&lt;=30,"18-30",IF(Sheet1[[#This Row],[age]]&lt;=45,"31-45",IF(Sheet1[[#This Row],[age]]&lt;=60,"46-60","60+"))))</f>
        <v>18-30</v>
      </c>
      <c r="M1480" s="2" t="str">
        <f>IF(Sheet1[[#This Row],[risk_score]]&lt;0.3,"Low",IF(Sheet1[[#This Row],[risk_score]]&lt;0.7,"Medium","High"))</f>
        <v>Low</v>
      </c>
      <c r="N1480">
        <f>YEAR(Sheet1[[#This Row],[date_joined]])</f>
        <v>2019</v>
      </c>
      <c r="O1480" s="2" t="str">
        <f>TEXT(Sheet1[[#This Row],[date_joined]],"mmm")</f>
        <v>Aug</v>
      </c>
      <c r="P1480" s="2" t="str">
        <f>"Q"&amp;ROUNDUP(MONTH(Sheet1[[#This Row],[date_joined]])/3,0)</f>
        <v>Q3</v>
      </c>
      <c r="Q1480" s="2" t="str">
        <f>IF(Sheet1[[#This Row],[age]]&lt;30,"Young",IF(Sheet1[[#This Row],[age]]&lt;=50,"Adult","Senior"))</f>
        <v>Young</v>
      </c>
      <c r="R1480" s="2" t="str">
        <f t="shared" si="46"/>
        <v>Very High</v>
      </c>
      <c r="S1480" s="2" t="str">
        <f t="shared" si="47"/>
        <v>West - Self-employed</v>
      </c>
    </row>
    <row r="1481" spans="1:19" x14ac:dyDescent="0.3">
      <c r="A1481" t="s">
        <v>2985</v>
      </c>
      <c r="B1481" t="s">
        <v>2986</v>
      </c>
      <c r="C1481">
        <v>63</v>
      </c>
      <c r="D1481" s="2" t="s">
        <v>21</v>
      </c>
      <c r="E1481" s="2" t="s">
        <v>30</v>
      </c>
      <c r="F1481" s="2" t="s">
        <v>31</v>
      </c>
      <c r="G1481" s="2" t="s">
        <v>81</v>
      </c>
      <c r="H1481" s="2" t="s">
        <v>18</v>
      </c>
      <c r="I1481" s="2" t="s">
        <v>18</v>
      </c>
      <c r="J1481">
        <v>0.76</v>
      </c>
      <c r="K1481" s="1">
        <v>44719</v>
      </c>
      <c r="L1481" s="2" t="str">
        <f>IF(Sheet1[[#This Row],[age]]&lt;18, "Under 18",IF(Sheet1[[#This Row],[age]]&lt;=30,"18-30",IF(Sheet1[[#This Row],[age]]&lt;=45,"31-45",IF(Sheet1[[#This Row],[age]]&lt;=60,"46-60","60+"))))</f>
        <v>60+</v>
      </c>
      <c r="M1481" s="2" t="str">
        <f>IF(Sheet1[[#This Row],[risk_score]]&lt;0.3,"Low",IF(Sheet1[[#This Row],[risk_score]]&lt;0.7,"Medium","High"))</f>
        <v>High</v>
      </c>
      <c r="N1481">
        <f>YEAR(Sheet1[[#This Row],[date_joined]])</f>
        <v>2022</v>
      </c>
      <c r="O1481" s="2" t="str">
        <f>TEXT(Sheet1[[#This Row],[date_joined]],"mmm")</f>
        <v>Jun</v>
      </c>
      <c r="P1481" s="2" t="str">
        <f>"Q"&amp;ROUNDUP(MONTH(Sheet1[[#This Row],[date_joined]])/3,0)</f>
        <v>Q2</v>
      </c>
      <c r="Q1481" s="2" t="str">
        <f>IF(Sheet1[[#This Row],[age]]&lt;30,"Young",IF(Sheet1[[#This Row],[age]]&lt;=50,"Adult","Senior"))</f>
        <v>Senior</v>
      </c>
      <c r="R1481" s="2" t="str">
        <f t="shared" si="46"/>
        <v>Very High</v>
      </c>
      <c r="S1481" s="2" t="str">
        <f t="shared" si="47"/>
        <v>Central - Self-employed</v>
      </c>
    </row>
    <row r="1482" spans="1:19" x14ac:dyDescent="0.3">
      <c r="A1482" t="s">
        <v>2987</v>
      </c>
      <c r="B1482" t="s">
        <v>2988</v>
      </c>
      <c r="C1482">
        <v>21</v>
      </c>
      <c r="D1482" s="2" t="s">
        <v>13</v>
      </c>
      <c r="E1482" s="2" t="s">
        <v>22</v>
      </c>
      <c r="F1482" s="2" t="s">
        <v>37</v>
      </c>
      <c r="G1482" s="2" t="s">
        <v>81</v>
      </c>
      <c r="H1482" s="2" t="s">
        <v>18</v>
      </c>
      <c r="I1482" s="2" t="s">
        <v>17</v>
      </c>
      <c r="J1482">
        <v>0.11</v>
      </c>
      <c r="K1482" s="1">
        <v>43409</v>
      </c>
      <c r="L1482" s="2" t="str">
        <f>IF(Sheet1[[#This Row],[age]]&lt;18, "Under 18",IF(Sheet1[[#This Row],[age]]&lt;=30,"18-30",IF(Sheet1[[#This Row],[age]]&lt;=45,"31-45",IF(Sheet1[[#This Row],[age]]&lt;=60,"46-60","60+"))))</f>
        <v>18-30</v>
      </c>
      <c r="M1482" s="2" t="str">
        <f>IF(Sheet1[[#This Row],[risk_score]]&lt;0.3,"Low",IF(Sheet1[[#This Row],[risk_score]]&lt;0.7,"Medium","High"))</f>
        <v>Low</v>
      </c>
      <c r="N1482">
        <f>YEAR(Sheet1[[#This Row],[date_joined]])</f>
        <v>2018</v>
      </c>
      <c r="O1482" s="2" t="str">
        <f>TEXT(Sheet1[[#This Row],[date_joined]],"mmm")</f>
        <v>Nov</v>
      </c>
      <c r="P1482" s="2" t="str">
        <f>"Q"&amp;ROUNDUP(MONTH(Sheet1[[#This Row],[date_joined]])/3,0)</f>
        <v>Q4</v>
      </c>
      <c r="Q1482" s="2" t="str">
        <f>IF(Sheet1[[#This Row],[age]]&lt;30,"Young",IF(Sheet1[[#This Row],[age]]&lt;=50,"Adult","Senior"))</f>
        <v>Young</v>
      </c>
      <c r="R1482" s="2" t="str">
        <f t="shared" si="46"/>
        <v>High</v>
      </c>
      <c r="S1482" s="2" t="str">
        <f t="shared" si="47"/>
        <v>Central - Retired</v>
      </c>
    </row>
    <row r="1483" spans="1:19" x14ac:dyDescent="0.3">
      <c r="A1483" t="s">
        <v>2989</v>
      </c>
      <c r="B1483" t="s">
        <v>852</v>
      </c>
      <c r="C1483">
        <v>25</v>
      </c>
      <c r="D1483" s="2" t="s">
        <v>13</v>
      </c>
      <c r="E1483" s="2" t="s">
        <v>22</v>
      </c>
      <c r="F1483" s="2" t="s">
        <v>23</v>
      </c>
      <c r="G1483" s="2" t="s">
        <v>81</v>
      </c>
      <c r="H1483" s="2" t="s">
        <v>18</v>
      </c>
      <c r="I1483" s="2" t="s">
        <v>17</v>
      </c>
      <c r="J1483">
        <v>0.42</v>
      </c>
      <c r="K1483" s="1">
        <v>43180</v>
      </c>
      <c r="L1483" s="2" t="str">
        <f>IF(Sheet1[[#This Row],[age]]&lt;18, "Under 18",IF(Sheet1[[#This Row],[age]]&lt;=30,"18-30",IF(Sheet1[[#This Row],[age]]&lt;=45,"31-45",IF(Sheet1[[#This Row],[age]]&lt;=60,"46-60","60+"))))</f>
        <v>18-30</v>
      </c>
      <c r="M1483" s="2" t="str">
        <f>IF(Sheet1[[#This Row],[risk_score]]&lt;0.3,"Low",IF(Sheet1[[#This Row],[risk_score]]&lt;0.7,"Medium","High"))</f>
        <v>Medium</v>
      </c>
      <c r="N1483">
        <f>YEAR(Sheet1[[#This Row],[date_joined]])</f>
        <v>2018</v>
      </c>
      <c r="O1483" s="2" t="str">
        <f>TEXT(Sheet1[[#This Row],[date_joined]],"mmm")</f>
        <v>Mar</v>
      </c>
      <c r="P1483" s="2" t="str">
        <f>"Q"&amp;ROUNDUP(MONTH(Sheet1[[#This Row],[date_joined]])/3,0)</f>
        <v>Q1</v>
      </c>
      <c r="Q1483" s="2" t="str">
        <f>IF(Sheet1[[#This Row],[age]]&lt;30,"Young",IF(Sheet1[[#This Row],[age]]&lt;=50,"Adult","Senior"))</f>
        <v>Young</v>
      </c>
      <c r="R1483" s="2" t="str">
        <f t="shared" si="46"/>
        <v>High</v>
      </c>
      <c r="S1483" s="2" t="str">
        <f t="shared" si="47"/>
        <v>Central - Salaried</v>
      </c>
    </row>
    <row r="1484" spans="1:19" x14ac:dyDescent="0.3">
      <c r="A1484" t="s">
        <v>2990</v>
      </c>
      <c r="B1484" t="s">
        <v>2991</v>
      </c>
      <c r="C1484">
        <v>40</v>
      </c>
      <c r="D1484" s="2" t="s">
        <v>13</v>
      </c>
      <c r="E1484" s="2" t="s">
        <v>14</v>
      </c>
      <c r="F1484" s="2" t="s">
        <v>15</v>
      </c>
      <c r="G1484" s="2" t="s">
        <v>66</v>
      </c>
      <c r="H1484" s="2" t="s">
        <v>18</v>
      </c>
      <c r="I1484" s="2" t="s">
        <v>17</v>
      </c>
      <c r="J1484">
        <v>0.34</v>
      </c>
      <c r="K1484" s="1">
        <v>43701</v>
      </c>
      <c r="L1484" s="2" t="str">
        <f>IF(Sheet1[[#This Row],[age]]&lt;18, "Under 18",IF(Sheet1[[#This Row],[age]]&lt;=30,"18-30",IF(Sheet1[[#This Row],[age]]&lt;=45,"31-45",IF(Sheet1[[#This Row],[age]]&lt;=60,"46-60","60+"))))</f>
        <v>31-45</v>
      </c>
      <c r="M1484" s="2" t="str">
        <f>IF(Sheet1[[#This Row],[risk_score]]&lt;0.3,"Low",IF(Sheet1[[#This Row],[risk_score]]&lt;0.7,"Medium","High"))</f>
        <v>Medium</v>
      </c>
      <c r="N1484">
        <f>YEAR(Sheet1[[#This Row],[date_joined]])</f>
        <v>2019</v>
      </c>
      <c r="O1484" s="2" t="str">
        <f>TEXT(Sheet1[[#This Row],[date_joined]],"mmm")</f>
        <v>Aug</v>
      </c>
      <c r="P1484" s="2" t="str">
        <f>"Q"&amp;ROUNDUP(MONTH(Sheet1[[#This Row],[date_joined]])/3,0)</f>
        <v>Q3</v>
      </c>
      <c r="Q1484" s="2" t="str">
        <f>IF(Sheet1[[#This Row],[age]]&lt;30,"Young",IF(Sheet1[[#This Row],[age]]&lt;=50,"Adult","Senior"))</f>
        <v>Adult</v>
      </c>
      <c r="R1484" s="2" t="str">
        <f t="shared" si="46"/>
        <v>High</v>
      </c>
      <c r="S1484" s="2" t="str">
        <f t="shared" si="47"/>
        <v>North-East - Student</v>
      </c>
    </row>
    <row r="1485" spans="1:19" x14ac:dyDescent="0.3">
      <c r="A1485" t="s">
        <v>2992</v>
      </c>
      <c r="B1485" t="s">
        <v>2993</v>
      </c>
      <c r="C1485">
        <v>53</v>
      </c>
      <c r="D1485" s="2" t="s">
        <v>21</v>
      </c>
      <c r="E1485" s="2" t="s">
        <v>14</v>
      </c>
      <c r="F1485" s="2" t="s">
        <v>15</v>
      </c>
      <c r="G1485" s="2" t="s">
        <v>16</v>
      </c>
      <c r="H1485" s="2" t="s">
        <v>18</v>
      </c>
      <c r="I1485" s="2" t="s">
        <v>18</v>
      </c>
      <c r="J1485">
        <v>0.86</v>
      </c>
      <c r="K1485" s="1">
        <v>45084</v>
      </c>
      <c r="L1485" s="2" t="str">
        <f>IF(Sheet1[[#This Row],[age]]&lt;18, "Under 18",IF(Sheet1[[#This Row],[age]]&lt;=30,"18-30",IF(Sheet1[[#This Row],[age]]&lt;=45,"31-45",IF(Sheet1[[#This Row],[age]]&lt;=60,"46-60","60+"))))</f>
        <v>46-60</v>
      </c>
      <c r="M1485" s="2" t="str">
        <f>IF(Sheet1[[#This Row],[risk_score]]&lt;0.3,"Low",IF(Sheet1[[#This Row],[risk_score]]&lt;0.7,"Medium","High"))</f>
        <v>High</v>
      </c>
      <c r="N1485">
        <f>YEAR(Sheet1[[#This Row],[date_joined]])</f>
        <v>2023</v>
      </c>
      <c r="O1485" s="2" t="str">
        <f>TEXT(Sheet1[[#This Row],[date_joined]],"mmm")</f>
        <v>Jun</v>
      </c>
      <c r="P1485" s="2" t="str">
        <f>"Q"&amp;ROUNDUP(MONTH(Sheet1[[#This Row],[date_joined]])/3,0)</f>
        <v>Q2</v>
      </c>
      <c r="Q1485" s="2" t="str">
        <f>IF(Sheet1[[#This Row],[age]]&lt;30,"Young",IF(Sheet1[[#This Row],[age]]&lt;=50,"Adult","Senior"))</f>
        <v>Senior</v>
      </c>
      <c r="R1485" s="2" t="str">
        <f t="shared" si="46"/>
        <v>Very High</v>
      </c>
      <c r="S1485" s="2" t="str">
        <f t="shared" si="47"/>
        <v>West - Student</v>
      </c>
    </row>
    <row r="1486" spans="1:19" x14ac:dyDescent="0.3">
      <c r="A1486" t="s">
        <v>2994</v>
      </c>
      <c r="B1486" t="s">
        <v>2995</v>
      </c>
      <c r="C1486">
        <v>44</v>
      </c>
      <c r="D1486" s="2" t="s">
        <v>13</v>
      </c>
      <c r="E1486" s="2" t="s">
        <v>14</v>
      </c>
      <c r="F1486" s="2" t="s">
        <v>31</v>
      </c>
      <c r="G1486" s="2" t="s">
        <v>27</v>
      </c>
      <c r="H1486" s="2" t="s">
        <v>17</v>
      </c>
      <c r="I1486" s="2" t="s">
        <v>17</v>
      </c>
      <c r="J1486">
        <v>0.75</v>
      </c>
      <c r="K1486" s="1">
        <v>44076</v>
      </c>
      <c r="L1486" s="2" t="str">
        <f>IF(Sheet1[[#This Row],[age]]&lt;18, "Under 18",IF(Sheet1[[#This Row],[age]]&lt;=30,"18-30",IF(Sheet1[[#This Row],[age]]&lt;=45,"31-45",IF(Sheet1[[#This Row],[age]]&lt;=60,"46-60","60+"))))</f>
        <v>31-45</v>
      </c>
      <c r="M1486" s="2" t="str">
        <f>IF(Sheet1[[#This Row],[risk_score]]&lt;0.3,"Low",IF(Sheet1[[#This Row],[risk_score]]&lt;0.7,"Medium","High"))</f>
        <v>High</v>
      </c>
      <c r="N1486">
        <f>YEAR(Sheet1[[#This Row],[date_joined]])</f>
        <v>2020</v>
      </c>
      <c r="O1486" s="2" t="str">
        <f>TEXT(Sheet1[[#This Row],[date_joined]],"mmm")</f>
        <v>Sep</v>
      </c>
      <c r="P1486" s="2" t="str">
        <f>"Q"&amp;ROUNDUP(MONTH(Sheet1[[#This Row],[date_joined]])/3,0)</f>
        <v>Q3</v>
      </c>
      <c r="Q1486" s="2" t="str">
        <f>IF(Sheet1[[#This Row],[age]]&lt;30,"Young",IF(Sheet1[[#This Row],[age]]&lt;=50,"Adult","Senior"))</f>
        <v>Adult</v>
      </c>
      <c r="R1486" s="2" t="str">
        <f t="shared" si="46"/>
        <v>Low</v>
      </c>
      <c r="S1486" s="2" t="str">
        <f t="shared" si="47"/>
        <v>North - Self-employed</v>
      </c>
    </row>
    <row r="1487" spans="1:19" x14ac:dyDescent="0.3">
      <c r="A1487" t="s">
        <v>2996</v>
      </c>
      <c r="B1487" t="s">
        <v>2997</v>
      </c>
      <c r="C1487">
        <v>30</v>
      </c>
      <c r="D1487" s="2" t="s">
        <v>13</v>
      </c>
      <c r="E1487" s="2" t="s">
        <v>30</v>
      </c>
      <c r="F1487" s="2" t="s">
        <v>23</v>
      </c>
      <c r="G1487" s="2" t="s">
        <v>27</v>
      </c>
      <c r="H1487" s="2" t="s">
        <v>17</v>
      </c>
      <c r="I1487" s="2" t="s">
        <v>18</v>
      </c>
      <c r="J1487">
        <v>0.49</v>
      </c>
      <c r="K1487" s="1">
        <v>43862</v>
      </c>
      <c r="L1487" s="2" t="str">
        <f>IF(Sheet1[[#This Row],[age]]&lt;18, "Under 18",IF(Sheet1[[#This Row],[age]]&lt;=30,"18-30",IF(Sheet1[[#This Row],[age]]&lt;=45,"31-45",IF(Sheet1[[#This Row],[age]]&lt;=60,"46-60","60+"))))</f>
        <v>18-30</v>
      </c>
      <c r="M1487" s="2" t="str">
        <f>IF(Sheet1[[#This Row],[risk_score]]&lt;0.3,"Low",IF(Sheet1[[#This Row],[risk_score]]&lt;0.7,"Medium","High"))</f>
        <v>Medium</v>
      </c>
      <c r="N1487">
        <f>YEAR(Sheet1[[#This Row],[date_joined]])</f>
        <v>2020</v>
      </c>
      <c r="O1487" s="2" t="str">
        <f>TEXT(Sheet1[[#This Row],[date_joined]],"mmm")</f>
        <v>Feb</v>
      </c>
      <c r="P1487" s="2" t="str">
        <f>"Q"&amp;ROUNDUP(MONTH(Sheet1[[#This Row],[date_joined]])/3,0)</f>
        <v>Q1</v>
      </c>
      <c r="Q1487" s="2" t="str">
        <f>IF(Sheet1[[#This Row],[age]]&lt;30,"Young",IF(Sheet1[[#This Row],[age]]&lt;=50,"Adult","Senior"))</f>
        <v>Adult</v>
      </c>
      <c r="R1487" s="2" t="str">
        <f t="shared" si="46"/>
        <v>High</v>
      </c>
      <c r="S1487" s="2" t="str">
        <f t="shared" si="47"/>
        <v>North - Salaried</v>
      </c>
    </row>
    <row r="1488" spans="1:19" x14ac:dyDescent="0.3">
      <c r="A1488" t="s">
        <v>2998</v>
      </c>
      <c r="B1488" t="s">
        <v>2999</v>
      </c>
      <c r="C1488">
        <v>67</v>
      </c>
      <c r="D1488" s="2" t="s">
        <v>13</v>
      </c>
      <c r="E1488" s="2" t="s">
        <v>30</v>
      </c>
      <c r="F1488" s="2" t="s">
        <v>23</v>
      </c>
      <c r="G1488" s="2" t="s">
        <v>81</v>
      </c>
      <c r="H1488" s="2" t="s">
        <v>17</v>
      </c>
      <c r="I1488" s="2" t="s">
        <v>18</v>
      </c>
      <c r="J1488">
        <v>0.2</v>
      </c>
      <c r="K1488" s="1">
        <v>44314</v>
      </c>
      <c r="L1488" s="2" t="str">
        <f>IF(Sheet1[[#This Row],[age]]&lt;18, "Under 18",IF(Sheet1[[#This Row],[age]]&lt;=30,"18-30",IF(Sheet1[[#This Row],[age]]&lt;=45,"31-45",IF(Sheet1[[#This Row],[age]]&lt;=60,"46-60","60+"))))</f>
        <v>60+</v>
      </c>
      <c r="M1488" s="2" t="str">
        <f>IF(Sheet1[[#This Row],[risk_score]]&lt;0.3,"Low",IF(Sheet1[[#This Row],[risk_score]]&lt;0.7,"Medium","High"))</f>
        <v>Low</v>
      </c>
      <c r="N1488">
        <f>YEAR(Sheet1[[#This Row],[date_joined]])</f>
        <v>2021</v>
      </c>
      <c r="O1488" s="2" t="str">
        <f>TEXT(Sheet1[[#This Row],[date_joined]],"mmm")</f>
        <v>Apr</v>
      </c>
      <c r="P1488" s="2" t="str">
        <f>"Q"&amp;ROUNDUP(MONTH(Sheet1[[#This Row],[date_joined]])/3,0)</f>
        <v>Q2</v>
      </c>
      <c r="Q1488" s="2" t="str">
        <f>IF(Sheet1[[#This Row],[age]]&lt;30,"Young",IF(Sheet1[[#This Row],[age]]&lt;=50,"Adult","Senior"))</f>
        <v>Senior</v>
      </c>
      <c r="R1488" s="2" t="str">
        <f t="shared" si="46"/>
        <v>High</v>
      </c>
      <c r="S1488" s="2" t="str">
        <f t="shared" si="47"/>
        <v>Central - Salaried</v>
      </c>
    </row>
    <row r="1489" spans="1:19" x14ac:dyDescent="0.3">
      <c r="A1489" t="s">
        <v>3000</v>
      </c>
      <c r="B1489" t="s">
        <v>3001</v>
      </c>
      <c r="C1489">
        <v>49</v>
      </c>
      <c r="D1489" s="2" t="s">
        <v>21</v>
      </c>
      <c r="E1489" s="2" t="s">
        <v>14</v>
      </c>
      <c r="F1489" s="2" t="s">
        <v>31</v>
      </c>
      <c r="G1489" s="2" t="s">
        <v>32</v>
      </c>
      <c r="H1489" s="2" t="s">
        <v>17</v>
      </c>
      <c r="I1489" s="2" t="s">
        <v>17</v>
      </c>
      <c r="J1489">
        <v>0.69</v>
      </c>
      <c r="K1489" s="1">
        <v>43120</v>
      </c>
      <c r="L1489" s="2" t="str">
        <f>IF(Sheet1[[#This Row],[age]]&lt;18, "Under 18",IF(Sheet1[[#This Row],[age]]&lt;=30,"18-30",IF(Sheet1[[#This Row],[age]]&lt;=45,"31-45",IF(Sheet1[[#This Row],[age]]&lt;=60,"46-60","60+"))))</f>
        <v>46-60</v>
      </c>
      <c r="M1489" s="2" t="str">
        <f>IF(Sheet1[[#This Row],[risk_score]]&lt;0.3,"Low",IF(Sheet1[[#This Row],[risk_score]]&lt;0.7,"Medium","High"))</f>
        <v>Medium</v>
      </c>
      <c r="N1489">
        <f>YEAR(Sheet1[[#This Row],[date_joined]])</f>
        <v>2018</v>
      </c>
      <c r="O1489" s="2" t="str">
        <f>TEXT(Sheet1[[#This Row],[date_joined]],"mmm")</f>
        <v>Jan</v>
      </c>
      <c r="P1489" s="2" t="str">
        <f>"Q"&amp;ROUNDUP(MONTH(Sheet1[[#This Row],[date_joined]])/3,0)</f>
        <v>Q1</v>
      </c>
      <c r="Q1489" s="2" t="str">
        <f>IF(Sheet1[[#This Row],[age]]&lt;30,"Young",IF(Sheet1[[#This Row],[age]]&lt;=50,"Adult","Senior"))</f>
        <v>Adult</v>
      </c>
      <c r="R1489" s="2" t="str">
        <f t="shared" si="46"/>
        <v>Low</v>
      </c>
      <c r="S1489" s="2" t="str">
        <f t="shared" si="47"/>
        <v>South - Self-employed</v>
      </c>
    </row>
    <row r="1490" spans="1:19" x14ac:dyDescent="0.3">
      <c r="A1490" t="s">
        <v>3002</v>
      </c>
      <c r="B1490" t="s">
        <v>3003</v>
      </c>
      <c r="C1490">
        <v>53</v>
      </c>
      <c r="D1490" s="2" t="s">
        <v>21</v>
      </c>
      <c r="E1490" s="2" t="s">
        <v>30</v>
      </c>
      <c r="F1490" s="2" t="s">
        <v>37</v>
      </c>
      <c r="G1490" s="2" t="s">
        <v>32</v>
      </c>
      <c r="H1490" s="2" t="s">
        <v>17</v>
      </c>
      <c r="I1490" s="2" t="s">
        <v>17</v>
      </c>
      <c r="J1490">
        <v>0.54</v>
      </c>
      <c r="K1490" s="1">
        <v>44349</v>
      </c>
      <c r="L1490" s="2" t="str">
        <f>IF(Sheet1[[#This Row],[age]]&lt;18, "Under 18",IF(Sheet1[[#This Row],[age]]&lt;=30,"18-30",IF(Sheet1[[#This Row],[age]]&lt;=45,"31-45",IF(Sheet1[[#This Row],[age]]&lt;=60,"46-60","60+"))))</f>
        <v>46-60</v>
      </c>
      <c r="M1490" s="2" t="str">
        <f>IF(Sheet1[[#This Row],[risk_score]]&lt;0.3,"Low",IF(Sheet1[[#This Row],[risk_score]]&lt;0.7,"Medium","High"))</f>
        <v>Medium</v>
      </c>
      <c r="N1490">
        <f>YEAR(Sheet1[[#This Row],[date_joined]])</f>
        <v>2021</v>
      </c>
      <c r="O1490" s="2" t="str">
        <f>TEXT(Sheet1[[#This Row],[date_joined]],"mmm")</f>
        <v>Jun</v>
      </c>
      <c r="P1490" s="2" t="str">
        <f>"Q"&amp;ROUNDUP(MONTH(Sheet1[[#This Row],[date_joined]])/3,0)</f>
        <v>Q2</v>
      </c>
      <c r="Q1490" s="2" t="str">
        <f>IF(Sheet1[[#This Row],[age]]&lt;30,"Young",IF(Sheet1[[#This Row],[age]]&lt;=50,"Adult","Senior"))</f>
        <v>Senior</v>
      </c>
      <c r="R1490" s="2" t="str">
        <f t="shared" si="46"/>
        <v>Low</v>
      </c>
      <c r="S1490" s="2" t="str">
        <f t="shared" si="47"/>
        <v>South - Retired</v>
      </c>
    </row>
    <row r="1491" spans="1:19" x14ac:dyDescent="0.3">
      <c r="A1491" t="s">
        <v>3004</v>
      </c>
      <c r="B1491" t="s">
        <v>3005</v>
      </c>
      <c r="C1491">
        <v>67</v>
      </c>
      <c r="D1491" s="2" t="s">
        <v>21</v>
      </c>
      <c r="E1491" s="2" t="s">
        <v>14</v>
      </c>
      <c r="F1491" s="2" t="s">
        <v>23</v>
      </c>
      <c r="G1491" s="2" t="s">
        <v>81</v>
      </c>
      <c r="H1491" s="2" t="s">
        <v>18</v>
      </c>
      <c r="I1491" s="2" t="s">
        <v>18</v>
      </c>
      <c r="J1491">
        <v>0.42</v>
      </c>
      <c r="K1491" s="1">
        <v>43652</v>
      </c>
      <c r="L1491" s="2" t="str">
        <f>IF(Sheet1[[#This Row],[age]]&lt;18, "Under 18",IF(Sheet1[[#This Row],[age]]&lt;=30,"18-30",IF(Sheet1[[#This Row],[age]]&lt;=45,"31-45",IF(Sheet1[[#This Row],[age]]&lt;=60,"46-60","60+"))))</f>
        <v>60+</v>
      </c>
      <c r="M1491" s="2" t="str">
        <f>IF(Sheet1[[#This Row],[risk_score]]&lt;0.3,"Low",IF(Sheet1[[#This Row],[risk_score]]&lt;0.7,"Medium","High"))</f>
        <v>Medium</v>
      </c>
      <c r="N1491">
        <f>YEAR(Sheet1[[#This Row],[date_joined]])</f>
        <v>2019</v>
      </c>
      <c r="O1491" s="2" t="str">
        <f>TEXT(Sheet1[[#This Row],[date_joined]],"mmm")</f>
        <v>Jul</v>
      </c>
      <c r="P1491" s="2" t="str">
        <f>"Q"&amp;ROUNDUP(MONTH(Sheet1[[#This Row],[date_joined]])/3,0)</f>
        <v>Q3</v>
      </c>
      <c r="Q1491" s="2" t="str">
        <f>IF(Sheet1[[#This Row],[age]]&lt;30,"Young",IF(Sheet1[[#This Row],[age]]&lt;=50,"Adult","Senior"))</f>
        <v>Senior</v>
      </c>
      <c r="R1491" s="2" t="str">
        <f t="shared" si="46"/>
        <v>Very High</v>
      </c>
      <c r="S1491" s="2" t="str">
        <f t="shared" si="47"/>
        <v>Central - Salaried</v>
      </c>
    </row>
    <row r="1492" spans="1:19" x14ac:dyDescent="0.3">
      <c r="A1492" t="s">
        <v>3006</v>
      </c>
      <c r="B1492" t="s">
        <v>3007</v>
      </c>
      <c r="C1492">
        <v>52</v>
      </c>
      <c r="D1492" s="2" t="s">
        <v>13</v>
      </c>
      <c r="E1492" s="2" t="s">
        <v>30</v>
      </c>
      <c r="F1492" s="2" t="s">
        <v>31</v>
      </c>
      <c r="G1492" s="2" t="s">
        <v>32</v>
      </c>
      <c r="H1492" s="2" t="s">
        <v>18</v>
      </c>
      <c r="I1492" s="2" t="s">
        <v>18</v>
      </c>
      <c r="J1492">
        <v>0.75</v>
      </c>
      <c r="K1492" s="1">
        <v>44178</v>
      </c>
      <c r="L1492" s="2" t="str">
        <f>IF(Sheet1[[#This Row],[age]]&lt;18, "Under 18",IF(Sheet1[[#This Row],[age]]&lt;=30,"18-30",IF(Sheet1[[#This Row],[age]]&lt;=45,"31-45",IF(Sheet1[[#This Row],[age]]&lt;=60,"46-60","60+"))))</f>
        <v>46-60</v>
      </c>
      <c r="M1492" s="2" t="str">
        <f>IF(Sheet1[[#This Row],[risk_score]]&lt;0.3,"Low",IF(Sheet1[[#This Row],[risk_score]]&lt;0.7,"Medium","High"))</f>
        <v>High</v>
      </c>
      <c r="N1492">
        <f>YEAR(Sheet1[[#This Row],[date_joined]])</f>
        <v>2020</v>
      </c>
      <c r="O1492" s="2" t="str">
        <f>TEXT(Sheet1[[#This Row],[date_joined]],"mmm")</f>
        <v>Dec</v>
      </c>
      <c r="P1492" s="2" t="str">
        <f>"Q"&amp;ROUNDUP(MONTH(Sheet1[[#This Row],[date_joined]])/3,0)</f>
        <v>Q4</v>
      </c>
      <c r="Q1492" s="2" t="str">
        <f>IF(Sheet1[[#This Row],[age]]&lt;30,"Young",IF(Sheet1[[#This Row],[age]]&lt;=50,"Adult","Senior"))</f>
        <v>Senior</v>
      </c>
      <c r="R1492" s="2" t="str">
        <f t="shared" si="46"/>
        <v>Very High</v>
      </c>
      <c r="S1492" s="2" t="str">
        <f t="shared" si="47"/>
        <v>South - Self-employed</v>
      </c>
    </row>
    <row r="1493" spans="1:19" x14ac:dyDescent="0.3">
      <c r="A1493" t="s">
        <v>3008</v>
      </c>
      <c r="B1493" t="s">
        <v>3009</v>
      </c>
      <c r="C1493">
        <v>53</v>
      </c>
      <c r="D1493" s="2" t="s">
        <v>21</v>
      </c>
      <c r="E1493" s="2" t="s">
        <v>30</v>
      </c>
      <c r="F1493" s="2" t="s">
        <v>37</v>
      </c>
      <c r="G1493" s="2" t="s">
        <v>27</v>
      </c>
      <c r="H1493" s="2" t="s">
        <v>17</v>
      </c>
      <c r="I1493" s="2" t="s">
        <v>18</v>
      </c>
      <c r="J1493">
        <v>0.53</v>
      </c>
      <c r="K1493" s="1">
        <v>44873</v>
      </c>
      <c r="L1493" s="2" t="str">
        <f>IF(Sheet1[[#This Row],[age]]&lt;18, "Under 18",IF(Sheet1[[#This Row],[age]]&lt;=30,"18-30",IF(Sheet1[[#This Row],[age]]&lt;=45,"31-45",IF(Sheet1[[#This Row],[age]]&lt;=60,"46-60","60+"))))</f>
        <v>46-60</v>
      </c>
      <c r="M1493" s="2" t="str">
        <f>IF(Sheet1[[#This Row],[risk_score]]&lt;0.3,"Low",IF(Sheet1[[#This Row],[risk_score]]&lt;0.7,"Medium","High"))</f>
        <v>Medium</v>
      </c>
      <c r="N1493">
        <f>YEAR(Sheet1[[#This Row],[date_joined]])</f>
        <v>2022</v>
      </c>
      <c r="O1493" s="2" t="str">
        <f>TEXT(Sheet1[[#This Row],[date_joined]],"mmm")</f>
        <v>Nov</v>
      </c>
      <c r="P1493" s="2" t="str">
        <f>"Q"&amp;ROUNDUP(MONTH(Sheet1[[#This Row],[date_joined]])/3,0)</f>
        <v>Q4</v>
      </c>
      <c r="Q1493" s="2" t="str">
        <f>IF(Sheet1[[#This Row],[age]]&lt;30,"Young",IF(Sheet1[[#This Row],[age]]&lt;=50,"Adult","Senior"))</f>
        <v>Senior</v>
      </c>
      <c r="R1493" s="2" t="str">
        <f t="shared" si="46"/>
        <v>High</v>
      </c>
      <c r="S1493" s="2" t="str">
        <f t="shared" si="47"/>
        <v>North - Retired</v>
      </c>
    </row>
    <row r="1494" spans="1:19" x14ac:dyDescent="0.3">
      <c r="A1494" t="s">
        <v>3010</v>
      </c>
      <c r="B1494" t="s">
        <v>3011</v>
      </c>
      <c r="C1494">
        <v>32</v>
      </c>
      <c r="D1494" s="2" t="s">
        <v>13</v>
      </c>
      <c r="E1494" s="2" t="s">
        <v>22</v>
      </c>
      <c r="F1494" s="2" t="s">
        <v>15</v>
      </c>
      <c r="G1494" s="2" t="s">
        <v>16</v>
      </c>
      <c r="H1494" s="2" t="s">
        <v>17</v>
      </c>
      <c r="I1494" s="2" t="s">
        <v>17</v>
      </c>
      <c r="J1494">
        <v>0.69</v>
      </c>
      <c r="K1494" s="1">
        <v>43352</v>
      </c>
      <c r="L1494" s="2" t="str">
        <f>IF(Sheet1[[#This Row],[age]]&lt;18, "Under 18",IF(Sheet1[[#This Row],[age]]&lt;=30,"18-30",IF(Sheet1[[#This Row],[age]]&lt;=45,"31-45",IF(Sheet1[[#This Row],[age]]&lt;=60,"46-60","60+"))))</f>
        <v>31-45</v>
      </c>
      <c r="M1494" s="2" t="str">
        <f>IF(Sheet1[[#This Row],[risk_score]]&lt;0.3,"Low",IF(Sheet1[[#This Row],[risk_score]]&lt;0.7,"Medium","High"))</f>
        <v>Medium</v>
      </c>
      <c r="N1494">
        <f>YEAR(Sheet1[[#This Row],[date_joined]])</f>
        <v>2018</v>
      </c>
      <c r="O1494" s="2" t="str">
        <f>TEXT(Sheet1[[#This Row],[date_joined]],"mmm")</f>
        <v>Sep</v>
      </c>
      <c r="P1494" s="2" t="str">
        <f>"Q"&amp;ROUNDUP(MONTH(Sheet1[[#This Row],[date_joined]])/3,0)</f>
        <v>Q3</v>
      </c>
      <c r="Q1494" s="2" t="str">
        <f>IF(Sheet1[[#This Row],[age]]&lt;30,"Young",IF(Sheet1[[#This Row],[age]]&lt;=50,"Adult","Senior"))</f>
        <v>Adult</v>
      </c>
      <c r="R1494" s="2" t="str">
        <f t="shared" si="46"/>
        <v>Low</v>
      </c>
      <c r="S1494" s="2" t="str">
        <f t="shared" si="47"/>
        <v>West - Student</v>
      </c>
    </row>
    <row r="1495" spans="1:19" x14ac:dyDescent="0.3">
      <c r="A1495" t="s">
        <v>3012</v>
      </c>
      <c r="B1495" t="s">
        <v>3013</v>
      </c>
      <c r="C1495">
        <v>18</v>
      </c>
      <c r="D1495" s="2" t="s">
        <v>13</v>
      </c>
      <c r="E1495" s="2" t="s">
        <v>14</v>
      </c>
      <c r="F1495" s="2" t="s">
        <v>31</v>
      </c>
      <c r="G1495" s="2" t="s">
        <v>16</v>
      </c>
      <c r="H1495" s="2" t="s">
        <v>17</v>
      </c>
      <c r="I1495" s="2" t="s">
        <v>17</v>
      </c>
      <c r="J1495">
        <v>0.31</v>
      </c>
      <c r="K1495" s="1">
        <v>44524</v>
      </c>
      <c r="L1495" s="2" t="str">
        <f>IF(Sheet1[[#This Row],[age]]&lt;18, "Under 18",IF(Sheet1[[#This Row],[age]]&lt;=30,"18-30",IF(Sheet1[[#This Row],[age]]&lt;=45,"31-45",IF(Sheet1[[#This Row],[age]]&lt;=60,"46-60","60+"))))</f>
        <v>18-30</v>
      </c>
      <c r="M1495" s="2" t="str">
        <f>IF(Sheet1[[#This Row],[risk_score]]&lt;0.3,"Low",IF(Sheet1[[#This Row],[risk_score]]&lt;0.7,"Medium","High"))</f>
        <v>Medium</v>
      </c>
      <c r="N1495">
        <f>YEAR(Sheet1[[#This Row],[date_joined]])</f>
        <v>2021</v>
      </c>
      <c r="O1495" s="2" t="str">
        <f>TEXT(Sheet1[[#This Row],[date_joined]],"mmm")</f>
        <v>Nov</v>
      </c>
      <c r="P1495" s="2" t="str">
        <f>"Q"&amp;ROUNDUP(MONTH(Sheet1[[#This Row],[date_joined]])/3,0)</f>
        <v>Q4</v>
      </c>
      <c r="Q1495" s="2" t="str">
        <f>IF(Sheet1[[#This Row],[age]]&lt;30,"Young",IF(Sheet1[[#This Row],[age]]&lt;=50,"Adult","Senior"))</f>
        <v>Young</v>
      </c>
      <c r="R1495" s="2" t="str">
        <f t="shared" si="46"/>
        <v>Low</v>
      </c>
      <c r="S1495" s="2" t="str">
        <f t="shared" si="47"/>
        <v>West - Self-employed</v>
      </c>
    </row>
    <row r="1496" spans="1:19" x14ac:dyDescent="0.3">
      <c r="A1496" t="s">
        <v>3014</v>
      </c>
      <c r="B1496" t="s">
        <v>3015</v>
      </c>
      <c r="C1496">
        <v>65</v>
      </c>
      <c r="D1496" s="2" t="s">
        <v>13</v>
      </c>
      <c r="E1496" s="2" t="s">
        <v>30</v>
      </c>
      <c r="F1496" s="2" t="s">
        <v>31</v>
      </c>
      <c r="G1496" s="2" t="s">
        <v>16</v>
      </c>
      <c r="H1496" s="2" t="s">
        <v>18</v>
      </c>
      <c r="I1496" s="2" t="s">
        <v>17</v>
      </c>
      <c r="J1496">
        <v>0.72</v>
      </c>
      <c r="K1496" s="1">
        <v>43908</v>
      </c>
      <c r="L1496" s="2" t="str">
        <f>IF(Sheet1[[#This Row],[age]]&lt;18, "Under 18",IF(Sheet1[[#This Row],[age]]&lt;=30,"18-30",IF(Sheet1[[#This Row],[age]]&lt;=45,"31-45",IF(Sheet1[[#This Row],[age]]&lt;=60,"46-60","60+"))))</f>
        <v>60+</v>
      </c>
      <c r="M1496" s="2" t="str">
        <f>IF(Sheet1[[#This Row],[risk_score]]&lt;0.3,"Low",IF(Sheet1[[#This Row],[risk_score]]&lt;0.7,"Medium","High"))</f>
        <v>High</v>
      </c>
      <c r="N1496">
        <f>YEAR(Sheet1[[#This Row],[date_joined]])</f>
        <v>2020</v>
      </c>
      <c r="O1496" s="2" t="str">
        <f>TEXT(Sheet1[[#This Row],[date_joined]],"mmm")</f>
        <v>Mar</v>
      </c>
      <c r="P1496" s="2" t="str">
        <f>"Q"&amp;ROUNDUP(MONTH(Sheet1[[#This Row],[date_joined]])/3,0)</f>
        <v>Q1</v>
      </c>
      <c r="Q1496" s="2" t="str">
        <f>IF(Sheet1[[#This Row],[age]]&lt;30,"Young",IF(Sheet1[[#This Row],[age]]&lt;=50,"Adult","Senior"))</f>
        <v>Senior</v>
      </c>
      <c r="R1496" s="2" t="str">
        <f t="shared" si="46"/>
        <v>High</v>
      </c>
      <c r="S1496" s="2" t="str">
        <f t="shared" si="47"/>
        <v>West - Self-employed</v>
      </c>
    </row>
    <row r="1497" spans="1:19" x14ac:dyDescent="0.3">
      <c r="A1497" t="s">
        <v>3016</v>
      </c>
      <c r="B1497" t="s">
        <v>3017</v>
      </c>
      <c r="C1497">
        <v>21</v>
      </c>
      <c r="D1497" s="2" t="s">
        <v>21</v>
      </c>
      <c r="E1497" s="2" t="s">
        <v>14</v>
      </c>
      <c r="F1497" s="2" t="s">
        <v>37</v>
      </c>
      <c r="G1497" s="2" t="s">
        <v>81</v>
      </c>
      <c r="H1497" s="2" t="s">
        <v>18</v>
      </c>
      <c r="I1497" s="2" t="s">
        <v>17</v>
      </c>
      <c r="J1497">
        <v>0.49</v>
      </c>
      <c r="K1497" s="1">
        <v>43737</v>
      </c>
      <c r="L1497" s="2" t="str">
        <f>IF(Sheet1[[#This Row],[age]]&lt;18, "Under 18",IF(Sheet1[[#This Row],[age]]&lt;=30,"18-30",IF(Sheet1[[#This Row],[age]]&lt;=45,"31-45",IF(Sheet1[[#This Row],[age]]&lt;=60,"46-60","60+"))))</f>
        <v>18-30</v>
      </c>
      <c r="M1497" s="2" t="str">
        <f>IF(Sheet1[[#This Row],[risk_score]]&lt;0.3,"Low",IF(Sheet1[[#This Row],[risk_score]]&lt;0.7,"Medium","High"))</f>
        <v>Medium</v>
      </c>
      <c r="N1497">
        <f>YEAR(Sheet1[[#This Row],[date_joined]])</f>
        <v>2019</v>
      </c>
      <c r="O1497" s="2" t="str">
        <f>TEXT(Sheet1[[#This Row],[date_joined]],"mmm")</f>
        <v>Sep</v>
      </c>
      <c r="P1497" s="2" t="str">
        <f>"Q"&amp;ROUNDUP(MONTH(Sheet1[[#This Row],[date_joined]])/3,0)</f>
        <v>Q3</v>
      </c>
      <c r="Q1497" s="2" t="str">
        <f>IF(Sheet1[[#This Row],[age]]&lt;30,"Young",IF(Sheet1[[#This Row],[age]]&lt;=50,"Adult","Senior"))</f>
        <v>Young</v>
      </c>
      <c r="R1497" s="2" t="str">
        <f t="shared" si="46"/>
        <v>High</v>
      </c>
      <c r="S1497" s="2" t="str">
        <f t="shared" si="47"/>
        <v>Central - Retired</v>
      </c>
    </row>
    <row r="1498" spans="1:19" x14ac:dyDescent="0.3">
      <c r="A1498" t="s">
        <v>3018</v>
      </c>
      <c r="B1498" t="s">
        <v>3019</v>
      </c>
      <c r="C1498">
        <v>33</v>
      </c>
      <c r="D1498" s="2" t="s">
        <v>21</v>
      </c>
      <c r="E1498" s="2" t="s">
        <v>14</v>
      </c>
      <c r="F1498" s="2" t="s">
        <v>31</v>
      </c>
      <c r="G1498" s="2" t="s">
        <v>32</v>
      </c>
      <c r="H1498" s="2" t="s">
        <v>18</v>
      </c>
      <c r="I1498" s="2" t="s">
        <v>18</v>
      </c>
      <c r="J1498">
        <v>0.46</v>
      </c>
      <c r="K1498" s="1">
        <v>44336</v>
      </c>
      <c r="L1498" s="2" t="str">
        <f>IF(Sheet1[[#This Row],[age]]&lt;18, "Under 18",IF(Sheet1[[#This Row],[age]]&lt;=30,"18-30",IF(Sheet1[[#This Row],[age]]&lt;=45,"31-45",IF(Sheet1[[#This Row],[age]]&lt;=60,"46-60","60+"))))</f>
        <v>31-45</v>
      </c>
      <c r="M1498" s="2" t="str">
        <f>IF(Sheet1[[#This Row],[risk_score]]&lt;0.3,"Low",IF(Sheet1[[#This Row],[risk_score]]&lt;0.7,"Medium","High"))</f>
        <v>Medium</v>
      </c>
      <c r="N1498">
        <f>YEAR(Sheet1[[#This Row],[date_joined]])</f>
        <v>2021</v>
      </c>
      <c r="O1498" s="2" t="str">
        <f>TEXT(Sheet1[[#This Row],[date_joined]],"mmm")</f>
        <v>May</v>
      </c>
      <c r="P1498" s="2" t="str">
        <f>"Q"&amp;ROUNDUP(MONTH(Sheet1[[#This Row],[date_joined]])/3,0)</f>
        <v>Q2</v>
      </c>
      <c r="Q1498" s="2" t="str">
        <f>IF(Sheet1[[#This Row],[age]]&lt;30,"Young",IF(Sheet1[[#This Row],[age]]&lt;=50,"Adult","Senior"))</f>
        <v>Adult</v>
      </c>
      <c r="R1498" s="2" t="str">
        <f t="shared" si="46"/>
        <v>Very High</v>
      </c>
      <c r="S1498" s="2" t="str">
        <f t="shared" si="47"/>
        <v>South - Self-employed</v>
      </c>
    </row>
    <row r="1499" spans="1:19" x14ac:dyDescent="0.3">
      <c r="A1499" t="s">
        <v>3020</v>
      </c>
      <c r="B1499" t="s">
        <v>3021</v>
      </c>
      <c r="C1499">
        <v>47</v>
      </c>
      <c r="D1499" s="2" t="s">
        <v>13</v>
      </c>
      <c r="E1499" s="2" t="s">
        <v>22</v>
      </c>
      <c r="F1499" s="2" t="s">
        <v>37</v>
      </c>
      <c r="G1499" s="2" t="s">
        <v>27</v>
      </c>
      <c r="H1499" s="2" t="s">
        <v>18</v>
      </c>
      <c r="I1499" s="2" t="s">
        <v>18</v>
      </c>
      <c r="J1499">
        <v>0.32</v>
      </c>
      <c r="K1499" s="1">
        <v>43790</v>
      </c>
      <c r="L1499" s="2" t="str">
        <f>IF(Sheet1[[#This Row],[age]]&lt;18, "Under 18",IF(Sheet1[[#This Row],[age]]&lt;=30,"18-30",IF(Sheet1[[#This Row],[age]]&lt;=45,"31-45",IF(Sheet1[[#This Row],[age]]&lt;=60,"46-60","60+"))))</f>
        <v>46-60</v>
      </c>
      <c r="M1499" s="2" t="str">
        <f>IF(Sheet1[[#This Row],[risk_score]]&lt;0.3,"Low",IF(Sheet1[[#This Row],[risk_score]]&lt;0.7,"Medium","High"))</f>
        <v>Medium</v>
      </c>
      <c r="N1499">
        <f>YEAR(Sheet1[[#This Row],[date_joined]])</f>
        <v>2019</v>
      </c>
      <c r="O1499" s="2" t="str">
        <f>TEXT(Sheet1[[#This Row],[date_joined]],"mmm")</f>
        <v>Nov</v>
      </c>
      <c r="P1499" s="2" t="str">
        <f>"Q"&amp;ROUNDUP(MONTH(Sheet1[[#This Row],[date_joined]])/3,0)</f>
        <v>Q4</v>
      </c>
      <c r="Q1499" s="2" t="str">
        <f>IF(Sheet1[[#This Row],[age]]&lt;30,"Young",IF(Sheet1[[#This Row],[age]]&lt;=50,"Adult","Senior"))</f>
        <v>Adult</v>
      </c>
      <c r="R1499" s="2" t="str">
        <f t="shared" si="46"/>
        <v>Very High</v>
      </c>
      <c r="S1499" s="2" t="str">
        <f t="shared" si="47"/>
        <v>North - Retired</v>
      </c>
    </row>
    <row r="1500" spans="1:19" x14ac:dyDescent="0.3">
      <c r="A1500" t="s">
        <v>3022</v>
      </c>
      <c r="B1500" t="s">
        <v>3023</v>
      </c>
      <c r="C1500">
        <v>45</v>
      </c>
      <c r="D1500" s="2" t="s">
        <v>13</v>
      </c>
      <c r="E1500" s="2" t="s">
        <v>14</v>
      </c>
      <c r="F1500" s="2" t="s">
        <v>15</v>
      </c>
      <c r="G1500" s="2" t="s">
        <v>27</v>
      </c>
      <c r="H1500" s="2" t="s">
        <v>18</v>
      </c>
      <c r="I1500" s="2" t="s">
        <v>17</v>
      </c>
      <c r="J1500">
        <v>0.28999999999999998</v>
      </c>
      <c r="K1500" s="1">
        <v>44044</v>
      </c>
      <c r="L1500" s="2" t="str">
        <f>IF(Sheet1[[#This Row],[age]]&lt;18, "Under 18",IF(Sheet1[[#This Row],[age]]&lt;=30,"18-30",IF(Sheet1[[#This Row],[age]]&lt;=45,"31-45",IF(Sheet1[[#This Row],[age]]&lt;=60,"46-60","60+"))))</f>
        <v>31-45</v>
      </c>
      <c r="M1500" s="2" t="str">
        <f>IF(Sheet1[[#This Row],[risk_score]]&lt;0.3,"Low",IF(Sheet1[[#This Row],[risk_score]]&lt;0.7,"Medium","High"))</f>
        <v>Low</v>
      </c>
      <c r="N1500">
        <f>YEAR(Sheet1[[#This Row],[date_joined]])</f>
        <v>2020</v>
      </c>
      <c r="O1500" s="2" t="str">
        <f>TEXT(Sheet1[[#This Row],[date_joined]],"mmm")</f>
        <v>Aug</v>
      </c>
      <c r="P1500" s="2" t="str">
        <f>"Q"&amp;ROUNDUP(MONTH(Sheet1[[#This Row],[date_joined]])/3,0)</f>
        <v>Q3</v>
      </c>
      <c r="Q1500" s="2" t="str">
        <f>IF(Sheet1[[#This Row],[age]]&lt;30,"Young",IF(Sheet1[[#This Row],[age]]&lt;=50,"Adult","Senior"))</f>
        <v>Adult</v>
      </c>
      <c r="R1500" s="2" t="str">
        <f t="shared" si="46"/>
        <v>High</v>
      </c>
      <c r="S1500" s="2" t="str">
        <f t="shared" si="47"/>
        <v>North - Student</v>
      </c>
    </row>
    <row r="1501" spans="1:19" x14ac:dyDescent="0.3">
      <c r="A1501" t="s">
        <v>3024</v>
      </c>
      <c r="B1501" t="s">
        <v>3025</v>
      </c>
      <c r="C1501">
        <v>52</v>
      </c>
      <c r="D1501" s="2" t="s">
        <v>13</v>
      </c>
      <c r="E1501" s="2" t="s">
        <v>30</v>
      </c>
      <c r="F1501" s="2" t="s">
        <v>37</v>
      </c>
      <c r="G1501" s="2" t="s">
        <v>16</v>
      </c>
      <c r="H1501" s="2" t="s">
        <v>18</v>
      </c>
      <c r="I1501" s="2" t="s">
        <v>17</v>
      </c>
      <c r="J1501">
        <v>0.69</v>
      </c>
      <c r="K1501" s="1">
        <v>44167</v>
      </c>
      <c r="L1501" s="2" t="str">
        <f>IF(Sheet1[[#This Row],[age]]&lt;18, "Under 18",IF(Sheet1[[#This Row],[age]]&lt;=30,"18-30",IF(Sheet1[[#This Row],[age]]&lt;=45,"31-45",IF(Sheet1[[#This Row],[age]]&lt;=60,"46-60","60+"))))</f>
        <v>46-60</v>
      </c>
      <c r="M1501" s="2" t="str">
        <f>IF(Sheet1[[#This Row],[risk_score]]&lt;0.3,"Low",IF(Sheet1[[#This Row],[risk_score]]&lt;0.7,"Medium","High"))</f>
        <v>Medium</v>
      </c>
      <c r="N1501">
        <f>YEAR(Sheet1[[#This Row],[date_joined]])</f>
        <v>2020</v>
      </c>
      <c r="O1501" s="2" t="str">
        <f>TEXT(Sheet1[[#This Row],[date_joined]],"mmm")</f>
        <v>Dec</v>
      </c>
      <c r="P1501" s="2" t="str">
        <f>"Q"&amp;ROUNDUP(MONTH(Sheet1[[#This Row],[date_joined]])/3,0)</f>
        <v>Q4</v>
      </c>
      <c r="Q1501" s="2" t="str">
        <f>IF(Sheet1[[#This Row],[age]]&lt;30,"Young",IF(Sheet1[[#This Row],[age]]&lt;=50,"Adult","Senior"))</f>
        <v>Senior</v>
      </c>
      <c r="R1501" s="2" t="str">
        <f t="shared" si="46"/>
        <v>High</v>
      </c>
      <c r="S1501" s="2" t="str">
        <f t="shared" si="47"/>
        <v>West - Retired</v>
      </c>
    </row>
    <row r="1502" spans="1:19" x14ac:dyDescent="0.3">
      <c r="A1502" t="s">
        <v>3026</v>
      </c>
      <c r="B1502" t="s">
        <v>3027</v>
      </c>
      <c r="C1502">
        <v>24</v>
      </c>
      <c r="D1502" s="2" t="s">
        <v>13</v>
      </c>
      <c r="E1502" s="2" t="s">
        <v>22</v>
      </c>
      <c r="F1502" s="2" t="s">
        <v>37</v>
      </c>
      <c r="G1502" s="2" t="s">
        <v>24</v>
      </c>
      <c r="H1502" s="2" t="s">
        <v>18</v>
      </c>
      <c r="I1502" s="2" t="s">
        <v>18</v>
      </c>
      <c r="J1502">
        <v>0.57999999999999996</v>
      </c>
      <c r="K1502" s="1">
        <v>45199</v>
      </c>
      <c r="L1502" s="2" t="str">
        <f>IF(Sheet1[[#This Row],[age]]&lt;18, "Under 18",IF(Sheet1[[#This Row],[age]]&lt;=30,"18-30",IF(Sheet1[[#This Row],[age]]&lt;=45,"31-45",IF(Sheet1[[#This Row],[age]]&lt;=60,"46-60","60+"))))</f>
        <v>18-30</v>
      </c>
      <c r="M1502" s="2" t="str">
        <f>IF(Sheet1[[#This Row],[risk_score]]&lt;0.3,"Low",IF(Sheet1[[#This Row],[risk_score]]&lt;0.7,"Medium","High"))</f>
        <v>Medium</v>
      </c>
      <c r="N1502">
        <f>YEAR(Sheet1[[#This Row],[date_joined]])</f>
        <v>2023</v>
      </c>
      <c r="O1502" s="2" t="str">
        <f>TEXT(Sheet1[[#This Row],[date_joined]],"mmm")</f>
        <v>Sep</v>
      </c>
      <c r="P1502" s="2" t="str">
        <f>"Q"&amp;ROUNDUP(MONTH(Sheet1[[#This Row],[date_joined]])/3,0)</f>
        <v>Q3</v>
      </c>
      <c r="Q1502" s="2" t="str">
        <f>IF(Sheet1[[#This Row],[age]]&lt;30,"Young",IF(Sheet1[[#This Row],[age]]&lt;=50,"Adult","Senior"))</f>
        <v>Young</v>
      </c>
      <c r="R1502" s="2" t="str">
        <f t="shared" si="46"/>
        <v>Very High</v>
      </c>
      <c r="S1502" s="2" t="str">
        <f t="shared" si="47"/>
        <v>East - Retired</v>
      </c>
    </row>
    <row r="1503" spans="1:19" x14ac:dyDescent="0.3">
      <c r="A1503" t="s">
        <v>3028</v>
      </c>
      <c r="B1503" t="s">
        <v>3029</v>
      </c>
      <c r="C1503">
        <v>38</v>
      </c>
      <c r="D1503" s="2" t="s">
        <v>13</v>
      </c>
      <c r="E1503" s="2" t="s">
        <v>30</v>
      </c>
      <c r="F1503" s="2" t="s">
        <v>31</v>
      </c>
      <c r="G1503" s="2" t="s">
        <v>24</v>
      </c>
      <c r="H1503" s="2" t="s">
        <v>17</v>
      </c>
      <c r="I1503" s="2" t="s">
        <v>18</v>
      </c>
      <c r="J1503">
        <v>0.09</v>
      </c>
      <c r="K1503" s="1">
        <v>43538</v>
      </c>
      <c r="L1503" s="2" t="str">
        <f>IF(Sheet1[[#This Row],[age]]&lt;18, "Under 18",IF(Sheet1[[#This Row],[age]]&lt;=30,"18-30",IF(Sheet1[[#This Row],[age]]&lt;=45,"31-45",IF(Sheet1[[#This Row],[age]]&lt;=60,"46-60","60+"))))</f>
        <v>31-45</v>
      </c>
      <c r="M1503" s="2" t="str">
        <f>IF(Sheet1[[#This Row],[risk_score]]&lt;0.3,"Low",IF(Sheet1[[#This Row],[risk_score]]&lt;0.7,"Medium","High"))</f>
        <v>Low</v>
      </c>
      <c r="N1503">
        <f>YEAR(Sheet1[[#This Row],[date_joined]])</f>
        <v>2019</v>
      </c>
      <c r="O1503" s="2" t="str">
        <f>TEXT(Sheet1[[#This Row],[date_joined]],"mmm")</f>
        <v>Mar</v>
      </c>
      <c r="P1503" s="2" t="str">
        <f>"Q"&amp;ROUNDUP(MONTH(Sheet1[[#This Row],[date_joined]])/3,0)</f>
        <v>Q1</v>
      </c>
      <c r="Q1503" s="2" t="str">
        <f>IF(Sheet1[[#This Row],[age]]&lt;30,"Young",IF(Sheet1[[#This Row],[age]]&lt;=50,"Adult","Senior"))</f>
        <v>Adult</v>
      </c>
      <c r="R1503" s="2" t="str">
        <f t="shared" si="46"/>
        <v>High</v>
      </c>
      <c r="S1503" s="2" t="str">
        <f t="shared" si="47"/>
        <v>East - Self-employed</v>
      </c>
    </row>
    <row r="1504" spans="1:19" x14ac:dyDescent="0.3">
      <c r="A1504" t="s">
        <v>3030</v>
      </c>
      <c r="B1504" t="s">
        <v>3031</v>
      </c>
      <c r="C1504">
        <v>66</v>
      </c>
      <c r="D1504" s="2" t="s">
        <v>21</v>
      </c>
      <c r="E1504" s="2" t="s">
        <v>30</v>
      </c>
      <c r="F1504" s="2" t="s">
        <v>31</v>
      </c>
      <c r="G1504" s="2" t="s">
        <v>66</v>
      </c>
      <c r="H1504" s="2" t="s">
        <v>17</v>
      </c>
      <c r="I1504" s="2" t="s">
        <v>17</v>
      </c>
      <c r="J1504">
        <v>0.47</v>
      </c>
      <c r="K1504" s="1">
        <v>43509</v>
      </c>
      <c r="L1504" s="2" t="str">
        <f>IF(Sheet1[[#This Row],[age]]&lt;18, "Under 18",IF(Sheet1[[#This Row],[age]]&lt;=30,"18-30",IF(Sheet1[[#This Row],[age]]&lt;=45,"31-45",IF(Sheet1[[#This Row],[age]]&lt;=60,"46-60","60+"))))</f>
        <v>60+</v>
      </c>
      <c r="M1504" s="2" t="str">
        <f>IF(Sheet1[[#This Row],[risk_score]]&lt;0.3,"Low",IF(Sheet1[[#This Row],[risk_score]]&lt;0.7,"Medium","High"))</f>
        <v>Medium</v>
      </c>
      <c r="N1504">
        <f>YEAR(Sheet1[[#This Row],[date_joined]])</f>
        <v>2019</v>
      </c>
      <c r="O1504" s="2" t="str">
        <f>TEXT(Sheet1[[#This Row],[date_joined]],"mmm")</f>
        <v>Feb</v>
      </c>
      <c r="P1504" s="2" t="str">
        <f>"Q"&amp;ROUNDUP(MONTH(Sheet1[[#This Row],[date_joined]])/3,0)</f>
        <v>Q1</v>
      </c>
      <c r="Q1504" s="2" t="str">
        <f>IF(Sheet1[[#This Row],[age]]&lt;30,"Young",IF(Sheet1[[#This Row],[age]]&lt;=50,"Adult","Senior"))</f>
        <v>Senior</v>
      </c>
      <c r="R1504" s="2" t="str">
        <f t="shared" si="46"/>
        <v>Low</v>
      </c>
      <c r="S1504" s="2" t="str">
        <f t="shared" si="47"/>
        <v>North-East - Self-employed</v>
      </c>
    </row>
    <row r="1505" spans="1:19" x14ac:dyDescent="0.3">
      <c r="A1505" t="s">
        <v>3032</v>
      </c>
      <c r="B1505" t="s">
        <v>3033</v>
      </c>
      <c r="C1505">
        <v>62</v>
      </c>
      <c r="D1505" s="2" t="s">
        <v>13</v>
      </c>
      <c r="E1505" s="2" t="s">
        <v>14</v>
      </c>
      <c r="F1505" s="2" t="s">
        <v>15</v>
      </c>
      <c r="G1505" s="2" t="s">
        <v>27</v>
      </c>
      <c r="H1505" s="2" t="s">
        <v>18</v>
      </c>
      <c r="I1505" s="2" t="s">
        <v>17</v>
      </c>
      <c r="J1505">
        <v>0.55000000000000004</v>
      </c>
      <c r="K1505" s="1">
        <v>45009</v>
      </c>
      <c r="L1505" s="2" t="str">
        <f>IF(Sheet1[[#This Row],[age]]&lt;18, "Under 18",IF(Sheet1[[#This Row],[age]]&lt;=30,"18-30",IF(Sheet1[[#This Row],[age]]&lt;=45,"31-45",IF(Sheet1[[#This Row],[age]]&lt;=60,"46-60","60+"))))</f>
        <v>60+</v>
      </c>
      <c r="M1505" s="2" t="str">
        <f>IF(Sheet1[[#This Row],[risk_score]]&lt;0.3,"Low",IF(Sheet1[[#This Row],[risk_score]]&lt;0.7,"Medium","High"))</f>
        <v>Medium</v>
      </c>
      <c r="N1505">
        <f>YEAR(Sheet1[[#This Row],[date_joined]])</f>
        <v>2023</v>
      </c>
      <c r="O1505" s="2" t="str">
        <f>TEXT(Sheet1[[#This Row],[date_joined]],"mmm")</f>
        <v>Mar</v>
      </c>
      <c r="P1505" s="2" t="str">
        <f>"Q"&amp;ROUNDUP(MONTH(Sheet1[[#This Row],[date_joined]])/3,0)</f>
        <v>Q1</v>
      </c>
      <c r="Q1505" s="2" t="str">
        <f>IF(Sheet1[[#This Row],[age]]&lt;30,"Young",IF(Sheet1[[#This Row],[age]]&lt;=50,"Adult","Senior"))</f>
        <v>Senior</v>
      </c>
      <c r="R1505" s="2" t="str">
        <f t="shared" si="46"/>
        <v>High</v>
      </c>
      <c r="S1505" s="2" t="str">
        <f t="shared" si="47"/>
        <v>North - Student</v>
      </c>
    </row>
    <row r="1506" spans="1:19" x14ac:dyDescent="0.3">
      <c r="A1506" t="s">
        <v>3034</v>
      </c>
      <c r="B1506" t="s">
        <v>3035</v>
      </c>
      <c r="C1506">
        <v>56</v>
      </c>
      <c r="D1506" s="2" t="s">
        <v>13</v>
      </c>
      <c r="E1506" s="2" t="s">
        <v>30</v>
      </c>
      <c r="F1506" s="2" t="s">
        <v>15</v>
      </c>
      <c r="G1506" s="2" t="s">
        <v>27</v>
      </c>
      <c r="H1506" s="2" t="s">
        <v>18</v>
      </c>
      <c r="I1506" s="2" t="s">
        <v>17</v>
      </c>
      <c r="J1506">
        <v>0.23</v>
      </c>
      <c r="K1506" s="1">
        <v>44164</v>
      </c>
      <c r="L1506" s="2" t="str">
        <f>IF(Sheet1[[#This Row],[age]]&lt;18, "Under 18",IF(Sheet1[[#This Row],[age]]&lt;=30,"18-30",IF(Sheet1[[#This Row],[age]]&lt;=45,"31-45",IF(Sheet1[[#This Row],[age]]&lt;=60,"46-60","60+"))))</f>
        <v>46-60</v>
      </c>
      <c r="M1506" s="2" t="str">
        <f>IF(Sheet1[[#This Row],[risk_score]]&lt;0.3,"Low",IF(Sheet1[[#This Row],[risk_score]]&lt;0.7,"Medium","High"))</f>
        <v>Low</v>
      </c>
      <c r="N1506">
        <f>YEAR(Sheet1[[#This Row],[date_joined]])</f>
        <v>2020</v>
      </c>
      <c r="O1506" s="2" t="str">
        <f>TEXT(Sheet1[[#This Row],[date_joined]],"mmm")</f>
        <v>Nov</v>
      </c>
      <c r="P1506" s="2" t="str">
        <f>"Q"&amp;ROUNDUP(MONTH(Sheet1[[#This Row],[date_joined]])/3,0)</f>
        <v>Q4</v>
      </c>
      <c r="Q1506" s="2" t="str">
        <f>IF(Sheet1[[#This Row],[age]]&lt;30,"Young",IF(Sheet1[[#This Row],[age]]&lt;=50,"Adult","Senior"))</f>
        <v>Senior</v>
      </c>
      <c r="R1506" s="2" t="str">
        <f t="shared" si="46"/>
        <v>High</v>
      </c>
      <c r="S1506" s="2" t="str">
        <f t="shared" si="47"/>
        <v>North - Student</v>
      </c>
    </row>
    <row r="1507" spans="1:19" x14ac:dyDescent="0.3">
      <c r="A1507" t="s">
        <v>3036</v>
      </c>
      <c r="B1507" t="s">
        <v>3037</v>
      </c>
      <c r="C1507">
        <v>25</v>
      </c>
      <c r="D1507" s="2" t="s">
        <v>21</v>
      </c>
      <c r="E1507" s="2" t="s">
        <v>14</v>
      </c>
      <c r="F1507" s="2" t="s">
        <v>15</v>
      </c>
      <c r="G1507" s="2" t="s">
        <v>81</v>
      </c>
      <c r="H1507" s="2" t="s">
        <v>17</v>
      </c>
      <c r="I1507" s="2" t="s">
        <v>18</v>
      </c>
      <c r="J1507">
        <v>0.46</v>
      </c>
      <c r="K1507" s="1">
        <v>43420</v>
      </c>
      <c r="L1507" s="2" t="str">
        <f>IF(Sheet1[[#This Row],[age]]&lt;18, "Under 18",IF(Sheet1[[#This Row],[age]]&lt;=30,"18-30",IF(Sheet1[[#This Row],[age]]&lt;=45,"31-45",IF(Sheet1[[#This Row],[age]]&lt;=60,"46-60","60+"))))</f>
        <v>18-30</v>
      </c>
      <c r="M1507" s="2" t="str">
        <f>IF(Sheet1[[#This Row],[risk_score]]&lt;0.3,"Low",IF(Sheet1[[#This Row],[risk_score]]&lt;0.7,"Medium","High"))</f>
        <v>Medium</v>
      </c>
      <c r="N1507">
        <f>YEAR(Sheet1[[#This Row],[date_joined]])</f>
        <v>2018</v>
      </c>
      <c r="O1507" s="2" t="str">
        <f>TEXT(Sheet1[[#This Row],[date_joined]],"mmm")</f>
        <v>Nov</v>
      </c>
      <c r="P1507" s="2" t="str">
        <f>"Q"&amp;ROUNDUP(MONTH(Sheet1[[#This Row],[date_joined]])/3,0)</f>
        <v>Q4</v>
      </c>
      <c r="Q1507" s="2" t="str">
        <f>IF(Sheet1[[#This Row],[age]]&lt;30,"Young",IF(Sheet1[[#This Row],[age]]&lt;=50,"Adult","Senior"))</f>
        <v>Young</v>
      </c>
      <c r="R1507" s="2" t="str">
        <f t="shared" si="46"/>
        <v>High</v>
      </c>
      <c r="S1507" s="2" t="str">
        <f t="shared" si="47"/>
        <v>Central - Student</v>
      </c>
    </row>
    <row r="1508" spans="1:19" x14ac:dyDescent="0.3">
      <c r="A1508" t="s">
        <v>3038</v>
      </c>
      <c r="B1508" t="s">
        <v>3039</v>
      </c>
      <c r="C1508">
        <v>67</v>
      </c>
      <c r="D1508" s="2" t="s">
        <v>13</v>
      </c>
      <c r="E1508" s="2" t="s">
        <v>14</v>
      </c>
      <c r="F1508" s="2" t="s">
        <v>15</v>
      </c>
      <c r="G1508" s="2" t="s">
        <v>81</v>
      </c>
      <c r="H1508" s="2" t="s">
        <v>17</v>
      </c>
      <c r="I1508" s="2" t="s">
        <v>18</v>
      </c>
      <c r="J1508">
        <v>0.34</v>
      </c>
      <c r="K1508" s="1">
        <v>44689</v>
      </c>
      <c r="L1508" s="2" t="str">
        <f>IF(Sheet1[[#This Row],[age]]&lt;18, "Under 18",IF(Sheet1[[#This Row],[age]]&lt;=30,"18-30",IF(Sheet1[[#This Row],[age]]&lt;=45,"31-45",IF(Sheet1[[#This Row],[age]]&lt;=60,"46-60","60+"))))</f>
        <v>60+</v>
      </c>
      <c r="M1508" s="2" t="str">
        <f>IF(Sheet1[[#This Row],[risk_score]]&lt;0.3,"Low",IF(Sheet1[[#This Row],[risk_score]]&lt;0.7,"Medium","High"))</f>
        <v>Medium</v>
      </c>
      <c r="N1508">
        <f>YEAR(Sheet1[[#This Row],[date_joined]])</f>
        <v>2022</v>
      </c>
      <c r="O1508" s="2" t="str">
        <f>TEXT(Sheet1[[#This Row],[date_joined]],"mmm")</f>
        <v>May</v>
      </c>
      <c r="P1508" s="2" t="str">
        <f>"Q"&amp;ROUNDUP(MONTH(Sheet1[[#This Row],[date_joined]])/3,0)</f>
        <v>Q2</v>
      </c>
      <c r="Q1508" s="2" t="str">
        <f>IF(Sheet1[[#This Row],[age]]&lt;30,"Young",IF(Sheet1[[#This Row],[age]]&lt;=50,"Adult","Senior"))</f>
        <v>Senior</v>
      </c>
      <c r="R1508" s="2" t="str">
        <f t="shared" si="46"/>
        <v>High</v>
      </c>
      <c r="S1508" s="2" t="str">
        <f t="shared" si="47"/>
        <v>Central - Student</v>
      </c>
    </row>
    <row r="1509" spans="1:19" x14ac:dyDescent="0.3">
      <c r="A1509" t="s">
        <v>3040</v>
      </c>
      <c r="B1509" t="s">
        <v>3041</v>
      </c>
      <c r="C1509">
        <v>49</v>
      </c>
      <c r="D1509" s="2" t="s">
        <v>21</v>
      </c>
      <c r="E1509" s="2" t="s">
        <v>14</v>
      </c>
      <c r="F1509" s="2" t="s">
        <v>15</v>
      </c>
      <c r="G1509" s="2" t="s">
        <v>16</v>
      </c>
      <c r="H1509" s="2" t="s">
        <v>18</v>
      </c>
      <c r="I1509" s="2" t="s">
        <v>18</v>
      </c>
      <c r="J1509">
        <v>0.6</v>
      </c>
      <c r="K1509" s="1">
        <v>44218</v>
      </c>
      <c r="L1509" s="2" t="str">
        <f>IF(Sheet1[[#This Row],[age]]&lt;18, "Under 18",IF(Sheet1[[#This Row],[age]]&lt;=30,"18-30",IF(Sheet1[[#This Row],[age]]&lt;=45,"31-45",IF(Sheet1[[#This Row],[age]]&lt;=60,"46-60","60+"))))</f>
        <v>46-60</v>
      </c>
      <c r="M1509" s="2" t="str">
        <f>IF(Sheet1[[#This Row],[risk_score]]&lt;0.3,"Low",IF(Sheet1[[#This Row],[risk_score]]&lt;0.7,"Medium","High"))</f>
        <v>Medium</v>
      </c>
      <c r="N1509">
        <f>YEAR(Sheet1[[#This Row],[date_joined]])</f>
        <v>2021</v>
      </c>
      <c r="O1509" s="2" t="str">
        <f>TEXT(Sheet1[[#This Row],[date_joined]],"mmm")</f>
        <v>Jan</v>
      </c>
      <c r="P1509" s="2" t="str">
        <f>"Q"&amp;ROUNDUP(MONTH(Sheet1[[#This Row],[date_joined]])/3,0)</f>
        <v>Q1</v>
      </c>
      <c r="Q1509" s="2" t="str">
        <f>IF(Sheet1[[#This Row],[age]]&lt;30,"Young",IF(Sheet1[[#This Row],[age]]&lt;=50,"Adult","Senior"))</f>
        <v>Adult</v>
      </c>
      <c r="R1509" s="2" t="str">
        <f t="shared" si="46"/>
        <v>Very High</v>
      </c>
      <c r="S1509" s="2" t="str">
        <f t="shared" si="47"/>
        <v>West - Student</v>
      </c>
    </row>
    <row r="1510" spans="1:19" x14ac:dyDescent="0.3">
      <c r="A1510" t="s">
        <v>3042</v>
      </c>
      <c r="B1510" t="s">
        <v>3043</v>
      </c>
      <c r="C1510">
        <v>66</v>
      </c>
      <c r="D1510" s="2" t="s">
        <v>13</v>
      </c>
      <c r="E1510" s="2" t="s">
        <v>22</v>
      </c>
      <c r="F1510" s="2" t="s">
        <v>15</v>
      </c>
      <c r="G1510" s="2" t="s">
        <v>32</v>
      </c>
      <c r="H1510" s="2" t="s">
        <v>18</v>
      </c>
      <c r="I1510" s="2" t="s">
        <v>18</v>
      </c>
      <c r="J1510">
        <v>0.39</v>
      </c>
      <c r="K1510" s="1">
        <v>43534</v>
      </c>
      <c r="L1510" s="2" t="str">
        <f>IF(Sheet1[[#This Row],[age]]&lt;18, "Under 18",IF(Sheet1[[#This Row],[age]]&lt;=30,"18-30",IF(Sheet1[[#This Row],[age]]&lt;=45,"31-45",IF(Sheet1[[#This Row],[age]]&lt;=60,"46-60","60+"))))</f>
        <v>60+</v>
      </c>
      <c r="M1510" s="2" t="str">
        <f>IF(Sheet1[[#This Row],[risk_score]]&lt;0.3,"Low",IF(Sheet1[[#This Row],[risk_score]]&lt;0.7,"Medium","High"))</f>
        <v>Medium</v>
      </c>
      <c r="N1510">
        <f>YEAR(Sheet1[[#This Row],[date_joined]])</f>
        <v>2019</v>
      </c>
      <c r="O1510" s="2" t="str">
        <f>TEXT(Sheet1[[#This Row],[date_joined]],"mmm")</f>
        <v>Mar</v>
      </c>
      <c r="P1510" s="2" t="str">
        <f>"Q"&amp;ROUNDUP(MONTH(Sheet1[[#This Row],[date_joined]])/3,0)</f>
        <v>Q1</v>
      </c>
      <c r="Q1510" s="2" t="str">
        <f>IF(Sheet1[[#This Row],[age]]&lt;30,"Young",IF(Sheet1[[#This Row],[age]]&lt;=50,"Adult","Senior"))</f>
        <v>Senior</v>
      </c>
      <c r="R1510" s="2" t="str">
        <f t="shared" si="46"/>
        <v>Very High</v>
      </c>
      <c r="S1510" s="2" t="str">
        <f t="shared" si="47"/>
        <v>South - Student</v>
      </c>
    </row>
    <row r="1511" spans="1:19" x14ac:dyDescent="0.3">
      <c r="A1511" t="s">
        <v>3044</v>
      </c>
      <c r="B1511" t="s">
        <v>3045</v>
      </c>
      <c r="C1511">
        <v>23</v>
      </c>
      <c r="D1511" s="2" t="s">
        <v>21</v>
      </c>
      <c r="E1511" s="2" t="s">
        <v>30</v>
      </c>
      <c r="F1511" s="2" t="s">
        <v>15</v>
      </c>
      <c r="G1511" s="2" t="s">
        <v>24</v>
      </c>
      <c r="H1511" s="2" t="s">
        <v>17</v>
      </c>
      <c r="I1511" s="2" t="s">
        <v>17</v>
      </c>
      <c r="J1511">
        <v>0.56000000000000005</v>
      </c>
      <c r="K1511" s="1">
        <v>45113</v>
      </c>
      <c r="L1511" s="2" t="str">
        <f>IF(Sheet1[[#This Row],[age]]&lt;18, "Under 18",IF(Sheet1[[#This Row],[age]]&lt;=30,"18-30",IF(Sheet1[[#This Row],[age]]&lt;=45,"31-45",IF(Sheet1[[#This Row],[age]]&lt;=60,"46-60","60+"))))</f>
        <v>18-30</v>
      </c>
      <c r="M1511" s="2" t="str">
        <f>IF(Sheet1[[#This Row],[risk_score]]&lt;0.3,"Low",IF(Sheet1[[#This Row],[risk_score]]&lt;0.7,"Medium","High"))</f>
        <v>Medium</v>
      </c>
      <c r="N1511">
        <f>YEAR(Sheet1[[#This Row],[date_joined]])</f>
        <v>2023</v>
      </c>
      <c r="O1511" s="2" t="str">
        <f>TEXT(Sheet1[[#This Row],[date_joined]],"mmm")</f>
        <v>Jul</v>
      </c>
      <c r="P1511" s="2" t="str">
        <f>"Q"&amp;ROUNDUP(MONTH(Sheet1[[#This Row],[date_joined]])/3,0)</f>
        <v>Q3</v>
      </c>
      <c r="Q1511" s="2" t="str">
        <f>IF(Sheet1[[#This Row],[age]]&lt;30,"Young",IF(Sheet1[[#This Row],[age]]&lt;=50,"Adult","Senior"))</f>
        <v>Young</v>
      </c>
      <c r="R1511" s="2" t="str">
        <f t="shared" si="46"/>
        <v>Low</v>
      </c>
      <c r="S1511" s="2" t="str">
        <f t="shared" si="47"/>
        <v>East - Student</v>
      </c>
    </row>
    <row r="1512" spans="1:19" x14ac:dyDescent="0.3">
      <c r="A1512" t="s">
        <v>3046</v>
      </c>
      <c r="B1512" t="s">
        <v>3047</v>
      </c>
      <c r="C1512">
        <v>56</v>
      </c>
      <c r="D1512" s="2" t="s">
        <v>21</v>
      </c>
      <c r="E1512" s="2" t="s">
        <v>14</v>
      </c>
      <c r="F1512" s="2" t="s">
        <v>23</v>
      </c>
      <c r="G1512" s="2" t="s">
        <v>81</v>
      </c>
      <c r="H1512" s="2" t="s">
        <v>18</v>
      </c>
      <c r="I1512" s="2" t="s">
        <v>17</v>
      </c>
      <c r="J1512">
        <v>0.7</v>
      </c>
      <c r="K1512" s="1">
        <v>44512</v>
      </c>
      <c r="L1512" s="2" t="str">
        <f>IF(Sheet1[[#This Row],[age]]&lt;18, "Under 18",IF(Sheet1[[#This Row],[age]]&lt;=30,"18-30",IF(Sheet1[[#This Row],[age]]&lt;=45,"31-45",IF(Sheet1[[#This Row],[age]]&lt;=60,"46-60","60+"))))</f>
        <v>46-60</v>
      </c>
      <c r="M1512" s="2" t="str">
        <f>IF(Sheet1[[#This Row],[risk_score]]&lt;0.3,"Low",IF(Sheet1[[#This Row],[risk_score]]&lt;0.7,"Medium","High"))</f>
        <v>High</v>
      </c>
      <c r="N1512">
        <f>YEAR(Sheet1[[#This Row],[date_joined]])</f>
        <v>2021</v>
      </c>
      <c r="O1512" s="2" t="str">
        <f>TEXT(Sheet1[[#This Row],[date_joined]],"mmm")</f>
        <v>Nov</v>
      </c>
      <c r="P1512" s="2" t="str">
        <f>"Q"&amp;ROUNDUP(MONTH(Sheet1[[#This Row],[date_joined]])/3,0)</f>
        <v>Q4</v>
      </c>
      <c r="Q1512" s="2" t="str">
        <f>IF(Sheet1[[#This Row],[age]]&lt;30,"Young",IF(Sheet1[[#This Row],[age]]&lt;=50,"Adult","Senior"))</f>
        <v>Senior</v>
      </c>
      <c r="R1512" s="2" t="str">
        <f t="shared" si="46"/>
        <v>High</v>
      </c>
      <c r="S1512" s="2" t="str">
        <f t="shared" si="47"/>
        <v>Central - Salaried</v>
      </c>
    </row>
    <row r="1513" spans="1:19" x14ac:dyDescent="0.3">
      <c r="A1513" t="s">
        <v>3048</v>
      </c>
      <c r="B1513" t="s">
        <v>3049</v>
      </c>
      <c r="C1513">
        <v>45</v>
      </c>
      <c r="D1513" s="2" t="s">
        <v>13</v>
      </c>
      <c r="E1513" s="2" t="s">
        <v>14</v>
      </c>
      <c r="F1513" s="2" t="s">
        <v>15</v>
      </c>
      <c r="G1513" s="2" t="s">
        <v>24</v>
      </c>
      <c r="H1513" s="2" t="s">
        <v>17</v>
      </c>
      <c r="I1513" s="2" t="s">
        <v>18</v>
      </c>
      <c r="J1513">
        <v>0.82</v>
      </c>
      <c r="K1513" s="1">
        <v>44167</v>
      </c>
      <c r="L1513" s="2" t="str">
        <f>IF(Sheet1[[#This Row],[age]]&lt;18, "Under 18",IF(Sheet1[[#This Row],[age]]&lt;=30,"18-30",IF(Sheet1[[#This Row],[age]]&lt;=45,"31-45",IF(Sheet1[[#This Row],[age]]&lt;=60,"46-60","60+"))))</f>
        <v>31-45</v>
      </c>
      <c r="M1513" s="2" t="str">
        <f>IF(Sheet1[[#This Row],[risk_score]]&lt;0.3,"Low",IF(Sheet1[[#This Row],[risk_score]]&lt;0.7,"Medium","High"))</f>
        <v>High</v>
      </c>
      <c r="N1513">
        <f>YEAR(Sheet1[[#This Row],[date_joined]])</f>
        <v>2020</v>
      </c>
      <c r="O1513" s="2" t="str">
        <f>TEXT(Sheet1[[#This Row],[date_joined]],"mmm")</f>
        <v>Dec</v>
      </c>
      <c r="P1513" s="2" t="str">
        <f>"Q"&amp;ROUNDUP(MONTH(Sheet1[[#This Row],[date_joined]])/3,0)</f>
        <v>Q4</v>
      </c>
      <c r="Q1513" s="2" t="str">
        <f>IF(Sheet1[[#This Row],[age]]&lt;30,"Young",IF(Sheet1[[#This Row],[age]]&lt;=50,"Adult","Senior"))</f>
        <v>Adult</v>
      </c>
      <c r="R1513" s="2" t="str">
        <f t="shared" si="46"/>
        <v>High</v>
      </c>
      <c r="S1513" s="2" t="str">
        <f t="shared" si="47"/>
        <v>East - Student</v>
      </c>
    </row>
    <row r="1514" spans="1:19" x14ac:dyDescent="0.3">
      <c r="A1514" t="s">
        <v>3050</v>
      </c>
      <c r="B1514" t="s">
        <v>3051</v>
      </c>
      <c r="C1514">
        <v>67</v>
      </c>
      <c r="D1514" s="2" t="s">
        <v>21</v>
      </c>
      <c r="E1514" s="2" t="s">
        <v>14</v>
      </c>
      <c r="F1514" s="2" t="s">
        <v>15</v>
      </c>
      <c r="G1514" s="2" t="s">
        <v>27</v>
      </c>
      <c r="H1514" s="2" t="s">
        <v>17</v>
      </c>
      <c r="I1514" s="2" t="s">
        <v>18</v>
      </c>
      <c r="J1514">
        <v>0.39</v>
      </c>
      <c r="K1514" s="1">
        <v>44214</v>
      </c>
      <c r="L1514" s="2" t="str">
        <f>IF(Sheet1[[#This Row],[age]]&lt;18, "Under 18",IF(Sheet1[[#This Row],[age]]&lt;=30,"18-30",IF(Sheet1[[#This Row],[age]]&lt;=45,"31-45",IF(Sheet1[[#This Row],[age]]&lt;=60,"46-60","60+"))))</f>
        <v>60+</v>
      </c>
      <c r="M1514" s="2" t="str">
        <f>IF(Sheet1[[#This Row],[risk_score]]&lt;0.3,"Low",IF(Sheet1[[#This Row],[risk_score]]&lt;0.7,"Medium","High"))</f>
        <v>Medium</v>
      </c>
      <c r="N1514">
        <f>YEAR(Sheet1[[#This Row],[date_joined]])</f>
        <v>2021</v>
      </c>
      <c r="O1514" s="2" t="str">
        <f>TEXT(Sheet1[[#This Row],[date_joined]],"mmm")</f>
        <v>Jan</v>
      </c>
      <c r="P1514" s="2" t="str">
        <f>"Q"&amp;ROUNDUP(MONTH(Sheet1[[#This Row],[date_joined]])/3,0)</f>
        <v>Q1</v>
      </c>
      <c r="Q1514" s="2" t="str">
        <f>IF(Sheet1[[#This Row],[age]]&lt;30,"Young",IF(Sheet1[[#This Row],[age]]&lt;=50,"Adult","Senior"))</f>
        <v>Senior</v>
      </c>
      <c r="R1514" s="2" t="str">
        <f t="shared" si="46"/>
        <v>High</v>
      </c>
      <c r="S1514" s="2" t="str">
        <f t="shared" si="47"/>
        <v>North - Student</v>
      </c>
    </row>
    <row r="1515" spans="1:19" x14ac:dyDescent="0.3">
      <c r="A1515" t="s">
        <v>3052</v>
      </c>
      <c r="B1515" t="s">
        <v>3053</v>
      </c>
      <c r="C1515">
        <v>21</v>
      </c>
      <c r="D1515" s="2" t="s">
        <v>21</v>
      </c>
      <c r="E1515" s="2" t="s">
        <v>30</v>
      </c>
      <c r="F1515" s="2" t="s">
        <v>15</v>
      </c>
      <c r="G1515" s="2" t="s">
        <v>16</v>
      </c>
      <c r="H1515" s="2" t="s">
        <v>18</v>
      </c>
      <c r="I1515" s="2" t="s">
        <v>17</v>
      </c>
      <c r="J1515">
        <v>0.02</v>
      </c>
      <c r="K1515" s="1">
        <v>43465</v>
      </c>
      <c r="L1515" s="2" t="str">
        <f>IF(Sheet1[[#This Row],[age]]&lt;18, "Under 18",IF(Sheet1[[#This Row],[age]]&lt;=30,"18-30",IF(Sheet1[[#This Row],[age]]&lt;=45,"31-45",IF(Sheet1[[#This Row],[age]]&lt;=60,"46-60","60+"))))</f>
        <v>18-30</v>
      </c>
      <c r="M1515" s="2" t="str">
        <f>IF(Sheet1[[#This Row],[risk_score]]&lt;0.3,"Low",IF(Sheet1[[#This Row],[risk_score]]&lt;0.7,"Medium","High"))</f>
        <v>Low</v>
      </c>
      <c r="N1515">
        <f>YEAR(Sheet1[[#This Row],[date_joined]])</f>
        <v>2018</v>
      </c>
      <c r="O1515" s="2" t="str">
        <f>TEXT(Sheet1[[#This Row],[date_joined]],"mmm")</f>
        <v>Dec</v>
      </c>
      <c r="P1515" s="2" t="str">
        <f>"Q"&amp;ROUNDUP(MONTH(Sheet1[[#This Row],[date_joined]])/3,0)</f>
        <v>Q4</v>
      </c>
      <c r="Q1515" s="2" t="str">
        <f>IF(Sheet1[[#This Row],[age]]&lt;30,"Young",IF(Sheet1[[#This Row],[age]]&lt;=50,"Adult","Senior"))</f>
        <v>Young</v>
      </c>
      <c r="R1515" s="2" t="str">
        <f t="shared" si="46"/>
        <v>High</v>
      </c>
      <c r="S1515" s="2" t="str">
        <f t="shared" si="47"/>
        <v>West - Student</v>
      </c>
    </row>
    <row r="1516" spans="1:19" x14ac:dyDescent="0.3">
      <c r="A1516" t="s">
        <v>3054</v>
      </c>
      <c r="B1516" t="s">
        <v>3055</v>
      </c>
      <c r="C1516">
        <v>18</v>
      </c>
      <c r="D1516" s="2" t="s">
        <v>13</v>
      </c>
      <c r="E1516" s="2" t="s">
        <v>30</v>
      </c>
      <c r="F1516" s="2" t="s">
        <v>23</v>
      </c>
      <c r="G1516" s="2" t="s">
        <v>32</v>
      </c>
      <c r="H1516" s="2" t="s">
        <v>17</v>
      </c>
      <c r="I1516" s="2" t="s">
        <v>17</v>
      </c>
      <c r="J1516">
        <v>0.68</v>
      </c>
      <c r="K1516" s="1">
        <v>43758</v>
      </c>
      <c r="L1516" s="2" t="str">
        <f>IF(Sheet1[[#This Row],[age]]&lt;18, "Under 18",IF(Sheet1[[#This Row],[age]]&lt;=30,"18-30",IF(Sheet1[[#This Row],[age]]&lt;=45,"31-45",IF(Sheet1[[#This Row],[age]]&lt;=60,"46-60","60+"))))</f>
        <v>18-30</v>
      </c>
      <c r="M1516" s="2" t="str">
        <f>IF(Sheet1[[#This Row],[risk_score]]&lt;0.3,"Low",IF(Sheet1[[#This Row],[risk_score]]&lt;0.7,"Medium","High"))</f>
        <v>Medium</v>
      </c>
      <c r="N1516">
        <f>YEAR(Sheet1[[#This Row],[date_joined]])</f>
        <v>2019</v>
      </c>
      <c r="O1516" s="2" t="str">
        <f>TEXT(Sheet1[[#This Row],[date_joined]],"mmm")</f>
        <v>Oct</v>
      </c>
      <c r="P1516" s="2" t="str">
        <f>"Q"&amp;ROUNDUP(MONTH(Sheet1[[#This Row],[date_joined]])/3,0)</f>
        <v>Q4</v>
      </c>
      <c r="Q1516" s="2" t="str">
        <f>IF(Sheet1[[#This Row],[age]]&lt;30,"Young",IF(Sheet1[[#This Row],[age]]&lt;=50,"Adult","Senior"))</f>
        <v>Young</v>
      </c>
      <c r="R1516" s="2" t="str">
        <f t="shared" si="46"/>
        <v>Low</v>
      </c>
      <c r="S1516" s="2" t="str">
        <f t="shared" si="47"/>
        <v>South - Salaried</v>
      </c>
    </row>
    <row r="1517" spans="1:19" x14ac:dyDescent="0.3">
      <c r="A1517" t="s">
        <v>3056</v>
      </c>
      <c r="B1517" t="s">
        <v>3057</v>
      </c>
      <c r="C1517">
        <v>39</v>
      </c>
      <c r="D1517" s="2" t="s">
        <v>13</v>
      </c>
      <c r="E1517" s="2" t="s">
        <v>30</v>
      </c>
      <c r="F1517" s="2" t="s">
        <v>37</v>
      </c>
      <c r="G1517" s="2" t="s">
        <v>32</v>
      </c>
      <c r="H1517" s="2" t="s">
        <v>17</v>
      </c>
      <c r="I1517" s="2" t="s">
        <v>17</v>
      </c>
      <c r="J1517">
        <v>0.61</v>
      </c>
      <c r="K1517" s="1">
        <v>43904</v>
      </c>
      <c r="L1517" s="2" t="str">
        <f>IF(Sheet1[[#This Row],[age]]&lt;18, "Under 18",IF(Sheet1[[#This Row],[age]]&lt;=30,"18-30",IF(Sheet1[[#This Row],[age]]&lt;=45,"31-45",IF(Sheet1[[#This Row],[age]]&lt;=60,"46-60","60+"))))</f>
        <v>31-45</v>
      </c>
      <c r="M1517" s="2" t="str">
        <f>IF(Sheet1[[#This Row],[risk_score]]&lt;0.3,"Low",IF(Sheet1[[#This Row],[risk_score]]&lt;0.7,"Medium","High"))</f>
        <v>Medium</v>
      </c>
      <c r="N1517">
        <f>YEAR(Sheet1[[#This Row],[date_joined]])</f>
        <v>2020</v>
      </c>
      <c r="O1517" s="2" t="str">
        <f>TEXT(Sheet1[[#This Row],[date_joined]],"mmm")</f>
        <v>Mar</v>
      </c>
      <c r="P1517" s="2" t="str">
        <f>"Q"&amp;ROUNDUP(MONTH(Sheet1[[#This Row],[date_joined]])/3,0)</f>
        <v>Q1</v>
      </c>
      <c r="Q1517" s="2" t="str">
        <f>IF(Sheet1[[#This Row],[age]]&lt;30,"Young",IF(Sheet1[[#This Row],[age]]&lt;=50,"Adult","Senior"))</f>
        <v>Adult</v>
      </c>
      <c r="R1517" s="2" t="str">
        <f t="shared" si="46"/>
        <v>Low</v>
      </c>
      <c r="S1517" s="2" t="str">
        <f t="shared" si="47"/>
        <v>South - Retired</v>
      </c>
    </row>
    <row r="1518" spans="1:19" x14ac:dyDescent="0.3">
      <c r="A1518" t="s">
        <v>3058</v>
      </c>
      <c r="B1518" t="s">
        <v>3059</v>
      </c>
      <c r="C1518">
        <v>68</v>
      </c>
      <c r="D1518" s="2" t="s">
        <v>21</v>
      </c>
      <c r="E1518" s="2" t="s">
        <v>30</v>
      </c>
      <c r="F1518" s="2" t="s">
        <v>31</v>
      </c>
      <c r="G1518" s="2" t="s">
        <v>81</v>
      </c>
      <c r="H1518" s="2" t="s">
        <v>17</v>
      </c>
      <c r="I1518" s="2" t="s">
        <v>18</v>
      </c>
      <c r="J1518">
        <v>0.56999999999999995</v>
      </c>
      <c r="K1518" s="1">
        <v>43415</v>
      </c>
      <c r="L1518" s="2" t="str">
        <f>IF(Sheet1[[#This Row],[age]]&lt;18, "Under 18",IF(Sheet1[[#This Row],[age]]&lt;=30,"18-30",IF(Sheet1[[#This Row],[age]]&lt;=45,"31-45",IF(Sheet1[[#This Row],[age]]&lt;=60,"46-60","60+"))))</f>
        <v>60+</v>
      </c>
      <c r="M1518" s="2" t="str">
        <f>IF(Sheet1[[#This Row],[risk_score]]&lt;0.3,"Low",IF(Sheet1[[#This Row],[risk_score]]&lt;0.7,"Medium","High"))</f>
        <v>Medium</v>
      </c>
      <c r="N1518">
        <f>YEAR(Sheet1[[#This Row],[date_joined]])</f>
        <v>2018</v>
      </c>
      <c r="O1518" s="2" t="str">
        <f>TEXT(Sheet1[[#This Row],[date_joined]],"mmm")</f>
        <v>Nov</v>
      </c>
      <c r="P1518" s="2" t="str">
        <f>"Q"&amp;ROUNDUP(MONTH(Sheet1[[#This Row],[date_joined]])/3,0)</f>
        <v>Q4</v>
      </c>
      <c r="Q1518" s="2" t="str">
        <f>IF(Sheet1[[#This Row],[age]]&lt;30,"Young",IF(Sheet1[[#This Row],[age]]&lt;=50,"Adult","Senior"))</f>
        <v>Senior</v>
      </c>
      <c r="R1518" s="2" t="str">
        <f t="shared" si="46"/>
        <v>High</v>
      </c>
      <c r="S1518" s="2" t="str">
        <f t="shared" si="47"/>
        <v>Central - Self-employed</v>
      </c>
    </row>
    <row r="1519" spans="1:19" x14ac:dyDescent="0.3">
      <c r="A1519" t="s">
        <v>3060</v>
      </c>
      <c r="B1519" t="s">
        <v>3061</v>
      </c>
      <c r="C1519">
        <v>48</v>
      </c>
      <c r="D1519" s="2" t="s">
        <v>21</v>
      </c>
      <c r="E1519" s="2" t="s">
        <v>14</v>
      </c>
      <c r="F1519" s="2" t="s">
        <v>37</v>
      </c>
      <c r="G1519" s="2" t="s">
        <v>24</v>
      </c>
      <c r="H1519" s="2" t="s">
        <v>18</v>
      </c>
      <c r="I1519" s="2" t="s">
        <v>17</v>
      </c>
      <c r="J1519">
        <v>0.56000000000000005</v>
      </c>
      <c r="K1519" s="1">
        <v>45236</v>
      </c>
      <c r="L1519" s="2" t="str">
        <f>IF(Sheet1[[#This Row],[age]]&lt;18, "Under 18",IF(Sheet1[[#This Row],[age]]&lt;=30,"18-30",IF(Sheet1[[#This Row],[age]]&lt;=45,"31-45",IF(Sheet1[[#This Row],[age]]&lt;=60,"46-60","60+"))))</f>
        <v>46-60</v>
      </c>
      <c r="M1519" s="2" t="str">
        <f>IF(Sheet1[[#This Row],[risk_score]]&lt;0.3,"Low",IF(Sheet1[[#This Row],[risk_score]]&lt;0.7,"Medium","High"))</f>
        <v>Medium</v>
      </c>
      <c r="N1519">
        <f>YEAR(Sheet1[[#This Row],[date_joined]])</f>
        <v>2023</v>
      </c>
      <c r="O1519" s="2" t="str">
        <f>TEXT(Sheet1[[#This Row],[date_joined]],"mmm")</f>
        <v>Nov</v>
      </c>
      <c r="P1519" s="2" t="str">
        <f>"Q"&amp;ROUNDUP(MONTH(Sheet1[[#This Row],[date_joined]])/3,0)</f>
        <v>Q4</v>
      </c>
      <c r="Q1519" s="2" t="str">
        <f>IF(Sheet1[[#This Row],[age]]&lt;30,"Young",IF(Sheet1[[#This Row],[age]]&lt;=50,"Adult","Senior"))</f>
        <v>Adult</v>
      </c>
      <c r="R1519" s="2" t="str">
        <f t="shared" si="46"/>
        <v>High</v>
      </c>
      <c r="S1519" s="2" t="str">
        <f t="shared" si="47"/>
        <v>East - Retired</v>
      </c>
    </row>
    <row r="1520" spans="1:19" x14ac:dyDescent="0.3">
      <c r="A1520" t="s">
        <v>3062</v>
      </c>
      <c r="B1520" t="s">
        <v>3063</v>
      </c>
      <c r="C1520">
        <v>37</v>
      </c>
      <c r="D1520" s="2" t="s">
        <v>21</v>
      </c>
      <c r="E1520" s="2" t="s">
        <v>22</v>
      </c>
      <c r="F1520" s="2" t="s">
        <v>31</v>
      </c>
      <c r="G1520" s="2" t="s">
        <v>81</v>
      </c>
      <c r="H1520" s="2" t="s">
        <v>17</v>
      </c>
      <c r="I1520" s="2" t="s">
        <v>17</v>
      </c>
      <c r="J1520">
        <v>0.26</v>
      </c>
      <c r="K1520" s="1">
        <v>44065</v>
      </c>
      <c r="L1520" s="2" t="str">
        <f>IF(Sheet1[[#This Row],[age]]&lt;18, "Under 18",IF(Sheet1[[#This Row],[age]]&lt;=30,"18-30",IF(Sheet1[[#This Row],[age]]&lt;=45,"31-45",IF(Sheet1[[#This Row],[age]]&lt;=60,"46-60","60+"))))</f>
        <v>31-45</v>
      </c>
      <c r="M1520" s="2" t="str">
        <f>IF(Sheet1[[#This Row],[risk_score]]&lt;0.3,"Low",IF(Sheet1[[#This Row],[risk_score]]&lt;0.7,"Medium","High"))</f>
        <v>Low</v>
      </c>
      <c r="N1520">
        <f>YEAR(Sheet1[[#This Row],[date_joined]])</f>
        <v>2020</v>
      </c>
      <c r="O1520" s="2" t="str">
        <f>TEXT(Sheet1[[#This Row],[date_joined]],"mmm")</f>
        <v>Aug</v>
      </c>
      <c r="P1520" s="2" t="str">
        <f>"Q"&amp;ROUNDUP(MONTH(Sheet1[[#This Row],[date_joined]])/3,0)</f>
        <v>Q3</v>
      </c>
      <c r="Q1520" s="2" t="str">
        <f>IF(Sheet1[[#This Row],[age]]&lt;30,"Young",IF(Sheet1[[#This Row],[age]]&lt;=50,"Adult","Senior"))</f>
        <v>Adult</v>
      </c>
      <c r="R1520" s="2" t="str">
        <f t="shared" si="46"/>
        <v>Low</v>
      </c>
      <c r="S1520" s="2" t="str">
        <f t="shared" si="47"/>
        <v>Central - Self-employed</v>
      </c>
    </row>
    <row r="1521" spans="1:19" x14ac:dyDescent="0.3">
      <c r="A1521" t="s">
        <v>3064</v>
      </c>
      <c r="B1521" t="s">
        <v>3065</v>
      </c>
      <c r="C1521">
        <v>42</v>
      </c>
      <c r="D1521" s="2" t="s">
        <v>13</v>
      </c>
      <c r="E1521" s="2" t="s">
        <v>22</v>
      </c>
      <c r="F1521" s="2" t="s">
        <v>15</v>
      </c>
      <c r="G1521" s="2" t="s">
        <v>66</v>
      </c>
      <c r="H1521" s="2" t="s">
        <v>18</v>
      </c>
      <c r="I1521" s="2" t="s">
        <v>17</v>
      </c>
      <c r="J1521">
        <v>0.24</v>
      </c>
      <c r="K1521" s="1">
        <v>44433</v>
      </c>
      <c r="L1521" s="2" t="str">
        <f>IF(Sheet1[[#This Row],[age]]&lt;18, "Under 18",IF(Sheet1[[#This Row],[age]]&lt;=30,"18-30",IF(Sheet1[[#This Row],[age]]&lt;=45,"31-45",IF(Sheet1[[#This Row],[age]]&lt;=60,"46-60","60+"))))</f>
        <v>31-45</v>
      </c>
      <c r="M1521" s="2" t="str">
        <f>IF(Sheet1[[#This Row],[risk_score]]&lt;0.3,"Low",IF(Sheet1[[#This Row],[risk_score]]&lt;0.7,"Medium","High"))</f>
        <v>Low</v>
      </c>
      <c r="N1521">
        <f>YEAR(Sheet1[[#This Row],[date_joined]])</f>
        <v>2021</v>
      </c>
      <c r="O1521" s="2" t="str">
        <f>TEXT(Sheet1[[#This Row],[date_joined]],"mmm")</f>
        <v>Aug</v>
      </c>
      <c r="P1521" s="2" t="str">
        <f>"Q"&amp;ROUNDUP(MONTH(Sheet1[[#This Row],[date_joined]])/3,0)</f>
        <v>Q3</v>
      </c>
      <c r="Q1521" s="2" t="str">
        <f>IF(Sheet1[[#This Row],[age]]&lt;30,"Young",IF(Sheet1[[#This Row],[age]]&lt;=50,"Adult","Senior"))</f>
        <v>Adult</v>
      </c>
      <c r="R1521" s="2" t="str">
        <f t="shared" si="46"/>
        <v>High</v>
      </c>
      <c r="S1521" s="2" t="str">
        <f t="shared" si="47"/>
        <v>North-East - Student</v>
      </c>
    </row>
    <row r="1522" spans="1:19" x14ac:dyDescent="0.3">
      <c r="A1522" t="s">
        <v>3066</v>
      </c>
      <c r="B1522" t="s">
        <v>3067</v>
      </c>
      <c r="C1522">
        <v>54</v>
      </c>
      <c r="D1522" s="2" t="s">
        <v>21</v>
      </c>
      <c r="E1522" s="2" t="s">
        <v>14</v>
      </c>
      <c r="F1522" s="2" t="s">
        <v>15</v>
      </c>
      <c r="G1522" s="2" t="s">
        <v>81</v>
      </c>
      <c r="H1522" s="2" t="s">
        <v>18</v>
      </c>
      <c r="I1522" s="2" t="s">
        <v>17</v>
      </c>
      <c r="J1522">
        <v>0.55000000000000004</v>
      </c>
      <c r="K1522" s="1">
        <v>43999</v>
      </c>
      <c r="L1522" s="2" t="str">
        <f>IF(Sheet1[[#This Row],[age]]&lt;18, "Under 18",IF(Sheet1[[#This Row],[age]]&lt;=30,"18-30",IF(Sheet1[[#This Row],[age]]&lt;=45,"31-45",IF(Sheet1[[#This Row],[age]]&lt;=60,"46-60","60+"))))</f>
        <v>46-60</v>
      </c>
      <c r="M1522" s="2" t="str">
        <f>IF(Sheet1[[#This Row],[risk_score]]&lt;0.3,"Low",IF(Sheet1[[#This Row],[risk_score]]&lt;0.7,"Medium","High"))</f>
        <v>Medium</v>
      </c>
      <c r="N1522">
        <f>YEAR(Sheet1[[#This Row],[date_joined]])</f>
        <v>2020</v>
      </c>
      <c r="O1522" s="2" t="str">
        <f>TEXT(Sheet1[[#This Row],[date_joined]],"mmm")</f>
        <v>Jun</v>
      </c>
      <c r="P1522" s="2" t="str">
        <f>"Q"&amp;ROUNDUP(MONTH(Sheet1[[#This Row],[date_joined]])/3,0)</f>
        <v>Q2</v>
      </c>
      <c r="Q1522" s="2" t="str">
        <f>IF(Sheet1[[#This Row],[age]]&lt;30,"Young",IF(Sheet1[[#This Row],[age]]&lt;=50,"Adult","Senior"))</f>
        <v>Senior</v>
      </c>
      <c r="R1522" s="2" t="str">
        <f t="shared" si="46"/>
        <v>High</v>
      </c>
      <c r="S1522" s="2" t="str">
        <f t="shared" si="47"/>
        <v>Central - Student</v>
      </c>
    </row>
    <row r="1523" spans="1:19" x14ac:dyDescent="0.3">
      <c r="A1523" t="s">
        <v>3068</v>
      </c>
      <c r="B1523" t="s">
        <v>3069</v>
      </c>
      <c r="C1523">
        <v>48</v>
      </c>
      <c r="D1523" s="2" t="s">
        <v>13</v>
      </c>
      <c r="E1523" s="2" t="s">
        <v>30</v>
      </c>
      <c r="F1523" s="2" t="s">
        <v>31</v>
      </c>
      <c r="G1523" s="2" t="s">
        <v>81</v>
      </c>
      <c r="H1523" s="2" t="s">
        <v>17</v>
      </c>
      <c r="I1523" s="2" t="s">
        <v>17</v>
      </c>
      <c r="J1523">
        <v>0.34</v>
      </c>
      <c r="K1523" s="1">
        <v>44172</v>
      </c>
      <c r="L1523" s="2" t="str">
        <f>IF(Sheet1[[#This Row],[age]]&lt;18, "Under 18",IF(Sheet1[[#This Row],[age]]&lt;=30,"18-30",IF(Sheet1[[#This Row],[age]]&lt;=45,"31-45",IF(Sheet1[[#This Row],[age]]&lt;=60,"46-60","60+"))))</f>
        <v>46-60</v>
      </c>
      <c r="M1523" s="2" t="str">
        <f>IF(Sheet1[[#This Row],[risk_score]]&lt;0.3,"Low",IF(Sheet1[[#This Row],[risk_score]]&lt;0.7,"Medium","High"))</f>
        <v>Medium</v>
      </c>
      <c r="N1523">
        <f>YEAR(Sheet1[[#This Row],[date_joined]])</f>
        <v>2020</v>
      </c>
      <c r="O1523" s="2" t="str">
        <f>TEXT(Sheet1[[#This Row],[date_joined]],"mmm")</f>
        <v>Dec</v>
      </c>
      <c r="P1523" s="2" t="str">
        <f>"Q"&amp;ROUNDUP(MONTH(Sheet1[[#This Row],[date_joined]])/3,0)</f>
        <v>Q4</v>
      </c>
      <c r="Q1523" s="2" t="str">
        <f>IF(Sheet1[[#This Row],[age]]&lt;30,"Young",IF(Sheet1[[#This Row],[age]]&lt;=50,"Adult","Senior"))</f>
        <v>Adult</v>
      </c>
      <c r="R1523" s="2" t="str">
        <f t="shared" si="46"/>
        <v>Low</v>
      </c>
      <c r="S1523" s="2" t="str">
        <f t="shared" si="47"/>
        <v>Central - Self-employed</v>
      </c>
    </row>
    <row r="1524" spans="1:19" x14ac:dyDescent="0.3">
      <c r="A1524" t="s">
        <v>3070</v>
      </c>
      <c r="B1524" t="s">
        <v>3071</v>
      </c>
      <c r="C1524">
        <v>40</v>
      </c>
      <c r="D1524" s="2" t="s">
        <v>13</v>
      </c>
      <c r="E1524" s="2" t="s">
        <v>30</v>
      </c>
      <c r="F1524" s="2" t="s">
        <v>23</v>
      </c>
      <c r="G1524" s="2" t="s">
        <v>24</v>
      </c>
      <c r="H1524" s="2" t="s">
        <v>18</v>
      </c>
      <c r="I1524" s="2" t="s">
        <v>17</v>
      </c>
      <c r="J1524">
        <v>0.56000000000000005</v>
      </c>
      <c r="K1524" s="1">
        <v>45006</v>
      </c>
      <c r="L1524" s="2" t="str">
        <f>IF(Sheet1[[#This Row],[age]]&lt;18, "Under 18",IF(Sheet1[[#This Row],[age]]&lt;=30,"18-30",IF(Sheet1[[#This Row],[age]]&lt;=45,"31-45",IF(Sheet1[[#This Row],[age]]&lt;=60,"46-60","60+"))))</f>
        <v>31-45</v>
      </c>
      <c r="M1524" s="2" t="str">
        <f>IF(Sheet1[[#This Row],[risk_score]]&lt;0.3,"Low",IF(Sheet1[[#This Row],[risk_score]]&lt;0.7,"Medium","High"))</f>
        <v>Medium</v>
      </c>
      <c r="N1524">
        <f>YEAR(Sheet1[[#This Row],[date_joined]])</f>
        <v>2023</v>
      </c>
      <c r="O1524" s="2" t="str">
        <f>TEXT(Sheet1[[#This Row],[date_joined]],"mmm")</f>
        <v>Mar</v>
      </c>
      <c r="P1524" s="2" t="str">
        <f>"Q"&amp;ROUNDUP(MONTH(Sheet1[[#This Row],[date_joined]])/3,0)</f>
        <v>Q1</v>
      </c>
      <c r="Q1524" s="2" t="str">
        <f>IF(Sheet1[[#This Row],[age]]&lt;30,"Young",IF(Sheet1[[#This Row],[age]]&lt;=50,"Adult","Senior"))</f>
        <v>Adult</v>
      </c>
      <c r="R1524" s="2" t="str">
        <f t="shared" si="46"/>
        <v>High</v>
      </c>
      <c r="S1524" s="2" t="str">
        <f t="shared" si="47"/>
        <v>East - Salaried</v>
      </c>
    </row>
    <row r="1525" spans="1:19" x14ac:dyDescent="0.3">
      <c r="A1525" t="s">
        <v>3072</v>
      </c>
      <c r="B1525" t="s">
        <v>3073</v>
      </c>
      <c r="C1525">
        <v>69</v>
      </c>
      <c r="D1525" s="2" t="s">
        <v>13</v>
      </c>
      <c r="E1525" s="2" t="s">
        <v>14</v>
      </c>
      <c r="F1525" s="2" t="s">
        <v>37</v>
      </c>
      <c r="G1525" s="2" t="s">
        <v>24</v>
      </c>
      <c r="H1525" s="2" t="s">
        <v>17</v>
      </c>
      <c r="I1525" s="2" t="s">
        <v>17</v>
      </c>
      <c r="J1525">
        <v>0.86</v>
      </c>
      <c r="K1525" s="1">
        <v>44658</v>
      </c>
      <c r="L1525" s="2" t="str">
        <f>IF(Sheet1[[#This Row],[age]]&lt;18, "Under 18",IF(Sheet1[[#This Row],[age]]&lt;=30,"18-30",IF(Sheet1[[#This Row],[age]]&lt;=45,"31-45",IF(Sheet1[[#This Row],[age]]&lt;=60,"46-60","60+"))))</f>
        <v>60+</v>
      </c>
      <c r="M1525" s="2" t="str">
        <f>IF(Sheet1[[#This Row],[risk_score]]&lt;0.3,"Low",IF(Sheet1[[#This Row],[risk_score]]&lt;0.7,"Medium","High"))</f>
        <v>High</v>
      </c>
      <c r="N1525">
        <f>YEAR(Sheet1[[#This Row],[date_joined]])</f>
        <v>2022</v>
      </c>
      <c r="O1525" s="2" t="str">
        <f>TEXT(Sheet1[[#This Row],[date_joined]],"mmm")</f>
        <v>Apr</v>
      </c>
      <c r="P1525" s="2" t="str">
        <f>"Q"&amp;ROUNDUP(MONTH(Sheet1[[#This Row],[date_joined]])/3,0)</f>
        <v>Q2</v>
      </c>
      <c r="Q1525" s="2" t="str">
        <f>IF(Sheet1[[#This Row],[age]]&lt;30,"Young",IF(Sheet1[[#This Row],[age]]&lt;=50,"Adult","Senior"))</f>
        <v>Senior</v>
      </c>
      <c r="R1525" s="2" t="str">
        <f t="shared" si="46"/>
        <v>Low</v>
      </c>
      <c r="S1525" s="2" t="str">
        <f t="shared" si="47"/>
        <v>East - Retired</v>
      </c>
    </row>
    <row r="1526" spans="1:19" x14ac:dyDescent="0.3">
      <c r="A1526" t="s">
        <v>3074</v>
      </c>
      <c r="B1526" t="s">
        <v>3075</v>
      </c>
      <c r="C1526">
        <v>18</v>
      </c>
      <c r="D1526" s="2" t="s">
        <v>13</v>
      </c>
      <c r="E1526" s="2" t="s">
        <v>22</v>
      </c>
      <c r="F1526" s="2" t="s">
        <v>23</v>
      </c>
      <c r="G1526" s="2" t="s">
        <v>81</v>
      </c>
      <c r="H1526" s="2" t="s">
        <v>18</v>
      </c>
      <c r="I1526" s="2" t="s">
        <v>17</v>
      </c>
      <c r="J1526">
        <v>0.62</v>
      </c>
      <c r="K1526" s="1">
        <v>44549</v>
      </c>
      <c r="L1526" s="2" t="str">
        <f>IF(Sheet1[[#This Row],[age]]&lt;18, "Under 18",IF(Sheet1[[#This Row],[age]]&lt;=30,"18-30",IF(Sheet1[[#This Row],[age]]&lt;=45,"31-45",IF(Sheet1[[#This Row],[age]]&lt;=60,"46-60","60+"))))</f>
        <v>18-30</v>
      </c>
      <c r="M1526" s="2" t="str">
        <f>IF(Sheet1[[#This Row],[risk_score]]&lt;0.3,"Low",IF(Sheet1[[#This Row],[risk_score]]&lt;0.7,"Medium","High"))</f>
        <v>Medium</v>
      </c>
      <c r="N1526">
        <f>YEAR(Sheet1[[#This Row],[date_joined]])</f>
        <v>2021</v>
      </c>
      <c r="O1526" s="2" t="str">
        <f>TEXT(Sheet1[[#This Row],[date_joined]],"mmm")</f>
        <v>Dec</v>
      </c>
      <c r="P1526" s="2" t="str">
        <f>"Q"&amp;ROUNDUP(MONTH(Sheet1[[#This Row],[date_joined]])/3,0)</f>
        <v>Q4</v>
      </c>
      <c r="Q1526" s="2" t="str">
        <f>IF(Sheet1[[#This Row],[age]]&lt;30,"Young",IF(Sheet1[[#This Row],[age]]&lt;=50,"Adult","Senior"))</f>
        <v>Young</v>
      </c>
      <c r="R1526" s="2" t="str">
        <f t="shared" si="46"/>
        <v>High</v>
      </c>
      <c r="S1526" s="2" t="str">
        <f t="shared" si="47"/>
        <v>Central - Salaried</v>
      </c>
    </row>
    <row r="1527" spans="1:19" x14ac:dyDescent="0.3">
      <c r="A1527" t="s">
        <v>3076</v>
      </c>
      <c r="B1527" t="s">
        <v>3077</v>
      </c>
      <c r="C1527">
        <v>21</v>
      </c>
      <c r="D1527" s="2" t="s">
        <v>13</v>
      </c>
      <c r="E1527" s="2" t="s">
        <v>22</v>
      </c>
      <c r="F1527" s="2" t="s">
        <v>37</v>
      </c>
      <c r="G1527" s="2" t="s">
        <v>27</v>
      </c>
      <c r="H1527" s="2" t="s">
        <v>17</v>
      </c>
      <c r="I1527" s="2" t="s">
        <v>18</v>
      </c>
      <c r="J1527">
        <v>0.43</v>
      </c>
      <c r="K1527" s="1">
        <v>44036</v>
      </c>
      <c r="L1527" s="2" t="str">
        <f>IF(Sheet1[[#This Row],[age]]&lt;18, "Under 18",IF(Sheet1[[#This Row],[age]]&lt;=30,"18-30",IF(Sheet1[[#This Row],[age]]&lt;=45,"31-45",IF(Sheet1[[#This Row],[age]]&lt;=60,"46-60","60+"))))</f>
        <v>18-30</v>
      </c>
      <c r="M1527" s="2" t="str">
        <f>IF(Sheet1[[#This Row],[risk_score]]&lt;0.3,"Low",IF(Sheet1[[#This Row],[risk_score]]&lt;0.7,"Medium","High"))</f>
        <v>Medium</v>
      </c>
      <c r="N1527">
        <f>YEAR(Sheet1[[#This Row],[date_joined]])</f>
        <v>2020</v>
      </c>
      <c r="O1527" s="2" t="str">
        <f>TEXT(Sheet1[[#This Row],[date_joined]],"mmm")</f>
        <v>Jul</v>
      </c>
      <c r="P1527" s="2" t="str">
        <f>"Q"&amp;ROUNDUP(MONTH(Sheet1[[#This Row],[date_joined]])/3,0)</f>
        <v>Q3</v>
      </c>
      <c r="Q1527" s="2" t="str">
        <f>IF(Sheet1[[#This Row],[age]]&lt;30,"Young",IF(Sheet1[[#This Row],[age]]&lt;=50,"Adult","Senior"))</f>
        <v>Young</v>
      </c>
      <c r="R1527" s="2" t="str">
        <f t="shared" si="46"/>
        <v>High</v>
      </c>
      <c r="S1527" s="2" t="str">
        <f t="shared" si="47"/>
        <v>North - Retired</v>
      </c>
    </row>
    <row r="1528" spans="1:19" x14ac:dyDescent="0.3">
      <c r="A1528" t="s">
        <v>3078</v>
      </c>
      <c r="B1528" t="s">
        <v>3079</v>
      </c>
      <c r="C1528">
        <v>26</v>
      </c>
      <c r="D1528" s="2" t="s">
        <v>21</v>
      </c>
      <c r="E1528" s="2" t="s">
        <v>30</v>
      </c>
      <c r="F1528" s="2" t="s">
        <v>23</v>
      </c>
      <c r="G1528" s="2" t="s">
        <v>24</v>
      </c>
      <c r="H1528" s="2" t="s">
        <v>18</v>
      </c>
      <c r="I1528" s="2" t="s">
        <v>17</v>
      </c>
      <c r="J1528">
        <v>0.28000000000000003</v>
      </c>
      <c r="K1528" s="1">
        <v>43585</v>
      </c>
      <c r="L1528" s="2" t="str">
        <f>IF(Sheet1[[#This Row],[age]]&lt;18, "Under 18",IF(Sheet1[[#This Row],[age]]&lt;=30,"18-30",IF(Sheet1[[#This Row],[age]]&lt;=45,"31-45",IF(Sheet1[[#This Row],[age]]&lt;=60,"46-60","60+"))))</f>
        <v>18-30</v>
      </c>
      <c r="M1528" s="2" t="str">
        <f>IF(Sheet1[[#This Row],[risk_score]]&lt;0.3,"Low",IF(Sheet1[[#This Row],[risk_score]]&lt;0.7,"Medium","High"))</f>
        <v>Low</v>
      </c>
      <c r="N1528">
        <f>YEAR(Sheet1[[#This Row],[date_joined]])</f>
        <v>2019</v>
      </c>
      <c r="O1528" s="2" t="str">
        <f>TEXT(Sheet1[[#This Row],[date_joined]],"mmm")</f>
        <v>Apr</v>
      </c>
      <c r="P1528" s="2" t="str">
        <f>"Q"&amp;ROUNDUP(MONTH(Sheet1[[#This Row],[date_joined]])/3,0)</f>
        <v>Q2</v>
      </c>
      <c r="Q1528" s="2" t="str">
        <f>IF(Sheet1[[#This Row],[age]]&lt;30,"Young",IF(Sheet1[[#This Row],[age]]&lt;=50,"Adult","Senior"))</f>
        <v>Young</v>
      </c>
      <c r="R1528" s="2" t="str">
        <f t="shared" si="46"/>
        <v>High</v>
      </c>
      <c r="S1528" s="2" t="str">
        <f t="shared" si="47"/>
        <v>East - Salaried</v>
      </c>
    </row>
    <row r="1529" spans="1:19" x14ac:dyDescent="0.3">
      <c r="A1529" t="s">
        <v>3080</v>
      </c>
      <c r="B1529" t="s">
        <v>3081</v>
      </c>
      <c r="C1529">
        <v>58</v>
      </c>
      <c r="D1529" s="2" t="s">
        <v>13</v>
      </c>
      <c r="E1529" s="2" t="s">
        <v>30</v>
      </c>
      <c r="F1529" s="2" t="s">
        <v>23</v>
      </c>
      <c r="G1529" s="2" t="s">
        <v>81</v>
      </c>
      <c r="H1529" s="2" t="s">
        <v>18</v>
      </c>
      <c r="I1529" s="2" t="s">
        <v>18</v>
      </c>
      <c r="J1529">
        <v>0.39</v>
      </c>
      <c r="K1529" s="1">
        <v>43670</v>
      </c>
      <c r="L1529" s="2" t="str">
        <f>IF(Sheet1[[#This Row],[age]]&lt;18, "Under 18",IF(Sheet1[[#This Row],[age]]&lt;=30,"18-30",IF(Sheet1[[#This Row],[age]]&lt;=45,"31-45",IF(Sheet1[[#This Row],[age]]&lt;=60,"46-60","60+"))))</f>
        <v>46-60</v>
      </c>
      <c r="M1529" s="2" t="str">
        <f>IF(Sheet1[[#This Row],[risk_score]]&lt;0.3,"Low",IF(Sheet1[[#This Row],[risk_score]]&lt;0.7,"Medium","High"))</f>
        <v>Medium</v>
      </c>
      <c r="N1529">
        <f>YEAR(Sheet1[[#This Row],[date_joined]])</f>
        <v>2019</v>
      </c>
      <c r="O1529" s="2" t="str">
        <f>TEXT(Sheet1[[#This Row],[date_joined]],"mmm")</f>
        <v>Jul</v>
      </c>
      <c r="P1529" s="2" t="str">
        <f>"Q"&amp;ROUNDUP(MONTH(Sheet1[[#This Row],[date_joined]])/3,0)</f>
        <v>Q3</v>
      </c>
      <c r="Q1529" s="2" t="str">
        <f>IF(Sheet1[[#This Row],[age]]&lt;30,"Young",IF(Sheet1[[#This Row],[age]]&lt;=50,"Adult","Senior"))</f>
        <v>Senior</v>
      </c>
      <c r="R1529" s="2" t="str">
        <f t="shared" si="46"/>
        <v>Very High</v>
      </c>
      <c r="S1529" s="2" t="str">
        <f t="shared" si="47"/>
        <v>Central - Salaried</v>
      </c>
    </row>
    <row r="1530" spans="1:19" x14ac:dyDescent="0.3">
      <c r="A1530" t="s">
        <v>3082</v>
      </c>
      <c r="B1530" t="s">
        <v>3083</v>
      </c>
      <c r="C1530">
        <v>36</v>
      </c>
      <c r="D1530" s="2" t="s">
        <v>13</v>
      </c>
      <c r="E1530" s="2" t="s">
        <v>22</v>
      </c>
      <c r="F1530" s="2" t="s">
        <v>31</v>
      </c>
      <c r="G1530" s="2" t="s">
        <v>24</v>
      </c>
      <c r="H1530" s="2" t="s">
        <v>18</v>
      </c>
      <c r="I1530" s="2" t="s">
        <v>18</v>
      </c>
      <c r="J1530">
        <v>1</v>
      </c>
      <c r="K1530" s="1">
        <v>43217</v>
      </c>
      <c r="L1530" s="2" t="str">
        <f>IF(Sheet1[[#This Row],[age]]&lt;18, "Under 18",IF(Sheet1[[#This Row],[age]]&lt;=30,"18-30",IF(Sheet1[[#This Row],[age]]&lt;=45,"31-45",IF(Sheet1[[#This Row],[age]]&lt;=60,"46-60","60+"))))</f>
        <v>31-45</v>
      </c>
      <c r="M1530" s="2" t="str">
        <f>IF(Sheet1[[#This Row],[risk_score]]&lt;0.3,"Low",IF(Sheet1[[#This Row],[risk_score]]&lt;0.7,"Medium","High"))</f>
        <v>High</v>
      </c>
      <c r="N1530">
        <f>YEAR(Sheet1[[#This Row],[date_joined]])</f>
        <v>2018</v>
      </c>
      <c r="O1530" s="2" t="str">
        <f>TEXT(Sheet1[[#This Row],[date_joined]],"mmm")</f>
        <v>Apr</v>
      </c>
      <c r="P1530" s="2" t="str">
        <f>"Q"&amp;ROUNDUP(MONTH(Sheet1[[#This Row],[date_joined]])/3,0)</f>
        <v>Q2</v>
      </c>
      <c r="Q1530" s="2" t="str">
        <f>IF(Sheet1[[#This Row],[age]]&lt;30,"Young",IF(Sheet1[[#This Row],[age]]&lt;=50,"Adult","Senior"))</f>
        <v>Adult</v>
      </c>
      <c r="R1530" s="2" t="str">
        <f t="shared" si="46"/>
        <v>Very High</v>
      </c>
      <c r="S1530" s="2" t="str">
        <f t="shared" si="47"/>
        <v>East - Self-employed</v>
      </c>
    </row>
    <row r="1531" spans="1:19" x14ac:dyDescent="0.3">
      <c r="A1531" t="s">
        <v>3084</v>
      </c>
      <c r="B1531" t="s">
        <v>3085</v>
      </c>
      <c r="C1531">
        <v>26</v>
      </c>
      <c r="D1531" s="2" t="s">
        <v>13</v>
      </c>
      <c r="E1531" s="2" t="s">
        <v>14</v>
      </c>
      <c r="F1531" s="2" t="s">
        <v>37</v>
      </c>
      <c r="G1531" s="2" t="s">
        <v>27</v>
      </c>
      <c r="H1531" s="2" t="s">
        <v>18</v>
      </c>
      <c r="I1531" s="2" t="s">
        <v>18</v>
      </c>
      <c r="J1531">
        <v>0.48</v>
      </c>
      <c r="K1531" s="1">
        <v>44345</v>
      </c>
      <c r="L1531" s="2" t="str">
        <f>IF(Sheet1[[#This Row],[age]]&lt;18, "Under 18",IF(Sheet1[[#This Row],[age]]&lt;=30,"18-30",IF(Sheet1[[#This Row],[age]]&lt;=45,"31-45",IF(Sheet1[[#This Row],[age]]&lt;=60,"46-60","60+"))))</f>
        <v>18-30</v>
      </c>
      <c r="M1531" s="2" t="str">
        <f>IF(Sheet1[[#This Row],[risk_score]]&lt;0.3,"Low",IF(Sheet1[[#This Row],[risk_score]]&lt;0.7,"Medium","High"))</f>
        <v>Medium</v>
      </c>
      <c r="N1531">
        <f>YEAR(Sheet1[[#This Row],[date_joined]])</f>
        <v>2021</v>
      </c>
      <c r="O1531" s="2" t="str">
        <f>TEXT(Sheet1[[#This Row],[date_joined]],"mmm")</f>
        <v>May</v>
      </c>
      <c r="P1531" s="2" t="str">
        <f>"Q"&amp;ROUNDUP(MONTH(Sheet1[[#This Row],[date_joined]])/3,0)</f>
        <v>Q2</v>
      </c>
      <c r="Q1531" s="2" t="str">
        <f>IF(Sheet1[[#This Row],[age]]&lt;30,"Young",IF(Sheet1[[#This Row],[age]]&lt;=50,"Adult","Senior"))</f>
        <v>Young</v>
      </c>
      <c r="R1531" s="2" t="str">
        <f t="shared" si="46"/>
        <v>Very High</v>
      </c>
      <c r="S1531" s="2" t="str">
        <f t="shared" si="47"/>
        <v>North - Retired</v>
      </c>
    </row>
    <row r="1532" spans="1:19" x14ac:dyDescent="0.3">
      <c r="A1532" t="s">
        <v>3086</v>
      </c>
      <c r="B1532" t="s">
        <v>3087</v>
      </c>
      <c r="C1532">
        <v>51</v>
      </c>
      <c r="D1532" s="2" t="s">
        <v>21</v>
      </c>
      <c r="E1532" s="2" t="s">
        <v>14</v>
      </c>
      <c r="F1532" s="2" t="s">
        <v>31</v>
      </c>
      <c r="G1532" s="2" t="s">
        <v>16</v>
      </c>
      <c r="H1532" s="2" t="s">
        <v>18</v>
      </c>
      <c r="I1532" s="2" t="s">
        <v>18</v>
      </c>
      <c r="J1532">
        <v>0.21</v>
      </c>
      <c r="K1532" s="1">
        <v>44135</v>
      </c>
      <c r="L1532" s="2" t="str">
        <f>IF(Sheet1[[#This Row],[age]]&lt;18, "Under 18",IF(Sheet1[[#This Row],[age]]&lt;=30,"18-30",IF(Sheet1[[#This Row],[age]]&lt;=45,"31-45",IF(Sheet1[[#This Row],[age]]&lt;=60,"46-60","60+"))))</f>
        <v>46-60</v>
      </c>
      <c r="M1532" s="2" t="str">
        <f>IF(Sheet1[[#This Row],[risk_score]]&lt;0.3,"Low",IF(Sheet1[[#This Row],[risk_score]]&lt;0.7,"Medium","High"))</f>
        <v>Low</v>
      </c>
      <c r="N1532">
        <f>YEAR(Sheet1[[#This Row],[date_joined]])</f>
        <v>2020</v>
      </c>
      <c r="O1532" s="2" t="str">
        <f>TEXT(Sheet1[[#This Row],[date_joined]],"mmm")</f>
        <v>Oct</v>
      </c>
      <c r="P1532" s="2" t="str">
        <f>"Q"&amp;ROUNDUP(MONTH(Sheet1[[#This Row],[date_joined]])/3,0)</f>
        <v>Q4</v>
      </c>
      <c r="Q1532" s="2" t="str">
        <f>IF(Sheet1[[#This Row],[age]]&lt;30,"Young",IF(Sheet1[[#This Row],[age]]&lt;=50,"Adult","Senior"))</f>
        <v>Senior</v>
      </c>
      <c r="R1532" s="2" t="str">
        <f t="shared" si="46"/>
        <v>Very High</v>
      </c>
      <c r="S1532" s="2" t="str">
        <f t="shared" si="47"/>
        <v>West - Self-employed</v>
      </c>
    </row>
    <row r="1533" spans="1:19" x14ac:dyDescent="0.3">
      <c r="A1533" t="s">
        <v>3088</v>
      </c>
      <c r="B1533" t="s">
        <v>3089</v>
      </c>
      <c r="C1533">
        <v>57</v>
      </c>
      <c r="D1533" s="2" t="s">
        <v>21</v>
      </c>
      <c r="E1533" s="2" t="s">
        <v>30</v>
      </c>
      <c r="F1533" s="2" t="s">
        <v>15</v>
      </c>
      <c r="G1533" s="2" t="s">
        <v>66</v>
      </c>
      <c r="H1533" s="2" t="s">
        <v>17</v>
      </c>
      <c r="I1533" s="2" t="s">
        <v>17</v>
      </c>
      <c r="J1533">
        <v>0.68</v>
      </c>
      <c r="K1533" s="1">
        <v>44644</v>
      </c>
      <c r="L1533" s="2" t="str">
        <f>IF(Sheet1[[#This Row],[age]]&lt;18, "Under 18",IF(Sheet1[[#This Row],[age]]&lt;=30,"18-30",IF(Sheet1[[#This Row],[age]]&lt;=45,"31-45",IF(Sheet1[[#This Row],[age]]&lt;=60,"46-60","60+"))))</f>
        <v>46-60</v>
      </c>
      <c r="M1533" s="2" t="str">
        <f>IF(Sheet1[[#This Row],[risk_score]]&lt;0.3,"Low",IF(Sheet1[[#This Row],[risk_score]]&lt;0.7,"Medium","High"))</f>
        <v>Medium</v>
      </c>
      <c r="N1533">
        <f>YEAR(Sheet1[[#This Row],[date_joined]])</f>
        <v>2022</v>
      </c>
      <c r="O1533" s="2" t="str">
        <f>TEXT(Sheet1[[#This Row],[date_joined]],"mmm")</f>
        <v>Mar</v>
      </c>
      <c r="P1533" s="2" t="str">
        <f>"Q"&amp;ROUNDUP(MONTH(Sheet1[[#This Row],[date_joined]])/3,0)</f>
        <v>Q1</v>
      </c>
      <c r="Q1533" s="2" t="str">
        <f>IF(Sheet1[[#This Row],[age]]&lt;30,"Young",IF(Sheet1[[#This Row],[age]]&lt;=50,"Adult","Senior"))</f>
        <v>Senior</v>
      </c>
      <c r="R1533" s="2" t="str">
        <f t="shared" si="46"/>
        <v>Low</v>
      </c>
      <c r="S1533" s="2" t="str">
        <f t="shared" si="47"/>
        <v>North-East - Student</v>
      </c>
    </row>
    <row r="1534" spans="1:19" x14ac:dyDescent="0.3">
      <c r="A1534" t="s">
        <v>3090</v>
      </c>
      <c r="B1534" t="s">
        <v>3091</v>
      </c>
      <c r="C1534">
        <v>59</v>
      </c>
      <c r="D1534" s="2" t="s">
        <v>21</v>
      </c>
      <c r="E1534" s="2" t="s">
        <v>30</v>
      </c>
      <c r="F1534" s="2" t="s">
        <v>31</v>
      </c>
      <c r="G1534" s="2" t="s">
        <v>16</v>
      </c>
      <c r="H1534" s="2" t="s">
        <v>18</v>
      </c>
      <c r="I1534" s="2" t="s">
        <v>18</v>
      </c>
      <c r="J1534">
        <v>0.66</v>
      </c>
      <c r="K1534" s="1">
        <v>43964</v>
      </c>
      <c r="L1534" s="2" t="str">
        <f>IF(Sheet1[[#This Row],[age]]&lt;18, "Under 18",IF(Sheet1[[#This Row],[age]]&lt;=30,"18-30",IF(Sheet1[[#This Row],[age]]&lt;=45,"31-45",IF(Sheet1[[#This Row],[age]]&lt;=60,"46-60","60+"))))</f>
        <v>46-60</v>
      </c>
      <c r="M1534" s="2" t="str">
        <f>IF(Sheet1[[#This Row],[risk_score]]&lt;0.3,"Low",IF(Sheet1[[#This Row],[risk_score]]&lt;0.7,"Medium","High"))</f>
        <v>Medium</v>
      </c>
      <c r="N1534">
        <f>YEAR(Sheet1[[#This Row],[date_joined]])</f>
        <v>2020</v>
      </c>
      <c r="O1534" s="2" t="str">
        <f>TEXT(Sheet1[[#This Row],[date_joined]],"mmm")</f>
        <v>May</v>
      </c>
      <c r="P1534" s="2" t="str">
        <f>"Q"&amp;ROUNDUP(MONTH(Sheet1[[#This Row],[date_joined]])/3,0)</f>
        <v>Q2</v>
      </c>
      <c r="Q1534" s="2" t="str">
        <f>IF(Sheet1[[#This Row],[age]]&lt;30,"Young",IF(Sheet1[[#This Row],[age]]&lt;=50,"Adult","Senior"))</f>
        <v>Senior</v>
      </c>
      <c r="R1534" s="2" t="str">
        <f t="shared" si="46"/>
        <v>Very High</v>
      </c>
      <c r="S1534" s="2" t="str">
        <f t="shared" si="47"/>
        <v>West - Self-employed</v>
      </c>
    </row>
    <row r="1535" spans="1:19" x14ac:dyDescent="0.3">
      <c r="A1535" t="s">
        <v>3092</v>
      </c>
      <c r="B1535" t="s">
        <v>3093</v>
      </c>
      <c r="C1535">
        <v>37</v>
      </c>
      <c r="D1535" s="2" t="s">
        <v>13</v>
      </c>
      <c r="E1535" s="2" t="s">
        <v>14</v>
      </c>
      <c r="F1535" s="2" t="s">
        <v>37</v>
      </c>
      <c r="G1535" s="2" t="s">
        <v>81</v>
      </c>
      <c r="H1535" s="2" t="s">
        <v>18</v>
      </c>
      <c r="I1535" s="2" t="s">
        <v>18</v>
      </c>
      <c r="J1535">
        <v>0.49</v>
      </c>
      <c r="K1535" s="1">
        <v>43665</v>
      </c>
      <c r="L1535" s="2" t="str">
        <f>IF(Sheet1[[#This Row],[age]]&lt;18, "Under 18",IF(Sheet1[[#This Row],[age]]&lt;=30,"18-30",IF(Sheet1[[#This Row],[age]]&lt;=45,"31-45",IF(Sheet1[[#This Row],[age]]&lt;=60,"46-60","60+"))))</f>
        <v>31-45</v>
      </c>
      <c r="M1535" s="2" t="str">
        <f>IF(Sheet1[[#This Row],[risk_score]]&lt;0.3,"Low",IF(Sheet1[[#This Row],[risk_score]]&lt;0.7,"Medium","High"))</f>
        <v>Medium</v>
      </c>
      <c r="N1535">
        <f>YEAR(Sheet1[[#This Row],[date_joined]])</f>
        <v>2019</v>
      </c>
      <c r="O1535" s="2" t="str">
        <f>TEXT(Sheet1[[#This Row],[date_joined]],"mmm")</f>
        <v>Jul</v>
      </c>
      <c r="P1535" s="2" t="str">
        <f>"Q"&amp;ROUNDUP(MONTH(Sheet1[[#This Row],[date_joined]])/3,0)</f>
        <v>Q3</v>
      </c>
      <c r="Q1535" s="2" t="str">
        <f>IF(Sheet1[[#This Row],[age]]&lt;30,"Young",IF(Sheet1[[#This Row],[age]]&lt;=50,"Adult","Senior"))</f>
        <v>Adult</v>
      </c>
      <c r="R1535" s="2" t="str">
        <f t="shared" si="46"/>
        <v>Very High</v>
      </c>
      <c r="S1535" s="2" t="str">
        <f t="shared" si="47"/>
        <v>Central - Retired</v>
      </c>
    </row>
    <row r="1536" spans="1:19" x14ac:dyDescent="0.3">
      <c r="A1536" t="s">
        <v>3094</v>
      </c>
      <c r="B1536" t="s">
        <v>3095</v>
      </c>
      <c r="C1536">
        <v>56</v>
      </c>
      <c r="D1536" s="2" t="s">
        <v>21</v>
      </c>
      <c r="E1536" s="2" t="s">
        <v>14</v>
      </c>
      <c r="F1536" s="2" t="s">
        <v>31</v>
      </c>
      <c r="G1536" s="2" t="s">
        <v>27</v>
      </c>
      <c r="H1536" s="2" t="s">
        <v>18</v>
      </c>
      <c r="I1536" s="2" t="s">
        <v>17</v>
      </c>
      <c r="J1536">
        <v>0.41</v>
      </c>
      <c r="K1536" s="1">
        <v>43301</v>
      </c>
      <c r="L1536" s="2" t="str">
        <f>IF(Sheet1[[#This Row],[age]]&lt;18, "Under 18",IF(Sheet1[[#This Row],[age]]&lt;=30,"18-30",IF(Sheet1[[#This Row],[age]]&lt;=45,"31-45",IF(Sheet1[[#This Row],[age]]&lt;=60,"46-60","60+"))))</f>
        <v>46-60</v>
      </c>
      <c r="M1536" s="2" t="str">
        <f>IF(Sheet1[[#This Row],[risk_score]]&lt;0.3,"Low",IF(Sheet1[[#This Row],[risk_score]]&lt;0.7,"Medium","High"))</f>
        <v>Medium</v>
      </c>
      <c r="N1536">
        <f>YEAR(Sheet1[[#This Row],[date_joined]])</f>
        <v>2018</v>
      </c>
      <c r="O1536" s="2" t="str">
        <f>TEXT(Sheet1[[#This Row],[date_joined]],"mmm")</f>
        <v>Jul</v>
      </c>
      <c r="P1536" s="2" t="str">
        <f>"Q"&amp;ROUNDUP(MONTH(Sheet1[[#This Row],[date_joined]])/3,0)</f>
        <v>Q3</v>
      </c>
      <c r="Q1536" s="2" t="str">
        <f>IF(Sheet1[[#This Row],[age]]&lt;30,"Young",IF(Sheet1[[#This Row],[age]]&lt;=50,"Adult","Senior"))</f>
        <v>Senior</v>
      </c>
      <c r="R1536" s="2" t="str">
        <f t="shared" si="46"/>
        <v>High</v>
      </c>
      <c r="S1536" s="2" t="str">
        <f t="shared" si="47"/>
        <v>North - Self-employed</v>
      </c>
    </row>
    <row r="1537" spans="1:19" x14ac:dyDescent="0.3">
      <c r="A1537" t="s">
        <v>3096</v>
      </c>
      <c r="B1537" t="s">
        <v>3097</v>
      </c>
      <c r="C1537">
        <v>64</v>
      </c>
      <c r="D1537" s="2" t="s">
        <v>21</v>
      </c>
      <c r="E1537" s="2" t="s">
        <v>22</v>
      </c>
      <c r="F1537" s="2" t="s">
        <v>37</v>
      </c>
      <c r="G1537" s="2" t="s">
        <v>66</v>
      </c>
      <c r="H1537" s="2" t="s">
        <v>17</v>
      </c>
      <c r="I1537" s="2" t="s">
        <v>18</v>
      </c>
      <c r="J1537">
        <v>0.48</v>
      </c>
      <c r="K1537" s="1">
        <v>43925</v>
      </c>
      <c r="L1537" s="2" t="str">
        <f>IF(Sheet1[[#This Row],[age]]&lt;18, "Under 18",IF(Sheet1[[#This Row],[age]]&lt;=30,"18-30",IF(Sheet1[[#This Row],[age]]&lt;=45,"31-45",IF(Sheet1[[#This Row],[age]]&lt;=60,"46-60","60+"))))</f>
        <v>60+</v>
      </c>
      <c r="M1537" s="2" t="str">
        <f>IF(Sheet1[[#This Row],[risk_score]]&lt;0.3,"Low",IF(Sheet1[[#This Row],[risk_score]]&lt;0.7,"Medium","High"))</f>
        <v>Medium</v>
      </c>
      <c r="N1537">
        <f>YEAR(Sheet1[[#This Row],[date_joined]])</f>
        <v>2020</v>
      </c>
      <c r="O1537" s="2" t="str">
        <f>TEXT(Sheet1[[#This Row],[date_joined]],"mmm")</f>
        <v>Apr</v>
      </c>
      <c r="P1537" s="2" t="str">
        <f>"Q"&amp;ROUNDUP(MONTH(Sheet1[[#This Row],[date_joined]])/3,0)</f>
        <v>Q2</v>
      </c>
      <c r="Q1537" s="2" t="str">
        <f>IF(Sheet1[[#This Row],[age]]&lt;30,"Young",IF(Sheet1[[#This Row],[age]]&lt;=50,"Adult","Senior"))</f>
        <v>Senior</v>
      </c>
      <c r="R1537" s="2" t="str">
        <f t="shared" si="46"/>
        <v>High</v>
      </c>
      <c r="S1537" s="2" t="str">
        <f t="shared" si="47"/>
        <v>North-East - Retired</v>
      </c>
    </row>
    <row r="1538" spans="1:19" x14ac:dyDescent="0.3">
      <c r="A1538" t="s">
        <v>3098</v>
      </c>
      <c r="B1538" t="s">
        <v>3099</v>
      </c>
      <c r="C1538">
        <v>64</v>
      </c>
      <c r="D1538" s="2" t="s">
        <v>13</v>
      </c>
      <c r="E1538" s="2" t="s">
        <v>22</v>
      </c>
      <c r="F1538" s="2" t="s">
        <v>31</v>
      </c>
      <c r="G1538" s="2" t="s">
        <v>27</v>
      </c>
      <c r="H1538" s="2" t="s">
        <v>18</v>
      </c>
      <c r="I1538" s="2" t="s">
        <v>18</v>
      </c>
      <c r="J1538">
        <v>0.3</v>
      </c>
      <c r="K1538" s="1">
        <v>44669</v>
      </c>
      <c r="L1538" s="2" t="str">
        <f>IF(Sheet1[[#This Row],[age]]&lt;18, "Under 18",IF(Sheet1[[#This Row],[age]]&lt;=30,"18-30",IF(Sheet1[[#This Row],[age]]&lt;=45,"31-45",IF(Sheet1[[#This Row],[age]]&lt;=60,"46-60","60+"))))</f>
        <v>60+</v>
      </c>
      <c r="M1538" s="2" t="str">
        <f>IF(Sheet1[[#This Row],[risk_score]]&lt;0.3,"Low",IF(Sheet1[[#This Row],[risk_score]]&lt;0.7,"Medium","High"))</f>
        <v>Medium</v>
      </c>
      <c r="N1538">
        <f>YEAR(Sheet1[[#This Row],[date_joined]])</f>
        <v>2022</v>
      </c>
      <c r="O1538" s="2" t="str">
        <f>TEXT(Sheet1[[#This Row],[date_joined]],"mmm")</f>
        <v>Apr</v>
      </c>
      <c r="P1538" s="2" t="str">
        <f>"Q"&amp;ROUNDUP(MONTH(Sheet1[[#This Row],[date_joined]])/3,0)</f>
        <v>Q2</v>
      </c>
      <c r="Q1538" s="2" t="str">
        <f>IF(Sheet1[[#This Row],[age]]&lt;30,"Young",IF(Sheet1[[#This Row],[age]]&lt;=50,"Adult","Senior"))</f>
        <v>Senior</v>
      </c>
      <c r="R1538" s="2" t="str">
        <f t="shared" ref="R1538:R1601" si="48">IF(AND(H1538="Yes",I1538="Yes"),"Very High",
IF(OR(H1538="Yes",I1538="Yes"),"High","Low"))</f>
        <v>Very High</v>
      </c>
      <c r="S1538" s="2" t="str">
        <f t="shared" ref="S1538:S1601" si="49">G1538&amp;" - "&amp;F1538</f>
        <v>North - Self-employed</v>
      </c>
    </row>
    <row r="1539" spans="1:19" x14ac:dyDescent="0.3">
      <c r="A1539" t="s">
        <v>3100</v>
      </c>
      <c r="B1539" t="s">
        <v>3101</v>
      </c>
      <c r="C1539">
        <v>24</v>
      </c>
      <c r="D1539" s="2" t="s">
        <v>13</v>
      </c>
      <c r="E1539" s="2" t="s">
        <v>30</v>
      </c>
      <c r="F1539" s="2" t="s">
        <v>31</v>
      </c>
      <c r="G1539" s="2" t="s">
        <v>81</v>
      </c>
      <c r="H1539" s="2" t="s">
        <v>18</v>
      </c>
      <c r="I1539" s="2" t="s">
        <v>18</v>
      </c>
      <c r="J1539">
        <v>0.44</v>
      </c>
      <c r="K1539" s="1">
        <v>43375</v>
      </c>
      <c r="L1539" s="2" t="str">
        <f>IF(Sheet1[[#This Row],[age]]&lt;18, "Under 18",IF(Sheet1[[#This Row],[age]]&lt;=30,"18-30",IF(Sheet1[[#This Row],[age]]&lt;=45,"31-45",IF(Sheet1[[#This Row],[age]]&lt;=60,"46-60","60+"))))</f>
        <v>18-30</v>
      </c>
      <c r="M1539" s="2" t="str">
        <f>IF(Sheet1[[#This Row],[risk_score]]&lt;0.3,"Low",IF(Sheet1[[#This Row],[risk_score]]&lt;0.7,"Medium","High"))</f>
        <v>Medium</v>
      </c>
      <c r="N1539">
        <f>YEAR(Sheet1[[#This Row],[date_joined]])</f>
        <v>2018</v>
      </c>
      <c r="O1539" s="2" t="str">
        <f>TEXT(Sheet1[[#This Row],[date_joined]],"mmm")</f>
        <v>Oct</v>
      </c>
      <c r="P1539" s="2" t="str">
        <f>"Q"&amp;ROUNDUP(MONTH(Sheet1[[#This Row],[date_joined]])/3,0)</f>
        <v>Q4</v>
      </c>
      <c r="Q1539" s="2" t="str">
        <f>IF(Sheet1[[#This Row],[age]]&lt;30,"Young",IF(Sheet1[[#This Row],[age]]&lt;=50,"Adult","Senior"))</f>
        <v>Young</v>
      </c>
      <c r="R1539" s="2" t="str">
        <f t="shared" si="48"/>
        <v>Very High</v>
      </c>
      <c r="S1539" s="2" t="str">
        <f t="shared" si="49"/>
        <v>Central - Self-employed</v>
      </c>
    </row>
    <row r="1540" spans="1:19" x14ac:dyDescent="0.3">
      <c r="A1540" t="s">
        <v>3102</v>
      </c>
      <c r="B1540" t="s">
        <v>3103</v>
      </c>
      <c r="C1540">
        <v>21</v>
      </c>
      <c r="D1540" s="2" t="s">
        <v>21</v>
      </c>
      <c r="E1540" s="2" t="s">
        <v>30</v>
      </c>
      <c r="F1540" s="2" t="s">
        <v>23</v>
      </c>
      <c r="G1540" s="2" t="s">
        <v>66</v>
      </c>
      <c r="H1540" s="2" t="s">
        <v>18</v>
      </c>
      <c r="I1540" s="2" t="s">
        <v>18</v>
      </c>
      <c r="J1540">
        <v>0.41</v>
      </c>
      <c r="K1540" s="1">
        <v>43349</v>
      </c>
      <c r="L1540" s="2" t="str">
        <f>IF(Sheet1[[#This Row],[age]]&lt;18, "Under 18",IF(Sheet1[[#This Row],[age]]&lt;=30,"18-30",IF(Sheet1[[#This Row],[age]]&lt;=45,"31-45",IF(Sheet1[[#This Row],[age]]&lt;=60,"46-60","60+"))))</f>
        <v>18-30</v>
      </c>
      <c r="M1540" s="2" t="str">
        <f>IF(Sheet1[[#This Row],[risk_score]]&lt;0.3,"Low",IF(Sheet1[[#This Row],[risk_score]]&lt;0.7,"Medium","High"))</f>
        <v>Medium</v>
      </c>
      <c r="N1540">
        <f>YEAR(Sheet1[[#This Row],[date_joined]])</f>
        <v>2018</v>
      </c>
      <c r="O1540" s="2" t="str">
        <f>TEXT(Sheet1[[#This Row],[date_joined]],"mmm")</f>
        <v>Sep</v>
      </c>
      <c r="P1540" s="2" t="str">
        <f>"Q"&amp;ROUNDUP(MONTH(Sheet1[[#This Row],[date_joined]])/3,0)</f>
        <v>Q3</v>
      </c>
      <c r="Q1540" s="2" t="str">
        <f>IF(Sheet1[[#This Row],[age]]&lt;30,"Young",IF(Sheet1[[#This Row],[age]]&lt;=50,"Adult","Senior"))</f>
        <v>Young</v>
      </c>
      <c r="R1540" s="2" t="str">
        <f t="shared" si="48"/>
        <v>Very High</v>
      </c>
      <c r="S1540" s="2" t="str">
        <f t="shared" si="49"/>
        <v>North-East - Salaried</v>
      </c>
    </row>
    <row r="1541" spans="1:19" x14ac:dyDescent="0.3">
      <c r="A1541" t="s">
        <v>3104</v>
      </c>
      <c r="B1541" t="s">
        <v>3105</v>
      </c>
      <c r="C1541">
        <v>30</v>
      </c>
      <c r="D1541" s="2" t="s">
        <v>21</v>
      </c>
      <c r="E1541" s="2" t="s">
        <v>22</v>
      </c>
      <c r="F1541" s="2" t="s">
        <v>23</v>
      </c>
      <c r="G1541" s="2" t="s">
        <v>27</v>
      </c>
      <c r="H1541" s="2" t="s">
        <v>18</v>
      </c>
      <c r="I1541" s="2" t="s">
        <v>17</v>
      </c>
      <c r="J1541">
        <v>0.39</v>
      </c>
      <c r="K1541" s="1">
        <v>44296</v>
      </c>
      <c r="L1541" s="2" t="str">
        <f>IF(Sheet1[[#This Row],[age]]&lt;18, "Under 18",IF(Sheet1[[#This Row],[age]]&lt;=30,"18-30",IF(Sheet1[[#This Row],[age]]&lt;=45,"31-45",IF(Sheet1[[#This Row],[age]]&lt;=60,"46-60","60+"))))</f>
        <v>18-30</v>
      </c>
      <c r="M1541" s="2" t="str">
        <f>IF(Sheet1[[#This Row],[risk_score]]&lt;0.3,"Low",IF(Sheet1[[#This Row],[risk_score]]&lt;0.7,"Medium","High"))</f>
        <v>Medium</v>
      </c>
      <c r="N1541">
        <f>YEAR(Sheet1[[#This Row],[date_joined]])</f>
        <v>2021</v>
      </c>
      <c r="O1541" s="2" t="str">
        <f>TEXT(Sheet1[[#This Row],[date_joined]],"mmm")</f>
        <v>Apr</v>
      </c>
      <c r="P1541" s="2" t="str">
        <f>"Q"&amp;ROUNDUP(MONTH(Sheet1[[#This Row],[date_joined]])/3,0)</f>
        <v>Q2</v>
      </c>
      <c r="Q1541" s="2" t="str">
        <f>IF(Sheet1[[#This Row],[age]]&lt;30,"Young",IF(Sheet1[[#This Row],[age]]&lt;=50,"Adult","Senior"))</f>
        <v>Adult</v>
      </c>
      <c r="R1541" s="2" t="str">
        <f t="shared" si="48"/>
        <v>High</v>
      </c>
      <c r="S1541" s="2" t="str">
        <f t="shared" si="49"/>
        <v>North - Salaried</v>
      </c>
    </row>
    <row r="1542" spans="1:19" x14ac:dyDescent="0.3">
      <c r="A1542" t="s">
        <v>3106</v>
      </c>
      <c r="B1542" t="s">
        <v>3107</v>
      </c>
      <c r="C1542">
        <v>66</v>
      </c>
      <c r="D1542" s="2" t="s">
        <v>21</v>
      </c>
      <c r="E1542" s="2" t="s">
        <v>22</v>
      </c>
      <c r="F1542" s="2" t="s">
        <v>31</v>
      </c>
      <c r="G1542" s="2" t="s">
        <v>81</v>
      </c>
      <c r="H1542" s="2" t="s">
        <v>17</v>
      </c>
      <c r="I1542" s="2" t="s">
        <v>18</v>
      </c>
      <c r="J1542">
        <v>0</v>
      </c>
      <c r="K1542" s="1">
        <v>44707</v>
      </c>
      <c r="L1542" s="2" t="str">
        <f>IF(Sheet1[[#This Row],[age]]&lt;18, "Under 18",IF(Sheet1[[#This Row],[age]]&lt;=30,"18-30",IF(Sheet1[[#This Row],[age]]&lt;=45,"31-45",IF(Sheet1[[#This Row],[age]]&lt;=60,"46-60","60+"))))</f>
        <v>60+</v>
      </c>
      <c r="M1542" s="2" t="str">
        <f>IF(Sheet1[[#This Row],[risk_score]]&lt;0.3,"Low",IF(Sheet1[[#This Row],[risk_score]]&lt;0.7,"Medium","High"))</f>
        <v>Low</v>
      </c>
      <c r="N1542">
        <f>YEAR(Sheet1[[#This Row],[date_joined]])</f>
        <v>2022</v>
      </c>
      <c r="O1542" s="2" t="str">
        <f>TEXT(Sheet1[[#This Row],[date_joined]],"mmm")</f>
        <v>May</v>
      </c>
      <c r="P1542" s="2" t="str">
        <f>"Q"&amp;ROUNDUP(MONTH(Sheet1[[#This Row],[date_joined]])/3,0)</f>
        <v>Q2</v>
      </c>
      <c r="Q1542" s="2" t="str">
        <f>IF(Sheet1[[#This Row],[age]]&lt;30,"Young",IF(Sheet1[[#This Row],[age]]&lt;=50,"Adult","Senior"))</f>
        <v>Senior</v>
      </c>
      <c r="R1542" s="2" t="str">
        <f t="shared" si="48"/>
        <v>High</v>
      </c>
      <c r="S1542" s="2" t="str">
        <f t="shared" si="49"/>
        <v>Central - Self-employed</v>
      </c>
    </row>
    <row r="1543" spans="1:19" x14ac:dyDescent="0.3">
      <c r="A1543" t="s">
        <v>3108</v>
      </c>
      <c r="B1543" t="s">
        <v>3109</v>
      </c>
      <c r="C1543">
        <v>21</v>
      </c>
      <c r="D1543" s="2" t="s">
        <v>21</v>
      </c>
      <c r="E1543" s="2" t="s">
        <v>22</v>
      </c>
      <c r="F1543" s="2" t="s">
        <v>31</v>
      </c>
      <c r="G1543" s="2" t="s">
        <v>27</v>
      </c>
      <c r="H1543" s="2" t="s">
        <v>18</v>
      </c>
      <c r="I1543" s="2" t="s">
        <v>18</v>
      </c>
      <c r="J1543">
        <v>0.33</v>
      </c>
      <c r="K1543" s="1">
        <v>45046</v>
      </c>
      <c r="L1543" s="2" t="str">
        <f>IF(Sheet1[[#This Row],[age]]&lt;18, "Under 18",IF(Sheet1[[#This Row],[age]]&lt;=30,"18-30",IF(Sheet1[[#This Row],[age]]&lt;=45,"31-45",IF(Sheet1[[#This Row],[age]]&lt;=60,"46-60","60+"))))</f>
        <v>18-30</v>
      </c>
      <c r="M1543" s="2" t="str">
        <f>IF(Sheet1[[#This Row],[risk_score]]&lt;0.3,"Low",IF(Sheet1[[#This Row],[risk_score]]&lt;0.7,"Medium","High"))</f>
        <v>Medium</v>
      </c>
      <c r="N1543">
        <f>YEAR(Sheet1[[#This Row],[date_joined]])</f>
        <v>2023</v>
      </c>
      <c r="O1543" s="2" t="str">
        <f>TEXT(Sheet1[[#This Row],[date_joined]],"mmm")</f>
        <v>Apr</v>
      </c>
      <c r="P1543" s="2" t="str">
        <f>"Q"&amp;ROUNDUP(MONTH(Sheet1[[#This Row],[date_joined]])/3,0)</f>
        <v>Q2</v>
      </c>
      <c r="Q1543" s="2" t="str">
        <f>IF(Sheet1[[#This Row],[age]]&lt;30,"Young",IF(Sheet1[[#This Row],[age]]&lt;=50,"Adult","Senior"))</f>
        <v>Young</v>
      </c>
      <c r="R1543" s="2" t="str">
        <f t="shared" si="48"/>
        <v>Very High</v>
      </c>
      <c r="S1543" s="2" t="str">
        <f t="shared" si="49"/>
        <v>North - Self-employed</v>
      </c>
    </row>
    <row r="1544" spans="1:19" x14ac:dyDescent="0.3">
      <c r="A1544" t="s">
        <v>3110</v>
      </c>
      <c r="B1544" t="s">
        <v>3111</v>
      </c>
      <c r="C1544">
        <v>40</v>
      </c>
      <c r="D1544" s="2" t="s">
        <v>21</v>
      </c>
      <c r="E1544" s="2" t="s">
        <v>22</v>
      </c>
      <c r="F1544" s="2" t="s">
        <v>23</v>
      </c>
      <c r="G1544" s="2" t="s">
        <v>24</v>
      </c>
      <c r="H1544" s="2" t="s">
        <v>17</v>
      </c>
      <c r="I1544" s="2" t="s">
        <v>18</v>
      </c>
      <c r="J1544">
        <v>0.78</v>
      </c>
      <c r="K1544" s="1">
        <v>43282</v>
      </c>
      <c r="L1544" s="2" t="str">
        <f>IF(Sheet1[[#This Row],[age]]&lt;18, "Under 18",IF(Sheet1[[#This Row],[age]]&lt;=30,"18-30",IF(Sheet1[[#This Row],[age]]&lt;=45,"31-45",IF(Sheet1[[#This Row],[age]]&lt;=60,"46-60","60+"))))</f>
        <v>31-45</v>
      </c>
      <c r="M1544" s="2" t="str">
        <f>IF(Sheet1[[#This Row],[risk_score]]&lt;0.3,"Low",IF(Sheet1[[#This Row],[risk_score]]&lt;0.7,"Medium","High"))</f>
        <v>High</v>
      </c>
      <c r="N1544">
        <f>YEAR(Sheet1[[#This Row],[date_joined]])</f>
        <v>2018</v>
      </c>
      <c r="O1544" s="2" t="str">
        <f>TEXT(Sheet1[[#This Row],[date_joined]],"mmm")</f>
        <v>Jul</v>
      </c>
      <c r="P1544" s="2" t="str">
        <f>"Q"&amp;ROUNDUP(MONTH(Sheet1[[#This Row],[date_joined]])/3,0)</f>
        <v>Q3</v>
      </c>
      <c r="Q1544" s="2" t="str">
        <f>IF(Sheet1[[#This Row],[age]]&lt;30,"Young",IF(Sheet1[[#This Row],[age]]&lt;=50,"Adult","Senior"))</f>
        <v>Adult</v>
      </c>
      <c r="R1544" s="2" t="str">
        <f t="shared" si="48"/>
        <v>High</v>
      </c>
      <c r="S1544" s="2" t="str">
        <f t="shared" si="49"/>
        <v>East - Salaried</v>
      </c>
    </row>
    <row r="1545" spans="1:19" x14ac:dyDescent="0.3">
      <c r="A1545" t="s">
        <v>3112</v>
      </c>
      <c r="B1545" t="s">
        <v>3113</v>
      </c>
      <c r="C1545">
        <v>51</v>
      </c>
      <c r="D1545" s="2" t="s">
        <v>21</v>
      </c>
      <c r="E1545" s="2" t="s">
        <v>22</v>
      </c>
      <c r="F1545" s="2" t="s">
        <v>31</v>
      </c>
      <c r="G1545" s="2" t="s">
        <v>81</v>
      </c>
      <c r="H1545" s="2" t="s">
        <v>17</v>
      </c>
      <c r="I1545" s="2" t="s">
        <v>18</v>
      </c>
      <c r="J1545">
        <v>0.41</v>
      </c>
      <c r="K1545" s="1">
        <v>43468</v>
      </c>
      <c r="L1545" s="2" t="str">
        <f>IF(Sheet1[[#This Row],[age]]&lt;18, "Under 18",IF(Sheet1[[#This Row],[age]]&lt;=30,"18-30",IF(Sheet1[[#This Row],[age]]&lt;=45,"31-45",IF(Sheet1[[#This Row],[age]]&lt;=60,"46-60","60+"))))</f>
        <v>46-60</v>
      </c>
      <c r="M1545" s="2" t="str">
        <f>IF(Sheet1[[#This Row],[risk_score]]&lt;0.3,"Low",IF(Sheet1[[#This Row],[risk_score]]&lt;0.7,"Medium","High"))</f>
        <v>Medium</v>
      </c>
      <c r="N1545">
        <f>YEAR(Sheet1[[#This Row],[date_joined]])</f>
        <v>2019</v>
      </c>
      <c r="O1545" s="2" t="str">
        <f>TEXT(Sheet1[[#This Row],[date_joined]],"mmm")</f>
        <v>Jan</v>
      </c>
      <c r="P1545" s="2" t="str">
        <f>"Q"&amp;ROUNDUP(MONTH(Sheet1[[#This Row],[date_joined]])/3,0)</f>
        <v>Q1</v>
      </c>
      <c r="Q1545" s="2" t="str">
        <f>IF(Sheet1[[#This Row],[age]]&lt;30,"Young",IF(Sheet1[[#This Row],[age]]&lt;=50,"Adult","Senior"))</f>
        <v>Senior</v>
      </c>
      <c r="R1545" s="2" t="str">
        <f t="shared" si="48"/>
        <v>High</v>
      </c>
      <c r="S1545" s="2" t="str">
        <f t="shared" si="49"/>
        <v>Central - Self-employed</v>
      </c>
    </row>
    <row r="1546" spans="1:19" x14ac:dyDescent="0.3">
      <c r="A1546" t="s">
        <v>3114</v>
      </c>
      <c r="B1546" t="s">
        <v>3115</v>
      </c>
      <c r="C1546">
        <v>52</v>
      </c>
      <c r="D1546" s="2" t="s">
        <v>13</v>
      </c>
      <c r="E1546" s="2" t="s">
        <v>30</v>
      </c>
      <c r="F1546" s="2" t="s">
        <v>15</v>
      </c>
      <c r="G1546" s="2" t="s">
        <v>32</v>
      </c>
      <c r="H1546" s="2" t="s">
        <v>18</v>
      </c>
      <c r="I1546" s="2" t="s">
        <v>18</v>
      </c>
      <c r="J1546">
        <v>0.55000000000000004</v>
      </c>
      <c r="K1546" s="1">
        <v>45229</v>
      </c>
      <c r="L1546" s="2" t="str">
        <f>IF(Sheet1[[#This Row],[age]]&lt;18, "Under 18",IF(Sheet1[[#This Row],[age]]&lt;=30,"18-30",IF(Sheet1[[#This Row],[age]]&lt;=45,"31-45",IF(Sheet1[[#This Row],[age]]&lt;=60,"46-60","60+"))))</f>
        <v>46-60</v>
      </c>
      <c r="M1546" s="2" t="str">
        <f>IF(Sheet1[[#This Row],[risk_score]]&lt;0.3,"Low",IF(Sheet1[[#This Row],[risk_score]]&lt;0.7,"Medium","High"))</f>
        <v>Medium</v>
      </c>
      <c r="N1546">
        <f>YEAR(Sheet1[[#This Row],[date_joined]])</f>
        <v>2023</v>
      </c>
      <c r="O1546" s="2" t="str">
        <f>TEXT(Sheet1[[#This Row],[date_joined]],"mmm")</f>
        <v>Oct</v>
      </c>
      <c r="P1546" s="2" t="str">
        <f>"Q"&amp;ROUNDUP(MONTH(Sheet1[[#This Row],[date_joined]])/3,0)</f>
        <v>Q4</v>
      </c>
      <c r="Q1546" s="2" t="str">
        <f>IF(Sheet1[[#This Row],[age]]&lt;30,"Young",IF(Sheet1[[#This Row],[age]]&lt;=50,"Adult","Senior"))</f>
        <v>Senior</v>
      </c>
      <c r="R1546" s="2" t="str">
        <f t="shared" si="48"/>
        <v>Very High</v>
      </c>
      <c r="S1546" s="2" t="str">
        <f t="shared" si="49"/>
        <v>South - Student</v>
      </c>
    </row>
    <row r="1547" spans="1:19" x14ac:dyDescent="0.3">
      <c r="A1547" t="s">
        <v>3116</v>
      </c>
      <c r="B1547" t="s">
        <v>3117</v>
      </c>
      <c r="C1547">
        <v>62</v>
      </c>
      <c r="D1547" s="2" t="s">
        <v>13</v>
      </c>
      <c r="E1547" s="2" t="s">
        <v>30</v>
      </c>
      <c r="F1547" s="2" t="s">
        <v>15</v>
      </c>
      <c r="G1547" s="2" t="s">
        <v>24</v>
      </c>
      <c r="H1547" s="2" t="s">
        <v>18</v>
      </c>
      <c r="I1547" s="2" t="s">
        <v>17</v>
      </c>
      <c r="J1547">
        <v>0.39</v>
      </c>
      <c r="K1547" s="1">
        <v>43315</v>
      </c>
      <c r="L1547" s="2" t="str">
        <f>IF(Sheet1[[#This Row],[age]]&lt;18, "Under 18",IF(Sheet1[[#This Row],[age]]&lt;=30,"18-30",IF(Sheet1[[#This Row],[age]]&lt;=45,"31-45",IF(Sheet1[[#This Row],[age]]&lt;=60,"46-60","60+"))))</f>
        <v>60+</v>
      </c>
      <c r="M1547" s="2" t="str">
        <f>IF(Sheet1[[#This Row],[risk_score]]&lt;0.3,"Low",IF(Sheet1[[#This Row],[risk_score]]&lt;0.7,"Medium","High"))</f>
        <v>Medium</v>
      </c>
      <c r="N1547">
        <f>YEAR(Sheet1[[#This Row],[date_joined]])</f>
        <v>2018</v>
      </c>
      <c r="O1547" s="2" t="str">
        <f>TEXT(Sheet1[[#This Row],[date_joined]],"mmm")</f>
        <v>Aug</v>
      </c>
      <c r="P1547" s="2" t="str">
        <f>"Q"&amp;ROUNDUP(MONTH(Sheet1[[#This Row],[date_joined]])/3,0)</f>
        <v>Q3</v>
      </c>
      <c r="Q1547" s="2" t="str">
        <f>IF(Sheet1[[#This Row],[age]]&lt;30,"Young",IF(Sheet1[[#This Row],[age]]&lt;=50,"Adult","Senior"))</f>
        <v>Senior</v>
      </c>
      <c r="R1547" s="2" t="str">
        <f t="shared" si="48"/>
        <v>High</v>
      </c>
      <c r="S1547" s="2" t="str">
        <f t="shared" si="49"/>
        <v>East - Student</v>
      </c>
    </row>
    <row r="1548" spans="1:19" x14ac:dyDescent="0.3">
      <c r="A1548" t="s">
        <v>3118</v>
      </c>
      <c r="B1548" t="s">
        <v>3119</v>
      </c>
      <c r="C1548">
        <v>40</v>
      </c>
      <c r="D1548" s="2" t="s">
        <v>13</v>
      </c>
      <c r="E1548" s="2" t="s">
        <v>14</v>
      </c>
      <c r="F1548" s="2" t="s">
        <v>23</v>
      </c>
      <c r="G1548" s="2" t="s">
        <v>66</v>
      </c>
      <c r="H1548" s="2" t="s">
        <v>18</v>
      </c>
      <c r="I1548" s="2" t="s">
        <v>17</v>
      </c>
      <c r="J1548">
        <v>0.6</v>
      </c>
      <c r="K1548" s="1">
        <v>44371</v>
      </c>
      <c r="L1548" s="2" t="str">
        <f>IF(Sheet1[[#This Row],[age]]&lt;18, "Under 18",IF(Sheet1[[#This Row],[age]]&lt;=30,"18-30",IF(Sheet1[[#This Row],[age]]&lt;=45,"31-45",IF(Sheet1[[#This Row],[age]]&lt;=60,"46-60","60+"))))</f>
        <v>31-45</v>
      </c>
      <c r="M1548" s="2" t="str">
        <f>IF(Sheet1[[#This Row],[risk_score]]&lt;0.3,"Low",IF(Sheet1[[#This Row],[risk_score]]&lt;0.7,"Medium","High"))</f>
        <v>Medium</v>
      </c>
      <c r="N1548">
        <f>YEAR(Sheet1[[#This Row],[date_joined]])</f>
        <v>2021</v>
      </c>
      <c r="O1548" s="2" t="str">
        <f>TEXT(Sheet1[[#This Row],[date_joined]],"mmm")</f>
        <v>Jun</v>
      </c>
      <c r="P1548" s="2" t="str">
        <f>"Q"&amp;ROUNDUP(MONTH(Sheet1[[#This Row],[date_joined]])/3,0)</f>
        <v>Q2</v>
      </c>
      <c r="Q1548" s="2" t="str">
        <f>IF(Sheet1[[#This Row],[age]]&lt;30,"Young",IF(Sheet1[[#This Row],[age]]&lt;=50,"Adult","Senior"))</f>
        <v>Adult</v>
      </c>
      <c r="R1548" s="2" t="str">
        <f t="shared" si="48"/>
        <v>High</v>
      </c>
      <c r="S1548" s="2" t="str">
        <f t="shared" si="49"/>
        <v>North-East - Salaried</v>
      </c>
    </row>
    <row r="1549" spans="1:19" x14ac:dyDescent="0.3">
      <c r="A1549" t="s">
        <v>3120</v>
      </c>
      <c r="B1549" t="s">
        <v>3121</v>
      </c>
      <c r="C1549">
        <v>58</v>
      </c>
      <c r="D1549" s="2" t="s">
        <v>13</v>
      </c>
      <c r="E1549" s="2" t="s">
        <v>14</v>
      </c>
      <c r="F1549" s="2" t="s">
        <v>23</v>
      </c>
      <c r="G1549" s="2" t="s">
        <v>66</v>
      </c>
      <c r="H1549" s="2" t="s">
        <v>17</v>
      </c>
      <c r="I1549" s="2" t="s">
        <v>17</v>
      </c>
      <c r="J1549">
        <v>0.62</v>
      </c>
      <c r="K1549" s="1">
        <v>44445</v>
      </c>
      <c r="L1549" s="2" t="str">
        <f>IF(Sheet1[[#This Row],[age]]&lt;18, "Under 18",IF(Sheet1[[#This Row],[age]]&lt;=30,"18-30",IF(Sheet1[[#This Row],[age]]&lt;=45,"31-45",IF(Sheet1[[#This Row],[age]]&lt;=60,"46-60","60+"))))</f>
        <v>46-60</v>
      </c>
      <c r="M1549" s="2" t="str">
        <f>IF(Sheet1[[#This Row],[risk_score]]&lt;0.3,"Low",IF(Sheet1[[#This Row],[risk_score]]&lt;0.7,"Medium","High"))</f>
        <v>Medium</v>
      </c>
      <c r="N1549">
        <f>YEAR(Sheet1[[#This Row],[date_joined]])</f>
        <v>2021</v>
      </c>
      <c r="O1549" s="2" t="str">
        <f>TEXT(Sheet1[[#This Row],[date_joined]],"mmm")</f>
        <v>Sep</v>
      </c>
      <c r="P1549" s="2" t="str">
        <f>"Q"&amp;ROUNDUP(MONTH(Sheet1[[#This Row],[date_joined]])/3,0)</f>
        <v>Q3</v>
      </c>
      <c r="Q1549" s="2" t="str">
        <f>IF(Sheet1[[#This Row],[age]]&lt;30,"Young",IF(Sheet1[[#This Row],[age]]&lt;=50,"Adult","Senior"))</f>
        <v>Senior</v>
      </c>
      <c r="R1549" s="2" t="str">
        <f t="shared" si="48"/>
        <v>Low</v>
      </c>
      <c r="S1549" s="2" t="str">
        <f t="shared" si="49"/>
        <v>North-East - Salaried</v>
      </c>
    </row>
    <row r="1550" spans="1:19" x14ac:dyDescent="0.3">
      <c r="A1550" t="s">
        <v>3122</v>
      </c>
      <c r="B1550" t="s">
        <v>3123</v>
      </c>
      <c r="C1550">
        <v>56</v>
      </c>
      <c r="D1550" s="2" t="s">
        <v>13</v>
      </c>
      <c r="E1550" s="2" t="s">
        <v>14</v>
      </c>
      <c r="F1550" s="2" t="s">
        <v>37</v>
      </c>
      <c r="G1550" s="2" t="s">
        <v>24</v>
      </c>
      <c r="H1550" s="2" t="s">
        <v>18</v>
      </c>
      <c r="I1550" s="2" t="s">
        <v>18</v>
      </c>
      <c r="J1550">
        <v>0.56999999999999995</v>
      </c>
      <c r="K1550" s="1">
        <v>43207</v>
      </c>
      <c r="L1550" s="2" t="str">
        <f>IF(Sheet1[[#This Row],[age]]&lt;18, "Under 18",IF(Sheet1[[#This Row],[age]]&lt;=30,"18-30",IF(Sheet1[[#This Row],[age]]&lt;=45,"31-45",IF(Sheet1[[#This Row],[age]]&lt;=60,"46-60","60+"))))</f>
        <v>46-60</v>
      </c>
      <c r="M1550" s="2" t="str">
        <f>IF(Sheet1[[#This Row],[risk_score]]&lt;0.3,"Low",IF(Sheet1[[#This Row],[risk_score]]&lt;0.7,"Medium","High"))</f>
        <v>Medium</v>
      </c>
      <c r="N1550">
        <f>YEAR(Sheet1[[#This Row],[date_joined]])</f>
        <v>2018</v>
      </c>
      <c r="O1550" s="2" t="str">
        <f>TEXT(Sheet1[[#This Row],[date_joined]],"mmm")</f>
        <v>Apr</v>
      </c>
      <c r="P1550" s="2" t="str">
        <f>"Q"&amp;ROUNDUP(MONTH(Sheet1[[#This Row],[date_joined]])/3,0)</f>
        <v>Q2</v>
      </c>
      <c r="Q1550" s="2" t="str">
        <f>IF(Sheet1[[#This Row],[age]]&lt;30,"Young",IF(Sheet1[[#This Row],[age]]&lt;=50,"Adult","Senior"))</f>
        <v>Senior</v>
      </c>
      <c r="R1550" s="2" t="str">
        <f t="shared" si="48"/>
        <v>Very High</v>
      </c>
      <c r="S1550" s="2" t="str">
        <f t="shared" si="49"/>
        <v>East - Retired</v>
      </c>
    </row>
    <row r="1551" spans="1:19" x14ac:dyDescent="0.3">
      <c r="A1551" t="s">
        <v>3124</v>
      </c>
      <c r="B1551" t="s">
        <v>3125</v>
      </c>
      <c r="C1551">
        <v>52</v>
      </c>
      <c r="D1551" s="2" t="s">
        <v>13</v>
      </c>
      <c r="E1551" s="2" t="s">
        <v>14</v>
      </c>
      <c r="F1551" s="2" t="s">
        <v>23</v>
      </c>
      <c r="G1551" s="2" t="s">
        <v>66</v>
      </c>
      <c r="H1551" s="2" t="s">
        <v>17</v>
      </c>
      <c r="I1551" s="2" t="s">
        <v>18</v>
      </c>
      <c r="J1551">
        <v>1</v>
      </c>
      <c r="K1551" s="1">
        <v>43314</v>
      </c>
      <c r="L1551" s="2" t="str">
        <f>IF(Sheet1[[#This Row],[age]]&lt;18, "Under 18",IF(Sheet1[[#This Row],[age]]&lt;=30,"18-30",IF(Sheet1[[#This Row],[age]]&lt;=45,"31-45",IF(Sheet1[[#This Row],[age]]&lt;=60,"46-60","60+"))))</f>
        <v>46-60</v>
      </c>
      <c r="M1551" s="2" t="str">
        <f>IF(Sheet1[[#This Row],[risk_score]]&lt;0.3,"Low",IF(Sheet1[[#This Row],[risk_score]]&lt;0.7,"Medium","High"))</f>
        <v>High</v>
      </c>
      <c r="N1551">
        <f>YEAR(Sheet1[[#This Row],[date_joined]])</f>
        <v>2018</v>
      </c>
      <c r="O1551" s="2" t="str">
        <f>TEXT(Sheet1[[#This Row],[date_joined]],"mmm")</f>
        <v>Aug</v>
      </c>
      <c r="P1551" s="2" t="str">
        <f>"Q"&amp;ROUNDUP(MONTH(Sheet1[[#This Row],[date_joined]])/3,0)</f>
        <v>Q3</v>
      </c>
      <c r="Q1551" s="2" t="str">
        <f>IF(Sheet1[[#This Row],[age]]&lt;30,"Young",IF(Sheet1[[#This Row],[age]]&lt;=50,"Adult","Senior"))</f>
        <v>Senior</v>
      </c>
      <c r="R1551" s="2" t="str">
        <f t="shared" si="48"/>
        <v>High</v>
      </c>
      <c r="S1551" s="2" t="str">
        <f t="shared" si="49"/>
        <v>North-East - Salaried</v>
      </c>
    </row>
    <row r="1552" spans="1:19" x14ac:dyDescent="0.3">
      <c r="A1552" t="s">
        <v>3126</v>
      </c>
      <c r="B1552" t="s">
        <v>3127</v>
      </c>
      <c r="C1552">
        <v>63</v>
      </c>
      <c r="D1552" s="2" t="s">
        <v>13</v>
      </c>
      <c r="E1552" s="2" t="s">
        <v>22</v>
      </c>
      <c r="F1552" s="2" t="s">
        <v>15</v>
      </c>
      <c r="G1552" s="2" t="s">
        <v>32</v>
      </c>
      <c r="H1552" s="2" t="s">
        <v>18</v>
      </c>
      <c r="I1552" s="2" t="s">
        <v>18</v>
      </c>
      <c r="J1552">
        <v>0.65</v>
      </c>
      <c r="K1552" s="1">
        <v>43716</v>
      </c>
      <c r="L1552" s="2" t="str">
        <f>IF(Sheet1[[#This Row],[age]]&lt;18, "Under 18",IF(Sheet1[[#This Row],[age]]&lt;=30,"18-30",IF(Sheet1[[#This Row],[age]]&lt;=45,"31-45",IF(Sheet1[[#This Row],[age]]&lt;=60,"46-60","60+"))))</f>
        <v>60+</v>
      </c>
      <c r="M1552" s="2" t="str">
        <f>IF(Sheet1[[#This Row],[risk_score]]&lt;0.3,"Low",IF(Sheet1[[#This Row],[risk_score]]&lt;0.7,"Medium","High"))</f>
        <v>Medium</v>
      </c>
      <c r="N1552">
        <f>YEAR(Sheet1[[#This Row],[date_joined]])</f>
        <v>2019</v>
      </c>
      <c r="O1552" s="2" t="str">
        <f>TEXT(Sheet1[[#This Row],[date_joined]],"mmm")</f>
        <v>Sep</v>
      </c>
      <c r="P1552" s="2" t="str">
        <f>"Q"&amp;ROUNDUP(MONTH(Sheet1[[#This Row],[date_joined]])/3,0)</f>
        <v>Q3</v>
      </c>
      <c r="Q1552" s="2" t="str">
        <f>IF(Sheet1[[#This Row],[age]]&lt;30,"Young",IF(Sheet1[[#This Row],[age]]&lt;=50,"Adult","Senior"))</f>
        <v>Senior</v>
      </c>
      <c r="R1552" s="2" t="str">
        <f t="shared" si="48"/>
        <v>Very High</v>
      </c>
      <c r="S1552" s="2" t="str">
        <f t="shared" si="49"/>
        <v>South - Student</v>
      </c>
    </row>
    <row r="1553" spans="1:19" x14ac:dyDescent="0.3">
      <c r="A1553" t="s">
        <v>3128</v>
      </c>
      <c r="B1553" t="s">
        <v>3129</v>
      </c>
      <c r="C1553">
        <v>19</v>
      </c>
      <c r="D1553" s="2" t="s">
        <v>21</v>
      </c>
      <c r="E1553" s="2" t="s">
        <v>14</v>
      </c>
      <c r="F1553" s="2" t="s">
        <v>37</v>
      </c>
      <c r="G1553" s="2" t="s">
        <v>16</v>
      </c>
      <c r="H1553" s="2" t="s">
        <v>17</v>
      </c>
      <c r="I1553" s="2" t="s">
        <v>17</v>
      </c>
      <c r="J1553">
        <v>0.73</v>
      </c>
      <c r="K1553" s="1">
        <v>43569</v>
      </c>
      <c r="L1553" s="2" t="str">
        <f>IF(Sheet1[[#This Row],[age]]&lt;18, "Under 18",IF(Sheet1[[#This Row],[age]]&lt;=30,"18-30",IF(Sheet1[[#This Row],[age]]&lt;=45,"31-45",IF(Sheet1[[#This Row],[age]]&lt;=60,"46-60","60+"))))</f>
        <v>18-30</v>
      </c>
      <c r="M1553" s="2" t="str">
        <f>IF(Sheet1[[#This Row],[risk_score]]&lt;0.3,"Low",IF(Sheet1[[#This Row],[risk_score]]&lt;0.7,"Medium","High"))</f>
        <v>High</v>
      </c>
      <c r="N1553">
        <f>YEAR(Sheet1[[#This Row],[date_joined]])</f>
        <v>2019</v>
      </c>
      <c r="O1553" s="2" t="str">
        <f>TEXT(Sheet1[[#This Row],[date_joined]],"mmm")</f>
        <v>Apr</v>
      </c>
      <c r="P1553" s="2" t="str">
        <f>"Q"&amp;ROUNDUP(MONTH(Sheet1[[#This Row],[date_joined]])/3,0)</f>
        <v>Q2</v>
      </c>
      <c r="Q1553" s="2" t="str">
        <f>IF(Sheet1[[#This Row],[age]]&lt;30,"Young",IF(Sheet1[[#This Row],[age]]&lt;=50,"Adult","Senior"))</f>
        <v>Young</v>
      </c>
      <c r="R1553" s="2" t="str">
        <f t="shared" si="48"/>
        <v>Low</v>
      </c>
      <c r="S1553" s="2" t="str">
        <f t="shared" si="49"/>
        <v>West - Retired</v>
      </c>
    </row>
    <row r="1554" spans="1:19" x14ac:dyDescent="0.3">
      <c r="A1554" t="s">
        <v>3130</v>
      </c>
      <c r="B1554" t="s">
        <v>3131</v>
      </c>
      <c r="C1554">
        <v>66</v>
      </c>
      <c r="D1554" s="2" t="s">
        <v>21</v>
      </c>
      <c r="E1554" s="2" t="s">
        <v>22</v>
      </c>
      <c r="F1554" s="2" t="s">
        <v>31</v>
      </c>
      <c r="G1554" s="2" t="s">
        <v>32</v>
      </c>
      <c r="H1554" s="2" t="s">
        <v>18</v>
      </c>
      <c r="I1554" s="2" t="s">
        <v>18</v>
      </c>
      <c r="J1554">
        <v>0.59</v>
      </c>
      <c r="K1554" s="1">
        <v>43749</v>
      </c>
      <c r="L1554" s="2" t="str">
        <f>IF(Sheet1[[#This Row],[age]]&lt;18, "Under 18",IF(Sheet1[[#This Row],[age]]&lt;=30,"18-30",IF(Sheet1[[#This Row],[age]]&lt;=45,"31-45",IF(Sheet1[[#This Row],[age]]&lt;=60,"46-60","60+"))))</f>
        <v>60+</v>
      </c>
      <c r="M1554" s="2" t="str">
        <f>IF(Sheet1[[#This Row],[risk_score]]&lt;0.3,"Low",IF(Sheet1[[#This Row],[risk_score]]&lt;0.7,"Medium","High"))</f>
        <v>Medium</v>
      </c>
      <c r="N1554">
        <f>YEAR(Sheet1[[#This Row],[date_joined]])</f>
        <v>2019</v>
      </c>
      <c r="O1554" s="2" t="str">
        <f>TEXT(Sheet1[[#This Row],[date_joined]],"mmm")</f>
        <v>Oct</v>
      </c>
      <c r="P1554" s="2" t="str">
        <f>"Q"&amp;ROUNDUP(MONTH(Sheet1[[#This Row],[date_joined]])/3,0)</f>
        <v>Q4</v>
      </c>
      <c r="Q1554" s="2" t="str">
        <f>IF(Sheet1[[#This Row],[age]]&lt;30,"Young",IF(Sheet1[[#This Row],[age]]&lt;=50,"Adult","Senior"))</f>
        <v>Senior</v>
      </c>
      <c r="R1554" s="2" t="str">
        <f t="shared" si="48"/>
        <v>Very High</v>
      </c>
      <c r="S1554" s="2" t="str">
        <f t="shared" si="49"/>
        <v>South - Self-employed</v>
      </c>
    </row>
    <row r="1555" spans="1:19" x14ac:dyDescent="0.3">
      <c r="A1555" t="s">
        <v>3132</v>
      </c>
      <c r="B1555" t="s">
        <v>3133</v>
      </c>
      <c r="C1555">
        <v>52</v>
      </c>
      <c r="D1555" s="2" t="s">
        <v>13</v>
      </c>
      <c r="E1555" s="2" t="s">
        <v>14</v>
      </c>
      <c r="F1555" s="2" t="s">
        <v>31</v>
      </c>
      <c r="G1555" s="2" t="s">
        <v>16</v>
      </c>
      <c r="H1555" s="2" t="s">
        <v>17</v>
      </c>
      <c r="I1555" s="2" t="s">
        <v>17</v>
      </c>
      <c r="J1555">
        <v>0.55000000000000004</v>
      </c>
      <c r="K1555" s="1">
        <v>43757</v>
      </c>
      <c r="L1555" s="2" t="str">
        <f>IF(Sheet1[[#This Row],[age]]&lt;18, "Under 18",IF(Sheet1[[#This Row],[age]]&lt;=30,"18-30",IF(Sheet1[[#This Row],[age]]&lt;=45,"31-45",IF(Sheet1[[#This Row],[age]]&lt;=60,"46-60","60+"))))</f>
        <v>46-60</v>
      </c>
      <c r="M1555" s="2" t="str">
        <f>IF(Sheet1[[#This Row],[risk_score]]&lt;0.3,"Low",IF(Sheet1[[#This Row],[risk_score]]&lt;0.7,"Medium","High"))</f>
        <v>Medium</v>
      </c>
      <c r="N1555">
        <f>YEAR(Sheet1[[#This Row],[date_joined]])</f>
        <v>2019</v>
      </c>
      <c r="O1555" s="2" t="str">
        <f>TEXT(Sheet1[[#This Row],[date_joined]],"mmm")</f>
        <v>Oct</v>
      </c>
      <c r="P1555" s="2" t="str">
        <f>"Q"&amp;ROUNDUP(MONTH(Sheet1[[#This Row],[date_joined]])/3,0)</f>
        <v>Q4</v>
      </c>
      <c r="Q1555" s="2" t="str">
        <f>IF(Sheet1[[#This Row],[age]]&lt;30,"Young",IF(Sheet1[[#This Row],[age]]&lt;=50,"Adult","Senior"))</f>
        <v>Senior</v>
      </c>
      <c r="R1555" s="2" t="str">
        <f t="shared" si="48"/>
        <v>Low</v>
      </c>
      <c r="S1555" s="2" t="str">
        <f t="shared" si="49"/>
        <v>West - Self-employed</v>
      </c>
    </row>
    <row r="1556" spans="1:19" x14ac:dyDescent="0.3">
      <c r="A1556" t="s">
        <v>3134</v>
      </c>
      <c r="B1556" t="s">
        <v>3135</v>
      </c>
      <c r="C1556">
        <v>66</v>
      </c>
      <c r="D1556" s="2" t="s">
        <v>21</v>
      </c>
      <c r="E1556" s="2" t="s">
        <v>30</v>
      </c>
      <c r="F1556" s="2" t="s">
        <v>37</v>
      </c>
      <c r="G1556" s="2" t="s">
        <v>27</v>
      </c>
      <c r="H1556" s="2" t="s">
        <v>18</v>
      </c>
      <c r="I1556" s="2" t="s">
        <v>17</v>
      </c>
      <c r="J1556">
        <v>0.55000000000000004</v>
      </c>
      <c r="K1556" s="1">
        <v>43122</v>
      </c>
      <c r="L1556" s="2" t="str">
        <f>IF(Sheet1[[#This Row],[age]]&lt;18, "Under 18",IF(Sheet1[[#This Row],[age]]&lt;=30,"18-30",IF(Sheet1[[#This Row],[age]]&lt;=45,"31-45",IF(Sheet1[[#This Row],[age]]&lt;=60,"46-60","60+"))))</f>
        <v>60+</v>
      </c>
      <c r="M1556" s="2" t="str">
        <f>IF(Sheet1[[#This Row],[risk_score]]&lt;0.3,"Low",IF(Sheet1[[#This Row],[risk_score]]&lt;0.7,"Medium","High"))</f>
        <v>Medium</v>
      </c>
      <c r="N1556">
        <f>YEAR(Sheet1[[#This Row],[date_joined]])</f>
        <v>2018</v>
      </c>
      <c r="O1556" s="2" t="str">
        <f>TEXT(Sheet1[[#This Row],[date_joined]],"mmm")</f>
        <v>Jan</v>
      </c>
      <c r="P1556" s="2" t="str">
        <f>"Q"&amp;ROUNDUP(MONTH(Sheet1[[#This Row],[date_joined]])/3,0)</f>
        <v>Q1</v>
      </c>
      <c r="Q1556" s="2" t="str">
        <f>IF(Sheet1[[#This Row],[age]]&lt;30,"Young",IF(Sheet1[[#This Row],[age]]&lt;=50,"Adult","Senior"))</f>
        <v>Senior</v>
      </c>
      <c r="R1556" s="2" t="str">
        <f t="shared" si="48"/>
        <v>High</v>
      </c>
      <c r="S1556" s="2" t="str">
        <f t="shared" si="49"/>
        <v>North - Retired</v>
      </c>
    </row>
    <row r="1557" spans="1:19" x14ac:dyDescent="0.3">
      <c r="A1557" t="s">
        <v>3136</v>
      </c>
      <c r="B1557" t="s">
        <v>3137</v>
      </c>
      <c r="C1557">
        <v>47</v>
      </c>
      <c r="D1557" s="2" t="s">
        <v>21</v>
      </c>
      <c r="E1557" s="2" t="s">
        <v>22</v>
      </c>
      <c r="F1557" s="2" t="s">
        <v>31</v>
      </c>
      <c r="G1557" s="2" t="s">
        <v>24</v>
      </c>
      <c r="H1557" s="2" t="s">
        <v>17</v>
      </c>
      <c r="I1557" s="2" t="s">
        <v>17</v>
      </c>
      <c r="J1557">
        <v>0.7</v>
      </c>
      <c r="K1557" s="1">
        <v>43112</v>
      </c>
      <c r="L1557" s="2" t="str">
        <f>IF(Sheet1[[#This Row],[age]]&lt;18, "Under 18",IF(Sheet1[[#This Row],[age]]&lt;=30,"18-30",IF(Sheet1[[#This Row],[age]]&lt;=45,"31-45",IF(Sheet1[[#This Row],[age]]&lt;=60,"46-60","60+"))))</f>
        <v>46-60</v>
      </c>
      <c r="M1557" s="2" t="str">
        <f>IF(Sheet1[[#This Row],[risk_score]]&lt;0.3,"Low",IF(Sheet1[[#This Row],[risk_score]]&lt;0.7,"Medium","High"))</f>
        <v>High</v>
      </c>
      <c r="N1557">
        <f>YEAR(Sheet1[[#This Row],[date_joined]])</f>
        <v>2018</v>
      </c>
      <c r="O1557" s="2" t="str">
        <f>TEXT(Sheet1[[#This Row],[date_joined]],"mmm")</f>
        <v>Jan</v>
      </c>
      <c r="P1557" s="2" t="str">
        <f>"Q"&amp;ROUNDUP(MONTH(Sheet1[[#This Row],[date_joined]])/3,0)</f>
        <v>Q1</v>
      </c>
      <c r="Q1557" s="2" t="str">
        <f>IF(Sheet1[[#This Row],[age]]&lt;30,"Young",IF(Sheet1[[#This Row],[age]]&lt;=50,"Adult","Senior"))</f>
        <v>Adult</v>
      </c>
      <c r="R1557" s="2" t="str">
        <f t="shared" si="48"/>
        <v>Low</v>
      </c>
      <c r="S1557" s="2" t="str">
        <f t="shared" si="49"/>
        <v>East - Self-employed</v>
      </c>
    </row>
    <row r="1558" spans="1:19" x14ac:dyDescent="0.3">
      <c r="A1558" t="s">
        <v>3138</v>
      </c>
      <c r="B1558" t="s">
        <v>3139</v>
      </c>
      <c r="C1558">
        <v>42</v>
      </c>
      <c r="D1558" s="2" t="s">
        <v>21</v>
      </c>
      <c r="E1558" s="2" t="s">
        <v>14</v>
      </c>
      <c r="F1558" s="2" t="s">
        <v>15</v>
      </c>
      <c r="G1558" s="2" t="s">
        <v>24</v>
      </c>
      <c r="H1558" s="2" t="s">
        <v>17</v>
      </c>
      <c r="I1558" s="2" t="s">
        <v>17</v>
      </c>
      <c r="J1558">
        <v>0.41</v>
      </c>
      <c r="K1558" s="1">
        <v>44563</v>
      </c>
      <c r="L1558" s="2" t="str">
        <f>IF(Sheet1[[#This Row],[age]]&lt;18, "Under 18",IF(Sheet1[[#This Row],[age]]&lt;=30,"18-30",IF(Sheet1[[#This Row],[age]]&lt;=45,"31-45",IF(Sheet1[[#This Row],[age]]&lt;=60,"46-60","60+"))))</f>
        <v>31-45</v>
      </c>
      <c r="M1558" s="2" t="str">
        <f>IF(Sheet1[[#This Row],[risk_score]]&lt;0.3,"Low",IF(Sheet1[[#This Row],[risk_score]]&lt;0.7,"Medium","High"))</f>
        <v>Medium</v>
      </c>
      <c r="N1558">
        <f>YEAR(Sheet1[[#This Row],[date_joined]])</f>
        <v>2022</v>
      </c>
      <c r="O1558" s="2" t="str">
        <f>TEXT(Sheet1[[#This Row],[date_joined]],"mmm")</f>
        <v>Jan</v>
      </c>
      <c r="P1558" s="2" t="str">
        <f>"Q"&amp;ROUNDUP(MONTH(Sheet1[[#This Row],[date_joined]])/3,0)</f>
        <v>Q1</v>
      </c>
      <c r="Q1558" s="2" t="str">
        <f>IF(Sheet1[[#This Row],[age]]&lt;30,"Young",IF(Sheet1[[#This Row],[age]]&lt;=50,"Adult","Senior"))</f>
        <v>Adult</v>
      </c>
      <c r="R1558" s="2" t="str">
        <f t="shared" si="48"/>
        <v>Low</v>
      </c>
      <c r="S1558" s="2" t="str">
        <f t="shared" si="49"/>
        <v>East - Student</v>
      </c>
    </row>
    <row r="1559" spans="1:19" x14ac:dyDescent="0.3">
      <c r="A1559" t="s">
        <v>3140</v>
      </c>
      <c r="B1559" t="s">
        <v>3141</v>
      </c>
      <c r="C1559">
        <v>55</v>
      </c>
      <c r="D1559" s="2" t="s">
        <v>13</v>
      </c>
      <c r="E1559" s="2" t="s">
        <v>22</v>
      </c>
      <c r="F1559" s="2" t="s">
        <v>23</v>
      </c>
      <c r="G1559" s="2" t="s">
        <v>24</v>
      </c>
      <c r="H1559" s="2" t="s">
        <v>17</v>
      </c>
      <c r="I1559" s="2" t="s">
        <v>17</v>
      </c>
      <c r="J1559">
        <v>0.4</v>
      </c>
      <c r="K1559" s="1">
        <v>43128</v>
      </c>
      <c r="L1559" s="2" t="str">
        <f>IF(Sheet1[[#This Row],[age]]&lt;18, "Under 18",IF(Sheet1[[#This Row],[age]]&lt;=30,"18-30",IF(Sheet1[[#This Row],[age]]&lt;=45,"31-45",IF(Sheet1[[#This Row],[age]]&lt;=60,"46-60","60+"))))</f>
        <v>46-60</v>
      </c>
      <c r="M1559" s="2" t="str">
        <f>IF(Sheet1[[#This Row],[risk_score]]&lt;0.3,"Low",IF(Sheet1[[#This Row],[risk_score]]&lt;0.7,"Medium","High"))</f>
        <v>Medium</v>
      </c>
      <c r="N1559">
        <f>YEAR(Sheet1[[#This Row],[date_joined]])</f>
        <v>2018</v>
      </c>
      <c r="O1559" s="2" t="str">
        <f>TEXT(Sheet1[[#This Row],[date_joined]],"mmm")</f>
        <v>Jan</v>
      </c>
      <c r="P1559" s="2" t="str">
        <f>"Q"&amp;ROUNDUP(MONTH(Sheet1[[#This Row],[date_joined]])/3,0)</f>
        <v>Q1</v>
      </c>
      <c r="Q1559" s="2" t="str">
        <f>IF(Sheet1[[#This Row],[age]]&lt;30,"Young",IF(Sheet1[[#This Row],[age]]&lt;=50,"Adult","Senior"))</f>
        <v>Senior</v>
      </c>
      <c r="R1559" s="2" t="str">
        <f t="shared" si="48"/>
        <v>Low</v>
      </c>
      <c r="S1559" s="2" t="str">
        <f t="shared" si="49"/>
        <v>East - Salaried</v>
      </c>
    </row>
    <row r="1560" spans="1:19" x14ac:dyDescent="0.3">
      <c r="A1560" t="s">
        <v>3142</v>
      </c>
      <c r="B1560" t="s">
        <v>3143</v>
      </c>
      <c r="C1560">
        <v>43</v>
      </c>
      <c r="D1560" s="2" t="s">
        <v>21</v>
      </c>
      <c r="E1560" s="2" t="s">
        <v>14</v>
      </c>
      <c r="F1560" s="2" t="s">
        <v>31</v>
      </c>
      <c r="G1560" s="2" t="s">
        <v>81</v>
      </c>
      <c r="H1560" s="2" t="s">
        <v>17</v>
      </c>
      <c r="I1560" s="2" t="s">
        <v>18</v>
      </c>
      <c r="J1560">
        <v>0.62</v>
      </c>
      <c r="K1560" s="1">
        <v>44312</v>
      </c>
      <c r="L1560" s="2" t="str">
        <f>IF(Sheet1[[#This Row],[age]]&lt;18, "Under 18",IF(Sheet1[[#This Row],[age]]&lt;=30,"18-30",IF(Sheet1[[#This Row],[age]]&lt;=45,"31-45",IF(Sheet1[[#This Row],[age]]&lt;=60,"46-60","60+"))))</f>
        <v>31-45</v>
      </c>
      <c r="M1560" s="2" t="str">
        <f>IF(Sheet1[[#This Row],[risk_score]]&lt;0.3,"Low",IF(Sheet1[[#This Row],[risk_score]]&lt;0.7,"Medium","High"))</f>
        <v>Medium</v>
      </c>
      <c r="N1560">
        <f>YEAR(Sheet1[[#This Row],[date_joined]])</f>
        <v>2021</v>
      </c>
      <c r="O1560" s="2" t="str">
        <f>TEXT(Sheet1[[#This Row],[date_joined]],"mmm")</f>
        <v>Apr</v>
      </c>
      <c r="P1560" s="2" t="str">
        <f>"Q"&amp;ROUNDUP(MONTH(Sheet1[[#This Row],[date_joined]])/3,0)</f>
        <v>Q2</v>
      </c>
      <c r="Q1560" s="2" t="str">
        <f>IF(Sheet1[[#This Row],[age]]&lt;30,"Young",IF(Sheet1[[#This Row],[age]]&lt;=50,"Adult","Senior"))</f>
        <v>Adult</v>
      </c>
      <c r="R1560" s="2" t="str">
        <f t="shared" si="48"/>
        <v>High</v>
      </c>
      <c r="S1560" s="2" t="str">
        <f t="shared" si="49"/>
        <v>Central - Self-employed</v>
      </c>
    </row>
    <row r="1561" spans="1:19" x14ac:dyDescent="0.3">
      <c r="A1561" t="s">
        <v>3144</v>
      </c>
      <c r="B1561" t="s">
        <v>3145</v>
      </c>
      <c r="C1561">
        <v>55</v>
      </c>
      <c r="D1561" s="2" t="s">
        <v>13</v>
      </c>
      <c r="E1561" s="2" t="s">
        <v>30</v>
      </c>
      <c r="F1561" s="2" t="s">
        <v>31</v>
      </c>
      <c r="G1561" s="2" t="s">
        <v>16</v>
      </c>
      <c r="H1561" s="2" t="s">
        <v>17</v>
      </c>
      <c r="I1561" s="2" t="s">
        <v>18</v>
      </c>
      <c r="J1561">
        <v>0.43</v>
      </c>
      <c r="K1561" s="1">
        <v>43767</v>
      </c>
      <c r="L1561" s="2" t="str">
        <f>IF(Sheet1[[#This Row],[age]]&lt;18, "Under 18",IF(Sheet1[[#This Row],[age]]&lt;=30,"18-30",IF(Sheet1[[#This Row],[age]]&lt;=45,"31-45",IF(Sheet1[[#This Row],[age]]&lt;=60,"46-60","60+"))))</f>
        <v>46-60</v>
      </c>
      <c r="M1561" s="2" t="str">
        <f>IF(Sheet1[[#This Row],[risk_score]]&lt;0.3,"Low",IF(Sheet1[[#This Row],[risk_score]]&lt;0.7,"Medium","High"))</f>
        <v>Medium</v>
      </c>
      <c r="N1561">
        <f>YEAR(Sheet1[[#This Row],[date_joined]])</f>
        <v>2019</v>
      </c>
      <c r="O1561" s="2" t="str">
        <f>TEXT(Sheet1[[#This Row],[date_joined]],"mmm")</f>
        <v>Oct</v>
      </c>
      <c r="P1561" s="2" t="str">
        <f>"Q"&amp;ROUNDUP(MONTH(Sheet1[[#This Row],[date_joined]])/3,0)</f>
        <v>Q4</v>
      </c>
      <c r="Q1561" s="2" t="str">
        <f>IF(Sheet1[[#This Row],[age]]&lt;30,"Young",IF(Sheet1[[#This Row],[age]]&lt;=50,"Adult","Senior"))</f>
        <v>Senior</v>
      </c>
      <c r="R1561" s="2" t="str">
        <f t="shared" si="48"/>
        <v>High</v>
      </c>
      <c r="S1561" s="2" t="str">
        <f t="shared" si="49"/>
        <v>West - Self-employed</v>
      </c>
    </row>
    <row r="1562" spans="1:19" x14ac:dyDescent="0.3">
      <c r="A1562" t="s">
        <v>3146</v>
      </c>
      <c r="B1562" t="s">
        <v>3147</v>
      </c>
      <c r="C1562">
        <v>44</v>
      </c>
      <c r="D1562" s="2" t="s">
        <v>13</v>
      </c>
      <c r="E1562" s="2" t="s">
        <v>22</v>
      </c>
      <c r="F1562" s="2" t="s">
        <v>31</v>
      </c>
      <c r="G1562" s="2" t="s">
        <v>32</v>
      </c>
      <c r="H1562" s="2" t="s">
        <v>17</v>
      </c>
      <c r="I1562" s="2" t="s">
        <v>18</v>
      </c>
      <c r="J1562">
        <v>1</v>
      </c>
      <c r="K1562" s="1">
        <v>43551</v>
      </c>
      <c r="L1562" s="2" t="str">
        <f>IF(Sheet1[[#This Row],[age]]&lt;18, "Under 18",IF(Sheet1[[#This Row],[age]]&lt;=30,"18-30",IF(Sheet1[[#This Row],[age]]&lt;=45,"31-45",IF(Sheet1[[#This Row],[age]]&lt;=60,"46-60","60+"))))</f>
        <v>31-45</v>
      </c>
      <c r="M1562" s="2" t="str">
        <f>IF(Sheet1[[#This Row],[risk_score]]&lt;0.3,"Low",IF(Sheet1[[#This Row],[risk_score]]&lt;0.7,"Medium","High"))</f>
        <v>High</v>
      </c>
      <c r="N1562">
        <f>YEAR(Sheet1[[#This Row],[date_joined]])</f>
        <v>2019</v>
      </c>
      <c r="O1562" s="2" t="str">
        <f>TEXT(Sheet1[[#This Row],[date_joined]],"mmm")</f>
        <v>Mar</v>
      </c>
      <c r="P1562" s="2" t="str">
        <f>"Q"&amp;ROUNDUP(MONTH(Sheet1[[#This Row],[date_joined]])/3,0)</f>
        <v>Q1</v>
      </c>
      <c r="Q1562" s="2" t="str">
        <f>IF(Sheet1[[#This Row],[age]]&lt;30,"Young",IF(Sheet1[[#This Row],[age]]&lt;=50,"Adult","Senior"))</f>
        <v>Adult</v>
      </c>
      <c r="R1562" s="2" t="str">
        <f t="shared" si="48"/>
        <v>High</v>
      </c>
      <c r="S1562" s="2" t="str">
        <f t="shared" si="49"/>
        <v>South - Self-employed</v>
      </c>
    </row>
    <row r="1563" spans="1:19" x14ac:dyDescent="0.3">
      <c r="A1563" t="s">
        <v>3148</v>
      </c>
      <c r="B1563" t="s">
        <v>3149</v>
      </c>
      <c r="C1563">
        <v>32</v>
      </c>
      <c r="D1563" s="2" t="s">
        <v>13</v>
      </c>
      <c r="E1563" s="2" t="s">
        <v>30</v>
      </c>
      <c r="F1563" s="2" t="s">
        <v>15</v>
      </c>
      <c r="G1563" s="2" t="s">
        <v>32</v>
      </c>
      <c r="H1563" s="2" t="s">
        <v>17</v>
      </c>
      <c r="I1563" s="2" t="s">
        <v>18</v>
      </c>
      <c r="J1563">
        <v>0.63</v>
      </c>
      <c r="K1563" s="1">
        <v>44303</v>
      </c>
      <c r="L1563" s="2" t="str">
        <f>IF(Sheet1[[#This Row],[age]]&lt;18, "Under 18",IF(Sheet1[[#This Row],[age]]&lt;=30,"18-30",IF(Sheet1[[#This Row],[age]]&lt;=45,"31-45",IF(Sheet1[[#This Row],[age]]&lt;=60,"46-60","60+"))))</f>
        <v>31-45</v>
      </c>
      <c r="M1563" s="2" t="str">
        <f>IF(Sheet1[[#This Row],[risk_score]]&lt;0.3,"Low",IF(Sheet1[[#This Row],[risk_score]]&lt;0.7,"Medium","High"))</f>
        <v>Medium</v>
      </c>
      <c r="N1563">
        <f>YEAR(Sheet1[[#This Row],[date_joined]])</f>
        <v>2021</v>
      </c>
      <c r="O1563" s="2" t="str">
        <f>TEXT(Sheet1[[#This Row],[date_joined]],"mmm")</f>
        <v>Apr</v>
      </c>
      <c r="P1563" s="2" t="str">
        <f>"Q"&amp;ROUNDUP(MONTH(Sheet1[[#This Row],[date_joined]])/3,0)</f>
        <v>Q2</v>
      </c>
      <c r="Q1563" s="2" t="str">
        <f>IF(Sheet1[[#This Row],[age]]&lt;30,"Young",IF(Sheet1[[#This Row],[age]]&lt;=50,"Adult","Senior"))</f>
        <v>Adult</v>
      </c>
      <c r="R1563" s="2" t="str">
        <f t="shared" si="48"/>
        <v>High</v>
      </c>
      <c r="S1563" s="2" t="str">
        <f t="shared" si="49"/>
        <v>South - Student</v>
      </c>
    </row>
    <row r="1564" spans="1:19" x14ac:dyDescent="0.3">
      <c r="A1564" t="s">
        <v>3150</v>
      </c>
      <c r="B1564" t="s">
        <v>3151</v>
      </c>
      <c r="C1564">
        <v>45</v>
      </c>
      <c r="D1564" s="2" t="s">
        <v>13</v>
      </c>
      <c r="E1564" s="2" t="s">
        <v>22</v>
      </c>
      <c r="F1564" s="2" t="s">
        <v>37</v>
      </c>
      <c r="G1564" s="2" t="s">
        <v>24</v>
      </c>
      <c r="H1564" s="2" t="s">
        <v>17</v>
      </c>
      <c r="I1564" s="2" t="s">
        <v>18</v>
      </c>
      <c r="J1564">
        <v>0.93</v>
      </c>
      <c r="K1564" s="1">
        <v>44383</v>
      </c>
      <c r="L1564" s="2" t="str">
        <f>IF(Sheet1[[#This Row],[age]]&lt;18, "Under 18",IF(Sheet1[[#This Row],[age]]&lt;=30,"18-30",IF(Sheet1[[#This Row],[age]]&lt;=45,"31-45",IF(Sheet1[[#This Row],[age]]&lt;=60,"46-60","60+"))))</f>
        <v>31-45</v>
      </c>
      <c r="M1564" s="2" t="str">
        <f>IF(Sheet1[[#This Row],[risk_score]]&lt;0.3,"Low",IF(Sheet1[[#This Row],[risk_score]]&lt;0.7,"Medium","High"))</f>
        <v>High</v>
      </c>
      <c r="N1564">
        <f>YEAR(Sheet1[[#This Row],[date_joined]])</f>
        <v>2021</v>
      </c>
      <c r="O1564" s="2" t="str">
        <f>TEXT(Sheet1[[#This Row],[date_joined]],"mmm")</f>
        <v>Jul</v>
      </c>
      <c r="P1564" s="2" t="str">
        <f>"Q"&amp;ROUNDUP(MONTH(Sheet1[[#This Row],[date_joined]])/3,0)</f>
        <v>Q3</v>
      </c>
      <c r="Q1564" s="2" t="str">
        <f>IF(Sheet1[[#This Row],[age]]&lt;30,"Young",IF(Sheet1[[#This Row],[age]]&lt;=50,"Adult","Senior"))</f>
        <v>Adult</v>
      </c>
      <c r="R1564" s="2" t="str">
        <f t="shared" si="48"/>
        <v>High</v>
      </c>
      <c r="S1564" s="2" t="str">
        <f t="shared" si="49"/>
        <v>East - Retired</v>
      </c>
    </row>
    <row r="1565" spans="1:19" x14ac:dyDescent="0.3">
      <c r="A1565" t="s">
        <v>3152</v>
      </c>
      <c r="B1565" t="s">
        <v>3153</v>
      </c>
      <c r="C1565">
        <v>42</v>
      </c>
      <c r="D1565" s="2" t="s">
        <v>13</v>
      </c>
      <c r="E1565" s="2" t="s">
        <v>22</v>
      </c>
      <c r="F1565" s="2" t="s">
        <v>31</v>
      </c>
      <c r="G1565" s="2" t="s">
        <v>24</v>
      </c>
      <c r="H1565" s="2" t="s">
        <v>17</v>
      </c>
      <c r="I1565" s="2" t="s">
        <v>18</v>
      </c>
      <c r="J1565">
        <v>0.56000000000000005</v>
      </c>
      <c r="K1565" s="1">
        <v>44875</v>
      </c>
      <c r="L1565" s="2" t="str">
        <f>IF(Sheet1[[#This Row],[age]]&lt;18, "Under 18",IF(Sheet1[[#This Row],[age]]&lt;=30,"18-30",IF(Sheet1[[#This Row],[age]]&lt;=45,"31-45",IF(Sheet1[[#This Row],[age]]&lt;=60,"46-60","60+"))))</f>
        <v>31-45</v>
      </c>
      <c r="M1565" s="2" t="str">
        <f>IF(Sheet1[[#This Row],[risk_score]]&lt;0.3,"Low",IF(Sheet1[[#This Row],[risk_score]]&lt;0.7,"Medium","High"))</f>
        <v>Medium</v>
      </c>
      <c r="N1565">
        <f>YEAR(Sheet1[[#This Row],[date_joined]])</f>
        <v>2022</v>
      </c>
      <c r="O1565" s="2" t="str">
        <f>TEXT(Sheet1[[#This Row],[date_joined]],"mmm")</f>
        <v>Nov</v>
      </c>
      <c r="P1565" s="2" t="str">
        <f>"Q"&amp;ROUNDUP(MONTH(Sheet1[[#This Row],[date_joined]])/3,0)</f>
        <v>Q4</v>
      </c>
      <c r="Q1565" s="2" t="str">
        <f>IF(Sheet1[[#This Row],[age]]&lt;30,"Young",IF(Sheet1[[#This Row],[age]]&lt;=50,"Adult","Senior"))</f>
        <v>Adult</v>
      </c>
      <c r="R1565" s="2" t="str">
        <f t="shared" si="48"/>
        <v>High</v>
      </c>
      <c r="S1565" s="2" t="str">
        <f t="shared" si="49"/>
        <v>East - Self-employed</v>
      </c>
    </row>
    <row r="1566" spans="1:19" x14ac:dyDescent="0.3">
      <c r="A1566" t="s">
        <v>3154</v>
      </c>
      <c r="B1566" t="s">
        <v>3155</v>
      </c>
      <c r="C1566">
        <v>40</v>
      </c>
      <c r="D1566" s="2" t="s">
        <v>21</v>
      </c>
      <c r="E1566" s="2" t="s">
        <v>14</v>
      </c>
      <c r="F1566" s="2" t="s">
        <v>37</v>
      </c>
      <c r="G1566" s="2" t="s">
        <v>66</v>
      </c>
      <c r="H1566" s="2" t="s">
        <v>17</v>
      </c>
      <c r="I1566" s="2" t="s">
        <v>18</v>
      </c>
      <c r="J1566">
        <v>0.56999999999999995</v>
      </c>
      <c r="K1566" s="1">
        <v>43647</v>
      </c>
      <c r="L1566" s="2" t="str">
        <f>IF(Sheet1[[#This Row],[age]]&lt;18, "Under 18",IF(Sheet1[[#This Row],[age]]&lt;=30,"18-30",IF(Sheet1[[#This Row],[age]]&lt;=45,"31-45",IF(Sheet1[[#This Row],[age]]&lt;=60,"46-60","60+"))))</f>
        <v>31-45</v>
      </c>
      <c r="M1566" s="2" t="str">
        <f>IF(Sheet1[[#This Row],[risk_score]]&lt;0.3,"Low",IF(Sheet1[[#This Row],[risk_score]]&lt;0.7,"Medium","High"))</f>
        <v>Medium</v>
      </c>
      <c r="N1566">
        <f>YEAR(Sheet1[[#This Row],[date_joined]])</f>
        <v>2019</v>
      </c>
      <c r="O1566" s="2" t="str">
        <f>TEXT(Sheet1[[#This Row],[date_joined]],"mmm")</f>
        <v>Jul</v>
      </c>
      <c r="P1566" s="2" t="str">
        <f>"Q"&amp;ROUNDUP(MONTH(Sheet1[[#This Row],[date_joined]])/3,0)</f>
        <v>Q3</v>
      </c>
      <c r="Q1566" s="2" t="str">
        <f>IF(Sheet1[[#This Row],[age]]&lt;30,"Young",IF(Sheet1[[#This Row],[age]]&lt;=50,"Adult","Senior"))</f>
        <v>Adult</v>
      </c>
      <c r="R1566" s="2" t="str">
        <f t="shared" si="48"/>
        <v>High</v>
      </c>
      <c r="S1566" s="2" t="str">
        <f t="shared" si="49"/>
        <v>North-East - Retired</v>
      </c>
    </row>
    <row r="1567" spans="1:19" x14ac:dyDescent="0.3">
      <c r="A1567" t="s">
        <v>3156</v>
      </c>
      <c r="B1567" t="s">
        <v>3157</v>
      </c>
      <c r="C1567">
        <v>23</v>
      </c>
      <c r="D1567" s="2" t="s">
        <v>21</v>
      </c>
      <c r="E1567" s="2" t="s">
        <v>22</v>
      </c>
      <c r="F1567" s="2" t="s">
        <v>37</v>
      </c>
      <c r="G1567" s="2" t="s">
        <v>27</v>
      </c>
      <c r="H1567" s="2" t="s">
        <v>18</v>
      </c>
      <c r="I1567" s="2" t="s">
        <v>18</v>
      </c>
      <c r="J1567">
        <v>0.1</v>
      </c>
      <c r="K1567" s="1">
        <v>43281</v>
      </c>
      <c r="L1567" s="2" t="str">
        <f>IF(Sheet1[[#This Row],[age]]&lt;18, "Under 18",IF(Sheet1[[#This Row],[age]]&lt;=30,"18-30",IF(Sheet1[[#This Row],[age]]&lt;=45,"31-45",IF(Sheet1[[#This Row],[age]]&lt;=60,"46-60","60+"))))</f>
        <v>18-30</v>
      </c>
      <c r="M1567" s="2" t="str">
        <f>IF(Sheet1[[#This Row],[risk_score]]&lt;0.3,"Low",IF(Sheet1[[#This Row],[risk_score]]&lt;0.7,"Medium","High"))</f>
        <v>Low</v>
      </c>
      <c r="N1567">
        <f>YEAR(Sheet1[[#This Row],[date_joined]])</f>
        <v>2018</v>
      </c>
      <c r="O1567" s="2" t="str">
        <f>TEXT(Sheet1[[#This Row],[date_joined]],"mmm")</f>
        <v>Jun</v>
      </c>
      <c r="P1567" s="2" t="str">
        <f>"Q"&amp;ROUNDUP(MONTH(Sheet1[[#This Row],[date_joined]])/3,0)</f>
        <v>Q2</v>
      </c>
      <c r="Q1567" s="2" t="str">
        <f>IF(Sheet1[[#This Row],[age]]&lt;30,"Young",IF(Sheet1[[#This Row],[age]]&lt;=50,"Adult","Senior"))</f>
        <v>Young</v>
      </c>
      <c r="R1567" s="2" t="str">
        <f t="shared" si="48"/>
        <v>Very High</v>
      </c>
      <c r="S1567" s="2" t="str">
        <f t="shared" si="49"/>
        <v>North - Retired</v>
      </c>
    </row>
    <row r="1568" spans="1:19" x14ac:dyDescent="0.3">
      <c r="A1568" t="s">
        <v>3158</v>
      </c>
      <c r="B1568" t="s">
        <v>3159</v>
      </c>
      <c r="C1568">
        <v>18</v>
      </c>
      <c r="D1568" s="2" t="s">
        <v>13</v>
      </c>
      <c r="E1568" s="2" t="s">
        <v>22</v>
      </c>
      <c r="F1568" s="2" t="s">
        <v>23</v>
      </c>
      <c r="G1568" s="2" t="s">
        <v>16</v>
      </c>
      <c r="H1568" s="2" t="s">
        <v>17</v>
      </c>
      <c r="I1568" s="2" t="s">
        <v>17</v>
      </c>
      <c r="J1568">
        <v>0.23</v>
      </c>
      <c r="K1568" s="1">
        <v>44122</v>
      </c>
      <c r="L1568" s="2" t="str">
        <f>IF(Sheet1[[#This Row],[age]]&lt;18, "Under 18",IF(Sheet1[[#This Row],[age]]&lt;=30,"18-30",IF(Sheet1[[#This Row],[age]]&lt;=45,"31-45",IF(Sheet1[[#This Row],[age]]&lt;=60,"46-60","60+"))))</f>
        <v>18-30</v>
      </c>
      <c r="M1568" s="2" t="str">
        <f>IF(Sheet1[[#This Row],[risk_score]]&lt;0.3,"Low",IF(Sheet1[[#This Row],[risk_score]]&lt;0.7,"Medium","High"))</f>
        <v>Low</v>
      </c>
      <c r="N1568">
        <f>YEAR(Sheet1[[#This Row],[date_joined]])</f>
        <v>2020</v>
      </c>
      <c r="O1568" s="2" t="str">
        <f>TEXT(Sheet1[[#This Row],[date_joined]],"mmm")</f>
        <v>Oct</v>
      </c>
      <c r="P1568" s="2" t="str">
        <f>"Q"&amp;ROUNDUP(MONTH(Sheet1[[#This Row],[date_joined]])/3,0)</f>
        <v>Q4</v>
      </c>
      <c r="Q1568" s="2" t="str">
        <f>IF(Sheet1[[#This Row],[age]]&lt;30,"Young",IF(Sheet1[[#This Row],[age]]&lt;=50,"Adult","Senior"))</f>
        <v>Young</v>
      </c>
      <c r="R1568" s="2" t="str">
        <f t="shared" si="48"/>
        <v>Low</v>
      </c>
      <c r="S1568" s="2" t="str">
        <f t="shared" si="49"/>
        <v>West - Salaried</v>
      </c>
    </row>
    <row r="1569" spans="1:19" x14ac:dyDescent="0.3">
      <c r="A1569" t="s">
        <v>3160</v>
      </c>
      <c r="B1569" t="s">
        <v>3161</v>
      </c>
      <c r="C1569">
        <v>41</v>
      </c>
      <c r="D1569" s="2" t="s">
        <v>13</v>
      </c>
      <c r="E1569" s="2" t="s">
        <v>14</v>
      </c>
      <c r="F1569" s="2" t="s">
        <v>23</v>
      </c>
      <c r="G1569" s="2" t="s">
        <v>24</v>
      </c>
      <c r="H1569" s="2" t="s">
        <v>17</v>
      </c>
      <c r="I1569" s="2" t="s">
        <v>18</v>
      </c>
      <c r="J1569">
        <v>0.33</v>
      </c>
      <c r="K1569" s="1">
        <v>43960</v>
      </c>
      <c r="L1569" s="2" t="str">
        <f>IF(Sheet1[[#This Row],[age]]&lt;18, "Under 18",IF(Sheet1[[#This Row],[age]]&lt;=30,"18-30",IF(Sheet1[[#This Row],[age]]&lt;=45,"31-45",IF(Sheet1[[#This Row],[age]]&lt;=60,"46-60","60+"))))</f>
        <v>31-45</v>
      </c>
      <c r="M1569" s="2" t="str">
        <f>IF(Sheet1[[#This Row],[risk_score]]&lt;0.3,"Low",IF(Sheet1[[#This Row],[risk_score]]&lt;0.7,"Medium","High"))</f>
        <v>Medium</v>
      </c>
      <c r="N1569">
        <f>YEAR(Sheet1[[#This Row],[date_joined]])</f>
        <v>2020</v>
      </c>
      <c r="O1569" s="2" t="str">
        <f>TEXT(Sheet1[[#This Row],[date_joined]],"mmm")</f>
        <v>May</v>
      </c>
      <c r="P1569" s="2" t="str">
        <f>"Q"&amp;ROUNDUP(MONTH(Sheet1[[#This Row],[date_joined]])/3,0)</f>
        <v>Q2</v>
      </c>
      <c r="Q1569" s="2" t="str">
        <f>IF(Sheet1[[#This Row],[age]]&lt;30,"Young",IF(Sheet1[[#This Row],[age]]&lt;=50,"Adult","Senior"))</f>
        <v>Adult</v>
      </c>
      <c r="R1569" s="2" t="str">
        <f t="shared" si="48"/>
        <v>High</v>
      </c>
      <c r="S1569" s="2" t="str">
        <f t="shared" si="49"/>
        <v>East - Salaried</v>
      </c>
    </row>
    <row r="1570" spans="1:19" x14ac:dyDescent="0.3">
      <c r="A1570" t="s">
        <v>3162</v>
      </c>
      <c r="B1570" t="s">
        <v>3163</v>
      </c>
      <c r="C1570">
        <v>22</v>
      </c>
      <c r="D1570" s="2" t="s">
        <v>21</v>
      </c>
      <c r="E1570" s="2" t="s">
        <v>14</v>
      </c>
      <c r="F1570" s="2" t="s">
        <v>23</v>
      </c>
      <c r="G1570" s="2" t="s">
        <v>27</v>
      </c>
      <c r="H1570" s="2" t="s">
        <v>17</v>
      </c>
      <c r="I1570" s="2" t="s">
        <v>18</v>
      </c>
      <c r="J1570">
        <v>0.37</v>
      </c>
      <c r="K1570" s="1">
        <v>44255</v>
      </c>
      <c r="L1570" s="2" t="str">
        <f>IF(Sheet1[[#This Row],[age]]&lt;18, "Under 18",IF(Sheet1[[#This Row],[age]]&lt;=30,"18-30",IF(Sheet1[[#This Row],[age]]&lt;=45,"31-45",IF(Sheet1[[#This Row],[age]]&lt;=60,"46-60","60+"))))</f>
        <v>18-30</v>
      </c>
      <c r="M1570" s="2" t="str">
        <f>IF(Sheet1[[#This Row],[risk_score]]&lt;0.3,"Low",IF(Sheet1[[#This Row],[risk_score]]&lt;0.7,"Medium","High"))</f>
        <v>Medium</v>
      </c>
      <c r="N1570">
        <f>YEAR(Sheet1[[#This Row],[date_joined]])</f>
        <v>2021</v>
      </c>
      <c r="O1570" s="2" t="str">
        <f>TEXT(Sheet1[[#This Row],[date_joined]],"mmm")</f>
        <v>Feb</v>
      </c>
      <c r="P1570" s="2" t="str">
        <f>"Q"&amp;ROUNDUP(MONTH(Sheet1[[#This Row],[date_joined]])/3,0)</f>
        <v>Q1</v>
      </c>
      <c r="Q1570" s="2" t="str">
        <f>IF(Sheet1[[#This Row],[age]]&lt;30,"Young",IF(Sheet1[[#This Row],[age]]&lt;=50,"Adult","Senior"))</f>
        <v>Young</v>
      </c>
      <c r="R1570" s="2" t="str">
        <f t="shared" si="48"/>
        <v>High</v>
      </c>
      <c r="S1570" s="2" t="str">
        <f t="shared" si="49"/>
        <v>North - Salaried</v>
      </c>
    </row>
    <row r="1571" spans="1:19" x14ac:dyDescent="0.3">
      <c r="A1571" t="s">
        <v>3164</v>
      </c>
      <c r="B1571" t="s">
        <v>3165</v>
      </c>
      <c r="C1571">
        <v>48</v>
      </c>
      <c r="D1571" s="2" t="s">
        <v>21</v>
      </c>
      <c r="E1571" s="2" t="s">
        <v>22</v>
      </c>
      <c r="F1571" s="2" t="s">
        <v>15</v>
      </c>
      <c r="G1571" s="2" t="s">
        <v>66</v>
      </c>
      <c r="H1571" s="2" t="s">
        <v>18</v>
      </c>
      <c r="I1571" s="2" t="s">
        <v>17</v>
      </c>
      <c r="J1571">
        <v>0.05</v>
      </c>
      <c r="K1571" s="1">
        <v>44203</v>
      </c>
      <c r="L1571" s="2" t="str">
        <f>IF(Sheet1[[#This Row],[age]]&lt;18, "Under 18",IF(Sheet1[[#This Row],[age]]&lt;=30,"18-30",IF(Sheet1[[#This Row],[age]]&lt;=45,"31-45",IF(Sheet1[[#This Row],[age]]&lt;=60,"46-60","60+"))))</f>
        <v>46-60</v>
      </c>
      <c r="M1571" s="2" t="str">
        <f>IF(Sheet1[[#This Row],[risk_score]]&lt;0.3,"Low",IF(Sheet1[[#This Row],[risk_score]]&lt;0.7,"Medium","High"))</f>
        <v>Low</v>
      </c>
      <c r="N1571">
        <f>YEAR(Sheet1[[#This Row],[date_joined]])</f>
        <v>2021</v>
      </c>
      <c r="O1571" s="2" t="str">
        <f>TEXT(Sheet1[[#This Row],[date_joined]],"mmm")</f>
        <v>Jan</v>
      </c>
      <c r="P1571" s="2" t="str">
        <f>"Q"&amp;ROUNDUP(MONTH(Sheet1[[#This Row],[date_joined]])/3,0)</f>
        <v>Q1</v>
      </c>
      <c r="Q1571" s="2" t="str">
        <f>IF(Sheet1[[#This Row],[age]]&lt;30,"Young",IF(Sheet1[[#This Row],[age]]&lt;=50,"Adult","Senior"))</f>
        <v>Adult</v>
      </c>
      <c r="R1571" s="2" t="str">
        <f t="shared" si="48"/>
        <v>High</v>
      </c>
      <c r="S1571" s="2" t="str">
        <f t="shared" si="49"/>
        <v>North-East - Student</v>
      </c>
    </row>
    <row r="1572" spans="1:19" x14ac:dyDescent="0.3">
      <c r="A1572" t="s">
        <v>3166</v>
      </c>
      <c r="B1572" t="s">
        <v>3167</v>
      </c>
      <c r="C1572">
        <v>20</v>
      </c>
      <c r="D1572" s="2" t="s">
        <v>13</v>
      </c>
      <c r="E1572" s="2" t="s">
        <v>30</v>
      </c>
      <c r="F1572" s="2" t="s">
        <v>37</v>
      </c>
      <c r="G1572" s="2" t="s">
        <v>24</v>
      </c>
      <c r="H1572" s="2" t="s">
        <v>17</v>
      </c>
      <c r="I1572" s="2" t="s">
        <v>18</v>
      </c>
      <c r="J1572">
        <v>0.68</v>
      </c>
      <c r="K1572" s="1">
        <v>43465</v>
      </c>
      <c r="L1572" s="2" t="str">
        <f>IF(Sheet1[[#This Row],[age]]&lt;18, "Under 18",IF(Sheet1[[#This Row],[age]]&lt;=30,"18-30",IF(Sheet1[[#This Row],[age]]&lt;=45,"31-45",IF(Sheet1[[#This Row],[age]]&lt;=60,"46-60","60+"))))</f>
        <v>18-30</v>
      </c>
      <c r="M1572" s="2" t="str">
        <f>IF(Sheet1[[#This Row],[risk_score]]&lt;0.3,"Low",IF(Sheet1[[#This Row],[risk_score]]&lt;0.7,"Medium","High"))</f>
        <v>Medium</v>
      </c>
      <c r="N1572">
        <f>YEAR(Sheet1[[#This Row],[date_joined]])</f>
        <v>2018</v>
      </c>
      <c r="O1572" s="2" t="str">
        <f>TEXT(Sheet1[[#This Row],[date_joined]],"mmm")</f>
        <v>Dec</v>
      </c>
      <c r="P1572" s="2" t="str">
        <f>"Q"&amp;ROUNDUP(MONTH(Sheet1[[#This Row],[date_joined]])/3,0)</f>
        <v>Q4</v>
      </c>
      <c r="Q1572" s="2" t="str">
        <f>IF(Sheet1[[#This Row],[age]]&lt;30,"Young",IF(Sheet1[[#This Row],[age]]&lt;=50,"Adult","Senior"))</f>
        <v>Young</v>
      </c>
      <c r="R1572" s="2" t="str">
        <f t="shared" si="48"/>
        <v>High</v>
      </c>
      <c r="S1572" s="2" t="str">
        <f t="shared" si="49"/>
        <v>East - Retired</v>
      </c>
    </row>
    <row r="1573" spans="1:19" x14ac:dyDescent="0.3">
      <c r="A1573" t="s">
        <v>3168</v>
      </c>
      <c r="B1573" t="s">
        <v>3169</v>
      </c>
      <c r="C1573">
        <v>19</v>
      </c>
      <c r="D1573" s="2" t="s">
        <v>13</v>
      </c>
      <c r="E1573" s="2" t="s">
        <v>22</v>
      </c>
      <c r="F1573" s="2" t="s">
        <v>37</v>
      </c>
      <c r="G1573" s="2" t="s">
        <v>32</v>
      </c>
      <c r="H1573" s="2" t="s">
        <v>18</v>
      </c>
      <c r="I1573" s="2" t="s">
        <v>17</v>
      </c>
      <c r="J1573">
        <v>0.39</v>
      </c>
      <c r="K1573" s="1">
        <v>43468</v>
      </c>
      <c r="L1573" s="2" t="str">
        <f>IF(Sheet1[[#This Row],[age]]&lt;18, "Under 18",IF(Sheet1[[#This Row],[age]]&lt;=30,"18-30",IF(Sheet1[[#This Row],[age]]&lt;=45,"31-45",IF(Sheet1[[#This Row],[age]]&lt;=60,"46-60","60+"))))</f>
        <v>18-30</v>
      </c>
      <c r="M1573" s="2" t="str">
        <f>IF(Sheet1[[#This Row],[risk_score]]&lt;0.3,"Low",IF(Sheet1[[#This Row],[risk_score]]&lt;0.7,"Medium","High"))</f>
        <v>Medium</v>
      </c>
      <c r="N1573">
        <f>YEAR(Sheet1[[#This Row],[date_joined]])</f>
        <v>2019</v>
      </c>
      <c r="O1573" s="2" t="str">
        <f>TEXT(Sheet1[[#This Row],[date_joined]],"mmm")</f>
        <v>Jan</v>
      </c>
      <c r="P1573" s="2" t="str">
        <f>"Q"&amp;ROUNDUP(MONTH(Sheet1[[#This Row],[date_joined]])/3,0)</f>
        <v>Q1</v>
      </c>
      <c r="Q1573" s="2" t="str">
        <f>IF(Sheet1[[#This Row],[age]]&lt;30,"Young",IF(Sheet1[[#This Row],[age]]&lt;=50,"Adult","Senior"))</f>
        <v>Young</v>
      </c>
      <c r="R1573" s="2" t="str">
        <f t="shared" si="48"/>
        <v>High</v>
      </c>
      <c r="S1573" s="2" t="str">
        <f t="shared" si="49"/>
        <v>South - Retired</v>
      </c>
    </row>
    <row r="1574" spans="1:19" x14ac:dyDescent="0.3">
      <c r="A1574" t="s">
        <v>3170</v>
      </c>
      <c r="B1574" t="s">
        <v>3171</v>
      </c>
      <c r="C1574">
        <v>41</v>
      </c>
      <c r="D1574" s="2" t="s">
        <v>13</v>
      </c>
      <c r="E1574" s="2" t="s">
        <v>22</v>
      </c>
      <c r="F1574" s="2" t="s">
        <v>15</v>
      </c>
      <c r="G1574" s="2" t="s">
        <v>24</v>
      </c>
      <c r="H1574" s="2" t="s">
        <v>17</v>
      </c>
      <c r="I1574" s="2" t="s">
        <v>18</v>
      </c>
      <c r="J1574">
        <v>0.44</v>
      </c>
      <c r="K1574" s="1">
        <v>45006</v>
      </c>
      <c r="L1574" s="2" t="str">
        <f>IF(Sheet1[[#This Row],[age]]&lt;18, "Under 18",IF(Sheet1[[#This Row],[age]]&lt;=30,"18-30",IF(Sheet1[[#This Row],[age]]&lt;=45,"31-45",IF(Sheet1[[#This Row],[age]]&lt;=60,"46-60","60+"))))</f>
        <v>31-45</v>
      </c>
      <c r="M1574" s="2" t="str">
        <f>IF(Sheet1[[#This Row],[risk_score]]&lt;0.3,"Low",IF(Sheet1[[#This Row],[risk_score]]&lt;0.7,"Medium","High"))</f>
        <v>Medium</v>
      </c>
      <c r="N1574">
        <f>YEAR(Sheet1[[#This Row],[date_joined]])</f>
        <v>2023</v>
      </c>
      <c r="O1574" s="2" t="str">
        <f>TEXT(Sheet1[[#This Row],[date_joined]],"mmm")</f>
        <v>Mar</v>
      </c>
      <c r="P1574" s="2" t="str">
        <f>"Q"&amp;ROUNDUP(MONTH(Sheet1[[#This Row],[date_joined]])/3,0)</f>
        <v>Q1</v>
      </c>
      <c r="Q1574" s="2" t="str">
        <f>IF(Sheet1[[#This Row],[age]]&lt;30,"Young",IF(Sheet1[[#This Row],[age]]&lt;=50,"Adult","Senior"))</f>
        <v>Adult</v>
      </c>
      <c r="R1574" s="2" t="str">
        <f t="shared" si="48"/>
        <v>High</v>
      </c>
      <c r="S1574" s="2" t="str">
        <f t="shared" si="49"/>
        <v>East - Student</v>
      </c>
    </row>
    <row r="1575" spans="1:19" x14ac:dyDescent="0.3">
      <c r="A1575" t="s">
        <v>3172</v>
      </c>
      <c r="B1575" t="s">
        <v>3173</v>
      </c>
      <c r="C1575">
        <v>69</v>
      </c>
      <c r="D1575" s="2" t="s">
        <v>21</v>
      </c>
      <c r="E1575" s="2" t="s">
        <v>14</v>
      </c>
      <c r="F1575" s="2" t="s">
        <v>37</v>
      </c>
      <c r="G1575" s="2" t="s">
        <v>24</v>
      </c>
      <c r="H1575" s="2" t="s">
        <v>18</v>
      </c>
      <c r="I1575" s="2" t="s">
        <v>17</v>
      </c>
      <c r="J1575">
        <v>0.27</v>
      </c>
      <c r="K1575" s="1">
        <v>44374</v>
      </c>
      <c r="L1575" s="2" t="str">
        <f>IF(Sheet1[[#This Row],[age]]&lt;18, "Under 18",IF(Sheet1[[#This Row],[age]]&lt;=30,"18-30",IF(Sheet1[[#This Row],[age]]&lt;=45,"31-45",IF(Sheet1[[#This Row],[age]]&lt;=60,"46-60","60+"))))</f>
        <v>60+</v>
      </c>
      <c r="M1575" s="2" t="str">
        <f>IF(Sheet1[[#This Row],[risk_score]]&lt;0.3,"Low",IF(Sheet1[[#This Row],[risk_score]]&lt;0.7,"Medium","High"))</f>
        <v>Low</v>
      </c>
      <c r="N1575">
        <f>YEAR(Sheet1[[#This Row],[date_joined]])</f>
        <v>2021</v>
      </c>
      <c r="O1575" s="2" t="str">
        <f>TEXT(Sheet1[[#This Row],[date_joined]],"mmm")</f>
        <v>Jun</v>
      </c>
      <c r="P1575" s="2" t="str">
        <f>"Q"&amp;ROUNDUP(MONTH(Sheet1[[#This Row],[date_joined]])/3,0)</f>
        <v>Q2</v>
      </c>
      <c r="Q1575" s="2" t="str">
        <f>IF(Sheet1[[#This Row],[age]]&lt;30,"Young",IF(Sheet1[[#This Row],[age]]&lt;=50,"Adult","Senior"))</f>
        <v>Senior</v>
      </c>
      <c r="R1575" s="2" t="str">
        <f t="shared" si="48"/>
        <v>High</v>
      </c>
      <c r="S1575" s="2" t="str">
        <f t="shared" si="49"/>
        <v>East - Retired</v>
      </c>
    </row>
    <row r="1576" spans="1:19" x14ac:dyDescent="0.3">
      <c r="A1576" t="s">
        <v>3174</v>
      </c>
      <c r="B1576" t="s">
        <v>3175</v>
      </c>
      <c r="C1576">
        <v>40</v>
      </c>
      <c r="D1576" s="2" t="s">
        <v>13</v>
      </c>
      <c r="E1576" s="2" t="s">
        <v>30</v>
      </c>
      <c r="F1576" s="2" t="s">
        <v>23</v>
      </c>
      <c r="G1576" s="2" t="s">
        <v>81</v>
      </c>
      <c r="H1576" s="2" t="s">
        <v>18</v>
      </c>
      <c r="I1576" s="2" t="s">
        <v>18</v>
      </c>
      <c r="J1576">
        <v>0.24</v>
      </c>
      <c r="K1576" s="1">
        <v>44976</v>
      </c>
      <c r="L1576" s="2" t="str">
        <f>IF(Sheet1[[#This Row],[age]]&lt;18, "Under 18",IF(Sheet1[[#This Row],[age]]&lt;=30,"18-30",IF(Sheet1[[#This Row],[age]]&lt;=45,"31-45",IF(Sheet1[[#This Row],[age]]&lt;=60,"46-60","60+"))))</f>
        <v>31-45</v>
      </c>
      <c r="M1576" s="2" t="str">
        <f>IF(Sheet1[[#This Row],[risk_score]]&lt;0.3,"Low",IF(Sheet1[[#This Row],[risk_score]]&lt;0.7,"Medium","High"))</f>
        <v>Low</v>
      </c>
      <c r="N1576">
        <f>YEAR(Sheet1[[#This Row],[date_joined]])</f>
        <v>2023</v>
      </c>
      <c r="O1576" s="2" t="str">
        <f>TEXT(Sheet1[[#This Row],[date_joined]],"mmm")</f>
        <v>Feb</v>
      </c>
      <c r="P1576" s="2" t="str">
        <f>"Q"&amp;ROUNDUP(MONTH(Sheet1[[#This Row],[date_joined]])/3,0)</f>
        <v>Q1</v>
      </c>
      <c r="Q1576" s="2" t="str">
        <f>IF(Sheet1[[#This Row],[age]]&lt;30,"Young",IF(Sheet1[[#This Row],[age]]&lt;=50,"Adult","Senior"))</f>
        <v>Adult</v>
      </c>
      <c r="R1576" s="2" t="str">
        <f t="shared" si="48"/>
        <v>Very High</v>
      </c>
      <c r="S1576" s="2" t="str">
        <f t="shared" si="49"/>
        <v>Central - Salaried</v>
      </c>
    </row>
    <row r="1577" spans="1:19" x14ac:dyDescent="0.3">
      <c r="A1577" t="s">
        <v>3176</v>
      </c>
      <c r="B1577" t="s">
        <v>3177</v>
      </c>
      <c r="C1577">
        <v>26</v>
      </c>
      <c r="D1577" s="2" t="s">
        <v>21</v>
      </c>
      <c r="E1577" s="2" t="s">
        <v>30</v>
      </c>
      <c r="F1577" s="2" t="s">
        <v>15</v>
      </c>
      <c r="G1577" s="2" t="s">
        <v>27</v>
      </c>
      <c r="H1577" s="2" t="s">
        <v>17</v>
      </c>
      <c r="I1577" s="2" t="s">
        <v>17</v>
      </c>
      <c r="J1577">
        <v>0.35</v>
      </c>
      <c r="K1577" s="1">
        <v>43222</v>
      </c>
      <c r="L1577" s="2" t="str">
        <f>IF(Sheet1[[#This Row],[age]]&lt;18, "Under 18",IF(Sheet1[[#This Row],[age]]&lt;=30,"18-30",IF(Sheet1[[#This Row],[age]]&lt;=45,"31-45",IF(Sheet1[[#This Row],[age]]&lt;=60,"46-60","60+"))))</f>
        <v>18-30</v>
      </c>
      <c r="M1577" s="2" t="str">
        <f>IF(Sheet1[[#This Row],[risk_score]]&lt;0.3,"Low",IF(Sheet1[[#This Row],[risk_score]]&lt;0.7,"Medium","High"))</f>
        <v>Medium</v>
      </c>
      <c r="N1577">
        <f>YEAR(Sheet1[[#This Row],[date_joined]])</f>
        <v>2018</v>
      </c>
      <c r="O1577" s="2" t="str">
        <f>TEXT(Sheet1[[#This Row],[date_joined]],"mmm")</f>
        <v>May</v>
      </c>
      <c r="P1577" s="2" t="str">
        <f>"Q"&amp;ROUNDUP(MONTH(Sheet1[[#This Row],[date_joined]])/3,0)</f>
        <v>Q2</v>
      </c>
      <c r="Q1577" s="2" t="str">
        <f>IF(Sheet1[[#This Row],[age]]&lt;30,"Young",IF(Sheet1[[#This Row],[age]]&lt;=50,"Adult","Senior"))</f>
        <v>Young</v>
      </c>
      <c r="R1577" s="2" t="str">
        <f t="shared" si="48"/>
        <v>Low</v>
      </c>
      <c r="S1577" s="2" t="str">
        <f t="shared" si="49"/>
        <v>North - Student</v>
      </c>
    </row>
    <row r="1578" spans="1:19" x14ac:dyDescent="0.3">
      <c r="A1578" t="s">
        <v>3178</v>
      </c>
      <c r="B1578" t="s">
        <v>3179</v>
      </c>
      <c r="C1578">
        <v>67</v>
      </c>
      <c r="D1578" s="2" t="s">
        <v>21</v>
      </c>
      <c r="E1578" s="2" t="s">
        <v>14</v>
      </c>
      <c r="F1578" s="2" t="s">
        <v>15</v>
      </c>
      <c r="G1578" s="2" t="s">
        <v>81</v>
      </c>
      <c r="H1578" s="2" t="s">
        <v>17</v>
      </c>
      <c r="I1578" s="2" t="s">
        <v>18</v>
      </c>
      <c r="J1578">
        <v>0.43</v>
      </c>
      <c r="K1578" s="1">
        <v>43966</v>
      </c>
      <c r="L1578" s="2" t="str">
        <f>IF(Sheet1[[#This Row],[age]]&lt;18, "Under 18",IF(Sheet1[[#This Row],[age]]&lt;=30,"18-30",IF(Sheet1[[#This Row],[age]]&lt;=45,"31-45",IF(Sheet1[[#This Row],[age]]&lt;=60,"46-60","60+"))))</f>
        <v>60+</v>
      </c>
      <c r="M1578" s="2" t="str">
        <f>IF(Sheet1[[#This Row],[risk_score]]&lt;0.3,"Low",IF(Sheet1[[#This Row],[risk_score]]&lt;0.7,"Medium","High"))</f>
        <v>Medium</v>
      </c>
      <c r="N1578">
        <f>YEAR(Sheet1[[#This Row],[date_joined]])</f>
        <v>2020</v>
      </c>
      <c r="O1578" s="2" t="str">
        <f>TEXT(Sheet1[[#This Row],[date_joined]],"mmm")</f>
        <v>May</v>
      </c>
      <c r="P1578" s="2" t="str">
        <f>"Q"&amp;ROUNDUP(MONTH(Sheet1[[#This Row],[date_joined]])/3,0)</f>
        <v>Q2</v>
      </c>
      <c r="Q1578" s="2" t="str">
        <f>IF(Sheet1[[#This Row],[age]]&lt;30,"Young",IF(Sheet1[[#This Row],[age]]&lt;=50,"Adult","Senior"))</f>
        <v>Senior</v>
      </c>
      <c r="R1578" s="2" t="str">
        <f t="shared" si="48"/>
        <v>High</v>
      </c>
      <c r="S1578" s="2" t="str">
        <f t="shared" si="49"/>
        <v>Central - Student</v>
      </c>
    </row>
    <row r="1579" spans="1:19" x14ac:dyDescent="0.3">
      <c r="A1579" t="s">
        <v>3180</v>
      </c>
      <c r="B1579" t="s">
        <v>3181</v>
      </c>
      <c r="C1579">
        <v>26</v>
      </c>
      <c r="D1579" s="2" t="s">
        <v>21</v>
      </c>
      <c r="E1579" s="2" t="s">
        <v>14</v>
      </c>
      <c r="F1579" s="2" t="s">
        <v>31</v>
      </c>
      <c r="G1579" s="2" t="s">
        <v>81</v>
      </c>
      <c r="H1579" s="2" t="s">
        <v>17</v>
      </c>
      <c r="I1579" s="2" t="s">
        <v>18</v>
      </c>
      <c r="J1579">
        <v>0.47</v>
      </c>
      <c r="K1579" s="1">
        <v>44656</v>
      </c>
      <c r="L1579" s="2" t="str">
        <f>IF(Sheet1[[#This Row],[age]]&lt;18, "Under 18",IF(Sheet1[[#This Row],[age]]&lt;=30,"18-30",IF(Sheet1[[#This Row],[age]]&lt;=45,"31-45",IF(Sheet1[[#This Row],[age]]&lt;=60,"46-60","60+"))))</f>
        <v>18-30</v>
      </c>
      <c r="M1579" s="2" t="str">
        <f>IF(Sheet1[[#This Row],[risk_score]]&lt;0.3,"Low",IF(Sheet1[[#This Row],[risk_score]]&lt;0.7,"Medium","High"))</f>
        <v>Medium</v>
      </c>
      <c r="N1579">
        <f>YEAR(Sheet1[[#This Row],[date_joined]])</f>
        <v>2022</v>
      </c>
      <c r="O1579" s="2" t="str">
        <f>TEXT(Sheet1[[#This Row],[date_joined]],"mmm")</f>
        <v>Apr</v>
      </c>
      <c r="P1579" s="2" t="str">
        <f>"Q"&amp;ROUNDUP(MONTH(Sheet1[[#This Row],[date_joined]])/3,0)</f>
        <v>Q2</v>
      </c>
      <c r="Q1579" s="2" t="str">
        <f>IF(Sheet1[[#This Row],[age]]&lt;30,"Young",IF(Sheet1[[#This Row],[age]]&lt;=50,"Adult","Senior"))</f>
        <v>Young</v>
      </c>
      <c r="R1579" s="2" t="str">
        <f t="shared" si="48"/>
        <v>High</v>
      </c>
      <c r="S1579" s="2" t="str">
        <f t="shared" si="49"/>
        <v>Central - Self-employed</v>
      </c>
    </row>
    <row r="1580" spans="1:19" x14ac:dyDescent="0.3">
      <c r="A1580" t="s">
        <v>3182</v>
      </c>
      <c r="B1580" t="s">
        <v>3183</v>
      </c>
      <c r="C1580">
        <v>51</v>
      </c>
      <c r="D1580" s="2" t="s">
        <v>13</v>
      </c>
      <c r="E1580" s="2" t="s">
        <v>22</v>
      </c>
      <c r="F1580" s="2" t="s">
        <v>15</v>
      </c>
      <c r="G1580" s="2" t="s">
        <v>81</v>
      </c>
      <c r="H1580" s="2" t="s">
        <v>18</v>
      </c>
      <c r="I1580" s="2" t="s">
        <v>18</v>
      </c>
      <c r="J1580">
        <v>0.05</v>
      </c>
      <c r="K1580" s="1">
        <v>44804</v>
      </c>
      <c r="L1580" s="2" t="str">
        <f>IF(Sheet1[[#This Row],[age]]&lt;18, "Under 18",IF(Sheet1[[#This Row],[age]]&lt;=30,"18-30",IF(Sheet1[[#This Row],[age]]&lt;=45,"31-45",IF(Sheet1[[#This Row],[age]]&lt;=60,"46-60","60+"))))</f>
        <v>46-60</v>
      </c>
      <c r="M1580" s="2" t="str">
        <f>IF(Sheet1[[#This Row],[risk_score]]&lt;0.3,"Low",IF(Sheet1[[#This Row],[risk_score]]&lt;0.7,"Medium","High"))</f>
        <v>Low</v>
      </c>
      <c r="N1580">
        <f>YEAR(Sheet1[[#This Row],[date_joined]])</f>
        <v>2022</v>
      </c>
      <c r="O1580" s="2" t="str">
        <f>TEXT(Sheet1[[#This Row],[date_joined]],"mmm")</f>
        <v>Aug</v>
      </c>
      <c r="P1580" s="2" t="str">
        <f>"Q"&amp;ROUNDUP(MONTH(Sheet1[[#This Row],[date_joined]])/3,0)</f>
        <v>Q3</v>
      </c>
      <c r="Q1580" s="2" t="str">
        <f>IF(Sheet1[[#This Row],[age]]&lt;30,"Young",IF(Sheet1[[#This Row],[age]]&lt;=50,"Adult","Senior"))</f>
        <v>Senior</v>
      </c>
      <c r="R1580" s="2" t="str">
        <f t="shared" si="48"/>
        <v>Very High</v>
      </c>
      <c r="S1580" s="2" t="str">
        <f t="shared" si="49"/>
        <v>Central - Student</v>
      </c>
    </row>
    <row r="1581" spans="1:19" x14ac:dyDescent="0.3">
      <c r="A1581" t="s">
        <v>3184</v>
      </c>
      <c r="B1581" t="s">
        <v>3185</v>
      </c>
      <c r="C1581">
        <v>53</v>
      </c>
      <c r="D1581" s="2" t="s">
        <v>21</v>
      </c>
      <c r="E1581" s="2" t="s">
        <v>14</v>
      </c>
      <c r="F1581" s="2" t="s">
        <v>31</v>
      </c>
      <c r="G1581" s="2" t="s">
        <v>16</v>
      </c>
      <c r="H1581" s="2" t="s">
        <v>17</v>
      </c>
      <c r="I1581" s="2" t="s">
        <v>17</v>
      </c>
      <c r="J1581">
        <v>0.56999999999999995</v>
      </c>
      <c r="K1581" s="1">
        <v>43449</v>
      </c>
      <c r="L1581" s="2" t="str">
        <f>IF(Sheet1[[#This Row],[age]]&lt;18, "Under 18",IF(Sheet1[[#This Row],[age]]&lt;=30,"18-30",IF(Sheet1[[#This Row],[age]]&lt;=45,"31-45",IF(Sheet1[[#This Row],[age]]&lt;=60,"46-60","60+"))))</f>
        <v>46-60</v>
      </c>
      <c r="M1581" s="2" t="str">
        <f>IF(Sheet1[[#This Row],[risk_score]]&lt;0.3,"Low",IF(Sheet1[[#This Row],[risk_score]]&lt;0.7,"Medium","High"))</f>
        <v>Medium</v>
      </c>
      <c r="N1581">
        <f>YEAR(Sheet1[[#This Row],[date_joined]])</f>
        <v>2018</v>
      </c>
      <c r="O1581" s="2" t="str">
        <f>TEXT(Sheet1[[#This Row],[date_joined]],"mmm")</f>
        <v>Dec</v>
      </c>
      <c r="P1581" s="2" t="str">
        <f>"Q"&amp;ROUNDUP(MONTH(Sheet1[[#This Row],[date_joined]])/3,0)</f>
        <v>Q4</v>
      </c>
      <c r="Q1581" s="2" t="str">
        <f>IF(Sheet1[[#This Row],[age]]&lt;30,"Young",IF(Sheet1[[#This Row],[age]]&lt;=50,"Adult","Senior"))</f>
        <v>Senior</v>
      </c>
      <c r="R1581" s="2" t="str">
        <f t="shared" si="48"/>
        <v>Low</v>
      </c>
      <c r="S1581" s="2" t="str">
        <f t="shared" si="49"/>
        <v>West - Self-employed</v>
      </c>
    </row>
    <row r="1582" spans="1:19" x14ac:dyDescent="0.3">
      <c r="A1582" t="s">
        <v>3186</v>
      </c>
      <c r="B1582" t="s">
        <v>3187</v>
      </c>
      <c r="C1582">
        <v>36</v>
      </c>
      <c r="D1582" s="2" t="s">
        <v>13</v>
      </c>
      <c r="E1582" s="2" t="s">
        <v>22</v>
      </c>
      <c r="F1582" s="2" t="s">
        <v>15</v>
      </c>
      <c r="G1582" s="2" t="s">
        <v>66</v>
      </c>
      <c r="H1582" s="2" t="s">
        <v>17</v>
      </c>
      <c r="I1582" s="2" t="s">
        <v>18</v>
      </c>
      <c r="J1582">
        <v>0.57999999999999996</v>
      </c>
      <c r="K1582" s="1">
        <v>43563</v>
      </c>
      <c r="L1582" s="2" t="str">
        <f>IF(Sheet1[[#This Row],[age]]&lt;18, "Under 18",IF(Sheet1[[#This Row],[age]]&lt;=30,"18-30",IF(Sheet1[[#This Row],[age]]&lt;=45,"31-45",IF(Sheet1[[#This Row],[age]]&lt;=60,"46-60","60+"))))</f>
        <v>31-45</v>
      </c>
      <c r="M1582" s="2" t="str">
        <f>IF(Sheet1[[#This Row],[risk_score]]&lt;0.3,"Low",IF(Sheet1[[#This Row],[risk_score]]&lt;0.7,"Medium","High"))</f>
        <v>Medium</v>
      </c>
      <c r="N1582">
        <f>YEAR(Sheet1[[#This Row],[date_joined]])</f>
        <v>2019</v>
      </c>
      <c r="O1582" s="2" t="str">
        <f>TEXT(Sheet1[[#This Row],[date_joined]],"mmm")</f>
        <v>Apr</v>
      </c>
      <c r="P1582" s="2" t="str">
        <f>"Q"&amp;ROUNDUP(MONTH(Sheet1[[#This Row],[date_joined]])/3,0)</f>
        <v>Q2</v>
      </c>
      <c r="Q1582" s="2" t="str">
        <f>IF(Sheet1[[#This Row],[age]]&lt;30,"Young",IF(Sheet1[[#This Row],[age]]&lt;=50,"Adult","Senior"))</f>
        <v>Adult</v>
      </c>
      <c r="R1582" s="2" t="str">
        <f t="shared" si="48"/>
        <v>High</v>
      </c>
      <c r="S1582" s="2" t="str">
        <f t="shared" si="49"/>
        <v>North-East - Student</v>
      </c>
    </row>
    <row r="1583" spans="1:19" x14ac:dyDescent="0.3">
      <c r="A1583" t="s">
        <v>3188</v>
      </c>
      <c r="B1583" t="s">
        <v>3189</v>
      </c>
      <c r="C1583">
        <v>30</v>
      </c>
      <c r="D1583" s="2" t="s">
        <v>21</v>
      </c>
      <c r="E1583" s="2" t="s">
        <v>22</v>
      </c>
      <c r="F1583" s="2" t="s">
        <v>31</v>
      </c>
      <c r="G1583" s="2" t="s">
        <v>32</v>
      </c>
      <c r="H1583" s="2" t="s">
        <v>18</v>
      </c>
      <c r="I1583" s="2" t="s">
        <v>18</v>
      </c>
      <c r="J1583">
        <v>0.52</v>
      </c>
      <c r="K1583" s="1">
        <v>44190</v>
      </c>
      <c r="L1583" s="2" t="str">
        <f>IF(Sheet1[[#This Row],[age]]&lt;18, "Under 18",IF(Sheet1[[#This Row],[age]]&lt;=30,"18-30",IF(Sheet1[[#This Row],[age]]&lt;=45,"31-45",IF(Sheet1[[#This Row],[age]]&lt;=60,"46-60","60+"))))</f>
        <v>18-30</v>
      </c>
      <c r="M1583" s="2" t="str">
        <f>IF(Sheet1[[#This Row],[risk_score]]&lt;0.3,"Low",IF(Sheet1[[#This Row],[risk_score]]&lt;0.7,"Medium","High"))</f>
        <v>Medium</v>
      </c>
      <c r="N1583">
        <f>YEAR(Sheet1[[#This Row],[date_joined]])</f>
        <v>2020</v>
      </c>
      <c r="O1583" s="2" t="str">
        <f>TEXT(Sheet1[[#This Row],[date_joined]],"mmm")</f>
        <v>Dec</v>
      </c>
      <c r="P1583" s="2" t="str">
        <f>"Q"&amp;ROUNDUP(MONTH(Sheet1[[#This Row],[date_joined]])/3,0)</f>
        <v>Q4</v>
      </c>
      <c r="Q1583" s="2" t="str">
        <f>IF(Sheet1[[#This Row],[age]]&lt;30,"Young",IF(Sheet1[[#This Row],[age]]&lt;=50,"Adult","Senior"))</f>
        <v>Adult</v>
      </c>
      <c r="R1583" s="2" t="str">
        <f t="shared" si="48"/>
        <v>Very High</v>
      </c>
      <c r="S1583" s="2" t="str">
        <f t="shared" si="49"/>
        <v>South - Self-employed</v>
      </c>
    </row>
    <row r="1584" spans="1:19" x14ac:dyDescent="0.3">
      <c r="A1584" t="s">
        <v>3190</v>
      </c>
      <c r="B1584" t="s">
        <v>3191</v>
      </c>
      <c r="C1584">
        <v>63</v>
      </c>
      <c r="D1584" s="2" t="s">
        <v>13</v>
      </c>
      <c r="E1584" s="2" t="s">
        <v>14</v>
      </c>
      <c r="F1584" s="2" t="s">
        <v>37</v>
      </c>
      <c r="G1584" s="2" t="s">
        <v>27</v>
      </c>
      <c r="H1584" s="2" t="s">
        <v>17</v>
      </c>
      <c r="I1584" s="2" t="s">
        <v>18</v>
      </c>
      <c r="J1584">
        <v>0.55000000000000004</v>
      </c>
      <c r="K1584" s="1">
        <v>45006</v>
      </c>
      <c r="L1584" s="2" t="str">
        <f>IF(Sheet1[[#This Row],[age]]&lt;18, "Under 18",IF(Sheet1[[#This Row],[age]]&lt;=30,"18-30",IF(Sheet1[[#This Row],[age]]&lt;=45,"31-45",IF(Sheet1[[#This Row],[age]]&lt;=60,"46-60","60+"))))</f>
        <v>60+</v>
      </c>
      <c r="M1584" s="2" t="str">
        <f>IF(Sheet1[[#This Row],[risk_score]]&lt;0.3,"Low",IF(Sheet1[[#This Row],[risk_score]]&lt;0.7,"Medium","High"))</f>
        <v>Medium</v>
      </c>
      <c r="N1584">
        <f>YEAR(Sheet1[[#This Row],[date_joined]])</f>
        <v>2023</v>
      </c>
      <c r="O1584" s="2" t="str">
        <f>TEXT(Sheet1[[#This Row],[date_joined]],"mmm")</f>
        <v>Mar</v>
      </c>
      <c r="P1584" s="2" t="str">
        <f>"Q"&amp;ROUNDUP(MONTH(Sheet1[[#This Row],[date_joined]])/3,0)</f>
        <v>Q1</v>
      </c>
      <c r="Q1584" s="2" t="str">
        <f>IF(Sheet1[[#This Row],[age]]&lt;30,"Young",IF(Sheet1[[#This Row],[age]]&lt;=50,"Adult","Senior"))</f>
        <v>Senior</v>
      </c>
      <c r="R1584" s="2" t="str">
        <f t="shared" si="48"/>
        <v>High</v>
      </c>
      <c r="S1584" s="2" t="str">
        <f t="shared" si="49"/>
        <v>North - Retired</v>
      </c>
    </row>
    <row r="1585" spans="1:19" x14ac:dyDescent="0.3">
      <c r="A1585" t="s">
        <v>3192</v>
      </c>
      <c r="B1585" t="s">
        <v>3193</v>
      </c>
      <c r="C1585">
        <v>62</v>
      </c>
      <c r="D1585" s="2" t="s">
        <v>13</v>
      </c>
      <c r="E1585" s="2" t="s">
        <v>14</v>
      </c>
      <c r="F1585" s="2" t="s">
        <v>15</v>
      </c>
      <c r="G1585" s="2" t="s">
        <v>81</v>
      </c>
      <c r="H1585" s="2" t="s">
        <v>17</v>
      </c>
      <c r="I1585" s="2" t="s">
        <v>17</v>
      </c>
      <c r="J1585">
        <v>0.24</v>
      </c>
      <c r="K1585" s="1">
        <v>44083</v>
      </c>
      <c r="L1585" s="2" t="str">
        <f>IF(Sheet1[[#This Row],[age]]&lt;18, "Under 18",IF(Sheet1[[#This Row],[age]]&lt;=30,"18-30",IF(Sheet1[[#This Row],[age]]&lt;=45,"31-45",IF(Sheet1[[#This Row],[age]]&lt;=60,"46-60","60+"))))</f>
        <v>60+</v>
      </c>
      <c r="M1585" s="2" t="str">
        <f>IF(Sheet1[[#This Row],[risk_score]]&lt;0.3,"Low",IF(Sheet1[[#This Row],[risk_score]]&lt;0.7,"Medium","High"))</f>
        <v>Low</v>
      </c>
      <c r="N1585">
        <f>YEAR(Sheet1[[#This Row],[date_joined]])</f>
        <v>2020</v>
      </c>
      <c r="O1585" s="2" t="str">
        <f>TEXT(Sheet1[[#This Row],[date_joined]],"mmm")</f>
        <v>Sep</v>
      </c>
      <c r="P1585" s="2" t="str">
        <f>"Q"&amp;ROUNDUP(MONTH(Sheet1[[#This Row],[date_joined]])/3,0)</f>
        <v>Q3</v>
      </c>
      <c r="Q1585" s="2" t="str">
        <f>IF(Sheet1[[#This Row],[age]]&lt;30,"Young",IF(Sheet1[[#This Row],[age]]&lt;=50,"Adult","Senior"))</f>
        <v>Senior</v>
      </c>
      <c r="R1585" s="2" t="str">
        <f t="shared" si="48"/>
        <v>Low</v>
      </c>
      <c r="S1585" s="2" t="str">
        <f t="shared" si="49"/>
        <v>Central - Student</v>
      </c>
    </row>
    <row r="1586" spans="1:19" x14ac:dyDescent="0.3">
      <c r="A1586" t="s">
        <v>3194</v>
      </c>
      <c r="B1586" t="s">
        <v>3195</v>
      </c>
      <c r="C1586">
        <v>58</v>
      </c>
      <c r="D1586" s="2" t="s">
        <v>13</v>
      </c>
      <c r="E1586" s="2" t="s">
        <v>22</v>
      </c>
      <c r="F1586" s="2" t="s">
        <v>15</v>
      </c>
      <c r="G1586" s="2" t="s">
        <v>81</v>
      </c>
      <c r="H1586" s="2" t="s">
        <v>18</v>
      </c>
      <c r="I1586" s="2" t="s">
        <v>18</v>
      </c>
      <c r="J1586">
        <v>0.36</v>
      </c>
      <c r="K1586" s="1">
        <v>43887</v>
      </c>
      <c r="L1586" s="2" t="str">
        <f>IF(Sheet1[[#This Row],[age]]&lt;18, "Under 18",IF(Sheet1[[#This Row],[age]]&lt;=30,"18-30",IF(Sheet1[[#This Row],[age]]&lt;=45,"31-45",IF(Sheet1[[#This Row],[age]]&lt;=60,"46-60","60+"))))</f>
        <v>46-60</v>
      </c>
      <c r="M1586" s="2" t="str">
        <f>IF(Sheet1[[#This Row],[risk_score]]&lt;0.3,"Low",IF(Sheet1[[#This Row],[risk_score]]&lt;0.7,"Medium","High"))</f>
        <v>Medium</v>
      </c>
      <c r="N1586">
        <f>YEAR(Sheet1[[#This Row],[date_joined]])</f>
        <v>2020</v>
      </c>
      <c r="O1586" s="2" t="str">
        <f>TEXT(Sheet1[[#This Row],[date_joined]],"mmm")</f>
        <v>Feb</v>
      </c>
      <c r="P1586" s="2" t="str">
        <f>"Q"&amp;ROUNDUP(MONTH(Sheet1[[#This Row],[date_joined]])/3,0)</f>
        <v>Q1</v>
      </c>
      <c r="Q1586" s="2" t="str">
        <f>IF(Sheet1[[#This Row],[age]]&lt;30,"Young",IF(Sheet1[[#This Row],[age]]&lt;=50,"Adult","Senior"))</f>
        <v>Senior</v>
      </c>
      <c r="R1586" s="2" t="str">
        <f t="shared" si="48"/>
        <v>Very High</v>
      </c>
      <c r="S1586" s="2" t="str">
        <f t="shared" si="49"/>
        <v>Central - Student</v>
      </c>
    </row>
    <row r="1587" spans="1:19" x14ac:dyDescent="0.3">
      <c r="A1587" t="s">
        <v>3196</v>
      </c>
      <c r="B1587" t="s">
        <v>3197</v>
      </c>
      <c r="C1587">
        <v>33</v>
      </c>
      <c r="D1587" s="2" t="s">
        <v>13</v>
      </c>
      <c r="E1587" s="2" t="s">
        <v>14</v>
      </c>
      <c r="F1587" s="2" t="s">
        <v>23</v>
      </c>
      <c r="G1587" s="2" t="s">
        <v>81</v>
      </c>
      <c r="H1587" s="2" t="s">
        <v>18</v>
      </c>
      <c r="I1587" s="2" t="s">
        <v>18</v>
      </c>
      <c r="J1587">
        <v>0.66</v>
      </c>
      <c r="K1587" s="1">
        <v>43322</v>
      </c>
      <c r="L1587" s="2" t="str">
        <f>IF(Sheet1[[#This Row],[age]]&lt;18, "Under 18",IF(Sheet1[[#This Row],[age]]&lt;=30,"18-30",IF(Sheet1[[#This Row],[age]]&lt;=45,"31-45",IF(Sheet1[[#This Row],[age]]&lt;=60,"46-60","60+"))))</f>
        <v>31-45</v>
      </c>
      <c r="M1587" s="2" t="str">
        <f>IF(Sheet1[[#This Row],[risk_score]]&lt;0.3,"Low",IF(Sheet1[[#This Row],[risk_score]]&lt;0.7,"Medium","High"))</f>
        <v>Medium</v>
      </c>
      <c r="N1587">
        <f>YEAR(Sheet1[[#This Row],[date_joined]])</f>
        <v>2018</v>
      </c>
      <c r="O1587" s="2" t="str">
        <f>TEXT(Sheet1[[#This Row],[date_joined]],"mmm")</f>
        <v>Aug</v>
      </c>
      <c r="P1587" s="2" t="str">
        <f>"Q"&amp;ROUNDUP(MONTH(Sheet1[[#This Row],[date_joined]])/3,0)</f>
        <v>Q3</v>
      </c>
      <c r="Q1587" s="2" t="str">
        <f>IF(Sheet1[[#This Row],[age]]&lt;30,"Young",IF(Sheet1[[#This Row],[age]]&lt;=50,"Adult","Senior"))</f>
        <v>Adult</v>
      </c>
      <c r="R1587" s="2" t="str">
        <f t="shared" si="48"/>
        <v>Very High</v>
      </c>
      <c r="S1587" s="2" t="str">
        <f t="shared" si="49"/>
        <v>Central - Salaried</v>
      </c>
    </row>
    <row r="1588" spans="1:19" x14ac:dyDescent="0.3">
      <c r="A1588" t="s">
        <v>3198</v>
      </c>
      <c r="B1588" t="s">
        <v>3199</v>
      </c>
      <c r="C1588">
        <v>58</v>
      </c>
      <c r="D1588" s="2" t="s">
        <v>13</v>
      </c>
      <c r="E1588" s="2" t="s">
        <v>14</v>
      </c>
      <c r="F1588" s="2" t="s">
        <v>37</v>
      </c>
      <c r="G1588" s="2" t="s">
        <v>32</v>
      </c>
      <c r="H1588" s="2" t="s">
        <v>17</v>
      </c>
      <c r="I1588" s="2" t="s">
        <v>18</v>
      </c>
      <c r="J1588">
        <v>0.28000000000000003</v>
      </c>
      <c r="K1588" s="1">
        <v>43161</v>
      </c>
      <c r="L1588" s="2" t="str">
        <f>IF(Sheet1[[#This Row],[age]]&lt;18, "Under 18",IF(Sheet1[[#This Row],[age]]&lt;=30,"18-30",IF(Sheet1[[#This Row],[age]]&lt;=45,"31-45",IF(Sheet1[[#This Row],[age]]&lt;=60,"46-60","60+"))))</f>
        <v>46-60</v>
      </c>
      <c r="M1588" s="2" t="str">
        <f>IF(Sheet1[[#This Row],[risk_score]]&lt;0.3,"Low",IF(Sheet1[[#This Row],[risk_score]]&lt;0.7,"Medium","High"))</f>
        <v>Low</v>
      </c>
      <c r="N1588">
        <f>YEAR(Sheet1[[#This Row],[date_joined]])</f>
        <v>2018</v>
      </c>
      <c r="O1588" s="2" t="str">
        <f>TEXT(Sheet1[[#This Row],[date_joined]],"mmm")</f>
        <v>Mar</v>
      </c>
      <c r="P1588" s="2" t="str">
        <f>"Q"&amp;ROUNDUP(MONTH(Sheet1[[#This Row],[date_joined]])/3,0)</f>
        <v>Q1</v>
      </c>
      <c r="Q1588" s="2" t="str">
        <f>IF(Sheet1[[#This Row],[age]]&lt;30,"Young",IF(Sheet1[[#This Row],[age]]&lt;=50,"Adult","Senior"))</f>
        <v>Senior</v>
      </c>
      <c r="R1588" s="2" t="str">
        <f t="shared" si="48"/>
        <v>High</v>
      </c>
      <c r="S1588" s="2" t="str">
        <f t="shared" si="49"/>
        <v>South - Retired</v>
      </c>
    </row>
    <row r="1589" spans="1:19" x14ac:dyDescent="0.3">
      <c r="A1589" t="s">
        <v>3200</v>
      </c>
      <c r="B1589" t="s">
        <v>3201</v>
      </c>
      <c r="C1589">
        <v>44</v>
      </c>
      <c r="D1589" s="2" t="s">
        <v>13</v>
      </c>
      <c r="E1589" s="2" t="s">
        <v>22</v>
      </c>
      <c r="F1589" s="2" t="s">
        <v>37</v>
      </c>
      <c r="G1589" s="2" t="s">
        <v>32</v>
      </c>
      <c r="H1589" s="2" t="s">
        <v>18</v>
      </c>
      <c r="I1589" s="2" t="s">
        <v>17</v>
      </c>
      <c r="J1589">
        <v>0.4</v>
      </c>
      <c r="K1589" s="1">
        <v>43500</v>
      </c>
      <c r="L1589" s="2" t="str">
        <f>IF(Sheet1[[#This Row],[age]]&lt;18, "Under 18",IF(Sheet1[[#This Row],[age]]&lt;=30,"18-30",IF(Sheet1[[#This Row],[age]]&lt;=45,"31-45",IF(Sheet1[[#This Row],[age]]&lt;=60,"46-60","60+"))))</f>
        <v>31-45</v>
      </c>
      <c r="M1589" s="2" t="str">
        <f>IF(Sheet1[[#This Row],[risk_score]]&lt;0.3,"Low",IF(Sheet1[[#This Row],[risk_score]]&lt;0.7,"Medium","High"))</f>
        <v>Medium</v>
      </c>
      <c r="N1589">
        <f>YEAR(Sheet1[[#This Row],[date_joined]])</f>
        <v>2019</v>
      </c>
      <c r="O1589" s="2" t="str">
        <f>TEXT(Sheet1[[#This Row],[date_joined]],"mmm")</f>
        <v>Feb</v>
      </c>
      <c r="P1589" s="2" t="str">
        <f>"Q"&amp;ROUNDUP(MONTH(Sheet1[[#This Row],[date_joined]])/3,0)</f>
        <v>Q1</v>
      </c>
      <c r="Q1589" s="2" t="str">
        <f>IF(Sheet1[[#This Row],[age]]&lt;30,"Young",IF(Sheet1[[#This Row],[age]]&lt;=50,"Adult","Senior"))</f>
        <v>Adult</v>
      </c>
      <c r="R1589" s="2" t="str">
        <f t="shared" si="48"/>
        <v>High</v>
      </c>
      <c r="S1589" s="2" t="str">
        <f t="shared" si="49"/>
        <v>South - Retired</v>
      </c>
    </row>
    <row r="1590" spans="1:19" x14ac:dyDescent="0.3">
      <c r="A1590" t="s">
        <v>3202</v>
      </c>
      <c r="B1590" t="s">
        <v>3203</v>
      </c>
      <c r="C1590">
        <v>21</v>
      </c>
      <c r="D1590" s="2" t="s">
        <v>21</v>
      </c>
      <c r="E1590" s="2" t="s">
        <v>14</v>
      </c>
      <c r="F1590" s="2" t="s">
        <v>23</v>
      </c>
      <c r="G1590" s="2" t="s">
        <v>81</v>
      </c>
      <c r="H1590" s="2" t="s">
        <v>18</v>
      </c>
      <c r="I1590" s="2" t="s">
        <v>18</v>
      </c>
      <c r="J1590">
        <v>0.6</v>
      </c>
      <c r="K1590" s="1">
        <v>44078</v>
      </c>
      <c r="L1590" s="2" t="str">
        <f>IF(Sheet1[[#This Row],[age]]&lt;18, "Under 18",IF(Sheet1[[#This Row],[age]]&lt;=30,"18-30",IF(Sheet1[[#This Row],[age]]&lt;=45,"31-45",IF(Sheet1[[#This Row],[age]]&lt;=60,"46-60","60+"))))</f>
        <v>18-30</v>
      </c>
      <c r="M1590" s="2" t="str">
        <f>IF(Sheet1[[#This Row],[risk_score]]&lt;0.3,"Low",IF(Sheet1[[#This Row],[risk_score]]&lt;0.7,"Medium","High"))</f>
        <v>Medium</v>
      </c>
      <c r="N1590">
        <f>YEAR(Sheet1[[#This Row],[date_joined]])</f>
        <v>2020</v>
      </c>
      <c r="O1590" s="2" t="str">
        <f>TEXT(Sheet1[[#This Row],[date_joined]],"mmm")</f>
        <v>Sep</v>
      </c>
      <c r="P1590" s="2" t="str">
        <f>"Q"&amp;ROUNDUP(MONTH(Sheet1[[#This Row],[date_joined]])/3,0)</f>
        <v>Q3</v>
      </c>
      <c r="Q1590" s="2" t="str">
        <f>IF(Sheet1[[#This Row],[age]]&lt;30,"Young",IF(Sheet1[[#This Row],[age]]&lt;=50,"Adult","Senior"))</f>
        <v>Young</v>
      </c>
      <c r="R1590" s="2" t="str">
        <f t="shared" si="48"/>
        <v>Very High</v>
      </c>
      <c r="S1590" s="2" t="str">
        <f t="shared" si="49"/>
        <v>Central - Salaried</v>
      </c>
    </row>
    <row r="1591" spans="1:19" x14ac:dyDescent="0.3">
      <c r="A1591" t="s">
        <v>3204</v>
      </c>
      <c r="B1591" t="s">
        <v>3205</v>
      </c>
      <c r="C1591">
        <v>21</v>
      </c>
      <c r="D1591" s="2" t="s">
        <v>21</v>
      </c>
      <c r="E1591" s="2" t="s">
        <v>30</v>
      </c>
      <c r="F1591" s="2" t="s">
        <v>37</v>
      </c>
      <c r="G1591" s="2" t="s">
        <v>32</v>
      </c>
      <c r="H1591" s="2" t="s">
        <v>17</v>
      </c>
      <c r="I1591" s="2" t="s">
        <v>18</v>
      </c>
      <c r="J1591">
        <v>0.23</v>
      </c>
      <c r="K1591" s="1">
        <v>44019</v>
      </c>
      <c r="L1591" s="2" t="str">
        <f>IF(Sheet1[[#This Row],[age]]&lt;18, "Under 18",IF(Sheet1[[#This Row],[age]]&lt;=30,"18-30",IF(Sheet1[[#This Row],[age]]&lt;=45,"31-45",IF(Sheet1[[#This Row],[age]]&lt;=60,"46-60","60+"))))</f>
        <v>18-30</v>
      </c>
      <c r="M1591" s="2" t="str">
        <f>IF(Sheet1[[#This Row],[risk_score]]&lt;0.3,"Low",IF(Sheet1[[#This Row],[risk_score]]&lt;0.7,"Medium","High"))</f>
        <v>Low</v>
      </c>
      <c r="N1591">
        <f>YEAR(Sheet1[[#This Row],[date_joined]])</f>
        <v>2020</v>
      </c>
      <c r="O1591" s="2" t="str">
        <f>TEXT(Sheet1[[#This Row],[date_joined]],"mmm")</f>
        <v>Jul</v>
      </c>
      <c r="P1591" s="2" t="str">
        <f>"Q"&amp;ROUNDUP(MONTH(Sheet1[[#This Row],[date_joined]])/3,0)</f>
        <v>Q3</v>
      </c>
      <c r="Q1591" s="2" t="str">
        <f>IF(Sheet1[[#This Row],[age]]&lt;30,"Young",IF(Sheet1[[#This Row],[age]]&lt;=50,"Adult","Senior"))</f>
        <v>Young</v>
      </c>
      <c r="R1591" s="2" t="str">
        <f t="shared" si="48"/>
        <v>High</v>
      </c>
      <c r="S1591" s="2" t="str">
        <f t="shared" si="49"/>
        <v>South - Retired</v>
      </c>
    </row>
    <row r="1592" spans="1:19" x14ac:dyDescent="0.3">
      <c r="A1592" t="s">
        <v>3206</v>
      </c>
      <c r="B1592" t="s">
        <v>3207</v>
      </c>
      <c r="C1592">
        <v>45</v>
      </c>
      <c r="D1592" s="2" t="s">
        <v>21</v>
      </c>
      <c r="E1592" s="2" t="s">
        <v>14</v>
      </c>
      <c r="F1592" s="2" t="s">
        <v>23</v>
      </c>
      <c r="G1592" s="2" t="s">
        <v>27</v>
      </c>
      <c r="H1592" s="2" t="s">
        <v>17</v>
      </c>
      <c r="I1592" s="2" t="s">
        <v>17</v>
      </c>
      <c r="J1592">
        <v>0.14000000000000001</v>
      </c>
      <c r="K1592" s="1">
        <v>43136</v>
      </c>
      <c r="L1592" s="2" t="str">
        <f>IF(Sheet1[[#This Row],[age]]&lt;18, "Under 18",IF(Sheet1[[#This Row],[age]]&lt;=30,"18-30",IF(Sheet1[[#This Row],[age]]&lt;=45,"31-45",IF(Sheet1[[#This Row],[age]]&lt;=60,"46-60","60+"))))</f>
        <v>31-45</v>
      </c>
      <c r="M1592" s="2" t="str">
        <f>IF(Sheet1[[#This Row],[risk_score]]&lt;0.3,"Low",IF(Sheet1[[#This Row],[risk_score]]&lt;0.7,"Medium","High"))</f>
        <v>Low</v>
      </c>
      <c r="N1592">
        <f>YEAR(Sheet1[[#This Row],[date_joined]])</f>
        <v>2018</v>
      </c>
      <c r="O1592" s="2" t="str">
        <f>TEXT(Sheet1[[#This Row],[date_joined]],"mmm")</f>
        <v>Feb</v>
      </c>
      <c r="P1592" s="2" t="str">
        <f>"Q"&amp;ROUNDUP(MONTH(Sheet1[[#This Row],[date_joined]])/3,0)</f>
        <v>Q1</v>
      </c>
      <c r="Q1592" s="2" t="str">
        <f>IF(Sheet1[[#This Row],[age]]&lt;30,"Young",IF(Sheet1[[#This Row],[age]]&lt;=50,"Adult","Senior"))</f>
        <v>Adult</v>
      </c>
      <c r="R1592" s="2" t="str">
        <f t="shared" si="48"/>
        <v>Low</v>
      </c>
      <c r="S1592" s="2" t="str">
        <f t="shared" si="49"/>
        <v>North - Salaried</v>
      </c>
    </row>
    <row r="1593" spans="1:19" x14ac:dyDescent="0.3">
      <c r="A1593" t="s">
        <v>3208</v>
      </c>
      <c r="B1593" t="s">
        <v>3209</v>
      </c>
      <c r="C1593">
        <v>67</v>
      </c>
      <c r="D1593" s="2" t="s">
        <v>13</v>
      </c>
      <c r="E1593" s="2" t="s">
        <v>30</v>
      </c>
      <c r="F1593" s="2" t="s">
        <v>31</v>
      </c>
      <c r="G1593" s="2" t="s">
        <v>27</v>
      </c>
      <c r="H1593" s="2" t="s">
        <v>18</v>
      </c>
      <c r="I1593" s="2" t="s">
        <v>18</v>
      </c>
      <c r="J1593">
        <v>0.28000000000000003</v>
      </c>
      <c r="K1593" s="1">
        <v>43644</v>
      </c>
      <c r="L1593" s="2" t="str">
        <f>IF(Sheet1[[#This Row],[age]]&lt;18, "Under 18",IF(Sheet1[[#This Row],[age]]&lt;=30,"18-30",IF(Sheet1[[#This Row],[age]]&lt;=45,"31-45",IF(Sheet1[[#This Row],[age]]&lt;=60,"46-60","60+"))))</f>
        <v>60+</v>
      </c>
      <c r="M1593" s="2" t="str">
        <f>IF(Sheet1[[#This Row],[risk_score]]&lt;0.3,"Low",IF(Sheet1[[#This Row],[risk_score]]&lt;0.7,"Medium","High"))</f>
        <v>Low</v>
      </c>
      <c r="N1593">
        <f>YEAR(Sheet1[[#This Row],[date_joined]])</f>
        <v>2019</v>
      </c>
      <c r="O1593" s="2" t="str">
        <f>TEXT(Sheet1[[#This Row],[date_joined]],"mmm")</f>
        <v>Jun</v>
      </c>
      <c r="P1593" s="2" t="str">
        <f>"Q"&amp;ROUNDUP(MONTH(Sheet1[[#This Row],[date_joined]])/3,0)</f>
        <v>Q2</v>
      </c>
      <c r="Q1593" s="2" t="str">
        <f>IF(Sheet1[[#This Row],[age]]&lt;30,"Young",IF(Sheet1[[#This Row],[age]]&lt;=50,"Adult","Senior"))</f>
        <v>Senior</v>
      </c>
      <c r="R1593" s="2" t="str">
        <f t="shared" si="48"/>
        <v>Very High</v>
      </c>
      <c r="S1593" s="2" t="str">
        <f t="shared" si="49"/>
        <v>North - Self-employed</v>
      </c>
    </row>
    <row r="1594" spans="1:19" x14ac:dyDescent="0.3">
      <c r="A1594" t="s">
        <v>3210</v>
      </c>
      <c r="B1594" t="s">
        <v>3211</v>
      </c>
      <c r="C1594">
        <v>49</v>
      </c>
      <c r="D1594" s="2" t="s">
        <v>21</v>
      </c>
      <c r="E1594" s="2" t="s">
        <v>22</v>
      </c>
      <c r="F1594" s="2" t="s">
        <v>31</v>
      </c>
      <c r="G1594" s="2" t="s">
        <v>16</v>
      </c>
      <c r="H1594" s="2" t="s">
        <v>18</v>
      </c>
      <c r="I1594" s="2" t="s">
        <v>18</v>
      </c>
      <c r="J1594">
        <v>0.45</v>
      </c>
      <c r="K1594" s="1">
        <v>43577</v>
      </c>
      <c r="L1594" s="2" t="str">
        <f>IF(Sheet1[[#This Row],[age]]&lt;18, "Under 18",IF(Sheet1[[#This Row],[age]]&lt;=30,"18-30",IF(Sheet1[[#This Row],[age]]&lt;=45,"31-45",IF(Sheet1[[#This Row],[age]]&lt;=60,"46-60","60+"))))</f>
        <v>46-60</v>
      </c>
      <c r="M1594" s="2" t="str">
        <f>IF(Sheet1[[#This Row],[risk_score]]&lt;0.3,"Low",IF(Sheet1[[#This Row],[risk_score]]&lt;0.7,"Medium","High"))</f>
        <v>Medium</v>
      </c>
      <c r="N1594">
        <f>YEAR(Sheet1[[#This Row],[date_joined]])</f>
        <v>2019</v>
      </c>
      <c r="O1594" s="2" t="str">
        <f>TEXT(Sheet1[[#This Row],[date_joined]],"mmm")</f>
        <v>Apr</v>
      </c>
      <c r="P1594" s="2" t="str">
        <f>"Q"&amp;ROUNDUP(MONTH(Sheet1[[#This Row],[date_joined]])/3,0)</f>
        <v>Q2</v>
      </c>
      <c r="Q1594" s="2" t="str">
        <f>IF(Sheet1[[#This Row],[age]]&lt;30,"Young",IF(Sheet1[[#This Row],[age]]&lt;=50,"Adult","Senior"))</f>
        <v>Adult</v>
      </c>
      <c r="R1594" s="2" t="str">
        <f t="shared" si="48"/>
        <v>Very High</v>
      </c>
      <c r="S1594" s="2" t="str">
        <f t="shared" si="49"/>
        <v>West - Self-employed</v>
      </c>
    </row>
    <row r="1595" spans="1:19" x14ac:dyDescent="0.3">
      <c r="A1595" t="s">
        <v>3212</v>
      </c>
      <c r="B1595" t="s">
        <v>3213</v>
      </c>
      <c r="C1595">
        <v>56</v>
      </c>
      <c r="D1595" s="2" t="s">
        <v>13</v>
      </c>
      <c r="E1595" s="2" t="s">
        <v>22</v>
      </c>
      <c r="F1595" s="2" t="s">
        <v>37</v>
      </c>
      <c r="G1595" s="2" t="s">
        <v>27</v>
      </c>
      <c r="H1595" s="2" t="s">
        <v>18</v>
      </c>
      <c r="I1595" s="2" t="s">
        <v>18</v>
      </c>
      <c r="J1595">
        <v>0.59</v>
      </c>
      <c r="K1595" s="1">
        <v>44083</v>
      </c>
      <c r="L1595" s="2" t="str">
        <f>IF(Sheet1[[#This Row],[age]]&lt;18, "Under 18",IF(Sheet1[[#This Row],[age]]&lt;=30,"18-30",IF(Sheet1[[#This Row],[age]]&lt;=45,"31-45",IF(Sheet1[[#This Row],[age]]&lt;=60,"46-60","60+"))))</f>
        <v>46-60</v>
      </c>
      <c r="M1595" s="2" t="str">
        <f>IF(Sheet1[[#This Row],[risk_score]]&lt;0.3,"Low",IF(Sheet1[[#This Row],[risk_score]]&lt;0.7,"Medium","High"))</f>
        <v>Medium</v>
      </c>
      <c r="N1595">
        <f>YEAR(Sheet1[[#This Row],[date_joined]])</f>
        <v>2020</v>
      </c>
      <c r="O1595" s="2" t="str">
        <f>TEXT(Sheet1[[#This Row],[date_joined]],"mmm")</f>
        <v>Sep</v>
      </c>
      <c r="P1595" s="2" t="str">
        <f>"Q"&amp;ROUNDUP(MONTH(Sheet1[[#This Row],[date_joined]])/3,0)</f>
        <v>Q3</v>
      </c>
      <c r="Q1595" s="2" t="str">
        <f>IF(Sheet1[[#This Row],[age]]&lt;30,"Young",IF(Sheet1[[#This Row],[age]]&lt;=50,"Adult","Senior"))</f>
        <v>Senior</v>
      </c>
      <c r="R1595" s="2" t="str">
        <f t="shared" si="48"/>
        <v>Very High</v>
      </c>
      <c r="S1595" s="2" t="str">
        <f t="shared" si="49"/>
        <v>North - Retired</v>
      </c>
    </row>
    <row r="1596" spans="1:19" x14ac:dyDescent="0.3">
      <c r="A1596" t="s">
        <v>3214</v>
      </c>
      <c r="B1596" t="s">
        <v>3215</v>
      </c>
      <c r="C1596">
        <v>64</v>
      </c>
      <c r="D1596" s="2" t="s">
        <v>21</v>
      </c>
      <c r="E1596" s="2" t="s">
        <v>30</v>
      </c>
      <c r="F1596" s="2" t="s">
        <v>15</v>
      </c>
      <c r="G1596" s="2" t="s">
        <v>81</v>
      </c>
      <c r="H1596" s="2" t="s">
        <v>17</v>
      </c>
      <c r="I1596" s="2" t="s">
        <v>18</v>
      </c>
      <c r="J1596">
        <v>0.76</v>
      </c>
      <c r="K1596" s="1">
        <v>43644</v>
      </c>
      <c r="L1596" s="2" t="str">
        <f>IF(Sheet1[[#This Row],[age]]&lt;18, "Under 18",IF(Sheet1[[#This Row],[age]]&lt;=30,"18-30",IF(Sheet1[[#This Row],[age]]&lt;=45,"31-45",IF(Sheet1[[#This Row],[age]]&lt;=60,"46-60","60+"))))</f>
        <v>60+</v>
      </c>
      <c r="M1596" s="2" t="str">
        <f>IF(Sheet1[[#This Row],[risk_score]]&lt;0.3,"Low",IF(Sheet1[[#This Row],[risk_score]]&lt;0.7,"Medium","High"))</f>
        <v>High</v>
      </c>
      <c r="N1596">
        <f>YEAR(Sheet1[[#This Row],[date_joined]])</f>
        <v>2019</v>
      </c>
      <c r="O1596" s="2" t="str">
        <f>TEXT(Sheet1[[#This Row],[date_joined]],"mmm")</f>
        <v>Jun</v>
      </c>
      <c r="P1596" s="2" t="str">
        <f>"Q"&amp;ROUNDUP(MONTH(Sheet1[[#This Row],[date_joined]])/3,0)</f>
        <v>Q2</v>
      </c>
      <c r="Q1596" s="2" t="str">
        <f>IF(Sheet1[[#This Row],[age]]&lt;30,"Young",IF(Sheet1[[#This Row],[age]]&lt;=50,"Adult","Senior"))</f>
        <v>Senior</v>
      </c>
      <c r="R1596" s="2" t="str">
        <f t="shared" si="48"/>
        <v>High</v>
      </c>
      <c r="S1596" s="2" t="str">
        <f t="shared" si="49"/>
        <v>Central - Student</v>
      </c>
    </row>
    <row r="1597" spans="1:19" x14ac:dyDescent="0.3">
      <c r="A1597" t="s">
        <v>3216</v>
      </c>
      <c r="B1597" t="s">
        <v>3217</v>
      </c>
      <c r="C1597">
        <v>19</v>
      </c>
      <c r="D1597" s="2" t="s">
        <v>13</v>
      </c>
      <c r="E1597" s="2" t="s">
        <v>22</v>
      </c>
      <c r="F1597" s="2" t="s">
        <v>23</v>
      </c>
      <c r="G1597" s="2" t="s">
        <v>24</v>
      </c>
      <c r="H1597" s="2" t="s">
        <v>17</v>
      </c>
      <c r="I1597" s="2" t="s">
        <v>17</v>
      </c>
      <c r="J1597">
        <v>0.65</v>
      </c>
      <c r="K1597" s="1">
        <v>44356</v>
      </c>
      <c r="L1597" s="2" t="str">
        <f>IF(Sheet1[[#This Row],[age]]&lt;18, "Under 18",IF(Sheet1[[#This Row],[age]]&lt;=30,"18-30",IF(Sheet1[[#This Row],[age]]&lt;=45,"31-45",IF(Sheet1[[#This Row],[age]]&lt;=60,"46-60","60+"))))</f>
        <v>18-30</v>
      </c>
      <c r="M1597" s="2" t="str">
        <f>IF(Sheet1[[#This Row],[risk_score]]&lt;0.3,"Low",IF(Sheet1[[#This Row],[risk_score]]&lt;0.7,"Medium","High"))</f>
        <v>Medium</v>
      </c>
      <c r="N1597">
        <f>YEAR(Sheet1[[#This Row],[date_joined]])</f>
        <v>2021</v>
      </c>
      <c r="O1597" s="2" t="str">
        <f>TEXT(Sheet1[[#This Row],[date_joined]],"mmm")</f>
        <v>Jun</v>
      </c>
      <c r="P1597" s="2" t="str">
        <f>"Q"&amp;ROUNDUP(MONTH(Sheet1[[#This Row],[date_joined]])/3,0)</f>
        <v>Q2</v>
      </c>
      <c r="Q1597" s="2" t="str">
        <f>IF(Sheet1[[#This Row],[age]]&lt;30,"Young",IF(Sheet1[[#This Row],[age]]&lt;=50,"Adult","Senior"))</f>
        <v>Young</v>
      </c>
      <c r="R1597" s="2" t="str">
        <f t="shared" si="48"/>
        <v>Low</v>
      </c>
      <c r="S1597" s="2" t="str">
        <f t="shared" si="49"/>
        <v>East - Salaried</v>
      </c>
    </row>
    <row r="1598" spans="1:19" x14ac:dyDescent="0.3">
      <c r="A1598" t="s">
        <v>3218</v>
      </c>
      <c r="B1598" t="s">
        <v>3219</v>
      </c>
      <c r="C1598">
        <v>34</v>
      </c>
      <c r="D1598" s="2" t="s">
        <v>13</v>
      </c>
      <c r="E1598" s="2" t="s">
        <v>22</v>
      </c>
      <c r="F1598" s="2" t="s">
        <v>23</v>
      </c>
      <c r="G1598" s="2" t="s">
        <v>16</v>
      </c>
      <c r="H1598" s="2" t="s">
        <v>17</v>
      </c>
      <c r="I1598" s="2" t="s">
        <v>17</v>
      </c>
      <c r="J1598">
        <v>0.71</v>
      </c>
      <c r="K1598" s="1">
        <v>44046</v>
      </c>
      <c r="L1598" s="2" t="str">
        <f>IF(Sheet1[[#This Row],[age]]&lt;18, "Under 18",IF(Sheet1[[#This Row],[age]]&lt;=30,"18-30",IF(Sheet1[[#This Row],[age]]&lt;=45,"31-45",IF(Sheet1[[#This Row],[age]]&lt;=60,"46-60","60+"))))</f>
        <v>31-45</v>
      </c>
      <c r="M1598" s="2" t="str">
        <f>IF(Sheet1[[#This Row],[risk_score]]&lt;0.3,"Low",IF(Sheet1[[#This Row],[risk_score]]&lt;0.7,"Medium","High"))</f>
        <v>High</v>
      </c>
      <c r="N1598">
        <f>YEAR(Sheet1[[#This Row],[date_joined]])</f>
        <v>2020</v>
      </c>
      <c r="O1598" s="2" t="str">
        <f>TEXT(Sheet1[[#This Row],[date_joined]],"mmm")</f>
        <v>Aug</v>
      </c>
      <c r="P1598" s="2" t="str">
        <f>"Q"&amp;ROUNDUP(MONTH(Sheet1[[#This Row],[date_joined]])/3,0)</f>
        <v>Q3</v>
      </c>
      <c r="Q1598" s="2" t="str">
        <f>IF(Sheet1[[#This Row],[age]]&lt;30,"Young",IF(Sheet1[[#This Row],[age]]&lt;=50,"Adult","Senior"))</f>
        <v>Adult</v>
      </c>
      <c r="R1598" s="2" t="str">
        <f t="shared" si="48"/>
        <v>Low</v>
      </c>
      <c r="S1598" s="2" t="str">
        <f t="shared" si="49"/>
        <v>West - Salaried</v>
      </c>
    </row>
    <row r="1599" spans="1:19" x14ac:dyDescent="0.3">
      <c r="A1599" t="s">
        <v>3220</v>
      </c>
      <c r="B1599" t="s">
        <v>3221</v>
      </c>
      <c r="C1599">
        <v>20</v>
      </c>
      <c r="D1599" s="2" t="s">
        <v>21</v>
      </c>
      <c r="E1599" s="2" t="s">
        <v>30</v>
      </c>
      <c r="F1599" s="2" t="s">
        <v>31</v>
      </c>
      <c r="G1599" s="2" t="s">
        <v>66</v>
      </c>
      <c r="H1599" s="2" t="s">
        <v>17</v>
      </c>
      <c r="I1599" s="2" t="s">
        <v>18</v>
      </c>
      <c r="J1599">
        <v>0.32</v>
      </c>
      <c r="K1599" s="1">
        <v>44583</v>
      </c>
      <c r="L1599" s="2" t="str">
        <f>IF(Sheet1[[#This Row],[age]]&lt;18, "Under 18",IF(Sheet1[[#This Row],[age]]&lt;=30,"18-30",IF(Sheet1[[#This Row],[age]]&lt;=45,"31-45",IF(Sheet1[[#This Row],[age]]&lt;=60,"46-60","60+"))))</f>
        <v>18-30</v>
      </c>
      <c r="M1599" s="2" t="str">
        <f>IF(Sheet1[[#This Row],[risk_score]]&lt;0.3,"Low",IF(Sheet1[[#This Row],[risk_score]]&lt;0.7,"Medium","High"))</f>
        <v>Medium</v>
      </c>
      <c r="N1599">
        <f>YEAR(Sheet1[[#This Row],[date_joined]])</f>
        <v>2022</v>
      </c>
      <c r="O1599" s="2" t="str">
        <f>TEXT(Sheet1[[#This Row],[date_joined]],"mmm")</f>
        <v>Jan</v>
      </c>
      <c r="P1599" s="2" t="str">
        <f>"Q"&amp;ROUNDUP(MONTH(Sheet1[[#This Row],[date_joined]])/3,0)</f>
        <v>Q1</v>
      </c>
      <c r="Q1599" s="2" t="str">
        <f>IF(Sheet1[[#This Row],[age]]&lt;30,"Young",IF(Sheet1[[#This Row],[age]]&lt;=50,"Adult","Senior"))</f>
        <v>Young</v>
      </c>
      <c r="R1599" s="2" t="str">
        <f t="shared" si="48"/>
        <v>High</v>
      </c>
      <c r="S1599" s="2" t="str">
        <f t="shared" si="49"/>
        <v>North-East - Self-employed</v>
      </c>
    </row>
    <row r="1600" spans="1:19" x14ac:dyDescent="0.3">
      <c r="A1600" t="s">
        <v>3222</v>
      </c>
      <c r="B1600" t="s">
        <v>3223</v>
      </c>
      <c r="C1600">
        <v>39</v>
      </c>
      <c r="D1600" s="2" t="s">
        <v>21</v>
      </c>
      <c r="E1600" s="2" t="s">
        <v>14</v>
      </c>
      <c r="F1600" s="2" t="s">
        <v>31</v>
      </c>
      <c r="G1600" s="2" t="s">
        <v>24</v>
      </c>
      <c r="H1600" s="2" t="s">
        <v>18</v>
      </c>
      <c r="I1600" s="2" t="s">
        <v>18</v>
      </c>
      <c r="J1600">
        <v>0.37</v>
      </c>
      <c r="K1600" s="1">
        <v>44400</v>
      </c>
      <c r="L1600" s="2" t="str">
        <f>IF(Sheet1[[#This Row],[age]]&lt;18, "Under 18",IF(Sheet1[[#This Row],[age]]&lt;=30,"18-30",IF(Sheet1[[#This Row],[age]]&lt;=45,"31-45",IF(Sheet1[[#This Row],[age]]&lt;=60,"46-60","60+"))))</f>
        <v>31-45</v>
      </c>
      <c r="M1600" s="2" t="str">
        <f>IF(Sheet1[[#This Row],[risk_score]]&lt;0.3,"Low",IF(Sheet1[[#This Row],[risk_score]]&lt;0.7,"Medium","High"))</f>
        <v>Medium</v>
      </c>
      <c r="N1600">
        <f>YEAR(Sheet1[[#This Row],[date_joined]])</f>
        <v>2021</v>
      </c>
      <c r="O1600" s="2" t="str">
        <f>TEXT(Sheet1[[#This Row],[date_joined]],"mmm")</f>
        <v>Jul</v>
      </c>
      <c r="P1600" s="2" t="str">
        <f>"Q"&amp;ROUNDUP(MONTH(Sheet1[[#This Row],[date_joined]])/3,0)</f>
        <v>Q3</v>
      </c>
      <c r="Q1600" s="2" t="str">
        <f>IF(Sheet1[[#This Row],[age]]&lt;30,"Young",IF(Sheet1[[#This Row],[age]]&lt;=50,"Adult","Senior"))</f>
        <v>Adult</v>
      </c>
      <c r="R1600" s="2" t="str">
        <f t="shared" si="48"/>
        <v>Very High</v>
      </c>
      <c r="S1600" s="2" t="str">
        <f t="shared" si="49"/>
        <v>East - Self-employed</v>
      </c>
    </row>
    <row r="1601" spans="1:19" x14ac:dyDescent="0.3">
      <c r="A1601" t="s">
        <v>3224</v>
      </c>
      <c r="B1601" t="s">
        <v>3225</v>
      </c>
      <c r="C1601">
        <v>29</v>
      </c>
      <c r="D1601" s="2" t="s">
        <v>13</v>
      </c>
      <c r="E1601" s="2" t="s">
        <v>22</v>
      </c>
      <c r="F1601" s="2" t="s">
        <v>31</v>
      </c>
      <c r="G1601" s="2" t="s">
        <v>81</v>
      </c>
      <c r="H1601" s="2" t="s">
        <v>18</v>
      </c>
      <c r="I1601" s="2" t="s">
        <v>17</v>
      </c>
      <c r="J1601">
        <v>0.59</v>
      </c>
      <c r="K1601" s="1">
        <v>43502</v>
      </c>
      <c r="L1601" s="2" t="str">
        <f>IF(Sheet1[[#This Row],[age]]&lt;18, "Under 18",IF(Sheet1[[#This Row],[age]]&lt;=30,"18-30",IF(Sheet1[[#This Row],[age]]&lt;=45,"31-45",IF(Sheet1[[#This Row],[age]]&lt;=60,"46-60","60+"))))</f>
        <v>18-30</v>
      </c>
      <c r="M1601" s="2" t="str">
        <f>IF(Sheet1[[#This Row],[risk_score]]&lt;0.3,"Low",IF(Sheet1[[#This Row],[risk_score]]&lt;0.7,"Medium","High"))</f>
        <v>Medium</v>
      </c>
      <c r="N1601">
        <f>YEAR(Sheet1[[#This Row],[date_joined]])</f>
        <v>2019</v>
      </c>
      <c r="O1601" s="2" t="str">
        <f>TEXT(Sheet1[[#This Row],[date_joined]],"mmm")</f>
        <v>Feb</v>
      </c>
      <c r="P1601" s="2" t="str">
        <f>"Q"&amp;ROUNDUP(MONTH(Sheet1[[#This Row],[date_joined]])/3,0)</f>
        <v>Q1</v>
      </c>
      <c r="Q1601" s="2" t="str">
        <f>IF(Sheet1[[#This Row],[age]]&lt;30,"Young",IF(Sheet1[[#This Row],[age]]&lt;=50,"Adult","Senior"))</f>
        <v>Young</v>
      </c>
      <c r="R1601" s="2" t="str">
        <f t="shared" si="48"/>
        <v>High</v>
      </c>
      <c r="S1601" s="2" t="str">
        <f t="shared" si="49"/>
        <v>Central - Self-employed</v>
      </c>
    </row>
    <row r="1602" spans="1:19" x14ac:dyDescent="0.3">
      <c r="A1602" t="s">
        <v>3226</v>
      </c>
      <c r="B1602" t="s">
        <v>3227</v>
      </c>
      <c r="C1602">
        <v>65</v>
      </c>
      <c r="D1602" s="2" t="s">
        <v>13</v>
      </c>
      <c r="E1602" s="2" t="s">
        <v>30</v>
      </c>
      <c r="F1602" s="2" t="s">
        <v>15</v>
      </c>
      <c r="G1602" s="2" t="s">
        <v>32</v>
      </c>
      <c r="H1602" s="2" t="s">
        <v>18</v>
      </c>
      <c r="I1602" s="2" t="s">
        <v>18</v>
      </c>
      <c r="J1602">
        <v>0.19</v>
      </c>
      <c r="K1602" s="1">
        <v>44965</v>
      </c>
      <c r="L1602" s="2" t="str">
        <f>IF(Sheet1[[#This Row],[age]]&lt;18, "Under 18",IF(Sheet1[[#This Row],[age]]&lt;=30,"18-30",IF(Sheet1[[#This Row],[age]]&lt;=45,"31-45",IF(Sheet1[[#This Row],[age]]&lt;=60,"46-60","60+"))))</f>
        <v>60+</v>
      </c>
      <c r="M1602" s="2" t="str">
        <f>IF(Sheet1[[#This Row],[risk_score]]&lt;0.3,"Low",IF(Sheet1[[#This Row],[risk_score]]&lt;0.7,"Medium","High"))</f>
        <v>Low</v>
      </c>
      <c r="N1602">
        <f>YEAR(Sheet1[[#This Row],[date_joined]])</f>
        <v>2023</v>
      </c>
      <c r="O1602" s="2" t="str">
        <f>TEXT(Sheet1[[#This Row],[date_joined]],"mmm")</f>
        <v>Feb</v>
      </c>
      <c r="P1602" s="2" t="str">
        <f>"Q"&amp;ROUNDUP(MONTH(Sheet1[[#This Row],[date_joined]])/3,0)</f>
        <v>Q1</v>
      </c>
      <c r="Q1602" s="2" t="str">
        <f>IF(Sheet1[[#This Row],[age]]&lt;30,"Young",IF(Sheet1[[#This Row],[age]]&lt;=50,"Adult","Senior"))</f>
        <v>Senior</v>
      </c>
      <c r="R1602" s="2" t="str">
        <f t="shared" ref="R1602:R1649" si="50">IF(AND(H1602="Yes",I1602="Yes"),"Very High",
IF(OR(H1602="Yes",I1602="Yes"),"High","Low"))</f>
        <v>Very High</v>
      </c>
      <c r="S1602" s="2" t="str">
        <f t="shared" ref="S1602:S1649" si="51">G1602&amp;" - "&amp;F1602</f>
        <v>South - Student</v>
      </c>
    </row>
    <row r="1603" spans="1:19" x14ac:dyDescent="0.3">
      <c r="A1603" t="s">
        <v>3228</v>
      </c>
      <c r="B1603" t="s">
        <v>3229</v>
      </c>
      <c r="C1603">
        <v>24</v>
      </c>
      <c r="D1603" s="2" t="s">
        <v>13</v>
      </c>
      <c r="E1603" s="2" t="s">
        <v>14</v>
      </c>
      <c r="F1603" s="2" t="s">
        <v>15</v>
      </c>
      <c r="G1603" s="2" t="s">
        <v>24</v>
      </c>
      <c r="H1603" s="2" t="s">
        <v>18</v>
      </c>
      <c r="I1603" s="2" t="s">
        <v>17</v>
      </c>
      <c r="J1603">
        <v>0.3</v>
      </c>
      <c r="K1603" s="1">
        <v>44516</v>
      </c>
      <c r="L1603" s="2" t="str">
        <f>IF(Sheet1[[#This Row],[age]]&lt;18, "Under 18",IF(Sheet1[[#This Row],[age]]&lt;=30,"18-30",IF(Sheet1[[#This Row],[age]]&lt;=45,"31-45",IF(Sheet1[[#This Row],[age]]&lt;=60,"46-60","60+"))))</f>
        <v>18-30</v>
      </c>
      <c r="M1603" s="2" t="str">
        <f>IF(Sheet1[[#This Row],[risk_score]]&lt;0.3,"Low",IF(Sheet1[[#This Row],[risk_score]]&lt;0.7,"Medium","High"))</f>
        <v>Medium</v>
      </c>
      <c r="N1603">
        <f>YEAR(Sheet1[[#This Row],[date_joined]])</f>
        <v>2021</v>
      </c>
      <c r="O1603" s="2" t="str">
        <f>TEXT(Sheet1[[#This Row],[date_joined]],"mmm")</f>
        <v>Nov</v>
      </c>
      <c r="P1603" s="2" t="str">
        <f>"Q"&amp;ROUNDUP(MONTH(Sheet1[[#This Row],[date_joined]])/3,0)</f>
        <v>Q4</v>
      </c>
      <c r="Q1603" s="2" t="str">
        <f>IF(Sheet1[[#This Row],[age]]&lt;30,"Young",IF(Sheet1[[#This Row],[age]]&lt;=50,"Adult","Senior"))</f>
        <v>Young</v>
      </c>
      <c r="R1603" s="2" t="str">
        <f t="shared" si="50"/>
        <v>High</v>
      </c>
      <c r="S1603" s="2" t="str">
        <f t="shared" si="51"/>
        <v>East - Student</v>
      </c>
    </row>
    <row r="1604" spans="1:19" x14ac:dyDescent="0.3">
      <c r="A1604" t="s">
        <v>3230</v>
      </c>
      <c r="B1604" t="s">
        <v>3231</v>
      </c>
      <c r="C1604">
        <v>27</v>
      </c>
      <c r="D1604" s="2" t="s">
        <v>13</v>
      </c>
      <c r="E1604" s="2" t="s">
        <v>30</v>
      </c>
      <c r="F1604" s="2" t="s">
        <v>23</v>
      </c>
      <c r="G1604" s="2" t="s">
        <v>66</v>
      </c>
      <c r="H1604" s="2" t="s">
        <v>18</v>
      </c>
      <c r="I1604" s="2" t="s">
        <v>17</v>
      </c>
      <c r="J1604">
        <v>0.2</v>
      </c>
      <c r="K1604" s="1">
        <v>44068</v>
      </c>
      <c r="L1604" s="2" t="str">
        <f>IF(Sheet1[[#This Row],[age]]&lt;18, "Under 18",IF(Sheet1[[#This Row],[age]]&lt;=30,"18-30",IF(Sheet1[[#This Row],[age]]&lt;=45,"31-45",IF(Sheet1[[#This Row],[age]]&lt;=60,"46-60","60+"))))</f>
        <v>18-30</v>
      </c>
      <c r="M1604" s="2" t="str">
        <f>IF(Sheet1[[#This Row],[risk_score]]&lt;0.3,"Low",IF(Sheet1[[#This Row],[risk_score]]&lt;0.7,"Medium","High"))</f>
        <v>Low</v>
      </c>
      <c r="N1604">
        <f>YEAR(Sheet1[[#This Row],[date_joined]])</f>
        <v>2020</v>
      </c>
      <c r="O1604" s="2" t="str">
        <f>TEXT(Sheet1[[#This Row],[date_joined]],"mmm")</f>
        <v>Aug</v>
      </c>
      <c r="P1604" s="2" t="str">
        <f>"Q"&amp;ROUNDUP(MONTH(Sheet1[[#This Row],[date_joined]])/3,0)</f>
        <v>Q3</v>
      </c>
      <c r="Q1604" s="2" t="str">
        <f>IF(Sheet1[[#This Row],[age]]&lt;30,"Young",IF(Sheet1[[#This Row],[age]]&lt;=50,"Adult","Senior"))</f>
        <v>Young</v>
      </c>
      <c r="R1604" s="2" t="str">
        <f t="shared" si="50"/>
        <v>High</v>
      </c>
      <c r="S1604" s="2" t="str">
        <f t="shared" si="51"/>
        <v>North-East - Salaried</v>
      </c>
    </row>
    <row r="1605" spans="1:19" x14ac:dyDescent="0.3">
      <c r="A1605" t="s">
        <v>3232</v>
      </c>
      <c r="B1605" t="s">
        <v>3233</v>
      </c>
      <c r="C1605">
        <v>65</v>
      </c>
      <c r="D1605" s="2" t="s">
        <v>13</v>
      </c>
      <c r="E1605" s="2" t="s">
        <v>14</v>
      </c>
      <c r="F1605" s="2" t="s">
        <v>23</v>
      </c>
      <c r="G1605" s="2" t="s">
        <v>81</v>
      </c>
      <c r="H1605" s="2" t="s">
        <v>17</v>
      </c>
      <c r="I1605" s="2" t="s">
        <v>18</v>
      </c>
      <c r="J1605">
        <v>0.87</v>
      </c>
      <c r="K1605" s="1">
        <v>44985</v>
      </c>
      <c r="L1605" s="2" t="str">
        <f>IF(Sheet1[[#This Row],[age]]&lt;18, "Under 18",IF(Sheet1[[#This Row],[age]]&lt;=30,"18-30",IF(Sheet1[[#This Row],[age]]&lt;=45,"31-45",IF(Sheet1[[#This Row],[age]]&lt;=60,"46-60","60+"))))</f>
        <v>60+</v>
      </c>
      <c r="M1605" s="2" t="str">
        <f>IF(Sheet1[[#This Row],[risk_score]]&lt;0.3,"Low",IF(Sheet1[[#This Row],[risk_score]]&lt;0.7,"Medium","High"))</f>
        <v>High</v>
      </c>
      <c r="N1605">
        <f>YEAR(Sheet1[[#This Row],[date_joined]])</f>
        <v>2023</v>
      </c>
      <c r="O1605" s="2" t="str">
        <f>TEXT(Sheet1[[#This Row],[date_joined]],"mmm")</f>
        <v>Feb</v>
      </c>
      <c r="P1605" s="2" t="str">
        <f>"Q"&amp;ROUNDUP(MONTH(Sheet1[[#This Row],[date_joined]])/3,0)</f>
        <v>Q1</v>
      </c>
      <c r="Q1605" s="2" t="str">
        <f>IF(Sheet1[[#This Row],[age]]&lt;30,"Young",IF(Sheet1[[#This Row],[age]]&lt;=50,"Adult","Senior"))</f>
        <v>Senior</v>
      </c>
      <c r="R1605" s="2" t="str">
        <f t="shared" si="50"/>
        <v>High</v>
      </c>
      <c r="S1605" s="2" t="str">
        <f t="shared" si="51"/>
        <v>Central - Salaried</v>
      </c>
    </row>
    <row r="1606" spans="1:19" x14ac:dyDescent="0.3">
      <c r="A1606" t="s">
        <v>3234</v>
      </c>
      <c r="B1606" t="s">
        <v>3235</v>
      </c>
      <c r="C1606">
        <v>48</v>
      </c>
      <c r="D1606" s="2" t="s">
        <v>21</v>
      </c>
      <c r="E1606" s="2" t="s">
        <v>30</v>
      </c>
      <c r="F1606" s="2" t="s">
        <v>31</v>
      </c>
      <c r="G1606" s="2" t="s">
        <v>16</v>
      </c>
      <c r="H1606" s="2" t="s">
        <v>18</v>
      </c>
      <c r="I1606" s="2" t="s">
        <v>18</v>
      </c>
      <c r="J1606">
        <v>0.15</v>
      </c>
      <c r="K1606" s="1">
        <v>43459</v>
      </c>
      <c r="L1606" s="2" t="str">
        <f>IF(Sheet1[[#This Row],[age]]&lt;18, "Under 18",IF(Sheet1[[#This Row],[age]]&lt;=30,"18-30",IF(Sheet1[[#This Row],[age]]&lt;=45,"31-45",IF(Sheet1[[#This Row],[age]]&lt;=60,"46-60","60+"))))</f>
        <v>46-60</v>
      </c>
      <c r="M1606" s="2" t="str">
        <f>IF(Sheet1[[#This Row],[risk_score]]&lt;0.3,"Low",IF(Sheet1[[#This Row],[risk_score]]&lt;0.7,"Medium","High"))</f>
        <v>Low</v>
      </c>
      <c r="N1606">
        <f>YEAR(Sheet1[[#This Row],[date_joined]])</f>
        <v>2018</v>
      </c>
      <c r="O1606" s="2" t="str">
        <f>TEXT(Sheet1[[#This Row],[date_joined]],"mmm")</f>
        <v>Dec</v>
      </c>
      <c r="P1606" s="2" t="str">
        <f>"Q"&amp;ROUNDUP(MONTH(Sheet1[[#This Row],[date_joined]])/3,0)</f>
        <v>Q4</v>
      </c>
      <c r="Q1606" s="2" t="str">
        <f>IF(Sheet1[[#This Row],[age]]&lt;30,"Young",IF(Sheet1[[#This Row],[age]]&lt;=50,"Adult","Senior"))</f>
        <v>Adult</v>
      </c>
      <c r="R1606" s="2" t="str">
        <f t="shared" si="50"/>
        <v>Very High</v>
      </c>
      <c r="S1606" s="2" t="str">
        <f t="shared" si="51"/>
        <v>West - Self-employed</v>
      </c>
    </row>
    <row r="1607" spans="1:19" x14ac:dyDescent="0.3">
      <c r="A1607" t="s">
        <v>3236</v>
      </c>
      <c r="B1607" t="s">
        <v>3237</v>
      </c>
      <c r="C1607">
        <v>37</v>
      </c>
      <c r="D1607" s="2" t="s">
        <v>13</v>
      </c>
      <c r="E1607" s="2" t="s">
        <v>22</v>
      </c>
      <c r="F1607" s="2" t="s">
        <v>23</v>
      </c>
      <c r="G1607" s="2" t="s">
        <v>27</v>
      </c>
      <c r="H1607" s="2" t="s">
        <v>17</v>
      </c>
      <c r="I1607" s="2" t="s">
        <v>18</v>
      </c>
      <c r="J1607">
        <v>0.88</v>
      </c>
      <c r="K1607" s="1">
        <v>43592</v>
      </c>
      <c r="L1607" s="2" t="str">
        <f>IF(Sheet1[[#This Row],[age]]&lt;18, "Under 18",IF(Sheet1[[#This Row],[age]]&lt;=30,"18-30",IF(Sheet1[[#This Row],[age]]&lt;=45,"31-45",IF(Sheet1[[#This Row],[age]]&lt;=60,"46-60","60+"))))</f>
        <v>31-45</v>
      </c>
      <c r="M1607" s="2" t="str">
        <f>IF(Sheet1[[#This Row],[risk_score]]&lt;0.3,"Low",IF(Sheet1[[#This Row],[risk_score]]&lt;0.7,"Medium","High"))</f>
        <v>High</v>
      </c>
      <c r="N1607">
        <f>YEAR(Sheet1[[#This Row],[date_joined]])</f>
        <v>2019</v>
      </c>
      <c r="O1607" s="2" t="str">
        <f>TEXT(Sheet1[[#This Row],[date_joined]],"mmm")</f>
        <v>May</v>
      </c>
      <c r="P1607" s="2" t="str">
        <f>"Q"&amp;ROUNDUP(MONTH(Sheet1[[#This Row],[date_joined]])/3,0)</f>
        <v>Q2</v>
      </c>
      <c r="Q1607" s="2" t="str">
        <f>IF(Sheet1[[#This Row],[age]]&lt;30,"Young",IF(Sheet1[[#This Row],[age]]&lt;=50,"Adult","Senior"))</f>
        <v>Adult</v>
      </c>
      <c r="R1607" s="2" t="str">
        <f t="shared" si="50"/>
        <v>High</v>
      </c>
      <c r="S1607" s="2" t="str">
        <f t="shared" si="51"/>
        <v>North - Salaried</v>
      </c>
    </row>
    <row r="1608" spans="1:19" x14ac:dyDescent="0.3">
      <c r="A1608" t="s">
        <v>3238</v>
      </c>
      <c r="B1608" t="s">
        <v>3239</v>
      </c>
      <c r="C1608">
        <v>33</v>
      </c>
      <c r="D1608" s="2" t="s">
        <v>21</v>
      </c>
      <c r="E1608" s="2" t="s">
        <v>22</v>
      </c>
      <c r="F1608" s="2" t="s">
        <v>31</v>
      </c>
      <c r="G1608" s="2" t="s">
        <v>24</v>
      </c>
      <c r="H1608" s="2" t="s">
        <v>18</v>
      </c>
      <c r="I1608" s="2" t="s">
        <v>18</v>
      </c>
      <c r="J1608">
        <v>0.49</v>
      </c>
      <c r="K1608" s="1">
        <v>44787</v>
      </c>
      <c r="L1608" s="2" t="str">
        <f>IF(Sheet1[[#This Row],[age]]&lt;18, "Under 18",IF(Sheet1[[#This Row],[age]]&lt;=30,"18-30",IF(Sheet1[[#This Row],[age]]&lt;=45,"31-45",IF(Sheet1[[#This Row],[age]]&lt;=60,"46-60","60+"))))</f>
        <v>31-45</v>
      </c>
      <c r="M1608" s="2" t="str">
        <f>IF(Sheet1[[#This Row],[risk_score]]&lt;0.3,"Low",IF(Sheet1[[#This Row],[risk_score]]&lt;0.7,"Medium","High"))</f>
        <v>Medium</v>
      </c>
      <c r="N1608">
        <f>YEAR(Sheet1[[#This Row],[date_joined]])</f>
        <v>2022</v>
      </c>
      <c r="O1608" s="2" t="str">
        <f>TEXT(Sheet1[[#This Row],[date_joined]],"mmm")</f>
        <v>Aug</v>
      </c>
      <c r="P1608" s="2" t="str">
        <f>"Q"&amp;ROUNDUP(MONTH(Sheet1[[#This Row],[date_joined]])/3,0)</f>
        <v>Q3</v>
      </c>
      <c r="Q1608" s="2" t="str">
        <f>IF(Sheet1[[#This Row],[age]]&lt;30,"Young",IF(Sheet1[[#This Row],[age]]&lt;=50,"Adult","Senior"))</f>
        <v>Adult</v>
      </c>
      <c r="R1608" s="2" t="str">
        <f t="shared" si="50"/>
        <v>Very High</v>
      </c>
      <c r="S1608" s="2" t="str">
        <f t="shared" si="51"/>
        <v>East - Self-employed</v>
      </c>
    </row>
    <row r="1609" spans="1:19" x14ac:dyDescent="0.3">
      <c r="A1609" t="s">
        <v>3240</v>
      </c>
      <c r="B1609" t="s">
        <v>3241</v>
      </c>
      <c r="C1609">
        <v>42</v>
      </c>
      <c r="D1609" s="2" t="s">
        <v>21</v>
      </c>
      <c r="E1609" s="2" t="s">
        <v>14</v>
      </c>
      <c r="F1609" s="2" t="s">
        <v>31</v>
      </c>
      <c r="G1609" s="2" t="s">
        <v>66</v>
      </c>
      <c r="H1609" s="2" t="s">
        <v>17</v>
      </c>
      <c r="I1609" s="2" t="s">
        <v>17</v>
      </c>
      <c r="J1609">
        <v>0.44</v>
      </c>
      <c r="K1609" s="1">
        <v>43871</v>
      </c>
      <c r="L1609" s="2" t="str">
        <f>IF(Sheet1[[#This Row],[age]]&lt;18, "Under 18",IF(Sheet1[[#This Row],[age]]&lt;=30,"18-30",IF(Sheet1[[#This Row],[age]]&lt;=45,"31-45",IF(Sheet1[[#This Row],[age]]&lt;=60,"46-60","60+"))))</f>
        <v>31-45</v>
      </c>
      <c r="M1609" s="2" t="str">
        <f>IF(Sheet1[[#This Row],[risk_score]]&lt;0.3,"Low",IF(Sheet1[[#This Row],[risk_score]]&lt;0.7,"Medium","High"))</f>
        <v>Medium</v>
      </c>
      <c r="N1609">
        <f>YEAR(Sheet1[[#This Row],[date_joined]])</f>
        <v>2020</v>
      </c>
      <c r="O1609" s="2" t="str">
        <f>TEXT(Sheet1[[#This Row],[date_joined]],"mmm")</f>
        <v>Feb</v>
      </c>
      <c r="P1609" s="2" t="str">
        <f>"Q"&amp;ROUNDUP(MONTH(Sheet1[[#This Row],[date_joined]])/3,0)</f>
        <v>Q1</v>
      </c>
      <c r="Q1609" s="2" t="str">
        <f>IF(Sheet1[[#This Row],[age]]&lt;30,"Young",IF(Sheet1[[#This Row],[age]]&lt;=50,"Adult","Senior"))</f>
        <v>Adult</v>
      </c>
      <c r="R1609" s="2" t="str">
        <f t="shared" si="50"/>
        <v>Low</v>
      </c>
      <c r="S1609" s="2" t="str">
        <f t="shared" si="51"/>
        <v>North-East - Self-employed</v>
      </c>
    </row>
    <row r="1610" spans="1:19" x14ac:dyDescent="0.3">
      <c r="A1610" t="s">
        <v>3242</v>
      </c>
      <c r="B1610" t="s">
        <v>3243</v>
      </c>
      <c r="C1610">
        <v>32</v>
      </c>
      <c r="D1610" s="2" t="s">
        <v>21</v>
      </c>
      <c r="E1610" s="2" t="s">
        <v>14</v>
      </c>
      <c r="F1610" s="2" t="s">
        <v>31</v>
      </c>
      <c r="G1610" s="2" t="s">
        <v>24</v>
      </c>
      <c r="H1610" s="2" t="s">
        <v>17</v>
      </c>
      <c r="I1610" s="2" t="s">
        <v>18</v>
      </c>
      <c r="J1610">
        <v>0.44</v>
      </c>
      <c r="K1610" s="1">
        <v>44922</v>
      </c>
      <c r="L1610" s="2" t="str">
        <f>IF(Sheet1[[#This Row],[age]]&lt;18, "Under 18",IF(Sheet1[[#This Row],[age]]&lt;=30,"18-30",IF(Sheet1[[#This Row],[age]]&lt;=45,"31-45",IF(Sheet1[[#This Row],[age]]&lt;=60,"46-60","60+"))))</f>
        <v>31-45</v>
      </c>
      <c r="M1610" s="2" t="str">
        <f>IF(Sheet1[[#This Row],[risk_score]]&lt;0.3,"Low",IF(Sheet1[[#This Row],[risk_score]]&lt;0.7,"Medium","High"))</f>
        <v>Medium</v>
      </c>
      <c r="N1610">
        <f>YEAR(Sheet1[[#This Row],[date_joined]])</f>
        <v>2022</v>
      </c>
      <c r="O1610" s="2" t="str">
        <f>TEXT(Sheet1[[#This Row],[date_joined]],"mmm")</f>
        <v>Dec</v>
      </c>
      <c r="P1610" s="2" t="str">
        <f>"Q"&amp;ROUNDUP(MONTH(Sheet1[[#This Row],[date_joined]])/3,0)</f>
        <v>Q4</v>
      </c>
      <c r="Q1610" s="2" t="str">
        <f>IF(Sheet1[[#This Row],[age]]&lt;30,"Young",IF(Sheet1[[#This Row],[age]]&lt;=50,"Adult","Senior"))</f>
        <v>Adult</v>
      </c>
      <c r="R1610" s="2" t="str">
        <f t="shared" si="50"/>
        <v>High</v>
      </c>
      <c r="S1610" s="2" t="str">
        <f t="shared" si="51"/>
        <v>East - Self-employed</v>
      </c>
    </row>
    <row r="1611" spans="1:19" x14ac:dyDescent="0.3">
      <c r="A1611" t="s">
        <v>3244</v>
      </c>
      <c r="B1611" t="s">
        <v>3245</v>
      </c>
      <c r="C1611">
        <v>22</v>
      </c>
      <c r="D1611" s="2" t="s">
        <v>21</v>
      </c>
      <c r="E1611" s="2" t="s">
        <v>14</v>
      </c>
      <c r="F1611" s="2" t="s">
        <v>37</v>
      </c>
      <c r="G1611" s="2" t="s">
        <v>32</v>
      </c>
      <c r="H1611" s="2" t="s">
        <v>18</v>
      </c>
      <c r="I1611" s="2" t="s">
        <v>18</v>
      </c>
      <c r="J1611">
        <v>0.62</v>
      </c>
      <c r="K1611" s="1">
        <v>43432</v>
      </c>
      <c r="L1611" s="2" t="str">
        <f>IF(Sheet1[[#This Row],[age]]&lt;18, "Under 18",IF(Sheet1[[#This Row],[age]]&lt;=30,"18-30",IF(Sheet1[[#This Row],[age]]&lt;=45,"31-45",IF(Sheet1[[#This Row],[age]]&lt;=60,"46-60","60+"))))</f>
        <v>18-30</v>
      </c>
      <c r="M1611" s="2" t="str">
        <f>IF(Sheet1[[#This Row],[risk_score]]&lt;0.3,"Low",IF(Sheet1[[#This Row],[risk_score]]&lt;0.7,"Medium","High"))</f>
        <v>Medium</v>
      </c>
      <c r="N1611">
        <f>YEAR(Sheet1[[#This Row],[date_joined]])</f>
        <v>2018</v>
      </c>
      <c r="O1611" s="2" t="str">
        <f>TEXT(Sheet1[[#This Row],[date_joined]],"mmm")</f>
        <v>Nov</v>
      </c>
      <c r="P1611" s="2" t="str">
        <f>"Q"&amp;ROUNDUP(MONTH(Sheet1[[#This Row],[date_joined]])/3,0)</f>
        <v>Q4</v>
      </c>
      <c r="Q1611" s="2" t="str">
        <f>IF(Sheet1[[#This Row],[age]]&lt;30,"Young",IF(Sheet1[[#This Row],[age]]&lt;=50,"Adult","Senior"))</f>
        <v>Young</v>
      </c>
      <c r="R1611" s="2" t="str">
        <f t="shared" si="50"/>
        <v>Very High</v>
      </c>
      <c r="S1611" s="2" t="str">
        <f t="shared" si="51"/>
        <v>South - Retired</v>
      </c>
    </row>
    <row r="1612" spans="1:19" x14ac:dyDescent="0.3">
      <c r="A1612" t="s">
        <v>3246</v>
      </c>
      <c r="B1612" t="s">
        <v>3247</v>
      </c>
      <c r="C1612">
        <v>57</v>
      </c>
      <c r="D1612" s="2" t="s">
        <v>21</v>
      </c>
      <c r="E1612" s="2" t="s">
        <v>22</v>
      </c>
      <c r="F1612" s="2" t="s">
        <v>31</v>
      </c>
      <c r="G1612" s="2" t="s">
        <v>27</v>
      </c>
      <c r="H1612" s="2" t="s">
        <v>17</v>
      </c>
      <c r="I1612" s="2" t="s">
        <v>18</v>
      </c>
      <c r="J1612">
        <v>0.36</v>
      </c>
      <c r="K1612" s="1">
        <v>44353</v>
      </c>
      <c r="L1612" s="2" t="str">
        <f>IF(Sheet1[[#This Row],[age]]&lt;18, "Under 18",IF(Sheet1[[#This Row],[age]]&lt;=30,"18-30",IF(Sheet1[[#This Row],[age]]&lt;=45,"31-45",IF(Sheet1[[#This Row],[age]]&lt;=60,"46-60","60+"))))</f>
        <v>46-60</v>
      </c>
      <c r="M1612" s="2" t="str">
        <f>IF(Sheet1[[#This Row],[risk_score]]&lt;0.3,"Low",IF(Sheet1[[#This Row],[risk_score]]&lt;0.7,"Medium","High"))</f>
        <v>Medium</v>
      </c>
      <c r="N1612">
        <f>YEAR(Sheet1[[#This Row],[date_joined]])</f>
        <v>2021</v>
      </c>
      <c r="O1612" s="2" t="str">
        <f>TEXT(Sheet1[[#This Row],[date_joined]],"mmm")</f>
        <v>Jun</v>
      </c>
      <c r="P1612" s="2" t="str">
        <f>"Q"&amp;ROUNDUP(MONTH(Sheet1[[#This Row],[date_joined]])/3,0)</f>
        <v>Q2</v>
      </c>
      <c r="Q1612" s="2" t="str">
        <f>IF(Sheet1[[#This Row],[age]]&lt;30,"Young",IF(Sheet1[[#This Row],[age]]&lt;=50,"Adult","Senior"))</f>
        <v>Senior</v>
      </c>
      <c r="R1612" s="2" t="str">
        <f t="shared" si="50"/>
        <v>High</v>
      </c>
      <c r="S1612" s="2" t="str">
        <f t="shared" si="51"/>
        <v>North - Self-employed</v>
      </c>
    </row>
    <row r="1613" spans="1:19" x14ac:dyDescent="0.3">
      <c r="A1613" t="s">
        <v>3248</v>
      </c>
      <c r="B1613" t="s">
        <v>3249</v>
      </c>
      <c r="C1613">
        <v>46</v>
      </c>
      <c r="D1613" s="2" t="s">
        <v>21</v>
      </c>
      <c r="E1613" s="2" t="s">
        <v>30</v>
      </c>
      <c r="F1613" s="2" t="s">
        <v>31</v>
      </c>
      <c r="G1613" s="2" t="s">
        <v>81</v>
      </c>
      <c r="H1613" s="2" t="s">
        <v>18</v>
      </c>
      <c r="I1613" s="2" t="s">
        <v>17</v>
      </c>
      <c r="J1613">
        <v>0.39</v>
      </c>
      <c r="K1613" s="1">
        <v>43587</v>
      </c>
      <c r="L1613" s="2" t="str">
        <f>IF(Sheet1[[#This Row],[age]]&lt;18, "Under 18",IF(Sheet1[[#This Row],[age]]&lt;=30,"18-30",IF(Sheet1[[#This Row],[age]]&lt;=45,"31-45",IF(Sheet1[[#This Row],[age]]&lt;=60,"46-60","60+"))))</f>
        <v>46-60</v>
      </c>
      <c r="M1613" s="2" t="str">
        <f>IF(Sheet1[[#This Row],[risk_score]]&lt;0.3,"Low",IF(Sheet1[[#This Row],[risk_score]]&lt;0.7,"Medium","High"))</f>
        <v>Medium</v>
      </c>
      <c r="N1613">
        <f>YEAR(Sheet1[[#This Row],[date_joined]])</f>
        <v>2019</v>
      </c>
      <c r="O1613" s="2" t="str">
        <f>TEXT(Sheet1[[#This Row],[date_joined]],"mmm")</f>
        <v>May</v>
      </c>
      <c r="P1613" s="2" t="str">
        <f>"Q"&amp;ROUNDUP(MONTH(Sheet1[[#This Row],[date_joined]])/3,0)</f>
        <v>Q2</v>
      </c>
      <c r="Q1613" s="2" t="str">
        <f>IF(Sheet1[[#This Row],[age]]&lt;30,"Young",IF(Sheet1[[#This Row],[age]]&lt;=50,"Adult","Senior"))</f>
        <v>Adult</v>
      </c>
      <c r="R1613" s="2" t="str">
        <f t="shared" si="50"/>
        <v>High</v>
      </c>
      <c r="S1613" s="2" t="str">
        <f t="shared" si="51"/>
        <v>Central - Self-employed</v>
      </c>
    </row>
    <row r="1614" spans="1:19" x14ac:dyDescent="0.3">
      <c r="A1614" t="s">
        <v>3250</v>
      </c>
      <c r="B1614" t="s">
        <v>3251</v>
      </c>
      <c r="C1614">
        <v>47</v>
      </c>
      <c r="D1614" s="2" t="s">
        <v>13</v>
      </c>
      <c r="E1614" s="2" t="s">
        <v>14</v>
      </c>
      <c r="F1614" s="2" t="s">
        <v>31</v>
      </c>
      <c r="G1614" s="2" t="s">
        <v>24</v>
      </c>
      <c r="H1614" s="2" t="s">
        <v>17</v>
      </c>
      <c r="I1614" s="2" t="s">
        <v>17</v>
      </c>
      <c r="J1614">
        <v>0.84</v>
      </c>
      <c r="K1614" s="1">
        <v>43420</v>
      </c>
      <c r="L1614" s="2" t="str">
        <f>IF(Sheet1[[#This Row],[age]]&lt;18, "Under 18",IF(Sheet1[[#This Row],[age]]&lt;=30,"18-30",IF(Sheet1[[#This Row],[age]]&lt;=45,"31-45",IF(Sheet1[[#This Row],[age]]&lt;=60,"46-60","60+"))))</f>
        <v>46-60</v>
      </c>
      <c r="M1614" s="2" t="str">
        <f>IF(Sheet1[[#This Row],[risk_score]]&lt;0.3,"Low",IF(Sheet1[[#This Row],[risk_score]]&lt;0.7,"Medium","High"))</f>
        <v>High</v>
      </c>
      <c r="N1614">
        <f>YEAR(Sheet1[[#This Row],[date_joined]])</f>
        <v>2018</v>
      </c>
      <c r="O1614" s="2" t="str">
        <f>TEXT(Sheet1[[#This Row],[date_joined]],"mmm")</f>
        <v>Nov</v>
      </c>
      <c r="P1614" s="2" t="str">
        <f>"Q"&amp;ROUNDUP(MONTH(Sheet1[[#This Row],[date_joined]])/3,0)</f>
        <v>Q4</v>
      </c>
      <c r="Q1614" s="2" t="str">
        <f>IF(Sheet1[[#This Row],[age]]&lt;30,"Young",IF(Sheet1[[#This Row],[age]]&lt;=50,"Adult","Senior"))</f>
        <v>Adult</v>
      </c>
      <c r="R1614" s="2" t="str">
        <f t="shared" si="50"/>
        <v>Low</v>
      </c>
      <c r="S1614" s="2" t="str">
        <f t="shared" si="51"/>
        <v>East - Self-employed</v>
      </c>
    </row>
    <row r="1615" spans="1:19" x14ac:dyDescent="0.3">
      <c r="A1615" t="s">
        <v>3252</v>
      </c>
      <c r="B1615" t="s">
        <v>3253</v>
      </c>
      <c r="C1615">
        <v>65</v>
      </c>
      <c r="D1615" s="2" t="s">
        <v>13</v>
      </c>
      <c r="E1615" s="2" t="s">
        <v>14</v>
      </c>
      <c r="F1615" s="2" t="s">
        <v>37</v>
      </c>
      <c r="G1615" s="2" t="s">
        <v>27</v>
      </c>
      <c r="H1615" s="2" t="s">
        <v>18</v>
      </c>
      <c r="I1615" s="2" t="s">
        <v>17</v>
      </c>
      <c r="J1615">
        <v>0.52</v>
      </c>
      <c r="K1615" s="1">
        <v>43767</v>
      </c>
      <c r="L1615" s="2" t="str">
        <f>IF(Sheet1[[#This Row],[age]]&lt;18, "Under 18",IF(Sheet1[[#This Row],[age]]&lt;=30,"18-30",IF(Sheet1[[#This Row],[age]]&lt;=45,"31-45",IF(Sheet1[[#This Row],[age]]&lt;=60,"46-60","60+"))))</f>
        <v>60+</v>
      </c>
      <c r="M1615" s="2" t="str">
        <f>IF(Sheet1[[#This Row],[risk_score]]&lt;0.3,"Low",IF(Sheet1[[#This Row],[risk_score]]&lt;0.7,"Medium","High"))</f>
        <v>Medium</v>
      </c>
      <c r="N1615">
        <f>YEAR(Sheet1[[#This Row],[date_joined]])</f>
        <v>2019</v>
      </c>
      <c r="O1615" s="2" t="str">
        <f>TEXT(Sheet1[[#This Row],[date_joined]],"mmm")</f>
        <v>Oct</v>
      </c>
      <c r="P1615" s="2" t="str">
        <f>"Q"&amp;ROUNDUP(MONTH(Sheet1[[#This Row],[date_joined]])/3,0)</f>
        <v>Q4</v>
      </c>
      <c r="Q1615" s="2" t="str">
        <f>IF(Sheet1[[#This Row],[age]]&lt;30,"Young",IF(Sheet1[[#This Row],[age]]&lt;=50,"Adult","Senior"))</f>
        <v>Senior</v>
      </c>
      <c r="R1615" s="2" t="str">
        <f t="shared" si="50"/>
        <v>High</v>
      </c>
      <c r="S1615" s="2" t="str">
        <f t="shared" si="51"/>
        <v>North - Retired</v>
      </c>
    </row>
    <row r="1616" spans="1:19" x14ac:dyDescent="0.3">
      <c r="A1616" t="s">
        <v>3254</v>
      </c>
      <c r="B1616" t="s">
        <v>3255</v>
      </c>
      <c r="C1616">
        <v>53</v>
      </c>
      <c r="D1616" s="2" t="s">
        <v>21</v>
      </c>
      <c r="E1616" s="2" t="s">
        <v>30</v>
      </c>
      <c r="F1616" s="2" t="s">
        <v>37</v>
      </c>
      <c r="G1616" s="2" t="s">
        <v>32</v>
      </c>
      <c r="H1616" s="2" t="s">
        <v>18</v>
      </c>
      <c r="I1616" s="2" t="s">
        <v>17</v>
      </c>
      <c r="J1616">
        <v>0.71</v>
      </c>
      <c r="K1616" s="1">
        <v>44673</v>
      </c>
      <c r="L1616" s="2" t="str">
        <f>IF(Sheet1[[#This Row],[age]]&lt;18, "Under 18",IF(Sheet1[[#This Row],[age]]&lt;=30,"18-30",IF(Sheet1[[#This Row],[age]]&lt;=45,"31-45",IF(Sheet1[[#This Row],[age]]&lt;=60,"46-60","60+"))))</f>
        <v>46-60</v>
      </c>
      <c r="M1616" s="2" t="str">
        <f>IF(Sheet1[[#This Row],[risk_score]]&lt;0.3,"Low",IF(Sheet1[[#This Row],[risk_score]]&lt;0.7,"Medium","High"))</f>
        <v>High</v>
      </c>
      <c r="N1616">
        <f>YEAR(Sheet1[[#This Row],[date_joined]])</f>
        <v>2022</v>
      </c>
      <c r="O1616" s="2" t="str">
        <f>TEXT(Sheet1[[#This Row],[date_joined]],"mmm")</f>
        <v>Apr</v>
      </c>
      <c r="P1616" s="2" t="str">
        <f>"Q"&amp;ROUNDUP(MONTH(Sheet1[[#This Row],[date_joined]])/3,0)</f>
        <v>Q2</v>
      </c>
      <c r="Q1616" s="2" t="str">
        <f>IF(Sheet1[[#This Row],[age]]&lt;30,"Young",IF(Sheet1[[#This Row],[age]]&lt;=50,"Adult","Senior"))</f>
        <v>Senior</v>
      </c>
      <c r="R1616" s="2" t="str">
        <f t="shared" si="50"/>
        <v>High</v>
      </c>
      <c r="S1616" s="2" t="str">
        <f t="shared" si="51"/>
        <v>South - Retired</v>
      </c>
    </row>
    <row r="1617" spans="1:19" x14ac:dyDescent="0.3">
      <c r="A1617" t="s">
        <v>3256</v>
      </c>
      <c r="B1617" t="s">
        <v>3257</v>
      </c>
      <c r="C1617">
        <v>57</v>
      </c>
      <c r="D1617" s="2" t="s">
        <v>13</v>
      </c>
      <c r="E1617" s="2" t="s">
        <v>30</v>
      </c>
      <c r="F1617" s="2" t="s">
        <v>31</v>
      </c>
      <c r="G1617" s="2" t="s">
        <v>81</v>
      </c>
      <c r="H1617" s="2" t="s">
        <v>18</v>
      </c>
      <c r="I1617" s="2" t="s">
        <v>18</v>
      </c>
      <c r="J1617">
        <v>0.55000000000000004</v>
      </c>
      <c r="K1617" s="1">
        <v>43469</v>
      </c>
      <c r="L1617" s="2" t="str">
        <f>IF(Sheet1[[#This Row],[age]]&lt;18, "Under 18",IF(Sheet1[[#This Row],[age]]&lt;=30,"18-30",IF(Sheet1[[#This Row],[age]]&lt;=45,"31-45",IF(Sheet1[[#This Row],[age]]&lt;=60,"46-60","60+"))))</f>
        <v>46-60</v>
      </c>
      <c r="M1617" s="2" t="str">
        <f>IF(Sheet1[[#This Row],[risk_score]]&lt;0.3,"Low",IF(Sheet1[[#This Row],[risk_score]]&lt;0.7,"Medium","High"))</f>
        <v>Medium</v>
      </c>
      <c r="N1617">
        <f>YEAR(Sheet1[[#This Row],[date_joined]])</f>
        <v>2019</v>
      </c>
      <c r="O1617" s="2" t="str">
        <f>TEXT(Sheet1[[#This Row],[date_joined]],"mmm")</f>
        <v>Jan</v>
      </c>
      <c r="P1617" s="2" t="str">
        <f>"Q"&amp;ROUNDUP(MONTH(Sheet1[[#This Row],[date_joined]])/3,0)</f>
        <v>Q1</v>
      </c>
      <c r="Q1617" s="2" t="str">
        <f>IF(Sheet1[[#This Row],[age]]&lt;30,"Young",IF(Sheet1[[#This Row],[age]]&lt;=50,"Adult","Senior"))</f>
        <v>Senior</v>
      </c>
      <c r="R1617" s="2" t="str">
        <f t="shared" si="50"/>
        <v>Very High</v>
      </c>
      <c r="S1617" s="2" t="str">
        <f t="shared" si="51"/>
        <v>Central - Self-employed</v>
      </c>
    </row>
    <row r="1618" spans="1:19" x14ac:dyDescent="0.3">
      <c r="A1618" t="s">
        <v>3258</v>
      </c>
      <c r="B1618" t="s">
        <v>3259</v>
      </c>
      <c r="C1618">
        <v>19</v>
      </c>
      <c r="D1618" s="2" t="s">
        <v>13</v>
      </c>
      <c r="E1618" s="2" t="s">
        <v>14</v>
      </c>
      <c r="F1618" s="2" t="s">
        <v>23</v>
      </c>
      <c r="G1618" s="2" t="s">
        <v>27</v>
      </c>
      <c r="H1618" s="2" t="s">
        <v>17</v>
      </c>
      <c r="I1618" s="2" t="s">
        <v>17</v>
      </c>
      <c r="J1618">
        <v>0.37</v>
      </c>
      <c r="K1618" s="1">
        <v>44316</v>
      </c>
      <c r="L1618" s="2" t="str">
        <f>IF(Sheet1[[#This Row],[age]]&lt;18, "Under 18",IF(Sheet1[[#This Row],[age]]&lt;=30,"18-30",IF(Sheet1[[#This Row],[age]]&lt;=45,"31-45",IF(Sheet1[[#This Row],[age]]&lt;=60,"46-60","60+"))))</f>
        <v>18-30</v>
      </c>
      <c r="M1618" s="2" t="str">
        <f>IF(Sheet1[[#This Row],[risk_score]]&lt;0.3,"Low",IF(Sheet1[[#This Row],[risk_score]]&lt;0.7,"Medium","High"))</f>
        <v>Medium</v>
      </c>
      <c r="N1618">
        <f>YEAR(Sheet1[[#This Row],[date_joined]])</f>
        <v>2021</v>
      </c>
      <c r="O1618" s="2" t="str">
        <f>TEXT(Sheet1[[#This Row],[date_joined]],"mmm")</f>
        <v>Apr</v>
      </c>
      <c r="P1618" s="2" t="str">
        <f>"Q"&amp;ROUNDUP(MONTH(Sheet1[[#This Row],[date_joined]])/3,0)</f>
        <v>Q2</v>
      </c>
      <c r="Q1618" s="2" t="str">
        <f>IF(Sheet1[[#This Row],[age]]&lt;30,"Young",IF(Sheet1[[#This Row],[age]]&lt;=50,"Adult","Senior"))</f>
        <v>Young</v>
      </c>
      <c r="R1618" s="2" t="str">
        <f t="shared" si="50"/>
        <v>Low</v>
      </c>
      <c r="S1618" s="2" t="str">
        <f t="shared" si="51"/>
        <v>North - Salaried</v>
      </c>
    </row>
    <row r="1619" spans="1:19" x14ac:dyDescent="0.3">
      <c r="A1619" t="s">
        <v>3260</v>
      </c>
      <c r="B1619" t="s">
        <v>3261</v>
      </c>
      <c r="C1619">
        <v>28</v>
      </c>
      <c r="D1619" s="2" t="s">
        <v>13</v>
      </c>
      <c r="E1619" s="2" t="s">
        <v>14</v>
      </c>
      <c r="F1619" s="2" t="s">
        <v>15</v>
      </c>
      <c r="G1619" s="2" t="s">
        <v>16</v>
      </c>
      <c r="H1619" s="2" t="s">
        <v>17</v>
      </c>
      <c r="I1619" s="2" t="s">
        <v>18</v>
      </c>
      <c r="J1619">
        <v>0.09</v>
      </c>
      <c r="K1619" s="1">
        <v>43580</v>
      </c>
      <c r="L1619" s="2" t="str">
        <f>IF(Sheet1[[#This Row],[age]]&lt;18, "Under 18",IF(Sheet1[[#This Row],[age]]&lt;=30,"18-30",IF(Sheet1[[#This Row],[age]]&lt;=45,"31-45",IF(Sheet1[[#This Row],[age]]&lt;=60,"46-60","60+"))))</f>
        <v>18-30</v>
      </c>
      <c r="M1619" s="2" t="str">
        <f>IF(Sheet1[[#This Row],[risk_score]]&lt;0.3,"Low",IF(Sheet1[[#This Row],[risk_score]]&lt;0.7,"Medium","High"))</f>
        <v>Low</v>
      </c>
      <c r="N1619">
        <f>YEAR(Sheet1[[#This Row],[date_joined]])</f>
        <v>2019</v>
      </c>
      <c r="O1619" s="2" t="str">
        <f>TEXT(Sheet1[[#This Row],[date_joined]],"mmm")</f>
        <v>Apr</v>
      </c>
      <c r="P1619" s="2" t="str">
        <f>"Q"&amp;ROUNDUP(MONTH(Sheet1[[#This Row],[date_joined]])/3,0)</f>
        <v>Q2</v>
      </c>
      <c r="Q1619" s="2" t="str">
        <f>IF(Sheet1[[#This Row],[age]]&lt;30,"Young",IF(Sheet1[[#This Row],[age]]&lt;=50,"Adult","Senior"))</f>
        <v>Young</v>
      </c>
      <c r="R1619" s="2" t="str">
        <f t="shared" si="50"/>
        <v>High</v>
      </c>
      <c r="S1619" s="2" t="str">
        <f t="shared" si="51"/>
        <v>West - Student</v>
      </c>
    </row>
    <row r="1620" spans="1:19" x14ac:dyDescent="0.3">
      <c r="A1620" t="s">
        <v>3262</v>
      </c>
      <c r="B1620" t="s">
        <v>3263</v>
      </c>
      <c r="C1620">
        <v>33</v>
      </c>
      <c r="D1620" s="2" t="s">
        <v>13</v>
      </c>
      <c r="E1620" s="2" t="s">
        <v>14</v>
      </c>
      <c r="F1620" s="2" t="s">
        <v>23</v>
      </c>
      <c r="G1620" s="2" t="s">
        <v>16</v>
      </c>
      <c r="H1620" s="2" t="s">
        <v>18</v>
      </c>
      <c r="I1620" s="2" t="s">
        <v>17</v>
      </c>
      <c r="J1620">
        <v>0.42</v>
      </c>
      <c r="K1620" s="1">
        <v>45031</v>
      </c>
      <c r="L1620" s="2" t="str">
        <f>IF(Sheet1[[#This Row],[age]]&lt;18, "Under 18",IF(Sheet1[[#This Row],[age]]&lt;=30,"18-30",IF(Sheet1[[#This Row],[age]]&lt;=45,"31-45",IF(Sheet1[[#This Row],[age]]&lt;=60,"46-60","60+"))))</f>
        <v>31-45</v>
      </c>
      <c r="M1620" s="2" t="str">
        <f>IF(Sheet1[[#This Row],[risk_score]]&lt;0.3,"Low",IF(Sheet1[[#This Row],[risk_score]]&lt;0.7,"Medium","High"))</f>
        <v>Medium</v>
      </c>
      <c r="N1620">
        <f>YEAR(Sheet1[[#This Row],[date_joined]])</f>
        <v>2023</v>
      </c>
      <c r="O1620" s="2" t="str">
        <f>TEXT(Sheet1[[#This Row],[date_joined]],"mmm")</f>
        <v>Apr</v>
      </c>
      <c r="P1620" s="2" t="str">
        <f>"Q"&amp;ROUNDUP(MONTH(Sheet1[[#This Row],[date_joined]])/3,0)</f>
        <v>Q2</v>
      </c>
      <c r="Q1620" s="2" t="str">
        <f>IF(Sheet1[[#This Row],[age]]&lt;30,"Young",IF(Sheet1[[#This Row],[age]]&lt;=50,"Adult","Senior"))</f>
        <v>Adult</v>
      </c>
      <c r="R1620" s="2" t="str">
        <f t="shared" si="50"/>
        <v>High</v>
      </c>
      <c r="S1620" s="2" t="str">
        <f t="shared" si="51"/>
        <v>West - Salaried</v>
      </c>
    </row>
    <row r="1621" spans="1:19" x14ac:dyDescent="0.3">
      <c r="A1621" t="s">
        <v>3264</v>
      </c>
      <c r="B1621" t="s">
        <v>3265</v>
      </c>
      <c r="C1621">
        <v>33</v>
      </c>
      <c r="D1621" s="2" t="s">
        <v>21</v>
      </c>
      <c r="E1621" s="2" t="s">
        <v>22</v>
      </c>
      <c r="F1621" s="2" t="s">
        <v>37</v>
      </c>
      <c r="G1621" s="2" t="s">
        <v>16</v>
      </c>
      <c r="H1621" s="2" t="s">
        <v>17</v>
      </c>
      <c r="I1621" s="2" t="s">
        <v>18</v>
      </c>
      <c r="J1621">
        <v>0.55000000000000004</v>
      </c>
      <c r="K1621" s="1">
        <v>45045</v>
      </c>
      <c r="L1621" s="2" t="str">
        <f>IF(Sheet1[[#This Row],[age]]&lt;18, "Under 18",IF(Sheet1[[#This Row],[age]]&lt;=30,"18-30",IF(Sheet1[[#This Row],[age]]&lt;=45,"31-45",IF(Sheet1[[#This Row],[age]]&lt;=60,"46-60","60+"))))</f>
        <v>31-45</v>
      </c>
      <c r="M1621" s="2" t="str">
        <f>IF(Sheet1[[#This Row],[risk_score]]&lt;0.3,"Low",IF(Sheet1[[#This Row],[risk_score]]&lt;0.7,"Medium","High"))</f>
        <v>Medium</v>
      </c>
      <c r="N1621">
        <f>YEAR(Sheet1[[#This Row],[date_joined]])</f>
        <v>2023</v>
      </c>
      <c r="O1621" s="2" t="str">
        <f>TEXT(Sheet1[[#This Row],[date_joined]],"mmm")</f>
        <v>Apr</v>
      </c>
      <c r="P1621" s="2" t="str">
        <f>"Q"&amp;ROUNDUP(MONTH(Sheet1[[#This Row],[date_joined]])/3,0)</f>
        <v>Q2</v>
      </c>
      <c r="Q1621" s="2" t="str">
        <f>IF(Sheet1[[#This Row],[age]]&lt;30,"Young",IF(Sheet1[[#This Row],[age]]&lt;=50,"Adult","Senior"))</f>
        <v>Adult</v>
      </c>
      <c r="R1621" s="2" t="str">
        <f t="shared" si="50"/>
        <v>High</v>
      </c>
      <c r="S1621" s="2" t="str">
        <f t="shared" si="51"/>
        <v>West - Retired</v>
      </c>
    </row>
    <row r="1622" spans="1:19" x14ac:dyDescent="0.3">
      <c r="A1622" t="s">
        <v>3266</v>
      </c>
      <c r="B1622" t="s">
        <v>3267</v>
      </c>
      <c r="C1622">
        <v>58</v>
      </c>
      <c r="D1622" s="2" t="s">
        <v>13</v>
      </c>
      <c r="E1622" s="2" t="s">
        <v>22</v>
      </c>
      <c r="F1622" s="2" t="s">
        <v>37</v>
      </c>
      <c r="G1622" s="2" t="s">
        <v>16</v>
      </c>
      <c r="H1622" s="2" t="s">
        <v>18</v>
      </c>
      <c r="I1622" s="2" t="s">
        <v>17</v>
      </c>
      <c r="J1622">
        <v>0.4</v>
      </c>
      <c r="K1622" s="1">
        <v>44600</v>
      </c>
      <c r="L1622" s="2" t="str">
        <f>IF(Sheet1[[#This Row],[age]]&lt;18, "Under 18",IF(Sheet1[[#This Row],[age]]&lt;=30,"18-30",IF(Sheet1[[#This Row],[age]]&lt;=45,"31-45",IF(Sheet1[[#This Row],[age]]&lt;=60,"46-60","60+"))))</f>
        <v>46-60</v>
      </c>
      <c r="M1622" s="2" t="str">
        <f>IF(Sheet1[[#This Row],[risk_score]]&lt;0.3,"Low",IF(Sheet1[[#This Row],[risk_score]]&lt;0.7,"Medium","High"))</f>
        <v>Medium</v>
      </c>
      <c r="N1622">
        <f>YEAR(Sheet1[[#This Row],[date_joined]])</f>
        <v>2022</v>
      </c>
      <c r="O1622" s="2" t="str">
        <f>TEXT(Sheet1[[#This Row],[date_joined]],"mmm")</f>
        <v>Feb</v>
      </c>
      <c r="P1622" s="2" t="str">
        <f>"Q"&amp;ROUNDUP(MONTH(Sheet1[[#This Row],[date_joined]])/3,0)</f>
        <v>Q1</v>
      </c>
      <c r="Q1622" s="2" t="str">
        <f>IF(Sheet1[[#This Row],[age]]&lt;30,"Young",IF(Sheet1[[#This Row],[age]]&lt;=50,"Adult","Senior"))</f>
        <v>Senior</v>
      </c>
      <c r="R1622" s="2" t="str">
        <f t="shared" si="50"/>
        <v>High</v>
      </c>
      <c r="S1622" s="2" t="str">
        <f t="shared" si="51"/>
        <v>West - Retired</v>
      </c>
    </row>
    <row r="1623" spans="1:19" x14ac:dyDescent="0.3">
      <c r="A1623" t="s">
        <v>3268</v>
      </c>
      <c r="B1623" t="s">
        <v>3269</v>
      </c>
      <c r="C1623">
        <v>42</v>
      </c>
      <c r="D1623" s="2" t="s">
        <v>13</v>
      </c>
      <c r="E1623" s="2" t="s">
        <v>30</v>
      </c>
      <c r="F1623" s="2" t="s">
        <v>31</v>
      </c>
      <c r="G1623" s="2" t="s">
        <v>27</v>
      </c>
      <c r="H1623" s="2" t="s">
        <v>18</v>
      </c>
      <c r="I1623" s="2" t="s">
        <v>18</v>
      </c>
      <c r="J1623">
        <v>0.77</v>
      </c>
      <c r="K1623" s="1">
        <v>43813</v>
      </c>
      <c r="L1623" s="2" t="str">
        <f>IF(Sheet1[[#This Row],[age]]&lt;18, "Under 18",IF(Sheet1[[#This Row],[age]]&lt;=30,"18-30",IF(Sheet1[[#This Row],[age]]&lt;=45,"31-45",IF(Sheet1[[#This Row],[age]]&lt;=60,"46-60","60+"))))</f>
        <v>31-45</v>
      </c>
      <c r="M1623" s="2" t="str">
        <f>IF(Sheet1[[#This Row],[risk_score]]&lt;0.3,"Low",IF(Sheet1[[#This Row],[risk_score]]&lt;0.7,"Medium","High"))</f>
        <v>High</v>
      </c>
      <c r="N1623">
        <f>YEAR(Sheet1[[#This Row],[date_joined]])</f>
        <v>2019</v>
      </c>
      <c r="O1623" s="2" t="str">
        <f>TEXT(Sheet1[[#This Row],[date_joined]],"mmm")</f>
        <v>Dec</v>
      </c>
      <c r="P1623" s="2" t="str">
        <f>"Q"&amp;ROUNDUP(MONTH(Sheet1[[#This Row],[date_joined]])/3,0)</f>
        <v>Q4</v>
      </c>
      <c r="Q1623" s="2" t="str">
        <f>IF(Sheet1[[#This Row],[age]]&lt;30,"Young",IF(Sheet1[[#This Row],[age]]&lt;=50,"Adult","Senior"))</f>
        <v>Adult</v>
      </c>
      <c r="R1623" s="2" t="str">
        <f t="shared" si="50"/>
        <v>Very High</v>
      </c>
      <c r="S1623" s="2" t="str">
        <f t="shared" si="51"/>
        <v>North - Self-employed</v>
      </c>
    </row>
    <row r="1624" spans="1:19" x14ac:dyDescent="0.3">
      <c r="A1624" t="s">
        <v>3270</v>
      </c>
      <c r="B1624" t="s">
        <v>3271</v>
      </c>
      <c r="C1624">
        <v>67</v>
      </c>
      <c r="D1624" s="2" t="s">
        <v>13</v>
      </c>
      <c r="E1624" s="2" t="s">
        <v>14</v>
      </c>
      <c r="F1624" s="2" t="s">
        <v>31</v>
      </c>
      <c r="G1624" s="2" t="s">
        <v>16</v>
      </c>
      <c r="H1624" s="2" t="s">
        <v>18</v>
      </c>
      <c r="I1624" s="2" t="s">
        <v>18</v>
      </c>
      <c r="J1624">
        <v>0.43</v>
      </c>
      <c r="K1624" s="1">
        <v>44905</v>
      </c>
      <c r="L1624" s="2" t="str">
        <f>IF(Sheet1[[#This Row],[age]]&lt;18, "Under 18",IF(Sheet1[[#This Row],[age]]&lt;=30,"18-30",IF(Sheet1[[#This Row],[age]]&lt;=45,"31-45",IF(Sheet1[[#This Row],[age]]&lt;=60,"46-60","60+"))))</f>
        <v>60+</v>
      </c>
      <c r="M1624" s="2" t="str">
        <f>IF(Sheet1[[#This Row],[risk_score]]&lt;0.3,"Low",IF(Sheet1[[#This Row],[risk_score]]&lt;0.7,"Medium","High"))</f>
        <v>Medium</v>
      </c>
      <c r="N1624">
        <f>YEAR(Sheet1[[#This Row],[date_joined]])</f>
        <v>2022</v>
      </c>
      <c r="O1624" s="2" t="str">
        <f>TEXT(Sheet1[[#This Row],[date_joined]],"mmm")</f>
        <v>Dec</v>
      </c>
      <c r="P1624" s="2" t="str">
        <f>"Q"&amp;ROUNDUP(MONTH(Sheet1[[#This Row],[date_joined]])/3,0)</f>
        <v>Q4</v>
      </c>
      <c r="Q1624" s="2" t="str">
        <f>IF(Sheet1[[#This Row],[age]]&lt;30,"Young",IF(Sheet1[[#This Row],[age]]&lt;=50,"Adult","Senior"))</f>
        <v>Senior</v>
      </c>
      <c r="R1624" s="2" t="str">
        <f t="shared" si="50"/>
        <v>Very High</v>
      </c>
      <c r="S1624" s="2" t="str">
        <f t="shared" si="51"/>
        <v>West - Self-employed</v>
      </c>
    </row>
    <row r="1625" spans="1:19" x14ac:dyDescent="0.3">
      <c r="A1625" t="s">
        <v>3272</v>
      </c>
      <c r="B1625" t="s">
        <v>3273</v>
      </c>
      <c r="C1625">
        <v>36</v>
      </c>
      <c r="D1625" s="2" t="s">
        <v>13</v>
      </c>
      <c r="E1625" s="2" t="s">
        <v>30</v>
      </c>
      <c r="F1625" s="2" t="s">
        <v>23</v>
      </c>
      <c r="G1625" s="2" t="s">
        <v>16</v>
      </c>
      <c r="H1625" s="2" t="s">
        <v>17</v>
      </c>
      <c r="I1625" s="2" t="s">
        <v>17</v>
      </c>
      <c r="J1625">
        <v>0.82</v>
      </c>
      <c r="K1625" s="1">
        <v>43815</v>
      </c>
      <c r="L1625" s="2" t="str">
        <f>IF(Sheet1[[#This Row],[age]]&lt;18, "Under 18",IF(Sheet1[[#This Row],[age]]&lt;=30,"18-30",IF(Sheet1[[#This Row],[age]]&lt;=45,"31-45",IF(Sheet1[[#This Row],[age]]&lt;=60,"46-60","60+"))))</f>
        <v>31-45</v>
      </c>
      <c r="M1625" s="2" t="str">
        <f>IF(Sheet1[[#This Row],[risk_score]]&lt;0.3,"Low",IF(Sheet1[[#This Row],[risk_score]]&lt;0.7,"Medium","High"))</f>
        <v>High</v>
      </c>
      <c r="N1625">
        <f>YEAR(Sheet1[[#This Row],[date_joined]])</f>
        <v>2019</v>
      </c>
      <c r="O1625" s="2" t="str">
        <f>TEXT(Sheet1[[#This Row],[date_joined]],"mmm")</f>
        <v>Dec</v>
      </c>
      <c r="P1625" s="2" t="str">
        <f>"Q"&amp;ROUNDUP(MONTH(Sheet1[[#This Row],[date_joined]])/3,0)</f>
        <v>Q4</v>
      </c>
      <c r="Q1625" s="2" t="str">
        <f>IF(Sheet1[[#This Row],[age]]&lt;30,"Young",IF(Sheet1[[#This Row],[age]]&lt;=50,"Adult","Senior"))</f>
        <v>Adult</v>
      </c>
      <c r="R1625" s="2" t="str">
        <f t="shared" si="50"/>
        <v>Low</v>
      </c>
      <c r="S1625" s="2" t="str">
        <f t="shared" si="51"/>
        <v>West - Salaried</v>
      </c>
    </row>
    <row r="1626" spans="1:19" x14ac:dyDescent="0.3">
      <c r="A1626" t="s">
        <v>3274</v>
      </c>
      <c r="B1626" t="s">
        <v>3275</v>
      </c>
      <c r="C1626">
        <v>44</v>
      </c>
      <c r="D1626" s="2" t="s">
        <v>21</v>
      </c>
      <c r="E1626" s="2" t="s">
        <v>30</v>
      </c>
      <c r="F1626" s="2" t="s">
        <v>37</v>
      </c>
      <c r="G1626" s="2" t="s">
        <v>16</v>
      </c>
      <c r="H1626" s="2" t="s">
        <v>17</v>
      </c>
      <c r="I1626" s="2" t="s">
        <v>18</v>
      </c>
      <c r="J1626">
        <v>0.56999999999999995</v>
      </c>
      <c r="K1626" s="1">
        <v>43415</v>
      </c>
      <c r="L1626" s="2" t="str">
        <f>IF(Sheet1[[#This Row],[age]]&lt;18, "Under 18",IF(Sheet1[[#This Row],[age]]&lt;=30,"18-30",IF(Sheet1[[#This Row],[age]]&lt;=45,"31-45",IF(Sheet1[[#This Row],[age]]&lt;=60,"46-60","60+"))))</f>
        <v>31-45</v>
      </c>
      <c r="M1626" s="2" t="str">
        <f>IF(Sheet1[[#This Row],[risk_score]]&lt;0.3,"Low",IF(Sheet1[[#This Row],[risk_score]]&lt;0.7,"Medium","High"))</f>
        <v>Medium</v>
      </c>
      <c r="N1626">
        <f>YEAR(Sheet1[[#This Row],[date_joined]])</f>
        <v>2018</v>
      </c>
      <c r="O1626" s="2" t="str">
        <f>TEXT(Sheet1[[#This Row],[date_joined]],"mmm")</f>
        <v>Nov</v>
      </c>
      <c r="P1626" s="2" t="str">
        <f>"Q"&amp;ROUNDUP(MONTH(Sheet1[[#This Row],[date_joined]])/3,0)</f>
        <v>Q4</v>
      </c>
      <c r="Q1626" s="2" t="str">
        <f>IF(Sheet1[[#This Row],[age]]&lt;30,"Young",IF(Sheet1[[#This Row],[age]]&lt;=50,"Adult","Senior"))</f>
        <v>Adult</v>
      </c>
      <c r="R1626" s="2" t="str">
        <f t="shared" si="50"/>
        <v>High</v>
      </c>
      <c r="S1626" s="2" t="str">
        <f t="shared" si="51"/>
        <v>West - Retired</v>
      </c>
    </row>
    <row r="1627" spans="1:19" x14ac:dyDescent="0.3">
      <c r="A1627" t="s">
        <v>3276</v>
      </c>
      <c r="B1627" t="s">
        <v>3277</v>
      </c>
      <c r="C1627">
        <v>51</v>
      </c>
      <c r="D1627" s="2" t="s">
        <v>21</v>
      </c>
      <c r="E1627" s="2" t="s">
        <v>22</v>
      </c>
      <c r="F1627" s="2" t="s">
        <v>23</v>
      </c>
      <c r="G1627" s="2" t="s">
        <v>24</v>
      </c>
      <c r="H1627" s="2" t="s">
        <v>17</v>
      </c>
      <c r="I1627" s="2" t="s">
        <v>17</v>
      </c>
      <c r="J1627">
        <v>0.32</v>
      </c>
      <c r="K1627" s="1">
        <v>43320</v>
      </c>
      <c r="L1627" s="2" t="str">
        <f>IF(Sheet1[[#This Row],[age]]&lt;18, "Under 18",IF(Sheet1[[#This Row],[age]]&lt;=30,"18-30",IF(Sheet1[[#This Row],[age]]&lt;=45,"31-45",IF(Sheet1[[#This Row],[age]]&lt;=60,"46-60","60+"))))</f>
        <v>46-60</v>
      </c>
      <c r="M1627" s="2" t="str">
        <f>IF(Sheet1[[#This Row],[risk_score]]&lt;0.3,"Low",IF(Sheet1[[#This Row],[risk_score]]&lt;0.7,"Medium","High"))</f>
        <v>Medium</v>
      </c>
      <c r="N1627">
        <f>YEAR(Sheet1[[#This Row],[date_joined]])</f>
        <v>2018</v>
      </c>
      <c r="O1627" s="2" t="str">
        <f>TEXT(Sheet1[[#This Row],[date_joined]],"mmm")</f>
        <v>Aug</v>
      </c>
      <c r="P1627" s="2" t="str">
        <f>"Q"&amp;ROUNDUP(MONTH(Sheet1[[#This Row],[date_joined]])/3,0)</f>
        <v>Q3</v>
      </c>
      <c r="Q1627" s="2" t="str">
        <f>IF(Sheet1[[#This Row],[age]]&lt;30,"Young",IF(Sheet1[[#This Row],[age]]&lt;=50,"Adult","Senior"))</f>
        <v>Senior</v>
      </c>
      <c r="R1627" s="2" t="str">
        <f t="shared" si="50"/>
        <v>Low</v>
      </c>
      <c r="S1627" s="2" t="str">
        <f t="shared" si="51"/>
        <v>East - Salaried</v>
      </c>
    </row>
    <row r="1628" spans="1:19" x14ac:dyDescent="0.3">
      <c r="A1628" t="s">
        <v>3278</v>
      </c>
      <c r="B1628" t="s">
        <v>3279</v>
      </c>
      <c r="C1628">
        <v>43</v>
      </c>
      <c r="D1628" s="2" t="s">
        <v>13</v>
      </c>
      <c r="E1628" s="2" t="s">
        <v>30</v>
      </c>
      <c r="F1628" s="2" t="s">
        <v>37</v>
      </c>
      <c r="G1628" s="2" t="s">
        <v>32</v>
      </c>
      <c r="H1628" s="2" t="s">
        <v>17</v>
      </c>
      <c r="I1628" s="2" t="s">
        <v>17</v>
      </c>
      <c r="J1628">
        <v>0.66</v>
      </c>
      <c r="K1628" s="1">
        <v>43750</v>
      </c>
      <c r="L1628" s="2" t="str">
        <f>IF(Sheet1[[#This Row],[age]]&lt;18, "Under 18",IF(Sheet1[[#This Row],[age]]&lt;=30,"18-30",IF(Sheet1[[#This Row],[age]]&lt;=45,"31-45",IF(Sheet1[[#This Row],[age]]&lt;=60,"46-60","60+"))))</f>
        <v>31-45</v>
      </c>
      <c r="M1628" s="2" t="str">
        <f>IF(Sheet1[[#This Row],[risk_score]]&lt;0.3,"Low",IF(Sheet1[[#This Row],[risk_score]]&lt;0.7,"Medium","High"))</f>
        <v>Medium</v>
      </c>
      <c r="N1628">
        <f>YEAR(Sheet1[[#This Row],[date_joined]])</f>
        <v>2019</v>
      </c>
      <c r="O1628" s="2" t="str">
        <f>TEXT(Sheet1[[#This Row],[date_joined]],"mmm")</f>
        <v>Oct</v>
      </c>
      <c r="P1628" s="2" t="str">
        <f>"Q"&amp;ROUNDUP(MONTH(Sheet1[[#This Row],[date_joined]])/3,0)</f>
        <v>Q4</v>
      </c>
      <c r="Q1628" s="2" t="str">
        <f>IF(Sheet1[[#This Row],[age]]&lt;30,"Young",IF(Sheet1[[#This Row],[age]]&lt;=50,"Adult","Senior"))</f>
        <v>Adult</v>
      </c>
      <c r="R1628" s="2" t="str">
        <f t="shared" si="50"/>
        <v>Low</v>
      </c>
      <c r="S1628" s="2" t="str">
        <f t="shared" si="51"/>
        <v>South - Retired</v>
      </c>
    </row>
    <row r="1629" spans="1:19" x14ac:dyDescent="0.3">
      <c r="A1629" t="s">
        <v>3280</v>
      </c>
      <c r="B1629" t="s">
        <v>3281</v>
      </c>
      <c r="C1629">
        <v>60</v>
      </c>
      <c r="D1629" s="2" t="s">
        <v>13</v>
      </c>
      <c r="E1629" s="2" t="s">
        <v>30</v>
      </c>
      <c r="F1629" s="2" t="s">
        <v>37</v>
      </c>
      <c r="G1629" s="2" t="s">
        <v>66</v>
      </c>
      <c r="H1629" s="2" t="s">
        <v>17</v>
      </c>
      <c r="I1629" s="2" t="s">
        <v>18</v>
      </c>
      <c r="J1629">
        <v>0.57999999999999996</v>
      </c>
      <c r="K1629" s="1">
        <v>44237</v>
      </c>
      <c r="L1629" s="2" t="str">
        <f>IF(Sheet1[[#This Row],[age]]&lt;18, "Under 18",IF(Sheet1[[#This Row],[age]]&lt;=30,"18-30",IF(Sheet1[[#This Row],[age]]&lt;=45,"31-45",IF(Sheet1[[#This Row],[age]]&lt;=60,"46-60","60+"))))</f>
        <v>46-60</v>
      </c>
      <c r="M1629" s="2" t="str">
        <f>IF(Sheet1[[#This Row],[risk_score]]&lt;0.3,"Low",IF(Sheet1[[#This Row],[risk_score]]&lt;0.7,"Medium","High"))</f>
        <v>Medium</v>
      </c>
      <c r="N1629">
        <f>YEAR(Sheet1[[#This Row],[date_joined]])</f>
        <v>2021</v>
      </c>
      <c r="O1629" s="2" t="str">
        <f>TEXT(Sheet1[[#This Row],[date_joined]],"mmm")</f>
        <v>Feb</v>
      </c>
      <c r="P1629" s="2" t="str">
        <f>"Q"&amp;ROUNDUP(MONTH(Sheet1[[#This Row],[date_joined]])/3,0)</f>
        <v>Q1</v>
      </c>
      <c r="Q1629" s="2" t="str">
        <f>IF(Sheet1[[#This Row],[age]]&lt;30,"Young",IF(Sheet1[[#This Row],[age]]&lt;=50,"Adult","Senior"))</f>
        <v>Senior</v>
      </c>
      <c r="R1629" s="2" t="str">
        <f t="shared" si="50"/>
        <v>High</v>
      </c>
      <c r="S1629" s="2" t="str">
        <f t="shared" si="51"/>
        <v>North-East - Retired</v>
      </c>
    </row>
    <row r="1630" spans="1:19" x14ac:dyDescent="0.3">
      <c r="A1630" t="s">
        <v>3282</v>
      </c>
      <c r="B1630" t="s">
        <v>3283</v>
      </c>
      <c r="C1630">
        <v>56</v>
      </c>
      <c r="D1630" s="2" t="s">
        <v>21</v>
      </c>
      <c r="E1630" s="2" t="s">
        <v>30</v>
      </c>
      <c r="F1630" s="2" t="s">
        <v>31</v>
      </c>
      <c r="G1630" s="2" t="s">
        <v>32</v>
      </c>
      <c r="H1630" s="2" t="s">
        <v>17</v>
      </c>
      <c r="I1630" s="2" t="s">
        <v>18</v>
      </c>
      <c r="J1630">
        <v>0.8</v>
      </c>
      <c r="K1630" s="1">
        <v>43278</v>
      </c>
      <c r="L1630" s="2" t="str">
        <f>IF(Sheet1[[#This Row],[age]]&lt;18, "Under 18",IF(Sheet1[[#This Row],[age]]&lt;=30,"18-30",IF(Sheet1[[#This Row],[age]]&lt;=45,"31-45",IF(Sheet1[[#This Row],[age]]&lt;=60,"46-60","60+"))))</f>
        <v>46-60</v>
      </c>
      <c r="M1630" s="2" t="str">
        <f>IF(Sheet1[[#This Row],[risk_score]]&lt;0.3,"Low",IF(Sheet1[[#This Row],[risk_score]]&lt;0.7,"Medium","High"))</f>
        <v>High</v>
      </c>
      <c r="N1630">
        <f>YEAR(Sheet1[[#This Row],[date_joined]])</f>
        <v>2018</v>
      </c>
      <c r="O1630" s="2" t="str">
        <f>TEXT(Sheet1[[#This Row],[date_joined]],"mmm")</f>
        <v>Jun</v>
      </c>
      <c r="P1630" s="2" t="str">
        <f>"Q"&amp;ROUNDUP(MONTH(Sheet1[[#This Row],[date_joined]])/3,0)</f>
        <v>Q2</v>
      </c>
      <c r="Q1630" s="2" t="str">
        <f>IF(Sheet1[[#This Row],[age]]&lt;30,"Young",IF(Sheet1[[#This Row],[age]]&lt;=50,"Adult","Senior"))</f>
        <v>Senior</v>
      </c>
      <c r="R1630" s="2" t="str">
        <f t="shared" si="50"/>
        <v>High</v>
      </c>
      <c r="S1630" s="2" t="str">
        <f t="shared" si="51"/>
        <v>South - Self-employed</v>
      </c>
    </row>
    <row r="1631" spans="1:19" x14ac:dyDescent="0.3">
      <c r="A1631" t="s">
        <v>3284</v>
      </c>
      <c r="B1631" t="s">
        <v>3285</v>
      </c>
      <c r="C1631">
        <v>58</v>
      </c>
      <c r="D1631" s="2" t="s">
        <v>21</v>
      </c>
      <c r="E1631" s="2" t="s">
        <v>14</v>
      </c>
      <c r="F1631" s="2" t="s">
        <v>23</v>
      </c>
      <c r="G1631" s="2" t="s">
        <v>27</v>
      </c>
      <c r="H1631" s="2" t="s">
        <v>17</v>
      </c>
      <c r="I1631" s="2" t="s">
        <v>18</v>
      </c>
      <c r="J1631">
        <v>0.67</v>
      </c>
      <c r="K1631" s="1">
        <v>43604</v>
      </c>
      <c r="L1631" s="2" t="str">
        <f>IF(Sheet1[[#This Row],[age]]&lt;18, "Under 18",IF(Sheet1[[#This Row],[age]]&lt;=30,"18-30",IF(Sheet1[[#This Row],[age]]&lt;=45,"31-45",IF(Sheet1[[#This Row],[age]]&lt;=60,"46-60","60+"))))</f>
        <v>46-60</v>
      </c>
      <c r="M1631" s="2" t="str">
        <f>IF(Sheet1[[#This Row],[risk_score]]&lt;0.3,"Low",IF(Sheet1[[#This Row],[risk_score]]&lt;0.7,"Medium","High"))</f>
        <v>Medium</v>
      </c>
      <c r="N1631">
        <f>YEAR(Sheet1[[#This Row],[date_joined]])</f>
        <v>2019</v>
      </c>
      <c r="O1631" s="2" t="str">
        <f>TEXT(Sheet1[[#This Row],[date_joined]],"mmm")</f>
        <v>May</v>
      </c>
      <c r="P1631" s="2" t="str">
        <f>"Q"&amp;ROUNDUP(MONTH(Sheet1[[#This Row],[date_joined]])/3,0)</f>
        <v>Q2</v>
      </c>
      <c r="Q1631" s="2" t="str">
        <f>IF(Sheet1[[#This Row],[age]]&lt;30,"Young",IF(Sheet1[[#This Row],[age]]&lt;=50,"Adult","Senior"))</f>
        <v>Senior</v>
      </c>
      <c r="R1631" s="2" t="str">
        <f t="shared" si="50"/>
        <v>High</v>
      </c>
      <c r="S1631" s="2" t="str">
        <f t="shared" si="51"/>
        <v>North - Salaried</v>
      </c>
    </row>
    <row r="1632" spans="1:19" x14ac:dyDescent="0.3">
      <c r="A1632" t="s">
        <v>3286</v>
      </c>
      <c r="B1632" t="s">
        <v>3287</v>
      </c>
      <c r="C1632">
        <v>66</v>
      </c>
      <c r="D1632" s="2" t="s">
        <v>21</v>
      </c>
      <c r="E1632" s="2" t="s">
        <v>30</v>
      </c>
      <c r="F1632" s="2" t="s">
        <v>37</v>
      </c>
      <c r="G1632" s="2" t="s">
        <v>32</v>
      </c>
      <c r="H1632" s="2" t="s">
        <v>17</v>
      </c>
      <c r="I1632" s="2" t="s">
        <v>18</v>
      </c>
      <c r="J1632">
        <v>0.47</v>
      </c>
      <c r="K1632" s="1">
        <v>43477</v>
      </c>
      <c r="L1632" s="2" t="str">
        <f>IF(Sheet1[[#This Row],[age]]&lt;18, "Under 18",IF(Sheet1[[#This Row],[age]]&lt;=30,"18-30",IF(Sheet1[[#This Row],[age]]&lt;=45,"31-45",IF(Sheet1[[#This Row],[age]]&lt;=60,"46-60","60+"))))</f>
        <v>60+</v>
      </c>
      <c r="M1632" s="2" t="str">
        <f>IF(Sheet1[[#This Row],[risk_score]]&lt;0.3,"Low",IF(Sheet1[[#This Row],[risk_score]]&lt;0.7,"Medium","High"))</f>
        <v>Medium</v>
      </c>
      <c r="N1632">
        <f>YEAR(Sheet1[[#This Row],[date_joined]])</f>
        <v>2019</v>
      </c>
      <c r="O1632" s="2" t="str">
        <f>TEXT(Sheet1[[#This Row],[date_joined]],"mmm")</f>
        <v>Jan</v>
      </c>
      <c r="P1632" s="2" t="str">
        <f>"Q"&amp;ROUNDUP(MONTH(Sheet1[[#This Row],[date_joined]])/3,0)</f>
        <v>Q1</v>
      </c>
      <c r="Q1632" s="2" t="str">
        <f>IF(Sheet1[[#This Row],[age]]&lt;30,"Young",IF(Sheet1[[#This Row],[age]]&lt;=50,"Adult","Senior"))</f>
        <v>Senior</v>
      </c>
      <c r="R1632" s="2" t="str">
        <f t="shared" si="50"/>
        <v>High</v>
      </c>
      <c r="S1632" s="2" t="str">
        <f t="shared" si="51"/>
        <v>South - Retired</v>
      </c>
    </row>
    <row r="1633" spans="1:19" x14ac:dyDescent="0.3">
      <c r="A1633" t="s">
        <v>3288</v>
      </c>
      <c r="B1633" t="s">
        <v>3289</v>
      </c>
      <c r="C1633">
        <v>42</v>
      </c>
      <c r="D1633" s="2" t="s">
        <v>13</v>
      </c>
      <c r="E1633" s="2" t="s">
        <v>22</v>
      </c>
      <c r="F1633" s="2" t="s">
        <v>37</v>
      </c>
      <c r="G1633" s="2" t="s">
        <v>24</v>
      </c>
      <c r="H1633" s="2" t="s">
        <v>18</v>
      </c>
      <c r="I1633" s="2" t="s">
        <v>17</v>
      </c>
      <c r="J1633">
        <v>0.41</v>
      </c>
      <c r="K1633" s="1">
        <v>43120</v>
      </c>
      <c r="L1633" s="2" t="str">
        <f>IF(Sheet1[[#This Row],[age]]&lt;18, "Under 18",IF(Sheet1[[#This Row],[age]]&lt;=30,"18-30",IF(Sheet1[[#This Row],[age]]&lt;=45,"31-45",IF(Sheet1[[#This Row],[age]]&lt;=60,"46-60","60+"))))</f>
        <v>31-45</v>
      </c>
      <c r="M1633" s="2" t="str">
        <f>IF(Sheet1[[#This Row],[risk_score]]&lt;0.3,"Low",IF(Sheet1[[#This Row],[risk_score]]&lt;0.7,"Medium","High"))</f>
        <v>Medium</v>
      </c>
      <c r="N1633">
        <f>YEAR(Sheet1[[#This Row],[date_joined]])</f>
        <v>2018</v>
      </c>
      <c r="O1633" s="2" t="str">
        <f>TEXT(Sheet1[[#This Row],[date_joined]],"mmm")</f>
        <v>Jan</v>
      </c>
      <c r="P1633" s="2" t="str">
        <f>"Q"&amp;ROUNDUP(MONTH(Sheet1[[#This Row],[date_joined]])/3,0)</f>
        <v>Q1</v>
      </c>
      <c r="Q1633" s="2" t="str">
        <f>IF(Sheet1[[#This Row],[age]]&lt;30,"Young",IF(Sheet1[[#This Row],[age]]&lt;=50,"Adult","Senior"))</f>
        <v>Adult</v>
      </c>
      <c r="R1633" s="2" t="str">
        <f t="shared" si="50"/>
        <v>High</v>
      </c>
      <c r="S1633" s="2" t="str">
        <f t="shared" si="51"/>
        <v>East - Retired</v>
      </c>
    </row>
    <row r="1634" spans="1:19" x14ac:dyDescent="0.3">
      <c r="A1634" t="s">
        <v>3290</v>
      </c>
      <c r="B1634" t="s">
        <v>3291</v>
      </c>
      <c r="C1634">
        <v>38</v>
      </c>
      <c r="D1634" s="2" t="s">
        <v>13</v>
      </c>
      <c r="E1634" s="2" t="s">
        <v>22</v>
      </c>
      <c r="F1634" s="2" t="s">
        <v>15</v>
      </c>
      <c r="G1634" s="2" t="s">
        <v>81</v>
      </c>
      <c r="H1634" s="2" t="s">
        <v>18</v>
      </c>
      <c r="I1634" s="2" t="s">
        <v>18</v>
      </c>
      <c r="J1634">
        <v>0.46</v>
      </c>
      <c r="K1634" s="1">
        <v>44487</v>
      </c>
      <c r="L1634" s="2" t="str">
        <f>IF(Sheet1[[#This Row],[age]]&lt;18, "Under 18",IF(Sheet1[[#This Row],[age]]&lt;=30,"18-30",IF(Sheet1[[#This Row],[age]]&lt;=45,"31-45",IF(Sheet1[[#This Row],[age]]&lt;=60,"46-60","60+"))))</f>
        <v>31-45</v>
      </c>
      <c r="M1634" s="2" t="str">
        <f>IF(Sheet1[[#This Row],[risk_score]]&lt;0.3,"Low",IF(Sheet1[[#This Row],[risk_score]]&lt;0.7,"Medium","High"))</f>
        <v>Medium</v>
      </c>
      <c r="N1634">
        <f>YEAR(Sheet1[[#This Row],[date_joined]])</f>
        <v>2021</v>
      </c>
      <c r="O1634" s="2" t="str">
        <f>TEXT(Sheet1[[#This Row],[date_joined]],"mmm")</f>
        <v>Oct</v>
      </c>
      <c r="P1634" s="2" t="str">
        <f>"Q"&amp;ROUNDUP(MONTH(Sheet1[[#This Row],[date_joined]])/3,0)</f>
        <v>Q4</v>
      </c>
      <c r="Q1634" s="2" t="str">
        <f>IF(Sheet1[[#This Row],[age]]&lt;30,"Young",IF(Sheet1[[#This Row],[age]]&lt;=50,"Adult","Senior"))</f>
        <v>Adult</v>
      </c>
      <c r="R1634" s="2" t="str">
        <f t="shared" si="50"/>
        <v>Very High</v>
      </c>
      <c r="S1634" s="2" t="str">
        <f t="shared" si="51"/>
        <v>Central - Student</v>
      </c>
    </row>
    <row r="1635" spans="1:19" x14ac:dyDescent="0.3">
      <c r="A1635" t="s">
        <v>3292</v>
      </c>
      <c r="B1635" t="s">
        <v>3293</v>
      </c>
      <c r="C1635">
        <v>67</v>
      </c>
      <c r="D1635" s="2" t="s">
        <v>21</v>
      </c>
      <c r="E1635" s="2" t="s">
        <v>30</v>
      </c>
      <c r="F1635" s="2" t="s">
        <v>31</v>
      </c>
      <c r="G1635" s="2" t="s">
        <v>16</v>
      </c>
      <c r="H1635" s="2" t="s">
        <v>17</v>
      </c>
      <c r="I1635" s="2" t="s">
        <v>17</v>
      </c>
      <c r="J1635">
        <v>0.62</v>
      </c>
      <c r="K1635" s="1">
        <v>44177</v>
      </c>
      <c r="L1635" s="2" t="str">
        <f>IF(Sheet1[[#This Row],[age]]&lt;18, "Under 18",IF(Sheet1[[#This Row],[age]]&lt;=30,"18-30",IF(Sheet1[[#This Row],[age]]&lt;=45,"31-45",IF(Sheet1[[#This Row],[age]]&lt;=60,"46-60","60+"))))</f>
        <v>60+</v>
      </c>
      <c r="M1635" s="2" t="str">
        <f>IF(Sheet1[[#This Row],[risk_score]]&lt;0.3,"Low",IF(Sheet1[[#This Row],[risk_score]]&lt;0.7,"Medium","High"))</f>
        <v>Medium</v>
      </c>
      <c r="N1635">
        <f>YEAR(Sheet1[[#This Row],[date_joined]])</f>
        <v>2020</v>
      </c>
      <c r="O1635" s="2" t="str">
        <f>TEXT(Sheet1[[#This Row],[date_joined]],"mmm")</f>
        <v>Dec</v>
      </c>
      <c r="P1635" s="2" t="str">
        <f>"Q"&amp;ROUNDUP(MONTH(Sheet1[[#This Row],[date_joined]])/3,0)</f>
        <v>Q4</v>
      </c>
      <c r="Q1635" s="2" t="str">
        <f>IF(Sheet1[[#This Row],[age]]&lt;30,"Young",IF(Sheet1[[#This Row],[age]]&lt;=50,"Adult","Senior"))</f>
        <v>Senior</v>
      </c>
      <c r="R1635" s="2" t="str">
        <f t="shared" si="50"/>
        <v>Low</v>
      </c>
      <c r="S1635" s="2" t="str">
        <f t="shared" si="51"/>
        <v>West - Self-employed</v>
      </c>
    </row>
    <row r="1636" spans="1:19" x14ac:dyDescent="0.3">
      <c r="A1636" t="s">
        <v>3294</v>
      </c>
      <c r="B1636" t="s">
        <v>3295</v>
      </c>
      <c r="C1636">
        <v>37</v>
      </c>
      <c r="D1636" s="2" t="s">
        <v>21</v>
      </c>
      <c r="E1636" s="2" t="s">
        <v>30</v>
      </c>
      <c r="F1636" s="2" t="s">
        <v>15</v>
      </c>
      <c r="G1636" s="2" t="s">
        <v>81</v>
      </c>
      <c r="H1636" s="2" t="s">
        <v>17</v>
      </c>
      <c r="I1636" s="2" t="s">
        <v>17</v>
      </c>
      <c r="J1636">
        <v>0.86</v>
      </c>
      <c r="K1636" s="1">
        <v>43645</v>
      </c>
      <c r="L1636" s="2" t="str">
        <f>IF(Sheet1[[#This Row],[age]]&lt;18, "Under 18",IF(Sheet1[[#This Row],[age]]&lt;=30,"18-30",IF(Sheet1[[#This Row],[age]]&lt;=45,"31-45",IF(Sheet1[[#This Row],[age]]&lt;=60,"46-60","60+"))))</f>
        <v>31-45</v>
      </c>
      <c r="M1636" s="2" t="str">
        <f>IF(Sheet1[[#This Row],[risk_score]]&lt;0.3,"Low",IF(Sheet1[[#This Row],[risk_score]]&lt;0.7,"Medium","High"))</f>
        <v>High</v>
      </c>
      <c r="N1636">
        <f>YEAR(Sheet1[[#This Row],[date_joined]])</f>
        <v>2019</v>
      </c>
      <c r="O1636" s="2" t="str">
        <f>TEXT(Sheet1[[#This Row],[date_joined]],"mmm")</f>
        <v>Jun</v>
      </c>
      <c r="P1636" s="2" t="str">
        <f>"Q"&amp;ROUNDUP(MONTH(Sheet1[[#This Row],[date_joined]])/3,0)</f>
        <v>Q2</v>
      </c>
      <c r="Q1636" s="2" t="str">
        <f>IF(Sheet1[[#This Row],[age]]&lt;30,"Young",IF(Sheet1[[#This Row],[age]]&lt;=50,"Adult","Senior"))</f>
        <v>Adult</v>
      </c>
      <c r="R1636" s="2" t="str">
        <f t="shared" si="50"/>
        <v>Low</v>
      </c>
      <c r="S1636" s="2" t="str">
        <f t="shared" si="51"/>
        <v>Central - Student</v>
      </c>
    </row>
    <row r="1637" spans="1:19" x14ac:dyDescent="0.3">
      <c r="A1637" t="s">
        <v>3296</v>
      </c>
      <c r="B1637" t="s">
        <v>3297</v>
      </c>
      <c r="C1637">
        <v>34</v>
      </c>
      <c r="D1637" s="2" t="s">
        <v>21</v>
      </c>
      <c r="E1637" s="2" t="s">
        <v>22</v>
      </c>
      <c r="F1637" s="2" t="s">
        <v>37</v>
      </c>
      <c r="G1637" s="2" t="s">
        <v>32</v>
      </c>
      <c r="H1637" s="2" t="s">
        <v>18</v>
      </c>
      <c r="I1637" s="2" t="s">
        <v>17</v>
      </c>
      <c r="J1637">
        <v>0.65</v>
      </c>
      <c r="K1637" s="1">
        <v>43973</v>
      </c>
      <c r="L1637" s="2" t="str">
        <f>IF(Sheet1[[#This Row],[age]]&lt;18, "Under 18",IF(Sheet1[[#This Row],[age]]&lt;=30,"18-30",IF(Sheet1[[#This Row],[age]]&lt;=45,"31-45",IF(Sheet1[[#This Row],[age]]&lt;=60,"46-60","60+"))))</f>
        <v>31-45</v>
      </c>
      <c r="M1637" s="2" t="str">
        <f>IF(Sheet1[[#This Row],[risk_score]]&lt;0.3,"Low",IF(Sheet1[[#This Row],[risk_score]]&lt;0.7,"Medium","High"))</f>
        <v>Medium</v>
      </c>
      <c r="N1637">
        <f>YEAR(Sheet1[[#This Row],[date_joined]])</f>
        <v>2020</v>
      </c>
      <c r="O1637" s="2" t="str">
        <f>TEXT(Sheet1[[#This Row],[date_joined]],"mmm")</f>
        <v>May</v>
      </c>
      <c r="P1637" s="2" t="str">
        <f>"Q"&amp;ROUNDUP(MONTH(Sheet1[[#This Row],[date_joined]])/3,0)</f>
        <v>Q2</v>
      </c>
      <c r="Q1637" s="2" t="str">
        <f>IF(Sheet1[[#This Row],[age]]&lt;30,"Young",IF(Sheet1[[#This Row],[age]]&lt;=50,"Adult","Senior"))</f>
        <v>Adult</v>
      </c>
      <c r="R1637" s="2" t="str">
        <f t="shared" si="50"/>
        <v>High</v>
      </c>
      <c r="S1637" s="2" t="str">
        <f t="shared" si="51"/>
        <v>South - Retired</v>
      </c>
    </row>
    <row r="1638" spans="1:19" x14ac:dyDescent="0.3">
      <c r="A1638" t="s">
        <v>3298</v>
      </c>
      <c r="B1638" t="s">
        <v>3299</v>
      </c>
      <c r="C1638">
        <v>30</v>
      </c>
      <c r="D1638" s="2" t="s">
        <v>21</v>
      </c>
      <c r="E1638" s="2" t="s">
        <v>22</v>
      </c>
      <c r="F1638" s="2" t="s">
        <v>31</v>
      </c>
      <c r="G1638" s="2" t="s">
        <v>16</v>
      </c>
      <c r="H1638" s="2" t="s">
        <v>17</v>
      </c>
      <c r="I1638" s="2" t="s">
        <v>17</v>
      </c>
      <c r="J1638">
        <v>0.63</v>
      </c>
      <c r="K1638" s="1">
        <v>45210</v>
      </c>
      <c r="L1638" s="2" t="str">
        <f>IF(Sheet1[[#This Row],[age]]&lt;18, "Under 18",IF(Sheet1[[#This Row],[age]]&lt;=30,"18-30",IF(Sheet1[[#This Row],[age]]&lt;=45,"31-45",IF(Sheet1[[#This Row],[age]]&lt;=60,"46-60","60+"))))</f>
        <v>18-30</v>
      </c>
      <c r="M1638" s="2" t="str">
        <f>IF(Sheet1[[#This Row],[risk_score]]&lt;0.3,"Low",IF(Sheet1[[#This Row],[risk_score]]&lt;0.7,"Medium","High"))</f>
        <v>Medium</v>
      </c>
      <c r="N1638">
        <f>YEAR(Sheet1[[#This Row],[date_joined]])</f>
        <v>2023</v>
      </c>
      <c r="O1638" s="2" t="str">
        <f>TEXT(Sheet1[[#This Row],[date_joined]],"mmm")</f>
        <v>Oct</v>
      </c>
      <c r="P1638" s="2" t="str">
        <f>"Q"&amp;ROUNDUP(MONTH(Sheet1[[#This Row],[date_joined]])/3,0)</f>
        <v>Q4</v>
      </c>
      <c r="Q1638" s="2" t="str">
        <f>IF(Sheet1[[#This Row],[age]]&lt;30,"Young",IF(Sheet1[[#This Row],[age]]&lt;=50,"Adult","Senior"))</f>
        <v>Adult</v>
      </c>
      <c r="R1638" s="2" t="str">
        <f t="shared" si="50"/>
        <v>Low</v>
      </c>
      <c r="S1638" s="2" t="str">
        <f t="shared" si="51"/>
        <v>West - Self-employed</v>
      </c>
    </row>
    <row r="1639" spans="1:19" x14ac:dyDescent="0.3">
      <c r="A1639" t="s">
        <v>3300</v>
      </c>
      <c r="B1639" t="s">
        <v>3301</v>
      </c>
      <c r="C1639">
        <v>25</v>
      </c>
      <c r="D1639" s="2" t="s">
        <v>21</v>
      </c>
      <c r="E1639" s="2" t="s">
        <v>30</v>
      </c>
      <c r="F1639" s="2" t="s">
        <v>23</v>
      </c>
      <c r="G1639" s="2" t="s">
        <v>27</v>
      </c>
      <c r="H1639" s="2" t="s">
        <v>18</v>
      </c>
      <c r="I1639" s="2" t="s">
        <v>18</v>
      </c>
      <c r="J1639">
        <v>0.6</v>
      </c>
      <c r="K1639" s="1">
        <v>44261</v>
      </c>
      <c r="L1639" s="2" t="str">
        <f>IF(Sheet1[[#This Row],[age]]&lt;18, "Under 18",IF(Sheet1[[#This Row],[age]]&lt;=30,"18-30",IF(Sheet1[[#This Row],[age]]&lt;=45,"31-45",IF(Sheet1[[#This Row],[age]]&lt;=60,"46-60","60+"))))</f>
        <v>18-30</v>
      </c>
      <c r="M1639" s="2" t="str">
        <f>IF(Sheet1[[#This Row],[risk_score]]&lt;0.3,"Low",IF(Sheet1[[#This Row],[risk_score]]&lt;0.7,"Medium","High"))</f>
        <v>Medium</v>
      </c>
      <c r="N1639">
        <f>YEAR(Sheet1[[#This Row],[date_joined]])</f>
        <v>2021</v>
      </c>
      <c r="O1639" s="2" t="str">
        <f>TEXT(Sheet1[[#This Row],[date_joined]],"mmm")</f>
        <v>Mar</v>
      </c>
      <c r="P1639" s="2" t="str">
        <f>"Q"&amp;ROUNDUP(MONTH(Sheet1[[#This Row],[date_joined]])/3,0)</f>
        <v>Q1</v>
      </c>
      <c r="Q1639" s="2" t="str">
        <f>IF(Sheet1[[#This Row],[age]]&lt;30,"Young",IF(Sheet1[[#This Row],[age]]&lt;=50,"Adult","Senior"))</f>
        <v>Young</v>
      </c>
      <c r="R1639" s="2" t="str">
        <f t="shared" si="50"/>
        <v>Very High</v>
      </c>
      <c r="S1639" s="2" t="str">
        <f t="shared" si="51"/>
        <v>North - Salaried</v>
      </c>
    </row>
    <row r="1640" spans="1:19" x14ac:dyDescent="0.3">
      <c r="A1640" t="s">
        <v>3302</v>
      </c>
      <c r="B1640" t="s">
        <v>3303</v>
      </c>
      <c r="C1640">
        <v>58</v>
      </c>
      <c r="D1640" s="2" t="s">
        <v>13</v>
      </c>
      <c r="E1640" s="2" t="s">
        <v>14</v>
      </c>
      <c r="F1640" s="2" t="s">
        <v>15</v>
      </c>
      <c r="G1640" s="2" t="s">
        <v>27</v>
      </c>
      <c r="H1640" s="2" t="s">
        <v>18</v>
      </c>
      <c r="I1640" s="2" t="s">
        <v>18</v>
      </c>
      <c r="J1640">
        <v>0.55000000000000004</v>
      </c>
      <c r="K1640" s="1">
        <v>43702</v>
      </c>
      <c r="L1640" s="2" t="str">
        <f>IF(Sheet1[[#This Row],[age]]&lt;18, "Under 18",IF(Sheet1[[#This Row],[age]]&lt;=30,"18-30",IF(Sheet1[[#This Row],[age]]&lt;=45,"31-45",IF(Sheet1[[#This Row],[age]]&lt;=60,"46-60","60+"))))</f>
        <v>46-60</v>
      </c>
      <c r="M1640" s="2" t="str">
        <f>IF(Sheet1[[#This Row],[risk_score]]&lt;0.3,"Low",IF(Sheet1[[#This Row],[risk_score]]&lt;0.7,"Medium","High"))</f>
        <v>Medium</v>
      </c>
      <c r="N1640">
        <f>YEAR(Sheet1[[#This Row],[date_joined]])</f>
        <v>2019</v>
      </c>
      <c r="O1640" s="2" t="str">
        <f>TEXT(Sheet1[[#This Row],[date_joined]],"mmm")</f>
        <v>Aug</v>
      </c>
      <c r="P1640" s="2" t="str">
        <f>"Q"&amp;ROUNDUP(MONTH(Sheet1[[#This Row],[date_joined]])/3,0)</f>
        <v>Q3</v>
      </c>
      <c r="Q1640" s="2" t="str">
        <f>IF(Sheet1[[#This Row],[age]]&lt;30,"Young",IF(Sheet1[[#This Row],[age]]&lt;=50,"Adult","Senior"))</f>
        <v>Senior</v>
      </c>
      <c r="R1640" s="2" t="str">
        <f t="shared" si="50"/>
        <v>Very High</v>
      </c>
      <c r="S1640" s="2" t="str">
        <f t="shared" si="51"/>
        <v>North - Student</v>
      </c>
    </row>
    <row r="1641" spans="1:19" x14ac:dyDescent="0.3">
      <c r="A1641" t="s">
        <v>3304</v>
      </c>
      <c r="B1641" t="s">
        <v>3305</v>
      </c>
      <c r="C1641">
        <v>67</v>
      </c>
      <c r="D1641" s="2" t="s">
        <v>21</v>
      </c>
      <c r="E1641" s="2" t="s">
        <v>22</v>
      </c>
      <c r="F1641" s="2" t="s">
        <v>15</v>
      </c>
      <c r="G1641" s="2" t="s">
        <v>32</v>
      </c>
      <c r="H1641" s="2" t="s">
        <v>17</v>
      </c>
      <c r="I1641" s="2" t="s">
        <v>18</v>
      </c>
      <c r="J1641">
        <v>0.35</v>
      </c>
      <c r="K1641" s="1">
        <v>45091</v>
      </c>
      <c r="L1641" s="2" t="str">
        <f>IF(Sheet1[[#This Row],[age]]&lt;18, "Under 18",IF(Sheet1[[#This Row],[age]]&lt;=30,"18-30",IF(Sheet1[[#This Row],[age]]&lt;=45,"31-45",IF(Sheet1[[#This Row],[age]]&lt;=60,"46-60","60+"))))</f>
        <v>60+</v>
      </c>
      <c r="M1641" s="2" t="str">
        <f>IF(Sheet1[[#This Row],[risk_score]]&lt;0.3,"Low",IF(Sheet1[[#This Row],[risk_score]]&lt;0.7,"Medium","High"))</f>
        <v>Medium</v>
      </c>
      <c r="N1641">
        <f>YEAR(Sheet1[[#This Row],[date_joined]])</f>
        <v>2023</v>
      </c>
      <c r="O1641" s="2" t="str">
        <f>TEXT(Sheet1[[#This Row],[date_joined]],"mmm")</f>
        <v>Jun</v>
      </c>
      <c r="P1641" s="2" t="str">
        <f>"Q"&amp;ROUNDUP(MONTH(Sheet1[[#This Row],[date_joined]])/3,0)</f>
        <v>Q2</v>
      </c>
      <c r="Q1641" s="2" t="str">
        <f>IF(Sheet1[[#This Row],[age]]&lt;30,"Young",IF(Sheet1[[#This Row],[age]]&lt;=50,"Adult","Senior"))</f>
        <v>Senior</v>
      </c>
      <c r="R1641" s="2" t="str">
        <f t="shared" si="50"/>
        <v>High</v>
      </c>
      <c r="S1641" s="2" t="str">
        <f t="shared" si="51"/>
        <v>South - Student</v>
      </c>
    </row>
    <row r="1642" spans="1:19" x14ac:dyDescent="0.3">
      <c r="A1642" t="s">
        <v>3306</v>
      </c>
      <c r="B1642" t="s">
        <v>3307</v>
      </c>
      <c r="C1642">
        <v>56</v>
      </c>
      <c r="D1642" s="2" t="s">
        <v>13</v>
      </c>
      <c r="E1642" s="2" t="s">
        <v>30</v>
      </c>
      <c r="F1642" s="2" t="s">
        <v>23</v>
      </c>
      <c r="G1642" s="2" t="s">
        <v>32</v>
      </c>
      <c r="H1642" s="2" t="s">
        <v>18</v>
      </c>
      <c r="I1642" s="2" t="s">
        <v>18</v>
      </c>
      <c r="J1642">
        <v>0.33</v>
      </c>
      <c r="K1642" s="1">
        <v>44282</v>
      </c>
      <c r="L1642" s="2" t="str">
        <f>IF(Sheet1[[#This Row],[age]]&lt;18, "Under 18",IF(Sheet1[[#This Row],[age]]&lt;=30,"18-30",IF(Sheet1[[#This Row],[age]]&lt;=45,"31-45",IF(Sheet1[[#This Row],[age]]&lt;=60,"46-60","60+"))))</f>
        <v>46-60</v>
      </c>
      <c r="M1642" s="2" t="str">
        <f>IF(Sheet1[[#This Row],[risk_score]]&lt;0.3,"Low",IF(Sheet1[[#This Row],[risk_score]]&lt;0.7,"Medium","High"))</f>
        <v>Medium</v>
      </c>
      <c r="N1642">
        <f>YEAR(Sheet1[[#This Row],[date_joined]])</f>
        <v>2021</v>
      </c>
      <c r="O1642" s="2" t="str">
        <f>TEXT(Sheet1[[#This Row],[date_joined]],"mmm")</f>
        <v>Mar</v>
      </c>
      <c r="P1642" s="2" t="str">
        <f>"Q"&amp;ROUNDUP(MONTH(Sheet1[[#This Row],[date_joined]])/3,0)</f>
        <v>Q1</v>
      </c>
      <c r="Q1642" s="2" t="str">
        <f>IF(Sheet1[[#This Row],[age]]&lt;30,"Young",IF(Sheet1[[#This Row],[age]]&lt;=50,"Adult","Senior"))</f>
        <v>Senior</v>
      </c>
      <c r="R1642" s="2" t="str">
        <f t="shared" si="50"/>
        <v>Very High</v>
      </c>
      <c r="S1642" s="2" t="str">
        <f t="shared" si="51"/>
        <v>South - Salaried</v>
      </c>
    </row>
    <row r="1643" spans="1:19" x14ac:dyDescent="0.3">
      <c r="A1643" t="s">
        <v>3308</v>
      </c>
      <c r="B1643" t="s">
        <v>3309</v>
      </c>
      <c r="C1643">
        <v>65</v>
      </c>
      <c r="D1643" s="2" t="s">
        <v>21</v>
      </c>
      <c r="E1643" s="2" t="s">
        <v>30</v>
      </c>
      <c r="F1643" s="2" t="s">
        <v>37</v>
      </c>
      <c r="G1643" s="2" t="s">
        <v>27</v>
      </c>
      <c r="H1643" s="2" t="s">
        <v>17</v>
      </c>
      <c r="I1643" s="2" t="s">
        <v>18</v>
      </c>
      <c r="J1643">
        <v>0.49</v>
      </c>
      <c r="K1643" s="1">
        <v>44284</v>
      </c>
      <c r="L1643" s="2" t="str">
        <f>IF(Sheet1[[#This Row],[age]]&lt;18, "Under 18",IF(Sheet1[[#This Row],[age]]&lt;=30,"18-30",IF(Sheet1[[#This Row],[age]]&lt;=45,"31-45",IF(Sheet1[[#This Row],[age]]&lt;=60,"46-60","60+"))))</f>
        <v>60+</v>
      </c>
      <c r="M1643" s="2" t="str">
        <f>IF(Sheet1[[#This Row],[risk_score]]&lt;0.3,"Low",IF(Sheet1[[#This Row],[risk_score]]&lt;0.7,"Medium","High"))</f>
        <v>Medium</v>
      </c>
      <c r="N1643">
        <f>YEAR(Sheet1[[#This Row],[date_joined]])</f>
        <v>2021</v>
      </c>
      <c r="O1643" s="2" t="str">
        <f>TEXT(Sheet1[[#This Row],[date_joined]],"mmm")</f>
        <v>Mar</v>
      </c>
      <c r="P1643" s="2" t="str">
        <f>"Q"&amp;ROUNDUP(MONTH(Sheet1[[#This Row],[date_joined]])/3,0)</f>
        <v>Q1</v>
      </c>
      <c r="Q1643" s="2" t="str">
        <f>IF(Sheet1[[#This Row],[age]]&lt;30,"Young",IF(Sheet1[[#This Row],[age]]&lt;=50,"Adult","Senior"))</f>
        <v>Senior</v>
      </c>
      <c r="R1643" s="2" t="str">
        <f t="shared" si="50"/>
        <v>High</v>
      </c>
      <c r="S1643" s="2" t="str">
        <f t="shared" si="51"/>
        <v>North - Retired</v>
      </c>
    </row>
    <row r="1644" spans="1:19" x14ac:dyDescent="0.3">
      <c r="A1644" t="s">
        <v>3310</v>
      </c>
      <c r="B1644" t="s">
        <v>3311</v>
      </c>
      <c r="C1644">
        <v>41</v>
      </c>
      <c r="D1644" s="2" t="s">
        <v>13</v>
      </c>
      <c r="E1644" s="2" t="s">
        <v>22</v>
      </c>
      <c r="F1644" s="2" t="s">
        <v>23</v>
      </c>
      <c r="G1644" s="2" t="s">
        <v>32</v>
      </c>
      <c r="H1644" s="2" t="s">
        <v>17</v>
      </c>
      <c r="I1644" s="2" t="s">
        <v>17</v>
      </c>
      <c r="J1644">
        <v>0.08</v>
      </c>
      <c r="K1644" s="1">
        <v>44444</v>
      </c>
      <c r="L1644" s="2" t="str">
        <f>IF(Sheet1[[#This Row],[age]]&lt;18, "Under 18",IF(Sheet1[[#This Row],[age]]&lt;=30,"18-30",IF(Sheet1[[#This Row],[age]]&lt;=45,"31-45",IF(Sheet1[[#This Row],[age]]&lt;=60,"46-60","60+"))))</f>
        <v>31-45</v>
      </c>
      <c r="M1644" s="2" t="str">
        <f>IF(Sheet1[[#This Row],[risk_score]]&lt;0.3,"Low",IF(Sheet1[[#This Row],[risk_score]]&lt;0.7,"Medium","High"))</f>
        <v>Low</v>
      </c>
      <c r="N1644">
        <f>YEAR(Sheet1[[#This Row],[date_joined]])</f>
        <v>2021</v>
      </c>
      <c r="O1644" s="2" t="str">
        <f>TEXT(Sheet1[[#This Row],[date_joined]],"mmm")</f>
        <v>Sep</v>
      </c>
      <c r="P1644" s="2" t="str">
        <f>"Q"&amp;ROUNDUP(MONTH(Sheet1[[#This Row],[date_joined]])/3,0)</f>
        <v>Q3</v>
      </c>
      <c r="Q1644" s="2" t="str">
        <f>IF(Sheet1[[#This Row],[age]]&lt;30,"Young",IF(Sheet1[[#This Row],[age]]&lt;=50,"Adult","Senior"))</f>
        <v>Adult</v>
      </c>
      <c r="R1644" s="2" t="str">
        <f t="shared" si="50"/>
        <v>Low</v>
      </c>
      <c r="S1644" s="2" t="str">
        <f t="shared" si="51"/>
        <v>South - Salaried</v>
      </c>
    </row>
    <row r="1645" spans="1:19" x14ac:dyDescent="0.3">
      <c r="A1645" t="s">
        <v>3312</v>
      </c>
      <c r="B1645" t="s">
        <v>3313</v>
      </c>
      <c r="C1645">
        <v>31</v>
      </c>
      <c r="D1645" s="2" t="s">
        <v>13</v>
      </c>
      <c r="E1645" s="2" t="s">
        <v>30</v>
      </c>
      <c r="F1645" s="2" t="s">
        <v>31</v>
      </c>
      <c r="G1645" s="2" t="s">
        <v>32</v>
      </c>
      <c r="H1645" s="2" t="s">
        <v>17</v>
      </c>
      <c r="I1645" s="2" t="s">
        <v>18</v>
      </c>
      <c r="J1645">
        <v>0.55000000000000004</v>
      </c>
      <c r="K1645" s="1">
        <v>43391</v>
      </c>
      <c r="L1645" s="2" t="str">
        <f>IF(Sheet1[[#This Row],[age]]&lt;18, "Under 18",IF(Sheet1[[#This Row],[age]]&lt;=30,"18-30",IF(Sheet1[[#This Row],[age]]&lt;=45,"31-45",IF(Sheet1[[#This Row],[age]]&lt;=60,"46-60","60+"))))</f>
        <v>31-45</v>
      </c>
      <c r="M1645" s="2" t="str">
        <f>IF(Sheet1[[#This Row],[risk_score]]&lt;0.3,"Low",IF(Sheet1[[#This Row],[risk_score]]&lt;0.7,"Medium","High"))</f>
        <v>Medium</v>
      </c>
      <c r="N1645">
        <f>YEAR(Sheet1[[#This Row],[date_joined]])</f>
        <v>2018</v>
      </c>
      <c r="O1645" s="2" t="str">
        <f>TEXT(Sheet1[[#This Row],[date_joined]],"mmm")</f>
        <v>Oct</v>
      </c>
      <c r="P1645" s="2" t="str">
        <f>"Q"&amp;ROUNDUP(MONTH(Sheet1[[#This Row],[date_joined]])/3,0)</f>
        <v>Q4</v>
      </c>
      <c r="Q1645" s="2" t="str">
        <f>IF(Sheet1[[#This Row],[age]]&lt;30,"Young",IF(Sheet1[[#This Row],[age]]&lt;=50,"Adult","Senior"))</f>
        <v>Adult</v>
      </c>
      <c r="R1645" s="2" t="str">
        <f t="shared" si="50"/>
        <v>High</v>
      </c>
      <c r="S1645" s="2" t="str">
        <f t="shared" si="51"/>
        <v>South - Self-employed</v>
      </c>
    </row>
    <row r="1646" spans="1:19" x14ac:dyDescent="0.3">
      <c r="A1646" t="s">
        <v>3314</v>
      </c>
      <c r="B1646" t="s">
        <v>3315</v>
      </c>
      <c r="C1646">
        <v>64</v>
      </c>
      <c r="D1646" s="2" t="s">
        <v>13</v>
      </c>
      <c r="E1646" s="2" t="s">
        <v>30</v>
      </c>
      <c r="F1646" s="2" t="s">
        <v>23</v>
      </c>
      <c r="G1646" s="2" t="s">
        <v>32</v>
      </c>
      <c r="H1646" s="2" t="s">
        <v>18</v>
      </c>
      <c r="I1646" s="2" t="s">
        <v>18</v>
      </c>
      <c r="J1646">
        <v>0.15</v>
      </c>
      <c r="K1646" s="1">
        <v>45085</v>
      </c>
      <c r="L1646" s="2" t="str">
        <f>IF(Sheet1[[#This Row],[age]]&lt;18, "Under 18",IF(Sheet1[[#This Row],[age]]&lt;=30,"18-30",IF(Sheet1[[#This Row],[age]]&lt;=45,"31-45",IF(Sheet1[[#This Row],[age]]&lt;=60,"46-60","60+"))))</f>
        <v>60+</v>
      </c>
      <c r="M1646" s="2" t="str">
        <f>IF(Sheet1[[#This Row],[risk_score]]&lt;0.3,"Low",IF(Sheet1[[#This Row],[risk_score]]&lt;0.7,"Medium","High"))</f>
        <v>Low</v>
      </c>
      <c r="N1646">
        <f>YEAR(Sheet1[[#This Row],[date_joined]])</f>
        <v>2023</v>
      </c>
      <c r="O1646" s="2" t="str">
        <f>TEXT(Sheet1[[#This Row],[date_joined]],"mmm")</f>
        <v>Jun</v>
      </c>
      <c r="P1646" s="2" t="str">
        <f>"Q"&amp;ROUNDUP(MONTH(Sheet1[[#This Row],[date_joined]])/3,0)</f>
        <v>Q2</v>
      </c>
      <c r="Q1646" s="2" t="str">
        <f>IF(Sheet1[[#This Row],[age]]&lt;30,"Young",IF(Sheet1[[#This Row],[age]]&lt;=50,"Adult","Senior"))</f>
        <v>Senior</v>
      </c>
      <c r="R1646" s="2" t="str">
        <f t="shared" si="50"/>
        <v>Very High</v>
      </c>
      <c r="S1646" s="2" t="str">
        <f t="shared" si="51"/>
        <v>South - Salaried</v>
      </c>
    </row>
    <row r="1647" spans="1:19" x14ac:dyDescent="0.3">
      <c r="A1647" t="s">
        <v>3316</v>
      </c>
      <c r="B1647" t="s">
        <v>3317</v>
      </c>
      <c r="C1647">
        <v>22</v>
      </c>
      <c r="D1647" s="2" t="s">
        <v>21</v>
      </c>
      <c r="E1647" s="2" t="s">
        <v>30</v>
      </c>
      <c r="F1647" s="2" t="s">
        <v>37</v>
      </c>
      <c r="G1647" s="2" t="s">
        <v>27</v>
      </c>
      <c r="H1647" s="2" t="s">
        <v>18</v>
      </c>
      <c r="I1647" s="2" t="s">
        <v>17</v>
      </c>
      <c r="J1647">
        <v>0.66</v>
      </c>
      <c r="K1647" s="1">
        <v>43326</v>
      </c>
      <c r="L1647" s="2" t="str">
        <f>IF(Sheet1[[#This Row],[age]]&lt;18, "Under 18",IF(Sheet1[[#This Row],[age]]&lt;=30,"18-30",IF(Sheet1[[#This Row],[age]]&lt;=45,"31-45",IF(Sheet1[[#This Row],[age]]&lt;=60,"46-60","60+"))))</f>
        <v>18-30</v>
      </c>
      <c r="M1647" s="2" t="str">
        <f>IF(Sheet1[[#This Row],[risk_score]]&lt;0.3,"Low",IF(Sheet1[[#This Row],[risk_score]]&lt;0.7,"Medium","High"))</f>
        <v>Medium</v>
      </c>
      <c r="N1647">
        <f>YEAR(Sheet1[[#This Row],[date_joined]])</f>
        <v>2018</v>
      </c>
      <c r="O1647" s="2" t="str">
        <f>TEXT(Sheet1[[#This Row],[date_joined]],"mmm")</f>
        <v>Aug</v>
      </c>
      <c r="P1647" s="2" t="str">
        <f>"Q"&amp;ROUNDUP(MONTH(Sheet1[[#This Row],[date_joined]])/3,0)</f>
        <v>Q3</v>
      </c>
      <c r="Q1647" s="2" t="str">
        <f>IF(Sheet1[[#This Row],[age]]&lt;30,"Young",IF(Sheet1[[#This Row],[age]]&lt;=50,"Adult","Senior"))</f>
        <v>Young</v>
      </c>
      <c r="R1647" s="2" t="str">
        <f t="shared" si="50"/>
        <v>High</v>
      </c>
      <c r="S1647" s="2" t="str">
        <f t="shared" si="51"/>
        <v>North - Retired</v>
      </c>
    </row>
    <row r="1648" spans="1:19" x14ac:dyDescent="0.3">
      <c r="A1648" t="s">
        <v>3318</v>
      </c>
      <c r="B1648" t="s">
        <v>3319</v>
      </c>
      <c r="C1648">
        <v>21</v>
      </c>
      <c r="D1648" s="2" t="s">
        <v>13</v>
      </c>
      <c r="E1648" s="2" t="s">
        <v>22</v>
      </c>
      <c r="F1648" s="2" t="s">
        <v>31</v>
      </c>
      <c r="G1648" s="2" t="s">
        <v>32</v>
      </c>
      <c r="H1648" s="2" t="s">
        <v>17</v>
      </c>
      <c r="I1648" s="2" t="s">
        <v>17</v>
      </c>
      <c r="J1648">
        <v>1</v>
      </c>
      <c r="K1648" s="1">
        <v>44662</v>
      </c>
      <c r="L1648" s="2" t="str">
        <f>IF(Sheet1[[#This Row],[age]]&lt;18, "Under 18",IF(Sheet1[[#This Row],[age]]&lt;=30,"18-30",IF(Sheet1[[#This Row],[age]]&lt;=45,"31-45",IF(Sheet1[[#This Row],[age]]&lt;=60,"46-60","60+"))))</f>
        <v>18-30</v>
      </c>
      <c r="M1648" s="2" t="str">
        <f>IF(Sheet1[[#This Row],[risk_score]]&lt;0.3,"Low",IF(Sheet1[[#This Row],[risk_score]]&lt;0.7,"Medium","High"))</f>
        <v>High</v>
      </c>
      <c r="N1648">
        <f>YEAR(Sheet1[[#This Row],[date_joined]])</f>
        <v>2022</v>
      </c>
      <c r="O1648" s="2" t="str">
        <f>TEXT(Sheet1[[#This Row],[date_joined]],"mmm")</f>
        <v>Apr</v>
      </c>
      <c r="P1648" s="2" t="str">
        <f>"Q"&amp;ROUNDUP(MONTH(Sheet1[[#This Row],[date_joined]])/3,0)</f>
        <v>Q2</v>
      </c>
      <c r="Q1648" s="2" t="str">
        <f>IF(Sheet1[[#This Row],[age]]&lt;30,"Young",IF(Sheet1[[#This Row],[age]]&lt;=50,"Adult","Senior"))</f>
        <v>Young</v>
      </c>
      <c r="R1648" s="2" t="str">
        <f t="shared" si="50"/>
        <v>Low</v>
      </c>
      <c r="S1648" s="2" t="str">
        <f t="shared" si="51"/>
        <v>South - Self-employed</v>
      </c>
    </row>
    <row r="1649" spans="1:19" x14ac:dyDescent="0.3">
      <c r="A1649" t="s">
        <v>3320</v>
      </c>
      <c r="B1649" t="s">
        <v>3321</v>
      </c>
      <c r="C1649">
        <v>34</v>
      </c>
      <c r="D1649" s="2" t="s">
        <v>21</v>
      </c>
      <c r="E1649" s="2" t="s">
        <v>14</v>
      </c>
      <c r="F1649" s="2" t="s">
        <v>15</v>
      </c>
      <c r="G1649" s="2" t="s">
        <v>27</v>
      </c>
      <c r="H1649" s="2" t="s">
        <v>18</v>
      </c>
      <c r="I1649" s="2" t="s">
        <v>17</v>
      </c>
      <c r="J1649">
        <v>0.47</v>
      </c>
      <c r="K1649" s="1">
        <v>43356</v>
      </c>
      <c r="L1649" s="2" t="str">
        <f>IF(Sheet1[[#This Row],[age]]&lt;18, "Under 18",IF(Sheet1[[#This Row],[age]]&lt;=30,"18-30",IF(Sheet1[[#This Row],[age]]&lt;=45,"31-45",IF(Sheet1[[#This Row],[age]]&lt;=60,"46-60","60+"))))</f>
        <v>31-45</v>
      </c>
      <c r="M1649" s="2" t="str">
        <f>IF(Sheet1[[#This Row],[risk_score]]&lt;0.3,"Low",IF(Sheet1[[#This Row],[risk_score]]&lt;0.7,"Medium","High"))</f>
        <v>Medium</v>
      </c>
      <c r="N1649">
        <f>YEAR(Sheet1[[#This Row],[date_joined]])</f>
        <v>2018</v>
      </c>
      <c r="O1649" s="2" t="str">
        <f>TEXT(Sheet1[[#This Row],[date_joined]],"mmm")</f>
        <v>Sep</v>
      </c>
      <c r="P1649" s="2" t="str">
        <f>"Q"&amp;ROUNDUP(MONTH(Sheet1[[#This Row],[date_joined]])/3,0)</f>
        <v>Q3</v>
      </c>
      <c r="Q1649" s="2" t="str">
        <f>IF(Sheet1[[#This Row],[age]]&lt;30,"Young",IF(Sheet1[[#This Row],[age]]&lt;=50,"Adult","Senior"))</f>
        <v>Adult</v>
      </c>
      <c r="R1649" s="2" t="str">
        <f t="shared" si="50"/>
        <v>High</v>
      </c>
      <c r="S1649" s="2" t="str">
        <f t="shared" si="51"/>
        <v>North - Student</v>
      </c>
    </row>
  </sheetData>
  <conditionalFormatting sqref="H2:H1649">
    <cfRule type="cellIs" dxfId="11" priority="4" operator="equal">
      <formula>"No"</formula>
    </cfRule>
    <cfRule type="cellIs" dxfId="10" priority="5" operator="equal">
      <formula>"Yes"</formula>
    </cfRule>
    <cfRule type="expression" priority="6">
      <formula>"no"</formula>
    </cfRule>
  </conditionalFormatting>
  <conditionalFormatting sqref="I1:I1649">
    <cfRule type="containsText" dxfId="9" priority="2" operator="containsText" text="No">
      <formula>NOT(ISERROR(SEARCH("No",I1)))</formula>
    </cfRule>
    <cfRule type="containsText" dxfId="8" priority="3" operator="containsText" text="Yes">
      <formula>NOT(ISERROR(SEARCH("Yes",I1)))</formula>
    </cfRule>
  </conditionalFormatting>
  <conditionalFormatting sqref="J2:J1649">
    <cfRule type="dataBar" priority="11">
      <dataBar>
        <cfvo type="min"/>
        <cfvo type="max"/>
        <color rgb="FF63C384"/>
      </dataBar>
      <extLst>
        <ext xmlns:x14="http://schemas.microsoft.com/office/spreadsheetml/2009/9/main" uri="{B025F937-C7B1-47D3-B67F-A62EFF666E3E}">
          <x14:id>{88EE0F6D-9CDA-401F-874E-EA6167CC7795}</x14:id>
        </ext>
      </extLst>
    </cfRule>
  </conditionalFormatting>
  <conditionalFormatting sqref="L2:L1649">
    <cfRule type="dataBar" priority="1">
      <dataBar>
        <cfvo type="min"/>
        <cfvo type="max"/>
        <color rgb="FF638EC6"/>
      </dataBar>
      <extLst>
        <ext xmlns:x14="http://schemas.microsoft.com/office/spreadsheetml/2009/9/main" uri="{B025F937-C7B1-47D3-B67F-A62EFF666E3E}">
          <x14:id>{7FD5C734-4BD0-494D-B2FE-E091CD2F8979}</x14:id>
        </ext>
      </extLst>
    </cfRule>
  </conditionalFormatting>
  <conditionalFormatting sqref="M2:M1649">
    <cfRule type="iconSet" priority="7">
      <iconSet iconSet="3Symbols">
        <cfvo type="percent" val="0"/>
        <cfvo type="percent" val="33"/>
        <cfvo type="percent" val="67"/>
      </iconSet>
    </cfRule>
    <cfRule type="cellIs" dxfId="7" priority="8" operator="equal">
      <formula>"Low"</formula>
    </cfRule>
    <cfRule type="cellIs" dxfId="6" priority="9" operator="equal">
      <formula>"High"</formula>
    </cfRule>
    <cfRule type="cellIs" dxfId="5" priority="10" operator="equal">
      <formula>"Medium"</formula>
    </cfRule>
  </conditionalFormatting>
  <conditionalFormatting sqref="R2:R1649">
    <cfRule type="cellIs" dxfId="4" priority="13" operator="equal">
      <formula>"Low"</formula>
    </cfRule>
    <cfRule type="cellIs" dxfId="3" priority="14" operator="equal">
      <formula>"High"</formula>
    </cfRule>
    <cfRule type="cellIs" dxfId="2" priority="15" operator="equal">
      <formula>"Very High"</formula>
    </cfRule>
    <cfRule type="cellIs" dxfId="1" priority="20" operator="equal">
      <formula>"High"</formula>
    </cfRule>
  </conditionalFormatting>
  <conditionalFormatting sqref="R1618:R1649">
    <cfRule type="cellIs" dxfId="0" priority="18" operator="equal">
      <formula>"Very High"</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8EE0F6D-9CDA-401F-874E-EA6167CC7795}">
            <x14:dataBar minLength="0" maxLength="100" border="1" negativeBarBorderColorSameAsPositive="0">
              <x14:cfvo type="autoMin"/>
              <x14:cfvo type="autoMax"/>
              <x14:borderColor rgb="FF63C384"/>
              <x14:negativeFillColor rgb="FFFF0000"/>
              <x14:negativeBorderColor rgb="FFFF0000"/>
              <x14:axisColor rgb="FF000000"/>
            </x14:dataBar>
          </x14:cfRule>
          <xm:sqref>J2:J1649</xm:sqref>
        </x14:conditionalFormatting>
        <x14:conditionalFormatting xmlns:xm="http://schemas.microsoft.com/office/excel/2006/main">
          <x14:cfRule type="dataBar" id="{7FD5C734-4BD0-494D-B2FE-E091CD2F8979}">
            <x14:dataBar minLength="0" maxLength="100" border="1" negativeBarBorderColorSameAsPositive="0">
              <x14:cfvo type="autoMin"/>
              <x14:cfvo type="autoMax"/>
              <x14:borderColor rgb="FF638EC6"/>
              <x14:negativeFillColor rgb="FFFF0000"/>
              <x14:negativeBorderColor rgb="FFFF0000"/>
              <x14:axisColor rgb="FF000000"/>
            </x14:dataBar>
          </x14:cfRule>
          <xm:sqref>L2:L1649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5E57-2D08-4E48-A684-FDF3F5D5EA0F}">
  <dimension ref="B3:N71"/>
  <sheetViews>
    <sheetView showGridLines="0" workbookViewId="0">
      <selection activeCell="E2" sqref="E2"/>
    </sheetView>
  </sheetViews>
  <sheetFormatPr defaultRowHeight="14.4" x14ac:dyDescent="0.3"/>
  <cols>
    <col min="1" max="1" width="8.88671875" style="7"/>
    <col min="2" max="2" width="12.6640625" style="7" bestFit="1" customWidth="1"/>
    <col min="3" max="3" width="19.109375" style="7" bestFit="1" customWidth="1"/>
    <col min="4" max="4" width="4" style="7" bestFit="1" customWidth="1"/>
    <col min="5" max="5" width="10.77734375" style="7" bestFit="1" customWidth="1"/>
    <col min="6" max="6" width="10.44140625" style="7" bestFit="1" customWidth="1"/>
    <col min="7" max="7" width="12.5546875" style="7" bestFit="1" customWidth="1"/>
    <col min="8" max="8" width="19.109375" style="7" bestFit="1" customWidth="1"/>
    <col min="9" max="10" width="10.44140625" style="7" bestFit="1" customWidth="1"/>
    <col min="11" max="11" width="12.5546875" style="7" bestFit="1" customWidth="1"/>
    <col min="12" max="12" width="19.109375" style="7" bestFit="1" customWidth="1"/>
    <col min="13" max="13" width="4" style="7" bestFit="1" customWidth="1"/>
    <col min="14" max="14" width="10.77734375" style="7" bestFit="1" customWidth="1"/>
    <col min="15" max="1649" width="10.44140625" style="7" bestFit="1" customWidth="1"/>
    <col min="1650" max="1650" width="10.77734375" style="7" bestFit="1" customWidth="1"/>
    <col min="1651" max="16384" width="8.88671875" style="7"/>
  </cols>
  <sheetData>
    <row r="3" spans="2:13" ht="28.8" x14ac:dyDescent="0.55000000000000004">
      <c r="D3" s="50" t="s">
        <v>3362</v>
      </c>
      <c r="E3" s="51"/>
      <c r="F3" s="51"/>
      <c r="G3" s="51"/>
      <c r="H3" s="51"/>
      <c r="I3" s="51"/>
    </row>
    <row r="6" spans="2:13" ht="15" thickBot="1" x14ac:dyDescent="0.35"/>
    <row r="7" spans="2:13" ht="16.2" thickBot="1" x14ac:dyDescent="0.35">
      <c r="B7" s="52" t="s">
        <v>3338</v>
      </c>
      <c r="C7" s="53"/>
      <c r="G7" s="52" t="s">
        <v>3339</v>
      </c>
      <c r="H7" s="53"/>
      <c r="K7" s="52" t="s">
        <v>3344</v>
      </c>
      <c r="L7" s="54"/>
      <c r="M7" s="8"/>
    </row>
    <row r="8" spans="2:13" ht="15" thickBot="1" x14ac:dyDescent="0.35"/>
    <row r="9" spans="2:13" ht="15" thickBot="1" x14ac:dyDescent="0.35">
      <c r="B9" s="18" t="s">
        <v>3335</v>
      </c>
      <c r="C9" s="18" t="s">
        <v>3337</v>
      </c>
      <c r="G9" s="18" t="s">
        <v>3335</v>
      </c>
      <c r="H9" s="18" t="s">
        <v>3337</v>
      </c>
      <c r="K9" s="18" t="s">
        <v>3335</v>
      </c>
      <c r="L9" s="18" t="s">
        <v>3337</v>
      </c>
    </row>
    <row r="10" spans="2:13" x14ac:dyDescent="0.3">
      <c r="B10" s="19" t="s">
        <v>81</v>
      </c>
      <c r="C10" s="20">
        <v>287</v>
      </c>
      <c r="G10" s="19" t="s">
        <v>21</v>
      </c>
      <c r="H10" s="20">
        <v>822</v>
      </c>
      <c r="K10" s="19" t="s">
        <v>3340</v>
      </c>
      <c r="L10" s="20">
        <v>416</v>
      </c>
    </row>
    <row r="11" spans="2:13" ht="15" thickBot="1" x14ac:dyDescent="0.35">
      <c r="B11" s="21" t="s">
        <v>24</v>
      </c>
      <c r="C11" s="22">
        <v>273</v>
      </c>
      <c r="G11" s="23" t="s">
        <v>13</v>
      </c>
      <c r="H11" s="22">
        <v>826</v>
      </c>
      <c r="K11" s="21" t="s">
        <v>3341</v>
      </c>
      <c r="L11" s="22">
        <v>500</v>
      </c>
    </row>
    <row r="12" spans="2:13" ht="15" thickBot="1" x14ac:dyDescent="0.35">
      <c r="B12" s="21" t="s">
        <v>27</v>
      </c>
      <c r="C12" s="22">
        <v>279</v>
      </c>
      <c r="G12" s="24" t="s">
        <v>3336</v>
      </c>
      <c r="H12" s="25">
        <v>1648</v>
      </c>
      <c r="K12" s="21" t="s">
        <v>3342</v>
      </c>
      <c r="L12" s="22">
        <v>479</v>
      </c>
    </row>
    <row r="13" spans="2:13" ht="15" thickBot="1" x14ac:dyDescent="0.35">
      <c r="B13" s="21" t="s">
        <v>66</v>
      </c>
      <c r="C13" s="22">
        <v>254</v>
      </c>
      <c r="K13" s="23" t="s">
        <v>3343</v>
      </c>
      <c r="L13" s="22">
        <v>253</v>
      </c>
    </row>
    <row r="14" spans="2:13" ht="15" thickBot="1" x14ac:dyDescent="0.35">
      <c r="B14" s="21" t="s">
        <v>32</v>
      </c>
      <c r="C14" s="22">
        <v>270</v>
      </c>
      <c r="K14" s="24" t="s">
        <v>3336</v>
      </c>
      <c r="L14" s="25">
        <v>1648</v>
      </c>
    </row>
    <row r="15" spans="2:13" ht="15" thickBot="1" x14ac:dyDescent="0.35">
      <c r="B15" s="23" t="s">
        <v>16</v>
      </c>
      <c r="C15" s="22">
        <v>285</v>
      </c>
    </row>
    <row r="16" spans="2:13" ht="15" thickBot="1" x14ac:dyDescent="0.35">
      <c r="B16" s="24" t="s">
        <v>3336</v>
      </c>
      <c r="C16" s="25">
        <v>1648</v>
      </c>
    </row>
    <row r="20" spans="2:12" ht="15" thickBot="1" x14ac:dyDescent="0.35"/>
    <row r="21" spans="2:12" ht="16.2" thickBot="1" x14ac:dyDescent="0.35">
      <c r="B21" s="52" t="s">
        <v>3345</v>
      </c>
      <c r="C21" s="55"/>
      <c r="D21" s="56"/>
      <c r="F21" s="52" t="s">
        <v>3346</v>
      </c>
      <c r="G21" s="57"/>
      <c r="H21" s="57"/>
      <c r="I21" s="53"/>
      <c r="K21" s="52" t="s">
        <v>3347</v>
      </c>
      <c r="L21" s="53"/>
    </row>
    <row r="22" spans="2:12" ht="15" thickBot="1" x14ac:dyDescent="0.35"/>
    <row r="23" spans="2:12" ht="15" thickBot="1" x14ac:dyDescent="0.35">
      <c r="B23" s="18" t="s">
        <v>3335</v>
      </c>
      <c r="C23" s="18" t="s">
        <v>3337</v>
      </c>
      <c r="G23" s="18" t="s">
        <v>3335</v>
      </c>
      <c r="H23" s="18" t="s">
        <v>3337</v>
      </c>
      <c r="K23" s="18" t="s">
        <v>3335</v>
      </c>
      <c r="L23" s="18" t="s">
        <v>3348</v>
      </c>
    </row>
    <row r="24" spans="2:12" x14ac:dyDescent="0.3">
      <c r="B24" s="19" t="s">
        <v>37</v>
      </c>
      <c r="C24" s="20">
        <v>436</v>
      </c>
      <c r="G24" s="19" t="s">
        <v>22</v>
      </c>
      <c r="H24" s="20">
        <v>532</v>
      </c>
      <c r="K24" s="19" t="s">
        <v>81</v>
      </c>
      <c r="L24" s="26">
        <v>0.49209059233449515</v>
      </c>
    </row>
    <row r="25" spans="2:12" x14ac:dyDescent="0.3">
      <c r="B25" s="21" t="s">
        <v>23</v>
      </c>
      <c r="C25" s="22">
        <v>381</v>
      </c>
      <c r="G25" s="21" t="s">
        <v>30</v>
      </c>
      <c r="H25" s="22">
        <v>540</v>
      </c>
      <c r="K25" s="21" t="s">
        <v>24</v>
      </c>
      <c r="L25" s="27">
        <v>0.50032967032967068</v>
      </c>
    </row>
    <row r="26" spans="2:12" ht="15" thickBot="1" x14ac:dyDescent="0.35">
      <c r="B26" s="21" t="s">
        <v>31</v>
      </c>
      <c r="C26" s="22">
        <v>404</v>
      </c>
      <c r="G26" s="23" t="s">
        <v>14</v>
      </c>
      <c r="H26" s="22">
        <v>576</v>
      </c>
      <c r="K26" s="21" t="s">
        <v>27</v>
      </c>
      <c r="L26" s="27">
        <v>0.50501792114695354</v>
      </c>
    </row>
    <row r="27" spans="2:12" ht="15" thickBot="1" x14ac:dyDescent="0.35">
      <c r="B27" s="23" t="s">
        <v>15</v>
      </c>
      <c r="C27" s="22">
        <v>427</v>
      </c>
      <c r="G27" s="24" t="s">
        <v>3336</v>
      </c>
      <c r="H27" s="25">
        <v>1648</v>
      </c>
      <c r="K27" s="21" t="s">
        <v>66</v>
      </c>
      <c r="L27" s="27">
        <v>0.49389763779527529</v>
      </c>
    </row>
    <row r="28" spans="2:12" ht="15" thickBot="1" x14ac:dyDescent="0.35">
      <c r="B28" s="24" t="s">
        <v>3336</v>
      </c>
      <c r="C28" s="25">
        <v>1648</v>
      </c>
      <c r="K28" s="21" t="s">
        <v>32</v>
      </c>
      <c r="L28" s="27">
        <v>0.501</v>
      </c>
    </row>
    <row r="29" spans="2:12" ht="15" thickBot="1" x14ac:dyDescent="0.35">
      <c r="K29" s="23" t="s">
        <v>16</v>
      </c>
      <c r="L29" s="27">
        <v>0.48266666666666669</v>
      </c>
    </row>
    <row r="30" spans="2:12" ht="15" thickBot="1" x14ac:dyDescent="0.35">
      <c r="K30" s="24" t="s">
        <v>3336</v>
      </c>
      <c r="L30" s="28">
        <v>0.49575242718446627</v>
      </c>
    </row>
    <row r="34" spans="2:12" ht="15" thickBot="1" x14ac:dyDescent="0.35"/>
    <row r="35" spans="2:12" ht="16.2" thickBot="1" x14ac:dyDescent="0.35">
      <c r="B35" s="52" t="s">
        <v>3349</v>
      </c>
      <c r="C35" s="53"/>
      <c r="G35" s="52" t="s">
        <v>3350</v>
      </c>
      <c r="H35" s="53"/>
      <c r="K35" s="52" t="s">
        <v>3354</v>
      </c>
      <c r="L35" s="53"/>
    </row>
    <row r="36" spans="2:12" ht="15" thickBot="1" x14ac:dyDescent="0.35"/>
    <row r="37" spans="2:12" ht="15" thickBot="1" x14ac:dyDescent="0.35">
      <c r="B37" s="18" t="s">
        <v>3335</v>
      </c>
      <c r="C37" s="18" t="s">
        <v>3348</v>
      </c>
      <c r="G37" s="18" t="s">
        <v>3335</v>
      </c>
      <c r="H37" s="18" t="s">
        <v>3348</v>
      </c>
      <c r="K37" s="18" t="s">
        <v>3335</v>
      </c>
      <c r="L37" s="18" t="s">
        <v>3348</v>
      </c>
    </row>
    <row r="38" spans="2:12" x14ac:dyDescent="0.3">
      <c r="B38" s="19" t="s">
        <v>37</v>
      </c>
      <c r="C38" s="26">
        <v>0.50449541284403709</v>
      </c>
      <c r="G38" s="19" t="s">
        <v>3340</v>
      </c>
      <c r="H38" s="26">
        <v>0.48021634615384656</v>
      </c>
      <c r="K38" s="19" t="s">
        <v>21</v>
      </c>
      <c r="L38" s="26">
        <v>0.49942822384428259</v>
      </c>
    </row>
    <row r="39" spans="2:12" ht="15" thickBot="1" x14ac:dyDescent="0.35">
      <c r="B39" s="21" t="s">
        <v>23</v>
      </c>
      <c r="C39" s="27">
        <v>0.50540682414698168</v>
      </c>
      <c r="G39" s="21" t="s">
        <v>3341</v>
      </c>
      <c r="H39" s="27">
        <v>0.5084000000000003</v>
      </c>
      <c r="K39" s="23" t="s">
        <v>13</v>
      </c>
      <c r="L39" s="27">
        <v>0.49209443099273592</v>
      </c>
    </row>
    <row r="40" spans="2:12" ht="15" thickBot="1" x14ac:dyDescent="0.35">
      <c r="B40" s="21" t="s">
        <v>31</v>
      </c>
      <c r="C40" s="27">
        <v>0.49797029702970325</v>
      </c>
      <c r="G40" s="21" t="s">
        <v>3342</v>
      </c>
      <c r="H40" s="27">
        <v>0.49586638830897706</v>
      </c>
      <c r="K40" s="24" t="s">
        <v>3336</v>
      </c>
      <c r="L40" s="28">
        <v>0.49575242718446583</v>
      </c>
    </row>
    <row r="41" spans="2:12" ht="15" thickBot="1" x14ac:dyDescent="0.35">
      <c r="B41" s="23" t="s">
        <v>15</v>
      </c>
      <c r="C41" s="27">
        <v>0.47611241217798655</v>
      </c>
      <c r="G41" s="23" t="s">
        <v>3343</v>
      </c>
      <c r="H41" s="27">
        <v>0.49608695652173895</v>
      </c>
    </row>
    <row r="42" spans="2:12" ht="15" thickBot="1" x14ac:dyDescent="0.35">
      <c r="B42" s="24" t="s">
        <v>3336</v>
      </c>
      <c r="C42" s="28">
        <v>0.49575242718446638</v>
      </c>
      <c r="G42" s="24" t="s">
        <v>3336</v>
      </c>
      <c r="H42" s="28">
        <v>0.49575242718446599</v>
      </c>
    </row>
    <row r="46" spans="2:12" ht="15" thickBot="1" x14ac:dyDescent="0.35"/>
    <row r="47" spans="2:12" ht="16.2" thickBot="1" x14ac:dyDescent="0.35">
      <c r="B47" s="52" t="s">
        <v>3355</v>
      </c>
      <c r="C47" s="53"/>
      <c r="G47" s="52" t="s">
        <v>3356</v>
      </c>
      <c r="H47" s="53"/>
      <c r="K47" s="52" t="s">
        <v>3357</v>
      </c>
      <c r="L47" s="53"/>
    </row>
    <row r="48" spans="2:12" ht="15" thickBot="1" x14ac:dyDescent="0.35"/>
    <row r="49" spans="2:14" ht="15" thickBot="1" x14ac:dyDescent="0.35">
      <c r="B49" s="18" t="s">
        <v>3335</v>
      </c>
      <c r="C49" s="18" t="s">
        <v>3337</v>
      </c>
      <c r="G49" s="18" t="s">
        <v>3335</v>
      </c>
      <c r="H49" s="18" t="s">
        <v>3337</v>
      </c>
      <c r="K49" s="18" t="s">
        <v>3337</v>
      </c>
      <c r="L49" s="18" t="s">
        <v>3358</v>
      </c>
      <c r="M49" s="29"/>
      <c r="N49" s="30"/>
    </row>
    <row r="50" spans="2:14" ht="15" thickBot="1" x14ac:dyDescent="0.35">
      <c r="B50" s="19" t="s">
        <v>17</v>
      </c>
      <c r="C50" s="20">
        <v>855</v>
      </c>
      <c r="G50" s="19" t="s">
        <v>17</v>
      </c>
      <c r="H50" s="20">
        <v>825</v>
      </c>
      <c r="K50" s="18" t="s">
        <v>3335</v>
      </c>
      <c r="L50" s="29" t="s">
        <v>17</v>
      </c>
      <c r="M50" s="30" t="s">
        <v>18</v>
      </c>
      <c r="N50" s="18" t="s">
        <v>3336</v>
      </c>
    </row>
    <row r="51" spans="2:14" ht="15" thickBot="1" x14ac:dyDescent="0.35">
      <c r="B51" s="23" t="s">
        <v>18</v>
      </c>
      <c r="C51" s="22">
        <v>793</v>
      </c>
      <c r="G51" s="23" t="s">
        <v>18</v>
      </c>
      <c r="H51" s="22">
        <v>823</v>
      </c>
      <c r="K51" s="19" t="s">
        <v>81</v>
      </c>
      <c r="L51" s="9">
        <v>142</v>
      </c>
      <c r="M51" s="14">
        <v>145</v>
      </c>
      <c r="N51" s="10">
        <v>287</v>
      </c>
    </row>
    <row r="52" spans="2:14" ht="15" thickBot="1" x14ac:dyDescent="0.35">
      <c r="B52" s="24" t="s">
        <v>3336</v>
      </c>
      <c r="C52" s="25">
        <v>1648</v>
      </c>
      <c r="G52" s="24" t="s">
        <v>3336</v>
      </c>
      <c r="H52" s="25">
        <v>1648</v>
      </c>
      <c r="K52" s="21" t="s">
        <v>24</v>
      </c>
      <c r="L52" s="15">
        <v>139</v>
      </c>
      <c r="M52" s="7">
        <v>134</v>
      </c>
      <c r="N52" s="12">
        <v>273</v>
      </c>
    </row>
    <row r="53" spans="2:14" x14ac:dyDescent="0.3">
      <c r="K53" s="21" t="s">
        <v>27</v>
      </c>
      <c r="L53" s="15">
        <v>151</v>
      </c>
      <c r="M53" s="7">
        <v>128</v>
      </c>
      <c r="N53" s="12">
        <v>279</v>
      </c>
    </row>
    <row r="54" spans="2:14" x14ac:dyDescent="0.3">
      <c r="K54" s="21" t="s">
        <v>66</v>
      </c>
      <c r="L54" s="15">
        <v>129</v>
      </c>
      <c r="M54" s="7">
        <v>125</v>
      </c>
      <c r="N54" s="12">
        <v>254</v>
      </c>
    </row>
    <row r="55" spans="2:14" x14ac:dyDescent="0.3">
      <c r="K55" s="21" t="s">
        <v>32</v>
      </c>
      <c r="L55" s="15">
        <v>149</v>
      </c>
      <c r="M55" s="7">
        <v>121</v>
      </c>
      <c r="N55" s="12">
        <v>270</v>
      </c>
    </row>
    <row r="56" spans="2:14" ht="15" thickBot="1" x14ac:dyDescent="0.35">
      <c r="K56" s="23" t="s">
        <v>16</v>
      </c>
      <c r="L56" s="15">
        <v>145</v>
      </c>
      <c r="M56" s="7">
        <v>140</v>
      </c>
      <c r="N56" s="12">
        <v>285</v>
      </c>
    </row>
    <row r="57" spans="2:14" ht="15" thickBot="1" x14ac:dyDescent="0.35">
      <c r="K57" s="24" t="s">
        <v>3336</v>
      </c>
      <c r="L57" s="31">
        <v>855</v>
      </c>
      <c r="M57" s="32">
        <v>793</v>
      </c>
      <c r="N57" s="33">
        <v>1648</v>
      </c>
    </row>
    <row r="61" spans="2:14" ht="15" thickBot="1" x14ac:dyDescent="0.35"/>
    <row r="62" spans="2:14" ht="16.2" thickBot="1" x14ac:dyDescent="0.35">
      <c r="B62" s="52" t="s">
        <v>3359</v>
      </c>
      <c r="C62" s="58"/>
      <c r="D62" s="58"/>
      <c r="E62" s="54"/>
      <c r="G62" s="52" t="s">
        <v>3360</v>
      </c>
      <c r="H62" s="53"/>
      <c r="K62" s="52" t="s">
        <v>3361</v>
      </c>
      <c r="L62" s="53"/>
    </row>
    <row r="63" spans="2:14" ht="15" thickBot="1" x14ac:dyDescent="0.35"/>
    <row r="64" spans="2:14" ht="15" thickBot="1" x14ac:dyDescent="0.35">
      <c r="B64" s="9" t="s">
        <v>3337</v>
      </c>
      <c r="C64" s="14" t="s">
        <v>3358</v>
      </c>
      <c r="D64" s="14"/>
      <c r="E64" s="10"/>
      <c r="G64" s="18" t="s">
        <v>3335</v>
      </c>
      <c r="H64" s="18" t="s">
        <v>3337</v>
      </c>
      <c r="K64" s="18" t="s">
        <v>3335</v>
      </c>
      <c r="L64" s="18" t="s">
        <v>3337</v>
      </c>
    </row>
    <row r="65" spans="2:12" x14ac:dyDescent="0.3">
      <c r="B65" s="15" t="s">
        <v>3335</v>
      </c>
      <c r="C65" s="7" t="s">
        <v>17</v>
      </c>
      <c r="D65" s="7" t="s">
        <v>18</v>
      </c>
      <c r="E65" s="12" t="s">
        <v>3336</v>
      </c>
      <c r="G65" s="19">
        <v>2018</v>
      </c>
      <c r="H65" s="20">
        <v>319</v>
      </c>
      <c r="K65" s="19" t="s">
        <v>3352</v>
      </c>
      <c r="L65" s="20">
        <v>254</v>
      </c>
    </row>
    <row r="66" spans="2:12" x14ac:dyDescent="0.3">
      <c r="B66" s="11" t="s">
        <v>3340</v>
      </c>
      <c r="C66" s="7">
        <v>225</v>
      </c>
      <c r="D66" s="7">
        <v>191</v>
      </c>
      <c r="E66" s="12">
        <v>416</v>
      </c>
      <c r="G66" s="21">
        <v>2019</v>
      </c>
      <c r="H66" s="22">
        <v>305</v>
      </c>
      <c r="K66" s="21" t="s">
        <v>3353</v>
      </c>
      <c r="L66" s="22">
        <v>249</v>
      </c>
    </row>
    <row r="67" spans="2:12" ht="15" thickBot="1" x14ac:dyDescent="0.35">
      <c r="B67" s="11" t="s">
        <v>3341</v>
      </c>
      <c r="C67" s="7">
        <v>243</v>
      </c>
      <c r="D67" s="7">
        <v>257</v>
      </c>
      <c r="E67" s="12">
        <v>500</v>
      </c>
      <c r="G67" s="21">
        <v>2020</v>
      </c>
      <c r="H67" s="22">
        <v>305</v>
      </c>
      <c r="K67" s="23" t="s">
        <v>3351</v>
      </c>
      <c r="L67" s="22">
        <v>1145</v>
      </c>
    </row>
    <row r="68" spans="2:12" ht="15" thickBot="1" x14ac:dyDescent="0.35">
      <c r="B68" s="11" t="s">
        <v>3342</v>
      </c>
      <c r="C68" s="7">
        <v>226</v>
      </c>
      <c r="D68" s="7">
        <v>253</v>
      </c>
      <c r="E68" s="12">
        <v>479</v>
      </c>
      <c r="G68" s="21">
        <v>2021</v>
      </c>
      <c r="H68" s="22">
        <v>290</v>
      </c>
      <c r="K68" s="24" t="s">
        <v>3336</v>
      </c>
      <c r="L68" s="25">
        <v>1648</v>
      </c>
    </row>
    <row r="69" spans="2:12" x14ac:dyDescent="0.3">
      <c r="B69" s="11" t="s">
        <v>3343</v>
      </c>
      <c r="C69" s="7">
        <v>131</v>
      </c>
      <c r="D69" s="7">
        <v>122</v>
      </c>
      <c r="E69" s="12">
        <v>253</v>
      </c>
      <c r="G69" s="21">
        <v>2022</v>
      </c>
      <c r="H69" s="22">
        <v>269</v>
      </c>
    </row>
    <row r="70" spans="2:12" ht="15" thickBot="1" x14ac:dyDescent="0.35">
      <c r="B70" s="13" t="s">
        <v>3336</v>
      </c>
      <c r="C70" s="32">
        <v>825</v>
      </c>
      <c r="D70" s="32">
        <v>823</v>
      </c>
      <c r="E70" s="33">
        <v>1648</v>
      </c>
      <c r="G70" s="23">
        <v>2023</v>
      </c>
      <c r="H70" s="22">
        <v>160</v>
      </c>
    </row>
    <row r="71" spans="2:12" ht="15" thickBot="1" x14ac:dyDescent="0.35">
      <c r="G71" s="24" t="s">
        <v>3336</v>
      </c>
      <c r="H71" s="25">
        <v>1648</v>
      </c>
    </row>
  </sheetData>
  <mergeCells count="16">
    <mergeCell ref="B62:E62"/>
    <mergeCell ref="G62:H62"/>
    <mergeCell ref="K62:L62"/>
    <mergeCell ref="B35:C35"/>
    <mergeCell ref="G35:H35"/>
    <mergeCell ref="K35:L35"/>
    <mergeCell ref="B47:C47"/>
    <mergeCell ref="G47:H47"/>
    <mergeCell ref="K47:L47"/>
    <mergeCell ref="D3:I3"/>
    <mergeCell ref="B7:C7"/>
    <mergeCell ref="G7:H7"/>
    <mergeCell ref="K7:L7"/>
    <mergeCell ref="B21:D21"/>
    <mergeCell ref="F21:I21"/>
    <mergeCell ref="K21:L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1A36C-7417-4C42-AAAF-C0BC7A71475E}">
  <dimension ref="B2:R102"/>
  <sheetViews>
    <sheetView showGridLines="0" workbookViewId="0">
      <selection activeCell="L24" sqref="L24"/>
    </sheetView>
  </sheetViews>
  <sheetFormatPr defaultRowHeight="14.4" x14ac:dyDescent="0.3"/>
  <cols>
    <col min="1" max="16384" width="8.88671875" style="5"/>
  </cols>
  <sheetData>
    <row r="2" spans="6:16" ht="28.8" x14ac:dyDescent="0.55000000000000004">
      <c r="F2" s="59" t="s">
        <v>3370</v>
      </c>
      <c r="G2" s="59"/>
      <c r="H2" s="59"/>
      <c r="I2" s="59"/>
      <c r="J2" s="59"/>
      <c r="K2" s="59"/>
      <c r="L2" s="59"/>
      <c r="M2" s="59"/>
      <c r="N2" s="59"/>
      <c r="O2" s="59"/>
      <c r="P2" s="59"/>
    </row>
    <row r="14" spans="6:16" ht="15" thickBot="1" x14ac:dyDescent="0.35"/>
    <row r="15" spans="6:16" ht="24" thickBot="1" x14ac:dyDescent="0.5">
      <c r="I15" s="60" t="s">
        <v>3363</v>
      </c>
      <c r="J15" s="61"/>
      <c r="K15" s="61"/>
      <c r="L15" s="61"/>
      <c r="M15" s="62"/>
    </row>
    <row r="35" spans="2:18" ht="15" thickBot="1" x14ac:dyDescent="0.35"/>
    <row r="36" spans="2:18" ht="24" thickBot="1" x14ac:dyDescent="0.5">
      <c r="B36" s="60" t="s">
        <v>3364</v>
      </c>
      <c r="C36" s="61"/>
      <c r="D36" s="61"/>
      <c r="E36" s="61"/>
      <c r="F36" s="61"/>
      <c r="G36" s="62"/>
      <c r="M36" s="60" t="s">
        <v>3365</v>
      </c>
      <c r="N36" s="61"/>
      <c r="O36" s="61"/>
      <c r="P36" s="61"/>
      <c r="Q36" s="61"/>
      <c r="R36" s="62"/>
    </row>
    <row r="58" spans="2:13" ht="15" thickBot="1" x14ac:dyDescent="0.35"/>
    <row r="59" spans="2:13" ht="24" thickBot="1" x14ac:dyDescent="0.5">
      <c r="B59" s="6"/>
      <c r="I59" s="60" t="s">
        <v>3366</v>
      </c>
      <c r="J59" s="61"/>
      <c r="K59" s="61"/>
      <c r="L59" s="61"/>
      <c r="M59" s="62"/>
    </row>
    <row r="80" ht="15" thickBot="1" x14ac:dyDescent="0.35"/>
    <row r="81" spans="2:13" ht="24" thickBot="1" x14ac:dyDescent="0.5">
      <c r="B81" s="6"/>
      <c r="I81" s="60" t="s">
        <v>3367</v>
      </c>
      <c r="J81" s="61"/>
      <c r="K81" s="61"/>
      <c r="L81" s="61"/>
      <c r="M81" s="62"/>
    </row>
    <row r="101" spans="2:16" ht="15" thickBot="1" x14ac:dyDescent="0.35"/>
    <row r="102" spans="2:16" ht="24" thickBot="1" x14ac:dyDescent="0.5">
      <c r="B102" s="60" t="s">
        <v>3368</v>
      </c>
      <c r="C102" s="61"/>
      <c r="D102" s="61"/>
      <c r="E102" s="62"/>
      <c r="M102" s="60" t="s">
        <v>3369</v>
      </c>
      <c r="N102" s="61"/>
      <c r="O102" s="61"/>
      <c r="P102" s="62"/>
    </row>
  </sheetData>
  <mergeCells count="8">
    <mergeCell ref="F2:P2"/>
    <mergeCell ref="I81:M81"/>
    <mergeCell ref="B102:E102"/>
    <mergeCell ref="M102:P102"/>
    <mergeCell ref="I15:M15"/>
    <mergeCell ref="B36:G36"/>
    <mergeCell ref="M36:R36"/>
    <mergeCell ref="I59:M5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68C9D-09DE-44FC-8667-B323AF126829}">
  <dimension ref="D3:O52"/>
  <sheetViews>
    <sheetView showGridLines="0" workbookViewId="0">
      <selection activeCell="I60" sqref="I60"/>
    </sheetView>
  </sheetViews>
  <sheetFormatPr defaultRowHeight="14.4" x14ac:dyDescent="0.3"/>
  <cols>
    <col min="1" max="16384" width="8.88671875" style="16"/>
  </cols>
  <sheetData>
    <row r="3" spans="4:14" ht="33.6" x14ac:dyDescent="0.65">
      <c r="F3" s="38" t="s">
        <v>3371</v>
      </c>
      <c r="G3" s="39"/>
      <c r="H3" s="39"/>
      <c r="I3" s="39"/>
      <c r="J3" s="39"/>
      <c r="K3" s="39"/>
      <c r="L3" s="39"/>
    </row>
    <row r="5" spans="4:14" ht="15" thickBot="1" x14ac:dyDescent="0.35"/>
    <row r="6" spans="4:14" x14ac:dyDescent="0.3">
      <c r="D6" s="40" t="s">
        <v>3372</v>
      </c>
      <c r="E6" s="41"/>
      <c r="F6" s="41"/>
      <c r="G6" s="41"/>
      <c r="H6" s="41"/>
      <c r="I6" s="41"/>
      <c r="J6" s="41"/>
      <c r="K6" s="41"/>
      <c r="L6" s="41"/>
      <c r="M6" s="41"/>
      <c r="N6" s="42"/>
    </row>
    <row r="7" spans="4:14" x14ac:dyDescent="0.3">
      <c r="D7" s="43"/>
      <c r="E7" s="44"/>
      <c r="F7" s="44"/>
      <c r="G7" s="44"/>
      <c r="H7" s="44"/>
      <c r="I7" s="44"/>
      <c r="J7" s="44"/>
      <c r="K7" s="44"/>
      <c r="L7" s="44"/>
      <c r="M7" s="44"/>
      <c r="N7" s="45"/>
    </row>
    <row r="8" spans="4:14" x14ac:dyDescent="0.3">
      <c r="D8" s="43"/>
      <c r="E8" s="44"/>
      <c r="F8" s="44"/>
      <c r="G8" s="44"/>
      <c r="H8" s="44"/>
      <c r="I8" s="44"/>
      <c r="J8" s="44"/>
      <c r="K8" s="44"/>
      <c r="L8" s="44"/>
      <c r="M8" s="44"/>
      <c r="N8" s="45"/>
    </row>
    <row r="9" spans="4:14" x14ac:dyDescent="0.3">
      <c r="D9" s="43"/>
      <c r="E9" s="44"/>
      <c r="F9" s="44"/>
      <c r="G9" s="44"/>
      <c r="H9" s="44"/>
      <c r="I9" s="44"/>
      <c r="J9" s="44"/>
      <c r="K9" s="44"/>
      <c r="L9" s="44"/>
      <c r="M9" s="44"/>
      <c r="N9" s="45"/>
    </row>
    <row r="10" spans="4:14" x14ac:dyDescent="0.3">
      <c r="D10" s="43"/>
      <c r="E10" s="44"/>
      <c r="F10" s="44"/>
      <c r="G10" s="44"/>
      <c r="H10" s="44"/>
      <c r="I10" s="44"/>
      <c r="J10" s="44"/>
      <c r="K10" s="44"/>
      <c r="L10" s="44"/>
      <c r="M10" s="44"/>
      <c r="N10" s="45"/>
    </row>
    <row r="11" spans="4:14" x14ac:dyDescent="0.3">
      <c r="D11" s="43"/>
      <c r="E11" s="44"/>
      <c r="F11" s="44"/>
      <c r="G11" s="44"/>
      <c r="H11" s="44"/>
      <c r="I11" s="44"/>
      <c r="J11" s="44"/>
      <c r="K11" s="44"/>
      <c r="L11" s="44"/>
      <c r="M11" s="44"/>
      <c r="N11" s="45"/>
    </row>
    <row r="12" spans="4:14" ht="15" thickBot="1" x14ac:dyDescent="0.35">
      <c r="D12" s="46"/>
      <c r="E12" s="47"/>
      <c r="F12" s="47"/>
      <c r="G12" s="47"/>
      <c r="H12" s="47"/>
      <c r="I12" s="47"/>
      <c r="J12" s="47"/>
      <c r="K12" s="47"/>
      <c r="L12" s="47"/>
      <c r="M12" s="47"/>
      <c r="N12" s="48"/>
    </row>
    <row r="15" spans="4:14" ht="18.600000000000001" thickBot="1" x14ac:dyDescent="0.4">
      <c r="D15" s="36" t="s">
        <v>3373</v>
      </c>
      <c r="E15" s="37"/>
      <c r="F15" s="37"/>
      <c r="G15" s="37"/>
    </row>
    <row r="17" spans="4:15" ht="15.6" x14ac:dyDescent="0.3">
      <c r="D17" s="34" t="s">
        <v>3374</v>
      </c>
      <c r="E17" s="49"/>
      <c r="F17" s="49"/>
      <c r="G17" s="49"/>
      <c r="H17" s="49"/>
      <c r="I17" s="49"/>
      <c r="J17" s="49"/>
      <c r="K17" s="49"/>
      <c r="L17" s="49"/>
      <c r="M17" s="49"/>
      <c r="N17" s="49"/>
      <c r="O17" s="49"/>
    </row>
    <row r="18" spans="4:15" ht="15.6" x14ac:dyDescent="0.3">
      <c r="D18" s="34" t="s">
        <v>3375</v>
      </c>
      <c r="E18" s="35"/>
      <c r="F18" s="35"/>
      <c r="G18" s="35"/>
      <c r="H18" s="35"/>
      <c r="I18" s="35"/>
    </row>
    <row r="19" spans="4:15" ht="15.6" x14ac:dyDescent="0.3">
      <c r="D19" s="34" t="s">
        <v>3376</v>
      </c>
      <c r="E19" s="35"/>
      <c r="F19" s="35"/>
      <c r="G19" s="35"/>
      <c r="H19" s="35"/>
      <c r="I19" s="35"/>
      <c r="J19" s="35"/>
    </row>
    <row r="22" spans="4:15" ht="18.600000000000001" thickBot="1" x14ac:dyDescent="0.4">
      <c r="D22" s="36" t="s">
        <v>3364</v>
      </c>
      <c r="E22" s="37"/>
      <c r="F22" s="37"/>
      <c r="G22" s="37"/>
    </row>
    <row r="24" spans="4:15" ht="15.6" x14ac:dyDescent="0.3">
      <c r="D24" s="17" t="s">
        <v>3377</v>
      </c>
    </row>
    <row r="25" spans="4:15" ht="15.6" x14ac:dyDescent="0.3">
      <c r="D25" s="34" t="s">
        <v>3378</v>
      </c>
      <c r="E25" s="34"/>
      <c r="F25" s="34"/>
      <c r="G25" s="34"/>
      <c r="H25" s="34"/>
      <c r="I25" s="34"/>
      <c r="J25" s="34"/>
      <c r="K25" s="34"/>
      <c r="L25" s="34"/>
      <c r="M25" s="34"/>
      <c r="N25" s="34"/>
      <c r="O25" s="34"/>
    </row>
    <row r="28" spans="4:15" ht="18.600000000000001" thickBot="1" x14ac:dyDescent="0.4">
      <c r="D28" s="36" t="s">
        <v>3369</v>
      </c>
      <c r="E28" s="37"/>
      <c r="F28" s="37"/>
      <c r="G28" s="37"/>
    </row>
    <row r="30" spans="4:15" ht="15.6" x14ac:dyDescent="0.3">
      <c r="D30" s="17" t="s">
        <v>3379</v>
      </c>
    </row>
    <row r="31" spans="4:15" ht="15.6" x14ac:dyDescent="0.3">
      <c r="D31" s="17" t="s">
        <v>3380</v>
      </c>
    </row>
    <row r="32" spans="4:15" ht="15.6" x14ac:dyDescent="0.3">
      <c r="D32" s="17" t="s">
        <v>3381</v>
      </c>
    </row>
    <row r="35" spans="4:7" ht="18.600000000000001" thickBot="1" x14ac:dyDescent="0.4">
      <c r="D35" s="36" t="s">
        <v>3367</v>
      </c>
      <c r="E35" s="37"/>
      <c r="F35" s="37"/>
      <c r="G35" s="37"/>
    </row>
    <row r="37" spans="4:7" ht="15.6" x14ac:dyDescent="0.3">
      <c r="D37" s="17" t="s">
        <v>3382</v>
      </c>
    </row>
    <row r="38" spans="4:7" ht="15.6" x14ac:dyDescent="0.3">
      <c r="D38" s="17" t="s">
        <v>3383</v>
      </c>
    </row>
    <row r="41" spans="4:7" ht="18.600000000000001" thickBot="1" x14ac:dyDescent="0.4">
      <c r="D41" s="36" t="s">
        <v>3368</v>
      </c>
      <c r="E41" s="37"/>
      <c r="F41" s="37"/>
      <c r="G41" s="37"/>
    </row>
    <row r="43" spans="4:7" ht="15.6" x14ac:dyDescent="0.3">
      <c r="D43" s="17" t="s">
        <v>3384</v>
      </c>
    </row>
    <row r="44" spans="4:7" ht="15.6" x14ac:dyDescent="0.3">
      <c r="D44" s="17" t="s">
        <v>3385</v>
      </c>
    </row>
    <row r="47" spans="4:7" ht="18.600000000000001" thickBot="1" x14ac:dyDescent="0.4">
      <c r="D47" s="36" t="s">
        <v>3386</v>
      </c>
      <c r="E47" s="37"/>
      <c r="F47" s="37"/>
      <c r="G47" s="37"/>
    </row>
    <row r="49" spans="4:10" ht="15.6" x14ac:dyDescent="0.3">
      <c r="D49" s="17" t="s">
        <v>3387</v>
      </c>
    </row>
    <row r="50" spans="4:10" ht="15.6" x14ac:dyDescent="0.3">
      <c r="D50" s="34" t="s">
        <v>3388</v>
      </c>
      <c r="E50" s="35"/>
      <c r="F50" s="35"/>
      <c r="G50" s="35"/>
      <c r="H50" s="35"/>
      <c r="I50" s="35"/>
      <c r="J50" s="35"/>
    </row>
    <row r="51" spans="4:10" ht="15.6" x14ac:dyDescent="0.3">
      <c r="D51" s="17" t="s">
        <v>3389</v>
      </c>
    </row>
    <row r="52" spans="4:10" ht="15.6" x14ac:dyDescent="0.3">
      <c r="D52" s="17" t="s">
        <v>3390</v>
      </c>
    </row>
  </sheetData>
  <mergeCells count="13">
    <mergeCell ref="D22:G22"/>
    <mergeCell ref="D28:G28"/>
    <mergeCell ref="F3:L3"/>
    <mergeCell ref="D6:N12"/>
    <mergeCell ref="D15:G15"/>
    <mergeCell ref="D17:O17"/>
    <mergeCell ref="D18:I18"/>
    <mergeCell ref="D19:J19"/>
    <mergeCell ref="D50:J50"/>
    <mergeCell ref="D25:O25"/>
    <mergeCell ref="D35:G35"/>
    <mergeCell ref="D41:G41"/>
    <mergeCell ref="D47:G4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E3591C-A562-4AC7-9BA3-66940DA2EA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CM_Cleaned</vt:lpstr>
      <vt:lpstr>Pivot 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barua</dc:creator>
  <cp:lastModifiedBy>rohit barua</cp:lastModifiedBy>
  <dcterms:created xsi:type="dcterms:W3CDTF">2026-07-24T18:31:43Z</dcterms:created>
  <dcterms:modified xsi:type="dcterms:W3CDTF">2026-07-29T07:52:54Z</dcterms:modified>
</cp:coreProperties>
</file>