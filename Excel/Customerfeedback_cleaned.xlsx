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https://d.docs.live.net/147199D137C34A9C/Documents/"/>
    </mc:Choice>
  </mc:AlternateContent>
  <xr:revisionPtr revIDLastSave="710" documentId="8_{9B8F6D68-41B2-4AD9-BA1C-5437152B4243}" xr6:coauthVersionLast="47" xr6:coauthVersionMax="47" xr10:uidLastSave="{3874C6FD-AF0C-4546-947A-9970B2D11779}"/>
  <bookViews>
    <workbookView xWindow="0" yWindow="24" windowWidth="23040" windowHeight="12216" activeTab="1" xr2:uid="{175D40FF-4352-4061-ABBC-1AD352286A34}"/>
  </bookViews>
  <sheets>
    <sheet name="Raw" sheetId="1" r:id="rId1"/>
    <sheet name="Cleaned sheet" sheetId="2" r:id="rId2"/>
    <sheet name="Pivot_Analysis" sheetId="3" r:id="rId3"/>
    <sheet name="Dashboard" sheetId="4" r:id="rId4"/>
    <sheet name="Insights" sheetId="5" r:id="rId5"/>
  </sheets>
  <definedNames>
    <definedName name="ExternalData_1" localSheetId="1" hidden="1">'Cleaned sheet'!$A$1:$G$1001</definedName>
    <definedName name="Slicer_contacted_agent">#N/A</definedName>
    <definedName name="Slicer_Feedback_Category">#N/A</definedName>
    <definedName name="Slicer_Month">#N/A</definedName>
    <definedName name="Slicer_Quarter">#N/A</definedName>
    <definedName name="Slicer_Rating_Group">#N/A</definedName>
    <definedName name="Slicer_Year">#N/A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 i="2" l="1"/>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M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L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H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910" i="2"/>
  <c r="H911" i="2"/>
  <c r="H912" i="2"/>
  <c r="H913" i="2"/>
  <c r="H914" i="2"/>
  <c r="H915" i="2"/>
  <c r="H916" i="2"/>
  <c r="H917" i="2"/>
  <c r="H918" i="2"/>
  <c r="H919" i="2"/>
  <c r="H920" i="2"/>
  <c r="H921" i="2"/>
  <c r="H922" i="2"/>
  <c r="H923" i="2"/>
  <c r="H924" i="2"/>
  <c r="H925" i="2"/>
  <c r="H926" i="2"/>
  <c r="H927" i="2"/>
  <c r="H928" i="2"/>
  <c r="H929" i="2"/>
  <c r="H930" i="2"/>
  <c r="H931" i="2"/>
  <c r="H932" i="2"/>
  <c r="H933" i="2"/>
  <c r="H934" i="2"/>
  <c r="H935" i="2"/>
  <c r="H936" i="2"/>
  <c r="H937" i="2"/>
  <c r="H938" i="2"/>
  <c r="H939" i="2"/>
  <c r="H940" i="2"/>
  <c r="H941" i="2"/>
  <c r="H942" i="2"/>
  <c r="H943" i="2"/>
  <c r="H944" i="2"/>
  <c r="H945" i="2"/>
  <c r="H946" i="2"/>
  <c r="H947" i="2"/>
  <c r="H948" i="2"/>
  <c r="H949" i="2"/>
  <c r="H950" i="2"/>
  <c r="H951" i="2"/>
  <c r="H952" i="2"/>
  <c r="H953" i="2"/>
  <c r="H954" i="2"/>
  <c r="H955" i="2"/>
  <c r="H956" i="2"/>
  <c r="H957" i="2"/>
  <c r="H958" i="2"/>
  <c r="H959" i="2"/>
  <c r="H960" i="2"/>
  <c r="H961" i="2"/>
  <c r="H962" i="2"/>
  <c r="H963" i="2"/>
  <c r="H964" i="2"/>
  <c r="H965" i="2"/>
  <c r="H966" i="2"/>
  <c r="H967" i="2"/>
  <c r="H968" i="2"/>
  <c r="H969" i="2"/>
  <c r="H970" i="2"/>
  <c r="H971" i="2"/>
  <c r="H972" i="2"/>
  <c r="H973" i="2"/>
  <c r="H974" i="2"/>
  <c r="H975" i="2"/>
  <c r="H976" i="2"/>
  <c r="H977" i="2"/>
  <c r="H978" i="2"/>
  <c r="H979" i="2"/>
  <c r="H980" i="2"/>
  <c r="H981" i="2"/>
  <c r="H982" i="2"/>
  <c r="H983" i="2"/>
  <c r="H984" i="2"/>
  <c r="H985" i="2"/>
  <c r="H986" i="2"/>
  <c r="H987" i="2"/>
  <c r="H988" i="2"/>
  <c r="H989" i="2"/>
  <c r="H990" i="2"/>
  <c r="H991" i="2"/>
  <c r="H992" i="2"/>
  <c r="H993" i="2"/>
  <c r="H994" i="2"/>
  <c r="H995" i="2"/>
  <c r="H996" i="2"/>
  <c r="H997" i="2"/>
  <c r="H998" i="2"/>
  <c r="H999" i="2"/>
  <c r="H1000" i="2"/>
  <c r="H100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261DFAB-0F89-4AC6-85D1-FBCBAE1E19B9}" keepAlive="1" name="Query - cf_cl" description="Connection to the 'cf_cl' query in the workbook." type="5" refreshedVersion="8" background="1" saveData="1">
    <dbPr connection="Provider=Microsoft.Mashup.OleDb.1;Data Source=$Workbook$;Location=cf_cl;Extended Properties=&quot;&quot;" command="SELECT * FROM [cf_cl]"/>
  </connection>
</connections>
</file>

<file path=xl/sharedStrings.xml><?xml version="1.0" encoding="utf-8"?>
<sst xmlns="http://schemas.openxmlformats.org/spreadsheetml/2006/main" count="11174" uniqueCount="2666">
  <si>
    <t>feedback_id</t>
  </si>
  <si>
    <t>customer_id</t>
  </si>
  <si>
    <t>date_submitted</t>
  </si>
  <si>
    <t>feedback_text</t>
  </si>
  <si>
    <t>satisfaction_score</t>
  </si>
  <si>
    <t>contacted_agent</t>
  </si>
  <si>
    <t>referred_claim</t>
  </si>
  <si>
    <t>FDB90000</t>
  </si>
  <si>
    <t>CUST11838</t>
  </si>
  <si>
    <t>I'm not happy with the premium charged.</t>
  </si>
  <si>
    <t>Yes</t>
  </si>
  <si>
    <t>FDB90001</t>
  </si>
  <si>
    <t>CUST12252</t>
  </si>
  <si>
    <t>No</t>
  </si>
  <si>
    <t>FDB90002</t>
  </si>
  <si>
    <t>CUST10495</t>
  </si>
  <si>
    <t>Smooth experience with no issues.</t>
  </si>
  <si>
    <t>FDB90003</t>
  </si>
  <si>
    <t>CUST11182</t>
  </si>
  <si>
    <t>Claim process could be faster.</t>
  </si>
  <si>
    <t>FDB90004</t>
  </si>
  <si>
    <t>CUST11047</t>
  </si>
  <si>
    <t>The agent was helpful and explained everything.</t>
  </si>
  <si>
    <t>FDB90005</t>
  </si>
  <si>
    <t>CUST12167</t>
  </si>
  <si>
    <t>Very satisfied with the claim process.</t>
  </si>
  <si>
    <t>FDB90006</t>
  </si>
  <si>
    <t>CUST10308</t>
  </si>
  <si>
    <t>Excellent customer service support.</t>
  </si>
  <si>
    <t>FDB90007</t>
  </si>
  <si>
    <t>CUST10644</t>
  </si>
  <si>
    <t>Need more clarity on policy coverage.</t>
  </si>
  <si>
    <t>FDB90008</t>
  </si>
  <si>
    <t>CUST12331</t>
  </si>
  <si>
    <t>FDB90009</t>
  </si>
  <si>
    <t>FDB90010</t>
  </si>
  <si>
    <t>CUST10090</t>
  </si>
  <si>
    <t>The mobile app experience was intuitive.</t>
  </si>
  <si>
    <t>FDB90011</t>
  </si>
  <si>
    <t>CUST10985</t>
  </si>
  <si>
    <t>FDB90012</t>
  </si>
  <si>
    <t>CUST12396</t>
  </si>
  <si>
    <t>FDB90013</t>
  </si>
  <si>
    <t>CUST11030</t>
  </si>
  <si>
    <t>FDB90014</t>
  </si>
  <si>
    <t>CUST10100</t>
  </si>
  <si>
    <t>FDB90015</t>
  </si>
  <si>
    <t>CUST10685</t>
  </si>
  <si>
    <t>FDB90016</t>
  </si>
  <si>
    <t>CUST12335</t>
  </si>
  <si>
    <t>FDB90017</t>
  </si>
  <si>
    <t>CUST11183</t>
  </si>
  <si>
    <t>FDB90018</t>
  </si>
  <si>
    <t>CUST11585</t>
  </si>
  <si>
    <t>FDB90019</t>
  </si>
  <si>
    <t>CUST11327</t>
  </si>
  <si>
    <t>FDB90020</t>
  </si>
  <si>
    <t>CUST12097</t>
  </si>
  <si>
    <t>FDB90021</t>
  </si>
  <si>
    <t>CUST12366</t>
  </si>
  <si>
    <t>FDB90022</t>
  </si>
  <si>
    <t>CUST12090</t>
  </si>
  <si>
    <t>FDB90023</t>
  </si>
  <si>
    <t>CUST11778</t>
  </si>
  <si>
    <t>FDB90024</t>
  </si>
  <si>
    <t>CUST10942</t>
  </si>
  <si>
    <t>FDB90025</t>
  </si>
  <si>
    <t>CUST11891</t>
  </si>
  <si>
    <t>Had to wait too long for claim approval.</t>
  </si>
  <si>
    <t>FDB90026</t>
  </si>
  <si>
    <t>CUST11003</t>
  </si>
  <si>
    <t>FDB90027</t>
  </si>
  <si>
    <t>CUST10908</t>
  </si>
  <si>
    <t>FDB90028</t>
  </si>
  <si>
    <t>CUST11451</t>
  </si>
  <si>
    <t>FDB90029</t>
  </si>
  <si>
    <t>CUST11105</t>
  </si>
  <si>
    <t>FDB90030</t>
  </si>
  <si>
    <t>CUST10222</t>
  </si>
  <si>
    <t>FDB90031</t>
  </si>
  <si>
    <t>CUST11815</t>
  </si>
  <si>
    <t>FDB90032</t>
  </si>
  <si>
    <t>CUST12091</t>
  </si>
  <si>
    <t>Frustrated with repeated documentation requests.</t>
  </si>
  <si>
    <t>FDB90033</t>
  </si>
  <si>
    <t>CUST11369</t>
  </si>
  <si>
    <t>FDB90034</t>
  </si>
  <si>
    <t>CUST10505</t>
  </si>
  <si>
    <t>FDB90035</t>
  </si>
  <si>
    <t>CUST10754</t>
  </si>
  <si>
    <t>FDB90036</t>
  </si>
  <si>
    <t>CUST11612</t>
  </si>
  <si>
    <t>FDB90037</t>
  </si>
  <si>
    <t>CUST10825</t>
  </si>
  <si>
    <t>FDB90038</t>
  </si>
  <si>
    <t>CUST10916</t>
  </si>
  <si>
    <t>FDB90039</t>
  </si>
  <si>
    <t>CUST12404</t>
  </si>
  <si>
    <t>FDB90040</t>
  </si>
  <si>
    <t>CUST10609</t>
  </si>
  <si>
    <t>FDB90041</t>
  </si>
  <si>
    <t>CUST10679</t>
  </si>
  <si>
    <t>FDB90042</t>
  </si>
  <si>
    <t>CUST10659</t>
  </si>
  <si>
    <t>FDB90043</t>
  </si>
  <si>
    <t>CUST11140</t>
  </si>
  <si>
    <t>FDB90044</t>
  </si>
  <si>
    <t>CUST10960</t>
  </si>
  <si>
    <t>FDB90045</t>
  </si>
  <si>
    <t>CUST11860</t>
  </si>
  <si>
    <t>FDB90046</t>
  </si>
  <si>
    <t>CUST10500</t>
  </si>
  <si>
    <t>FDB90047</t>
  </si>
  <si>
    <t>CUST10911</t>
  </si>
  <si>
    <t>FDB90048</t>
  </si>
  <si>
    <t>CUST11613</t>
  </si>
  <si>
    <t>FDB90049</t>
  </si>
  <si>
    <t>CUST10476</t>
  </si>
  <si>
    <t>FDB90050</t>
  </si>
  <si>
    <t>CUST12029</t>
  </si>
  <si>
    <t>FDB90051</t>
  </si>
  <si>
    <t>CUST11562</t>
  </si>
  <si>
    <t>FDB90052</t>
  </si>
  <si>
    <t>CUST12432</t>
  </si>
  <si>
    <t>FDB90053</t>
  </si>
  <si>
    <t>FDB90054</t>
  </si>
  <si>
    <t>CUST10695</t>
  </si>
  <si>
    <t>FDB90055</t>
  </si>
  <si>
    <t>CUST12303</t>
  </si>
  <si>
    <t>FDB90056</t>
  </si>
  <si>
    <t>CUST11951</t>
  </si>
  <si>
    <t>FDB90057</t>
  </si>
  <si>
    <t>CUST12066</t>
  </si>
  <si>
    <t>FDB90058</t>
  </si>
  <si>
    <t>CUST11059</t>
  </si>
  <si>
    <t>FDB90059</t>
  </si>
  <si>
    <t>CUST10557</t>
  </si>
  <si>
    <t>FDB90060</t>
  </si>
  <si>
    <t>CUST11982</t>
  </si>
  <si>
    <t>FDB90061</t>
  </si>
  <si>
    <t>CUST12153</t>
  </si>
  <si>
    <t>FDB90062</t>
  </si>
  <si>
    <t>CUST11571</t>
  </si>
  <si>
    <t>FDB90063</t>
  </si>
  <si>
    <t>CUST11732</t>
  </si>
  <si>
    <t>FDB90064</t>
  </si>
  <si>
    <t>CUST11330</t>
  </si>
  <si>
    <t>FDB90065</t>
  </si>
  <si>
    <t>CUST10095</t>
  </si>
  <si>
    <t>FDB90066</t>
  </si>
  <si>
    <t>CUST12060</t>
  </si>
  <si>
    <t>FDB90067</t>
  </si>
  <si>
    <t>CUST11545</t>
  </si>
  <si>
    <t>FDB90068</t>
  </si>
  <si>
    <t>CUST10121</t>
  </si>
  <si>
    <t>FDB90069</t>
  </si>
  <si>
    <t>CUST12010</t>
  </si>
  <si>
    <t>FDB90070</t>
  </si>
  <si>
    <t>CUST10113</t>
  </si>
  <si>
    <t>FDB90071</t>
  </si>
  <si>
    <t>CUST10300</t>
  </si>
  <si>
    <t>FDB90072</t>
  </si>
  <si>
    <t>CUST10206</t>
  </si>
  <si>
    <t>FDB90073</t>
  </si>
  <si>
    <t>CUST11056</t>
  </si>
  <si>
    <t>FDB90074</t>
  </si>
  <si>
    <t>CUST12114</t>
  </si>
  <si>
    <t>FDB90075</t>
  </si>
  <si>
    <t>CUST12346</t>
  </si>
  <si>
    <t>FDB90076</t>
  </si>
  <si>
    <t>CUST11109</t>
  </si>
  <si>
    <t>FDB90077</t>
  </si>
  <si>
    <t>CUST11763</t>
  </si>
  <si>
    <t>FDB90078</t>
  </si>
  <si>
    <t>CUST10410</t>
  </si>
  <si>
    <t>FDB90079</t>
  </si>
  <si>
    <t>CUST10936</t>
  </si>
  <si>
    <t>FDB90080</t>
  </si>
  <si>
    <t>CUST12040</t>
  </si>
  <si>
    <t>FDB90081</t>
  </si>
  <si>
    <t>CUST12141</t>
  </si>
  <si>
    <t>FDB90082</t>
  </si>
  <si>
    <t>CUST11393</t>
  </si>
  <si>
    <t>FDB90083</t>
  </si>
  <si>
    <t>CUST11742</t>
  </si>
  <si>
    <t>FDB90084</t>
  </si>
  <si>
    <t>CUST12384</t>
  </si>
  <si>
    <t>FDB90085</t>
  </si>
  <si>
    <t>CUST12069</t>
  </si>
  <si>
    <t>FDB90086</t>
  </si>
  <si>
    <t>CUST10236</t>
  </si>
  <si>
    <t>FDB90087</t>
  </si>
  <si>
    <t>CUST12288</t>
  </si>
  <si>
    <t>FDB90088</t>
  </si>
  <si>
    <t>CUST11323</t>
  </si>
  <si>
    <t>FDB90089</t>
  </si>
  <si>
    <t>CUST11453</t>
  </si>
  <si>
    <t>FDB90090</t>
  </si>
  <si>
    <t>CUST10211</t>
  </si>
  <si>
    <t>FDB90091</t>
  </si>
  <si>
    <t>CUST10730</t>
  </si>
  <si>
    <t>FDB90092</t>
  </si>
  <si>
    <t>CUST10323</t>
  </si>
  <si>
    <t>FDB90093</t>
  </si>
  <si>
    <t>CUST10177</t>
  </si>
  <si>
    <t>FDB90094</t>
  </si>
  <si>
    <t>CUST10440</t>
  </si>
  <si>
    <t>FDB90095</t>
  </si>
  <si>
    <t>CUST11064</t>
  </si>
  <si>
    <t>FDB90096</t>
  </si>
  <si>
    <t>CUST12004</t>
  </si>
  <si>
    <t>FDB90097</t>
  </si>
  <si>
    <t>CUST11807</t>
  </si>
  <si>
    <t>FDB90098</t>
  </si>
  <si>
    <t>CUST10449</t>
  </si>
  <si>
    <t>FDB90099</t>
  </si>
  <si>
    <t>CUST10669</t>
  </si>
  <si>
    <t>FDB90100</t>
  </si>
  <si>
    <t>CUST10394</t>
  </si>
  <si>
    <t>FDB90101</t>
  </si>
  <si>
    <t>CUST10352</t>
  </si>
  <si>
    <t>FDB90102</t>
  </si>
  <si>
    <t>CUST12339</t>
  </si>
  <si>
    <t>FDB90103</t>
  </si>
  <si>
    <t>CUST12198</t>
  </si>
  <si>
    <t>FDB90104</t>
  </si>
  <si>
    <t>CUST11804</t>
  </si>
  <si>
    <t>FDB90105</t>
  </si>
  <si>
    <t>CUST10954</t>
  </si>
  <si>
    <t>FDB90106</t>
  </si>
  <si>
    <t>CUST10430</t>
  </si>
  <si>
    <t>FDB90107</t>
  </si>
  <si>
    <t>CUST11289</t>
  </si>
  <si>
    <t>FDB90108</t>
  </si>
  <si>
    <t>CUST10674</t>
  </si>
  <si>
    <t>FDB90109</t>
  </si>
  <si>
    <t>CUST10134</t>
  </si>
  <si>
    <t>FDB90110</t>
  </si>
  <si>
    <t>CUST10836</t>
  </si>
  <si>
    <t>FDB90111</t>
  </si>
  <si>
    <t>CUST10085</t>
  </si>
  <si>
    <t>FDB90112</t>
  </si>
  <si>
    <t>CUST11636</t>
  </si>
  <si>
    <t>FDB90113</t>
  </si>
  <si>
    <t>CUST10800</t>
  </si>
  <si>
    <t>FDB90114</t>
  </si>
  <si>
    <t>CUST12352</t>
  </si>
  <si>
    <t>FDB90115</t>
  </si>
  <si>
    <t>CUST11993</t>
  </si>
  <si>
    <t>FDB90116</t>
  </si>
  <si>
    <t>CUST10417</t>
  </si>
  <si>
    <t>FDB90117</t>
  </si>
  <si>
    <t>CUST11004</t>
  </si>
  <si>
    <t>FDB90118</t>
  </si>
  <si>
    <t>CUST10345</t>
  </si>
  <si>
    <t>FDB90119</t>
  </si>
  <si>
    <t>CUST11568</t>
  </si>
  <si>
    <t>FDB90120</t>
  </si>
  <si>
    <t>CUST11110</t>
  </si>
  <si>
    <t>FDB90121</t>
  </si>
  <si>
    <t>CUST12088</t>
  </si>
  <si>
    <t>FDB90122</t>
  </si>
  <si>
    <t>CUST11710</t>
  </si>
  <si>
    <t>FDB90123</t>
  </si>
  <si>
    <t>CUST12181</t>
  </si>
  <si>
    <t>FDB90124</t>
  </si>
  <si>
    <t>CUST12296</t>
  </si>
  <si>
    <t>FDB90125</t>
  </si>
  <si>
    <t>CUST12022</t>
  </si>
  <si>
    <t>FDB90126</t>
  </si>
  <si>
    <t>FDB90127</t>
  </si>
  <si>
    <t>CUST10384</t>
  </si>
  <si>
    <t>FDB90128</t>
  </si>
  <si>
    <t>CUST10745</t>
  </si>
  <si>
    <t>FDB90129</t>
  </si>
  <si>
    <t>CUST11972</t>
  </si>
  <si>
    <t>FDB90130</t>
  </si>
  <si>
    <t>CUST10580</t>
  </si>
  <si>
    <t>FDB90131</t>
  </si>
  <si>
    <t>CUST10009</t>
  </si>
  <si>
    <t>FDB90132</t>
  </si>
  <si>
    <t>CUST11336</t>
  </si>
  <si>
    <t>FDB90133</t>
  </si>
  <si>
    <t>CUST10451</t>
  </si>
  <si>
    <t>FDB90134</t>
  </si>
  <si>
    <t>CUST12440</t>
  </si>
  <si>
    <t>FDB90135</t>
  </si>
  <si>
    <t>CUST10380</t>
  </si>
  <si>
    <t>FDB90136</t>
  </si>
  <si>
    <t>CUST11594</t>
  </si>
  <si>
    <t>FDB90137</t>
  </si>
  <si>
    <t>CUST11259</t>
  </si>
  <si>
    <t>FDB90138</t>
  </si>
  <si>
    <t>CUST11296</t>
  </si>
  <si>
    <t>FDB90139</t>
  </si>
  <si>
    <t>FDB90140</t>
  </si>
  <si>
    <t>CUST10493</t>
  </si>
  <si>
    <t>FDB90141</t>
  </si>
  <si>
    <t>CUST12178</t>
  </si>
  <si>
    <t>FDB90142</t>
  </si>
  <si>
    <t>CUST12157</t>
  </si>
  <si>
    <t>FDB90143</t>
  </si>
  <si>
    <t>CUST10017</t>
  </si>
  <si>
    <t>FDB90144</t>
  </si>
  <si>
    <t>CUST12474</t>
  </si>
  <si>
    <t>FDB90145</t>
  </si>
  <si>
    <t>CUST12388</t>
  </si>
  <si>
    <t>FDB90146</t>
  </si>
  <si>
    <t>CUST11489</t>
  </si>
  <si>
    <t>FDB90147</t>
  </si>
  <si>
    <t>FDB90148</t>
  </si>
  <si>
    <t>CUST10490</t>
  </si>
  <si>
    <t>FDB90149</t>
  </si>
  <si>
    <t>CUST10964</t>
  </si>
  <si>
    <t>FDB90150</t>
  </si>
  <si>
    <t>CUST12227</t>
  </si>
  <si>
    <t>FDB90151</t>
  </si>
  <si>
    <t>CUST10653</t>
  </si>
  <si>
    <t>FDB90152</t>
  </si>
  <si>
    <t>FDB90153</t>
  </si>
  <si>
    <t>CUST12336</t>
  </si>
  <si>
    <t>FDB90154</t>
  </si>
  <si>
    <t>CUST11293</t>
  </si>
  <si>
    <t>FDB90155</t>
  </si>
  <si>
    <t>CUST10923</t>
  </si>
  <si>
    <t>FDB90156</t>
  </si>
  <si>
    <t>CUST10651</t>
  </si>
  <si>
    <t>FDB90157</t>
  </si>
  <si>
    <t>CUST11608</t>
  </si>
  <si>
    <t>FDB90158</t>
  </si>
  <si>
    <t>CUST11505</t>
  </si>
  <si>
    <t>FDB90159</t>
  </si>
  <si>
    <t>CUST12340</t>
  </si>
  <si>
    <t>FDB90160</t>
  </si>
  <si>
    <t>CUST11225</t>
  </si>
  <si>
    <t>FDB90161</t>
  </si>
  <si>
    <t>CUST12294</t>
  </si>
  <si>
    <t>FDB90162</t>
  </si>
  <si>
    <t>FDB90163</t>
  </si>
  <si>
    <t>CUST10668</t>
  </si>
  <si>
    <t>FDB90164</t>
  </si>
  <si>
    <t>CUST11449</t>
  </si>
  <si>
    <t>FDB90165</t>
  </si>
  <si>
    <t>CUST11126</t>
  </si>
  <si>
    <t>FDB90166</t>
  </si>
  <si>
    <t>CUST10922</t>
  </si>
  <si>
    <t>FDB90167</t>
  </si>
  <si>
    <t>CUST11338</t>
  </si>
  <si>
    <t>FDB90168</t>
  </si>
  <si>
    <t>FDB90169</t>
  </si>
  <si>
    <t>CUST10326</t>
  </si>
  <si>
    <t>FDB90170</t>
  </si>
  <si>
    <t>CUST10723</t>
  </si>
  <si>
    <t>FDB90171</t>
  </si>
  <si>
    <t>CUST12433</t>
  </si>
  <si>
    <t>FDB90172</t>
  </si>
  <si>
    <t>CUST11875</t>
  </si>
  <si>
    <t>FDB90173</t>
  </si>
  <si>
    <t>CUST10950</t>
  </si>
  <si>
    <t>FDB90174</t>
  </si>
  <si>
    <t>CUST12037</t>
  </si>
  <si>
    <t>FDB90175</t>
  </si>
  <si>
    <t>CUST11045</t>
  </si>
  <si>
    <t>FDB90176</t>
  </si>
  <si>
    <t>CUST11204</t>
  </si>
  <si>
    <t>FDB90177</t>
  </si>
  <si>
    <t>CUST10144</t>
  </si>
  <si>
    <t>FDB90178</t>
  </si>
  <si>
    <t>CUST11900</t>
  </si>
  <si>
    <t>FDB90179</t>
  </si>
  <si>
    <t>CUST12221</t>
  </si>
  <si>
    <t>FDB90180</t>
  </si>
  <si>
    <t>CUST10360</t>
  </si>
  <si>
    <t>FDB90181</t>
  </si>
  <si>
    <t>CUST11465</t>
  </si>
  <si>
    <t>FDB90182</t>
  </si>
  <si>
    <t>CUST11512</t>
  </si>
  <si>
    <t>FDB90183</t>
  </si>
  <si>
    <t>CUST10022</t>
  </si>
  <si>
    <t>FDB90184</t>
  </si>
  <si>
    <t>CUST12162</t>
  </si>
  <si>
    <t>FDB90185</t>
  </si>
  <si>
    <t>FDB90186</t>
  </si>
  <si>
    <t>CUST11767</t>
  </si>
  <si>
    <t>FDB90187</t>
  </si>
  <si>
    <t>CUST12146</t>
  </si>
  <si>
    <t>FDB90188</t>
  </si>
  <si>
    <t>CUST12274</t>
  </si>
  <si>
    <t>FDB90189</t>
  </si>
  <si>
    <t>CUST12155</t>
  </si>
  <si>
    <t>FDB90190</t>
  </si>
  <si>
    <t>CUST11970</t>
  </si>
  <si>
    <t>FDB90191</t>
  </si>
  <si>
    <t>CUST10481</t>
  </si>
  <si>
    <t>FDB90192</t>
  </si>
  <si>
    <t>CUST12054</t>
  </si>
  <si>
    <t>FDB90193</t>
  </si>
  <si>
    <t>CUST11882</t>
  </si>
  <si>
    <t>FDB90194</t>
  </si>
  <si>
    <t>CUST11425</t>
  </si>
  <si>
    <t>FDB90195</t>
  </si>
  <si>
    <t>CUST10971</t>
  </si>
  <si>
    <t>FDB90196</t>
  </si>
  <si>
    <t>CUST10275</t>
  </si>
  <si>
    <t>FDB90197</t>
  </si>
  <si>
    <t>CUST10863</t>
  </si>
  <si>
    <t>FDB90198</t>
  </si>
  <si>
    <t>CUST10290</t>
  </si>
  <si>
    <t>FDB90199</t>
  </si>
  <si>
    <t>CUST10571</t>
  </si>
  <si>
    <t>FDB90200</t>
  </si>
  <si>
    <t>CUST11320</t>
  </si>
  <si>
    <t>FDB90201</t>
  </si>
  <si>
    <t>CUST11852</t>
  </si>
  <si>
    <t>FDB90202</t>
  </si>
  <si>
    <t>CUST12312</t>
  </si>
  <si>
    <t>FDB90203</t>
  </si>
  <si>
    <t>CUST10736</t>
  </si>
  <si>
    <t>FDB90204</t>
  </si>
  <si>
    <t>CUST10385</t>
  </si>
  <si>
    <t>FDB90205</t>
  </si>
  <si>
    <t>CUST10900</t>
  </si>
  <si>
    <t>FDB90206</t>
  </si>
  <si>
    <t>CUST11062</t>
  </si>
  <si>
    <t>FDB90207</t>
  </si>
  <si>
    <t>CUST12173</t>
  </si>
  <si>
    <t>FDB90208</t>
  </si>
  <si>
    <t>CUST11854</t>
  </si>
  <si>
    <t>FDB90209</t>
  </si>
  <si>
    <t>CUST11147</t>
  </si>
  <si>
    <t>FDB90210</t>
  </si>
  <si>
    <t>CUST10973</t>
  </si>
  <si>
    <t>FDB90211</t>
  </si>
  <si>
    <t>CUST11237</t>
  </si>
  <si>
    <t>FDB90212</t>
  </si>
  <si>
    <t>CUST10311</t>
  </si>
  <si>
    <t>FDB90213</t>
  </si>
  <si>
    <t>CUST10716</t>
  </si>
  <si>
    <t>FDB90214</t>
  </si>
  <si>
    <t>CUST11073</t>
  </si>
  <si>
    <t>FDB90215</t>
  </si>
  <si>
    <t>CUST12275</t>
  </si>
  <si>
    <t>FDB90216</t>
  </si>
  <si>
    <t>CUST11985</t>
  </si>
  <si>
    <t>FDB90217</t>
  </si>
  <si>
    <t>CUST10852</t>
  </si>
  <si>
    <t>FDB90218</t>
  </si>
  <si>
    <t>CUST11647</t>
  </si>
  <si>
    <t>FDB90219</t>
  </si>
  <si>
    <t>CUST12047</t>
  </si>
  <si>
    <t>FDB90220</t>
  </si>
  <si>
    <t>CUST12332</t>
  </si>
  <si>
    <t>FDB90221</t>
  </si>
  <si>
    <t>CUST10932</t>
  </si>
  <si>
    <t>FDB90222</t>
  </si>
  <si>
    <t>CUST10597</t>
  </si>
  <si>
    <t>FDB90223</t>
  </si>
  <si>
    <t>CUST10094</t>
  </si>
  <si>
    <t>FDB90224</t>
  </si>
  <si>
    <t>CUST12271</t>
  </si>
  <si>
    <t>FDB90225</t>
  </si>
  <si>
    <t>CUST10162</t>
  </si>
  <si>
    <t>FDB90226</t>
  </si>
  <si>
    <t>CUST10043</t>
  </si>
  <si>
    <t>FDB90227</t>
  </si>
  <si>
    <t>CUST10697</t>
  </si>
  <si>
    <t>FDB90228</t>
  </si>
  <si>
    <t>CUST11039</t>
  </si>
  <si>
    <t>FDB90229</t>
  </si>
  <si>
    <t>CUST11435</t>
  </si>
  <si>
    <t>FDB90230</t>
  </si>
  <si>
    <t>CUST11217</t>
  </si>
  <si>
    <t>FDB90231</t>
  </si>
  <si>
    <t>CUST10931</t>
  </si>
  <si>
    <t>FDB90232</t>
  </si>
  <si>
    <t>CUST10422</t>
  </si>
  <si>
    <t>FDB90233</t>
  </si>
  <si>
    <t>CUST11758</t>
  </si>
  <si>
    <t>FDB90234</t>
  </si>
  <si>
    <t>CUST11104</t>
  </si>
  <si>
    <t>FDB90235</t>
  </si>
  <si>
    <t>CUST10554</t>
  </si>
  <si>
    <t>FDB90236</t>
  </si>
  <si>
    <t>FDB90237</t>
  </si>
  <si>
    <t>CUST10711</t>
  </si>
  <si>
    <t>FDB90238</t>
  </si>
  <si>
    <t>CUST11466</t>
  </si>
  <si>
    <t>FDB90239</t>
  </si>
  <si>
    <t>CUST11580</t>
  </si>
  <si>
    <t>FDB90240</t>
  </si>
  <si>
    <t>CUST12052</t>
  </si>
  <si>
    <t>FDB90241</t>
  </si>
  <si>
    <t>CUST11234</t>
  </si>
  <si>
    <t>FDB90242</t>
  </si>
  <si>
    <t>FDB90243</t>
  </si>
  <si>
    <t>CUST10655</t>
  </si>
  <si>
    <t>FDB90244</t>
  </si>
  <si>
    <t>CUST10381</t>
  </si>
  <si>
    <t>FDB90245</t>
  </si>
  <si>
    <t>CUST12472</t>
  </si>
  <si>
    <t>FDB90246</t>
  </si>
  <si>
    <t>CUST11239</t>
  </si>
  <si>
    <t>FDB90247</t>
  </si>
  <si>
    <t>CUST10846</t>
  </si>
  <si>
    <t>FDB90248</t>
  </si>
  <si>
    <t>CUST12468</t>
  </si>
  <si>
    <t>FDB90249</t>
  </si>
  <si>
    <t>CUST10865</t>
  </si>
  <si>
    <t>FDB90250</t>
  </si>
  <si>
    <t>CUST10501</t>
  </si>
  <si>
    <t>FDB90251</t>
  </si>
  <si>
    <t>CUST12072</t>
  </si>
  <si>
    <t>FDB90252</t>
  </si>
  <si>
    <t>CUST12306</t>
  </si>
  <si>
    <t>FDB90253</t>
  </si>
  <si>
    <t>CUST11002</t>
  </si>
  <si>
    <t>FDB90254</t>
  </si>
  <si>
    <t>CUST10110</t>
  </si>
  <si>
    <t>FDB90255</t>
  </si>
  <si>
    <t>CUST11686</t>
  </si>
  <si>
    <t>FDB90256</t>
  </si>
  <si>
    <t>CUST12127</t>
  </si>
  <si>
    <t>FDB90257</t>
  </si>
  <si>
    <t>CUST11150</t>
  </si>
  <si>
    <t>FDB90258</t>
  </si>
  <si>
    <t>CUST11148</t>
  </si>
  <si>
    <t>FDB90259</t>
  </si>
  <si>
    <t>FDB90260</t>
  </si>
  <si>
    <t>CUST11367</t>
  </si>
  <si>
    <t>FDB90261</t>
  </si>
  <si>
    <t>CUST10608</t>
  </si>
  <si>
    <t>FDB90262</t>
  </si>
  <si>
    <t>CUST10040</t>
  </si>
  <si>
    <t>FDB90263</t>
  </si>
  <si>
    <t>CUST12218</t>
  </si>
  <si>
    <t>FDB90264</t>
  </si>
  <si>
    <t>FDB90265</t>
  </si>
  <si>
    <t>CUST12026</t>
  </si>
  <si>
    <t>FDB90266</t>
  </si>
  <si>
    <t>FDB90267</t>
  </si>
  <si>
    <t>CUST11313</t>
  </si>
  <si>
    <t>FDB90268</t>
  </si>
  <si>
    <t>CUST10692</t>
  </si>
  <si>
    <t>FDB90269</t>
  </si>
  <si>
    <t>FDB90270</t>
  </si>
  <si>
    <t>CUST12235</t>
  </si>
  <si>
    <t>FDB90271</t>
  </si>
  <si>
    <t>CUST11023</t>
  </si>
  <si>
    <t>FDB90272</t>
  </si>
  <si>
    <t>CUST12140</t>
  </si>
  <si>
    <t>FDB90273</t>
  </si>
  <si>
    <t>CUST10533</t>
  </si>
  <si>
    <t>FDB90274</t>
  </si>
  <si>
    <t>CUST11831</t>
  </si>
  <si>
    <t>FDB90275</t>
  </si>
  <si>
    <t>CUST11800</t>
  </si>
  <si>
    <t>FDB90276</t>
  </si>
  <si>
    <t>CUST10792</t>
  </si>
  <si>
    <t>FDB90277</t>
  </si>
  <si>
    <t>CUST11071</t>
  </si>
  <si>
    <t>FDB90278</t>
  </si>
  <si>
    <t>FDB90279</t>
  </si>
  <si>
    <t>CUST10901</t>
  </si>
  <si>
    <t>FDB90280</t>
  </si>
  <si>
    <t>CUST10089</t>
  </si>
  <si>
    <t>FDB90281</t>
  </si>
  <si>
    <t>FDB90282</t>
  </si>
  <si>
    <t>CUST10276</t>
  </si>
  <si>
    <t>FDB90283</t>
  </si>
  <si>
    <t>CUST11087</t>
  </si>
  <si>
    <t>FDB90284</t>
  </si>
  <si>
    <t>CUST12020</t>
  </si>
  <si>
    <t>FDB90285</t>
  </si>
  <si>
    <t>FDB90286</t>
  </si>
  <si>
    <t>CUST11965</t>
  </si>
  <si>
    <t>FDB90287</t>
  </si>
  <si>
    <t>CUST11703</t>
  </si>
  <si>
    <t>FDB90288</t>
  </si>
  <si>
    <t>CUST11665</t>
  </si>
  <si>
    <t>FDB90289</t>
  </si>
  <si>
    <t>CUST12273</t>
  </si>
  <si>
    <t>FDB90290</t>
  </si>
  <si>
    <t>CUST12177</t>
  </si>
  <si>
    <t>FDB90291</t>
  </si>
  <si>
    <t>CUST12286</t>
  </si>
  <si>
    <t>FDB90292</t>
  </si>
  <si>
    <t>CUST11960</t>
  </si>
  <si>
    <t>FDB90293</t>
  </si>
  <si>
    <t>CUST10889</t>
  </si>
  <si>
    <t>FDB90294</t>
  </si>
  <si>
    <t>CUST10372</t>
  </si>
  <si>
    <t>FDB90295</t>
  </si>
  <si>
    <t>CUST10975</t>
  </si>
  <si>
    <t>FDB90296</t>
  </si>
  <si>
    <t>CUST12282</t>
  </si>
  <si>
    <t>FDB90297</t>
  </si>
  <si>
    <t>CUST11083</t>
  </si>
  <si>
    <t>FDB90298</t>
  </si>
  <si>
    <t>CUST11342</t>
  </si>
  <si>
    <t>FDB90299</t>
  </si>
  <si>
    <t>CUST11706</t>
  </si>
  <si>
    <t>FDB90300</t>
  </si>
  <si>
    <t>FDB90301</t>
  </si>
  <si>
    <t>CUST10617</t>
  </si>
  <si>
    <t>FDB90302</t>
  </si>
  <si>
    <t>CUST11746</t>
  </si>
  <si>
    <t>FDB90303</t>
  </si>
  <si>
    <t>CUST11939</t>
  </si>
  <si>
    <t>FDB90304</t>
  </si>
  <si>
    <t>CUST11931</t>
  </si>
  <si>
    <t>FDB90305</t>
  </si>
  <si>
    <t>CUST10726</t>
  </si>
  <si>
    <t>FDB90306</t>
  </si>
  <si>
    <t>CUST11210</t>
  </si>
  <si>
    <t>FDB90307</t>
  </si>
  <si>
    <t>CUST11438</t>
  </si>
  <si>
    <t>FDB90308</t>
  </si>
  <si>
    <t>CUST11260</t>
  </si>
  <si>
    <t>FDB90309</t>
  </si>
  <si>
    <t>CUST10809</t>
  </si>
  <si>
    <t>FDB90310</t>
  </si>
  <si>
    <t>CUST11414</t>
  </si>
  <si>
    <t>FDB90311</t>
  </si>
  <si>
    <t>CUST11371</t>
  </si>
  <si>
    <t>FDB90312</t>
  </si>
  <si>
    <t>FDB90313</t>
  </si>
  <si>
    <t>CUST10968</t>
  </si>
  <si>
    <t>FDB90314</t>
  </si>
  <si>
    <t>CUST12104</t>
  </si>
  <si>
    <t>FDB90315</t>
  </si>
  <si>
    <t>CUST12377</t>
  </si>
  <si>
    <t>FDB90316</t>
  </si>
  <si>
    <t>FDB90317</t>
  </si>
  <si>
    <t>CUST11881</t>
  </si>
  <si>
    <t>FDB90318</t>
  </si>
  <si>
    <t>CUST10419</t>
  </si>
  <si>
    <t>FDB90319</t>
  </si>
  <si>
    <t>CUST10837</t>
  </si>
  <si>
    <t>FDB90320</t>
  </si>
  <si>
    <t>FDB90321</t>
  </si>
  <si>
    <t>CUST10919</t>
  </si>
  <si>
    <t>FDB90322</t>
  </si>
  <si>
    <t>CUST10951</t>
  </si>
  <si>
    <t>FDB90323</t>
  </si>
  <si>
    <t>CUST10739</t>
  </si>
  <si>
    <t>FDB90324</t>
  </si>
  <si>
    <t>CUST10182</t>
  </si>
  <si>
    <t>FDB90325</t>
  </si>
  <si>
    <t>CUST10332</t>
  </si>
  <si>
    <t>FDB90326</t>
  </si>
  <si>
    <t>CUST12262</t>
  </si>
  <si>
    <t>FDB90327</t>
  </si>
  <si>
    <t>CUST12358</t>
  </si>
  <si>
    <t>FDB90328</t>
  </si>
  <si>
    <t>CUST10262</t>
  </si>
  <si>
    <t>FDB90329</t>
  </si>
  <si>
    <t>CUST11280</t>
  </si>
  <si>
    <t>FDB90330</t>
  </si>
  <si>
    <t>CUST11836</t>
  </si>
  <si>
    <t>FDB90331</t>
  </si>
  <si>
    <t>CUST11844</t>
  </si>
  <si>
    <t>FDB90332</t>
  </si>
  <si>
    <t>CUST10076</t>
  </si>
  <si>
    <t>FDB90333</t>
  </si>
  <si>
    <t>CUST11765</t>
  </si>
  <si>
    <t>FDB90334</t>
  </si>
  <si>
    <t>CUST10542</t>
  </si>
  <si>
    <t>FDB90335</t>
  </si>
  <si>
    <t>CUST10521</t>
  </si>
  <si>
    <t>FDB90336</t>
  </si>
  <si>
    <t>CUST10457</t>
  </si>
  <si>
    <t>FDB90337</t>
  </si>
  <si>
    <t>CUST11448</t>
  </si>
  <si>
    <t>FDB90338</t>
  </si>
  <si>
    <t>CUST11427</t>
  </si>
  <si>
    <t>FDB90339</t>
  </si>
  <si>
    <t>CUST10141</t>
  </si>
  <si>
    <t>FDB90340</t>
  </si>
  <si>
    <t>CUST12344</t>
  </si>
  <si>
    <t>FDB90341</t>
  </si>
  <si>
    <t>CUST10819</t>
  </si>
  <si>
    <t>FDB90342</t>
  </si>
  <si>
    <t>FDB90343</t>
  </si>
  <si>
    <t>CUST10516</t>
  </si>
  <si>
    <t>FDB90344</t>
  </si>
  <si>
    <t>CUST12431</t>
  </si>
  <si>
    <t>FDB90345</t>
  </si>
  <si>
    <t>CUST11089</t>
  </si>
  <si>
    <t>FDB90346</t>
  </si>
  <si>
    <t>CUST10450</t>
  </si>
  <si>
    <t>FDB90347</t>
  </si>
  <si>
    <t>CUST11240</t>
  </si>
  <si>
    <t>FDB90348</t>
  </si>
  <si>
    <t>CUST11006</t>
  </si>
  <si>
    <t>FDB90349</t>
  </si>
  <si>
    <t>CUST10714</t>
  </si>
  <si>
    <t>FDB90350</t>
  </si>
  <si>
    <t>CUST10160</t>
  </si>
  <si>
    <t>FDB90351</t>
  </si>
  <si>
    <t>FDB90352</t>
  </si>
  <si>
    <t>CUST10030</t>
  </si>
  <si>
    <t>FDB90353</t>
  </si>
  <si>
    <t>CUST10128</t>
  </si>
  <si>
    <t>FDB90354</t>
  </si>
  <si>
    <t>CUST12226</t>
  </si>
  <si>
    <t>FDB90355</t>
  </si>
  <si>
    <t>CUST10150</t>
  </si>
  <si>
    <t>FDB90356</t>
  </si>
  <si>
    <t>CUST12387</t>
  </si>
  <si>
    <t>FDB90357</t>
  </si>
  <si>
    <t>CUST11171</t>
  </si>
  <si>
    <t>FDB90358</t>
  </si>
  <si>
    <t>CUST11862</t>
  </si>
  <si>
    <t>FDB90359</t>
  </si>
  <si>
    <t>CUST11987</t>
  </si>
  <si>
    <t>FDB90360</t>
  </si>
  <si>
    <t>CUST10045</t>
  </si>
  <si>
    <t>FDB90361</t>
  </si>
  <si>
    <t>CUST10129</t>
  </si>
  <si>
    <t>FDB90362</t>
  </si>
  <si>
    <t>CUST11874</t>
  </si>
  <si>
    <t>FDB90363</t>
  </si>
  <si>
    <t>CUST10452</t>
  </si>
  <si>
    <t>FDB90364</t>
  </si>
  <si>
    <t>CUST10748</t>
  </si>
  <si>
    <t>FDB90365</t>
  </si>
  <si>
    <t>FDB90366</t>
  </si>
  <si>
    <t>CUST11028</t>
  </si>
  <si>
    <t>FDB90367</t>
  </si>
  <si>
    <t>CUST10336</t>
  </si>
  <si>
    <t>FDB90368</t>
  </si>
  <si>
    <t>CUST11037</t>
  </si>
  <si>
    <t>FDB90369</t>
  </si>
  <si>
    <t>CUST10576</t>
  </si>
  <si>
    <t>FDB90370</t>
  </si>
  <si>
    <t>CUST10063</t>
  </si>
  <si>
    <t>FDB90371</t>
  </si>
  <si>
    <t>CUST10444</t>
  </si>
  <si>
    <t>FDB90372</t>
  </si>
  <si>
    <t>CUST12338</t>
  </si>
  <si>
    <t>FDB90373</t>
  </si>
  <si>
    <t>FDB90374</t>
  </si>
  <si>
    <t>FDB90375</t>
  </si>
  <si>
    <t>CUST12254</t>
  </si>
  <si>
    <t>FDB90376</t>
  </si>
  <si>
    <t>CUST10210</t>
  </si>
  <si>
    <t>FDB90377</t>
  </si>
  <si>
    <t>CUST10176</t>
  </si>
  <si>
    <t>FDB90378</t>
  </si>
  <si>
    <t>CUST10763</t>
  </si>
  <si>
    <t>FDB90379</t>
  </si>
  <si>
    <t>CUST12246</t>
  </si>
  <si>
    <t>FDB90380</t>
  </si>
  <si>
    <t>FDB90381</t>
  </si>
  <si>
    <t>CUST10200</t>
  </si>
  <si>
    <t>FDB90382</t>
  </si>
  <si>
    <t>CUST10255</t>
  </si>
  <si>
    <t>FDB90383</t>
  </si>
  <si>
    <t>CUST11198</t>
  </si>
  <si>
    <t>FDB90384</t>
  </si>
  <si>
    <t>CUST10952</t>
  </si>
  <si>
    <t>FDB90385</t>
  </si>
  <si>
    <t>CUST11713</t>
  </si>
  <si>
    <t>FDB90386</t>
  </si>
  <si>
    <t>CUST10228</t>
  </si>
  <si>
    <t>FDB90387</t>
  </si>
  <si>
    <t>CUST10005</t>
  </si>
  <si>
    <t>FDB90388</t>
  </si>
  <si>
    <t>CUST10136</t>
  </si>
  <si>
    <t>FDB90389</t>
  </si>
  <si>
    <t>CUST11707</t>
  </si>
  <si>
    <t>FDB90390</t>
  </si>
  <si>
    <t>CUST11511</t>
  </si>
  <si>
    <t>FDB90391</t>
  </si>
  <si>
    <t>CUST10392</t>
  </si>
  <si>
    <t>FDB90392</t>
  </si>
  <si>
    <t>CUST11020</t>
  </si>
  <si>
    <t>FDB90393</t>
  </si>
  <si>
    <t>CUST11894</t>
  </si>
  <si>
    <t>FDB90394</t>
  </si>
  <si>
    <t>CUST12295</t>
  </si>
  <si>
    <t>FDB90395</t>
  </si>
  <si>
    <t>CUST11205</t>
  </si>
  <si>
    <t>FDB90396</t>
  </si>
  <si>
    <t>CUST12100</t>
  </si>
  <si>
    <t>FDB90397</t>
  </si>
  <si>
    <t>CUST12215</t>
  </si>
  <si>
    <t>FDB90398</t>
  </si>
  <si>
    <t>CUST11284</t>
  </si>
  <si>
    <t>FDB90399</t>
  </si>
  <si>
    <t>CUST11867</t>
  </si>
  <si>
    <t>FDB90400</t>
  </si>
  <si>
    <t>CUST11938</t>
  </si>
  <si>
    <t>FDB90401</t>
  </si>
  <si>
    <t>CUST12410</t>
  </si>
  <si>
    <t>FDB90402</t>
  </si>
  <si>
    <t>CUST11651</t>
  </si>
  <si>
    <t>FDB90403</t>
  </si>
  <si>
    <t>FDB90404</t>
  </si>
  <si>
    <t>CUST11740</t>
  </si>
  <si>
    <t>FDB90405</t>
  </si>
  <si>
    <t>CUST11814</t>
  </si>
  <si>
    <t>FDB90406</t>
  </si>
  <si>
    <t>CUST10678</t>
  </si>
  <si>
    <t>FDB90407</t>
  </si>
  <si>
    <t>CUST10945</t>
  </si>
  <si>
    <t>FDB90408</t>
  </si>
  <si>
    <t>FDB90409</t>
  </si>
  <si>
    <t>CUST12019</t>
  </si>
  <si>
    <t>FDB90410</t>
  </si>
  <si>
    <t>CUST11292</t>
  </si>
  <si>
    <t>FDB90411</t>
  </si>
  <si>
    <t>CUST10263</t>
  </si>
  <si>
    <t>FDB90412</t>
  </si>
  <si>
    <t>CUST11011</t>
  </si>
  <si>
    <t>FDB90413</t>
  </si>
  <si>
    <t>CUST10291</t>
  </si>
  <si>
    <t>FDB90414</t>
  </si>
  <si>
    <t>CUST11490</t>
  </si>
  <si>
    <t>FDB90415</t>
  </si>
  <si>
    <t>CUST12236</t>
  </si>
  <si>
    <t>FDB90416</t>
  </si>
  <si>
    <t>CUST11560</t>
  </si>
  <si>
    <t>FDB90417</t>
  </si>
  <si>
    <t>CUST11618</t>
  </si>
  <si>
    <t>FDB90418</t>
  </si>
  <si>
    <t>CUST11795</t>
  </si>
  <si>
    <t>FDB90419</t>
  </si>
  <si>
    <t>CUST10021</t>
  </si>
  <si>
    <t>FDB90420</t>
  </si>
  <si>
    <t>CUST12391</t>
  </si>
  <si>
    <t>FDB90421</t>
  </si>
  <si>
    <t>CUST10929</t>
  </si>
  <si>
    <t>FDB90422</t>
  </si>
  <si>
    <t>CUST10420</t>
  </si>
  <si>
    <t>FDB90423</t>
  </si>
  <si>
    <t>CUST11277</t>
  </si>
  <si>
    <t>FDB90424</t>
  </si>
  <si>
    <t>CUST11373</t>
  </si>
  <si>
    <t>FDB90425</t>
  </si>
  <si>
    <t>CUST11190</t>
  </si>
  <si>
    <t>FDB90426</t>
  </si>
  <si>
    <t>CUST10693</t>
  </si>
  <si>
    <t>FDB90427</t>
  </si>
  <si>
    <t>CUST10181</t>
  </si>
  <si>
    <t>FDB90428</t>
  </si>
  <si>
    <t>CUST11603</t>
  </si>
  <si>
    <t>FDB90429</t>
  </si>
  <si>
    <t>CUST10460</t>
  </si>
  <si>
    <t>FDB90430</t>
  </si>
  <si>
    <t>CUST11826</t>
  </si>
  <si>
    <t>FDB90431</t>
  </si>
  <si>
    <t>CUST10102</t>
  </si>
  <si>
    <t>FDB90432</t>
  </si>
  <si>
    <t>CUST12402</t>
  </si>
  <si>
    <t>FDB90433</t>
  </si>
  <si>
    <t>CUST11053</t>
  </si>
  <si>
    <t>FDB90434</t>
  </si>
  <si>
    <t>FDB90435</t>
  </si>
  <si>
    <t>CUST10288</t>
  </si>
  <si>
    <t>FDB90436</t>
  </si>
  <si>
    <t>CUST12457</t>
  </si>
  <si>
    <t>FDB90437</t>
  </si>
  <si>
    <t>CUST10461</t>
  </si>
  <si>
    <t>FDB90438</t>
  </si>
  <si>
    <t>CUST11001</t>
  </si>
  <si>
    <t>FDB90439</t>
  </si>
  <si>
    <t>CUST11528</t>
  </si>
  <si>
    <t>FDB90440</t>
  </si>
  <si>
    <t>CUST10802</t>
  </si>
  <si>
    <t>FDB90441</t>
  </si>
  <si>
    <t>FDB90442</t>
  </si>
  <si>
    <t>CUST11712</t>
  </si>
  <si>
    <t>FDB90443</t>
  </si>
  <si>
    <t>CUST10806</t>
  </si>
  <si>
    <t>FDB90444</t>
  </si>
  <si>
    <t>CUST10938</t>
  </si>
  <si>
    <t>FDB90445</t>
  </si>
  <si>
    <t>FDB90446</t>
  </si>
  <si>
    <t>CUST12279</t>
  </si>
  <si>
    <t>FDB90447</t>
  </si>
  <si>
    <t>CUST11412</t>
  </si>
  <si>
    <t>FDB90448</t>
  </si>
  <si>
    <t>CUST12139</t>
  </si>
  <si>
    <t>FDB90449</t>
  </si>
  <si>
    <t>CUST11649</t>
  </si>
  <si>
    <t>FDB90450</t>
  </si>
  <si>
    <t>CUST10368</t>
  </si>
  <si>
    <t>FDB90451</t>
  </si>
  <si>
    <t>CUST10928</t>
  </si>
  <si>
    <t>FDB90452</t>
  </si>
  <si>
    <t>CUST10309</t>
  </si>
  <si>
    <t>FDB90453</t>
  </si>
  <si>
    <t>FDB90454</t>
  </si>
  <si>
    <t>CUST10665</t>
  </si>
  <si>
    <t>FDB90455</t>
  </si>
  <si>
    <t>CUST12057</t>
  </si>
  <si>
    <t>FDB90456</t>
  </si>
  <si>
    <t>CUST10538</t>
  </si>
  <si>
    <t>FDB90457</t>
  </si>
  <si>
    <t>CUST11456</t>
  </si>
  <si>
    <t>FDB90458</t>
  </si>
  <si>
    <t>CUST10285</t>
  </si>
  <si>
    <t>FDB90459</t>
  </si>
  <si>
    <t>CUST11762</t>
  </si>
  <si>
    <t>FDB90460</t>
  </si>
  <si>
    <t>CUST10813</t>
  </si>
  <si>
    <t>FDB90461</t>
  </si>
  <si>
    <t>FDB90462</t>
  </si>
  <si>
    <t>FDB90463</t>
  </si>
  <si>
    <t>CUST11113</t>
  </si>
  <si>
    <t>FDB90464</t>
  </si>
  <si>
    <t>CUST10313</t>
  </si>
  <si>
    <t>FDB90465</t>
  </si>
  <si>
    <t>CUST10459</t>
  </si>
  <si>
    <t>FDB90466</t>
  </si>
  <si>
    <t>FDB90467</t>
  </si>
  <si>
    <t>CUST10238</t>
  </si>
  <si>
    <t>FDB90468</t>
  </si>
  <si>
    <t>CUST10546</t>
  </si>
  <si>
    <t>FDB90469</t>
  </si>
  <si>
    <t>FDB90470</t>
  </si>
  <si>
    <t>CUST10840</t>
  </si>
  <si>
    <t>FDB90471</t>
  </si>
  <si>
    <t>CUST10328</t>
  </si>
  <si>
    <t>FDB90472</t>
  </si>
  <si>
    <t>FDB90473</t>
  </si>
  <si>
    <t>CUST11281</t>
  </si>
  <si>
    <t>FDB90474</t>
  </si>
  <si>
    <t>FDB90475</t>
  </si>
  <si>
    <t>CUST11275</t>
  </si>
  <si>
    <t>FDB90476</t>
  </si>
  <si>
    <t>CUST11119</t>
  </si>
  <si>
    <t>FDB90477</t>
  </si>
  <si>
    <t>CUST10795</t>
  </si>
  <si>
    <t>FDB90478</t>
  </si>
  <si>
    <t>CUST11026</t>
  </si>
  <si>
    <t>FDB90479</t>
  </si>
  <si>
    <t>CUST10851</t>
  </si>
  <si>
    <t>FDB90480</t>
  </si>
  <si>
    <t>FDB90481</t>
  </si>
  <si>
    <t>CUST12272</t>
  </si>
  <si>
    <t>FDB90482</t>
  </si>
  <si>
    <t>CUST10004</t>
  </si>
  <si>
    <t>FDB90483</t>
  </si>
  <si>
    <t>CUST11605</t>
  </si>
  <si>
    <t>FDB90484</t>
  </si>
  <si>
    <t>CUST10091</t>
  </si>
  <si>
    <t>FDB90485</t>
  </si>
  <si>
    <t>CUST11360</t>
  </si>
  <si>
    <t>FDB90486</t>
  </si>
  <si>
    <t>CUST10746</t>
  </si>
  <si>
    <t>FDB90487</t>
  </si>
  <si>
    <t>CUST10879</t>
  </si>
  <si>
    <t>FDB90488</t>
  </si>
  <si>
    <t>CUST12110</t>
  </si>
  <si>
    <t>FDB90489</t>
  </si>
  <si>
    <t>CUST12133</t>
  </si>
  <si>
    <t>FDB90490</t>
  </si>
  <si>
    <t>CUST10342</t>
  </si>
  <si>
    <t>FDB90491</t>
  </si>
  <si>
    <t>CUST10706</t>
  </si>
  <si>
    <t>FDB90492</t>
  </si>
  <si>
    <t>CUST10661</t>
  </si>
  <si>
    <t>FDB90493</t>
  </si>
  <si>
    <t>CUST11497</t>
  </si>
  <si>
    <t>FDB90494</t>
  </si>
  <si>
    <t>FDB90495</t>
  </si>
  <si>
    <t>CUST11725</t>
  </si>
  <si>
    <t>FDB90496</t>
  </si>
  <si>
    <t>CUST11561</t>
  </si>
  <si>
    <t>FDB90497</t>
  </si>
  <si>
    <t>CUST12124</t>
  </si>
  <si>
    <t>FDB90498</t>
  </si>
  <si>
    <t>FDB90499</t>
  </si>
  <si>
    <t>FDB90500</t>
  </si>
  <si>
    <t>FDB90501</t>
  </si>
  <si>
    <t>CUST11609</t>
  </si>
  <si>
    <t>FDB90502</t>
  </si>
  <si>
    <t>CUST10097</t>
  </si>
  <si>
    <t>FDB90503</t>
  </si>
  <si>
    <t>CUST10264</t>
  </si>
  <si>
    <t>FDB90504</t>
  </si>
  <si>
    <t>CUST12035</t>
  </si>
  <si>
    <t>FDB90505</t>
  </si>
  <si>
    <t>CUST11913</t>
  </si>
  <si>
    <t>FDB90506</t>
  </si>
  <si>
    <t>CUST11314</t>
  </si>
  <si>
    <t>FDB90507</t>
  </si>
  <si>
    <t>CUST11065</t>
  </si>
  <si>
    <t>FDB90508</t>
  </si>
  <si>
    <t>CUST10415</t>
  </si>
  <si>
    <t>FDB90509</t>
  </si>
  <si>
    <t>FDB90510</t>
  </si>
  <si>
    <t>FDB90511</t>
  </si>
  <si>
    <t>CUST10969</t>
  </si>
  <si>
    <t>FDB90512</t>
  </si>
  <si>
    <t>CUST11235</t>
  </si>
  <si>
    <t>FDB90513</t>
  </si>
  <si>
    <t>CUST10400</t>
  </si>
  <si>
    <t>FDB90514</t>
  </si>
  <si>
    <t>CUST10749</t>
  </si>
  <si>
    <t>FDB90515</t>
  </si>
  <si>
    <t>CUST10986</t>
  </si>
  <si>
    <t>FDB90516</t>
  </si>
  <si>
    <t>CUST10427</t>
  </si>
  <si>
    <t>FDB90517</t>
  </si>
  <si>
    <t>CUST11070</t>
  </si>
  <si>
    <t>FDB90518</t>
  </si>
  <si>
    <t>CUST10917</t>
  </si>
  <si>
    <t>FDB90519</t>
  </si>
  <si>
    <t>CUST11870</t>
  </si>
  <si>
    <t>FDB90520</t>
  </si>
  <si>
    <t>CUST11643</t>
  </si>
  <si>
    <t>FDB90521</t>
  </si>
  <si>
    <t>CUST11859</t>
  </si>
  <si>
    <t>FDB90522</t>
  </si>
  <si>
    <t>CUST11644</t>
  </si>
  <si>
    <t>FDB90523</t>
  </si>
  <si>
    <t>FDB90524</t>
  </si>
  <si>
    <t>CUST11835</t>
  </si>
  <si>
    <t>FDB90525</t>
  </si>
  <si>
    <t>CUST12203</t>
  </si>
  <si>
    <t>FDB90526</t>
  </si>
  <si>
    <t>CUST11291</t>
  </si>
  <si>
    <t>FDB90527</t>
  </si>
  <si>
    <t>FDB90528</t>
  </si>
  <si>
    <t>CUST10947</t>
  </si>
  <si>
    <t>FDB90529</t>
  </si>
  <si>
    <t>CUST12065</t>
  </si>
  <si>
    <t>FDB90530</t>
  </si>
  <si>
    <t>CUST10387</t>
  </si>
  <si>
    <t>FDB90531</t>
  </si>
  <si>
    <t>CUST11986</t>
  </si>
  <si>
    <t>FDB90532</t>
  </si>
  <si>
    <t>CUST11784</t>
  </si>
  <si>
    <t>FDB90533</t>
  </si>
  <si>
    <t>CUST10769</t>
  </si>
  <si>
    <t>FDB90534</t>
  </si>
  <si>
    <t>FDB90535</t>
  </si>
  <si>
    <t>CUST11144</t>
  </si>
  <si>
    <t>FDB90536</t>
  </si>
  <si>
    <t>CUST11522</t>
  </si>
  <si>
    <t>FDB90537</t>
  </si>
  <si>
    <t>FDB90538</t>
  </si>
  <si>
    <t>CUST10559</t>
  </si>
  <si>
    <t>FDB90539</t>
  </si>
  <si>
    <t>CUST12265</t>
  </si>
  <si>
    <t>FDB90540</t>
  </si>
  <si>
    <t>CUST10515</t>
  </si>
  <si>
    <t>FDB90541</t>
  </si>
  <si>
    <t>CUST11108</t>
  </si>
  <si>
    <t>FDB90542</t>
  </si>
  <si>
    <t>FDB90543</t>
  </si>
  <si>
    <t>CUST10844</t>
  </si>
  <si>
    <t>FDB90544</t>
  </si>
  <si>
    <t>CUST11461</t>
  </si>
  <si>
    <t>FDB90545</t>
  </si>
  <si>
    <t>CUST11498</t>
  </si>
  <si>
    <t>FDB90546</t>
  </si>
  <si>
    <t>CUST11187</t>
  </si>
  <si>
    <t>FDB90547</t>
  </si>
  <si>
    <t>CUST10704</t>
  </si>
  <si>
    <t>FDB90548</t>
  </si>
  <si>
    <t>CUST10191</t>
  </si>
  <si>
    <t>FDB90549</t>
  </si>
  <si>
    <t>CUST11819</t>
  </si>
  <si>
    <t>FDB90550</t>
  </si>
  <si>
    <t>CUST10724</t>
  </si>
  <si>
    <t>FDB90551</t>
  </si>
  <si>
    <t>CUST11702</t>
  </si>
  <si>
    <t>FDB90552</t>
  </si>
  <si>
    <t>CUST11764</t>
  </si>
  <si>
    <t>FDB90553</t>
  </si>
  <si>
    <t>CUST10282</t>
  </si>
  <si>
    <t>FDB90554</t>
  </si>
  <si>
    <t>CUST10957</t>
  </si>
  <si>
    <t>FDB90555</t>
  </si>
  <si>
    <t>CUST10585</t>
  </si>
  <si>
    <t>FDB90556</t>
  </si>
  <si>
    <t>CUST11274</t>
  </si>
  <si>
    <t>FDB90557</t>
  </si>
  <si>
    <t>FDB90558</t>
  </si>
  <si>
    <t>CUST11829</t>
  </si>
  <si>
    <t>FDB90559</t>
  </si>
  <si>
    <t>CUST10302</t>
  </si>
  <si>
    <t>FDB90560</t>
  </si>
  <si>
    <t>CUST12105</t>
  </si>
  <si>
    <t>FDB90561</t>
  </si>
  <si>
    <t>CUST12109</t>
  </si>
  <si>
    <t>FDB90562</t>
  </si>
  <si>
    <t>CUST10587</t>
  </si>
  <si>
    <t>FDB90563</t>
  </si>
  <si>
    <t>CUST11715</t>
  </si>
  <si>
    <t>FDB90564</t>
  </si>
  <si>
    <t>CUST10296</t>
  </si>
  <si>
    <t>FDB90565</t>
  </si>
  <si>
    <t>CUST11231</t>
  </si>
  <si>
    <t>FDB90566</t>
  </si>
  <si>
    <t>CUST10314</t>
  </si>
  <si>
    <t>FDB90567</t>
  </si>
  <si>
    <t>CUST11333</t>
  </si>
  <si>
    <t>FDB90568</t>
  </si>
  <si>
    <t>CUST10910</t>
  </si>
  <si>
    <t>FDB90569</t>
  </si>
  <si>
    <t>CUST11757</t>
  </si>
  <si>
    <t>FDB90570</t>
  </si>
  <si>
    <t>CUST10157</t>
  </si>
  <si>
    <t>FDB90571</t>
  </si>
  <si>
    <t>CUST11953</t>
  </si>
  <si>
    <t>FDB90572</t>
  </si>
  <si>
    <t>CUST12355</t>
  </si>
  <si>
    <t>FDB90573</t>
  </si>
  <si>
    <t>FDB90574</t>
  </si>
  <si>
    <t>CUST11263</t>
  </si>
  <si>
    <t>FDB90575</t>
  </si>
  <si>
    <t>CUST10933</t>
  </si>
  <si>
    <t>FDB90576</t>
  </si>
  <si>
    <t>CUST10710</t>
  </si>
  <si>
    <t>FDB90577</t>
  </si>
  <si>
    <t>CUST12086</t>
  </si>
  <si>
    <t>FDB90578</t>
  </si>
  <si>
    <t>CUST10607</t>
  </si>
  <si>
    <t>FDB90579</t>
  </si>
  <si>
    <t>CUST12421</t>
  </si>
  <si>
    <t>FDB90580</t>
  </si>
  <si>
    <t>CUST10327</t>
  </si>
  <si>
    <t>FDB90581</t>
  </si>
  <si>
    <t>CUST11676</t>
  </si>
  <si>
    <t>FDB90582</t>
  </si>
  <si>
    <t>CUST10414</t>
  </si>
  <si>
    <t>FDB90583</t>
  </si>
  <si>
    <t>CUST12357</t>
  </si>
  <si>
    <t>FDB90584</t>
  </si>
  <si>
    <t>CUST12373</t>
  </si>
  <si>
    <t>FDB90585</t>
  </si>
  <si>
    <t>FDB90586</t>
  </si>
  <si>
    <t>CUST11731</t>
  </si>
  <si>
    <t>FDB90587</t>
  </si>
  <si>
    <t>FDB90588</t>
  </si>
  <si>
    <t>CUST10173</t>
  </si>
  <si>
    <t>FDB90589</t>
  </si>
  <si>
    <t>CUST11255</t>
  </si>
  <si>
    <t>FDB90590</t>
  </si>
  <si>
    <t>FDB90591</t>
  </si>
  <si>
    <t>CUST11700</t>
  </si>
  <si>
    <t>FDB90592</t>
  </si>
  <si>
    <t>FDB90593</t>
  </si>
  <si>
    <t>CUST11904</t>
  </si>
  <si>
    <t>FDB90594</t>
  </si>
  <si>
    <t>FDB90595</t>
  </si>
  <si>
    <t>CUST11896</t>
  </si>
  <si>
    <t>FDB90596</t>
  </si>
  <si>
    <t>CUST12209</t>
  </si>
  <si>
    <t>FDB90597</t>
  </si>
  <si>
    <t>FDB90598</t>
  </si>
  <si>
    <t>FDB90599</t>
  </si>
  <si>
    <t>CUST12498</t>
  </si>
  <si>
    <t>FDB90600</t>
  </si>
  <si>
    <t>CUST12443</t>
  </si>
  <si>
    <t>FDB90601</t>
  </si>
  <si>
    <t>CUST12084</t>
  </si>
  <si>
    <t>FDB90602</t>
  </si>
  <si>
    <t>CUST11893</t>
  </si>
  <si>
    <t>FDB90603</t>
  </si>
  <si>
    <t>CUST12111</t>
  </si>
  <si>
    <t>FDB90604</t>
  </si>
  <si>
    <t>CUST11040</t>
  </si>
  <si>
    <t>FDB90605</t>
  </si>
  <si>
    <t>CUST10812</t>
  </si>
  <si>
    <t>FDB90606</t>
  </si>
  <si>
    <t>CUST11984</t>
  </si>
  <si>
    <t>FDB90607</t>
  </si>
  <si>
    <t>CUST11399</t>
  </si>
  <si>
    <t>FDB90608</t>
  </si>
  <si>
    <t>CUST10133</t>
  </si>
  <si>
    <t>FDB90609</t>
  </si>
  <si>
    <t>CUST11652</t>
  </si>
  <si>
    <t>FDB90610</t>
  </si>
  <si>
    <t>CUST12017</t>
  </si>
  <si>
    <t>FDB90611</t>
  </si>
  <si>
    <t>FDB90612</t>
  </si>
  <si>
    <t>FDB90613</t>
  </si>
  <si>
    <t>CUST10522</t>
  </si>
  <si>
    <t>FDB90614</t>
  </si>
  <si>
    <t>CUST11534</t>
  </si>
  <si>
    <t>FDB90615</t>
  </si>
  <si>
    <t>FDB90616</t>
  </si>
  <si>
    <t>CUST10483</t>
  </si>
  <si>
    <t>FDB90617</t>
  </si>
  <si>
    <t>CUST12245</t>
  </si>
  <si>
    <t>FDB90618</t>
  </si>
  <si>
    <t>FDB90619</t>
  </si>
  <si>
    <t>CUST12025</t>
  </si>
  <si>
    <t>FDB90620</t>
  </si>
  <si>
    <t>CUST12156</t>
  </si>
  <si>
    <t>FDB90621</t>
  </si>
  <si>
    <t>CUST11128</t>
  </si>
  <si>
    <t>FDB90622</t>
  </si>
  <si>
    <t>CUST11983</t>
  </si>
  <si>
    <t>FDB90623</t>
  </si>
  <si>
    <t>CUST12211</t>
  </si>
  <si>
    <t>FDB90624</t>
  </si>
  <si>
    <t>CUST12120</t>
  </si>
  <si>
    <t>FDB90625</t>
  </si>
  <si>
    <t>FDB90626</t>
  </si>
  <si>
    <t>CUST11760</t>
  </si>
  <si>
    <t>FDB90627</t>
  </si>
  <si>
    <t>CUST10935</t>
  </si>
  <si>
    <t>FDB90628</t>
  </si>
  <si>
    <t>FDB90629</t>
  </si>
  <si>
    <t>FDB90630</t>
  </si>
  <si>
    <t>CUST10683</t>
  </si>
  <si>
    <t>FDB90631</t>
  </si>
  <si>
    <t>CUST11704</t>
  </si>
  <si>
    <t>FDB90632</t>
  </si>
  <si>
    <t>FDB90633</t>
  </si>
  <si>
    <t>CUST10709</t>
  </si>
  <si>
    <t>FDB90634</t>
  </si>
  <si>
    <t>CUST11331</t>
  </si>
  <si>
    <t>FDB90635</t>
  </si>
  <si>
    <t>CUST10758</t>
  </si>
  <si>
    <t>FDB90636</t>
  </si>
  <si>
    <t>CUST11858</t>
  </si>
  <si>
    <t>FDB90637</t>
  </si>
  <si>
    <t>CUST10614</t>
  </si>
  <si>
    <t>FDB90638</t>
  </si>
  <si>
    <t>FDB90639</t>
  </si>
  <si>
    <t>FDB90640</t>
  </si>
  <si>
    <t>CUST10240</t>
  </si>
  <si>
    <t>FDB90641</t>
  </si>
  <si>
    <t>CUST11209</t>
  </si>
  <si>
    <t>FDB90642</t>
  </si>
  <si>
    <t>CUST10797</t>
  </si>
  <si>
    <t>FDB90643</t>
  </si>
  <si>
    <t>CUST11444</t>
  </si>
  <si>
    <t>FDB90644</t>
  </si>
  <si>
    <t>CUST12411</t>
  </si>
  <si>
    <t>FDB90645</t>
  </si>
  <si>
    <t>CUST10641</t>
  </si>
  <si>
    <t>FDB90646</t>
  </si>
  <si>
    <t>CUST12456</t>
  </si>
  <si>
    <t>FDB90647</t>
  </si>
  <si>
    <t>FDB90648</t>
  </si>
  <si>
    <t>CUST11787</t>
  </si>
  <si>
    <t>FDB90649</t>
  </si>
  <si>
    <t>CUST10142</t>
  </si>
  <si>
    <t>FDB90650</t>
  </si>
  <si>
    <t>CUST12210</t>
  </si>
  <si>
    <t>FDB90651</t>
  </si>
  <si>
    <t>FDB90652</t>
  </si>
  <si>
    <t>FDB90653</t>
  </si>
  <si>
    <t>CUST11622</t>
  </si>
  <si>
    <t>FDB90654</t>
  </si>
  <si>
    <t>FDB90655</t>
  </si>
  <si>
    <t>FDB90656</t>
  </si>
  <si>
    <t>CUST12180</t>
  </si>
  <si>
    <t>FDB90657</t>
  </si>
  <si>
    <t>FDB90658</t>
  </si>
  <si>
    <t>FDB90659</t>
  </si>
  <si>
    <t>CUST10893</t>
  </si>
  <si>
    <t>FDB90660</t>
  </si>
  <si>
    <t>CUST10214</t>
  </si>
  <si>
    <t>FDB90661</t>
  </si>
  <si>
    <t>CUST11754</t>
  </si>
  <si>
    <t>FDB90662</t>
  </si>
  <si>
    <t>CUST11878</t>
  </si>
  <si>
    <t>FDB90663</t>
  </si>
  <si>
    <t>FDB90664</t>
  </si>
  <si>
    <t>CUST11777</t>
  </si>
  <si>
    <t>FDB90665</t>
  </si>
  <si>
    <t>CUST10980</t>
  </si>
  <si>
    <t>FDB90666</t>
  </si>
  <si>
    <t>CUST10785</t>
  </si>
  <si>
    <t>FDB90667</t>
  </si>
  <si>
    <t>CUST11397</t>
  </si>
  <si>
    <t>FDB90668</t>
  </si>
  <si>
    <t>CUST10245</t>
  </si>
  <si>
    <t>FDB90669</t>
  </si>
  <si>
    <t>FDB90670</t>
  </si>
  <si>
    <t>CUST10581</t>
  </si>
  <si>
    <t>FDB90671</t>
  </si>
  <si>
    <t>CUST11377</t>
  </si>
  <si>
    <t>FDB90672</t>
  </si>
  <si>
    <t>CUST11748</t>
  </si>
  <si>
    <t>FDB90673</t>
  </si>
  <si>
    <t>FDB90674</t>
  </si>
  <si>
    <t>CUST11424</t>
  </si>
  <si>
    <t>FDB90675</t>
  </si>
  <si>
    <t>CUST10618</t>
  </si>
  <si>
    <t>FDB90676</t>
  </si>
  <si>
    <t>CUST11832</t>
  </si>
  <si>
    <t>FDB90677</t>
  </si>
  <si>
    <t>CUST11937</t>
  </si>
  <si>
    <t>FDB90678</t>
  </si>
  <si>
    <t>CUST10284</t>
  </si>
  <si>
    <t>FDB90679</t>
  </si>
  <si>
    <t>FDB90680</t>
  </si>
  <si>
    <t>FDB90681</t>
  </si>
  <si>
    <t>FDB90682</t>
  </si>
  <si>
    <t>CUST11440</t>
  </si>
  <si>
    <t>FDB90683</t>
  </si>
  <si>
    <t>CUST10244</t>
  </si>
  <si>
    <t>FDB90684</t>
  </si>
  <si>
    <t>CUST12149</t>
  </si>
  <si>
    <t>FDB90685</t>
  </si>
  <si>
    <t>CUST10428</t>
  </si>
  <si>
    <t>FDB90686</t>
  </si>
  <si>
    <t>CUST11587</t>
  </si>
  <si>
    <t>FDB90687</t>
  </si>
  <si>
    <t>CUST10502</t>
  </si>
  <si>
    <t>FDB90688</t>
  </si>
  <si>
    <t>CUST11642</t>
  </si>
  <si>
    <t>FDB90689</t>
  </si>
  <si>
    <t>CUST12442</t>
  </si>
  <si>
    <t>FDB90690</t>
  </si>
  <si>
    <t>CUST11117</t>
  </si>
  <si>
    <t>FDB90691</t>
  </si>
  <si>
    <t>CUST11407</t>
  </si>
  <si>
    <t>FDB90692</t>
  </si>
  <si>
    <t>CUST10817</t>
  </si>
  <si>
    <t>FDB90693</t>
  </si>
  <si>
    <t>CUST10803</t>
  </si>
  <si>
    <t>FDB90694</t>
  </si>
  <si>
    <t>CUST11530</t>
  </si>
  <si>
    <t>FDB90695</t>
  </si>
  <si>
    <t>CUST11232</t>
  </si>
  <si>
    <t>FDB90696</t>
  </si>
  <si>
    <t>CUST12329</t>
  </si>
  <si>
    <t>FDB90697</t>
  </si>
  <si>
    <t>FDB90698</t>
  </si>
  <si>
    <t>FDB90699</t>
  </si>
  <si>
    <t>CUST12201</t>
  </si>
  <si>
    <t>FDB90700</t>
  </si>
  <si>
    <t>CUST11267</t>
  </si>
  <si>
    <t>FDB90701</t>
  </si>
  <si>
    <t>CUST12362</t>
  </si>
  <si>
    <t>FDB90702</t>
  </si>
  <si>
    <t>CUST10657</t>
  </si>
  <si>
    <t>FDB90703</t>
  </si>
  <si>
    <t>CUST10884</t>
  </si>
  <si>
    <t>FDB90704</t>
  </si>
  <si>
    <t>CUST12024</t>
  </si>
  <si>
    <t>FDB90705</t>
  </si>
  <si>
    <t>FDB90706</t>
  </si>
  <si>
    <t>FDB90707</t>
  </si>
  <si>
    <t>CUST10346</t>
  </si>
  <si>
    <t>FDB90708</t>
  </si>
  <si>
    <t>CUST11619</t>
  </si>
  <si>
    <t>FDB90709</t>
  </si>
  <si>
    <t>CUST12369</t>
  </si>
  <si>
    <t>FDB90710</t>
  </si>
  <si>
    <t>CUST10103</t>
  </si>
  <si>
    <t>FDB90711</t>
  </si>
  <si>
    <t>CUST10691</t>
  </si>
  <si>
    <t>FDB90712</t>
  </si>
  <si>
    <t>CUST12053</t>
  </si>
  <si>
    <t>FDB90713</t>
  </si>
  <si>
    <t>CUST11478</t>
  </si>
  <si>
    <t>FDB90714</t>
  </si>
  <si>
    <t>FDB90715</t>
  </si>
  <si>
    <t>CUST11224</t>
  </si>
  <si>
    <t>FDB90716</t>
  </si>
  <si>
    <t>CUST10663</t>
  </si>
  <si>
    <t>FDB90717</t>
  </si>
  <si>
    <t>CUST12242</t>
  </si>
  <si>
    <t>FDB90718</t>
  </si>
  <si>
    <t>CUST10018</t>
  </si>
  <si>
    <t>FDB90719</t>
  </si>
  <si>
    <t>CUST10325</t>
  </si>
  <si>
    <t>FDB90720</t>
  </si>
  <si>
    <t>FDB90721</t>
  </si>
  <si>
    <t>FDB90722</t>
  </si>
  <si>
    <t>CUST12314</t>
  </si>
  <si>
    <t>FDB90723</t>
  </si>
  <si>
    <t>CUST12048</t>
  </si>
  <si>
    <t>FDB90724</t>
  </si>
  <si>
    <t>CUST12417</t>
  </si>
  <si>
    <t>FDB90725</t>
  </si>
  <si>
    <t>CUST11766</t>
  </si>
  <si>
    <t>FDB90726</t>
  </si>
  <si>
    <t>CUST10462</t>
  </si>
  <si>
    <t>FDB90727</t>
  </si>
  <si>
    <t>FDB90728</t>
  </si>
  <si>
    <t>CUST10616</t>
  </si>
  <si>
    <t>FDB90729</t>
  </si>
  <si>
    <t>CUST11785</t>
  </si>
  <si>
    <t>FDB90730</t>
  </si>
  <si>
    <t>CUST12085</t>
  </si>
  <si>
    <t>FDB90731</t>
  </si>
  <si>
    <t>CUST10946</t>
  </si>
  <si>
    <t>FDB90732</t>
  </si>
  <si>
    <t>CUST12108</t>
  </si>
  <si>
    <t>FDB90733</t>
  </si>
  <si>
    <t>CUST11060</t>
  </si>
  <si>
    <t>FDB90734</t>
  </si>
  <si>
    <t>CUST11802</t>
  </si>
  <si>
    <t>FDB90735</t>
  </si>
  <si>
    <t>CUST12430</t>
  </si>
  <si>
    <t>FDB90736</t>
  </si>
  <si>
    <t>FDB90737</t>
  </si>
  <si>
    <t>CUST10652</t>
  </si>
  <si>
    <t>FDB90738</t>
  </si>
  <si>
    <t>FDB90739</t>
  </si>
  <si>
    <t>CUST12212</t>
  </si>
  <si>
    <t>FDB90740</t>
  </si>
  <si>
    <t>CUST11761</t>
  </si>
  <si>
    <t>FDB90741</t>
  </si>
  <si>
    <t>CUST12214</t>
  </si>
  <si>
    <t>FDB90742</t>
  </si>
  <si>
    <t>CUST11979</t>
  </si>
  <si>
    <t>FDB90743</t>
  </si>
  <si>
    <t>FDB90744</t>
  </si>
  <si>
    <t>CUST10735</t>
  </si>
  <si>
    <t>FDB90745</t>
  </si>
  <si>
    <t>CUST10868</t>
  </si>
  <si>
    <t>FDB90746</t>
  </si>
  <si>
    <t>CUST10794</t>
  </si>
  <si>
    <t>FDB90747</t>
  </si>
  <si>
    <t>CUST12349</t>
  </si>
  <si>
    <t>FDB90748</t>
  </si>
  <si>
    <t>CUST10963</t>
  </si>
  <si>
    <t>FDB90749</t>
  </si>
  <si>
    <t>CUST10376</t>
  </si>
  <si>
    <t>FDB90750</t>
  </si>
  <si>
    <t>CUST10633</t>
  </si>
  <si>
    <t>FDB90751</t>
  </si>
  <si>
    <t>CUST12154</t>
  </si>
  <si>
    <t>FDB90752</t>
  </si>
  <si>
    <t>FDB90753</t>
  </si>
  <si>
    <t>CUST12002</t>
  </si>
  <si>
    <t>FDB90754</t>
  </si>
  <si>
    <t>CUST11228</t>
  </si>
  <si>
    <t>FDB90755</t>
  </si>
  <si>
    <t>CUST11889</t>
  </si>
  <si>
    <t>FDB90756</t>
  </si>
  <si>
    <t>CUST11161</t>
  </si>
  <si>
    <t>FDB90757</t>
  </si>
  <si>
    <t>CUST12261</t>
  </si>
  <si>
    <t>FDB90758</t>
  </si>
  <si>
    <t>FDB90759</t>
  </si>
  <si>
    <t>FDB90760</t>
  </si>
  <si>
    <t>CUST10033</t>
  </si>
  <si>
    <t>FDB90761</t>
  </si>
  <si>
    <t>CUST11302</t>
  </si>
  <si>
    <t>FDB90762</t>
  </si>
  <si>
    <t>FDB90763</t>
  </si>
  <si>
    <t>CUST11431</t>
  </si>
  <si>
    <t>FDB90764</t>
  </si>
  <si>
    <t>CUST10151</t>
  </si>
  <si>
    <t>FDB90765</t>
  </si>
  <si>
    <t>CUST11921</t>
  </si>
  <si>
    <t>FDB90766</t>
  </si>
  <si>
    <t>CUST10509</t>
  </si>
  <si>
    <t>FDB90767</t>
  </si>
  <si>
    <t>FDB90768</t>
  </si>
  <si>
    <t>FDB90769</t>
  </si>
  <si>
    <t>FDB90770</t>
  </si>
  <si>
    <t>FDB90771</t>
  </si>
  <si>
    <t>CUST12207</t>
  </si>
  <si>
    <t>FDB90772</t>
  </si>
  <si>
    <t>FDB90773</t>
  </si>
  <si>
    <t>CUST10218</t>
  </si>
  <si>
    <t>FDB90774</t>
  </si>
  <si>
    <t>CUST10649</t>
  </si>
  <si>
    <t>FDB90775</t>
  </si>
  <si>
    <t>CUST10343</t>
  </si>
  <si>
    <t>FDB90776</t>
  </si>
  <si>
    <t>CUST12150</t>
  </si>
  <si>
    <t>FDB90777</t>
  </si>
  <si>
    <t>CUST10468</t>
  </si>
  <si>
    <t>FDB90778</t>
  </si>
  <si>
    <t>CUST12064</t>
  </si>
  <si>
    <t>FDB90779</t>
  </si>
  <si>
    <t>CUST10159</t>
  </si>
  <si>
    <t>FDB90780</t>
  </si>
  <si>
    <t>CUST10575</t>
  </si>
  <si>
    <t>FDB90781</t>
  </si>
  <si>
    <t>CUST11163</t>
  </si>
  <si>
    <t>FDB90782</t>
  </si>
  <si>
    <t>CUST12497</t>
  </si>
  <si>
    <t>FDB90783</t>
  </si>
  <si>
    <t>FDB90784</t>
  </si>
  <si>
    <t>CUST11871</t>
  </si>
  <si>
    <t>FDB90785</t>
  </si>
  <si>
    <t>CUST10433</t>
  </si>
  <si>
    <t>FDB90786</t>
  </si>
  <si>
    <t>FDB90787</t>
  </si>
  <si>
    <t>CUST11356</t>
  </si>
  <si>
    <t>FDB90788</t>
  </si>
  <si>
    <t>FDB90789</t>
  </si>
  <si>
    <t>CUST11219</t>
  </si>
  <si>
    <t>FDB90790</t>
  </si>
  <si>
    <t>CUST10774</t>
  </si>
  <si>
    <t>FDB90791</t>
  </si>
  <si>
    <t>CUST12204</t>
  </si>
  <si>
    <t>FDB90792</t>
  </si>
  <si>
    <t>CUST10752</t>
  </si>
  <si>
    <t>FDB90793</t>
  </si>
  <si>
    <t>CUST10700</t>
  </si>
  <si>
    <t>FDB90794</t>
  </si>
  <si>
    <t>CUST11036</t>
  </si>
  <si>
    <t>FDB90795</t>
  </si>
  <si>
    <t>FDB90796</t>
  </si>
  <si>
    <t>CUST12488</t>
  </si>
  <si>
    <t>FDB90797</t>
  </si>
  <si>
    <t>CUST10647</t>
  </si>
  <si>
    <t>FDB90798</t>
  </si>
  <si>
    <t>CUST10805</t>
  </si>
  <si>
    <t>FDB90799</t>
  </si>
  <si>
    <t>CUST11420</t>
  </si>
  <si>
    <t>FDB90800</t>
  </si>
  <si>
    <t>CUST11502</t>
  </si>
  <si>
    <t>FDB90801</t>
  </si>
  <si>
    <t>CUST11146</t>
  </si>
  <si>
    <t>FDB90802</t>
  </si>
  <si>
    <t>FDB90803</t>
  </si>
  <si>
    <t>CUST10510</t>
  </si>
  <si>
    <t>FDB90804</t>
  </si>
  <si>
    <t>CUST11034</t>
  </si>
  <si>
    <t>FDB90805</t>
  </si>
  <si>
    <t>CUST10363</t>
  </si>
  <si>
    <t>FDB90806</t>
  </si>
  <si>
    <t>FDB90807</t>
  </si>
  <si>
    <t>CUST11923</t>
  </si>
  <si>
    <t>FDB90808</t>
  </si>
  <si>
    <t>CUST11307</t>
  </si>
  <si>
    <t>FDB90809</t>
  </si>
  <si>
    <t>CUST11035</t>
  </si>
  <si>
    <t>FDB90810</t>
  </si>
  <si>
    <t>CUST12074</t>
  </si>
  <si>
    <t>FDB90811</t>
  </si>
  <si>
    <t>FDB90812</t>
  </si>
  <si>
    <t>CUST12096</t>
  </si>
  <si>
    <t>FDB90813</t>
  </si>
  <si>
    <t>CUST11470</t>
  </si>
  <si>
    <t>FDB90814</t>
  </si>
  <si>
    <t>CUST12350</t>
  </si>
  <si>
    <t>FDB90815</t>
  </si>
  <si>
    <t>FDB90816</t>
  </si>
  <si>
    <t>FDB90817</t>
  </si>
  <si>
    <t>CUST11925</t>
  </si>
  <si>
    <t>FDB90818</t>
  </si>
  <si>
    <t>CUST11527</t>
  </si>
  <si>
    <t>FDB90819</t>
  </si>
  <si>
    <t>CUST11726</t>
  </si>
  <si>
    <t>FDB90820</t>
  </si>
  <si>
    <t>FDB90821</t>
  </si>
  <si>
    <t>FDB90822</t>
  </si>
  <si>
    <t>CUST10442</t>
  </si>
  <si>
    <t>FDB90823</t>
  </si>
  <si>
    <t>CUST12176</t>
  </si>
  <si>
    <t>FDB90824</t>
  </si>
  <si>
    <t>FDB90825</t>
  </si>
  <si>
    <t>CUST11278</t>
  </si>
  <si>
    <t>FDB90826</t>
  </si>
  <si>
    <t>CUST11325</t>
  </si>
  <si>
    <t>FDB90827</t>
  </si>
  <si>
    <t>CUST10480</t>
  </si>
  <si>
    <t>FDB90828</t>
  </si>
  <si>
    <t>FDB90829</t>
  </si>
  <si>
    <t>FDB90830</t>
  </si>
  <si>
    <t>CUST10204</t>
  </si>
  <si>
    <t>FDB90831</t>
  </si>
  <si>
    <t>CUST11103</t>
  </si>
  <si>
    <t>FDB90832</t>
  </si>
  <si>
    <t>CUST10550</t>
  </si>
  <si>
    <t>FDB90833</t>
  </si>
  <si>
    <t>CUST11499</t>
  </si>
  <si>
    <t>FDB90834</t>
  </si>
  <si>
    <t>CUST10751</t>
  </si>
  <si>
    <t>FDB90835</t>
  </si>
  <si>
    <t>FDB90836</t>
  </si>
  <si>
    <t>CUST10534</t>
  </si>
  <si>
    <t>FDB90837</t>
  </si>
  <si>
    <t>CUST10185</t>
  </si>
  <si>
    <t>FDB90838</t>
  </si>
  <si>
    <t>CUST11628</t>
  </si>
  <si>
    <t>FDB90839</t>
  </si>
  <si>
    <t>CUST10524</t>
  </si>
  <si>
    <t>FDB90840</t>
  </si>
  <si>
    <t>CUST12464</t>
  </si>
  <si>
    <t>FDB90841</t>
  </si>
  <si>
    <t>CUST10958</t>
  </si>
  <si>
    <t>FDB90842</t>
  </si>
  <si>
    <t>CUST11123</t>
  </si>
  <si>
    <t>FDB90843</t>
  </si>
  <si>
    <t>FDB90844</t>
  </si>
  <si>
    <t>CUST11050</t>
  </si>
  <si>
    <t>FDB90845</t>
  </si>
  <si>
    <t>CUST11264</t>
  </si>
  <si>
    <t>FDB90846</t>
  </si>
  <si>
    <t>CUST12224</t>
  </si>
  <si>
    <t>FDB90847</t>
  </si>
  <si>
    <t>CUST12257</t>
  </si>
  <si>
    <t>FDB90848</t>
  </si>
  <si>
    <t>CUST11796</t>
  </si>
  <si>
    <t>FDB90849</t>
  </si>
  <si>
    <t>CUST11075</t>
  </si>
  <si>
    <t>FDB90850</t>
  </si>
  <si>
    <t>CUST11076</t>
  </si>
  <si>
    <t>FDB90851</t>
  </si>
  <si>
    <t>CUST11301</t>
  </si>
  <si>
    <t>FDB90852</t>
  </si>
  <si>
    <t>FDB90853</t>
  </si>
  <si>
    <t>CUST11318</t>
  </si>
  <si>
    <t>FDB90854</t>
  </si>
  <si>
    <t>CUST10064</t>
  </si>
  <si>
    <t>FDB90855</t>
  </si>
  <si>
    <t>CUST10891</t>
  </si>
  <si>
    <t>FDB90856</t>
  </si>
  <si>
    <t>FDB90857</t>
  </si>
  <si>
    <t>CUST12364</t>
  </si>
  <si>
    <t>FDB90858</t>
  </si>
  <si>
    <t>CUST10254</t>
  </si>
  <si>
    <t>FDB90859</t>
  </si>
  <si>
    <t>CUST10539</t>
  </si>
  <si>
    <t>FDB90860</t>
  </si>
  <si>
    <t>CUST10620</t>
  </si>
  <si>
    <t>FDB90861</t>
  </si>
  <si>
    <t>CUST10828</t>
  </si>
  <si>
    <t>FDB90862</t>
  </si>
  <si>
    <t>CUST11659</t>
  </si>
  <si>
    <t>FDB90863</t>
  </si>
  <si>
    <t>CUST12278</t>
  </si>
  <si>
    <t>FDB90864</t>
  </si>
  <si>
    <t>FDB90865</t>
  </si>
  <si>
    <t>FDB90866</t>
  </si>
  <si>
    <t>CUST11918</t>
  </si>
  <si>
    <t>FDB90867</t>
  </si>
  <si>
    <t>FDB90868</t>
  </si>
  <si>
    <t>CUST10186</t>
  </si>
  <si>
    <t>FDB90869</t>
  </si>
  <si>
    <t>CUST11973</t>
  </si>
  <si>
    <t>FDB90870</t>
  </si>
  <si>
    <t>FDB90871</t>
  </si>
  <si>
    <t>CUST10881</t>
  </si>
  <si>
    <t>FDB90872</t>
  </si>
  <si>
    <t>CUST12136</t>
  </si>
  <si>
    <t>FDB90873</t>
  </si>
  <si>
    <t>FDB90874</t>
  </si>
  <si>
    <t>CUST11825</t>
  </si>
  <si>
    <t>FDB90875</t>
  </si>
  <si>
    <t>CUST12485</t>
  </si>
  <si>
    <t>FDB90876</t>
  </si>
  <si>
    <t>CUST11434</t>
  </si>
  <si>
    <t>FDB90877</t>
  </si>
  <si>
    <t>CUST11357</t>
  </si>
  <si>
    <t>FDB90878</t>
  </si>
  <si>
    <t>CUST11078</t>
  </si>
  <si>
    <t>FDB90879</t>
  </si>
  <si>
    <t>CUST10703</t>
  </si>
  <si>
    <t>FDB90880</t>
  </si>
  <si>
    <t>CUST11714</t>
  </si>
  <si>
    <t>FDB90881</t>
  </si>
  <si>
    <t>CUST10126</t>
  </si>
  <si>
    <t>FDB90882</t>
  </si>
  <si>
    <t>CUST12007</t>
  </si>
  <si>
    <t>FDB90883</t>
  </si>
  <si>
    <t>CUST10193</t>
  </si>
  <si>
    <t>FDB90884</t>
  </si>
  <si>
    <t>CUST10636</t>
  </si>
  <si>
    <t>FDB90885</t>
  </si>
  <si>
    <t>CUST11460</t>
  </si>
  <si>
    <t>FDB90886</t>
  </si>
  <si>
    <t>CUST11386</t>
  </si>
  <si>
    <t>FDB90887</t>
  </si>
  <si>
    <t>FDB90888</t>
  </si>
  <si>
    <t>CUST10139</t>
  </si>
  <si>
    <t>FDB90889</t>
  </si>
  <si>
    <t>CUST12163</t>
  </si>
  <si>
    <t>FDB90890</t>
  </si>
  <si>
    <t>FDB90891</t>
  </si>
  <si>
    <t>FDB90892</t>
  </si>
  <si>
    <t>CUST12318</t>
  </si>
  <si>
    <t>FDB90893</t>
  </si>
  <si>
    <t>FDB90894</t>
  </si>
  <si>
    <t>FDB90895</t>
  </si>
  <si>
    <t>CUST10119</t>
  </si>
  <si>
    <t>FDB90896</t>
  </si>
  <si>
    <t>CUST11334</t>
  </si>
  <si>
    <t>FDB90897</t>
  </si>
  <si>
    <t>FDB90898</t>
  </si>
  <si>
    <t>CUST10140</t>
  </si>
  <si>
    <t>FDB90899</t>
  </si>
  <si>
    <t>CUST11572</t>
  </si>
  <si>
    <t>FDB90900</t>
  </si>
  <si>
    <t>FDB90901</t>
  </si>
  <si>
    <t>CUST12031</t>
  </si>
  <si>
    <t>FDB90902</t>
  </si>
  <si>
    <t>CUST10242</t>
  </si>
  <si>
    <t>FDB90903</t>
  </si>
  <si>
    <t>CUST12130</t>
  </si>
  <si>
    <t>FDB90904</t>
  </si>
  <si>
    <t>FDB90905</t>
  </si>
  <si>
    <t>CUST10373</t>
  </si>
  <si>
    <t>FDB90906</t>
  </si>
  <si>
    <t>CUST10435</t>
  </si>
  <si>
    <t>FDB90907</t>
  </si>
  <si>
    <t>CUST10899</t>
  </si>
  <si>
    <t>FDB90908</t>
  </si>
  <si>
    <t>FDB90909</t>
  </si>
  <si>
    <t>CUST10135</t>
  </si>
  <si>
    <t>FDB90910</t>
  </si>
  <si>
    <t>CUST11975</t>
  </si>
  <si>
    <t>FDB90911</t>
  </si>
  <si>
    <t>CUST10503</t>
  </si>
  <si>
    <t>FDB90912</t>
  </si>
  <si>
    <t>CUST12260</t>
  </si>
  <si>
    <t>FDB90913</t>
  </si>
  <si>
    <t>FDB90914</t>
  </si>
  <si>
    <t>FDB90915</t>
  </si>
  <si>
    <t>CUST11138</t>
  </si>
  <si>
    <t>FDB90916</t>
  </si>
  <si>
    <t>CUST11907</t>
  </si>
  <si>
    <t>FDB90917</t>
  </si>
  <si>
    <t>CUST11607</t>
  </si>
  <si>
    <t>FDB90918</t>
  </si>
  <si>
    <t>FDB90919</t>
  </si>
  <si>
    <t>CUST12337</t>
  </si>
  <si>
    <t>FDB90920</t>
  </si>
  <si>
    <t>CUST10046</t>
  </si>
  <si>
    <t>FDB90921</t>
  </si>
  <si>
    <t>CUST12463</t>
  </si>
  <si>
    <t>FDB90922</t>
  </si>
  <si>
    <t>FDB90923</t>
  </si>
  <si>
    <t>CUST12102</t>
  </si>
  <si>
    <t>FDB90924</t>
  </si>
  <si>
    <t>CUST10965</t>
  </si>
  <si>
    <t>FDB90925</t>
  </si>
  <si>
    <t>CUST12171</t>
  </si>
  <si>
    <t>FDB90926</t>
  </si>
  <si>
    <t>CUST11481</t>
  </si>
  <si>
    <t>FDB90927</t>
  </si>
  <si>
    <t>FDB90928</t>
  </si>
  <si>
    <t>CUST11579</t>
  </si>
  <si>
    <t>FDB90929</t>
  </si>
  <si>
    <t>CUST11996</t>
  </si>
  <si>
    <t>FDB90930</t>
  </si>
  <si>
    <t>CUST10962</t>
  </si>
  <si>
    <t>FDB90931</t>
  </si>
  <si>
    <t>CUST10056</t>
  </si>
  <si>
    <t>FDB90932</t>
  </si>
  <si>
    <t>CUST10087</t>
  </si>
  <si>
    <t>FDB90933</t>
  </si>
  <si>
    <t>CUST12308</t>
  </si>
  <si>
    <t>FDB90934</t>
  </si>
  <si>
    <t>CUST11362</t>
  </si>
  <si>
    <t>FDB90935</t>
  </si>
  <si>
    <t>FDB90936</t>
  </si>
  <si>
    <t>CUST10778</t>
  </si>
  <si>
    <t>FDB90937</t>
  </si>
  <si>
    <t>FDB90938</t>
  </si>
  <si>
    <t>FDB90939</t>
  </si>
  <si>
    <t>FDB90940</t>
  </si>
  <si>
    <t>CUST10526</t>
  </si>
  <si>
    <t>FDB90941</t>
  </si>
  <si>
    <t>FDB90942</t>
  </si>
  <si>
    <t>FDB90943</t>
  </si>
  <si>
    <t>FDB90944</t>
  </si>
  <si>
    <t>FDB90945</t>
  </si>
  <si>
    <t>CUST10873</t>
  </si>
  <si>
    <t>FDB90946</t>
  </si>
  <si>
    <t>FDB90947</t>
  </si>
  <si>
    <t>FDB90948</t>
  </si>
  <si>
    <t>FDB90949</t>
  </si>
  <si>
    <t>CUST10596</t>
  </si>
  <si>
    <t>FDB90950</t>
  </si>
  <si>
    <t>CUST10943</t>
  </si>
  <si>
    <t>FDB90951</t>
  </si>
  <si>
    <t>FDB90952</t>
  </si>
  <si>
    <t>CUST11195</t>
  </si>
  <si>
    <t>FDB90953</t>
  </si>
  <si>
    <t>CUST10601</t>
  </si>
  <si>
    <t>FDB90954</t>
  </si>
  <si>
    <t>CUST11967</t>
  </si>
  <si>
    <t>FDB90955</t>
  </si>
  <si>
    <t>FDB90956</t>
  </si>
  <si>
    <t>FDB90957</t>
  </si>
  <si>
    <t>CUST11074</t>
  </si>
  <si>
    <t>FDB90958</t>
  </si>
  <si>
    <t>FDB90959</t>
  </si>
  <si>
    <t>CUST11430</t>
  </si>
  <si>
    <t>FDB90960</t>
  </si>
  <si>
    <t>FDB90961</t>
  </si>
  <si>
    <t>CUST12287</t>
  </si>
  <si>
    <t>FDB90962</t>
  </si>
  <si>
    <t>CUST10216</t>
  </si>
  <si>
    <t>FDB90963</t>
  </si>
  <si>
    <t>FDB90964</t>
  </si>
  <si>
    <t>CUST10664</t>
  </si>
  <si>
    <t>FDB90965</t>
  </si>
  <si>
    <t>CUST10781</t>
  </si>
  <si>
    <t>FDB90966</t>
  </si>
  <si>
    <t>CUST10199</t>
  </si>
  <si>
    <t>FDB90967</t>
  </si>
  <si>
    <t>CUST10747</t>
  </si>
  <si>
    <t>FDB90968</t>
  </si>
  <si>
    <t>FDB90969</t>
  </si>
  <si>
    <t>FDB90970</t>
  </si>
  <si>
    <t>CUST11092</t>
  </si>
  <si>
    <t>FDB90971</t>
  </si>
  <si>
    <t>CUST11324</t>
  </si>
  <si>
    <t>FDB90972</t>
  </si>
  <si>
    <t>CUST11137</t>
  </si>
  <si>
    <t>FDB90973</t>
  </si>
  <si>
    <t>CUST10707</t>
  </si>
  <si>
    <t>FDB90974</t>
  </si>
  <si>
    <t>FDB90975</t>
  </si>
  <si>
    <t>FDB90976</t>
  </si>
  <si>
    <t>FDB90977</t>
  </si>
  <si>
    <t>CUST10259</t>
  </si>
  <si>
    <t>FDB90978</t>
  </si>
  <si>
    <t>CUST10426</t>
  </si>
  <si>
    <t>FDB90979</t>
  </si>
  <si>
    <t>CUST11067</t>
  </si>
  <si>
    <t>FDB90980</t>
  </si>
  <si>
    <t>CUST11315</t>
  </si>
  <si>
    <t>FDB90981</t>
  </si>
  <si>
    <t>FDB90982</t>
  </si>
  <si>
    <t>CUST10720</t>
  </si>
  <si>
    <t>FDB90983</t>
  </si>
  <si>
    <t>FDB90984</t>
  </si>
  <si>
    <t>FDB90985</t>
  </si>
  <si>
    <t>CUST10841</t>
  </si>
  <si>
    <t>FDB90986</t>
  </si>
  <si>
    <t>CUST12465</t>
  </si>
  <si>
    <t>FDB90987</t>
  </si>
  <si>
    <t>FDB90988</t>
  </si>
  <si>
    <t>CUST10684</t>
  </si>
  <si>
    <t>FDB90989</t>
  </si>
  <si>
    <t>CUST11901</t>
  </si>
  <si>
    <t>FDB90990</t>
  </si>
  <si>
    <t>FDB90991</t>
  </si>
  <si>
    <t>FDB90992</t>
  </si>
  <si>
    <t>CUST11879</t>
  </si>
  <si>
    <t>FDB90993</t>
  </si>
  <si>
    <t>CUST11749</t>
  </si>
  <si>
    <t>FDB90994</t>
  </si>
  <si>
    <t>CUST12003</t>
  </si>
  <si>
    <t>FDB90995</t>
  </si>
  <si>
    <t>CUST12467</t>
  </si>
  <si>
    <t>FDB90996</t>
  </si>
  <si>
    <t>FDB90997</t>
  </si>
  <si>
    <t>CUST10702</t>
  </si>
  <si>
    <t>FDB90998</t>
  </si>
  <si>
    <t>CUST12223</t>
  </si>
  <si>
    <t>FDB90999</t>
  </si>
  <si>
    <t>CUST11520</t>
  </si>
  <si>
    <t>Feedback_Category</t>
  </si>
  <si>
    <t>Rating Group</t>
  </si>
  <si>
    <t>Year</t>
  </si>
  <si>
    <t>08/07/2020</t>
  </si>
  <si>
    <t>01/13/2021</t>
  </si>
  <si>
    <t>02/16/2022</t>
  </si>
  <si>
    <t>02/16/2021</t>
  </si>
  <si>
    <t>04/09/2021</t>
  </si>
  <si>
    <t>01/05/2020</t>
  </si>
  <si>
    <t>11/25/2023</t>
  </si>
  <si>
    <t>02/06/2023</t>
  </si>
  <si>
    <t>02/01/2022</t>
  </si>
  <si>
    <t>02/27/2020</t>
  </si>
  <si>
    <t>02/17/2021</t>
  </si>
  <si>
    <t>11/22/2023</t>
  </si>
  <si>
    <t>05/09/2020</t>
  </si>
  <si>
    <t>10/11/2023</t>
  </si>
  <si>
    <t>01/22/2022</t>
  </si>
  <si>
    <t>11/11/2022</t>
  </si>
  <si>
    <t>02/08/2022</t>
  </si>
  <si>
    <t>11/28/2021</t>
  </si>
  <si>
    <t>09/08/2022</t>
  </si>
  <si>
    <t>09/12/2022</t>
  </si>
  <si>
    <t>03/02/2022</t>
  </si>
  <si>
    <t>06/24/2022</t>
  </si>
  <si>
    <t>04/08/2022</t>
  </si>
  <si>
    <t>01/20/2023</t>
  </si>
  <si>
    <t>02/17/2020</t>
  </si>
  <si>
    <t>08/11/2021</t>
  </si>
  <si>
    <t>06/19/2023</t>
  </si>
  <si>
    <t>12/14/2020</t>
  </si>
  <si>
    <t>01/23/2022</t>
  </si>
  <si>
    <t>12/25/2020</t>
  </si>
  <si>
    <t>08/09/2022</t>
  </si>
  <si>
    <t>02/25/2021</t>
  </si>
  <si>
    <t>11/20/2020</t>
  </si>
  <si>
    <t>04/19/2021</t>
  </si>
  <si>
    <t>03/16/2021</t>
  </si>
  <si>
    <t>02/24/2020</t>
  </si>
  <si>
    <t>01/16/2023</t>
  </si>
  <si>
    <t>05/12/2023</t>
  </si>
  <si>
    <t>10/25/2022</t>
  </si>
  <si>
    <t>01/07/2022</t>
  </si>
  <si>
    <t>09/06/2020</t>
  </si>
  <si>
    <t>01/09/2021</t>
  </si>
  <si>
    <t>07/16/2023</t>
  </si>
  <si>
    <t>08/05/2021</t>
  </si>
  <si>
    <t>03/05/2023</t>
  </si>
  <si>
    <t>08/14/2020</t>
  </si>
  <si>
    <t>10/23/2023</t>
  </si>
  <si>
    <t>09/01/2020</t>
  </si>
  <si>
    <t>06/07/2021</t>
  </si>
  <si>
    <t>02/11/2021</t>
  </si>
  <si>
    <t>08/22/2023</t>
  </si>
  <si>
    <t>09/30/2020</t>
  </si>
  <si>
    <t>08/28/2020</t>
  </si>
  <si>
    <t>06/07/2023</t>
  </si>
  <si>
    <t>03/03/2023</t>
  </si>
  <si>
    <t>07/26/2023</t>
  </si>
  <si>
    <t>02/05/2022</t>
  </si>
  <si>
    <t>09/11/2020</t>
  </si>
  <si>
    <t>07/28/2022</t>
  </si>
  <si>
    <t>09/09/2020</t>
  </si>
  <si>
    <t>11/09/2022</t>
  </si>
  <si>
    <t>03/24/2021</t>
  </si>
  <si>
    <t>07/13/2023</t>
  </si>
  <si>
    <t>07/22/2023</t>
  </si>
  <si>
    <t>06/25/2021</t>
  </si>
  <si>
    <t>05/04/2023</t>
  </si>
  <si>
    <t>12/13/2020</t>
  </si>
  <si>
    <t>01/07/2021</t>
  </si>
  <si>
    <t>10/16/2021</t>
  </si>
  <si>
    <t>03/18/2020</t>
  </si>
  <si>
    <t>07/15/2022</t>
  </si>
  <si>
    <t>07/06/2022</t>
  </si>
  <si>
    <t>11/07/2023</t>
  </si>
  <si>
    <t>03/17/2021</t>
  </si>
  <si>
    <t>07/06/2023</t>
  </si>
  <si>
    <t>12/30/2021</t>
  </si>
  <si>
    <t>09/15/2020</t>
  </si>
  <si>
    <t>07/06/2021</t>
  </si>
  <si>
    <t>10/03/2022</t>
  </si>
  <si>
    <t>04/27/2022</t>
  </si>
  <si>
    <t>09/29/2023</t>
  </si>
  <si>
    <t>08/26/2020</t>
  </si>
  <si>
    <t>02/10/2020</t>
  </si>
  <si>
    <t>11/10/2021</t>
  </si>
  <si>
    <t>03/10/2022</t>
  </si>
  <si>
    <t>07/12/2021</t>
  </si>
  <si>
    <t>08/25/2021</t>
  </si>
  <si>
    <t>02/14/2023</t>
  </si>
  <si>
    <t>02/02/2022</t>
  </si>
  <si>
    <t>10/07/2023</t>
  </si>
  <si>
    <t>02/11/2020</t>
  </si>
  <si>
    <t>09/15/2023</t>
  </si>
  <si>
    <t>05/27/2020</t>
  </si>
  <si>
    <t>05/06/2022</t>
  </si>
  <si>
    <t>07/05/2023</t>
  </si>
  <si>
    <t>10/08/2020</t>
  </si>
  <si>
    <t>01/11/2022</t>
  </si>
  <si>
    <t>11/18/2022</t>
  </si>
  <si>
    <t>06/01/2020</t>
  </si>
  <si>
    <t>09/17/2020</t>
  </si>
  <si>
    <t>04/22/2020</t>
  </si>
  <si>
    <t>03/20/2021</t>
  </si>
  <si>
    <t>01/25/2020</t>
  </si>
  <si>
    <t>04/18/2020</t>
  </si>
  <si>
    <t>12/30/2020</t>
  </si>
  <si>
    <t>07/28/2021</t>
  </si>
  <si>
    <t>07/13/2021</t>
  </si>
  <si>
    <t>07/26/2020</t>
  </si>
  <si>
    <t>06/06/2022</t>
  </si>
  <si>
    <t>11/13/2020</t>
  </si>
  <si>
    <t>06/17/2021</t>
  </si>
  <si>
    <t>10/10/2020</t>
  </si>
  <si>
    <t>01/09/2023</t>
  </si>
  <si>
    <t>05/06/2021</t>
  </si>
  <si>
    <t>10/25/2021</t>
  </si>
  <si>
    <t>10/27/2021</t>
  </si>
  <si>
    <t>05/28/2023</t>
  </si>
  <si>
    <t>01/04/2021</t>
  </si>
  <si>
    <t>06/17/2023</t>
  </si>
  <si>
    <t>11/24/2023</t>
  </si>
  <si>
    <t>06/21/2021</t>
  </si>
  <si>
    <t>04/29/2020</t>
  </si>
  <si>
    <t>09/04/2023</t>
  </si>
  <si>
    <t>02/13/2023</t>
  </si>
  <si>
    <t>11/05/2022</t>
  </si>
  <si>
    <t>03/05/2020</t>
  </si>
  <si>
    <t>12/17/2022</t>
  </si>
  <si>
    <t>08/06/2021</t>
  </si>
  <si>
    <t>08/10/2023</t>
  </si>
  <si>
    <t>10/09/2021</t>
  </si>
  <si>
    <t>08/20/2022</t>
  </si>
  <si>
    <t>06/04/2020</t>
  </si>
  <si>
    <t>08/03/2023</t>
  </si>
  <si>
    <t>12/31/2021</t>
  </si>
  <si>
    <t>10/25/2023</t>
  </si>
  <si>
    <t>08/08/2023</t>
  </si>
  <si>
    <t>01/01/2021</t>
  </si>
  <si>
    <t>06/09/2020</t>
  </si>
  <si>
    <t>01/03/2023</t>
  </si>
  <si>
    <t>10/20/2020</t>
  </si>
  <si>
    <t>04/30/2021</t>
  </si>
  <si>
    <t>06/30/2020</t>
  </si>
  <si>
    <t>11/14/2023</t>
  </si>
  <si>
    <t>03/25/2021</t>
  </si>
  <si>
    <t>08/22/2020</t>
  </si>
  <si>
    <t>03/21/2020</t>
  </si>
  <si>
    <t>08/26/2022</t>
  </si>
  <si>
    <t>06/29/2023</t>
  </si>
  <si>
    <t>10/22/2020</t>
  </si>
  <si>
    <t>10/28/2023</t>
  </si>
  <si>
    <t>10/13/2021</t>
  </si>
  <si>
    <t>01/24/2022</t>
  </si>
  <si>
    <t>04/29/2023</t>
  </si>
  <si>
    <t>02/03/2022</t>
  </si>
  <si>
    <t>09/22/2022</t>
  </si>
  <si>
    <t>08/19/2022</t>
  </si>
  <si>
    <t>01/31/2023</t>
  </si>
  <si>
    <t>11/15/2020</t>
  </si>
  <si>
    <t>05/19/2023</t>
  </si>
  <si>
    <t>11/10/2023</t>
  </si>
  <si>
    <t>12/12/2020</t>
  </si>
  <si>
    <t>01/15/2023</t>
  </si>
  <si>
    <t>01/07/2020</t>
  </si>
  <si>
    <t>05/31/2023</t>
  </si>
  <si>
    <t>10/06/2023</t>
  </si>
  <si>
    <t>08/31/2021</t>
  </si>
  <si>
    <t>10/28/2021</t>
  </si>
  <si>
    <t>05/02/2022</t>
  </si>
  <si>
    <t>10/01/2021</t>
  </si>
  <si>
    <t>09/25/2021</t>
  </si>
  <si>
    <t>07/06/2020</t>
  </si>
  <si>
    <t>09/24/2022</t>
  </si>
  <si>
    <t>06/28/2021</t>
  </si>
  <si>
    <t>05/21/2022</t>
  </si>
  <si>
    <t>10/22/2022</t>
  </si>
  <si>
    <t>09/26/2020</t>
  </si>
  <si>
    <t>06/17/2022</t>
  </si>
  <si>
    <t>09/04/2022</t>
  </si>
  <si>
    <t>08/04/2022</t>
  </si>
  <si>
    <t>03/12/2022</t>
  </si>
  <si>
    <t>12/05/2022</t>
  </si>
  <si>
    <t>03/14/2020</t>
  </si>
  <si>
    <t>07/09/2021</t>
  </si>
  <si>
    <t>05/18/2020</t>
  </si>
  <si>
    <t>10/17/2020</t>
  </si>
  <si>
    <t>11/17/2022</t>
  </si>
  <si>
    <t>10/31/2022</t>
  </si>
  <si>
    <t>10/07/2021</t>
  </si>
  <si>
    <t>12/06/2023</t>
  </si>
  <si>
    <t>04/12/2021</t>
  </si>
  <si>
    <t>02/25/2022</t>
  </si>
  <si>
    <t>09/30/2023</t>
  </si>
  <si>
    <t>01/16/2020</t>
  </si>
  <si>
    <t>11/20/2023</t>
  </si>
  <si>
    <t>05/10/2020</t>
  </si>
  <si>
    <t>10/31/2020</t>
  </si>
  <si>
    <t>02/27/2022</t>
  </si>
  <si>
    <t>10/04/2023</t>
  </si>
  <si>
    <t>02/19/2023</t>
  </si>
  <si>
    <t>09/08/2021</t>
  </si>
  <si>
    <t>11/26/2021</t>
  </si>
  <si>
    <t>07/18/2020</t>
  </si>
  <si>
    <t>11/02/2021</t>
  </si>
  <si>
    <t>08/29/2023</t>
  </si>
  <si>
    <t>02/27/2021</t>
  </si>
  <si>
    <t>04/26/2021</t>
  </si>
  <si>
    <t>08/02/2022</t>
  </si>
  <si>
    <t>06/11/2022</t>
  </si>
  <si>
    <t>01/27/2022</t>
  </si>
  <si>
    <t>11/22/2021</t>
  </si>
  <si>
    <t>02/28/2022</t>
  </si>
  <si>
    <t>04/29/2021</t>
  </si>
  <si>
    <t>06/27/2023</t>
  </si>
  <si>
    <t>05/25/2020</t>
  </si>
  <si>
    <t>02/19/2021</t>
  </si>
  <si>
    <t>06/02/2022</t>
  </si>
  <si>
    <t>01/23/2021</t>
  </si>
  <si>
    <t>07/22/2020</t>
  </si>
  <si>
    <t>11/27/2023</t>
  </si>
  <si>
    <t>11/13/2022</t>
  </si>
  <si>
    <t>01/28/2022</t>
  </si>
  <si>
    <t>06/05/2020</t>
  </si>
  <si>
    <t>09/19/2023</t>
  </si>
  <si>
    <t>01/20/2021</t>
  </si>
  <si>
    <t>02/06/2020</t>
  </si>
  <si>
    <t>08/30/2020</t>
  </si>
  <si>
    <t>10/12/2021</t>
  </si>
  <si>
    <t>01/26/2022</t>
  </si>
  <si>
    <t>07/14/2022</t>
  </si>
  <si>
    <t>07/25/2022</t>
  </si>
  <si>
    <t>12/31/2020</t>
  </si>
  <si>
    <t>12/20/2022</t>
  </si>
  <si>
    <t>03/27/2023</t>
  </si>
  <si>
    <t>10/23/2020</t>
  </si>
  <si>
    <t>02/05/2023</t>
  </si>
  <si>
    <t>03/03/2022</t>
  </si>
  <si>
    <t>10/10/2023</t>
  </si>
  <si>
    <t>01/01/2022</t>
  </si>
  <si>
    <t>08/06/2020</t>
  </si>
  <si>
    <t>01/08/2023</t>
  </si>
  <si>
    <t>05/09/2021</t>
  </si>
  <si>
    <t>08/28/2023</t>
  </si>
  <si>
    <t>05/26/2020</t>
  </si>
  <si>
    <t>04/15/2022</t>
  </si>
  <si>
    <t>03/07/2022</t>
  </si>
  <si>
    <t>12/10/2022</t>
  </si>
  <si>
    <t>09/16/2022</t>
  </si>
  <si>
    <t>06/09/2021</t>
  </si>
  <si>
    <t>08/04/2023</t>
  </si>
  <si>
    <t>12/19/2021</t>
  </si>
  <si>
    <t>04/17/2023</t>
  </si>
  <si>
    <t>08/14/2021</t>
  </si>
  <si>
    <t>12/29/2022</t>
  </si>
  <si>
    <t>10/12/2022</t>
  </si>
  <si>
    <t>06/04/2022</t>
  </si>
  <si>
    <t>07/25/2023</t>
  </si>
  <si>
    <t>04/06/2020</t>
  </si>
  <si>
    <t>12/04/2023</t>
  </si>
  <si>
    <t>05/17/2022</t>
  </si>
  <si>
    <t>09/01/2021</t>
  </si>
  <si>
    <t>11/23/2021</t>
  </si>
  <si>
    <t>07/01/2020</t>
  </si>
  <si>
    <t>04/25/2021</t>
  </si>
  <si>
    <t>12/02/2022</t>
  </si>
  <si>
    <t>12/10/2023</t>
  </si>
  <si>
    <t>11/09/2023</t>
  </si>
  <si>
    <t>01/31/2022</t>
  </si>
  <si>
    <t>07/03/2020</t>
  </si>
  <si>
    <t>09/13/2021</t>
  </si>
  <si>
    <t>07/07/2020</t>
  </si>
  <si>
    <t>06/08/2021</t>
  </si>
  <si>
    <t>07/30/2020</t>
  </si>
  <si>
    <t>12/12/2022</t>
  </si>
  <si>
    <t>12/01/2023</t>
  </si>
  <si>
    <t>06/22/2021</t>
  </si>
  <si>
    <t>08/01/2020</t>
  </si>
  <si>
    <t>08/25/2022</t>
  </si>
  <si>
    <t>08/01/2022</t>
  </si>
  <si>
    <t>07/07/2022</t>
  </si>
  <si>
    <t>09/10/2020</t>
  </si>
  <si>
    <t>05/22/2021</t>
  </si>
  <si>
    <t>07/07/2021</t>
  </si>
  <si>
    <t>04/21/2023</t>
  </si>
  <si>
    <t>10/20/2023</t>
  </si>
  <si>
    <t>12/28/2022</t>
  </si>
  <si>
    <t>02/28/2023</t>
  </si>
  <si>
    <t>11/01/2022</t>
  </si>
  <si>
    <t>06/16/2021</t>
  </si>
  <si>
    <t>11/03/2020</t>
  </si>
  <si>
    <t>04/24/2023</t>
  </si>
  <si>
    <t>05/21/2020</t>
  </si>
  <si>
    <t>03/18/2023</t>
  </si>
  <si>
    <t>04/06/2023</t>
  </si>
  <si>
    <t>07/12/2023</t>
  </si>
  <si>
    <t>03/26/2023</t>
  </si>
  <si>
    <t>01/27/2020</t>
  </si>
  <si>
    <t>10/24/2023</t>
  </si>
  <si>
    <t>09/13/2022</t>
  </si>
  <si>
    <t>11/16/2023</t>
  </si>
  <si>
    <t>02/16/2020</t>
  </si>
  <si>
    <t>11/09/2021</t>
  </si>
  <si>
    <t>11/01/2020</t>
  </si>
  <si>
    <t>07/16/2022</t>
  </si>
  <si>
    <t>01/29/2021</t>
  </si>
  <si>
    <t>01/01/2023</t>
  </si>
  <si>
    <t>05/27/2023</t>
  </si>
  <si>
    <t>12/19/2022</t>
  </si>
  <si>
    <t>08/11/2020</t>
  </si>
  <si>
    <t>10/07/2020</t>
  </si>
  <si>
    <t>11/06/2021</t>
  </si>
  <si>
    <t>12/11/2020</t>
  </si>
  <si>
    <t>12/30/2022</t>
  </si>
  <si>
    <t>01/22/2020</t>
  </si>
  <si>
    <t>02/21/2023</t>
  </si>
  <si>
    <t>11/11/2023</t>
  </si>
  <si>
    <t>10/27/2023</t>
  </si>
  <si>
    <t>07/25/2020</t>
  </si>
  <si>
    <t>04/14/2022</t>
  </si>
  <si>
    <t>07/20/2020</t>
  </si>
  <si>
    <t>10/05/2023</t>
  </si>
  <si>
    <t>02/22/2020</t>
  </si>
  <si>
    <t>11/19/2020</t>
  </si>
  <si>
    <t>01/11/2023</t>
  </si>
  <si>
    <t>10/10/2022</t>
  </si>
  <si>
    <t>03/14/2022</t>
  </si>
  <si>
    <t>04/03/2021</t>
  </si>
  <si>
    <t>06/04/2023</t>
  </si>
  <si>
    <t>08/23/2021</t>
  </si>
  <si>
    <t>09/21/2022</t>
  </si>
  <si>
    <t>05/02/2023</t>
  </si>
  <si>
    <t>03/04/2021</t>
  </si>
  <si>
    <t>10/12/2023</t>
  </si>
  <si>
    <t>09/22/2023</t>
  </si>
  <si>
    <t>01/25/2021</t>
  </si>
  <si>
    <t>06/03/2023</t>
  </si>
  <si>
    <t>06/16/2023</t>
  </si>
  <si>
    <t>09/24/2020</t>
  </si>
  <si>
    <t>12/04/2020</t>
  </si>
  <si>
    <t>01/27/2023</t>
  </si>
  <si>
    <t>05/04/2020</t>
  </si>
  <si>
    <t>12/06/2021</t>
  </si>
  <si>
    <t>10/16/2020</t>
  </si>
  <si>
    <t>11/30/2022</t>
  </si>
  <si>
    <t>10/15/2021</t>
  </si>
  <si>
    <t>01/12/2023</t>
  </si>
  <si>
    <t>06/02/2023</t>
  </si>
  <si>
    <t>08/02/2021</t>
  </si>
  <si>
    <t>06/08/2022</t>
  </si>
  <si>
    <t>10/25/2020</t>
  </si>
  <si>
    <t>10/04/2021</t>
  </si>
  <si>
    <t>04/06/2021</t>
  </si>
  <si>
    <t>06/06/2023</t>
  </si>
  <si>
    <t>12/29/2023</t>
  </si>
  <si>
    <t>06/13/2021</t>
  </si>
  <si>
    <t>06/14/2022</t>
  </si>
  <si>
    <t>06/10/2021</t>
  </si>
  <si>
    <t>08/30/2021</t>
  </si>
  <si>
    <t>07/27/2021</t>
  </si>
  <si>
    <t>01/08/2021</t>
  </si>
  <si>
    <t>11/28/2023</t>
  </si>
  <si>
    <t>01/11/2021</t>
  </si>
  <si>
    <t>09/28/2023</t>
  </si>
  <si>
    <t>05/13/2023</t>
  </si>
  <si>
    <t>06/13/2023</t>
  </si>
  <si>
    <t>06/23/2022</t>
  </si>
  <si>
    <t>02/07/2021</t>
  </si>
  <si>
    <t>08/02/2020</t>
  </si>
  <si>
    <t>05/16/2021</t>
  </si>
  <si>
    <t>05/22/2022</t>
  </si>
  <si>
    <t>10/22/2023</t>
  </si>
  <si>
    <t>03/24/2020</t>
  </si>
  <si>
    <t>04/06/2022</t>
  </si>
  <si>
    <t>06/26/2022</t>
  </si>
  <si>
    <t>08/29/2022</t>
  </si>
  <si>
    <t>09/07/2020</t>
  </si>
  <si>
    <t>10/08/2021</t>
  </si>
  <si>
    <t>03/24/2022</t>
  </si>
  <si>
    <t>11/27/2021</t>
  </si>
  <si>
    <t>06/21/2020</t>
  </si>
  <si>
    <t>07/30/2022</t>
  </si>
  <si>
    <t>08/03/2021</t>
  </si>
  <si>
    <t>10/27/2022</t>
  </si>
  <si>
    <t>01/15/2021</t>
  </si>
  <si>
    <t>06/28/2022</t>
  </si>
  <si>
    <t>08/25/2020</t>
  </si>
  <si>
    <t>09/05/2022</t>
  </si>
  <si>
    <t>01/26/2023</t>
  </si>
  <si>
    <t>06/05/2023</t>
  </si>
  <si>
    <t>02/21/2022</t>
  </si>
  <si>
    <t>12/07/2022</t>
  </si>
  <si>
    <t>05/28/2022</t>
  </si>
  <si>
    <t>09/16/2023</t>
  </si>
  <si>
    <t>04/19/2022</t>
  </si>
  <si>
    <t>09/27/2022</t>
  </si>
  <si>
    <t>09/26/2023</t>
  </si>
  <si>
    <t>07/02/2022</t>
  </si>
  <si>
    <t>11/16/2020</t>
  </si>
  <si>
    <t>02/04/2021</t>
  </si>
  <si>
    <t>07/21/2022</t>
  </si>
  <si>
    <t>02/24/2023</t>
  </si>
  <si>
    <t>02/04/2020</t>
  </si>
  <si>
    <t>05/04/2021</t>
  </si>
  <si>
    <t>08/18/2023</t>
  </si>
  <si>
    <t>01/17/2023</t>
  </si>
  <si>
    <t>11/13/2023</t>
  </si>
  <si>
    <t>05/03/2022</t>
  </si>
  <si>
    <t>01/28/2020</t>
  </si>
  <si>
    <t>03/12/2021</t>
  </si>
  <si>
    <t>07/02/2021</t>
  </si>
  <si>
    <t>04/11/2022</t>
  </si>
  <si>
    <t>02/15/2021</t>
  </si>
  <si>
    <t>01/31/2021</t>
  </si>
  <si>
    <t>11/20/2022</t>
  </si>
  <si>
    <t>09/06/2022</t>
  </si>
  <si>
    <t>12/21/2023</t>
  </si>
  <si>
    <t>04/23/2023</t>
  </si>
  <si>
    <t>01/07/2023</t>
  </si>
  <si>
    <t>01/13/2023</t>
  </si>
  <si>
    <t>09/27/2020</t>
  </si>
  <si>
    <t>03/14/2021</t>
  </si>
  <si>
    <t>11/24/2022</t>
  </si>
  <si>
    <t>06/18/2023</t>
  </si>
  <si>
    <t>05/11/2021</t>
  </si>
  <si>
    <t>03/21/2022</t>
  </si>
  <si>
    <t>07/05/2022</t>
  </si>
  <si>
    <t>10/17/2023</t>
  </si>
  <si>
    <t>05/03/2021</t>
  </si>
  <si>
    <t>07/04/2022</t>
  </si>
  <si>
    <t>09/25/2022</t>
  </si>
  <si>
    <t>12/22/2022</t>
  </si>
  <si>
    <t>03/09/2020</t>
  </si>
  <si>
    <t>09/26/2021</t>
  </si>
  <si>
    <t>08/21/2022</t>
  </si>
  <si>
    <t>01/31/2020</t>
  </si>
  <si>
    <t>06/12/2022</t>
  </si>
  <si>
    <t>08/12/2023</t>
  </si>
  <si>
    <t>09/03/2023</t>
  </si>
  <si>
    <t>01/12/2022</t>
  </si>
  <si>
    <t>02/08/2020</t>
  </si>
  <si>
    <t>11/22/2020</t>
  </si>
  <si>
    <t>02/08/2021</t>
  </si>
  <si>
    <t>07/10/2021</t>
  </si>
  <si>
    <t>08/20/2021</t>
  </si>
  <si>
    <t>12/09/2021</t>
  </si>
  <si>
    <t>05/27/2022</t>
  </si>
  <si>
    <t>04/21/2020</t>
  </si>
  <si>
    <t>01/30/2020</t>
  </si>
  <si>
    <t>11/30/2021</t>
  </si>
  <si>
    <t>07/12/2022</t>
  </si>
  <si>
    <t>12/14/2021</t>
  </si>
  <si>
    <t>11/12/2022</t>
  </si>
  <si>
    <t>04/11/2020</t>
  </si>
  <si>
    <t>03/26/2021</t>
  </si>
  <si>
    <t>11/18/2021</t>
  </si>
  <si>
    <t>03/18/2021</t>
  </si>
  <si>
    <t>04/18/2021</t>
  </si>
  <si>
    <t>10/11/2022</t>
  </si>
  <si>
    <t>09/24/2023</t>
  </si>
  <si>
    <t>12/13/2021</t>
  </si>
  <si>
    <t>01/16/2021</t>
  </si>
  <si>
    <t>02/17/2023</t>
  </si>
  <si>
    <t>12/20/2020</t>
  </si>
  <si>
    <t>12/10/2021</t>
  </si>
  <si>
    <t>05/16/2023</t>
  </si>
  <si>
    <t>06/18/2020</t>
  </si>
  <si>
    <t>04/01/2022</t>
  </si>
  <si>
    <t>04/28/2022</t>
  </si>
  <si>
    <t>02/03/2023</t>
  </si>
  <si>
    <t>03/13/2021</t>
  </si>
  <si>
    <t>07/16/2020</t>
  </si>
  <si>
    <t>09/15/2022</t>
  </si>
  <si>
    <t>05/15/2020</t>
  </si>
  <si>
    <t>05/08/2022</t>
  </si>
  <si>
    <t>04/27/2023</t>
  </si>
  <si>
    <t>04/07/2021</t>
  </si>
  <si>
    <t>05/17/2021</t>
  </si>
  <si>
    <t>12/31/2023</t>
  </si>
  <si>
    <t>12/05/2021</t>
  </si>
  <si>
    <t>05/24/2020</t>
  </si>
  <si>
    <t>08/11/2022</t>
  </si>
  <si>
    <t>05/01/2023</t>
  </si>
  <si>
    <t>03/18/2022</t>
  </si>
  <si>
    <t>03/21/2023</t>
  </si>
  <si>
    <t>11/06/2023</t>
  </si>
  <si>
    <t>06/07/2022</t>
  </si>
  <si>
    <t>02/11/2023</t>
  </si>
  <si>
    <t>08/15/2023</t>
  </si>
  <si>
    <t>01/28/2023</t>
  </si>
  <si>
    <t>10/28/2022</t>
  </si>
  <si>
    <t>11/25/2021</t>
  </si>
  <si>
    <t>09/23/2020</t>
  </si>
  <si>
    <t>03/20/2022</t>
  </si>
  <si>
    <t>05/15/2023</t>
  </si>
  <si>
    <t>04/23/2021</t>
  </si>
  <si>
    <t>07/09/2020</t>
  </si>
  <si>
    <t>06/11/2020</t>
  </si>
  <si>
    <t>10/14/2023</t>
  </si>
  <si>
    <t>03/23/2023</t>
  </si>
  <si>
    <t>05/23/2022</t>
  </si>
  <si>
    <t>11/06/2020</t>
  </si>
  <si>
    <t>08/17/2021</t>
  </si>
  <si>
    <t>12/18/2021</t>
  </si>
  <si>
    <t>06/19/2022</t>
  </si>
  <si>
    <t>01/17/2022</t>
  </si>
  <si>
    <t>12/18/2022</t>
  </si>
  <si>
    <t>06/06/2021</t>
  </si>
  <si>
    <t>08/31/2022</t>
  </si>
  <si>
    <t>10/23/2022</t>
  </si>
  <si>
    <t>01/06/2022</t>
  </si>
  <si>
    <t>05/17/2023</t>
  </si>
  <si>
    <t>04/26/2020</t>
  </si>
  <si>
    <t>09/03/2022</t>
  </si>
  <si>
    <t>08/05/2020</t>
  </si>
  <si>
    <t>04/26/2023</t>
  </si>
  <si>
    <t>01/09/2020</t>
  </si>
  <si>
    <t>02/24/2021</t>
  </si>
  <si>
    <t>07/21/2023</t>
  </si>
  <si>
    <t>11/02/2022</t>
  </si>
  <si>
    <t>04/13/2022</t>
  </si>
  <si>
    <t>04/19/2023</t>
  </si>
  <si>
    <t>04/16/2020</t>
  </si>
  <si>
    <t>07/27/2020</t>
  </si>
  <si>
    <t>03/04/2020</t>
  </si>
  <si>
    <t>06/15/2020</t>
  </si>
  <si>
    <t>07/31/2021</t>
  </si>
  <si>
    <t>11/04/2023</t>
  </si>
  <si>
    <t>03/19/2021</t>
  </si>
  <si>
    <t>02/20/2021</t>
  </si>
  <si>
    <t>08/07/2021</t>
  </si>
  <si>
    <t>06/22/2023</t>
  </si>
  <si>
    <t>08/05/2023</t>
  </si>
  <si>
    <t>01/26/2020</t>
  </si>
  <si>
    <t>07/29/2022</t>
  </si>
  <si>
    <t>02/21/2021</t>
  </si>
  <si>
    <t>10/03/2021</t>
  </si>
  <si>
    <t>08/12/2022</t>
  </si>
  <si>
    <t>03/23/2022</t>
  </si>
  <si>
    <t>09/03/2020</t>
  </si>
  <si>
    <t>05/29/2020</t>
  </si>
  <si>
    <t>04/05/2020</t>
  </si>
  <si>
    <t>10/02/2020</t>
  </si>
  <si>
    <t>12/27/2021</t>
  </si>
  <si>
    <t>09/20/2023</t>
  </si>
  <si>
    <t>10/08/2022</t>
  </si>
  <si>
    <t>01/13/2020</t>
  </si>
  <si>
    <t>08/26/2021</t>
  </si>
  <si>
    <t>11/13/2021</t>
  </si>
  <si>
    <t>03/22/2020</t>
  </si>
  <si>
    <t>06/23/2023</t>
  </si>
  <si>
    <t>02/12/2023</t>
  </si>
  <si>
    <t>06/20/2021</t>
  </si>
  <si>
    <t>09/04/2021</t>
  </si>
  <si>
    <t>07/15/2020</t>
  </si>
  <si>
    <t>01/29/2023</t>
  </si>
  <si>
    <t>02/09/2023</t>
  </si>
  <si>
    <t>03/16/2020</t>
  </si>
  <si>
    <t>05/10/2022</t>
  </si>
  <si>
    <t>01/06/2021</t>
  </si>
  <si>
    <t>05/06/2023</t>
  </si>
  <si>
    <t>09/18/2020</t>
  </si>
  <si>
    <t>04/09/2020</t>
  </si>
  <si>
    <t>01/14/2021</t>
  </si>
  <si>
    <t>12/11/2022</t>
  </si>
  <si>
    <t>06/27/2020</t>
  </si>
  <si>
    <t>10/29/2023</t>
  </si>
  <si>
    <t>05/03/2020</t>
  </si>
  <si>
    <t>12/12/2023</t>
  </si>
  <si>
    <t>05/16/2020</t>
  </si>
  <si>
    <t>10/23/2021</t>
  </si>
  <si>
    <t>11/26/2020</t>
  </si>
  <si>
    <t>12/07/2020</t>
  </si>
  <si>
    <t>10/06/2022</t>
  </si>
  <si>
    <t>02/20/2022</t>
  </si>
  <si>
    <t>05/11/2020</t>
  </si>
  <si>
    <t>08/28/2021</t>
  </si>
  <si>
    <t>12/25/2021</t>
  </si>
  <si>
    <t>09/14/2023</t>
  </si>
  <si>
    <t>03/28/2023</t>
  </si>
  <si>
    <t>03/12/2020</t>
  </si>
  <si>
    <t>07/13/2022</t>
  </si>
  <si>
    <t>05/26/2021</t>
  </si>
  <si>
    <t>12/15/2021</t>
  </si>
  <si>
    <t>02/23/2023</t>
  </si>
  <si>
    <t>05/07/2020</t>
  </si>
  <si>
    <t>11/01/2021</t>
  </si>
  <si>
    <t>03/29/2022</t>
  </si>
  <si>
    <t>05/07/2023</t>
  </si>
  <si>
    <t>01/24/2021</t>
  </si>
  <si>
    <t>03/31/2023</t>
  </si>
  <si>
    <t>09/03/2021</t>
  </si>
  <si>
    <t>04/29/2022</t>
  </si>
  <si>
    <t>04/16/2022</t>
  </si>
  <si>
    <t>01/04/2020</t>
  </si>
  <si>
    <t>07/31/2023</t>
  </si>
  <si>
    <t>01/23/2020</t>
  </si>
  <si>
    <t>12/21/2020</t>
  </si>
  <si>
    <t>03/13/2023</t>
  </si>
  <si>
    <t>11/04/2021</t>
  </si>
  <si>
    <t>05/23/2021</t>
  </si>
  <si>
    <t>03/22/2021</t>
  </si>
  <si>
    <t>12/20/2023</t>
  </si>
  <si>
    <t>02/10/2023</t>
  </si>
  <si>
    <t>04/23/2020</t>
  </si>
  <si>
    <t>08/08/2020</t>
  </si>
  <si>
    <t>04/08/2020</t>
  </si>
  <si>
    <t>02/02/2020</t>
  </si>
  <si>
    <t>07/19/2023</t>
  </si>
  <si>
    <t>07/20/2023</t>
  </si>
  <si>
    <t>06/21/2023</t>
  </si>
  <si>
    <t>11/04/2022</t>
  </si>
  <si>
    <t>02/14/2020</t>
  </si>
  <si>
    <t>02/28/2021</t>
  </si>
  <si>
    <t>02/12/2022</t>
  </si>
  <si>
    <t>01/03/2020</t>
  </si>
  <si>
    <t>08/15/2022</t>
  </si>
  <si>
    <t>04/22/2021</t>
  </si>
  <si>
    <t>01/14/2022</t>
  </si>
  <si>
    <t>10/05/2022</t>
  </si>
  <si>
    <t>04/04/2022</t>
  </si>
  <si>
    <t>03/07/2020</t>
  </si>
  <si>
    <t>08/13/2023</t>
  </si>
  <si>
    <t>04/09/2023</t>
  </si>
  <si>
    <t>01/13/2022</t>
  </si>
  <si>
    <t>06/10/2020</t>
  </si>
  <si>
    <t>12/27/2020</t>
  </si>
  <si>
    <t>08/07/2023</t>
  </si>
  <si>
    <t>11/29/2022</t>
  </si>
  <si>
    <t>10/09/2022</t>
  </si>
  <si>
    <t>07/25/2021</t>
  </si>
  <si>
    <t>08/16/2021</t>
  </si>
  <si>
    <t>01/18/2022</t>
  </si>
  <si>
    <t>09/01/2022</t>
  </si>
  <si>
    <t>08/16/2023</t>
  </si>
  <si>
    <t>07/11/2021</t>
  </si>
  <si>
    <t>12/09/2020</t>
  </si>
  <si>
    <t>08/24/2020</t>
  </si>
  <si>
    <t>04/20/2021</t>
  </si>
  <si>
    <t>01/04/2023</t>
  </si>
  <si>
    <t>02/09/2021</t>
  </si>
  <si>
    <t>02/02/2023</t>
  </si>
  <si>
    <t>11/16/2022</t>
  </si>
  <si>
    <t>10/30/2023</t>
  </si>
  <si>
    <t>04/03/2020</t>
  </si>
  <si>
    <t>10/17/2022</t>
  </si>
  <si>
    <t>02/25/2023</t>
  </si>
  <si>
    <t>09/20/2021</t>
  </si>
  <si>
    <t>08/08/2021</t>
  </si>
  <si>
    <t>12/12/2021</t>
  </si>
  <si>
    <t>08/22/2021</t>
  </si>
  <si>
    <t>08/23/2020</t>
  </si>
  <si>
    <t>04/15/2023</t>
  </si>
  <si>
    <t>07/23/2021</t>
  </si>
  <si>
    <t>04/02/2021</t>
  </si>
  <si>
    <t>03/10/2021</t>
  </si>
  <si>
    <t>03/25/2020</t>
  </si>
  <si>
    <t>08/09/2021</t>
  </si>
  <si>
    <t>10/05/2020</t>
  </si>
  <si>
    <t>07/24/2020</t>
  </si>
  <si>
    <t>09/17/2021</t>
  </si>
  <si>
    <t>02/21/2020</t>
  </si>
  <si>
    <t>12/04/2021</t>
  </si>
  <si>
    <t>09/18/2021</t>
  </si>
  <si>
    <t>10/27/2020</t>
  </si>
  <si>
    <t>02/22/2021</t>
  </si>
  <si>
    <t>07/08/2020</t>
  </si>
  <si>
    <t>03/08/2022</t>
  </si>
  <si>
    <t>06/29/2022</t>
  </si>
  <si>
    <t>06/28/2023</t>
  </si>
  <si>
    <t>11/20/2021</t>
  </si>
  <si>
    <t>03/06/2020</t>
  </si>
  <si>
    <t>12/24/2020</t>
  </si>
  <si>
    <t>01/02/2020</t>
  </si>
  <si>
    <t>08/04/2021</t>
  </si>
  <si>
    <t>10/02/2021</t>
  </si>
  <si>
    <t>07/03/2023</t>
  </si>
  <si>
    <t>09/20/2020</t>
  </si>
  <si>
    <t>10/17/2021</t>
  </si>
  <si>
    <t>01/25/2022</t>
  </si>
  <si>
    <t>12/17/2020</t>
  </si>
  <si>
    <t>07/19/2020</t>
  </si>
  <si>
    <t>05/31/2020</t>
  </si>
  <si>
    <t>12/08/2023</t>
  </si>
  <si>
    <t>10/28/2020</t>
  </si>
  <si>
    <t>03/23/2020</t>
  </si>
  <si>
    <t>06/14/2020</t>
  </si>
  <si>
    <t>09/28/2021</t>
  </si>
  <si>
    <t>05/02/2021</t>
  </si>
  <si>
    <t>06/23/2020</t>
  </si>
  <si>
    <t>12/30/2023</t>
  </si>
  <si>
    <t>02/27/2023</t>
  </si>
  <si>
    <t>12/03/2023</t>
  </si>
  <si>
    <t>04/10/2022</t>
  </si>
  <si>
    <t>04/13/2020</t>
  </si>
  <si>
    <t>02/24/2022</t>
  </si>
  <si>
    <t>06/19/2020</t>
  </si>
  <si>
    <t>04/30/2022</t>
  </si>
  <si>
    <t>11/07/2020</t>
  </si>
  <si>
    <t>06/19/2021</t>
  </si>
  <si>
    <t>08/31/2020</t>
  </si>
  <si>
    <t>10/19/2023</t>
  </si>
  <si>
    <t>07/14/2021</t>
  </si>
  <si>
    <t>09/25/2020</t>
  </si>
  <si>
    <t>01/28/2021</t>
  </si>
  <si>
    <t>04/07/2022</t>
  </si>
  <si>
    <t>09/12/2020</t>
  </si>
  <si>
    <t>06/03/2022</t>
  </si>
  <si>
    <t>05/18/2022</t>
  </si>
  <si>
    <t>02/13/2022</t>
  </si>
  <si>
    <t>06/05/2022</t>
  </si>
  <si>
    <t>08/16/2022</t>
  </si>
  <si>
    <t>01/27/2021</t>
  </si>
  <si>
    <t>09/21/2020</t>
  </si>
  <si>
    <t>05/09/2022</t>
  </si>
  <si>
    <t>02/01/2023</t>
  </si>
  <si>
    <t>04/10/2020</t>
  </si>
  <si>
    <t>01/08/2022</t>
  </si>
  <si>
    <t>02/13/2021</t>
  </si>
  <si>
    <t>05/27/2021</t>
  </si>
  <si>
    <t>03/08/2023</t>
  </si>
  <si>
    <t>10/07/2022</t>
  </si>
  <si>
    <t>07/14/2023</t>
  </si>
  <si>
    <t>05/10/2021</t>
  </si>
  <si>
    <t>06/10/2022</t>
  </si>
  <si>
    <t>07/04/2021</t>
  </si>
  <si>
    <t>03/20/2023</t>
  </si>
  <si>
    <t>Month</t>
  </si>
  <si>
    <t>Quarter</t>
  </si>
  <si>
    <t>Weekday</t>
  </si>
  <si>
    <t>Response Required</t>
  </si>
  <si>
    <t>Customer Segment</t>
  </si>
  <si>
    <t>Referral_Status</t>
  </si>
  <si>
    <t>Row Labels</t>
  </si>
  <si>
    <t>Happy</t>
  </si>
  <si>
    <t>Negative</t>
  </si>
  <si>
    <t>Neutral</t>
  </si>
  <si>
    <t>Grand Total</t>
  </si>
  <si>
    <t>Count of customer_id</t>
  </si>
  <si>
    <t>Feedback Category Analysis</t>
  </si>
  <si>
    <t>Average of satisfaction_score</t>
  </si>
  <si>
    <t>Average Satisfaction by Category</t>
  </si>
  <si>
    <t>Monthly Feedback Trend</t>
  </si>
  <si>
    <t>Jan</t>
  </si>
  <si>
    <t>Feb</t>
  </si>
  <si>
    <t>Mar</t>
  </si>
  <si>
    <t>Apr</t>
  </si>
  <si>
    <t>May</t>
  </si>
  <si>
    <t>Jun</t>
  </si>
  <si>
    <t>Jul</t>
  </si>
  <si>
    <t>Aug</t>
  </si>
  <si>
    <t>Sep</t>
  </si>
  <si>
    <t>Oct</t>
  </si>
  <si>
    <t>Nov</t>
  </si>
  <si>
    <t>Dec</t>
  </si>
  <si>
    <t>Year-wise Feedback Trend</t>
  </si>
  <si>
    <t>Quarterly Feedback Analysis</t>
  </si>
  <si>
    <t>Q1</t>
  </si>
  <si>
    <t>Q2</t>
  </si>
  <si>
    <t>Q3</t>
  </si>
  <si>
    <t>Q4</t>
  </si>
  <si>
    <t>Response Required Analysis</t>
  </si>
  <si>
    <t>Contacted Agent Analysis</t>
  </si>
  <si>
    <t>Referred Claim Analysis</t>
  </si>
  <si>
    <t>Rating Group Analysis</t>
  </si>
  <si>
    <t>High</t>
  </si>
  <si>
    <t>Low</t>
  </si>
  <si>
    <t>Medium</t>
  </si>
  <si>
    <t>Month vs Feedback Category</t>
  </si>
  <si>
    <t>Column Labels</t>
  </si>
  <si>
    <t>Year vs Average Satisfaction</t>
  </si>
  <si>
    <t>Count of feedback_id</t>
  </si>
  <si>
    <t>Contacted Agent vs Feedback Category</t>
  </si>
  <si>
    <t>Customer Feedback Summary Analysis</t>
  </si>
  <si>
    <t xml:space="preserve">Referred Claim Analysis   </t>
  </si>
  <si>
    <t xml:space="preserve">Response Required Analysis </t>
  </si>
  <si>
    <t xml:space="preserve"> CUSTOMER FEEDBACK ANALYSIS DASHBOARD</t>
  </si>
  <si>
    <t>The customer feedback analysis provides a clear view of overall customer satisfaction and service performance. Most customers shared positive feedback, indicating a generally satisfying experience, while the average satisfaction score reflects the overall quality of service received. The dashboard highlights key feedback trends, the most common customer concerns, and the number of cases requiring follow-up. These insights help identify areas that perform well and pinpoint opportunities to improve customer support, resolve recurring issues, and enhance the overall customer experience.</t>
  </si>
  <si>
    <t>Dashboard Insights</t>
  </si>
  <si>
    <t>Key Insights</t>
  </si>
  <si>
    <t>Overall Customer Satisfaction</t>
  </si>
  <si>
    <t>4. This suggests that although positive feedback is the largest group, there is still significant room to improve customer experience.</t>
  </si>
  <si>
    <t>1. 46.4% of feedback is categorized as Happy, making it the largest feedback category.</t>
  </si>
  <si>
    <t>2. 33.9% is Negative, while 19.7% is Neutral.</t>
  </si>
  <si>
    <t>3. The overall average satisfaction score is approximately 3.22/5, indicating a moderate level of customer satisfaction.</t>
  </si>
  <si>
    <t>Negative Feedback Needs Attention</t>
  </si>
  <si>
    <t>1. 339 out of 1,000 feedback records are negative.</t>
  </si>
  <si>
    <t>2. The average satisfaction score for negative feedback is only 1.56, compared with 4.53 for happy feedback.</t>
  </si>
  <si>
    <t>3. This makes negative feedback an important area for management to investigate, particularly to identify recurring customer concerns.</t>
  </si>
  <si>
    <t>Customer Feedback Trend</t>
  </si>
  <si>
    <t>1. Feedback volume varies throughout the year.</t>
  </si>
  <si>
    <t>2. January has the highest feedback volume (105), while March has the lowest (66).</t>
  </si>
  <si>
    <t>3. Feedback volume rises again toward September–November, with November reaching 93.</t>
  </si>
  <si>
    <t>4. This indicates that customer engagement is not consistent throughout the year.</t>
  </si>
  <si>
    <t>Year-wise Performance</t>
  </si>
  <si>
    <t>1. Feedback increased from 244 in 2020 to 265 in 2022, the highest annual volume.</t>
  </si>
  <si>
    <t>2. It then decreased to 235 in 2023.</t>
  </si>
  <si>
    <t>3. The decline in 2023 could be worth investigating to determine whether it reflects lower customer engagement or another operational change.</t>
  </si>
  <si>
    <t>Quarterly Feedback</t>
  </si>
  <si>
    <t>Agent Interaction</t>
  </si>
  <si>
    <t>Referred Claims</t>
  </si>
  <si>
    <t>Rating Distribution</t>
  </si>
  <si>
    <t>1. Q1 and Q3 have the highest feedback volume, with 255 and 256 records respectively.</t>
  </si>
  <si>
    <t>2. Q2 has the lowest at 242 records.</t>
  </si>
  <si>
    <t>3. Overall, feedback is relatively evenly distributed across quarters, with only minor variation.</t>
  </si>
  <si>
    <t>1. 518 customers contacted an agent, compared with 482 who did not.</t>
  </si>
  <si>
    <t>2. This means slightly more than half of the feedback records involved agent interaction.</t>
  </si>
  <si>
    <t>3. Your Contacted Agent vs Feedback Category analysis shows that customers who contacted agents generated more feedback overall, making agent interactions an important area for customer-service analysis.</t>
  </si>
  <si>
    <t>1. 496 feedback records were associated with a referred claim, compared with 504 without a referral.</t>
  </si>
  <si>
    <t>2. This is almost an even split, suggesting that claim-related situations represent a substantial portion of customer interactions.</t>
  </si>
  <si>
    <t>1. 464 records fall into the High rating group.</t>
  </si>
  <si>
    <t>2. 339 records are Low, while 197 are Medium.</t>
  </si>
  <si>
    <t>3. The large proportion of high ratings supports the finding that the overall customer experience is generally positive, despite the sizeable negative segment.</t>
  </si>
  <si>
    <t>1. 339 feedback records require a response, while 661 do not.</t>
  </si>
  <si>
    <t>2. Therefore, approximately 33.9% of feedback requires follow-up.</t>
  </si>
  <si>
    <t>3. This is significant enough for management to monitor because delayed responses could negatively affect customer satisfaction.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</si>
</sst>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name val="Calibri"/>
    </font>
    <font>
      <b/>
      <sz val="14"/>
      <color theme="1"/>
      <name val="Calibri"/>
      <family val="2"/>
      <scheme val="minor"/>
    </font>
    <font>
      <b/>
      <sz val="16"/>
      <color theme="1"/>
      <name val="Calibri"/>
      <family val="2"/>
      <scheme val="minor"/>
    </font>
    <font>
      <b/>
      <sz val="20"/>
      <color theme="1"/>
      <name val="Calibri"/>
      <family val="2"/>
      <scheme val="minor"/>
    </font>
    <font>
      <b/>
      <sz val="11"/>
      <color theme="1"/>
      <name val="Calibri"/>
      <family val="2"/>
      <scheme val="minor"/>
    </font>
    <font>
      <sz val="12"/>
      <color theme="1"/>
      <name val="Calibri"/>
      <family val="2"/>
      <scheme val="minor"/>
    </font>
    <font>
      <sz val="14"/>
      <color theme="1"/>
      <name val="Calibri"/>
      <family val="2"/>
      <scheme val="minor"/>
    </font>
    <font>
      <b/>
      <sz val="22"/>
      <color theme="1"/>
      <name val="Calibri"/>
      <family val="2"/>
      <scheme val="minor"/>
    </font>
    <font>
      <b/>
      <sz val="12"/>
      <color theme="1"/>
      <name val="Calibri"/>
      <family val="2"/>
      <scheme val="minor"/>
    </font>
  </fonts>
  <fills count="10">
    <fill>
      <patternFill patternType="none"/>
    </fill>
    <fill>
      <patternFill patternType="gray125"/>
    </fill>
    <fill>
      <patternFill patternType="solid">
        <fgColor theme="7" tint="0.59999389629810485"/>
        <bgColor indexed="64"/>
      </patternFill>
    </fill>
    <fill>
      <patternFill patternType="solid">
        <fgColor theme="5" tint="-0.249977111117893"/>
        <bgColor indexed="64"/>
      </patternFill>
    </fill>
    <fill>
      <patternFill patternType="solid">
        <fgColor theme="7" tint="-0.249977111117893"/>
        <bgColor indexed="64"/>
      </patternFill>
    </fill>
    <fill>
      <patternFill patternType="solid">
        <fgColor theme="3" tint="0.59999389629810485"/>
        <bgColor indexed="64"/>
      </patternFill>
    </fill>
    <fill>
      <patternFill patternType="solid">
        <fgColor theme="3"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4" tint="0.39997558519241921"/>
        <bgColor indexed="64"/>
      </patternFill>
    </fill>
  </fills>
  <borders count="20">
    <border>
      <left/>
      <right/>
      <top/>
      <bottom/>
      <diagonal/>
    </border>
    <border>
      <left style="thin">
        <color auto="1"/>
      </left>
      <right style="thin">
        <color auto="1"/>
      </right>
      <top style="thin">
        <color auto="1"/>
      </top>
      <bottom style="thin">
        <color auto="1"/>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medium">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medium">
        <color indexed="64"/>
      </bottom>
      <diagonal/>
    </border>
  </borders>
  <cellStyleXfs count="1">
    <xf numFmtId="0" fontId="0" fillId="0" borderId="0"/>
  </cellStyleXfs>
  <cellXfs count="72">
    <xf numFmtId="0" fontId="0" fillId="0" borderId="0" xfId="0"/>
    <xf numFmtId="14" fontId="0" fillId="0" borderId="0" xfId="0" applyNumberFormat="1"/>
    <xf numFmtId="0" fontId="1" fillId="0" borderId="1" xfId="0" applyFont="1" applyBorder="1" applyAlignment="1">
      <alignment horizontal="center" vertical="top"/>
    </xf>
    <xf numFmtId="0" fontId="0" fillId="0" borderId="0" xfId="0" applyAlignment="1">
      <alignment horizontal="right"/>
    </xf>
    <xf numFmtId="0" fontId="0" fillId="2" borderId="0" xfId="0" applyFill="1"/>
    <xf numFmtId="2" fontId="0" fillId="2" borderId="11" xfId="0" applyNumberFormat="1" applyFill="1" applyBorder="1"/>
    <xf numFmtId="2" fontId="0" fillId="2" borderId="13" xfId="0" applyNumberFormat="1" applyFill="1" applyBorder="1"/>
    <xf numFmtId="2" fontId="0" fillId="2" borderId="15" xfId="0" applyNumberFormat="1" applyFill="1" applyBorder="1"/>
    <xf numFmtId="0" fontId="0" fillId="2" borderId="16" xfId="0" applyFill="1" applyBorder="1"/>
    <xf numFmtId="0" fontId="0" fillId="2" borderId="17" xfId="0" applyFill="1" applyBorder="1"/>
    <xf numFmtId="0" fontId="0" fillId="2" borderId="18" xfId="0" applyFill="1" applyBorder="1"/>
    <xf numFmtId="0" fontId="0" fillId="2" borderId="1" xfId="0" applyFill="1" applyBorder="1"/>
    <xf numFmtId="0" fontId="0" fillId="2" borderId="16" xfId="0" applyFill="1" applyBorder="1" applyAlignment="1">
      <alignment horizontal="left"/>
    </xf>
    <xf numFmtId="0" fontId="0" fillId="2" borderId="18" xfId="0" applyFill="1" applyBorder="1" applyAlignment="1">
      <alignment horizontal="left"/>
    </xf>
    <xf numFmtId="0" fontId="0" fillId="2" borderId="1" xfId="0" applyFill="1" applyBorder="1" applyAlignment="1">
      <alignment horizontal="left"/>
    </xf>
    <xf numFmtId="0" fontId="0" fillId="2" borderId="17" xfId="0" applyFill="1" applyBorder="1" applyAlignment="1">
      <alignment horizontal="left"/>
    </xf>
    <xf numFmtId="0" fontId="0" fillId="2" borderId="4" xfId="0" applyFill="1" applyBorder="1"/>
    <xf numFmtId="0" fontId="0" fillId="2" borderId="6" xfId="0" applyFill="1" applyBorder="1"/>
    <xf numFmtId="0" fontId="0" fillId="2" borderId="5" xfId="0" applyFill="1" applyBorder="1"/>
    <xf numFmtId="2" fontId="0" fillId="2" borderId="16" xfId="0" applyNumberFormat="1" applyFill="1" applyBorder="1"/>
    <xf numFmtId="2" fontId="0" fillId="2" borderId="17" xfId="0" applyNumberFormat="1" applyFill="1" applyBorder="1"/>
    <xf numFmtId="2" fontId="0" fillId="2" borderId="18" xfId="0" applyNumberFormat="1" applyFill="1" applyBorder="1"/>
    <xf numFmtId="2" fontId="0" fillId="2" borderId="8" xfId="0" applyNumberFormat="1" applyFill="1" applyBorder="1"/>
    <xf numFmtId="2" fontId="0" fillId="2" borderId="14" xfId="0" applyNumberFormat="1" applyFill="1" applyBorder="1"/>
    <xf numFmtId="2" fontId="0" fillId="2" borderId="9" xfId="0" applyNumberFormat="1" applyFill="1" applyBorder="1"/>
    <xf numFmtId="2" fontId="0" fillId="2" borderId="10" xfId="0" applyNumberFormat="1" applyFill="1" applyBorder="1"/>
    <xf numFmtId="2" fontId="0" fillId="2" borderId="12" xfId="0" applyNumberFormat="1" applyFill="1" applyBorder="1"/>
    <xf numFmtId="0" fontId="0" fillId="5" borderId="0" xfId="0" applyFill="1"/>
    <xf numFmtId="0" fontId="0" fillId="2" borderId="11" xfId="0" applyFill="1" applyBorder="1"/>
    <xf numFmtId="0" fontId="0" fillId="2" borderId="13" xfId="0" applyFill="1" applyBorder="1"/>
    <xf numFmtId="0" fontId="0" fillId="2" borderId="15" xfId="0" applyFill="1" applyBorder="1"/>
    <xf numFmtId="0" fontId="0" fillId="2" borderId="8" xfId="0" applyFill="1" applyBorder="1"/>
    <xf numFmtId="0" fontId="0" fillId="2" borderId="14" xfId="0" applyFill="1" applyBorder="1"/>
    <xf numFmtId="0" fontId="0" fillId="2" borderId="9" xfId="0" applyFill="1" applyBorder="1"/>
    <xf numFmtId="0" fontId="0" fillId="2" borderId="10" xfId="0" applyFill="1" applyBorder="1"/>
    <xf numFmtId="0" fontId="0" fillId="2" borderId="12" xfId="0" applyFill="1" applyBorder="1"/>
    <xf numFmtId="2" fontId="0" fillId="2" borderId="0" xfId="0" applyNumberFormat="1" applyFill="1"/>
    <xf numFmtId="0" fontId="0" fillId="8" borderId="0" xfId="0" applyFill="1"/>
    <xf numFmtId="0" fontId="9" fillId="8" borderId="0" xfId="0" applyFont="1" applyFill="1"/>
    <xf numFmtId="0" fontId="6" fillId="8" borderId="0" xfId="0" applyFont="1" applyFill="1"/>
    <xf numFmtId="0" fontId="5" fillId="8" borderId="0" xfId="0" applyFont="1" applyFill="1"/>
    <xf numFmtId="0" fontId="9" fillId="8" borderId="0" xfId="0" applyFont="1" applyFill="1" applyAlignment="1">
      <alignment horizontal="left"/>
    </xf>
    <xf numFmtId="0" fontId="4" fillId="3" borderId="2" xfId="0" applyFont="1" applyFill="1" applyBorder="1" applyAlignment="1">
      <alignment horizontal="center"/>
    </xf>
    <xf numFmtId="0" fontId="0" fillId="3" borderId="7" xfId="0" applyFill="1" applyBorder="1" applyAlignment="1">
      <alignment horizontal="center"/>
    </xf>
    <xf numFmtId="0" fontId="0" fillId="3" borderId="3" xfId="0" applyFill="1" applyBorder="1" applyAlignment="1">
      <alignment horizontal="center"/>
    </xf>
    <xf numFmtId="0" fontId="2" fillId="4" borderId="4" xfId="0" applyFont="1" applyFill="1" applyBorder="1" applyAlignment="1">
      <alignment horizontal="center"/>
    </xf>
    <xf numFmtId="0" fontId="0" fillId="4" borderId="5" xfId="0" applyFill="1" applyBorder="1" applyAlignment="1">
      <alignment horizontal="center"/>
    </xf>
    <xf numFmtId="0" fontId="0" fillId="4" borderId="6" xfId="0" applyFill="1" applyBorder="1" applyAlignment="1">
      <alignment horizontal="center"/>
    </xf>
    <xf numFmtId="0" fontId="3" fillId="2" borderId="4" xfId="0" applyFont="1" applyFill="1" applyBorder="1" applyAlignment="1">
      <alignment horizontal="center"/>
    </xf>
    <xf numFmtId="0" fontId="0" fillId="2" borderId="6" xfId="0" applyFill="1" applyBorder="1" applyAlignment="1">
      <alignment horizontal="center"/>
    </xf>
    <xf numFmtId="0" fontId="0" fillId="2" borderId="5" xfId="0" applyFill="1" applyBorder="1" applyAlignment="1">
      <alignment horizontal="center"/>
    </xf>
    <xf numFmtId="0" fontId="4" fillId="6" borderId="2" xfId="0" applyFont="1" applyFill="1" applyBorder="1" applyAlignment="1">
      <alignment horizontal="center"/>
    </xf>
    <xf numFmtId="0" fontId="0" fillId="6" borderId="7" xfId="0" applyFill="1" applyBorder="1" applyAlignment="1">
      <alignment horizontal="center"/>
    </xf>
    <xf numFmtId="0" fontId="0" fillId="6" borderId="3" xfId="0" applyFill="1" applyBorder="1" applyAlignment="1">
      <alignment horizontal="center"/>
    </xf>
    <xf numFmtId="0" fontId="9" fillId="8" borderId="19" xfId="0" applyFont="1" applyFill="1" applyBorder="1" applyAlignment="1">
      <alignment horizontal="left"/>
    </xf>
    <xf numFmtId="0" fontId="0" fillId="8" borderId="19" xfId="0" applyFill="1" applyBorder="1" applyAlignment="1">
      <alignment horizontal="left"/>
    </xf>
    <xf numFmtId="0" fontId="7" fillId="2" borderId="8" xfId="0" applyFont="1" applyFill="1" applyBorder="1" applyAlignment="1">
      <alignment horizontal="center" vertical="center" wrapText="1"/>
    </xf>
    <xf numFmtId="0" fontId="0" fillId="2" borderId="14" xfId="0" applyFill="1" applyBorder="1" applyAlignment="1">
      <alignment horizontal="center" vertical="center" wrapText="1"/>
    </xf>
    <xf numFmtId="0" fontId="0" fillId="2" borderId="9" xfId="0" applyFill="1" applyBorder="1" applyAlignment="1">
      <alignment horizontal="center" vertical="center" wrapText="1"/>
    </xf>
    <xf numFmtId="0" fontId="0" fillId="2" borderId="10" xfId="0" applyFill="1" applyBorder="1" applyAlignment="1">
      <alignment horizontal="center" vertical="center" wrapText="1"/>
    </xf>
    <xf numFmtId="0" fontId="0" fillId="2" borderId="0" xfId="0" applyFill="1" applyAlignment="1">
      <alignment horizontal="center" vertical="center" wrapText="1"/>
    </xf>
    <xf numFmtId="0" fontId="0" fillId="2" borderId="11" xfId="0" applyFill="1" applyBorder="1" applyAlignment="1">
      <alignment horizontal="center" vertical="center" wrapText="1"/>
    </xf>
    <xf numFmtId="0" fontId="0" fillId="2" borderId="12" xfId="0" applyFill="1" applyBorder="1" applyAlignment="1">
      <alignment horizontal="center" vertical="center" wrapText="1"/>
    </xf>
    <xf numFmtId="0" fontId="0" fillId="2" borderId="15" xfId="0" applyFill="1" applyBorder="1" applyAlignment="1">
      <alignment horizontal="center" vertical="center" wrapText="1"/>
    </xf>
    <xf numFmtId="0" fontId="0" fillId="2" borderId="13" xfId="0" applyFill="1" applyBorder="1" applyAlignment="1">
      <alignment horizontal="center" vertical="center" wrapText="1"/>
    </xf>
    <xf numFmtId="0" fontId="8" fillId="7" borderId="2" xfId="0" applyFont="1" applyFill="1" applyBorder="1" applyAlignment="1">
      <alignment horizontal="center"/>
    </xf>
    <xf numFmtId="0" fontId="0" fillId="7" borderId="7" xfId="0" applyFill="1" applyBorder="1" applyAlignment="1">
      <alignment horizontal="center"/>
    </xf>
    <xf numFmtId="0" fontId="0" fillId="7" borderId="3" xfId="0" applyFill="1" applyBorder="1" applyAlignment="1">
      <alignment horizontal="center"/>
    </xf>
    <xf numFmtId="0" fontId="3" fillId="9" borderId="4" xfId="0" applyFont="1" applyFill="1" applyBorder="1" applyAlignment="1">
      <alignment horizontal="center"/>
    </xf>
    <xf numFmtId="0" fontId="0" fillId="9" borderId="6" xfId="0" applyFill="1" applyBorder="1" applyAlignment="1">
      <alignment horizontal="center"/>
    </xf>
    <xf numFmtId="0" fontId="0" fillId="9" borderId="5" xfId="0" applyFill="1" applyBorder="1" applyAlignment="1">
      <alignment horizontal="center"/>
    </xf>
    <xf numFmtId="0" fontId="2" fillId="8" borderId="19" xfId="0" applyFont="1" applyFill="1" applyBorder="1" applyAlignment="1">
      <alignment horizontal="left"/>
    </xf>
  </cellXfs>
  <cellStyles count="1">
    <cellStyle name="Normal" xfId="0" builtinId="0"/>
  </cellStyles>
  <dxfs count="214">
    <dxf>
      <font>
        <color rgb="FF006100"/>
      </font>
      <fill>
        <patternFill>
          <bgColor rgb="FFC6EFCE"/>
        </patternFill>
      </fill>
    </dxf>
    <dxf>
      <font>
        <color rgb="FF9C5700"/>
      </font>
      <fill>
        <patternFill>
          <bgColor rgb="FFFFEB9C"/>
        </patternFill>
      </fill>
    </dxf>
    <dxf>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numFmt numFmtId="19" formatCode="dd/mm/yyyy"/>
    </dxf>
    <dxf>
      <font>
        <color rgb="FF9C5700"/>
      </font>
      <fill>
        <patternFill>
          <bgColor rgb="FFFFEB9C"/>
        </patternFill>
      </fill>
    </dxf>
    <dxf>
      <font>
        <color rgb="FF006100"/>
      </font>
      <fill>
        <patternFill>
          <bgColor rgb="FFC6EFCE"/>
        </patternFill>
      </fill>
    </dxf>
    <dxf>
      <font>
        <color rgb="FF006100"/>
      </font>
      <fill>
        <patternFill>
          <bgColor rgb="FFC6EFCE"/>
        </patternFill>
      </fill>
    </dxf>
    <dxf>
      <numFmt numFmtId="0" formatCode="General"/>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numFmt numFmtId="0" formatCode="General"/>
    </dxf>
    <dxf>
      <numFmt numFmtId="0" formatCode="General"/>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numFmt numFmtId="0" formatCode="General"/>
    </dxf>
    <dxf>
      <numFmt numFmtId="19" formatCode="dd/mm/yyyy"/>
    </dxf>
    <dxf>
      <numFmt numFmtId="0" formatCode="General"/>
    </dxf>
    <dxf>
      <numFmt numFmtId="0" formatCode="Genera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numFmt numFmtId="2" formatCode="0.00"/>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4.xml"/><Relationship Id="rId19" Type="http://schemas.openxmlformats.org/officeDocument/2006/relationships/customXml" Target="../customXml/item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[Customerfeedback_cleaned.xlsx]Pivot_Analysis!PivotTable1</c:name>
    <c:fmtId val="3"/>
  </c:pivotSource>
  <c:chart>
    <c:autoTitleDeleted val="1"/>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pivotFmt>
    </c:pivotFmts>
    <c:plotArea>
      <c:layout/>
      <c:doughnutChart>
        <c:varyColors val="1"/>
        <c:ser>
          <c:idx val="0"/>
          <c:order val="0"/>
          <c:tx>
            <c:strRef>
              <c:f>Pivot_Analysis!$C$9</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D9D3-4FDF-A664-0DCDF347A9F4}"/>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D9D3-4FDF-A664-0DCDF347A9F4}"/>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D9D3-4FDF-A664-0DCDF347A9F4}"/>
              </c:ext>
            </c:extLst>
          </c:dPt>
          <c:cat>
            <c:strRef>
              <c:f>Pivot_Analysis!$B$10:$B$13</c:f>
              <c:strCache>
                <c:ptCount val="3"/>
                <c:pt idx="0">
                  <c:v>Happy</c:v>
                </c:pt>
                <c:pt idx="1">
                  <c:v>Negative</c:v>
                </c:pt>
                <c:pt idx="2">
                  <c:v>Neutral</c:v>
                </c:pt>
              </c:strCache>
            </c:strRef>
          </c:cat>
          <c:val>
            <c:numRef>
              <c:f>Pivot_Analysis!$C$10:$C$13</c:f>
              <c:numCache>
                <c:formatCode>General</c:formatCode>
                <c:ptCount val="3"/>
                <c:pt idx="0">
                  <c:v>464</c:v>
                </c:pt>
                <c:pt idx="1">
                  <c:v>339</c:v>
                </c:pt>
                <c:pt idx="2">
                  <c:v>197</c:v>
                </c:pt>
              </c:numCache>
            </c:numRef>
          </c:val>
          <c:extLst>
            <c:ext xmlns:c16="http://schemas.microsoft.com/office/drawing/2014/chart" uri="{C3380CC4-5D6E-409C-BE32-E72D297353CC}">
              <c16:uniqueId val="{00000006-D9D3-4FDF-A664-0DCDF347A9F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[Customerfeedback_cleaned.xlsx]Pivot_Analysis!PivotTable10</c:name>
    <c:fmtId val="3"/>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Pivot_Analysis!$C$52:$C$53</c:f>
              <c:strCache>
                <c:ptCount val="1"/>
                <c:pt idx="0">
                  <c:v>Happy</c:v>
                </c:pt>
              </c:strCache>
            </c:strRef>
          </c:tx>
          <c:spPr>
            <a:ln w="28575" cap="rnd">
              <a:solidFill>
                <a:schemeClr val="accent2"/>
              </a:solidFill>
              <a:round/>
            </a:ln>
            <a:effectLst/>
          </c:spPr>
          <c:marker>
            <c:symbol val="none"/>
          </c:marker>
          <c:cat>
            <c:strRef>
              <c:f>Pivot_Analysis!$B$54:$B$66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Pivot_Analysis!$C$54:$C$66</c:f>
              <c:numCache>
                <c:formatCode>General</c:formatCode>
                <c:ptCount val="12"/>
                <c:pt idx="0">
                  <c:v>46</c:v>
                </c:pt>
                <c:pt idx="1">
                  <c:v>40</c:v>
                </c:pt>
                <c:pt idx="2">
                  <c:v>32</c:v>
                </c:pt>
                <c:pt idx="3">
                  <c:v>40</c:v>
                </c:pt>
                <c:pt idx="4">
                  <c:v>37</c:v>
                </c:pt>
                <c:pt idx="5">
                  <c:v>35</c:v>
                </c:pt>
                <c:pt idx="6">
                  <c:v>34</c:v>
                </c:pt>
                <c:pt idx="7">
                  <c:v>39</c:v>
                </c:pt>
                <c:pt idx="8">
                  <c:v>41</c:v>
                </c:pt>
                <c:pt idx="9">
                  <c:v>50</c:v>
                </c:pt>
                <c:pt idx="10">
                  <c:v>38</c:v>
                </c:pt>
                <c:pt idx="11">
                  <c:v>32</c:v>
                </c:pt>
              </c:numCache>
            </c:numRef>
          </c:val>
          <c:smooth val="0"/>
          <c:extLst>
            <c:ext xmlns:c16="http://schemas.microsoft.com/office/drawing/2014/chart" uri="{C3380CC4-5D6E-409C-BE32-E72D297353CC}">
              <c16:uniqueId val="{00000000-55F0-4C84-9D09-D9F354D03350}"/>
            </c:ext>
          </c:extLst>
        </c:ser>
        <c:ser>
          <c:idx val="1"/>
          <c:order val="1"/>
          <c:tx>
            <c:strRef>
              <c:f>Pivot_Analysis!$D$52:$D$53</c:f>
              <c:strCache>
                <c:ptCount val="1"/>
                <c:pt idx="0">
                  <c:v>Negative</c:v>
                </c:pt>
              </c:strCache>
            </c:strRef>
          </c:tx>
          <c:spPr>
            <a:ln w="28575" cap="rnd">
              <a:solidFill>
                <a:schemeClr val="accent4"/>
              </a:solidFill>
              <a:round/>
            </a:ln>
            <a:effectLst/>
          </c:spPr>
          <c:marker>
            <c:symbol val="none"/>
          </c:marker>
          <c:cat>
            <c:strRef>
              <c:f>Pivot_Analysis!$B$54:$B$66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Pivot_Analysis!$D$54:$D$66</c:f>
              <c:numCache>
                <c:formatCode>General</c:formatCode>
                <c:ptCount val="12"/>
                <c:pt idx="0">
                  <c:v>39</c:v>
                </c:pt>
                <c:pt idx="1">
                  <c:v>28</c:v>
                </c:pt>
                <c:pt idx="2">
                  <c:v>23</c:v>
                </c:pt>
                <c:pt idx="3">
                  <c:v>28</c:v>
                </c:pt>
                <c:pt idx="4">
                  <c:v>27</c:v>
                </c:pt>
                <c:pt idx="5">
                  <c:v>33</c:v>
                </c:pt>
                <c:pt idx="6">
                  <c:v>32</c:v>
                </c:pt>
                <c:pt idx="7">
                  <c:v>34</c:v>
                </c:pt>
                <c:pt idx="8">
                  <c:v>22</c:v>
                </c:pt>
                <c:pt idx="9">
                  <c:v>21</c:v>
                </c:pt>
                <c:pt idx="10">
                  <c:v>32</c:v>
                </c:pt>
                <c:pt idx="11">
                  <c:v>20</c:v>
                </c:pt>
              </c:numCache>
            </c:numRef>
          </c:val>
          <c:smooth val="0"/>
          <c:extLst>
            <c:ext xmlns:c16="http://schemas.microsoft.com/office/drawing/2014/chart" uri="{C3380CC4-5D6E-409C-BE32-E72D297353CC}">
              <c16:uniqueId val="{00000004-55F0-4C84-9D09-D9F354D03350}"/>
            </c:ext>
          </c:extLst>
        </c:ser>
        <c:ser>
          <c:idx val="2"/>
          <c:order val="2"/>
          <c:tx>
            <c:strRef>
              <c:f>Pivot_Analysis!$E$52:$E$53</c:f>
              <c:strCache>
                <c:ptCount val="1"/>
                <c:pt idx="0">
                  <c:v>Neutral</c:v>
                </c:pt>
              </c:strCache>
            </c:strRef>
          </c:tx>
          <c:spPr>
            <a:ln w="28575" cap="rnd">
              <a:solidFill>
                <a:schemeClr val="accent6"/>
              </a:solidFill>
              <a:round/>
            </a:ln>
            <a:effectLst/>
          </c:spPr>
          <c:marker>
            <c:symbol val="none"/>
          </c:marker>
          <c:cat>
            <c:strRef>
              <c:f>Pivot_Analysis!$B$54:$B$66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Pivot_Analysis!$E$54:$E$66</c:f>
              <c:numCache>
                <c:formatCode>General</c:formatCode>
                <c:ptCount val="12"/>
                <c:pt idx="0">
                  <c:v>20</c:v>
                </c:pt>
                <c:pt idx="1">
                  <c:v>16</c:v>
                </c:pt>
                <c:pt idx="2">
                  <c:v>11</c:v>
                </c:pt>
                <c:pt idx="3">
                  <c:v>8</c:v>
                </c:pt>
                <c:pt idx="4">
                  <c:v>14</c:v>
                </c:pt>
                <c:pt idx="5">
                  <c:v>20</c:v>
                </c:pt>
                <c:pt idx="6">
                  <c:v>21</c:v>
                </c:pt>
                <c:pt idx="7">
                  <c:v>16</c:v>
                </c:pt>
                <c:pt idx="8">
                  <c:v>17</c:v>
                </c:pt>
                <c:pt idx="9">
                  <c:v>21</c:v>
                </c:pt>
                <c:pt idx="10">
                  <c:v>13</c:v>
                </c:pt>
                <c:pt idx="11">
                  <c:v>20</c:v>
                </c:pt>
              </c:numCache>
            </c:numRef>
          </c:val>
          <c:smooth val="0"/>
          <c:extLst>
            <c:ext xmlns:c16="http://schemas.microsoft.com/office/drawing/2014/chart" uri="{C3380CC4-5D6E-409C-BE32-E72D297353CC}">
              <c16:uniqueId val="{00000005-55F0-4C84-9D09-D9F354D03350}"/>
            </c:ext>
          </c:extLst>
        </c:ser>
        <c:dLbls>
          <c:showLegendKey val="0"/>
          <c:showVal val="0"/>
          <c:showCatName val="0"/>
          <c:showSerName val="0"/>
          <c:showPercent val="0"/>
          <c:showBubbleSize val="0"/>
        </c:dLbls>
        <c:smooth val="0"/>
        <c:axId val="630521951"/>
        <c:axId val="630522431"/>
      </c:lineChart>
      <c:catAx>
        <c:axId val="630521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522431"/>
        <c:crosses val="autoZero"/>
        <c:auto val="1"/>
        <c:lblAlgn val="ctr"/>
        <c:lblOffset val="100"/>
        <c:noMultiLvlLbl val="0"/>
      </c:catAx>
      <c:valAx>
        <c:axId val="630522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521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[Customerfeedback_cleaned.xlsx]Pivot_Analysis!PivotTable7</c:name>
    <c:fmtId val="3"/>
  </c:pivotSource>
  <c:chart>
    <c:autoTitleDeleted val="1"/>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7748BC2-0143-4190-8909-5F230A99A733}" type="VALUE">
                  <a:rPr lang="en-US" sz="1100"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accent2"/>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7EB07DD-79D3-4FB7-BFE0-F8A3FACA90CA}" type="VALUE">
                  <a:rPr lang="en-US" sz="1050"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Pivot_Analysis!$C$41</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7013-4187-9801-0C9D96A190F7}"/>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7013-4187-9801-0C9D96A190F7}"/>
              </c:ext>
            </c:extLst>
          </c:dPt>
          <c:dLbls>
            <c:dLbl>
              <c:idx val="0"/>
              <c:tx>
                <c:rich>
                  <a:bodyPr/>
                  <a:lstStyle/>
                  <a:p>
                    <a:fld id="{87748BC2-0143-4190-8909-5F230A99A733}" type="VALUE">
                      <a:rPr lang="en-US" sz="1100" b="1"/>
                      <a:pPr/>
                      <a:t>[VALUE]</a:t>
                    </a:fld>
                    <a:endParaRPr lang="en-IN"/>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7013-4187-9801-0C9D96A190F7}"/>
                </c:ext>
              </c:extLst>
            </c:dLbl>
            <c:dLbl>
              <c:idx val="1"/>
              <c:tx>
                <c:rich>
                  <a:bodyPr/>
                  <a:lstStyle/>
                  <a:p>
                    <a:fld id="{57EB07DD-79D3-4FB7-BFE0-F8A3FACA90CA}" type="VALUE">
                      <a:rPr lang="en-US" sz="1050" b="1"/>
                      <a:pPr/>
                      <a:t>[VALUE]</a:t>
                    </a:fld>
                    <a:endParaRPr lang="en-IN"/>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7013-4187-9801-0C9D96A190F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Pivot_Analysis!$B$42:$B$44</c:f>
              <c:strCache>
                <c:ptCount val="2"/>
                <c:pt idx="0">
                  <c:v>No</c:v>
                </c:pt>
                <c:pt idx="1">
                  <c:v>Yes</c:v>
                </c:pt>
              </c:strCache>
            </c:strRef>
          </c:cat>
          <c:val>
            <c:numRef>
              <c:f>Pivot_Analysis!$C$42:$C$44</c:f>
              <c:numCache>
                <c:formatCode>General</c:formatCode>
                <c:ptCount val="2"/>
                <c:pt idx="0">
                  <c:v>482</c:v>
                </c:pt>
                <c:pt idx="1">
                  <c:v>518</c:v>
                </c:pt>
              </c:numCache>
            </c:numRef>
          </c:val>
          <c:extLst>
            <c:ext xmlns:c16="http://schemas.microsoft.com/office/drawing/2014/chart" uri="{C3380CC4-5D6E-409C-BE32-E72D297353CC}">
              <c16:uniqueId val="{00000004-7013-4187-9801-0C9D96A190F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[Customerfeedback_cleaned.xlsx]Pivot_Analysis!PivotTable8</c:name>
    <c:fmtId val="3"/>
  </c:pivotSource>
  <c:chart>
    <c:autoTitleDeleted val="1"/>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3B29C0F-ADF0-466C-8739-7EE4EF6C8350}" type="VALUE">
                  <a:rPr lang="en-US" sz="1050"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accent2"/>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28F5031-68F5-49E5-A370-0F02CA8D23E9}" type="VALUE">
                  <a:rPr lang="en-US" sz="1050"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Pivot_Analysis!$H$41</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0F85-4817-BECC-9E2AB0723F7D}"/>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0F85-4817-BECC-9E2AB0723F7D}"/>
              </c:ext>
            </c:extLst>
          </c:dPt>
          <c:dLbls>
            <c:dLbl>
              <c:idx val="0"/>
              <c:tx>
                <c:rich>
                  <a:bodyPr/>
                  <a:lstStyle/>
                  <a:p>
                    <a:fld id="{43B29C0F-ADF0-466C-8739-7EE4EF6C8350}" type="VALUE">
                      <a:rPr lang="en-US" sz="1050" b="1"/>
                      <a:pPr/>
                      <a:t>[VALUE]</a:t>
                    </a:fld>
                    <a:endParaRPr lang="en-IN"/>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0F85-4817-BECC-9E2AB0723F7D}"/>
                </c:ext>
              </c:extLst>
            </c:dLbl>
            <c:dLbl>
              <c:idx val="1"/>
              <c:tx>
                <c:rich>
                  <a:bodyPr/>
                  <a:lstStyle/>
                  <a:p>
                    <a:fld id="{828F5031-68F5-49E5-A370-0F02CA8D23E9}" type="VALUE">
                      <a:rPr lang="en-US" sz="1050" b="1"/>
                      <a:pPr/>
                      <a:t>[VALUE]</a:t>
                    </a:fld>
                    <a:endParaRPr lang="en-IN"/>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0F85-4817-BECC-9E2AB0723F7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Pivot_Analysis!$G$42:$G$44</c:f>
              <c:strCache>
                <c:ptCount val="2"/>
                <c:pt idx="0">
                  <c:v>No</c:v>
                </c:pt>
                <c:pt idx="1">
                  <c:v>Yes</c:v>
                </c:pt>
              </c:strCache>
            </c:strRef>
          </c:cat>
          <c:val>
            <c:numRef>
              <c:f>Pivot_Analysis!$H$42:$H$44</c:f>
              <c:numCache>
                <c:formatCode>General</c:formatCode>
                <c:ptCount val="2"/>
                <c:pt idx="0">
                  <c:v>504</c:v>
                </c:pt>
                <c:pt idx="1">
                  <c:v>496</c:v>
                </c:pt>
              </c:numCache>
            </c:numRef>
          </c:val>
          <c:extLst>
            <c:ext xmlns:c16="http://schemas.microsoft.com/office/drawing/2014/chart" uri="{C3380CC4-5D6E-409C-BE32-E72D297353CC}">
              <c16:uniqueId val="{00000004-0F85-4817-BECC-9E2AB0723F7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[Customerfeedback_cleaned.xlsx]Pivot_Analysis!PivotTable9</c:name>
    <c:fmtId val="3"/>
  </c:pivotSource>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Pivot_Analysis!$M$41</c:f>
              <c:strCache>
                <c:ptCount val="1"/>
                <c:pt idx="0">
                  <c:v>Total</c:v>
                </c:pt>
              </c:strCache>
            </c:strRef>
          </c:tx>
          <c:spPr>
            <a:solidFill>
              <a:schemeClr val="accent4"/>
            </a:solidFill>
            <a:ln>
              <a:noFill/>
            </a:ln>
            <a:effectLst/>
          </c:spPr>
          <c:invertIfNegative val="0"/>
          <c:cat>
            <c:strRef>
              <c:f>Pivot_Analysis!$L$42:$L$45</c:f>
              <c:strCache>
                <c:ptCount val="3"/>
                <c:pt idx="0">
                  <c:v>High</c:v>
                </c:pt>
                <c:pt idx="1">
                  <c:v>Low</c:v>
                </c:pt>
                <c:pt idx="2">
                  <c:v>Medium</c:v>
                </c:pt>
              </c:strCache>
            </c:strRef>
          </c:cat>
          <c:val>
            <c:numRef>
              <c:f>Pivot_Analysis!$M$42:$M$45</c:f>
              <c:numCache>
                <c:formatCode>General</c:formatCode>
                <c:ptCount val="3"/>
                <c:pt idx="0">
                  <c:v>464</c:v>
                </c:pt>
                <c:pt idx="1">
                  <c:v>339</c:v>
                </c:pt>
                <c:pt idx="2">
                  <c:v>197</c:v>
                </c:pt>
              </c:numCache>
            </c:numRef>
          </c:val>
          <c:extLst>
            <c:ext xmlns:c16="http://schemas.microsoft.com/office/drawing/2014/chart" uri="{C3380CC4-5D6E-409C-BE32-E72D297353CC}">
              <c16:uniqueId val="{00000000-F34E-4E82-A243-EE1CDE2DCDDE}"/>
            </c:ext>
          </c:extLst>
        </c:ser>
        <c:dLbls>
          <c:showLegendKey val="0"/>
          <c:showVal val="0"/>
          <c:showCatName val="0"/>
          <c:showSerName val="0"/>
          <c:showPercent val="0"/>
          <c:showBubbleSize val="0"/>
        </c:dLbls>
        <c:gapWidth val="219"/>
        <c:overlap val="-27"/>
        <c:axId val="795527455"/>
        <c:axId val="795534655"/>
      </c:barChart>
      <c:catAx>
        <c:axId val="795527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534655"/>
        <c:crosses val="autoZero"/>
        <c:auto val="1"/>
        <c:lblAlgn val="ctr"/>
        <c:lblOffset val="100"/>
        <c:noMultiLvlLbl val="0"/>
      </c:catAx>
      <c:valAx>
        <c:axId val="795534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527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[Customerfeedback_cleaned.xlsx]Pivot_Analysis!PivotTable6</c:name>
    <c:fmtId val="4"/>
  </c:pivotSource>
  <c:chart>
    <c:autoTitleDeleted val="1"/>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s>
    <c:plotArea>
      <c:layout/>
      <c:doughnutChart>
        <c:varyColors val="1"/>
        <c:ser>
          <c:idx val="0"/>
          <c:order val="0"/>
          <c:tx>
            <c:strRef>
              <c:f>Pivot_Analysis!$M$29</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8FA1-447C-8836-8EE50BC4747C}"/>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8FA1-447C-8836-8EE50BC4747C}"/>
              </c:ext>
            </c:extLst>
          </c:dPt>
          <c:cat>
            <c:strRef>
              <c:f>Pivot_Analysis!$L$30:$L$32</c:f>
              <c:strCache>
                <c:ptCount val="2"/>
                <c:pt idx="0">
                  <c:v>No</c:v>
                </c:pt>
                <c:pt idx="1">
                  <c:v>Yes</c:v>
                </c:pt>
              </c:strCache>
            </c:strRef>
          </c:cat>
          <c:val>
            <c:numRef>
              <c:f>Pivot_Analysis!$M$30:$M$32</c:f>
              <c:numCache>
                <c:formatCode>General</c:formatCode>
                <c:ptCount val="2"/>
                <c:pt idx="0">
                  <c:v>661</c:v>
                </c:pt>
                <c:pt idx="1">
                  <c:v>339</c:v>
                </c:pt>
              </c:numCache>
            </c:numRef>
          </c:val>
          <c:extLst>
            <c:ext xmlns:c16="http://schemas.microsoft.com/office/drawing/2014/chart" uri="{C3380CC4-5D6E-409C-BE32-E72D297353CC}">
              <c16:uniqueId val="{00000004-8FA1-447C-8836-8EE50BC4747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0</xdr:colOff>
      <xdr:row>15</xdr:row>
      <xdr:rowOff>0</xdr:rowOff>
    </xdr:from>
    <xdr:to>
      <xdr:col>9</xdr:col>
      <xdr:colOff>0</xdr:colOff>
      <xdr:row>30</xdr:row>
      <xdr:rowOff>0</xdr:rowOff>
    </xdr:to>
    <xdr:graphicFrame macro="">
      <xdr:nvGraphicFramePr>
        <xdr:cNvPr id="2" name="Chart 1">
          <a:extLst>
            <a:ext uri="{FF2B5EF4-FFF2-40B4-BE49-F238E27FC236}">
              <a16:creationId xmlns:a16="http://schemas.microsoft.com/office/drawing/2014/main" id="{0D100C29-BB0D-4B22-9B93-563335A94D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0</xdr:colOff>
      <xdr:row>15</xdr:row>
      <xdr:rowOff>0</xdr:rowOff>
    </xdr:from>
    <xdr:to>
      <xdr:col>19</xdr:col>
      <xdr:colOff>601980</xdr:colOff>
      <xdr:row>30</xdr:row>
      <xdr:rowOff>0</xdr:rowOff>
    </xdr:to>
    <xdr:graphicFrame macro="">
      <xdr:nvGraphicFramePr>
        <xdr:cNvPr id="3" name="Chart 2">
          <a:extLst>
            <a:ext uri="{FF2B5EF4-FFF2-40B4-BE49-F238E27FC236}">
              <a16:creationId xmlns:a16="http://schemas.microsoft.com/office/drawing/2014/main" id="{9D70E379-CC3B-4D97-B948-E35B43FADE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35</xdr:row>
      <xdr:rowOff>0</xdr:rowOff>
    </xdr:from>
    <xdr:to>
      <xdr:col>8</xdr:col>
      <xdr:colOff>601980</xdr:colOff>
      <xdr:row>50</xdr:row>
      <xdr:rowOff>0</xdr:rowOff>
    </xdr:to>
    <xdr:graphicFrame macro="">
      <xdr:nvGraphicFramePr>
        <xdr:cNvPr id="4" name="Chart 3">
          <a:extLst>
            <a:ext uri="{FF2B5EF4-FFF2-40B4-BE49-F238E27FC236}">
              <a16:creationId xmlns:a16="http://schemas.microsoft.com/office/drawing/2014/main" id="{DD4A009D-87FF-4B5F-BBD7-EC0F7F4942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0</xdr:colOff>
      <xdr:row>35</xdr:row>
      <xdr:rowOff>0</xdr:rowOff>
    </xdr:from>
    <xdr:to>
      <xdr:col>20</xdr:col>
      <xdr:colOff>0</xdr:colOff>
      <xdr:row>50</xdr:row>
      <xdr:rowOff>0</xdr:rowOff>
    </xdr:to>
    <xdr:graphicFrame macro="">
      <xdr:nvGraphicFramePr>
        <xdr:cNvPr id="5" name="Chart 4">
          <a:extLst>
            <a:ext uri="{FF2B5EF4-FFF2-40B4-BE49-F238E27FC236}">
              <a16:creationId xmlns:a16="http://schemas.microsoft.com/office/drawing/2014/main" id="{984E888D-695E-42A7-9CC4-F06C8E5864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0</xdr:colOff>
      <xdr:row>54</xdr:row>
      <xdr:rowOff>0</xdr:rowOff>
    </xdr:from>
    <xdr:to>
      <xdr:col>9</xdr:col>
      <xdr:colOff>0</xdr:colOff>
      <xdr:row>69</xdr:row>
      <xdr:rowOff>0</xdr:rowOff>
    </xdr:to>
    <xdr:graphicFrame macro="">
      <xdr:nvGraphicFramePr>
        <xdr:cNvPr id="6" name="Chart 5">
          <a:extLst>
            <a:ext uri="{FF2B5EF4-FFF2-40B4-BE49-F238E27FC236}">
              <a16:creationId xmlns:a16="http://schemas.microsoft.com/office/drawing/2014/main" id="{56DD22C1-3A09-45D3-BF7C-2ECB1AA19C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0</xdr:colOff>
      <xdr:row>54</xdr:row>
      <xdr:rowOff>0</xdr:rowOff>
    </xdr:from>
    <xdr:to>
      <xdr:col>20</xdr:col>
      <xdr:colOff>0</xdr:colOff>
      <xdr:row>69</xdr:row>
      <xdr:rowOff>0</xdr:rowOff>
    </xdr:to>
    <xdr:graphicFrame macro="">
      <xdr:nvGraphicFramePr>
        <xdr:cNvPr id="8" name="Chart 7">
          <a:extLst>
            <a:ext uri="{FF2B5EF4-FFF2-40B4-BE49-F238E27FC236}">
              <a16:creationId xmlns:a16="http://schemas.microsoft.com/office/drawing/2014/main" id="{9ABF9A6B-EDA0-485B-8B8D-483A6805E7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19</xdr:col>
      <xdr:colOff>0</xdr:colOff>
      <xdr:row>7</xdr:row>
      <xdr:rowOff>175261</xdr:rowOff>
    </xdr:from>
    <xdr:to>
      <xdr:col>22</xdr:col>
      <xdr:colOff>0</xdr:colOff>
      <xdr:row>11</xdr:row>
      <xdr:rowOff>1</xdr:rowOff>
    </xdr:to>
    <mc:AlternateContent xmlns:mc="http://schemas.openxmlformats.org/markup-compatibility/2006" xmlns:a14="http://schemas.microsoft.com/office/drawing/2010/main">
      <mc:Choice Requires="a14">
        <xdr:graphicFrame macro="">
          <xdr:nvGraphicFramePr>
            <xdr:cNvPr id="9" name="contacted_agent">
              <a:extLst>
                <a:ext uri="{FF2B5EF4-FFF2-40B4-BE49-F238E27FC236}">
                  <a16:creationId xmlns:a16="http://schemas.microsoft.com/office/drawing/2014/main" id="{89656F46-C3E8-47D4-8D12-6492BFE52865}"/>
                </a:ext>
              </a:extLst>
            </xdr:cNvPr>
            <xdr:cNvGraphicFramePr/>
          </xdr:nvGraphicFramePr>
          <xdr:xfrm>
            <a:off x="0" y="0"/>
            <a:ext cx="0" cy="0"/>
          </xdr:xfrm>
          <a:graphic>
            <a:graphicData uri="http://schemas.microsoft.com/office/drawing/2010/slicer">
              <sle:slicer xmlns:sle="http://schemas.microsoft.com/office/drawing/2010/slicer" name="contacted_agent"/>
            </a:graphicData>
          </a:graphic>
        </xdr:graphicFrame>
      </mc:Choice>
      <mc:Fallback xmlns="">
        <xdr:sp macro="" textlink="">
          <xdr:nvSpPr>
            <xdr:cNvPr id="0" name=""/>
            <xdr:cNvSpPr>
              <a:spLocks noTextEdit="1"/>
            </xdr:cNvSpPr>
          </xdr:nvSpPr>
          <xdr:spPr>
            <a:xfrm>
              <a:off x="11582400" y="1615441"/>
              <a:ext cx="1828800" cy="556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396240</xdr:colOff>
      <xdr:row>8</xdr:row>
      <xdr:rowOff>15241</xdr:rowOff>
    </xdr:from>
    <xdr:to>
      <xdr:col>14</xdr:col>
      <xdr:colOff>396240</xdr:colOff>
      <xdr:row>11</xdr:row>
      <xdr:rowOff>7621</xdr:rowOff>
    </xdr:to>
    <mc:AlternateContent xmlns:mc="http://schemas.openxmlformats.org/markup-compatibility/2006" xmlns:a14="http://schemas.microsoft.com/office/drawing/2010/main">
      <mc:Choice Requires="a14">
        <xdr:graphicFrame macro="">
          <xdr:nvGraphicFramePr>
            <xdr:cNvPr id="10" name="Feedback_Category">
              <a:extLst>
                <a:ext uri="{FF2B5EF4-FFF2-40B4-BE49-F238E27FC236}">
                  <a16:creationId xmlns:a16="http://schemas.microsoft.com/office/drawing/2014/main" id="{B32229FD-F70B-4B83-81DB-82DC9F81A0FB}"/>
                </a:ext>
              </a:extLst>
            </xdr:cNvPr>
            <xdr:cNvGraphicFramePr/>
          </xdr:nvGraphicFramePr>
          <xdr:xfrm>
            <a:off x="0" y="0"/>
            <a:ext cx="0" cy="0"/>
          </xdr:xfrm>
          <a:graphic>
            <a:graphicData uri="http://schemas.microsoft.com/office/drawing/2010/slicer">
              <sle:slicer xmlns:sle="http://schemas.microsoft.com/office/drawing/2010/slicer" name="Feedback_Category"/>
            </a:graphicData>
          </a:graphic>
        </xdr:graphicFrame>
      </mc:Choice>
      <mc:Fallback xmlns="">
        <xdr:sp macro="" textlink="">
          <xdr:nvSpPr>
            <xdr:cNvPr id="0" name=""/>
            <xdr:cNvSpPr>
              <a:spLocks noTextEdit="1"/>
            </xdr:cNvSpPr>
          </xdr:nvSpPr>
          <xdr:spPr>
            <a:xfrm>
              <a:off x="7101840" y="1638301"/>
              <a:ext cx="1828800" cy="541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236220</xdr:colOff>
      <xdr:row>8</xdr:row>
      <xdr:rowOff>7621</xdr:rowOff>
    </xdr:from>
    <xdr:to>
      <xdr:col>18</xdr:col>
      <xdr:colOff>236220</xdr:colOff>
      <xdr:row>11</xdr:row>
      <xdr:rowOff>7620</xdr:rowOff>
    </xdr:to>
    <mc:AlternateContent xmlns:mc="http://schemas.openxmlformats.org/markup-compatibility/2006" xmlns:a14="http://schemas.microsoft.com/office/drawing/2010/main">
      <mc:Choice Requires="a14">
        <xdr:graphicFrame macro="">
          <xdr:nvGraphicFramePr>
            <xdr:cNvPr id="11" name="Rating Group">
              <a:extLst>
                <a:ext uri="{FF2B5EF4-FFF2-40B4-BE49-F238E27FC236}">
                  <a16:creationId xmlns:a16="http://schemas.microsoft.com/office/drawing/2014/main" id="{35ED3703-DF69-4064-8141-5902F28C4BD6}"/>
                </a:ext>
              </a:extLst>
            </xdr:cNvPr>
            <xdr:cNvGraphicFramePr/>
          </xdr:nvGraphicFramePr>
          <xdr:xfrm>
            <a:off x="0" y="0"/>
            <a:ext cx="0" cy="0"/>
          </xdr:xfrm>
          <a:graphic>
            <a:graphicData uri="http://schemas.microsoft.com/office/drawing/2010/slicer">
              <sle:slicer xmlns:sle="http://schemas.microsoft.com/office/drawing/2010/slicer" name="Rating Group"/>
            </a:graphicData>
          </a:graphic>
        </xdr:graphicFrame>
      </mc:Choice>
      <mc:Fallback xmlns="">
        <xdr:sp macro="" textlink="">
          <xdr:nvSpPr>
            <xdr:cNvPr id="0" name=""/>
            <xdr:cNvSpPr>
              <a:spLocks noTextEdit="1"/>
            </xdr:cNvSpPr>
          </xdr:nvSpPr>
          <xdr:spPr>
            <a:xfrm>
              <a:off x="9380220" y="1630681"/>
              <a:ext cx="1828800" cy="5486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601980</xdr:colOff>
      <xdr:row>8</xdr:row>
      <xdr:rowOff>15241</xdr:rowOff>
    </xdr:from>
    <xdr:to>
      <xdr:col>3</xdr:col>
      <xdr:colOff>601980</xdr:colOff>
      <xdr:row>11</xdr:row>
      <xdr:rowOff>7620</xdr:rowOff>
    </xdr:to>
    <mc:AlternateContent xmlns:mc="http://schemas.openxmlformats.org/markup-compatibility/2006" xmlns:a14="http://schemas.microsoft.com/office/drawing/2010/main">
      <mc:Choice Requires="a14">
        <xdr:graphicFrame macro="">
          <xdr:nvGraphicFramePr>
            <xdr:cNvPr id="12" name="Year">
              <a:extLst>
                <a:ext uri="{FF2B5EF4-FFF2-40B4-BE49-F238E27FC236}">
                  <a16:creationId xmlns:a16="http://schemas.microsoft.com/office/drawing/2014/main" id="{235F241E-4AE7-4593-A0A0-689D6C7BEE8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601980" y="1638301"/>
              <a:ext cx="1828800" cy="5410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396240</xdr:colOff>
      <xdr:row>8</xdr:row>
      <xdr:rowOff>15241</xdr:rowOff>
    </xdr:from>
    <xdr:to>
      <xdr:col>7</xdr:col>
      <xdr:colOff>396240</xdr:colOff>
      <xdr:row>11</xdr:row>
      <xdr:rowOff>7620</xdr:rowOff>
    </xdr:to>
    <mc:AlternateContent xmlns:mc="http://schemas.openxmlformats.org/markup-compatibility/2006" xmlns:a14="http://schemas.microsoft.com/office/drawing/2010/main">
      <mc:Choice Requires="a14">
        <xdr:graphicFrame macro="">
          <xdr:nvGraphicFramePr>
            <xdr:cNvPr id="13" name="Month">
              <a:extLst>
                <a:ext uri="{FF2B5EF4-FFF2-40B4-BE49-F238E27FC236}">
                  <a16:creationId xmlns:a16="http://schemas.microsoft.com/office/drawing/2014/main" id="{88B05B16-9EE1-41F2-A19C-E40F08FFEC43}"/>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834640" y="1638301"/>
              <a:ext cx="1828800" cy="5410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0</xdr:colOff>
      <xdr:row>8</xdr:row>
      <xdr:rowOff>22861</xdr:rowOff>
    </xdr:from>
    <xdr:to>
      <xdr:col>11</xdr:col>
      <xdr:colOff>0</xdr:colOff>
      <xdr:row>11</xdr:row>
      <xdr:rowOff>15241</xdr:rowOff>
    </xdr:to>
    <mc:AlternateContent xmlns:mc="http://schemas.openxmlformats.org/markup-compatibility/2006" xmlns:a14="http://schemas.microsoft.com/office/drawing/2010/main">
      <mc:Choice Requires="a14">
        <xdr:graphicFrame macro="">
          <xdr:nvGraphicFramePr>
            <xdr:cNvPr id="15" name="Quarter">
              <a:extLst>
                <a:ext uri="{FF2B5EF4-FFF2-40B4-BE49-F238E27FC236}">
                  <a16:creationId xmlns:a16="http://schemas.microsoft.com/office/drawing/2014/main" id="{D996866C-D6BC-433F-8459-E706654192F9}"/>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4876800" y="1645921"/>
              <a:ext cx="1828800" cy="541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22860</xdr:colOff>
      <xdr:row>3</xdr:row>
      <xdr:rowOff>22860</xdr:rowOff>
    </xdr:from>
    <xdr:to>
      <xdr:col>3</xdr:col>
      <xdr:colOff>563880</xdr:colOff>
      <xdr:row>6</xdr:row>
      <xdr:rowOff>60960</xdr:rowOff>
    </xdr:to>
    <xdr:sp macro="" textlink="">
      <xdr:nvSpPr>
        <xdr:cNvPr id="16" name="Rectangle: Rounded Corners 15">
          <a:extLst>
            <a:ext uri="{FF2B5EF4-FFF2-40B4-BE49-F238E27FC236}">
              <a16:creationId xmlns:a16="http://schemas.microsoft.com/office/drawing/2014/main" id="{82CAE55D-3B4D-BC10-9C08-76DCD565B518}"/>
            </a:ext>
          </a:extLst>
        </xdr:cNvPr>
        <xdr:cNvSpPr/>
      </xdr:nvSpPr>
      <xdr:spPr>
        <a:xfrm>
          <a:off x="1242060" y="731520"/>
          <a:ext cx="1150620" cy="586740"/>
        </a:xfrm>
        <a:prstGeom prst="round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a:p>
          <a:pPr algn="l"/>
          <a:r>
            <a:rPr lang="en-IN" sz="1100"/>
            <a:t>         </a:t>
          </a:r>
          <a:r>
            <a:rPr lang="en-IN" sz="1100" b="1">
              <a:solidFill>
                <a:schemeClr val="tx1"/>
              </a:solidFill>
            </a:rPr>
            <a:t>1000</a:t>
          </a:r>
        </a:p>
      </xdr:txBody>
    </xdr:sp>
    <xdr:clientData/>
  </xdr:twoCellAnchor>
  <xdr:twoCellAnchor>
    <xdr:from>
      <xdr:col>6</xdr:col>
      <xdr:colOff>182880</xdr:colOff>
      <xdr:row>3</xdr:row>
      <xdr:rowOff>7620</xdr:rowOff>
    </xdr:from>
    <xdr:to>
      <xdr:col>8</xdr:col>
      <xdr:colOff>114300</xdr:colOff>
      <xdr:row>6</xdr:row>
      <xdr:rowOff>45720</xdr:rowOff>
    </xdr:to>
    <xdr:sp macro="" textlink="">
      <xdr:nvSpPr>
        <xdr:cNvPr id="18" name="Rectangle: Rounded Corners 17">
          <a:extLst>
            <a:ext uri="{FF2B5EF4-FFF2-40B4-BE49-F238E27FC236}">
              <a16:creationId xmlns:a16="http://schemas.microsoft.com/office/drawing/2014/main" id="{570F8075-4DCC-4197-9DA1-0A3A7BD1A97C}"/>
            </a:ext>
          </a:extLst>
        </xdr:cNvPr>
        <xdr:cNvSpPr/>
      </xdr:nvSpPr>
      <xdr:spPr>
        <a:xfrm>
          <a:off x="3840480" y="716280"/>
          <a:ext cx="1150620" cy="586740"/>
        </a:xfrm>
        <a:prstGeom prst="round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a:p>
          <a:pPr algn="l"/>
          <a:r>
            <a:rPr lang="en-IN" sz="1100" b="1">
              <a:solidFill>
                <a:schemeClr val="tx1"/>
              </a:solidFill>
            </a:rPr>
            <a:t>         </a:t>
          </a:r>
          <a:r>
            <a:rPr lang="en-IN" sz="1100" b="1" baseline="0">
              <a:solidFill>
                <a:schemeClr val="tx1"/>
              </a:solidFill>
            </a:rPr>
            <a:t>  3.22</a:t>
          </a:r>
          <a:endParaRPr lang="en-IN" sz="1100" b="1">
            <a:solidFill>
              <a:schemeClr val="tx1"/>
            </a:solidFill>
          </a:endParaRPr>
        </a:p>
      </xdr:txBody>
    </xdr:sp>
    <xdr:clientData/>
  </xdr:twoCellAnchor>
  <xdr:twoCellAnchor>
    <xdr:from>
      <xdr:col>10</xdr:col>
      <xdr:colOff>304800</xdr:colOff>
      <xdr:row>3</xdr:row>
      <xdr:rowOff>15240</xdr:rowOff>
    </xdr:from>
    <xdr:to>
      <xdr:col>12</xdr:col>
      <xdr:colOff>236220</xdr:colOff>
      <xdr:row>6</xdr:row>
      <xdr:rowOff>53340</xdr:rowOff>
    </xdr:to>
    <xdr:sp macro="" textlink="">
      <xdr:nvSpPr>
        <xdr:cNvPr id="19" name="Rectangle: Rounded Corners 18">
          <a:extLst>
            <a:ext uri="{FF2B5EF4-FFF2-40B4-BE49-F238E27FC236}">
              <a16:creationId xmlns:a16="http://schemas.microsoft.com/office/drawing/2014/main" id="{2626EC97-AEE1-43AF-9A44-84EF613BA8B3}"/>
            </a:ext>
          </a:extLst>
        </xdr:cNvPr>
        <xdr:cNvSpPr/>
      </xdr:nvSpPr>
      <xdr:spPr>
        <a:xfrm>
          <a:off x="6400800" y="723900"/>
          <a:ext cx="1150620" cy="586740"/>
        </a:xfrm>
        <a:prstGeom prst="round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a:p>
          <a:pPr algn="l"/>
          <a:r>
            <a:rPr lang="en-IN" sz="1100"/>
            <a:t>            </a:t>
          </a:r>
          <a:r>
            <a:rPr lang="en-IN" sz="1100" b="1">
              <a:solidFill>
                <a:schemeClr val="tx1"/>
              </a:solidFill>
            </a:rPr>
            <a:t>464</a:t>
          </a:r>
        </a:p>
      </xdr:txBody>
    </xdr:sp>
    <xdr:clientData/>
  </xdr:twoCellAnchor>
  <xdr:twoCellAnchor>
    <xdr:from>
      <xdr:col>14</xdr:col>
      <xdr:colOff>441960</xdr:colOff>
      <xdr:row>3</xdr:row>
      <xdr:rowOff>22860</xdr:rowOff>
    </xdr:from>
    <xdr:to>
      <xdr:col>16</xdr:col>
      <xdr:colOff>373380</xdr:colOff>
      <xdr:row>6</xdr:row>
      <xdr:rowOff>60960</xdr:rowOff>
    </xdr:to>
    <xdr:sp macro="" textlink="">
      <xdr:nvSpPr>
        <xdr:cNvPr id="20" name="Rectangle: Rounded Corners 19">
          <a:extLst>
            <a:ext uri="{FF2B5EF4-FFF2-40B4-BE49-F238E27FC236}">
              <a16:creationId xmlns:a16="http://schemas.microsoft.com/office/drawing/2014/main" id="{B39B907E-C6A8-4B71-AD2B-3D47AF02DA23}"/>
            </a:ext>
          </a:extLst>
        </xdr:cNvPr>
        <xdr:cNvSpPr/>
      </xdr:nvSpPr>
      <xdr:spPr>
        <a:xfrm>
          <a:off x="8976360" y="731520"/>
          <a:ext cx="1150620" cy="586740"/>
        </a:xfrm>
        <a:prstGeom prst="round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a:p>
          <a:pPr algn="l"/>
          <a:r>
            <a:rPr lang="en-IN" sz="1100"/>
            <a:t>           </a:t>
          </a:r>
          <a:r>
            <a:rPr lang="en-IN" sz="1100" b="1">
              <a:solidFill>
                <a:schemeClr val="tx1"/>
              </a:solidFill>
            </a:rPr>
            <a:t>339</a:t>
          </a:r>
        </a:p>
      </xdr:txBody>
    </xdr:sp>
    <xdr:clientData/>
  </xdr:twoCellAnchor>
  <xdr:twoCellAnchor>
    <xdr:from>
      <xdr:col>19</xdr:col>
      <xdr:colOff>91440</xdr:colOff>
      <xdr:row>3</xdr:row>
      <xdr:rowOff>0</xdr:rowOff>
    </xdr:from>
    <xdr:to>
      <xdr:col>21</xdr:col>
      <xdr:colOff>22860</xdr:colOff>
      <xdr:row>6</xdr:row>
      <xdr:rowOff>38100</xdr:rowOff>
    </xdr:to>
    <xdr:sp macro="" textlink="">
      <xdr:nvSpPr>
        <xdr:cNvPr id="21" name="Rectangle: Rounded Corners 20">
          <a:extLst>
            <a:ext uri="{FF2B5EF4-FFF2-40B4-BE49-F238E27FC236}">
              <a16:creationId xmlns:a16="http://schemas.microsoft.com/office/drawing/2014/main" id="{8EB38621-378E-4004-8BCC-B7617AAA382D}"/>
            </a:ext>
          </a:extLst>
        </xdr:cNvPr>
        <xdr:cNvSpPr/>
      </xdr:nvSpPr>
      <xdr:spPr>
        <a:xfrm>
          <a:off x="11673840" y="708660"/>
          <a:ext cx="1150620" cy="586740"/>
        </a:xfrm>
        <a:prstGeom prst="round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a:p>
          <a:pPr algn="l"/>
          <a:r>
            <a:rPr lang="en-IN" sz="1100" baseline="0"/>
            <a:t>          </a:t>
          </a:r>
          <a:r>
            <a:rPr lang="en-IN" sz="1100" b="1" baseline="0">
              <a:solidFill>
                <a:schemeClr val="tx1"/>
              </a:solidFill>
            </a:rPr>
            <a:t>197</a:t>
          </a:r>
          <a:endParaRPr lang="en-IN" sz="1100" b="1">
            <a:solidFill>
              <a:schemeClr val="tx1"/>
            </a:solidFill>
          </a:endParaRPr>
        </a:p>
      </xdr:txBody>
    </xdr:sp>
    <xdr:clientData/>
  </xdr:twoCellAnchor>
  <xdr:twoCellAnchor>
    <xdr:from>
      <xdr:col>1</xdr:col>
      <xdr:colOff>411480</xdr:colOff>
      <xdr:row>2</xdr:row>
      <xdr:rowOff>91440</xdr:rowOff>
    </xdr:from>
    <xdr:to>
      <xdr:col>4</xdr:col>
      <xdr:colOff>175260</xdr:colOff>
      <xdr:row>4</xdr:row>
      <xdr:rowOff>15240</xdr:rowOff>
    </xdr:to>
    <xdr:sp macro="" textlink="">
      <xdr:nvSpPr>
        <xdr:cNvPr id="24" name="Rectangle 23">
          <a:extLst>
            <a:ext uri="{FF2B5EF4-FFF2-40B4-BE49-F238E27FC236}">
              <a16:creationId xmlns:a16="http://schemas.microsoft.com/office/drawing/2014/main" id="{70C5335E-2D80-A1E9-34BE-3B1040FFEC34}"/>
            </a:ext>
          </a:extLst>
        </xdr:cNvPr>
        <xdr:cNvSpPr/>
      </xdr:nvSpPr>
      <xdr:spPr>
        <a:xfrm>
          <a:off x="1021080" y="617220"/>
          <a:ext cx="1592580" cy="289560"/>
        </a:xfrm>
        <a:prstGeom prst="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b="1">
              <a:solidFill>
                <a:schemeClr val="tx1"/>
              </a:solidFill>
            </a:rPr>
            <a:t>Total Feedback</a:t>
          </a:r>
          <a:endParaRPr lang="en-IN" sz="1100" b="1">
            <a:solidFill>
              <a:schemeClr val="tx1"/>
            </a:solidFill>
          </a:endParaRPr>
        </a:p>
      </xdr:txBody>
    </xdr:sp>
    <xdr:clientData/>
  </xdr:twoCellAnchor>
  <xdr:twoCellAnchor>
    <xdr:from>
      <xdr:col>5</xdr:col>
      <xdr:colOff>548640</xdr:colOff>
      <xdr:row>2</xdr:row>
      <xdr:rowOff>68580</xdr:rowOff>
    </xdr:from>
    <xdr:to>
      <xdr:col>8</xdr:col>
      <xdr:colOff>312420</xdr:colOff>
      <xdr:row>3</xdr:row>
      <xdr:rowOff>175260</xdr:rowOff>
    </xdr:to>
    <xdr:sp macro="" textlink="">
      <xdr:nvSpPr>
        <xdr:cNvPr id="25" name="Rectangle 24">
          <a:extLst>
            <a:ext uri="{FF2B5EF4-FFF2-40B4-BE49-F238E27FC236}">
              <a16:creationId xmlns:a16="http://schemas.microsoft.com/office/drawing/2014/main" id="{0604FFA3-2F0B-4A1C-98F4-A538FC25C056}"/>
            </a:ext>
          </a:extLst>
        </xdr:cNvPr>
        <xdr:cNvSpPr/>
      </xdr:nvSpPr>
      <xdr:spPr>
        <a:xfrm>
          <a:off x="3596640" y="594360"/>
          <a:ext cx="1592580" cy="289560"/>
        </a:xfrm>
        <a:prstGeom prst="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b="1">
              <a:solidFill>
                <a:schemeClr val="tx1"/>
              </a:solidFill>
            </a:rPr>
            <a:t>Avg Satisfaction Score</a:t>
          </a:r>
          <a:endParaRPr lang="en-IN" sz="1100" b="1">
            <a:solidFill>
              <a:schemeClr val="tx1"/>
            </a:solidFill>
          </a:endParaRPr>
        </a:p>
      </xdr:txBody>
    </xdr:sp>
    <xdr:clientData/>
  </xdr:twoCellAnchor>
  <xdr:twoCellAnchor>
    <xdr:from>
      <xdr:col>10</xdr:col>
      <xdr:colOff>114300</xdr:colOff>
      <xdr:row>2</xdr:row>
      <xdr:rowOff>68580</xdr:rowOff>
    </xdr:from>
    <xdr:to>
      <xdr:col>12</xdr:col>
      <xdr:colOff>487680</xdr:colOff>
      <xdr:row>3</xdr:row>
      <xdr:rowOff>175260</xdr:rowOff>
    </xdr:to>
    <xdr:sp macro="" textlink="">
      <xdr:nvSpPr>
        <xdr:cNvPr id="26" name="Rectangle 25">
          <a:extLst>
            <a:ext uri="{FF2B5EF4-FFF2-40B4-BE49-F238E27FC236}">
              <a16:creationId xmlns:a16="http://schemas.microsoft.com/office/drawing/2014/main" id="{ABD159B7-12ED-4C54-8464-C5A98DFC2C0F}"/>
            </a:ext>
          </a:extLst>
        </xdr:cNvPr>
        <xdr:cNvSpPr/>
      </xdr:nvSpPr>
      <xdr:spPr>
        <a:xfrm>
          <a:off x="6210300" y="594360"/>
          <a:ext cx="1592580" cy="289560"/>
        </a:xfrm>
        <a:prstGeom prst="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b="1">
              <a:solidFill>
                <a:schemeClr val="tx1"/>
              </a:solidFill>
            </a:rPr>
            <a:t>Positive Feedback</a:t>
          </a:r>
          <a:endParaRPr lang="en-IN" sz="1100" b="1">
            <a:solidFill>
              <a:schemeClr val="tx1"/>
            </a:solidFill>
          </a:endParaRPr>
        </a:p>
      </xdr:txBody>
    </xdr:sp>
    <xdr:clientData/>
  </xdr:twoCellAnchor>
  <xdr:twoCellAnchor>
    <xdr:from>
      <xdr:col>14</xdr:col>
      <xdr:colOff>236220</xdr:colOff>
      <xdr:row>2</xdr:row>
      <xdr:rowOff>60960</xdr:rowOff>
    </xdr:from>
    <xdr:to>
      <xdr:col>17</xdr:col>
      <xdr:colOff>0</xdr:colOff>
      <xdr:row>3</xdr:row>
      <xdr:rowOff>167640</xdr:rowOff>
    </xdr:to>
    <xdr:sp macro="" textlink="">
      <xdr:nvSpPr>
        <xdr:cNvPr id="27" name="Rectangle 26">
          <a:extLst>
            <a:ext uri="{FF2B5EF4-FFF2-40B4-BE49-F238E27FC236}">
              <a16:creationId xmlns:a16="http://schemas.microsoft.com/office/drawing/2014/main" id="{E3B33616-7827-464F-BFEF-62402BFD7B0D}"/>
            </a:ext>
          </a:extLst>
        </xdr:cNvPr>
        <xdr:cNvSpPr/>
      </xdr:nvSpPr>
      <xdr:spPr>
        <a:xfrm>
          <a:off x="8770620" y="586740"/>
          <a:ext cx="1592580" cy="289560"/>
        </a:xfrm>
        <a:prstGeom prst="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b="1">
              <a:solidFill>
                <a:schemeClr val="tx1"/>
              </a:solidFill>
            </a:rPr>
            <a:t>Negative Feedback</a:t>
          </a:r>
          <a:endParaRPr lang="en-IN" sz="1100" b="1">
            <a:solidFill>
              <a:schemeClr val="tx1"/>
            </a:solidFill>
          </a:endParaRPr>
        </a:p>
      </xdr:txBody>
    </xdr:sp>
    <xdr:clientData/>
  </xdr:twoCellAnchor>
  <xdr:twoCellAnchor>
    <xdr:from>
      <xdr:col>18</xdr:col>
      <xdr:colOff>487680</xdr:colOff>
      <xdr:row>2</xdr:row>
      <xdr:rowOff>83820</xdr:rowOff>
    </xdr:from>
    <xdr:to>
      <xdr:col>21</xdr:col>
      <xdr:colOff>251460</xdr:colOff>
      <xdr:row>4</xdr:row>
      <xdr:rowOff>7620</xdr:rowOff>
    </xdr:to>
    <xdr:sp macro="" textlink="">
      <xdr:nvSpPr>
        <xdr:cNvPr id="28" name="Rectangle 27">
          <a:extLst>
            <a:ext uri="{FF2B5EF4-FFF2-40B4-BE49-F238E27FC236}">
              <a16:creationId xmlns:a16="http://schemas.microsoft.com/office/drawing/2014/main" id="{7830CC46-F498-4AC7-BAF4-C4FAEF038D2F}"/>
            </a:ext>
          </a:extLst>
        </xdr:cNvPr>
        <xdr:cNvSpPr/>
      </xdr:nvSpPr>
      <xdr:spPr>
        <a:xfrm>
          <a:off x="11460480" y="609600"/>
          <a:ext cx="1592580" cy="289560"/>
        </a:xfrm>
        <a:prstGeom prst="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b="1">
              <a:solidFill>
                <a:schemeClr val="tx1"/>
              </a:solidFill>
            </a:rPr>
            <a:t>Neutral Feedback </a:t>
          </a:r>
          <a:endParaRPr lang="en-IN" sz="1100" b="1">
            <a:solidFill>
              <a:schemeClr val="tx1"/>
            </a:solidFill>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11" refreshedDate="46231.066762037037" createdVersion="8" refreshedVersion="8" minRefreshableVersion="3" recordCount="1000" xr:uid="{FDDD57A0-D0CD-45E3-95C2-223FBD8AD6AC}">
  <cacheSource type="worksheet">
    <worksheetSource name="cf_cl"/>
  </cacheSource>
  <cacheFields count="16">
    <cacheField name="feedback_id" numFmtId="0">
      <sharedItems count="1000">
        <s v="FDB90000"/>
        <s v="FDB90001"/>
        <s v="FDB90002"/>
        <s v="FDB90003"/>
        <s v="FDB90004"/>
        <s v="FDB90005"/>
        <s v="FDB90006"/>
        <s v="FDB90007"/>
        <s v="FDB90008"/>
        <s v="FDB90009"/>
        <s v="FDB90010"/>
        <s v="FDB90011"/>
        <s v="FDB90012"/>
        <s v="FDB90013"/>
        <s v="FDB90014"/>
        <s v="FDB90015"/>
        <s v="FDB90016"/>
        <s v="FDB90017"/>
        <s v="FDB90018"/>
        <s v="FDB90019"/>
        <s v="FDB90020"/>
        <s v="FDB90021"/>
        <s v="FDB90022"/>
        <s v="FDB90023"/>
        <s v="FDB90024"/>
        <s v="FDB90025"/>
        <s v="FDB90026"/>
        <s v="FDB90027"/>
        <s v="FDB90028"/>
        <s v="FDB90029"/>
        <s v="FDB90030"/>
        <s v="FDB90031"/>
        <s v="FDB90032"/>
        <s v="FDB90033"/>
        <s v="FDB90034"/>
        <s v="FDB90035"/>
        <s v="FDB90036"/>
        <s v="FDB90037"/>
        <s v="FDB90038"/>
        <s v="FDB90039"/>
        <s v="FDB90040"/>
        <s v="FDB90041"/>
        <s v="FDB90042"/>
        <s v="FDB90043"/>
        <s v="FDB90044"/>
        <s v="FDB90045"/>
        <s v="FDB90046"/>
        <s v="FDB90047"/>
        <s v="FDB90048"/>
        <s v="FDB90049"/>
        <s v="FDB90050"/>
        <s v="FDB90051"/>
        <s v="FDB90052"/>
        <s v="FDB90053"/>
        <s v="FDB90054"/>
        <s v="FDB90055"/>
        <s v="FDB90056"/>
        <s v="FDB90057"/>
        <s v="FDB90058"/>
        <s v="FDB90059"/>
        <s v="FDB90060"/>
        <s v="FDB90061"/>
        <s v="FDB90062"/>
        <s v="FDB90063"/>
        <s v="FDB90064"/>
        <s v="FDB90065"/>
        <s v="FDB90066"/>
        <s v="FDB90067"/>
        <s v="FDB90068"/>
        <s v="FDB90069"/>
        <s v="FDB90070"/>
        <s v="FDB90071"/>
        <s v="FDB90072"/>
        <s v="FDB90073"/>
        <s v="FDB90074"/>
        <s v="FDB90075"/>
        <s v="FDB90076"/>
        <s v="FDB90077"/>
        <s v="FDB90078"/>
        <s v="FDB90079"/>
        <s v="FDB90080"/>
        <s v="FDB90081"/>
        <s v="FDB90082"/>
        <s v="FDB90083"/>
        <s v="FDB90084"/>
        <s v="FDB90085"/>
        <s v="FDB90086"/>
        <s v="FDB90087"/>
        <s v="FDB90088"/>
        <s v="FDB90089"/>
        <s v="FDB90090"/>
        <s v="FDB90091"/>
        <s v="FDB90092"/>
        <s v="FDB90093"/>
        <s v="FDB90094"/>
        <s v="FDB90095"/>
        <s v="FDB90096"/>
        <s v="FDB90097"/>
        <s v="FDB90098"/>
        <s v="FDB90099"/>
        <s v="FDB90100"/>
        <s v="FDB90101"/>
        <s v="FDB90102"/>
        <s v="FDB90103"/>
        <s v="FDB90104"/>
        <s v="FDB90105"/>
        <s v="FDB90106"/>
        <s v="FDB90107"/>
        <s v="FDB90108"/>
        <s v="FDB90109"/>
        <s v="FDB90110"/>
        <s v="FDB90111"/>
        <s v="FDB90112"/>
        <s v="FDB90113"/>
        <s v="FDB90114"/>
        <s v="FDB90115"/>
        <s v="FDB90116"/>
        <s v="FDB90117"/>
        <s v="FDB90118"/>
        <s v="FDB90119"/>
        <s v="FDB90120"/>
        <s v="FDB90121"/>
        <s v="FDB90122"/>
        <s v="FDB90123"/>
        <s v="FDB90124"/>
        <s v="FDB90125"/>
        <s v="FDB90126"/>
        <s v="FDB90127"/>
        <s v="FDB90128"/>
        <s v="FDB90129"/>
        <s v="FDB90130"/>
        <s v="FDB90131"/>
        <s v="FDB90132"/>
        <s v="FDB90133"/>
        <s v="FDB90134"/>
        <s v="FDB90135"/>
        <s v="FDB90136"/>
        <s v="FDB90137"/>
        <s v="FDB90138"/>
        <s v="FDB90139"/>
        <s v="FDB90140"/>
        <s v="FDB90141"/>
        <s v="FDB90142"/>
        <s v="FDB90143"/>
        <s v="FDB90144"/>
        <s v="FDB90145"/>
        <s v="FDB90146"/>
        <s v="FDB90147"/>
        <s v="FDB90148"/>
        <s v="FDB90149"/>
        <s v="FDB90150"/>
        <s v="FDB90151"/>
        <s v="FDB90152"/>
        <s v="FDB90153"/>
        <s v="FDB90154"/>
        <s v="FDB90155"/>
        <s v="FDB90156"/>
        <s v="FDB90157"/>
        <s v="FDB90158"/>
        <s v="FDB90159"/>
        <s v="FDB90160"/>
        <s v="FDB90161"/>
        <s v="FDB90162"/>
        <s v="FDB90163"/>
        <s v="FDB90164"/>
        <s v="FDB90165"/>
        <s v="FDB90166"/>
        <s v="FDB90167"/>
        <s v="FDB90168"/>
        <s v="FDB90169"/>
        <s v="FDB90170"/>
        <s v="FDB90171"/>
        <s v="FDB90172"/>
        <s v="FDB90173"/>
        <s v="FDB90174"/>
        <s v="FDB90175"/>
        <s v="FDB90176"/>
        <s v="FDB90177"/>
        <s v="FDB90178"/>
        <s v="FDB90179"/>
        <s v="FDB90180"/>
        <s v="FDB90181"/>
        <s v="FDB90182"/>
        <s v="FDB90183"/>
        <s v="FDB90184"/>
        <s v="FDB90185"/>
        <s v="FDB90186"/>
        <s v="FDB90187"/>
        <s v="FDB90188"/>
        <s v="FDB90189"/>
        <s v="FDB90190"/>
        <s v="FDB90191"/>
        <s v="FDB90192"/>
        <s v="FDB90193"/>
        <s v="FDB90194"/>
        <s v="FDB90195"/>
        <s v="FDB90196"/>
        <s v="FDB90197"/>
        <s v="FDB90198"/>
        <s v="FDB90199"/>
        <s v="FDB90200"/>
        <s v="FDB90201"/>
        <s v="FDB90202"/>
        <s v="FDB90203"/>
        <s v="FDB90204"/>
        <s v="FDB90205"/>
        <s v="FDB90206"/>
        <s v="FDB90207"/>
        <s v="FDB90208"/>
        <s v="FDB90209"/>
        <s v="FDB90210"/>
        <s v="FDB90211"/>
        <s v="FDB90212"/>
        <s v="FDB90213"/>
        <s v="FDB90214"/>
        <s v="FDB90215"/>
        <s v="FDB90216"/>
        <s v="FDB90217"/>
        <s v="FDB90218"/>
        <s v="FDB90219"/>
        <s v="FDB90220"/>
        <s v="FDB90221"/>
        <s v="FDB90222"/>
        <s v="FDB90223"/>
        <s v="FDB90224"/>
        <s v="FDB90225"/>
        <s v="FDB90226"/>
        <s v="FDB90227"/>
        <s v="FDB90228"/>
        <s v="FDB90229"/>
        <s v="FDB90230"/>
        <s v="FDB90231"/>
        <s v="FDB90232"/>
        <s v="FDB90233"/>
        <s v="FDB90234"/>
        <s v="FDB90235"/>
        <s v="FDB90236"/>
        <s v="FDB90237"/>
        <s v="FDB90238"/>
        <s v="FDB90239"/>
        <s v="FDB90240"/>
        <s v="FDB90241"/>
        <s v="FDB90242"/>
        <s v="FDB90243"/>
        <s v="FDB90244"/>
        <s v="FDB90245"/>
        <s v="FDB90246"/>
        <s v="FDB90247"/>
        <s v="FDB90248"/>
        <s v="FDB90249"/>
        <s v="FDB90250"/>
        <s v="FDB90251"/>
        <s v="FDB90252"/>
        <s v="FDB90253"/>
        <s v="FDB90254"/>
        <s v="FDB90255"/>
        <s v="FDB90256"/>
        <s v="FDB90257"/>
        <s v="FDB90258"/>
        <s v="FDB90259"/>
        <s v="FDB90260"/>
        <s v="FDB90261"/>
        <s v="FDB90262"/>
        <s v="FDB90263"/>
        <s v="FDB90264"/>
        <s v="FDB90265"/>
        <s v="FDB90266"/>
        <s v="FDB90267"/>
        <s v="FDB90268"/>
        <s v="FDB90269"/>
        <s v="FDB90270"/>
        <s v="FDB90271"/>
        <s v="FDB90272"/>
        <s v="FDB90273"/>
        <s v="FDB90274"/>
        <s v="FDB90275"/>
        <s v="FDB90276"/>
        <s v="FDB90277"/>
        <s v="FDB90278"/>
        <s v="FDB90279"/>
        <s v="FDB90280"/>
        <s v="FDB90281"/>
        <s v="FDB90282"/>
        <s v="FDB90283"/>
        <s v="FDB90284"/>
        <s v="FDB90285"/>
        <s v="FDB90286"/>
        <s v="FDB90287"/>
        <s v="FDB90288"/>
        <s v="FDB90289"/>
        <s v="FDB90290"/>
        <s v="FDB90291"/>
        <s v="FDB90292"/>
        <s v="FDB90293"/>
        <s v="FDB90294"/>
        <s v="FDB90295"/>
        <s v="FDB90296"/>
        <s v="FDB90297"/>
        <s v="FDB90298"/>
        <s v="FDB90299"/>
        <s v="FDB90300"/>
        <s v="FDB90301"/>
        <s v="FDB90302"/>
        <s v="FDB90303"/>
        <s v="FDB90304"/>
        <s v="FDB90305"/>
        <s v="FDB90306"/>
        <s v="FDB90307"/>
        <s v="FDB90308"/>
        <s v="FDB90309"/>
        <s v="FDB90310"/>
        <s v="FDB90311"/>
        <s v="FDB90312"/>
        <s v="FDB90313"/>
        <s v="FDB90314"/>
        <s v="FDB90315"/>
        <s v="FDB90316"/>
        <s v="FDB90317"/>
        <s v="FDB90318"/>
        <s v="FDB90319"/>
        <s v="FDB90320"/>
        <s v="FDB90321"/>
        <s v="FDB90322"/>
        <s v="FDB90323"/>
        <s v="FDB90324"/>
        <s v="FDB90325"/>
        <s v="FDB90326"/>
        <s v="FDB90327"/>
        <s v="FDB90328"/>
        <s v="FDB90329"/>
        <s v="FDB90330"/>
        <s v="FDB90331"/>
        <s v="FDB90332"/>
        <s v="FDB90333"/>
        <s v="FDB90334"/>
        <s v="FDB90335"/>
        <s v="FDB90336"/>
        <s v="FDB90337"/>
        <s v="FDB90338"/>
        <s v="FDB90339"/>
        <s v="FDB90340"/>
        <s v="FDB90341"/>
        <s v="FDB90342"/>
        <s v="FDB90343"/>
        <s v="FDB90344"/>
        <s v="FDB90345"/>
        <s v="FDB90346"/>
        <s v="FDB90347"/>
        <s v="FDB90348"/>
        <s v="FDB90349"/>
        <s v="FDB90350"/>
        <s v="FDB90351"/>
        <s v="FDB90352"/>
        <s v="FDB90353"/>
        <s v="FDB90354"/>
        <s v="FDB90355"/>
        <s v="FDB90356"/>
        <s v="FDB90357"/>
        <s v="FDB90358"/>
        <s v="FDB90359"/>
        <s v="FDB90360"/>
        <s v="FDB90361"/>
        <s v="FDB90362"/>
        <s v="FDB90363"/>
        <s v="FDB90364"/>
        <s v="FDB90365"/>
        <s v="FDB90366"/>
        <s v="FDB90367"/>
        <s v="FDB90368"/>
        <s v="FDB90369"/>
        <s v="FDB90370"/>
        <s v="FDB90371"/>
        <s v="FDB90372"/>
        <s v="FDB90373"/>
        <s v="FDB90374"/>
        <s v="FDB90375"/>
        <s v="FDB90376"/>
        <s v="FDB90377"/>
        <s v="FDB90378"/>
        <s v="FDB90379"/>
        <s v="FDB90380"/>
        <s v="FDB90381"/>
        <s v="FDB90382"/>
        <s v="FDB90383"/>
        <s v="FDB90384"/>
        <s v="FDB90385"/>
        <s v="FDB90386"/>
        <s v="FDB90387"/>
        <s v="FDB90388"/>
        <s v="FDB90389"/>
        <s v="FDB90390"/>
        <s v="FDB90391"/>
        <s v="FDB90392"/>
        <s v="FDB90393"/>
        <s v="FDB90394"/>
        <s v="FDB90395"/>
        <s v="FDB90396"/>
        <s v="FDB90397"/>
        <s v="FDB90398"/>
        <s v="FDB90399"/>
        <s v="FDB90400"/>
        <s v="FDB90401"/>
        <s v="FDB90402"/>
        <s v="FDB90403"/>
        <s v="FDB90404"/>
        <s v="FDB90405"/>
        <s v="FDB90406"/>
        <s v="FDB90407"/>
        <s v="FDB90408"/>
        <s v="FDB90409"/>
        <s v="FDB90410"/>
        <s v="FDB90411"/>
        <s v="FDB90412"/>
        <s v="FDB90413"/>
        <s v="FDB90414"/>
        <s v="FDB90415"/>
        <s v="FDB90416"/>
        <s v="FDB90417"/>
        <s v="FDB90418"/>
        <s v="FDB90419"/>
        <s v="FDB90420"/>
        <s v="FDB90421"/>
        <s v="FDB90422"/>
        <s v="FDB90423"/>
        <s v="FDB90424"/>
        <s v="FDB90425"/>
        <s v="FDB90426"/>
        <s v="FDB90427"/>
        <s v="FDB90428"/>
        <s v="FDB90429"/>
        <s v="FDB90430"/>
        <s v="FDB90431"/>
        <s v="FDB90432"/>
        <s v="FDB90433"/>
        <s v="FDB90434"/>
        <s v="FDB90435"/>
        <s v="FDB90436"/>
        <s v="FDB90437"/>
        <s v="FDB90438"/>
        <s v="FDB90439"/>
        <s v="FDB90440"/>
        <s v="FDB90441"/>
        <s v="FDB90442"/>
        <s v="FDB90443"/>
        <s v="FDB90444"/>
        <s v="FDB90445"/>
        <s v="FDB90446"/>
        <s v="FDB90447"/>
        <s v="FDB90448"/>
        <s v="FDB90449"/>
        <s v="FDB90450"/>
        <s v="FDB90451"/>
        <s v="FDB90452"/>
        <s v="FDB90453"/>
        <s v="FDB90454"/>
        <s v="FDB90455"/>
        <s v="FDB90456"/>
        <s v="FDB90457"/>
        <s v="FDB90458"/>
        <s v="FDB90459"/>
        <s v="FDB90460"/>
        <s v="FDB90461"/>
        <s v="FDB90462"/>
        <s v="FDB90463"/>
        <s v="FDB90464"/>
        <s v="FDB90465"/>
        <s v="FDB90466"/>
        <s v="FDB90467"/>
        <s v="FDB90468"/>
        <s v="FDB90469"/>
        <s v="FDB90470"/>
        <s v="FDB90471"/>
        <s v="FDB90472"/>
        <s v="FDB90473"/>
        <s v="FDB90474"/>
        <s v="FDB90475"/>
        <s v="FDB90476"/>
        <s v="FDB90477"/>
        <s v="FDB90478"/>
        <s v="FDB90479"/>
        <s v="FDB90480"/>
        <s v="FDB90481"/>
        <s v="FDB90482"/>
        <s v="FDB90483"/>
        <s v="FDB90484"/>
        <s v="FDB90485"/>
        <s v="FDB90486"/>
        <s v="FDB90487"/>
        <s v="FDB90488"/>
        <s v="FDB90489"/>
        <s v="FDB90490"/>
        <s v="FDB90491"/>
        <s v="FDB90492"/>
        <s v="FDB90493"/>
        <s v="FDB90494"/>
        <s v="FDB90495"/>
        <s v="FDB90496"/>
        <s v="FDB90497"/>
        <s v="FDB90498"/>
        <s v="FDB90499"/>
        <s v="FDB90500"/>
        <s v="FDB90501"/>
        <s v="FDB90502"/>
        <s v="FDB90503"/>
        <s v="FDB90504"/>
        <s v="FDB90505"/>
        <s v="FDB90506"/>
        <s v="FDB90507"/>
        <s v="FDB90508"/>
        <s v="FDB90509"/>
        <s v="FDB90510"/>
        <s v="FDB90511"/>
        <s v="FDB90512"/>
        <s v="FDB90513"/>
        <s v="FDB90514"/>
        <s v="FDB90515"/>
        <s v="FDB90516"/>
        <s v="FDB90517"/>
        <s v="FDB90518"/>
        <s v="FDB90519"/>
        <s v="FDB90520"/>
        <s v="FDB90521"/>
        <s v="FDB90522"/>
        <s v="FDB90523"/>
        <s v="FDB90524"/>
        <s v="FDB90525"/>
        <s v="FDB90526"/>
        <s v="FDB90527"/>
        <s v="FDB90528"/>
        <s v="FDB90529"/>
        <s v="FDB90530"/>
        <s v="FDB90531"/>
        <s v="FDB90532"/>
        <s v="FDB90533"/>
        <s v="FDB90534"/>
        <s v="FDB90535"/>
        <s v="FDB90536"/>
        <s v="FDB90537"/>
        <s v="FDB90538"/>
        <s v="FDB90539"/>
        <s v="FDB90540"/>
        <s v="FDB90541"/>
        <s v="FDB90542"/>
        <s v="FDB90543"/>
        <s v="FDB90544"/>
        <s v="FDB90545"/>
        <s v="FDB90546"/>
        <s v="FDB90547"/>
        <s v="FDB90548"/>
        <s v="FDB90549"/>
        <s v="FDB90550"/>
        <s v="FDB90551"/>
        <s v="FDB90552"/>
        <s v="FDB90553"/>
        <s v="FDB90554"/>
        <s v="FDB90555"/>
        <s v="FDB90556"/>
        <s v="FDB90557"/>
        <s v="FDB90558"/>
        <s v="FDB90559"/>
        <s v="FDB90560"/>
        <s v="FDB90561"/>
        <s v="FDB90562"/>
        <s v="FDB90563"/>
        <s v="FDB90564"/>
        <s v="FDB90565"/>
        <s v="FDB90566"/>
        <s v="FDB90567"/>
        <s v="FDB90568"/>
        <s v="FDB90569"/>
        <s v="FDB90570"/>
        <s v="FDB90571"/>
        <s v="FDB90572"/>
        <s v="FDB90573"/>
        <s v="FDB90574"/>
        <s v="FDB90575"/>
        <s v="FDB90576"/>
        <s v="FDB90577"/>
        <s v="FDB90578"/>
        <s v="FDB90579"/>
        <s v="FDB90580"/>
        <s v="FDB90581"/>
        <s v="FDB90582"/>
        <s v="FDB90583"/>
        <s v="FDB90584"/>
        <s v="FDB90585"/>
        <s v="FDB90586"/>
        <s v="FDB90587"/>
        <s v="FDB90588"/>
        <s v="FDB90589"/>
        <s v="FDB90590"/>
        <s v="FDB90591"/>
        <s v="FDB90592"/>
        <s v="FDB90593"/>
        <s v="FDB90594"/>
        <s v="FDB90595"/>
        <s v="FDB90596"/>
        <s v="FDB90597"/>
        <s v="FDB90598"/>
        <s v="FDB90599"/>
        <s v="FDB90600"/>
        <s v="FDB90601"/>
        <s v="FDB90602"/>
        <s v="FDB90603"/>
        <s v="FDB90604"/>
        <s v="FDB90605"/>
        <s v="FDB90606"/>
        <s v="FDB90607"/>
        <s v="FDB90608"/>
        <s v="FDB90609"/>
        <s v="FDB90610"/>
        <s v="FDB90611"/>
        <s v="FDB90612"/>
        <s v="FDB90613"/>
        <s v="FDB90614"/>
        <s v="FDB90615"/>
        <s v="FDB90616"/>
        <s v="FDB90617"/>
        <s v="FDB90618"/>
        <s v="FDB90619"/>
        <s v="FDB90620"/>
        <s v="FDB90621"/>
        <s v="FDB90622"/>
        <s v="FDB90623"/>
        <s v="FDB90624"/>
        <s v="FDB90625"/>
        <s v="FDB90626"/>
        <s v="FDB90627"/>
        <s v="FDB90628"/>
        <s v="FDB90629"/>
        <s v="FDB90630"/>
        <s v="FDB90631"/>
        <s v="FDB90632"/>
        <s v="FDB90633"/>
        <s v="FDB90634"/>
        <s v="FDB90635"/>
        <s v="FDB90636"/>
        <s v="FDB90637"/>
        <s v="FDB90638"/>
        <s v="FDB90639"/>
        <s v="FDB90640"/>
        <s v="FDB90641"/>
        <s v="FDB90642"/>
        <s v="FDB90643"/>
        <s v="FDB90644"/>
        <s v="FDB90645"/>
        <s v="FDB90646"/>
        <s v="FDB90647"/>
        <s v="FDB90648"/>
        <s v="FDB90649"/>
        <s v="FDB90650"/>
        <s v="FDB90651"/>
        <s v="FDB90652"/>
        <s v="FDB90653"/>
        <s v="FDB90654"/>
        <s v="FDB90655"/>
        <s v="FDB90656"/>
        <s v="FDB90657"/>
        <s v="FDB90658"/>
        <s v="FDB90659"/>
        <s v="FDB90660"/>
        <s v="FDB90661"/>
        <s v="FDB90662"/>
        <s v="FDB90663"/>
        <s v="FDB90664"/>
        <s v="FDB90665"/>
        <s v="FDB90666"/>
        <s v="FDB90667"/>
        <s v="FDB90668"/>
        <s v="FDB90669"/>
        <s v="FDB90670"/>
        <s v="FDB90671"/>
        <s v="FDB90672"/>
        <s v="FDB90673"/>
        <s v="FDB90674"/>
        <s v="FDB90675"/>
        <s v="FDB90676"/>
        <s v="FDB90677"/>
        <s v="FDB90678"/>
        <s v="FDB90679"/>
        <s v="FDB90680"/>
        <s v="FDB90681"/>
        <s v="FDB90682"/>
        <s v="FDB90683"/>
        <s v="FDB90684"/>
        <s v="FDB90685"/>
        <s v="FDB90686"/>
        <s v="FDB90687"/>
        <s v="FDB90688"/>
        <s v="FDB90689"/>
        <s v="FDB90690"/>
        <s v="FDB90691"/>
        <s v="FDB90692"/>
        <s v="FDB90693"/>
        <s v="FDB90694"/>
        <s v="FDB90695"/>
        <s v="FDB90696"/>
        <s v="FDB90697"/>
        <s v="FDB90698"/>
        <s v="FDB90699"/>
        <s v="FDB90700"/>
        <s v="FDB90701"/>
        <s v="FDB90702"/>
        <s v="FDB90703"/>
        <s v="FDB90704"/>
        <s v="FDB90705"/>
        <s v="FDB90706"/>
        <s v="FDB90707"/>
        <s v="FDB90708"/>
        <s v="FDB90709"/>
        <s v="FDB90710"/>
        <s v="FDB90711"/>
        <s v="FDB90712"/>
        <s v="FDB90713"/>
        <s v="FDB90714"/>
        <s v="FDB90715"/>
        <s v="FDB90716"/>
        <s v="FDB90717"/>
        <s v="FDB90718"/>
        <s v="FDB90719"/>
        <s v="FDB90720"/>
        <s v="FDB90721"/>
        <s v="FDB90722"/>
        <s v="FDB90723"/>
        <s v="FDB90724"/>
        <s v="FDB90725"/>
        <s v="FDB90726"/>
        <s v="FDB90727"/>
        <s v="FDB90728"/>
        <s v="FDB90729"/>
        <s v="FDB90730"/>
        <s v="FDB90731"/>
        <s v="FDB90732"/>
        <s v="FDB90733"/>
        <s v="FDB90734"/>
        <s v="FDB90735"/>
        <s v="FDB90736"/>
        <s v="FDB90737"/>
        <s v="FDB90738"/>
        <s v="FDB90739"/>
        <s v="FDB90740"/>
        <s v="FDB90741"/>
        <s v="FDB90742"/>
        <s v="FDB90743"/>
        <s v="FDB90744"/>
        <s v="FDB90745"/>
        <s v="FDB90746"/>
        <s v="FDB90747"/>
        <s v="FDB90748"/>
        <s v="FDB90749"/>
        <s v="FDB90750"/>
        <s v="FDB90751"/>
        <s v="FDB90752"/>
        <s v="FDB90753"/>
        <s v="FDB90754"/>
        <s v="FDB90755"/>
        <s v="FDB90756"/>
        <s v="FDB90757"/>
        <s v="FDB90758"/>
        <s v="FDB90759"/>
        <s v="FDB90760"/>
        <s v="FDB90761"/>
        <s v="FDB90762"/>
        <s v="FDB90763"/>
        <s v="FDB90764"/>
        <s v="FDB90765"/>
        <s v="FDB90766"/>
        <s v="FDB90767"/>
        <s v="FDB90768"/>
        <s v="FDB90769"/>
        <s v="FDB90770"/>
        <s v="FDB90771"/>
        <s v="FDB90772"/>
        <s v="FDB90773"/>
        <s v="FDB90774"/>
        <s v="FDB90775"/>
        <s v="FDB90776"/>
        <s v="FDB90777"/>
        <s v="FDB90778"/>
        <s v="FDB90779"/>
        <s v="FDB90780"/>
        <s v="FDB90781"/>
        <s v="FDB90782"/>
        <s v="FDB90783"/>
        <s v="FDB90784"/>
        <s v="FDB90785"/>
        <s v="FDB90786"/>
        <s v="FDB90787"/>
        <s v="FDB90788"/>
        <s v="FDB90789"/>
        <s v="FDB90790"/>
        <s v="FDB90791"/>
        <s v="FDB90792"/>
        <s v="FDB90793"/>
        <s v="FDB90794"/>
        <s v="FDB90795"/>
        <s v="FDB90796"/>
        <s v="FDB90797"/>
        <s v="FDB90798"/>
        <s v="FDB90799"/>
        <s v="FDB90800"/>
        <s v="FDB90801"/>
        <s v="FDB90802"/>
        <s v="FDB90803"/>
        <s v="FDB90804"/>
        <s v="FDB90805"/>
        <s v="FDB90806"/>
        <s v="FDB90807"/>
        <s v="FDB90808"/>
        <s v="FDB90809"/>
        <s v="FDB90810"/>
        <s v="FDB90811"/>
        <s v="FDB90812"/>
        <s v="FDB90813"/>
        <s v="FDB90814"/>
        <s v="FDB90815"/>
        <s v="FDB90816"/>
        <s v="FDB90817"/>
        <s v="FDB90818"/>
        <s v="FDB90819"/>
        <s v="FDB90820"/>
        <s v="FDB90821"/>
        <s v="FDB90822"/>
        <s v="FDB90823"/>
        <s v="FDB90824"/>
        <s v="FDB90825"/>
        <s v="FDB90826"/>
        <s v="FDB90827"/>
        <s v="FDB90828"/>
        <s v="FDB90829"/>
        <s v="FDB90830"/>
        <s v="FDB90831"/>
        <s v="FDB90832"/>
        <s v="FDB90833"/>
        <s v="FDB90834"/>
        <s v="FDB90835"/>
        <s v="FDB90836"/>
        <s v="FDB90837"/>
        <s v="FDB90838"/>
        <s v="FDB90839"/>
        <s v="FDB90840"/>
        <s v="FDB90841"/>
        <s v="FDB90842"/>
        <s v="FDB90843"/>
        <s v="FDB90844"/>
        <s v="FDB90845"/>
        <s v="FDB90846"/>
        <s v="FDB90847"/>
        <s v="FDB90848"/>
        <s v="FDB90849"/>
        <s v="FDB90850"/>
        <s v="FDB90851"/>
        <s v="FDB90852"/>
        <s v="FDB90853"/>
        <s v="FDB90854"/>
        <s v="FDB90855"/>
        <s v="FDB90856"/>
        <s v="FDB90857"/>
        <s v="FDB90858"/>
        <s v="FDB90859"/>
        <s v="FDB90860"/>
        <s v="FDB90861"/>
        <s v="FDB90862"/>
        <s v="FDB90863"/>
        <s v="FDB90864"/>
        <s v="FDB90865"/>
        <s v="FDB90866"/>
        <s v="FDB90867"/>
        <s v="FDB90868"/>
        <s v="FDB90869"/>
        <s v="FDB90870"/>
        <s v="FDB90871"/>
        <s v="FDB90872"/>
        <s v="FDB90873"/>
        <s v="FDB90874"/>
        <s v="FDB90875"/>
        <s v="FDB90876"/>
        <s v="FDB90877"/>
        <s v="FDB90878"/>
        <s v="FDB90879"/>
        <s v="FDB90880"/>
        <s v="FDB90881"/>
        <s v="FDB90882"/>
        <s v="FDB90883"/>
        <s v="FDB90884"/>
        <s v="FDB90885"/>
        <s v="FDB90886"/>
        <s v="FDB90887"/>
        <s v="FDB90888"/>
        <s v="FDB90889"/>
        <s v="FDB90890"/>
        <s v="FDB90891"/>
        <s v="FDB90892"/>
        <s v="FDB90893"/>
        <s v="FDB90894"/>
        <s v="FDB90895"/>
        <s v="FDB90896"/>
        <s v="FDB90897"/>
        <s v="FDB90898"/>
        <s v="FDB90899"/>
        <s v="FDB90900"/>
        <s v="FDB90901"/>
        <s v="FDB90902"/>
        <s v="FDB90903"/>
        <s v="FDB90904"/>
        <s v="FDB90905"/>
        <s v="FDB90906"/>
        <s v="FDB90907"/>
        <s v="FDB90908"/>
        <s v="FDB90909"/>
        <s v="FDB90910"/>
        <s v="FDB90911"/>
        <s v="FDB90912"/>
        <s v="FDB90913"/>
        <s v="FDB90914"/>
        <s v="FDB90915"/>
        <s v="FDB90916"/>
        <s v="FDB90917"/>
        <s v="FDB90918"/>
        <s v="FDB90919"/>
        <s v="FDB90920"/>
        <s v="FDB90921"/>
        <s v="FDB90922"/>
        <s v="FDB90923"/>
        <s v="FDB90924"/>
        <s v="FDB90925"/>
        <s v="FDB90926"/>
        <s v="FDB90927"/>
        <s v="FDB90928"/>
        <s v="FDB90929"/>
        <s v="FDB90930"/>
        <s v="FDB90931"/>
        <s v="FDB90932"/>
        <s v="FDB90933"/>
        <s v="FDB90934"/>
        <s v="FDB90935"/>
        <s v="FDB90936"/>
        <s v="FDB90937"/>
        <s v="FDB90938"/>
        <s v="FDB90939"/>
        <s v="FDB90940"/>
        <s v="FDB90941"/>
        <s v="FDB90942"/>
        <s v="FDB90943"/>
        <s v="FDB90944"/>
        <s v="FDB90945"/>
        <s v="FDB90946"/>
        <s v="FDB90947"/>
        <s v="FDB90948"/>
        <s v="FDB90949"/>
        <s v="FDB90950"/>
        <s v="FDB90951"/>
        <s v="FDB90952"/>
        <s v="FDB90953"/>
        <s v="FDB90954"/>
        <s v="FDB90955"/>
        <s v="FDB90956"/>
        <s v="FDB90957"/>
        <s v="FDB90958"/>
        <s v="FDB90959"/>
        <s v="FDB90960"/>
        <s v="FDB90961"/>
        <s v="FDB90962"/>
        <s v="FDB90963"/>
        <s v="FDB90964"/>
        <s v="FDB90965"/>
        <s v="FDB90966"/>
        <s v="FDB90967"/>
        <s v="FDB90968"/>
        <s v="FDB90969"/>
        <s v="FDB90970"/>
        <s v="FDB90971"/>
        <s v="FDB90972"/>
        <s v="FDB90973"/>
        <s v="FDB90974"/>
        <s v="FDB90975"/>
        <s v="FDB90976"/>
        <s v="FDB90977"/>
        <s v="FDB90978"/>
        <s v="FDB90979"/>
        <s v="FDB90980"/>
        <s v="FDB90981"/>
        <s v="FDB90982"/>
        <s v="FDB90983"/>
        <s v="FDB90984"/>
        <s v="FDB90985"/>
        <s v="FDB90986"/>
        <s v="FDB90987"/>
        <s v="FDB90988"/>
        <s v="FDB90989"/>
        <s v="FDB90990"/>
        <s v="FDB90991"/>
        <s v="FDB90992"/>
        <s v="FDB90993"/>
        <s v="FDB90994"/>
        <s v="FDB90995"/>
        <s v="FDB90996"/>
        <s v="FDB90997"/>
        <s v="FDB90998"/>
        <s v="FDB90999"/>
      </sharedItems>
    </cacheField>
    <cacheField name="customer_id" numFmtId="0">
      <sharedItems count="830">
        <s v="CUST11838"/>
        <s v="CUST12252"/>
        <s v="CUST10495"/>
        <s v="CUST11182"/>
        <s v="CUST11047"/>
        <s v="CUST12167"/>
        <s v="CUST10308"/>
        <s v="CUST10644"/>
        <s v="CUST12331"/>
        <s v="CUST10090"/>
        <s v="CUST10985"/>
        <s v="CUST12396"/>
        <s v="CUST11030"/>
        <s v="CUST10100"/>
        <s v="CUST10685"/>
        <s v="CUST12335"/>
        <s v="CUST11183"/>
        <s v="CUST11585"/>
        <s v="CUST11327"/>
        <s v="CUST12097"/>
        <s v="CUST12366"/>
        <s v="CUST12090"/>
        <s v="CUST11778"/>
        <s v="CUST10942"/>
        <s v="CUST11891"/>
        <s v="CUST11003"/>
        <s v="CUST10908"/>
        <s v="CUST11451"/>
        <s v="CUST11105"/>
        <s v="CUST10222"/>
        <s v="CUST11815"/>
        <s v="CUST12091"/>
        <s v="CUST11369"/>
        <s v="CUST10505"/>
        <s v="CUST10754"/>
        <s v="CUST11612"/>
        <s v="CUST10825"/>
        <s v="CUST10916"/>
        <s v="CUST12404"/>
        <s v="CUST10609"/>
        <s v="CUST10679"/>
        <s v="CUST10659"/>
        <s v="CUST11140"/>
        <s v="CUST10960"/>
        <s v="CUST11860"/>
        <s v="CUST10500"/>
        <s v="CUST10911"/>
        <s v="CUST11613"/>
        <s v="CUST10476"/>
        <s v="CUST12029"/>
        <s v="CUST11562"/>
        <s v="CUST12432"/>
        <s v="CUST10695"/>
        <s v="CUST12303"/>
        <s v="CUST11951"/>
        <s v="CUST12066"/>
        <s v="CUST11059"/>
        <s v="CUST10557"/>
        <s v="CUST11982"/>
        <s v="CUST12153"/>
        <s v="CUST11571"/>
        <s v="CUST11732"/>
        <s v="CUST11330"/>
        <s v="CUST10095"/>
        <s v="CUST12060"/>
        <s v="CUST11545"/>
        <s v="CUST10121"/>
        <s v="CUST12010"/>
        <s v="CUST10113"/>
        <s v="CUST10300"/>
        <s v="CUST10206"/>
        <s v="CUST11056"/>
        <s v="CUST12114"/>
        <s v="CUST12346"/>
        <s v="CUST11109"/>
        <s v="CUST11763"/>
        <s v="CUST10410"/>
        <s v="CUST10936"/>
        <s v="CUST12040"/>
        <s v="CUST12141"/>
        <s v="CUST11393"/>
        <s v="CUST11742"/>
        <s v="CUST12384"/>
        <s v="CUST12069"/>
        <s v="CUST10236"/>
        <s v="CUST12288"/>
        <s v="CUST11323"/>
        <s v="CUST11453"/>
        <s v="CUST10211"/>
        <s v="CUST10730"/>
        <s v="CUST10323"/>
        <s v="CUST10177"/>
        <s v="CUST10440"/>
        <s v="CUST11064"/>
        <s v="CUST12004"/>
        <s v="CUST11807"/>
        <s v="CUST10449"/>
        <s v="CUST10669"/>
        <s v="CUST10394"/>
        <s v="CUST10352"/>
        <s v="CUST12339"/>
        <s v="CUST12198"/>
        <s v="CUST11804"/>
        <s v="CUST10954"/>
        <s v="CUST10430"/>
        <s v="CUST11289"/>
        <s v="CUST10674"/>
        <s v="CUST10134"/>
        <s v="CUST10836"/>
        <s v="CUST10085"/>
        <s v="CUST11636"/>
        <s v="CUST10800"/>
        <s v="CUST12352"/>
        <s v="CUST11993"/>
        <s v="CUST10417"/>
        <s v="CUST11004"/>
        <s v="CUST10345"/>
        <s v="CUST11568"/>
        <s v="CUST11110"/>
        <s v="CUST12088"/>
        <s v="CUST11710"/>
        <s v="CUST12181"/>
        <s v="CUST12296"/>
        <s v="CUST12022"/>
        <s v="CUST10384"/>
        <s v="CUST10745"/>
        <s v="CUST11972"/>
        <s v="CUST10580"/>
        <s v="CUST10009"/>
        <s v="CUST11336"/>
        <s v="CUST10451"/>
        <s v="CUST12440"/>
        <s v="CUST10380"/>
        <s v="CUST11594"/>
        <s v="CUST11259"/>
        <s v="CUST11296"/>
        <s v="CUST10493"/>
        <s v="CUST12178"/>
        <s v="CUST12157"/>
        <s v="CUST10017"/>
        <s v="CUST12474"/>
        <s v="CUST12388"/>
        <s v="CUST11489"/>
        <s v="CUST10490"/>
        <s v="CUST10964"/>
        <s v="CUST12227"/>
        <s v="CUST10653"/>
        <s v="CUST12336"/>
        <s v="CUST11293"/>
        <s v="CUST10923"/>
        <s v="CUST10651"/>
        <s v="CUST11608"/>
        <s v="CUST11505"/>
        <s v="CUST12340"/>
        <s v="CUST11225"/>
        <s v="CUST12294"/>
        <s v="CUST10668"/>
        <s v="CUST11449"/>
        <s v="CUST11126"/>
        <s v="CUST10922"/>
        <s v="CUST11338"/>
        <s v="CUST10326"/>
        <s v="CUST10723"/>
        <s v="CUST12433"/>
        <s v="CUST11875"/>
        <s v="CUST10950"/>
        <s v="CUST12037"/>
        <s v="CUST11045"/>
        <s v="CUST11204"/>
        <s v="CUST10144"/>
        <s v="CUST11900"/>
        <s v="CUST12221"/>
        <s v="CUST10360"/>
        <s v="CUST11465"/>
        <s v="CUST11512"/>
        <s v="CUST10022"/>
        <s v="CUST12162"/>
        <s v="CUST11767"/>
        <s v="CUST12146"/>
        <s v="CUST12274"/>
        <s v="CUST12155"/>
        <s v="CUST11970"/>
        <s v="CUST10481"/>
        <s v="CUST12054"/>
        <s v="CUST11882"/>
        <s v="CUST11425"/>
        <s v="CUST10971"/>
        <s v="CUST10275"/>
        <s v="CUST10863"/>
        <s v="CUST10290"/>
        <s v="CUST10571"/>
        <s v="CUST11320"/>
        <s v="CUST11852"/>
        <s v="CUST12312"/>
        <s v="CUST10736"/>
        <s v="CUST10385"/>
        <s v="CUST10900"/>
        <s v="CUST11062"/>
        <s v="CUST12173"/>
        <s v="CUST11854"/>
        <s v="CUST11147"/>
        <s v="CUST10973"/>
        <s v="CUST11237"/>
        <s v="CUST10311"/>
        <s v="CUST10716"/>
        <s v="CUST11073"/>
        <s v="CUST12275"/>
        <s v="CUST11985"/>
        <s v="CUST10852"/>
        <s v="CUST11647"/>
        <s v="CUST12047"/>
        <s v="CUST12332"/>
        <s v="CUST10932"/>
        <s v="CUST10597"/>
        <s v="CUST10094"/>
        <s v="CUST12271"/>
        <s v="CUST10162"/>
        <s v="CUST10043"/>
        <s v="CUST10697"/>
        <s v="CUST11039"/>
        <s v="CUST11435"/>
        <s v="CUST11217"/>
        <s v="CUST10931"/>
        <s v="CUST10422"/>
        <s v="CUST11758"/>
        <s v="CUST11104"/>
        <s v="CUST10554"/>
        <s v="CUST10711"/>
        <s v="CUST11466"/>
        <s v="CUST11580"/>
        <s v="CUST12052"/>
        <s v="CUST11234"/>
        <s v="CUST10655"/>
        <s v="CUST10381"/>
        <s v="CUST12472"/>
        <s v="CUST11239"/>
        <s v="CUST10846"/>
        <s v="CUST12468"/>
        <s v="CUST10865"/>
        <s v="CUST10501"/>
        <s v="CUST12072"/>
        <s v="CUST12306"/>
        <s v="CUST11002"/>
        <s v="CUST10110"/>
        <s v="CUST11686"/>
        <s v="CUST12127"/>
        <s v="CUST11150"/>
        <s v="CUST11148"/>
        <s v="CUST11367"/>
        <s v="CUST10608"/>
        <s v="CUST10040"/>
        <s v="CUST12218"/>
        <s v="CUST12026"/>
        <s v="CUST11313"/>
        <s v="CUST10692"/>
        <s v="CUST12235"/>
        <s v="CUST11023"/>
        <s v="CUST12140"/>
        <s v="CUST10533"/>
        <s v="CUST11831"/>
        <s v="CUST11800"/>
        <s v="CUST10792"/>
        <s v="CUST11071"/>
        <s v="CUST10901"/>
        <s v="CUST10089"/>
        <s v="CUST10276"/>
        <s v="CUST11087"/>
        <s v="CUST12020"/>
        <s v="CUST11965"/>
        <s v="CUST11703"/>
        <s v="CUST11665"/>
        <s v="CUST12273"/>
        <s v="CUST12177"/>
        <s v="CUST12286"/>
        <s v="CUST11960"/>
        <s v="CUST10889"/>
        <s v="CUST10372"/>
        <s v="CUST10975"/>
        <s v="CUST12282"/>
        <s v="CUST11083"/>
        <s v="CUST11342"/>
        <s v="CUST11706"/>
        <s v="CUST10617"/>
        <s v="CUST11746"/>
        <s v="CUST11939"/>
        <s v="CUST11931"/>
        <s v="CUST10726"/>
        <s v="CUST11210"/>
        <s v="CUST11438"/>
        <s v="CUST11260"/>
        <s v="CUST10809"/>
        <s v="CUST11414"/>
        <s v="CUST11371"/>
        <s v="CUST10968"/>
        <s v="CUST12104"/>
        <s v="CUST12377"/>
        <s v="CUST11881"/>
        <s v="CUST10419"/>
        <s v="CUST10837"/>
        <s v="CUST10919"/>
        <s v="CUST10951"/>
        <s v="CUST10739"/>
        <s v="CUST10182"/>
        <s v="CUST10332"/>
        <s v="CUST12262"/>
        <s v="CUST12358"/>
        <s v="CUST10262"/>
        <s v="CUST11280"/>
        <s v="CUST11836"/>
        <s v="CUST11844"/>
        <s v="CUST10076"/>
        <s v="CUST11765"/>
        <s v="CUST10542"/>
        <s v="CUST10521"/>
        <s v="CUST10457"/>
        <s v="CUST11448"/>
        <s v="CUST11427"/>
        <s v="CUST10141"/>
        <s v="CUST12344"/>
        <s v="CUST10819"/>
        <s v="CUST10516"/>
        <s v="CUST12431"/>
        <s v="CUST11089"/>
        <s v="CUST10450"/>
        <s v="CUST11240"/>
        <s v="CUST11006"/>
        <s v="CUST10714"/>
        <s v="CUST10160"/>
        <s v="CUST10030"/>
        <s v="CUST10128"/>
        <s v="CUST12226"/>
        <s v="CUST10150"/>
        <s v="CUST12387"/>
        <s v="CUST11171"/>
        <s v="CUST11862"/>
        <s v="CUST11987"/>
        <s v="CUST10045"/>
        <s v="CUST10129"/>
        <s v="CUST11874"/>
        <s v="CUST10452"/>
        <s v="CUST10748"/>
        <s v="CUST11028"/>
        <s v="CUST10336"/>
        <s v="CUST11037"/>
        <s v="CUST10576"/>
        <s v="CUST10063"/>
        <s v="CUST10444"/>
        <s v="CUST12338"/>
        <s v="CUST12254"/>
        <s v="CUST10210"/>
        <s v="CUST10176"/>
        <s v="CUST10763"/>
        <s v="CUST12246"/>
        <s v="CUST10200"/>
        <s v="CUST10255"/>
        <s v="CUST11198"/>
        <s v="CUST10952"/>
        <s v="CUST11713"/>
        <s v="CUST10228"/>
        <s v="CUST10005"/>
        <s v="CUST10136"/>
        <s v="CUST11707"/>
        <s v="CUST11511"/>
        <s v="CUST10392"/>
        <s v="CUST11020"/>
        <s v="CUST11894"/>
        <s v="CUST12295"/>
        <s v="CUST11205"/>
        <s v="CUST12100"/>
        <s v="CUST12215"/>
        <s v="CUST11284"/>
        <s v="CUST11867"/>
        <s v="CUST11938"/>
        <s v="CUST12410"/>
        <s v="CUST11651"/>
        <s v="CUST11740"/>
        <s v="CUST11814"/>
        <s v="CUST10678"/>
        <s v="CUST10945"/>
        <s v="CUST12019"/>
        <s v="CUST11292"/>
        <s v="CUST10263"/>
        <s v="CUST11011"/>
        <s v="CUST10291"/>
        <s v="CUST11490"/>
        <s v="CUST12236"/>
        <s v="CUST11560"/>
        <s v="CUST11618"/>
        <s v="CUST11795"/>
        <s v="CUST10021"/>
        <s v="CUST12391"/>
        <s v="CUST10929"/>
        <s v="CUST10420"/>
        <s v="CUST11277"/>
        <s v="CUST11373"/>
        <s v="CUST11190"/>
        <s v="CUST10693"/>
        <s v="CUST10181"/>
        <s v="CUST11603"/>
        <s v="CUST10460"/>
        <s v="CUST11826"/>
        <s v="CUST10102"/>
        <s v="CUST12402"/>
        <s v="CUST11053"/>
        <s v="CUST10288"/>
        <s v="CUST12457"/>
        <s v="CUST10461"/>
        <s v="CUST11001"/>
        <s v="CUST11528"/>
        <s v="CUST10802"/>
        <s v="CUST11712"/>
        <s v="CUST10806"/>
        <s v="CUST10938"/>
        <s v="CUST12279"/>
        <s v="CUST11412"/>
        <s v="CUST12139"/>
        <s v="CUST11649"/>
        <s v="CUST10368"/>
        <s v="CUST10928"/>
        <s v="CUST10309"/>
        <s v="CUST10665"/>
        <s v="CUST12057"/>
        <s v="CUST10538"/>
        <s v="CUST11456"/>
        <s v="CUST10285"/>
        <s v="CUST11762"/>
        <s v="CUST10813"/>
        <s v="CUST11113"/>
        <s v="CUST10313"/>
        <s v="CUST10459"/>
        <s v="CUST10238"/>
        <s v="CUST10546"/>
        <s v="CUST10840"/>
        <s v="CUST10328"/>
        <s v="CUST11281"/>
        <s v="CUST11275"/>
        <s v="CUST11119"/>
        <s v="CUST10795"/>
        <s v="CUST11026"/>
        <s v="CUST10851"/>
        <s v="CUST12272"/>
        <s v="CUST10004"/>
        <s v="CUST11605"/>
        <s v="CUST10091"/>
        <s v="CUST11360"/>
        <s v="CUST10746"/>
        <s v="CUST10879"/>
        <s v="CUST12110"/>
        <s v="CUST12133"/>
        <s v="CUST10342"/>
        <s v="CUST10706"/>
        <s v="CUST10661"/>
        <s v="CUST11497"/>
        <s v="CUST11725"/>
        <s v="CUST11561"/>
        <s v="CUST12124"/>
        <s v="CUST11609"/>
        <s v="CUST10097"/>
        <s v="CUST10264"/>
        <s v="CUST12035"/>
        <s v="CUST11913"/>
        <s v="CUST11314"/>
        <s v="CUST11065"/>
        <s v="CUST10415"/>
        <s v="CUST10969"/>
        <s v="CUST11235"/>
        <s v="CUST10400"/>
        <s v="CUST10749"/>
        <s v="CUST10986"/>
        <s v="CUST10427"/>
        <s v="CUST11070"/>
        <s v="CUST10917"/>
        <s v="CUST11870"/>
        <s v="CUST11643"/>
        <s v="CUST11859"/>
        <s v="CUST11644"/>
        <s v="CUST11835"/>
        <s v="CUST12203"/>
        <s v="CUST11291"/>
        <s v="CUST10947"/>
        <s v="CUST12065"/>
        <s v="CUST10387"/>
        <s v="CUST11986"/>
        <s v="CUST11784"/>
        <s v="CUST10769"/>
        <s v="CUST11144"/>
        <s v="CUST11522"/>
        <s v="CUST10559"/>
        <s v="CUST12265"/>
        <s v="CUST10515"/>
        <s v="CUST11108"/>
        <s v="CUST10844"/>
        <s v="CUST11461"/>
        <s v="CUST11498"/>
        <s v="CUST11187"/>
        <s v="CUST10704"/>
        <s v="CUST10191"/>
        <s v="CUST11819"/>
        <s v="CUST10724"/>
        <s v="CUST11702"/>
        <s v="CUST11764"/>
        <s v="CUST10282"/>
        <s v="CUST10957"/>
        <s v="CUST10585"/>
        <s v="CUST11274"/>
        <s v="CUST11829"/>
        <s v="CUST10302"/>
        <s v="CUST12105"/>
        <s v="CUST12109"/>
        <s v="CUST10587"/>
        <s v="CUST11715"/>
        <s v="CUST10296"/>
        <s v="CUST11231"/>
        <s v="CUST10314"/>
        <s v="CUST11333"/>
        <s v="CUST10910"/>
        <s v="CUST11757"/>
        <s v="CUST10157"/>
        <s v="CUST11953"/>
        <s v="CUST12355"/>
        <s v="CUST11263"/>
        <s v="CUST10933"/>
        <s v="CUST10710"/>
        <s v="CUST12086"/>
        <s v="CUST10607"/>
        <s v="CUST12421"/>
        <s v="CUST10327"/>
        <s v="CUST11676"/>
        <s v="CUST10414"/>
        <s v="CUST12357"/>
        <s v="CUST12373"/>
        <s v="CUST11731"/>
        <s v="CUST10173"/>
        <s v="CUST11255"/>
        <s v="CUST11700"/>
        <s v="CUST11904"/>
        <s v="CUST11896"/>
        <s v="CUST12209"/>
        <s v="CUST12498"/>
        <s v="CUST12443"/>
        <s v="CUST12084"/>
        <s v="CUST11893"/>
        <s v="CUST12111"/>
        <s v="CUST11040"/>
        <s v="CUST10812"/>
        <s v="CUST11984"/>
        <s v="CUST11399"/>
        <s v="CUST10133"/>
        <s v="CUST11652"/>
        <s v="CUST12017"/>
        <s v="CUST10522"/>
        <s v="CUST11534"/>
        <s v="CUST10483"/>
        <s v="CUST12245"/>
        <s v="CUST12025"/>
        <s v="CUST12156"/>
        <s v="CUST11128"/>
        <s v="CUST11983"/>
        <s v="CUST12211"/>
        <s v="CUST12120"/>
        <s v="CUST11760"/>
        <s v="CUST10935"/>
        <s v="CUST10683"/>
        <s v="CUST11704"/>
        <s v="CUST10709"/>
        <s v="CUST11331"/>
        <s v="CUST10758"/>
        <s v="CUST11858"/>
        <s v="CUST10614"/>
        <s v="CUST10240"/>
        <s v="CUST11209"/>
        <s v="CUST10797"/>
        <s v="CUST11444"/>
        <s v="CUST12411"/>
        <s v="CUST10641"/>
        <s v="CUST12456"/>
        <s v="CUST11787"/>
        <s v="CUST10142"/>
        <s v="CUST12210"/>
        <s v="CUST11622"/>
        <s v="CUST12180"/>
        <s v="CUST10893"/>
        <s v="CUST10214"/>
        <s v="CUST11754"/>
        <s v="CUST11878"/>
        <s v="CUST11777"/>
        <s v="CUST10980"/>
        <s v="CUST10785"/>
        <s v="CUST11397"/>
        <s v="CUST10245"/>
        <s v="CUST10581"/>
        <s v="CUST11377"/>
        <s v="CUST11748"/>
        <s v="CUST11424"/>
        <s v="CUST10618"/>
        <s v="CUST11832"/>
        <s v="CUST11937"/>
        <s v="CUST10284"/>
        <s v="CUST11440"/>
        <s v="CUST10244"/>
        <s v="CUST12149"/>
        <s v="CUST10428"/>
        <s v="CUST11587"/>
        <s v="CUST10502"/>
        <s v="CUST11642"/>
        <s v="CUST12442"/>
        <s v="CUST11117"/>
        <s v="CUST11407"/>
        <s v="CUST10817"/>
        <s v="CUST10803"/>
        <s v="CUST11530"/>
        <s v="CUST11232"/>
        <s v="CUST12329"/>
        <s v="CUST12201"/>
        <s v="CUST11267"/>
        <s v="CUST12362"/>
        <s v="CUST10657"/>
        <s v="CUST10884"/>
        <s v="CUST12024"/>
        <s v="CUST10346"/>
        <s v="CUST11619"/>
        <s v="CUST12369"/>
        <s v="CUST10103"/>
        <s v="CUST10691"/>
        <s v="CUST12053"/>
        <s v="CUST11478"/>
        <s v="CUST11224"/>
        <s v="CUST10663"/>
        <s v="CUST12242"/>
        <s v="CUST10018"/>
        <s v="CUST10325"/>
        <s v="CUST12314"/>
        <s v="CUST12048"/>
        <s v="CUST12417"/>
        <s v="CUST11766"/>
        <s v="CUST10462"/>
        <s v="CUST10616"/>
        <s v="CUST11785"/>
        <s v="CUST12085"/>
        <s v="CUST10946"/>
        <s v="CUST12108"/>
        <s v="CUST11060"/>
        <s v="CUST11802"/>
        <s v="CUST12430"/>
        <s v="CUST10652"/>
        <s v="CUST12212"/>
        <s v="CUST11761"/>
        <s v="CUST12214"/>
        <s v="CUST11979"/>
        <s v="CUST10735"/>
        <s v="CUST10868"/>
        <s v="CUST10794"/>
        <s v="CUST12349"/>
        <s v="CUST10963"/>
        <s v="CUST10376"/>
        <s v="CUST10633"/>
        <s v="CUST12154"/>
        <s v="CUST12002"/>
        <s v="CUST11228"/>
        <s v="CUST11889"/>
        <s v="CUST11161"/>
        <s v="CUST12261"/>
        <s v="CUST10033"/>
        <s v="CUST11302"/>
        <s v="CUST11431"/>
        <s v="CUST10151"/>
        <s v="CUST11921"/>
        <s v="CUST10509"/>
        <s v="CUST12207"/>
        <s v="CUST10218"/>
        <s v="CUST10649"/>
        <s v="CUST10343"/>
        <s v="CUST12150"/>
        <s v="CUST10468"/>
        <s v="CUST12064"/>
        <s v="CUST10159"/>
        <s v="CUST10575"/>
        <s v="CUST11163"/>
        <s v="CUST12497"/>
        <s v="CUST11871"/>
        <s v="CUST10433"/>
        <s v="CUST11356"/>
        <s v="CUST11219"/>
        <s v="CUST10774"/>
        <s v="CUST12204"/>
        <s v="CUST10752"/>
        <s v="CUST10700"/>
        <s v="CUST11036"/>
        <s v="CUST12488"/>
        <s v="CUST10647"/>
        <s v="CUST10805"/>
        <s v="CUST11420"/>
        <s v="CUST11502"/>
        <s v="CUST11146"/>
        <s v="CUST10510"/>
        <s v="CUST11034"/>
        <s v="CUST10363"/>
        <s v="CUST11923"/>
        <s v="CUST11307"/>
        <s v="CUST11035"/>
        <s v="CUST12074"/>
        <s v="CUST12096"/>
        <s v="CUST11470"/>
        <s v="CUST12350"/>
        <s v="CUST11925"/>
        <s v="CUST11527"/>
        <s v="CUST11726"/>
        <s v="CUST10442"/>
        <s v="CUST12176"/>
        <s v="CUST11278"/>
        <s v="CUST11325"/>
        <s v="CUST10480"/>
        <s v="CUST10204"/>
        <s v="CUST11103"/>
        <s v="CUST10550"/>
        <s v="CUST11499"/>
        <s v="CUST10751"/>
        <s v="CUST10534"/>
        <s v="CUST10185"/>
        <s v="CUST11628"/>
        <s v="CUST10524"/>
        <s v="CUST12464"/>
        <s v="CUST10958"/>
        <s v="CUST11123"/>
        <s v="CUST11050"/>
        <s v="CUST11264"/>
        <s v="CUST12224"/>
        <s v="CUST12257"/>
        <s v="CUST11796"/>
        <s v="CUST11075"/>
        <s v="CUST11076"/>
        <s v="CUST11301"/>
        <s v="CUST11318"/>
        <s v="CUST10064"/>
        <s v="CUST10891"/>
        <s v="CUST12364"/>
        <s v="CUST10254"/>
        <s v="CUST10539"/>
        <s v="CUST10620"/>
        <s v="CUST10828"/>
        <s v="CUST11659"/>
        <s v="CUST12278"/>
        <s v="CUST11918"/>
        <s v="CUST10186"/>
        <s v="CUST11973"/>
        <s v="CUST10881"/>
        <s v="CUST12136"/>
        <s v="CUST11825"/>
        <s v="CUST12485"/>
        <s v="CUST11434"/>
        <s v="CUST11357"/>
        <s v="CUST11078"/>
        <s v="CUST10703"/>
        <s v="CUST11714"/>
        <s v="CUST10126"/>
        <s v="CUST12007"/>
        <s v="CUST10193"/>
        <s v="CUST10636"/>
        <s v="CUST11460"/>
        <s v="CUST11386"/>
        <s v="CUST10139"/>
        <s v="CUST12163"/>
        <s v="CUST12318"/>
        <s v="CUST10119"/>
        <s v="CUST11334"/>
        <s v="CUST10140"/>
        <s v="CUST11572"/>
        <s v="CUST12031"/>
        <s v="CUST10242"/>
        <s v="CUST12130"/>
        <s v="CUST10373"/>
        <s v="CUST10435"/>
        <s v="CUST10899"/>
        <s v="CUST10135"/>
        <s v="CUST11975"/>
        <s v="CUST10503"/>
        <s v="CUST12260"/>
        <s v="CUST11138"/>
        <s v="CUST11907"/>
        <s v="CUST11607"/>
        <s v="CUST12337"/>
        <s v="CUST10046"/>
        <s v="CUST12463"/>
        <s v="CUST12102"/>
        <s v="CUST10965"/>
        <s v="CUST12171"/>
        <s v="CUST11481"/>
        <s v="CUST11579"/>
        <s v="CUST11996"/>
        <s v="CUST10962"/>
        <s v="CUST10056"/>
        <s v="CUST10087"/>
        <s v="CUST12308"/>
        <s v="CUST11362"/>
        <s v="CUST10778"/>
        <s v="CUST10526"/>
        <s v="CUST10873"/>
        <s v="CUST10596"/>
        <s v="CUST10943"/>
        <s v="CUST11195"/>
        <s v="CUST10601"/>
        <s v="CUST11967"/>
        <s v="CUST11074"/>
        <s v="CUST11430"/>
        <s v="CUST12287"/>
        <s v="CUST10216"/>
        <s v="CUST10664"/>
        <s v="CUST10781"/>
        <s v="CUST10199"/>
        <s v="CUST10747"/>
        <s v="CUST11092"/>
        <s v="CUST11324"/>
        <s v="CUST11137"/>
        <s v="CUST10707"/>
        <s v="CUST10259"/>
        <s v="CUST10426"/>
        <s v="CUST11067"/>
        <s v="CUST11315"/>
        <s v="CUST10720"/>
        <s v="CUST10841"/>
        <s v="CUST12465"/>
        <s v="CUST10684"/>
        <s v="CUST11901"/>
        <s v="CUST11879"/>
        <s v="CUST11749"/>
        <s v="CUST12003"/>
        <s v="CUST12467"/>
        <s v="CUST10702"/>
        <s v="CUST12223"/>
        <s v="CUST11520"/>
      </sharedItems>
    </cacheField>
    <cacheField name="date_submitted" numFmtId="14">
      <sharedItems containsSemiMixedTypes="0" containsNonDate="0" containsDate="1" containsString="0" minDate="2020-01-02T00:00:00" maxDate="2024-01-01T00:00:00"/>
    </cacheField>
    <cacheField name="feedback_text" numFmtId="0">
      <sharedItems/>
    </cacheField>
    <cacheField name="satisfaction_score" numFmtId="0">
      <sharedItems containsSemiMixedTypes="0" containsString="0" containsNumber="1" containsInteger="1" minValue="1" maxValue="5"/>
    </cacheField>
    <cacheField name="contacted_agent" numFmtId="0">
      <sharedItems count="2">
        <s v="Yes"/>
        <s v="No"/>
      </sharedItems>
    </cacheField>
    <cacheField name="referred_claim" numFmtId="0">
      <sharedItems count="2">
        <s v="Yes"/>
        <s v="No"/>
      </sharedItems>
    </cacheField>
    <cacheField name="Feedback_Category" numFmtId="0">
      <sharedItems count="3">
        <s v="Neutral"/>
        <s v="Negative"/>
        <s v="Happy"/>
      </sharedItems>
    </cacheField>
    <cacheField name="Rating Group" numFmtId="0">
      <sharedItems count="3">
        <s v="Medium"/>
        <s v="Low"/>
        <s v="High"/>
      </sharedItems>
    </cacheField>
    <cacheField name="Year" numFmtId="0">
      <sharedItems containsSemiMixedTypes="0" containsString="0" containsNumber="1" containsInteger="1" minValue="2020" maxValue="2023" count="4">
        <n v="2020"/>
        <n v="2021"/>
        <n v="2022"/>
        <n v="2023"/>
      </sharedItems>
    </cacheField>
    <cacheField name="Month" numFmtId="0">
      <sharedItems count="12">
        <s v="Aug"/>
        <s v="Jan"/>
        <s v="Feb"/>
        <s v="Apr"/>
        <s v="Nov"/>
        <s v="May"/>
        <s v="Oct"/>
        <s v="Sep"/>
        <s v="Mar"/>
        <s v="Jun"/>
        <s v="Dec"/>
        <s v="Jul"/>
      </sharedItems>
    </cacheField>
    <cacheField name="Quarter" numFmtId="0">
      <sharedItems count="4">
        <s v="Q3"/>
        <s v="Q1"/>
        <s v="Q2"/>
        <s v="Q4"/>
      </sharedItems>
    </cacheField>
    <cacheField name="Weekday" numFmtId="0">
      <sharedItems/>
    </cacheField>
    <cacheField name="Response Required" numFmtId="0">
      <sharedItems count="2">
        <s v="No"/>
        <s v="Yes"/>
      </sharedItems>
    </cacheField>
    <cacheField name="Customer Segment" numFmtId="0">
      <sharedItems/>
    </cacheField>
    <cacheField name="Referral_Status" numFmtId="0">
      <sharedItems/>
    </cacheField>
  </cacheFields>
  <extLst>
    <ext xmlns:x14="http://schemas.microsoft.com/office/spreadsheetml/2009/9/main" uri="{725AE2AE-9491-48be-B2B4-4EB974FC3084}">
      <x14:pivotCacheDefinition pivotCacheId="11973762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d v="2020-08-07T00:00:00"/>
    <s v="I'm not happy with the premium charged."/>
    <n v="3"/>
    <x v="0"/>
    <x v="0"/>
    <x v="0"/>
    <x v="0"/>
    <x v="0"/>
    <x v="0"/>
    <x v="0"/>
    <s v="Friday"/>
    <x v="0"/>
    <s v="New Customer"/>
    <s v="Referred"/>
  </r>
  <r>
    <x v="1"/>
    <x v="1"/>
    <d v="2021-01-13T00:00:00"/>
    <s v="I'm not happy with the premium charged."/>
    <n v="1"/>
    <x v="1"/>
    <x v="0"/>
    <x v="1"/>
    <x v="1"/>
    <x v="1"/>
    <x v="1"/>
    <x v="1"/>
    <s v="Wednesday"/>
    <x v="1"/>
    <s v="Returning Customer"/>
    <s v="Referred"/>
  </r>
  <r>
    <x v="2"/>
    <x v="2"/>
    <d v="2022-02-16T00:00:00"/>
    <s v="Smooth experience with no issues."/>
    <n v="5"/>
    <x v="1"/>
    <x v="0"/>
    <x v="2"/>
    <x v="2"/>
    <x v="2"/>
    <x v="2"/>
    <x v="1"/>
    <s v="Wednesday"/>
    <x v="0"/>
    <s v="New Customer"/>
    <s v="Referred"/>
  </r>
  <r>
    <x v="3"/>
    <x v="3"/>
    <d v="2021-02-16T00:00:00"/>
    <s v="Claim process could be faster."/>
    <n v="2"/>
    <x v="1"/>
    <x v="0"/>
    <x v="1"/>
    <x v="1"/>
    <x v="1"/>
    <x v="2"/>
    <x v="1"/>
    <s v="Tuesday"/>
    <x v="1"/>
    <s v="New Customer"/>
    <s v="Referred"/>
  </r>
  <r>
    <x v="4"/>
    <x v="4"/>
    <d v="2021-04-09T00:00:00"/>
    <s v="The agent was helpful and explained everything."/>
    <n v="5"/>
    <x v="1"/>
    <x v="1"/>
    <x v="2"/>
    <x v="2"/>
    <x v="1"/>
    <x v="3"/>
    <x v="2"/>
    <s v="Friday"/>
    <x v="0"/>
    <s v="New Customer"/>
    <s v="Not Referred"/>
  </r>
  <r>
    <x v="5"/>
    <x v="5"/>
    <d v="2020-01-05T00:00:00"/>
    <s v="Very satisfied with the claim process."/>
    <n v="5"/>
    <x v="0"/>
    <x v="1"/>
    <x v="2"/>
    <x v="2"/>
    <x v="0"/>
    <x v="1"/>
    <x v="1"/>
    <s v="Sunday"/>
    <x v="0"/>
    <s v="New Customer"/>
    <s v="Not Referred"/>
  </r>
  <r>
    <x v="6"/>
    <x v="6"/>
    <d v="2023-11-25T00:00:00"/>
    <s v="Excellent customer service support."/>
    <n v="4"/>
    <x v="0"/>
    <x v="0"/>
    <x v="2"/>
    <x v="2"/>
    <x v="3"/>
    <x v="4"/>
    <x v="3"/>
    <s v="Saturday"/>
    <x v="0"/>
    <s v="New Customer"/>
    <s v="Referred"/>
  </r>
  <r>
    <x v="7"/>
    <x v="7"/>
    <d v="2023-02-06T00:00:00"/>
    <s v="Need more clarity on policy coverage."/>
    <n v="3"/>
    <x v="1"/>
    <x v="1"/>
    <x v="0"/>
    <x v="0"/>
    <x v="3"/>
    <x v="2"/>
    <x v="1"/>
    <s v="Monday"/>
    <x v="0"/>
    <s v="New Customer"/>
    <s v="Not Referred"/>
  </r>
  <r>
    <x v="8"/>
    <x v="8"/>
    <d v="2022-02-01T00:00:00"/>
    <s v="Smooth experience with no issues."/>
    <n v="5"/>
    <x v="0"/>
    <x v="0"/>
    <x v="2"/>
    <x v="2"/>
    <x v="2"/>
    <x v="2"/>
    <x v="1"/>
    <s v="Tuesday"/>
    <x v="0"/>
    <s v="New Customer"/>
    <s v="Referred"/>
  </r>
  <r>
    <x v="9"/>
    <x v="1"/>
    <d v="2020-02-27T00:00:00"/>
    <s v="Excellent customer service support."/>
    <n v="4"/>
    <x v="1"/>
    <x v="1"/>
    <x v="2"/>
    <x v="2"/>
    <x v="0"/>
    <x v="2"/>
    <x v="1"/>
    <s v="Thursday"/>
    <x v="0"/>
    <s v="Returning Customer"/>
    <s v="Not Referred"/>
  </r>
  <r>
    <x v="10"/>
    <x v="9"/>
    <d v="2021-02-17T00:00:00"/>
    <s v="The mobile app experience was intuitive."/>
    <n v="3"/>
    <x v="0"/>
    <x v="1"/>
    <x v="0"/>
    <x v="0"/>
    <x v="1"/>
    <x v="2"/>
    <x v="1"/>
    <s v="Wednesday"/>
    <x v="0"/>
    <s v="New Customer"/>
    <s v="Not Referred"/>
  </r>
  <r>
    <x v="11"/>
    <x v="10"/>
    <d v="2023-11-22T00:00:00"/>
    <s v="I'm not happy with the premium charged."/>
    <n v="1"/>
    <x v="0"/>
    <x v="1"/>
    <x v="1"/>
    <x v="1"/>
    <x v="3"/>
    <x v="4"/>
    <x v="3"/>
    <s v="Wednesday"/>
    <x v="1"/>
    <s v="New Customer"/>
    <s v="Not Referred"/>
  </r>
  <r>
    <x v="12"/>
    <x v="11"/>
    <d v="2020-05-09T00:00:00"/>
    <s v="Claim process could be faster."/>
    <n v="3"/>
    <x v="1"/>
    <x v="1"/>
    <x v="0"/>
    <x v="0"/>
    <x v="0"/>
    <x v="5"/>
    <x v="2"/>
    <s v="Saturday"/>
    <x v="0"/>
    <s v="New Customer"/>
    <s v="Not Referred"/>
  </r>
  <r>
    <x v="13"/>
    <x v="12"/>
    <d v="2023-10-11T00:00:00"/>
    <s v="The agent was helpful and explained everything."/>
    <n v="4"/>
    <x v="0"/>
    <x v="1"/>
    <x v="2"/>
    <x v="2"/>
    <x v="3"/>
    <x v="6"/>
    <x v="3"/>
    <s v="Wednesday"/>
    <x v="0"/>
    <s v="New Customer"/>
    <s v="Not Referred"/>
  </r>
  <r>
    <x v="14"/>
    <x v="13"/>
    <d v="2022-01-22T00:00:00"/>
    <s v="Need more clarity on policy coverage."/>
    <n v="2"/>
    <x v="0"/>
    <x v="1"/>
    <x v="1"/>
    <x v="1"/>
    <x v="2"/>
    <x v="1"/>
    <x v="1"/>
    <s v="Saturday"/>
    <x v="1"/>
    <s v="Returning Customer"/>
    <s v="Not Referred"/>
  </r>
  <r>
    <x v="15"/>
    <x v="14"/>
    <d v="2022-11-11T00:00:00"/>
    <s v="Need more clarity on policy coverage."/>
    <n v="2"/>
    <x v="0"/>
    <x v="1"/>
    <x v="1"/>
    <x v="1"/>
    <x v="2"/>
    <x v="4"/>
    <x v="3"/>
    <s v="Friday"/>
    <x v="1"/>
    <s v="Returning Customer"/>
    <s v="Not Referred"/>
  </r>
  <r>
    <x v="16"/>
    <x v="15"/>
    <d v="2022-02-08T00:00:00"/>
    <s v="The mobile app experience was intuitive."/>
    <n v="5"/>
    <x v="0"/>
    <x v="0"/>
    <x v="2"/>
    <x v="2"/>
    <x v="2"/>
    <x v="2"/>
    <x v="1"/>
    <s v="Tuesday"/>
    <x v="0"/>
    <s v="New Customer"/>
    <s v="Referred"/>
  </r>
  <r>
    <x v="17"/>
    <x v="16"/>
    <d v="2021-11-28T00:00:00"/>
    <s v="I'm not happy with the premium charged."/>
    <n v="3"/>
    <x v="1"/>
    <x v="0"/>
    <x v="0"/>
    <x v="0"/>
    <x v="1"/>
    <x v="4"/>
    <x v="3"/>
    <s v="Sunday"/>
    <x v="0"/>
    <s v="New Customer"/>
    <s v="Referred"/>
  </r>
  <r>
    <x v="18"/>
    <x v="17"/>
    <d v="2022-09-08T00:00:00"/>
    <s v="Need more clarity on policy coverage."/>
    <n v="1"/>
    <x v="0"/>
    <x v="0"/>
    <x v="1"/>
    <x v="1"/>
    <x v="2"/>
    <x v="7"/>
    <x v="0"/>
    <s v="Thursday"/>
    <x v="1"/>
    <s v="Returning Customer"/>
    <s v="Referred"/>
  </r>
  <r>
    <x v="19"/>
    <x v="18"/>
    <d v="2022-09-12T00:00:00"/>
    <s v="Claim process could be faster."/>
    <n v="2"/>
    <x v="0"/>
    <x v="1"/>
    <x v="1"/>
    <x v="1"/>
    <x v="2"/>
    <x v="7"/>
    <x v="0"/>
    <s v="Monday"/>
    <x v="1"/>
    <s v="New Customer"/>
    <s v="Not Referred"/>
  </r>
  <r>
    <x v="20"/>
    <x v="19"/>
    <d v="2022-03-02T00:00:00"/>
    <s v="The mobile app experience was intuitive."/>
    <n v="4"/>
    <x v="0"/>
    <x v="1"/>
    <x v="2"/>
    <x v="2"/>
    <x v="2"/>
    <x v="8"/>
    <x v="1"/>
    <s v="Wednesday"/>
    <x v="0"/>
    <s v="New Customer"/>
    <s v="Not Referred"/>
  </r>
  <r>
    <x v="21"/>
    <x v="20"/>
    <d v="2022-06-24T00:00:00"/>
    <s v="Excellent customer service support."/>
    <n v="5"/>
    <x v="0"/>
    <x v="0"/>
    <x v="2"/>
    <x v="2"/>
    <x v="2"/>
    <x v="9"/>
    <x v="2"/>
    <s v="Friday"/>
    <x v="0"/>
    <s v="Returning Customer"/>
    <s v="Referred"/>
  </r>
  <r>
    <x v="22"/>
    <x v="21"/>
    <d v="2022-04-08T00:00:00"/>
    <s v="I'm not happy with the premium charged."/>
    <n v="3"/>
    <x v="0"/>
    <x v="1"/>
    <x v="0"/>
    <x v="0"/>
    <x v="2"/>
    <x v="3"/>
    <x v="2"/>
    <s v="Friday"/>
    <x v="0"/>
    <s v="New Customer"/>
    <s v="Not Referred"/>
  </r>
  <r>
    <x v="23"/>
    <x v="22"/>
    <d v="2023-01-20T00:00:00"/>
    <s v="I'm not happy with the premium charged."/>
    <n v="1"/>
    <x v="1"/>
    <x v="1"/>
    <x v="1"/>
    <x v="1"/>
    <x v="3"/>
    <x v="1"/>
    <x v="1"/>
    <s v="Friday"/>
    <x v="1"/>
    <s v="New Customer"/>
    <s v="Not Referred"/>
  </r>
  <r>
    <x v="24"/>
    <x v="23"/>
    <d v="2020-02-17T00:00:00"/>
    <s v="Smooth experience with no issues."/>
    <n v="5"/>
    <x v="0"/>
    <x v="0"/>
    <x v="2"/>
    <x v="2"/>
    <x v="0"/>
    <x v="2"/>
    <x v="1"/>
    <s v="Monday"/>
    <x v="0"/>
    <s v="New Customer"/>
    <s v="Referred"/>
  </r>
  <r>
    <x v="25"/>
    <x v="24"/>
    <d v="2021-08-11T00:00:00"/>
    <s v="Had to wait too long for claim approval."/>
    <n v="1"/>
    <x v="0"/>
    <x v="1"/>
    <x v="1"/>
    <x v="1"/>
    <x v="1"/>
    <x v="0"/>
    <x v="0"/>
    <s v="Wednesday"/>
    <x v="1"/>
    <s v="New Customer"/>
    <s v="Not Referred"/>
  </r>
  <r>
    <x v="26"/>
    <x v="25"/>
    <d v="2023-06-19T00:00:00"/>
    <s v="Claim process could be faster."/>
    <n v="2"/>
    <x v="0"/>
    <x v="1"/>
    <x v="1"/>
    <x v="1"/>
    <x v="3"/>
    <x v="9"/>
    <x v="2"/>
    <s v="Monday"/>
    <x v="1"/>
    <s v="Returning Customer"/>
    <s v="Not Referred"/>
  </r>
  <r>
    <x v="27"/>
    <x v="26"/>
    <d v="2020-12-14T00:00:00"/>
    <s v="Had to wait too long for claim approval."/>
    <n v="2"/>
    <x v="0"/>
    <x v="0"/>
    <x v="1"/>
    <x v="1"/>
    <x v="0"/>
    <x v="10"/>
    <x v="3"/>
    <s v="Monday"/>
    <x v="1"/>
    <s v="New Customer"/>
    <s v="Referred"/>
  </r>
  <r>
    <x v="28"/>
    <x v="27"/>
    <d v="2022-01-23T00:00:00"/>
    <s v="Need more clarity on policy coverage."/>
    <n v="2"/>
    <x v="1"/>
    <x v="0"/>
    <x v="1"/>
    <x v="1"/>
    <x v="2"/>
    <x v="1"/>
    <x v="1"/>
    <s v="Sunday"/>
    <x v="1"/>
    <s v="New Customer"/>
    <s v="Referred"/>
  </r>
  <r>
    <x v="29"/>
    <x v="28"/>
    <d v="2020-12-25T00:00:00"/>
    <s v="Smooth experience with no issues."/>
    <n v="4"/>
    <x v="1"/>
    <x v="1"/>
    <x v="2"/>
    <x v="2"/>
    <x v="0"/>
    <x v="10"/>
    <x v="3"/>
    <s v="Friday"/>
    <x v="0"/>
    <s v="Returning Customer"/>
    <s v="Not Referred"/>
  </r>
  <r>
    <x v="30"/>
    <x v="29"/>
    <d v="2022-08-09T00:00:00"/>
    <s v="Smooth experience with no issues."/>
    <n v="5"/>
    <x v="0"/>
    <x v="1"/>
    <x v="2"/>
    <x v="2"/>
    <x v="2"/>
    <x v="0"/>
    <x v="0"/>
    <s v="Tuesday"/>
    <x v="0"/>
    <s v="New Customer"/>
    <s v="Not Referred"/>
  </r>
  <r>
    <x v="31"/>
    <x v="30"/>
    <d v="2021-02-25T00:00:00"/>
    <s v="Smooth experience with no issues."/>
    <n v="4"/>
    <x v="0"/>
    <x v="1"/>
    <x v="2"/>
    <x v="2"/>
    <x v="1"/>
    <x v="2"/>
    <x v="1"/>
    <s v="Thursday"/>
    <x v="0"/>
    <s v="New Customer"/>
    <s v="Not Referred"/>
  </r>
  <r>
    <x v="32"/>
    <x v="31"/>
    <d v="2020-11-20T00:00:00"/>
    <s v="Frustrated with repeated documentation requests."/>
    <n v="3"/>
    <x v="0"/>
    <x v="1"/>
    <x v="0"/>
    <x v="0"/>
    <x v="0"/>
    <x v="4"/>
    <x v="3"/>
    <s v="Friday"/>
    <x v="0"/>
    <s v="New Customer"/>
    <s v="Not Referred"/>
  </r>
  <r>
    <x v="33"/>
    <x v="32"/>
    <d v="2021-04-19T00:00:00"/>
    <s v="Smooth experience with no issues."/>
    <n v="4"/>
    <x v="1"/>
    <x v="0"/>
    <x v="2"/>
    <x v="2"/>
    <x v="1"/>
    <x v="3"/>
    <x v="2"/>
    <s v="Monday"/>
    <x v="0"/>
    <s v="Returning Customer"/>
    <s v="Referred"/>
  </r>
  <r>
    <x v="34"/>
    <x v="33"/>
    <d v="2021-03-16T00:00:00"/>
    <s v="Excellent customer service support."/>
    <n v="5"/>
    <x v="0"/>
    <x v="0"/>
    <x v="2"/>
    <x v="2"/>
    <x v="1"/>
    <x v="8"/>
    <x v="1"/>
    <s v="Tuesday"/>
    <x v="0"/>
    <s v="New Customer"/>
    <s v="Referred"/>
  </r>
  <r>
    <x v="35"/>
    <x v="34"/>
    <d v="2020-02-24T00:00:00"/>
    <s v="Claim process could be faster."/>
    <n v="3"/>
    <x v="1"/>
    <x v="0"/>
    <x v="0"/>
    <x v="0"/>
    <x v="0"/>
    <x v="2"/>
    <x v="1"/>
    <s v="Monday"/>
    <x v="0"/>
    <s v="Returning Customer"/>
    <s v="Referred"/>
  </r>
  <r>
    <x v="36"/>
    <x v="35"/>
    <d v="2023-01-16T00:00:00"/>
    <s v="Excellent customer service support."/>
    <n v="4"/>
    <x v="0"/>
    <x v="0"/>
    <x v="2"/>
    <x v="2"/>
    <x v="3"/>
    <x v="1"/>
    <x v="1"/>
    <s v="Monday"/>
    <x v="0"/>
    <s v="New Customer"/>
    <s v="Referred"/>
  </r>
  <r>
    <x v="37"/>
    <x v="36"/>
    <d v="2023-05-12T00:00:00"/>
    <s v="Claim process could be faster."/>
    <n v="2"/>
    <x v="0"/>
    <x v="1"/>
    <x v="1"/>
    <x v="1"/>
    <x v="3"/>
    <x v="5"/>
    <x v="2"/>
    <s v="Friday"/>
    <x v="1"/>
    <s v="New Customer"/>
    <s v="Not Referred"/>
  </r>
  <r>
    <x v="38"/>
    <x v="37"/>
    <d v="2022-10-25T00:00:00"/>
    <s v="Frustrated with repeated documentation requests."/>
    <n v="3"/>
    <x v="1"/>
    <x v="1"/>
    <x v="0"/>
    <x v="0"/>
    <x v="2"/>
    <x v="6"/>
    <x v="3"/>
    <s v="Tuesday"/>
    <x v="0"/>
    <s v="New Customer"/>
    <s v="Not Referred"/>
  </r>
  <r>
    <x v="39"/>
    <x v="38"/>
    <d v="2022-01-07T00:00:00"/>
    <s v="Need more clarity on policy coverage."/>
    <n v="2"/>
    <x v="1"/>
    <x v="0"/>
    <x v="1"/>
    <x v="1"/>
    <x v="2"/>
    <x v="1"/>
    <x v="1"/>
    <s v="Friday"/>
    <x v="1"/>
    <s v="New Customer"/>
    <s v="Referred"/>
  </r>
  <r>
    <x v="40"/>
    <x v="39"/>
    <d v="2020-09-06T00:00:00"/>
    <s v="I'm not happy with the premium charged."/>
    <n v="3"/>
    <x v="1"/>
    <x v="1"/>
    <x v="0"/>
    <x v="0"/>
    <x v="0"/>
    <x v="7"/>
    <x v="0"/>
    <s v="Sunday"/>
    <x v="0"/>
    <s v="Returning Customer"/>
    <s v="Not Referred"/>
  </r>
  <r>
    <x v="41"/>
    <x v="40"/>
    <d v="2021-01-09T00:00:00"/>
    <s v="Need more clarity on policy coverage."/>
    <n v="3"/>
    <x v="1"/>
    <x v="1"/>
    <x v="0"/>
    <x v="0"/>
    <x v="1"/>
    <x v="1"/>
    <x v="1"/>
    <s v="Saturday"/>
    <x v="0"/>
    <s v="Returning Customer"/>
    <s v="Not Referred"/>
  </r>
  <r>
    <x v="42"/>
    <x v="41"/>
    <d v="2023-07-16T00:00:00"/>
    <s v="The mobile app experience was intuitive."/>
    <n v="3"/>
    <x v="0"/>
    <x v="1"/>
    <x v="0"/>
    <x v="0"/>
    <x v="3"/>
    <x v="11"/>
    <x v="0"/>
    <s v="Sunday"/>
    <x v="0"/>
    <s v="New Customer"/>
    <s v="Not Referred"/>
  </r>
  <r>
    <x v="43"/>
    <x v="42"/>
    <d v="2021-08-05T00:00:00"/>
    <s v="Smooth experience with no issues."/>
    <n v="5"/>
    <x v="0"/>
    <x v="1"/>
    <x v="2"/>
    <x v="2"/>
    <x v="1"/>
    <x v="0"/>
    <x v="0"/>
    <s v="Thursday"/>
    <x v="0"/>
    <s v="Returning Customer"/>
    <s v="Not Referred"/>
  </r>
  <r>
    <x v="44"/>
    <x v="43"/>
    <d v="2023-03-05T00:00:00"/>
    <s v="Frustrated with repeated documentation requests."/>
    <n v="1"/>
    <x v="1"/>
    <x v="0"/>
    <x v="1"/>
    <x v="1"/>
    <x v="3"/>
    <x v="8"/>
    <x v="1"/>
    <s v="Sunday"/>
    <x v="1"/>
    <s v="Returning Customer"/>
    <s v="Referred"/>
  </r>
  <r>
    <x v="45"/>
    <x v="44"/>
    <d v="2020-08-14T00:00:00"/>
    <s v="The agent was helpful and explained everything."/>
    <n v="5"/>
    <x v="0"/>
    <x v="1"/>
    <x v="2"/>
    <x v="2"/>
    <x v="0"/>
    <x v="0"/>
    <x v="0"/>
    <s v="Friday"/>
    <x v="0"/>
    <s v="New Customer"/>
    <s v="Not Referred"/>
  </r>
  <r>
    <x v="46"/>
    <x v="45"/>
    <d v="2023-10-23T00:00:00"/>
    <s v="Smooth experience with no issues."/>
    <n v="5"/>
    <x v="1"/>
    <x v="1"/>
    <x v="2"/>
    <x v="2"/>
    <x v="3"/>
    <x v="6"/>
    <x v="3"/>
    <s v="Monday"/>
    <x v="0"/>
    <s v="New Customer"/>
    <s v="Not Referred"/>
  </r>
  <r>
    <x v="47"/>
    <x v="46"/>
    <d v="2020-09-01T00:00:00"/>
    <s v="Had to wait too long for claim approval."/>
    <n v="1"/>
    <x v="1"/>
    <x v="1"/>
    <x v="1"/>
    <x v="1"/>
    <x v="0"/>
    <x v="7"/>
    <x v="0"/>
    <s v="Tuesday"/>
    <x v="1"/>
    <s v="Returning Customer"/>
    <s v="Not Referred"/>
  </r>
  <r>
    <x v="48"/>
    <x v="47"/>
    <d v="2021-06-07T00:00:00"/>
    <s v="Very satisfied with the claim process."/>
    <n v="4"/>
    <x v="1"/>
    <x v="0"/>
    <x v="2"/>
    <x v="2"/>
    <x v="1"/>
    <x v="9"/>
    <x v="2"/>
    <s v="Monday"/>
    <x v="0"/>
    <s v="New Customer"/>
    <s v="Referred"/>
  </r>
  <r>
    <x v="49"/>
    <x v="48"/>
    <d v="2021-02-11T00:00:00"/>
    <s v="The mobile app experience was intuitive."/>
    <n v="3"/>
    <x v="0"/>
    <x v="1"/>
    <x v="0"/>
    <x v="0"/>
    <x v="1"/>
    <x v="2"/>
    <x v="1"/>
    <s v="Thursday"/>
    <x v="0"/>
    <s v="New Customer"/>
    <s v="Not Referred"/>
  </r>
  <r>
    <x v="50"/>
    <x v="49"/>
    <d v="2023-08-22T00:00:00"/>
    <s v="The agent was helpful and explained everything."/>
    <n v="5"/>
    <x v="0"/>
    <x v="1"/>
    <x v="2"/>
    <x v="2"/>
    <x v="3"/>
    <x v="0"/>
    <x v="0"/>
    <s v="Tuesday"/>
    <x v="0"/>
    <s v="New Customer"/>
    <s v="Not Referred"/>
  </r>
  <r>
    <x v="51"/>
    <x v="50"/>
    <d v="2020-09-30T00:00:00"/>
    <s v="The mobile app experience was intuitive."/>
    <n v="5"/>
    <x v="1"/>
    <x v="1"/>
    <x v="2"/>
    <x v="2"/>
    <x v="0"/>
    <x v="7"/>
    <x v="0"/>
    <s v="Wednesday"/>
    <x v="0"/>
    <s v="New Customer"/>
    <s v="Not Referred"/>
  </r>
  <r>
    <x v="52"/>
    <x v="51"/>
    <d v="2020-08-28T00:00:00"/>
    <s v="Had to wait too long for claim approval."/>
    <n v="2"/>
    <x v="0"/>
    <x v="1"/>
    <x v="1"/>
    <x v="1"/>
    <x v="0"/>
    <x v="0"/>
    <x v="0"/>
    <s v="Friday"/>
    <x v="1"/>
    <s v="New Customer"/>
    <s v="Not Referred"/>
  </r>
  <r>
    <x v="53"/>
    <x v="17"/>
    <d v="2023-06-07T00:00:00"/>
    <s v="Need more clarity on policy coverage."/>
    <n v="2"/>
    <x v="0"/>
    <x v="0"/>
    <x v="1"/>
    <x v="1"/>
    <x v="3"/>
    <x v="9"/>
    <x v="2"/>
    <s v="Wednesday"/>
    <x v="1"/>
    <s v="Returning Customer"/>
    <s v="Referred"/>
  </r>
  <r>
    <x v="54"/>
    <x v="52"/>
    <d v="2023-03-03T00:00:00"/>
    <s v="The mobile app experience was intuitive."/>
    <n v="5"/>
    <x v="1"/>
    <x v="0"/>
    <x v="2"/>
    <x v="2"/>
    <x v="3"/>
    <x v="8"/>
    <x v="1"/>
    <s v="Friday"/>
    <x v="0"/>
    <s v="Returning Customer"/>
    <s v="Referred"/>
  </r>
  <r>
    <x v="55"/>
    <x v="53"/>
    <d v="2023-07-26T00:00:00"/>
    <s v="Had to wait too long for claim approval."/>
    <n v="1"/>
    <x v="1"/>
    <x v="1"/>
    <x v="1"/>
    <x v="1"/>
    <x v="3"/>
    <x v="11"/>
    <x v="0"/>
    <s v="Wednesday"/>
    <x v="1"/>
    <s v="Returning Customer"/>
    <s v="Not Referred"/>
  </r>
  <r>
    <x v="56"/>
    <x v="54"/>
    <d v="2022-02-05T00:00:00"/>
    <s v="Smooth experience with no issues."/>
    <n v="5"/>
    <x v="1"/>
    <x v="0"/>
    <x v="2"/>
    <x v="2"/>
    <x v="2"/>
    <x v="2"/>
    <x v="1"/>
    <s v="Saturday"/>
    <x v="0"/>
    <s v="Returning Customer"/>
    <s v="Referred"/>
  </r>
  <r>
    <x v="57"/>
    <x v="55"/>
    <d v="2020-09-11T00:00:00"/>
    <s v="Excellent customer service support."/>
    <n v="5"/>
    <x v="0"/>
    <x v="1"/>
    <x v="2"/>
    <x v="2"/>
    <x v="0"/>
    <x v="7"/>
    <x v="0"/>
    <s v="Friday"/>
    <x v="0"/>
    <s v="New Customer"/>
    <s v="Not Referred"/>
  </r>
  <r>
    <x v="58"/>
    <x v="56"/>
    <d v="2022-07-28T00:00:00"/>
    <s v="Very satisfied with the claim process."/>
    <n v="5"/>
    <x v="0"/>
    <x v="0"/>
    <x v="2"/>
    <x v="2"/>
    <x v="2"/>
    <x v="11"/>
    <x v="0"/>
    <s v="Thursday"/>
    <x v="0"/>
    <s v="New Customer"/>
    <s v="Referred"/>
  </r>
  <r>
    <x v="59"/>
    <x v="57"/>
    <d v="2020-09-09T00:00:00"/>
    <s v="I'm not happy with the premium charged."/>
    <n v="2"/>
    <x v="0"/>
    <x v="1"/>
    <x v="1"/>
    <x v="1"/>
    <x v="0"/>
    <x v="7"/>
    <x v="0"/>
    <s v="Wednesday"/>
    <x v="1"/>
    <s v="New Customer"/>
    <s v="Not Referred"/>
  </r>
  <r>
    <x v="60"/>
    <x v="58"/>
    <d v="2022-11-09T00:00:00"/>
    <s v="Very satisfied with the claim process."/>
    <n v="5"/>
    <x v="0"/>
    <x v="0"/>
    <x v="2"/>
    <x v="2"/>
    <x v="2"/>
    <x v="4"/>
    <x v="3"/>
    <s v="Wednesday"/>
    <x v="0"/>
    <s v="New Customer"/>
    <s v="Referred"/>
  </r>
  <r>
    <x v="61"/>
    <x v="59"/>
    <d v="2021-03-24T00:00:00"/>
    <s v="Had to wait too long for claim approval."/>
    <n v="1"/>
    <x v="1"/>
    <x v="0"/>
    <x v="1"/>
    <x v="1"/>
    <x v="1"/>
    <x v="8"/>
    <x v="1"/>
    <s v="Wednesday"/>
    <x v="1"/>
    <s v="New Customer"/>
    <s v="Referred"/>
  </r>
  <r>
    <x v="62"/>
    <x v="60"/>
    <d v="2023-07-13T00:00:00"/>
    <s v="I'm not happy with the premium charged."/>
    <n v="3"/>
    <x v="1"/>
    <x v="1"/>
    <x v="0"/>
    <x v="0"/>
    <x v="3"/>
    <x v="11"/>
    <x v="0"/>
    <s v="Thursday"/>
    <x v="0"/>
    <s v="New Customer"/>
    <s v="Not Referred"/>
  </r>
  <r>
    <x v="63"/>
    <x v="61"/>
    <d v="2023-07-22T00:00:00"/>
    <s v="The agent was helpful and explained everything."/>
    <n v="5"/>
    <x v="0"/>
    <x v="1"/>
    <x v="2"/>
    <x v="2"/>
    <x v="3"/>
    <x v="11"/>
    <x v="0"/>
    <s v="Saturday"/>
    <x v="0"/>
    <s v="New Customer"/>
    <s v="Not Referred"/>
  </r>
  <r>
    <x v="64"/>
    <x v="62"/>
    <d v="2021-06-25T00:00:00"/>
    <s v="Need more clarity on policy coverage."/>
    <n v="1"/>
    <x v="0"/>
    <x v="1"/>
    <x v="1"/>
    <x v="1"/>
    <x v="1"/>
    <x v="9"/>
    <x v="2"/>
    <s v="Friday"/>
    <x v="1"/>
    <s v="New Customer"/>
    <s v="Not Referred"/>
  </r>
  <r>
    <x v="65"/>
    <x v="63"/>
    <d v="2023-03-05T00:00:00"/>
    <s v="Need more clarity on policy coverage."/>
    <n v="3"/>
    <x v="1"/>
    <x v="0"/>
    <x v="0"/>
    <x v="0"/>
    <x v="3"/>
    <x v="8"/>
    <x v="1"/>
    <s v="Sunday"/>
    <x v="0"/>
    <s v="Returning Customer"/>
    <s v="Referred"/>
  </r>
  <r>
    <x v="66"/>
    <x v="64"/>
    <d v="2023-05-04T00:00:00"/>
    <s v="I'm not happy with the premium charged."/>
    <n v="2"/>
    <x v="0"/>
    <x v="1"/>
    <x v="1"/>
    <x v="1"/>
    <x v="3"/>
    <x v="5"/>
    <x v="2"/>
    <s v="Thursday"/>
    <x v="1"/>
    <s v="Returning Customer"/>
    <s v="Not Referred"/>
  </r>
  <r>
    <x v="67"/>
    <x v="65"/>
    <d v="2020-12-13T00:00:00"/>
    <s v="Need more clarity on policy coverage."/>
    <n v="1"/>
    <x v="0"/>
    <x v="1"/>
    <x v="1"/>
    <x v="1"/>
    <x v="0"/>
    <x v="10"/>
    <x v="3"/>
    <s v="Sunday"/>
    <x v="1"/>
    <s v="New Customer"/>
    <s v="Not Referred"/>
  </r>
  <r>
    <x v="68"/>
    <x v="66"/>
    <d v="2021-01-07T00:00:00"/>
    <s v="Frustrated with repeated documentation requests."/>
    <n v="1"/>
    <x v="1"/>
    <x v="1"/>
    <x v="1"/>
    <x v="1"/>
    <x v="1"/>
    <x v="1"/>
    <x v="1"/>
    <s v="Thursday"/>
    <x v="1"/>
    <s v="New Customer"/>
    <s v="Not Referred"/>
  </r>
  <r>
    <x v="69"/>
    <x v="67"/>
    <d v="2021-10-16T00:00:00"/>
    <s v="Need more clarity on policy coverage."/>
    <n v="3"/>
    <x v="1"/>
    <x v="1"/>
    <x v="0"/>
    <x v="0"/>
    <x v="1"/>
    <x v="6"/>
    <x v="3"/>
    <s v="Saturday"/>
    <x v="0"/>
    <s v="New Customer"/>
    <s v="Not Referred"/>
  </r>
  <r>
    <x v="70"/>
    <x v="68"/>
    <d v="2020-03-18T00:00:00"/>
    <s v="Had to wait too long for claim approval."/>
    <n v="1"/>
    <x v="1"/>
    <x v="1"/>
    <x v="1"/>
    <x v="1"/>
    <x v="0"/>
    <x v="8"/>
    <x v="1"/>
    <s v="Wednesday"/>
    <x v="1"/>
    <s v="Returning Customer"/>
    <s v="Not Referred"/>
  </r>
  <r>
    <x v="71"/>
    <x v="69"/>
    <d v="2022-07-15T00:00:00"/>
    <s v="The mobile app experience was intuitive."/>
    <n v="5"/>
    <x v="0"/>
    <x v="0"/>
    <x v="2"/>
    <x v="2"/>
    <x v="2"/>
    <x v="11"/>
    <x v="0"/>
    <s v="Friday"/>
    <x v="0"/>
    <s v="New Customer"/>
    <s v="Referred"/>
  </r>
  <r>
    <x v="72"/>
    <x v="70"/>
    <d v="2022-07-06T00:00:00"/>
    <s v="Had to wait too long for claim approval."/>
    <n v="2"/>
    <x v="0"/>
    <x v="0"/>
    <x v="1"/>
    <x v="1"/>
    <x v="2"/>
    <x v="11"/>
    <x v="0"/>
    <s v="Wednesday"/>
    <x v="1"/>
    <s v="New Customer"/>
    <s v="Referred"/>
  </r>
  <r>
    <x v="73"/>
    <x v="71"/>
    <d v="2023-11-07T00:00:00"/>
    <s v="Need more clarity on policy coverage."/>
    <n v="3"/>
    <x v="0"/>
    <x v="1"/>
    <x v="0"/>
    <x v="0"/>
    <x v="3"/>
    <x v="4"/>
    <x v="3"/>
    <s v="Tuesday"/>
    <x v="0"/>
    <s v="Returning Customer"/>
    <s v="Not Referred"/>
  </r>
  <r>
    <x v="74"/>
    <x v="72"/>
    <d v="2021-03-17T00:00:00"/>
    <s v="Very satisfied with the claim process."/>
    <n v="5"/>
    <x v="0"/>
    <x v="0"/>
    <x v="2"/>
    <x v="2"/>
    <x v="1"/>
    <x v="8"/>
    <x v="1"/>
    <s v="Wednesday"/>
    <x v="0"/>
    <s v="New Customer"/>
    <s v="Referred"/>
  </r>
  <r>
    <x v="75"/>
    <x v="73"/>
    <d v="2023-07-06T00:00:00"/>
    <s v="Very satisfied with the claim process."/>
    <n v="4"/>
    <x v="0"/>
    <x v="1"/>
    <x v="2"/>
    <x v="2"/>
    <x v="3"/>
    <x v="11"/>
    <x v="0"/>
    <s v="Thursday"/>
    <x v="0"/>
    <s v="New Customer"/>
    <s v="Not Referred"/>
  </r>
  <r>
    <x v="76"/>
    <x v="74"/>
    <d v="2021-12-30T00:00:00"/>
    <s v="The agent was helpful and explained everything."/>
    <n v="5"/>
    <x v="1"/>
    <x v="1"/>
    <x v="2"/>
    <x v="2"/>
    <x v="1"/>
    <x v="10"/>
    <x v="3"/>
    <s v="Thursday"/>
    <x v="0"/>
    <s v="New Customer"/>
    <s v="Not Referred"/>
  </r>
  <r>
    <x v="77"/>
    <x v="75"/>
    <d v="2023-05-04T00:00:00"/>
    <s v="I'm not happy with the premium charged."/>
    <n v="1"/>
    <x v="1"/>
    <x v="0"/>
    <x v="1"/>
    <x v="1"/>
    <x v="3"/>
    <x v="5"/>
    <x v="2"/>
    <s v="Thursday"/>
    <x v="1"/>
    <s v="Returning Customer"/>
    <s v="Referred"/>
  </r>
  <r>
    <x v="78"/>
    <x v="76"/>
    <d v="2020-09-15T00:00:00"/>
    <s v="Excellent customer service support."/>
    <n v="5"/>
    <x v="0"/>
    <x v="1"/>
    <x v="2"/>
    <x v="2"/>
    <x v="0"/>
    <x v="7"/>
    <x v="0"/>
    <s v="Tuesday"/>
    <x v="0"/>
    <s v="New Customer"/>
    <s v="Not Referred"/>
  </r>
  <r>
    <x v="79"/>
    <x v="77"/>
    <d v="2021-07-06T00:00:00"/>
    <s v="Excellent customer service support."/>
    <n v="5"/>
    <x v="1"/>
    <x v="0"/>
    <x v="2"/>
    <x v="2"/>
    <x v="1"/>
    <x v="11"/>
    <x v="0"/>
    <s v="Tuesday"/>
    <x v="0"/>
    <s v="New Customer"/>
    <s v="Referred"/>
  </r>
  <r>
    <x v="80"/>
    <x v="78"/>
    <d v="2022-10-03T00:00:00"/>
    <s v="Frustrated with repeated documentation requests."/>
    <n v="2"/>
    <x v="0"/>
    <x v="0"/>
    <x v="1"/>
    <x v="1"/>
    <x v="2"/>
    <x v="6"/>
    <x v="3"/>
    <s v="Monday"/>
    <x v="1"/>
    <s v="Returning Customer"/>
    <s v="Referred"/>
  </r>
  <r>
    <x v="81"/>
    <x v="79"/>
    <d v="2022-04-27T00:00:00"/>
    <s v="Very satisfied with the claim process."/>
    <n v="4"/>
    <x v="1"/>
    <x v="0"/>
    <x v="2"/>
    <x v="2"/>
    <x v="2"/>
    <x v="3"/>
    <x v="2"/>
    <s v="Wednesday"/>
    <x v="0"/>
    <s v="New Customer"/>
    <s v="Referred"/>
  </r>
  <r>
    <x v="82"/>
    <x v="80"/>
    <d v="2023-09-29T00:00:00"/>
    <s v="The mobile app experience was intuitive."/>
    <n v="4"/>
    <x v="0"/>
    <x v="0"/>
    <x v="2"/>
    <x v="2"/>
    <x v="3"/>
    <x v="7"/>
    <x v="0"/>
    <s v="Friday"/>
    <x v="0"/>
    <s v="Returning Customer"/>
    <s v="Referred"/>
  </r>
  <r>
    <x v="83"/>
    <x v="81"/>
    <d v="2020-08-26T00:00:00"/>
    <s v="Excellent customer service support."/>
    <n v="5"/>
    <x v="1"/>
    <x v="1"/>
    <x v="2"/>
    <x v="2"/>
    <x v="0"/>
    <x v="0"/>
    <x v="0"/>
    <s v="Wednesday"/>
    <x v="0"/>
    <s v="New Customer"/>
    <s v="Not Referred"/>
  </r>
  <r>
    <x v="84"/>
    <x v="82"/>
    <d v="2020-02-10T00:00:00"/>
    <s v="The mobile app experience was intuitive."/>
    <n v="4"/>
    <x v="1"/>
    <x v="0"/>
    <x v="2"/>
    <x v="2"/>
    <x v="0"/>
    <x v="2"/>
    <x v="1"/>
    <s v="Monday"/>
    <x v="0"/>
    <s v="New Customer"/>
    <s v="Referred"/>
  </r>
  <r>
    <x v="85"/>
    <x v="83"/>
    <d v="2021-11-10T00:00:00"/>
    <s v="The agent was helpful and explained everything."/>
    <n v="5"/>
    <x v="1"/>
    <x v="0"/>
    <x v="2"/>
    <x v="2"/>
    <x v="1"/>
    <x v="4"/>
    <x v="3"/>
    <s v="Wednesday"/>
    <x v="0"/>
    <s v="New Customer"/>
    <s v="Referred"/>
  </r>
  <r>
    <x v="86"/>
    <x v="84"/>
    <d v="2022-03-10T00:00:00"/>
    <s v="Had to wait too long for claim approval."/>
    <n v="2"/>
    <x v="0"/>
    <x v="1"/>
    <x v="1"/>
    <x v="1"/>
    <x v="2"/>
    <x v="8"/>
    <x v="1"/>
    <s v="Thursday"/>
    <x v="1"/>
    <s v="New Customer"/>
    <s v="Not Referred"/>
  </r>
  <r>
    <x v="87"/>
    <x v="85"/>
    <d v="2021-07-12T00:00:00"/>
    <s v="Had to wait too long for claim approval."/>
    <n v="2"/>
    <x v="1"/>
    <x v="0"/>
    <x v="1"/>
    <x v="1"/>
    <x v="1"/>
    <x v="11"/>
    <x v="0"/>
    <s v="Monday"/>
    <x v="1"/>
    <s v="New Customer"/>
    <s v="Referred"/>
  </r>
  <r>
    <x v="88"/>
    <x v="86"/>
    <d v="2021-08-25T00:00:00"/>
    <s v="Very satisfied with the claim process."/>
    <n v="4"/>
    <x v="0"/>
    <x v="0"/>
    <x v="2"/>
    <x v="2"/>
    <x v="1"/>
    <x v="0"/>
    <x v="0"/>
    <s v="Wednesday"/>
    <x v="0"/>
    <s v="Returning Customer"/>
    <s v="Referred"/>
  </r>
  <r>
    <x v="89"/>
    <x v="87"/>
    <d v="2023-02-14T00:00:00"/>
    <s v="Need more clarity on policy coverage."/>
    <n v="3"/>
    <x v="0"/>
    <x v="1"/>
    <x v="0"/>
    <x v="0"/>
    <x v="3"/>
    <x v="2"/>
    <x v="1"/>
    <s v="Tuesday"/>
    <x v="0"/>
    <s v="New Customer"/>
    <s v="Not Referred"/>
  </r>
  <r>
    <x v="90"/>
    <x v="88"/>
    <d v="2022-02-02T00:00:00"/>
    <s v="Very satisfied with the claim process."/>
    <n v="4"/>
    <x v="0"/>
    <x v="1"/>
    <x v="2"/>
    <x v="2"/>
    <x v="2"/>
    <x v="2"/>
    <x v="1"/>
    <s v="Wednesday"/>
    <x v="0"/>
    <s v="New Customer"/>
    <s v="Not Referred"/>
  </r>
  <r>
    <x v="91"/>
    <x v="89"/>
    <d v="2023-10-07T00:00:00"/>
    <s v="The agent was helpful and explained everything."/>
    <n v="5"/>
    <x v="1"/>
    <x v="1"/>
    <x v="2"/>
    <x v="2"/>
    <x v="3"/>
    <x v="6"/>
    <x v="3"/>
    <s v="Saturday"/>
    <x v="0"/>
    <s v="New Customer"/>
    <s v="Not Referred"/>
  </r>
  <r>
    <x v="92"/>
    <x v="90"/>
    <d v="2020-02-11T00:00:00"/>
    <s v="Need more clarity on policy coverage."/>
    <n v="1"/>
    <x v="1"/>
    <x v="0"/>
    <x v="1"/>
    <x v="1"/>
    <x v="0"/>
    <x v="2"/>
    <x v="1"/>
    <s v="Tuesday"/>
    <x v="1"/>
    <s v="Returning Customer"/>
    <s v="Referred"/>
  </r>
  <r>
    <x v="93"/>
    <x v="91"/>
    <d v="2023-09-15T00:00:00"/>
    <s v="Excellent customer service support."/>
    <n v="5"/>
    <x v="1"/>
    <x v="0"/>
    <x v="2"/>
    <x v="2"/>
    <x v="3"/>
    <x v="7"/>
    <x v="0"/>
    <s v="Friday"/>
    <x v="0"/>
    <s v="New Customer"/>
    <s v="Referred"/>
  </r>
  <r>
    <x v="94"/>
    <x v="92"/>
    <d v="2020-05-27T00:00:00"/>
    <s v="Frustrated with repeated documentation requests."/>
    <n v="3"/>
    <x v="0"/>
    <x v="1"/>
    <x v="0"/>
    <x v="0"/>
    <x v="0"/>
    <x v="5"/>
    <x v="2"/>
    <s v="Wednesday"/>
    <x v="0"/>
    <s v="New Customer"/>
    <s v="Not Referred"/>
  </r>
  <r>
    <x v="95"/>
    <x v="93"/>
    <d v="2022-05-06T00:00:00"/>
    <s v="I'm not happy with the premium charged."/>
    <n v="2"/>
    <x v="0"/>
    <x v="0"/>
    <x v="1"/>
    <x v="1"/>
    <x v="2"/>
    <x v="5"/>
    <x v="2"/>
    <s v="Friday"/>
    <x v="1"/>
    <s v="New Customer"/>
    <s v="Referred"/>
  </r>
  <r>
    <x v="96"/>
    <x v="94"/>
    <d v="2023-07-05T00:00:00"/>
    <s v="Need more clarity on policy coverage."/>
    <n v="2"/>
    <x v="1"/>
    <x v="0"/>
    <x v="1"/>
    <x v="1"/>
    <x v="3"/>
    <x v="11"/>
    <x v="0"/>
    <s v="Wednesday"/>
    <x v="1"/>
    <s v="New Customer"/>
    <s v="Referred"/>
  </r>
  <r>
    <x v="97"/>
    <x v="95"/>
    <d v="2020-10-08T00:00:00"/>
    <s v="Smooth experience with no issues."/>
    <n v="4"/>
    <x v="1"/>
    <x v="0"/>
    <x v="2"/>
    <x v="2"/>
    <x v="0"/>
    <x v="6"/>
    <x v="3"/>
    <s v="Thursday"/>
    <x v="0"/>
    <s v="New Customer"/>
    <s v="Referred"/>
  </r>
  <r>
    <x v="98"/>
    <x v="96"/>
    <d v="2022-01-11T00:00:00"/>
    <s v="Very satisfied with the claim process."/>
    <n v="4"/>
    <x v="0"/>
    <x v="0"/>
    <x v="2"/>
    <x v="2"/>
    <x v="2"/>
    <x v="1"/>
    <x v="1"/>
    <s v="Tuesday"/>
    <x v="0"/>
    <s v="New Customer"/>
    <s v="Referred"/>
  </r>
  <r>
    <x v="99"/>
    <x v="97"/>
    <d v="2022-11-18T00:00:00"/>
    <s v="I'm not happy with the premium charged."/>
    <n v="1"/>
    <x v="0"/>
    <x v="1"/>
    <x v="1"/>
    <x v="1"/>
    <x v="2"/>
    <x v="4"/>
    <x v="3"/>
    <s v="Friday"/>
    <x v="1"/>
    <s v="New Customer"/>
    <s v="Not Referred"/>
  </r>
  <r>
    <x v="100"/>
    <x v="98"/>
    <d v="2020-06-01T00:00:00"/>
    <s v="I'm not happy with the premium charged."/>
    <n v="1"/>
    <x v="1"/>
    <x v="1"/>
    <x v="1"/>
    <x v="1"/>
    <x v="0"/>
    <x v="9"/>
    <x v="2"/>
    <s v="Monday"/>
    <x v="1"/>
    <s v="New Customer"/>
    <s v="Not Referred"/>
  </r>
  <r>
    <x v="101"/>
    <x v="99"/>
    <d v="2020-09-17T00:00:00"/>
    <s v="The agent was helpful and explained everything."/>
    <n v="5"/>
    <x v="0"/>
    <x v="0"/>
    <x v="2"/>
    <x v="2"/>
    <x v="0"/>
    <x v="7"/>
    <x v="0"/>
    <s v="Thursday"/>
    <x v="0"/>
    <s v="New Customer"/>
    <s v="Referred"/>
  </r>
  <r>
    <x v="102"/>
    <x v="100"/>
    <d v="2020-04-22T00:00:00"/>
    <s v="Smooth experience with no issues."/>
    <n v="5"/>
    <x v="1"/>
    <x v="0"/>
    <x v="2"/>
    <x v="2"/>
    <x v="0"/>
    <x v="3"/>
    <x v="2"/>
    <s v="Wednesday"/>
    <x v="0"/>
    <s v="New Customer"/>
    <s v="Referred"/>
  </r>
  <r>
    <x v="103"/>
    <x v="101"/>
    <d v="2021-03-20T00:00:00"/>
    <s v="Frustrated with repeated documentation requests."/>
    <n v="1"/>
    <x v="1"/>
    <x v="1"/>
    <x v="1"/>
    <x v="1"/>
    <x v="1"/>
    <x v="8"/>
    <x v="1"/>
    <s v="Saturday"/>
    <x v="1"/>
    <s v="New Customer"/>
    <s v="Not Referred"/>
  </r>
  <r>
    <x v="104"/>
    <x v="102"/>
    <d v="2020-01-25T00:00:00"/>
    <s v="Excellent customer service support."/>
    <n v="5"/>
    <x v="0"/>
    <x v="1"/>
    <x v="2"/>
    <x v="2"/>
    <x v="0"/>
    <x v="1"/>
    <x v="1"/>
    <s v="Saturday"/>
    <x v="0"/>
    <s v="New Customer"/>
    <s v="Not Referred"/>
  </r>
  <r>
    <x v="105"/>
    <x v="103"/>
    <d v="2020-04-18T00:00:00"/>
    <s v="Very satisfied with the claim process."/>
    <n v="5"/>
    <x v="1"/>
    <x v="0"/>
    <x v="2"/>
    <x v="2"/>
    <x v="0"/>
    <x v="3"/>
    <x v="2"/>
    <s v="Saturday"/>
    <x v="0"/>
    <s v="New Customer"/>
    <s v="Referred"/>
  </r>
  <r>
    <x v="106"/>
    <x v="104"/>
    <d v="2020-02-27T00:00:00"/>
    <s v="Excellent customer service support."/>
    <n v="5"/>
    <x v="1"/>
    <x v="0"/>
    <x v="2"/>
    <x v="2"/>
    <x v="0"/>
    <x v="2"/>
    <x v="1"/>
    <s v="Thursday"/>
    <x v="0"/>
    <s v="New Customer"/>
    <s v="Referred"/>
  </r>
  <r>
    <x v="107"/>
    <x v="105"/>
    <d v="2020-12-30T00:00:00"/>
    <s v="The agent was helpful and explained everything."/>
    <n v="4"/>
    <x v="1"/>
    <x v="0"/>
    <x v="2"/>
    <x v="2"/>
    <x v="0"/>
    <x v="10"/>
    <x v="3"/>
    <s v="Wednesday"/>
    <x v="0"/>
    <s v="Returning Customer"/>
    <s v="Referred"/>
  </r>
  <r>
    <x v="108"/>
    <x v="106"/>
    <d v="2021-07-28T00:00:00"/>
    <s v="The agent was helpful and explained everything."/>
    <n v="5"/>
    <x v="0"/>
    <x v="1"/>
    <x v="2"/>
    <x v="2"/>
    <x v="1"/>
    <x v="11"/>
    <x v="0"/>
    <s v="Wednesday"/>
    <x v="0"/>
    <s v="Returning Customer"/>
    <s v="Not Referred"/>
  </r>
  <r>
    <x v="109"/>
    <x v="107"/>
    <d v="2021-07-13T00:00:00"/>
    <s v="Claim process could be faster."/>
    <n v="2"/>
    <x v="0"/>
    <x v="0"/>
    <x v="1"/>
    <x v="1"/>
    <x v="1"/>
    <x v="11"/>
    <x v="0"/>
    <s v="Tuesday"/>
    <x v="1"/>
    <s v="New Customer"/>
    <s v="Referred"/>
  </r>
  <r>
    <x v="110"/>
    <x v="108"/>
    <d v="2020-07-26T00:00:00"/>
    <s v="Need more clarity on policy coverage."/>
    <n v="1"/>
    <x v="1"/>
    <x v="0"/>
    <x v="1"/>
    <x v="1"/>
    <x v="0"/>
    <x v="11"/>
    <x v="0"/>
    <s v="Sunday"/>
    <x v="1"/>
    <s v="New Customer"/>
    <s v="Referred"/>
  </r>
  <r>
    <x v="111"/>
    <x v="109"/>
    <d v="2022-06-06T00:00:00"/>
    <s v="Had to wait too long for claim approval."/>
    <n v="2"/>
    <x v="0"/>
    <x v="1"/>
    <x v="1"/>
    <x v="1"/>
    <x v="2"/>
    <x v="9"/>
    <x v="2"/>
    <s v="Monday"/>
    <x v="1"/>
    <s v="New Customer"/>
    <s v="Not Referred"/>
  </r>
  <r>
    <x v="112"/>
    <x v="110"/>
    <d v="2020-11-13T00:00:00"/>
    <s v="Need more clarity on policy coverage."/>
    <n v="1"/>
    <x v="1"/>
    <x v="0"/>
    <x v="1"/>
    <x v="1"/>
    <x v="0"/>
    <x v="4"/>
    <x v="3"/>
    <s v="Friday"/>
    <x v="1"/>
    <s v="New Customer"/>
    <s v="Referred"/>
  </r>
  <r>
    <x v="113"/>
    <x v="111"/>
    <d v="2021-06-17T00:00:00"/>
    <s v="The agent was helpful and explained everything."/>
    <n v="4"/>
    <x v="0"/>
    <x v="1"/>
    <x v="2"/>
    <x v="2"/>
    <x v="1"/>
    <x v="9"/>
    <x v="2"/>
    <s v="Thursday"/>
    <x v="0"/>
    <s v="Returning Customer"/>
    <s v="Not Referred"/>
  </r>
  <r>
    <x v="114"/>
    <x v="112"/>
    <d v="2020-10-10T00:00:00"/>
    <s v="The mobile app experience was intuitive."/>
    <n v="3"/>
    <x v="1"/>
    <x v="0"/>
    <x v="0"/>
    <x v="0"/>
    <x v="0"/>
    <x v="6"/>
    <x v="3"/>
    <s v="Saturday"/>
    <x v="0"/>
    <s v="New Customer"/>
    <s v="Referred"/>
  </r>
  <r>
    <x v="115"/>
    <x v="113"/>
    <d v="2023-01-09T00:00:00"/>
    <s v="Excellent customer service support."/>
    <n v="5"/>
    <x v="0"/>
    <x v="1"/>
    <x v="2"/>
    <x v="2"/>
    <x v="3"/>
    <x v="1"/>
    <x v="1"/>
    <s v="Monday"/>
    <x v="0"/>
    <s v="New Customer"/>
    <s v="Not Referred"/>
  </r>
  <r>
    <x v="116"/>
    <x v="114"/>
    <d v="2021-05-06T00:00:00"/>
    <s v="Had to wait too long for claim approval."/>
    <n v="2"/>
    <x v="0"/>
    <x v="1"/>
    <x v="1"/>
    <x v="1"/>
    <x v="1"/>
    <x v="5"/>
    <x v="2"/>
    <s v="Thursday"/>
    <x v="1"/>
    <s v="New Customer"/>
    <s v="Not Referred"/>
  </r>
  <r>
    <x v="117"/>
    <x v="115"/>
    <d v="2021-10-25T00:00:00"/>
    <s v="The mobile app experience was intuitive."/>
    <n v="5"/>
    <x v="1"/>
    <x v="0"/>
    <x v="2"/>
    <x v="2"/>
    <x v="1"/>
    <x v="6"/>
    <x v="3"/>
    <s v="Monday"/>
    <x v="0"/>
    <s v="Returning Customer"/>
    <s v="Referred"/>
  </r>
  <r>
    <x v="118"/>
    <x v="116"/>
    <d v="2021-10-27T00:00:00"/>
    <s v="Excellent customer service support."/>
    <n v="5"/>
    <x v="1"/>
    <x v="1"/>
    <x v="2"/>
    <x v="2"/>
    <x v="1"/>
    <x v="6"/>
    <x v="3"/>
    <s v="Wednesday"/>
    <x v="0"/>
    <s v="Returning Customer"/>
    <s v="Not Referred"/>
  </r>
  <r>
    <x v="119"/>
    <x v="117"/>
    <d v="2023-05-28T00:00:00"/>
    <s v="Frustrated with repeated documentation requests."/>
    <n v="1"/>
    <x v="0"/>
    <x v="0"/>
    <x v="1"/>
    <x v="1"/>
    <x v="3"/>
    <x v="5"/>
    <x v="2"/>
    <s v="Sunday"/>
    <x v="1"/>
    <s v="New Customer"/>
    <s v="Referred"/>
  </r>
  <r>
    <x v="120"/>
    <x v="118"/>
    <d v="2022-10-03T00:00:00"/>
    <s v="Claim process could be faster."/>
    <n v="3"/>
    <x v="1"/>
    <x v="1"/>
    <x v="0"/>
    <x v="0"/>
    <x v="2"/>
    <x v="6"/>
    <x v="3"/>
    <s v="Monday"/>
    <x v="0"/>
    <s v="New Customer"/>
    <s v="Not Referred"/>
  </r>
  <r>
    <x v="121"/>
    <x v="119"/>
    <d v="2021-01-04T00:00:00"/>
    <s v="Claim process could be faster."/>
    <n v="2"/>
    <x v="0"/>
    <x v="1"/>
    <x v="1"/>
    <x v="1"/>
    <x v="1"/>
    <x v="1"/>
    <x v="1"/>
    <s v="Monday"/>
    <x v="1"/>
    <s v="New Customer"/>
    <s v="Not Referred"/>
  </r>
  <r>
    <x v="122"/>
    <x v="120"/>
    <d v="2023-06-17T00:00:00"/>
    <s v="Smooth experience with no issues."/>
    <n v="5"/>
    <x v="0"/>
    <x v="0"/>
    <x v="2"/>
    <x v="2"/>
    <x v="3"/>
    <x v="9"/>
    <x v="2"/>
    <s v="Saturday"/>
    <x v="0"/>
    <s v="Returning Customer"/>
    <s v="Referred"/>
  </r>
  <r>
    <x v="123"/>
    <x v="121"/>
    <d v="2023-11-24T00:00:00"/>
    <s v="Frustrated with repeated documentation requests."/>
    <n v="3"/>
    <x v="1"/>
    <x v="1"/>
    <x v="0"/>
    <x v="0"/>
    <x v="3"/>
    <x v="4"/>
    <x v="3"/>
    <s v="Friday"/>
    <x v="0"/>
    <s v="New Customer"/>
    <s v="Not Referred"/>
  </r>
  <r>
    <x v="124"/>
    <x v="122"/>
    <d v="2021-06-21T00:00:00"/>
    <s v="Frustrated with repeated documentation requests."/>
    <n v="3"/>
    <x v="1"/>
    <x v="0"/>
    <x v="0"/>
    <x v="0"/>
    <x v="1"/>
    <x v="9"/>
    <x v="2"/>
    <s v="Monday"/>
    <x v="0"/>
    <s v="Returning Customer"/>
    <s v="Referred"/>
  </r>
  <r>
    <x v="125"/>
    <x v="123"/>
    <d v="2020-04-29T00:00:00"/>
    <s v="Had to wait too long for claim approval."/>
    <n v="1"/>
    <x v="1"/>
    <x v="1"/>
    <x v="1"/>
    <x v="1"/>
    <x v="0"/>
    <x v="3"/>
    <x v="2"/>
    <s v="Wednesday"/>
    <x v="1"/>
    <s v="New Customer"/>
    <s v="Not Referred"/>
  </r>
  <r>
    <x v="126"/>
    <x v="25"/>
    <d v="2023-09-04T00:00:00"/>
    <s v="The agent was helpful and explained everything."/>
    <n v="5"/>
    <x v="1"/>
    <x v="1"/>
    <x v="2"/>
    <x v="2"/>
    <x v="3"/>
    <x v="7"/>
    <x v="0"/>
    <s v="Monday"/>
    <x v="0"/>
    <s v="Returning Customer"/>
    <s v="Not Referred"/>
  </r>
  <r>
    <x v="127"/>
    <x v="124"/>
    <d v="2023-02-13T00:00:00"/>
    <s v="Very satisfied with the claim process."/>
    <n v="4"/>
    <x v="1"/>
    <x v="0"/>
    <x v="2"/>
    <x v="2"/>
    <x v="3"/>
    <x v="2"/>
    <x v="1"/>
    <s v="Monday"/>
    <x v="0"/>
    <s v="New Customer"/>
    <s v="Referred"/>
  </r>
  <r>
    <x v="128"/>
    <x v="125"/>
    <d v="2022-11-05T00:00:00"/>
    <s v="The agent was helpful and explained everything."/>
    <n v="4"/>
    <x v="0"/>
    <x v="1"/>
    <x v="2"/>
    <x v="2"/>
    <x v="2"/>
    <x v="4"/>
    <x v="3"/>
    <s v="Saturday"/>
    <x v="0"/>
    <s v="New Customer"/>
    <s v="Not Referred"/>
  </r>
  <r>
    <x v="129"/>
    <x v="126"/>
    <d v="2020-03-05T00:00:00"/>
    <s v="Excellent customer service support."/>
    <n v="4"/>
    <x v="0"/>
    <x v="0"/>
    <x v="2"/>
    <x v="2"/>
    <x v="0"/>
    <x v="8"/>
    <x v="1"/>
    <s v="Thursday"/>
    <x v="0"/>
    <s v="New Customer"/>
    <s v="Referred"/>
  </r>
  <r>
    <x v="130"/>
    <x v="127"/>
    <d v="2022-12-17T00:00:00"/>
    <s v="I'm not happy with the premium charged."/>
    <n v="2"/>
    <x v="0"/>
    <x v="0"/>
    <x v="1"/>
    <x v="1"/>
    <x v="2"/>
    <x v="10"/>
    <x v="3"/>
    <s v="Saturday"/>
    <x v="1"/>
    <s v="New Customer"/>
    <s v="Referred"/>
  </r>
  <r>
    <x v="131"/>
    <x v="128"/>
    <d v="2021-08-06T00:00:00"/>
    <s v="The agent was helpful and explained everything."/>
    <n v="4"/>
    <x v="1"/>
    <x v="0"/>
    <x v="2"/>
    <x v="2"/>
    <x v="1"/>
    <x v="0"/>
    <x v="0"/>
    <s v="Friday"/>
    <x v="0"/>
    <s v="New Customer"/>
    <s v="Referred"/>
  </r>
  <r>
    <x v="132"/>
    <x v="129"/>
    <d v="2023-08-10T00:00:00"/>
    <s v="The mobile app experience was intuitive."/>
    <n v="5"/>
    <x v="1"/>
    <x v="1"/>
    <x v="2"/>
    <x v="2"/>
    <x v="3"/>
    <x v="0"/>
    <x v="0"/>
    <s v="Thursday"/>
    <x v="0"/>
    <s v="New Customer"/>
    <s v="Not Referred"/>
  </r>
  <r>
    <x v="133"/>
    <x v="130"/>
    <d v="2021-10-09T00:00:00"/>
    <s v="Smooth experience with no issues."/>
    <n v="5"/>
    <x v="0"/>
    <x v="0"/>
    <x v="2"/>
    <x v="2"/>
    <x v="1"/>
    <x v="6"/>
    <x v="3"/>
    <s v="Saturday"/>
    <x v="0"/>
    <s v="New Customer"/>
    <s v="Referred"/>
  </r>
  <r>
    <x v="134"/>
    <x v="131"/>
    <d v="2022-08-20T00:00:00"/>
    <s v="Need more clarity on policy coverage."/>
    <n v="2"/>
    <x v="0"/>
    <x v="0"/>
    <x v="1"/>
    <x v="1"/>
    <x v="2"/>
    <x v="0"/>
    <x v="0"/>
    <s v="Saturday"/>
    <x v="1"/>
    <s v="Returning Customer"/>
    <s v="Referred"/>
  </r>
  <r>
    <x v="135"/>
    <x v="132"/>
    <d v="2020-06-04T00:00:00"/>
    <s v="The agent was helpful and explained everything."/>
    <n v="5"/>
    <x v="0"/>
    <x v="0"/>
    <x v="2"/>
    <x v="2"/>
    <x v="0"/>
    <x v="9"/>
    <x v="2"/>
    <s v="Thursday"/>
    <x v="0"/>
    <s v="New Customer"/>
    <s v="Referred"/>
  </r>
  <r>
    <x v="136"/>
    <x v="133"/>
    <d v="2022-01-11T00:00:00"/>
    <s v="Claim process could be faster."/>
    <n v="3"/>
    <x v="0"/>
    <x v="1"/>
    <x v="0"/>
    <x v="0"/>
    <x v="2"/>
    <x v="1"/>
    <x v="1"/>
    <s v="Tuesday"/>
    <x v="0"/>
    <s v="Returning Customer"/>
    <s v="Not Referred"/>
  </r>
  <r>
    <x v="137"/>
    <x v="134"/>
    <d v="2023-08-03T00:00:00"/>
    <s v="Need more clarity on policy coverage."/>
    <n v="3"/>
    <x v="0"/>
    <x v="0"/>
    <x v="0"/>
    <x v="0"/>
    <x v="3"/>
    <x v="0"/>
    <x v="0"/>
    <s v="Thursday"/>
    <x v="0"/>
    <s v="New Customer"/>
    <s v="Referred"/>
  </r>
  <r>
    <x v="138"/>
    <x v="135"/>
    <d v="2021-12-31T00:00:00"/>
    <s v="Excellent customer service support."/>
    <n v="5"/>
    <x v="0"/>
    <x v="1"/>
    <x v="2"/>
    <x v="2"/>
    <x v="1"/>
    <x v="10"/>
    <x v="3"/>
    <s v="Friday"/>
    <x v="0"/>
    <s v="Loyal Customer"/>
    <s v="Not Referred"/>
  </r>
  <r>
    <x v="139"/>
    <x v="122"/>
    <d v="2023-10-25T00:00:00"/>
    <s v="Excellent customer service support."/>
    <n v="4"/>
    <x v="0"/>
    <x v="0"/>
    <x v="2"/>
    <x v="2"/>
    <x v="3"/>
    <x v="6"/>
    <x v="3"/>
    <s v="Wednesday"/>
    <x v="0"/>
    <s v="Returning Customer"/>
    <s v="Referred"/>
  </r>
  <r>
    <x v="140"/>
    <x v="136"/>
    <d v="2023-08-08T00:00:00"/>
    <s v="Very satisfied with the claim process."/>
    <n v="5"/>
    <x v="1"/>
    <x v="1"/>
    <x v="2"/>
    <x v="2"/>
    <x v="3"/>
    <x v="0"/>
    <x v="0"/>
    <s v="Tuesday"/>
    <x v="0"/>
    <s v="New Customer"/>
    <s v="Not Referred"/>
  </r>
  <r>
    <x v="141"/>
    <x v="137"/>
    <d v="2021-05-06T00:00:00"/>
    <s v="The agent was helpful and explained everything."/>
    <n v="5"/>
    <x v="1"/>
    <x v="1"/>
    <x v="2"/>
    <x v="2"/>
    <x v="1"/>
    <x v="5"/>
    <x v="2"/>
    <s v="Thursday"/>
    <x v="0"/>
    <s v="New Customer"/>
    <s v="Not Referred"/>
  </r>
  <r>
    <x v="142"/>
    <x v="138"/>
    <d v="2021-01-01T00:00:00"/>
    <s v="Had to wait too long for claim approval."/>
    <n v="1"/>
    <x v="1"/>
    <x v="1"/>
    <x v="1"/>
    <x v="1"/>
    <x v="1"/>
    <x v="1"/>
    <x v="1"/>
    <s v="Friday"/>
    <x v="1"/>
    <s v="New Customer"/>
    <s v="Not Referred"/>
  </r>
  <r>
    <x v="143"/>
    <x v="139"/>
    <d v="2020-06-09T00:00:00"/>
    <s v="Excellent customer service support."/>
    <n v="4"/>
    <x v="1"/>
    <x v="0"/>
    <x v="2"/>
    <x v="2"/>
    <x v="0"/>
    <x v="9"/>
    <x v="2"/>
    <s v="Tuesday"/>
    <x v="0"/>
    <s v="Returning Customer"/>
    <s v="Referred"/>
  </r>
  <r>
    <x v="144"/>
    <x v="140"/>
    <d v="2023-01-03T00:00:00"/>
    <s v="Need more clarity on policy coverage."/>
    <n v="2"/>
    <x v="0"/>
    <x v="0"/>
    <x v="1"/>
    <x v="1"/>
    <x v="3"/>
    <x v="1"/>
    <x v="1"/>
    <s v="Tuesday"/>
    <x v="1"/>
    <s v="Returning Customer"/>
    <s v="Referred"/>
  </r>
  <r>
    <x v="145"/>
    <x v="141"/>
    <d v="2020-10-20T00:00:00"/>
    <s v="Frustrated with repeated documentation requests."/>
    <n v="1"/>
    <x v="1"/>
    <x v="1"/>
    <x v="1"/>
    <x v="1"/>
    <x v="0"/>
    <x v="6"/>
    <x v="3"/>
    <s v="Tuesday"/>
    <x v="1"/>
    <s v="New Customer"/>
    <s v="Not Referred"/>
  </r>
  <r>
    <x v="146"/>
    <x v="142"/>
    <d v="2021-04-30T00:00:00"/>
    <s v="The agent was helpful and explained everything."/>
    <n v="4"/>
    <x v="1"/>
    <x v="1"/>
    <x v="2"/>
    <x v="2"/>
    <x v="1"/>
    <x v="3"/>
    <x v="2"/>
    <s v="Friday"/>
    <x v="0"/>
    <s v="New Customer"/>
    <s v="Not Referred"/>
  </r>
  <r>
    <x v="147"/>
    <x v="40"/>
    <d v="2020-06-30T00:00:00"/>
    <s v="Frustrated with repeated documentation requests."/>
    <n v="1"/>
    <x v="0"/>
    <x v="0"/>
    <x v="1"/>
    <x v="1"/>
    <x v="0"/>
    <x v="9"/>
    <x v="2"/>
    <s v="Tuesday"/>
    <x v="1"/>
    <s v="Returning Customer"/>
    <s v="Referred"/>
  </r>
  <r>
    <x v="148"/>
    <x v="143"/>
    <d v="2023-11-14T00:00:00"/>
    <s v="Had to wait too long for claim approval."/>
    <n v="2"/>
    <x v="0"/>
    <x v="1"/>
    <x v="1"/>
    <x v="1"/>
    <x v="3"/>
    <x v="4"/>
    <x v="3"/>
    <s v="Tuesday"/>
    <x v="1"/>
    <s v="Returning Customer"/>
    <s v="Not Referred"/>
  </r>
  <r>
    <x v="149"/>
    <x v="144"/>
    <d v="2021-03-25T00:00:00"/>
    <s v="Need more clarity on policy coverage."/>
    <n v="3"/>
    <x v="0"/>
    <x v="1"/>
    <x v="0"/>
    <x v="0"/>
    <x v="1"/>
    <x v="8"/>
    <x v="1"/>
    <s v="Thursday"/>
    <x v="0"/>
    <s v="Returning Customer"/>
    <s v="Not Referred"/>
  </r>
  <r>
    <x v="150"/>
    <x v="145"/>
    <d v="2020-08-22T00:00:00"/>
    <s v="The mobile app experience was intuitive."/>
    <n v="4"/>
    <x v="1"/>
    <x v="0"/>
    <x v="2"/>
    <x v="2"/>
    <x v="0"/>
    <x v="0"/>
    <x v="0"/>
    <s v="Saturday"/>
    <x v="0"/>
    <s v="New Customer"/>
    <s v="Referred"/>
  </r>
  <r>
    <x v="151"/>
    <x v="146"/>
    <d v="2020-03-21T00:00:00"/>
    <s v="Smooth experience with no issues."/>
    <n v="5"/>
    <x v="0"/>
    <x v="1"/>
    <x v="2"/>
    <x v="2"/>
    <x v="0"/>
    <x v="8"/>
    <x v="1"/>
    <s v="Saturday"/>
    <x v="0"/>
    <s v="New Customer"/>
    <s v="Not Referred"/>
  </r>
  <r>
    <x v="152"/>
    <x v="78"/>
    <d v="2022-08-26T00:00:00"/>
    <s v="Smooth experience with no issues."/>
    <n v="5"/>
    <x v="0"/>
    <x v="0"/>
    <x v="2"/>
    <x v="2"/>
    <x v="2"/>
    <x v="0"/>
    <x v="0"/>
    <s v="Friday"/>
    <x v="0"/>
    <s v="Returning Customer"/>
    <s v="Referred"/>
  </r>
  <r>
    <x v="153"/>
    <x v="147"/>
    <d v="2023-06-29T00:00:00"/>
    <s v="Claim process could be faster."/>
    <n v="3"/>
    <x v="0"/>
    <x v="0"/>
    <x v="0"/>
    <x v="0"/>
    <x v="3"/>
    <x v="9"/>
    <x v="2"/>
    <s v="Thursday"/>
    <x v="0"/>
    <s v="New Customer"/>
    <s v="Referred"/>
  </r>
  <r>
    <x v="154"/>
    <x v="148"/>
    <d v="2020-10-22T00:00:00"/>
    <s v="The mobile app experience was intuitive."/>
    <n v="5"/>
    <x v="0"/>
    <x v="0"/>
    <x v="2"/>
    <x v="2"/>
    <x v="0"/>
    <x v="6"/>
    <x v="3"/>
    <s v="Thursday"/>
    <x v="0"/>
    <s v="New Customer"/>
    <s v="Referred"/>
  </r>
  <r>
    <x v="155"/>
    <x v="149"/>
    <d v="2023-10-28T00:00:00"/>
    <s v="Frustrated with repeated documentation requests."/>
    <n v="2"/>
    <x v="0"/>
    <x v="1"/>
    <x v="1"/>
    <x v="1"/>
    <x v="3"/>
    <x v="6"/>
    <x v="3"/>
    <s v="Saturday"/>
    <x v="1"/>
    <s v="New Customer"/>
    <s v="Not Referred"/>
  </r>
  <r>
    <x v="156"/>
    <x v="150"/>
    <d v="2021-10-13T00:00:00"/>
    <s v="Claim process could be faster."/>
    <n v="3"/>
    <x v="1"/>
    <x v="0"/>
    <x v="0"/>
    <x v="0"/>
    <x v="1"/>
    <x v="6"/>
    <x v="3"/>
    <s v="Wednesday"/>
    <x v="0"/>
    <s v="New Customer"/>
    <s v="Referred"/>
  </r>
  <r>
    <x v="157"/>
    <x v="151"/>
    <d v="2022-01-24T00:00:00"/>
    <s v="Smooth experience with no issues."/>
    <n v="4"/>
    <x v="0"/>
    <x v="1"/>
    <x v="2"/>
    <x v="2"/>
    <x v="2"/>
    <x v="1"/>
    <x v="1"/>
    <s v="Monday"/>
    <x v="0"/>
    <s v="New Customer"/>
    <s v="Not Referred"/>
  </r>
  <r>
    <x v="158"/>
    <x v="152"/>
    <d v="2023-04-29T00:00:00"/>
    <s v="Frustrated with repeated documentation requests."/>
    <n v="2"/>
    <x v="1"/>
    <x v="1"/>
    <x v="1"/>
    <x v="1"/>
    <x v="3"/>
    <x v="3"/>
    <x v="2"/>
    <s v="Saturday"/>
    <x v="1"/>
    <s v="New Customer"/>
    <s v="Not Referred"/>
  </r>
  <r>
    <x v="159"/>
    <x v="153"/>
    <d v="2022-02-03T00:00:00"/>
    <s v="I'm not happy with the premium charged."/>
    <n v="1"/>
    <x v="1"/>
    <x v="1"/>
    <x v="1"/>
    <x v="1"/>
    <x v="2"/>
    <x v="2"/>
    <x v="1"/>
    <s v="Thursday"/>
    <x v="1"/>
    <s v="New Customer"/>
    <s v="Not Referred"/>
  </r>
  <r>
    <x v="160"/>
    <x v="154"/>
    <d v="2022-09-22T00:00:00"/>
    <s v="Excellent customer service support."/>
    <n v="4"/>
    <x v="0"/>
    <x v="0"/>
    <x v="2"/>
    <x v="2"/>
    <x v="2"/>
    <x v="7"/>
    <x v="0"/>
    <s v="Thursday"/>
    <x v="0"/>
    <s v="New Customer"/>
    <s v="Referred"/>
  </r>
  <r>
    <x v="161"/>
    <x v="155"/>
    <d v="2022-08-19T00:00:00"/>
    <s v="The mobile app experience was intuitive."/>
    <n v="5"/>
    <x v="0"/>
    <x v="1"/>
    <x v="2"/>
    <x v="2"/>
    <x v="2"/>
    <x v="0"/>
    <x v="0"/>
    <s v="Friday"/>
    <x v="0"/>
    <s v="New Customer"/>
    <s v="Not Referred"/>
  </r>
  <r>
    <x v="162"/>
    <x v="52"/>
    <d v="2023-01-31T00:00:00"/>
    <s v="Had to wait too long for claim approval."/>
    <n v="1"/>
    <x v="0"/>
    <x v="1"/>
    <x v="1"/>
    <x v="1"/>
    <x v="3"/>
    <x v="1"/>
    <x v="1"/>
    <s v="Tuesday"/>
    <x v="1"/>
    <s v="Returning Customer"/>
    <s v="Not Referred"/>
  </r>
  <r>
    <x v="163"/>
    <x v="156"/>
    <d v="2020-11-15T00:00:00"/>
    <s v="Frustrated with repeated documentation requests."/>
    <n v="1"/>
    <x v="0"/>
    <x v="1"/>
    <x v="1"/>
    <x v="1"/>
    <x v="0"/>
    <x v="4"/>
    <x v="3"/>
    <s v="Sunday"/>
    <x v="1"/>
    <s v="Returning Customer"/>
    <s v="Not Referred"/>
  </r>
  <r>
    <x v="164"/>
    <x v="157"/>
    <d v="2023-05-19T00:00:00"/>
    <s v="Excellent customer service support."/>
    <n v="4"/>
    <x v="1"/>
    <x v="1"/>
    <x v="2"/>
    <x v="2"/>
    <x v="3"/>
    <x v="5"/>
    <x v="2"/>
    <s v="Friday"/>
    <x v="0"/>
    <s v="Returning Customer"/>
    <s v="Not Referred"/>
  </r>
  <r>
    <x v="165"/>
    <x v="158"/>
    <d v="2023-11-10T00:00:00"/>
    <s v="The mobile app experience was intuitive."/>
    <n v="5"/>
    <x v="0"/>
    <x v="1"/>
    <x v="2"/>
    <x v="2"/>
    <x v="3"/>
    <x v="4"/>
    <x v="3"/>
    <s v="Friday"/>
    <x v="0"/>
    <s v="New Customer"/>
    <s v="Not Referred"/>
  </r>
  <r>
    <x v="166"/>
    <x v="159"/>
    <d v="2020-12-12T00:00:00"/>
    <s v="I'm not happy with the premium charged."/>
    <n v="2"/>
    <x v="0"/>
    <x v="1"/>
    <x v="1"/>
    <x v="1"/>
    <x v="0"/>
    <x v="10"/>
    <x v="3"/>
    <s v="Saturday"/>
    <x v="1"/>
    <s v="New Customer"/>
    <s v="Not Referred"/>
  </r>
  <r>
    <x v="167"/>
    <x v="160"/>
    <d v="2023-01-15T00:00:00"/>
    <s v="Had to wait too long for claim approval."/>
    <n v="2"/>
    <x v="1"/>
    <x v="1"/>
    <x v="1"/>
    <x v="1"/>
    <x v="3"/>
    <x v="1"/>
    <x v="1"/>
    <s v="Sunday"/>
    <x v="1"/>
    <s v="Returning Customer"/>
    <s v="Not Referred"/>
  </r>
  <r>
    <x v="168"/>
    <x v="160"/>
    <d v="2020-01-07T00:00:00"/>
    <s v="Smooth experience with no issues."/>
    <n v="5"/>
    <x v="1"/>
    <x v="1"/>
    <x v="2"/>
    <x v="2"/>
    <x v="0"/>
    <x v="1"/>
    <x v="1"/>
    <s v="Tuesday"/>
    <x v="0"/>
    <s v="Returning Customer"/>
    <s v="Not Referred"/>
  </r>
  <r>
    <x v="169"/>
    <x v="161"/>
    <d v="2023-05-31T00:00:00"/>
    <s v="The mobile app experience was intuitive."/>
    <n v="5"/>
    <x v="0"/>
    <x v="0"/>
    <x v="2"/>
    <x v="2"/>
    <x v="3"/>
    <x v="5"/>
    <x v="2"/>
    <s v="Wednesday"/>
    <x v="0"/>
    <s v="New Customer"/>
    <s v="Referred"/>
  </r>
  <r>
    <x v="170"/>
    <x v="162"/>
    <d v="2023-10-06T00:00:00"/>
    <s v="The agent was helpful and explained everything."/>
    <n v="4"/>
    <x v="0"/>
    <x v="0"/>
    <x v="2"/>
    <x v="2"/>
    <x v="3"/>
    <x v="6"/>
    <x v="3"/>
    <s v="Friday"/>
    <x v="0"/>
    <s v="New Customer"/>
    <s v="Referred"/>
  </r>
  <r>
    <x v="171"/>
    <x v="163"/>
    <d v="2021-08-31T00:00:00"/>
    <s v="Very satisfied with the claim process."/>
    <n v="5"/>
    <x v="0"/>
    <x v="0"/>
    <x v="2"/>
    <x v="2"/>
    <x v="1"/>
    <x v="0"/>
    <x v="0"/>
    <s v="Tuesday"/>
    <x v="0"/>
    <s v="New Customer"/>
    <s v="Referred"/>
  </r>
  <r>
    <x v="172"/>
    <x v="164"/>
    <d v="2021-10-28T00:00:00"/>
    <s v="Frustrated with repeated documentation requests."/>
    <n v="3"/>
    <x v="0"/>
    <x v="1"/>
    <x v="0"/>
    <x v="0"/>
    <x v="1"/>
    <x v="6"/>
    <x v="3"/>
    <s v="Thursday"/>
    <x v="0"/>
    <s v="New Customer"/>
    <s v="Not Referred"/>
  </r>
  <r>
    <x v="173"/>
    <x v="165"/>
    <d v="2022-05-02T00:00:00"/>
    <s v="The mobile app experience was intuitive."/>
    <n v="4"/>
    <x v="1"/>
    <x v="1"/>
    <x v="2"/>
    <x v="2"/>
    <x v="2"/>
    <x v="5"/>
    <x v="2"/>
    <s v="Monday"/>
    <x v="0"/>
    <s v="New Customer"/>
    <s v="Not Referred"/>
  </r>
  <r>
    <x v="174"/>
    <x v="166"/>
    <d v="2021-10-01T00:00:00"/>
    <s v="Very satisfied with the claim process."/>
    <n v="5"/>
    <x v="1"/>
    <x v="0"/>
    <x v="2"/>
    <x v="2"/>
    <x v="1"/>
    <x v="6"/>
    <x v="3"/>
    <s v="Friday"/>
    <x v="0"/>
    <s v="New Customer"/>
    <s v="Referred"/>
  </r>
  <r>
    <x v="175"/>
    <x v="167"/>
    <d v="2021-09-25T00:00:00"/>
    <s v="Smooth experience with no issues."/>
    <n v="4"/>
    <x v="1"/>
    <x v="0"/>
    <x v="2"/>
    <x v="2"/>
    <x v="1"/>
    <x v="7"/>
    <x v="0"/>
    <s v="Saturday"/>
    <x v="0"/>
    <s v="New Customer"/>
    <s v="Referred"/>
  </r>
  <r>
    <x v="176"/>
    <x v="168"/>
    <d v="2020-07-06T00:00:00"/>
    <s v="Excellent customer service support."/>
    <n v="4"/>
    <x v="1"/>
    <x v="1"/>
    <x v="2"/>
    <x v="2"/>
    <x v="0"/>
    <x v="11"/>
    <x v="0"/>
    <s v="Monday"/>
    <x v="0"/>
    <s v="Returning Customer"/>
    <s v="Not Referred"/>
  </r>
  <r>
    <x v="177"/>
    <x v="169"/>
    <d v="2022-09-24T00:00:00"/>
    <s v="Smooth experience with no issues."/>
    <n v="4"/>
    <x v="0"/>
    <x v="0"/>
    <x v="2"/>
    <x v="2"/>
    <x v="2"/>
    <x v="7"/>
    <x v="0"/>
    <s v="Saturday"/>
    <x v="0"/>
    <s v="New Customer"/>
    <s v="Referred"/>
  </r>
  <r>
    <x v="178"/>
    <x v="170"/>
    <d v="2021-03-24T00:00:00"/>
    <s v="Very satisfied with the claim process."/>
    <n v="4"/>
    <x v="1"/>
    <x v="0"/>
    <x v="2"/>
    <x v="2"/>
    <x v="1"/>
    <x v="8"/>
    <x v="1"/>
    <s v="Wednesday"/>
    <x v="0"/>
    <s v="New Customer"/>
    <s v="Referred"/>
  </r>
  <r>
    <x v="179"/>
    <x v="171"/>
    <d v="2021-06-28T00:00:00"/>
    <s v="Smooth experience with no issues."/>
    <n v="5"/>
    <x v="0"/>
    <x v="0"/>
    <x v="2"/>
    <x v="2"/>
    <x v="1"/>
    <x v="9"/>
    <x v="2"/>
    <s v="Monday"/>
    <x v="0"/>
    <s v="New Customer"/>
    <s v="Referred"/>
  </r>
  <r>
    <x v="180"/>
    <x v="172"/>
    <d v="2022-05-21T00:00:00"/>
    <s v="Had to wait too long for claim approval."/>
    <n v="1"/>
    <x v="1"/>
    <x v="0"/>
    <x v="1"/>
    <x v="1"/>
    <x v="2"/>
    <x v="5"/>
    <x v="2"/>
    <s v="Saturday"/>
    <x v="1"/>
    <s v="New Customer"/>
    <s v="Referred"/>
  </r>
  <r>
    <x v="181"/>
    <x v="173"/>
    <d v="2022-10-22T00:00:00"/>
    <s v="Need more clarity on policy coverage."/>
    <n v="3"/>
    <x v="0"/>
    <x v="1"/>
    <x v="0"/>
    <x v="0"/>
    <x v="2"/>
    <x v="6"/>
    <x v="3"/>
    <s v="Saturday"/>
    <x v="0"/>
    <s v="New Customer"/>
    <s v="Not Referred"/>
  </r>
  <r>
    <x v="182"/>
    <x v="174"/>
    <d v="2020-09-26T00:00:00"/>
    <s v="Excellent customer service support."/>
    <n v="4"/>
    <x v="0"/>
    <x v="1"/>
    <x v="2"/>
    <x v="2"/>
    <x v="0"/>
    <x v="7"/>
    <x v="0"/>
    <s v="Saturday"/>
    <x v="0"/>
    <s v="New Customer"/>
    <s v="Not Referred"/>
  </r>
  <r>
    <x v="183"/>
    <x v="175"/>
    <d v="2022-06-17T00:00:00"/>
    <s v="Very satisfied with the claim process."/>
    <n v="4"/>
    <x v="0"/>
    <x v="1"/>
    <x v="2"/>
    <x v="2"/>
    <x v="2"/>
    <x v="9"/>
    <x v="2"/>
    <s v="Friday"/>
    <x v="0"/>
    <s v="New Customer"/>
    <s v="Not Referred"/>
  </r>
  <r>
    <x v="184"/>
    <x v="176"/>
    <d v="2022-09-04T00:00:00"/>
    <s v="Had to wait too long for claim approval."/>
    <n v="1"/>
    <x v="1"/>
    <x v="0"/>
    <x v="1"/>
    <x v="1"/>
    <x v="2"/>
    <x v="7"/>
    <x v="0"/>
    <s v="Sunday"/>
    <x v="1"/>
    <s v="New Customer"/>
    <s v="Referred"/>
  </r>
  <r>
    <x v="185"/>
    <x v="32"/>
    <d v="2022-08-04T00:00:00"/>
    <s v="Very satisfied with the claim process."/>
    <n v="5"/>
    <x v="0"/>
    <x v="0"/>
    <x v="2"/>
    <x v="2"/>
    <x v="2"/>
    <x v="0"/>
    <x v="0"/>
    <s v="Thursday"/>
    <x v="0"/>
    <s v="Returning Customer"/>
    <s v="Referred"/>
  </r>
  <r>
    <x v="186"/>
    <x v="177"/>
    <d v="2022-03-12T00:00:00"/>
    <s v="Excellent customer service support."/>
    <n v="5"/>
    <x v="1"/>
    <x v="0"/>
    <x v="2"/>
    <x v="2"/>
    <x v="2"/>
    <x v="8"/>
    <x v="1"/>
    <s v="Saturday"/>
    <x v="0"/>
    <s v="New Customer"/>
    <s v="Referred"/>
  </r>
  <r>
    <x v="187"/>
    <x v="178"/>
    <d v="2022-12-05T00:00:00"/>
    <s v="Smooth experience with no issues."/>
    <n v="5"/>
    <x v="1"/>
    <x v="0"/>
    <x v="2"/>
    <x v="2"/>
    <x v="2"/>
    <x v="10"/>
    <x v="3"/>
    <s v="Monday"/>
    <x v="0"/>
    <s v="New Customer"/>
    <s v="Referred"/>
  </r>
  <r>
    <x v="188"/>
    <x v="179"/>
    <d v="2020-03-14T00:00:00"/>
    <s v="The agent was helpful and explained everything."/>
    <n v="5"/>
    <x v="0"/>
    <x v="1"/>
    <x v="2"/>
    <x v="2"/>
    <x v="0"/>
    <x v="8"/>
    <x v="1"/>
    <s v="Saturday"/>
    <x v="0"/>
    <s v="New Customer"/>
    <s v="Not Referred"/>
  </r>
  <r>
    <x v="189"/>
    <x v="180"/>
    <d v="2021-07-09T00:00:00"/>
    <s v="The mobile app experience was intuitive."/>
    <n v="4"/>
    <x v="0"/>
    <x v="1"/>
    <x v="2"/>
    <x v="2"/>
    <x v="1"/>
    <x v="11"/>
    <x v="0"/>
    <s v="Friday"/>
    <x v="0"/>
    <s v="New Customer"/>
    <s v="Not Referred"/>
  </r>
  <r>
    <x v="190"/>
    <x v="181"/>
    <d v="2020-05-18T00:00:00"/>
    <s v="Excellent customer service support."/>
    <n v="5"/>
    <x v="1"/>
    <x v="1"/>
    <x v="2"/>
    <x v="2"/>
    <x v="0"/>
    <x v="5"/>
    <x v="2"/>
    <s v="Monday"/>
    <x v="0"/>
    <s v="Returning Customer"/>
    <s v="Not Referred"/>
  </r>
  <r>
    <x v="191"/>
    <x v="182"/>
    <d v="2020-08-14T00:00:00"/>
    <s v="Claim process could be faster."/>
    <n v="2"/>
    <x v="0"/>
    <x v="1"/>
    <x v="1"/>
    <x v="1"/>
    <x v="0"/>
    <x v="0"/>
    <x v="0"/>
    <s v="Friday"/>
    <x v="1"/>
    <s v="Returning Customer"/>
    <s v="Not Referred"/>
  </r>
  <r>
    <x v="192"/>
    <x v="183"/>
    <d v="2020-10-17T00:00:00"/>
    <s v="The agent was helpful and explained everything."/>
    <n v="5"/>
    <x v="1"/>
    <x v="0"/>
    <x v="2"/>
    <x v="2"/>
    <x v="0"/>
    <x v="6"/>
    <x v="3"/>
    <s v="Saturday"/>
    <x v="0"/>
    <s v="New Customer"/>
    <s v="Referred"/>
  </r>
  <r>
    <x v="193"/>
    <x v="184"/>
    <d v="2022-11-17T00:00:00"/>
    <s v="Frustrated with repeated documentation requests."/>
    <n v="1"/>
    <x v="1"/>
    <x v="1"/>
    <x v="1"/>
    <x v="1"/>
    <x v="2"/>
    <x v="4"/>
    <x v="3"/>
    <s v="Thursday"/>
    <x v="1"/>
    <s v="New Customer"/>
    <s v="Not Referred"/>
  </r>
  <r>
    <x v="194"/>
    <x v="185"/>
    <d v="2022-10-31T00:00:00"/>
    <s v="Very satisfied with the claim process."/>
    <n v="5"/>
    <x v="0"/>
    <x v="1"/>
    <x v="2"/>
    <x v="2"/>
    <x v="2"/>
    <x v="6"/>
    <x v="3"/>
    <s v="Monday"/>
    <x v="0"/>
    <s v="New Customer"/>
    <s v="Not Referred"/>
  </r>
  <r>
    <x v="195"/>
    <x v="186"/>
    <d v="2020-05-18T00:00:00"/>
    <s v="Had to wait too long for claim approval."/>
    <n v="1"/>
    <x v="1"/>
    <x v="1"/>
    <x v="1"/>
    <x v="1"/>
    <x v="0"/>
    <x v="5"/>
    <x v="2"/>
    <s v="Monday"/>
    <x v="1"/>
    <s v="New Customer"/>
    <s v="Not Referred"/>
  </r>
  <r>
    <x v="196"/>
    <x v="187"/>
    <d v="2021-10-07T00:00:00"/>
    <s v="The mobile app experience was intuitive."/>
    <n v="5"/>
    <x v="1"/>
    <x v="1"/>
    <x v="2"/>
    <x v="2"/>
    <x v="1"/>
    <x v="6"/>
    <x v="3"/>
    <s v="Thursday"/>
    <x v="0"/>
    <s v="New Customer"/>
    <s v="Not Referred"/>
  </r>
  <r>
    <x v="197"/>
    <x v="188"/>
    <d v="2021-03-24T00:00:00"/>
    <s v="The agent was helpful and explained everything."/>
    <n v="4"/>
    <x v="0"/>
    <x v="1"/>
    <x v="2"/>
    <x v="2"/>
    <x v="1"/>
    <x v="8"/>
    <x v="1"/>
    <s v="Wednesday"/>
    <x v="0"/>
    <s v="Returning Customer"/>
    <s v="Not Referred"/>
  </r>
  <r>
    <x v="198"/>
    <x v="189"/>
    <d v="2023-12-06T00:00:00"/>
    <s v="The mobile app experience was intuitive."/>
    <n v="3"/>
    <x v="1"/>
    <x v="0"/>
    <x v="0"/>
    <x v="0"/>
    <x v="3"/>
    <x v="10"/>
    <x v="3"/>
    <s v="Wednesday"/>
    <x v="0"/>
    <s v="New Customer"/>
    <s v="Referred"/>
  </r>
  <r>
    <x v="199"/>
    <x v="190"/>
    <d v="2021-04-12T00:00:00"/>
    <s v="Smooth experience with no issues."/>
    <n v="4"/>
    <x v="0"/>
    <x v="0"/>
    <x v="2"/>
    <x v="2"/>
    <x v="1"/>
    <x v="3"/>
    <x v="2"/>
    <s v="Monday"/>
    <x v="0"/>
    <s v="New Customer"/>
    <s v="Referred"/>
  </r>
  <r>
    <x v="200"/>
    <x v="191"/>
    <d v="2022-02-25T00:00:00"/>
    <s v="Smooth experience with no issues."/>
    <n v="4"/>
    <x v="0"/>
    <x v="1"/>
    <x v="2"/>
    <x v="2"/>
    <x v="2"/>
    <x v="2"/>
    <x v="1"/>
    <s v="Friday"/>
    <x v="0"/>
    <s v="New Customer"/>
    <s v="Not Referred"/>
  </r>
  <r>
    <x v="201"/>
    <x v="192"/>
    <d v="2023-09-30T00:00:00"/>
    <s v="Excellent customer service support."/>
    <n v="4"/>
    <x v="1"/>
    <x v="0"/>
    <x v="2"/>
    <x v="2"/>
    <x v="3"/>
    <x v="7"/>
    <x v="0"/>
    <s v="Saturday"/>
    <x v="0"/>
    <s v="New Customer"/>
    <s v="Referred"/>
  </r>
  <r>
    <x v="202"/>
    <x v="193"/>
    <d v="2020-01-16T00:00:00"/>
    <s v="Claim process could be faster."/>
    <n v="2"/>
    <x v="1"/>
    <x v="0"/>
    <x v="1"/>
    <x v="1"/>
    <x v="0"/>
    <x v="1"/>
    <x v="1"/>
    <s v="Thursday"/>
    <x v="1"/>
    <s v="Returning Customer"/>
    <s v="Referred"/>
  </r>
  <r>
    <x v="203"/>
    <x v="194"/>
    <d v="2023-11-20T00:00:00"/>
    <s v="The mobile app experience was intuitive."/>
    <n v="4"/>
    <x v="1"/>
    <x v="0"/>
    <x v="2"/>
    <x v="2"/>
    <x v="3"/>
    <x v="4"/>
    <x v="3"/>
    <s v="Monday"/>
    <x v="0"/>
    <s v="Returning Customer"/>
    <s v="Referred"/>
  </r>
  <r>
    <x v="204"/>
    <x v="195"/>
    <d v="2021-07-28T00:00:00"/>
    <s v="Smooth experience with no issues."/>
    <n v="4"/>
    <x v="1"/>
    <x v="1"/>
    <x v="2"/>
    <x v="2"/>
    <x v="1"/>
    <x v="11"/>
    <x v="0"/>
    <s v="Wednesday"/>
    <x v="0"/>
    <s v="New Customer"/>
    <s v="Not Referred"/>
  </r>
  <r>
    <x v="205"/>
    <x v="196"/>
    <d v="2020-05-10T00:00:00"/>
    <s v="The agent was helpful and explained everything."/>
    <n v="4"/>
    <x v="0"/>
    <x v="1"/>
    <x v="2"/>
    <x v="2"/>
    <x v="0"/>
    <x v="5"/>
    <x v="2"/>
    <s v="Sunday"/>
    <x v="0"/>
    <s v="New Customer"/>
    <s v="Not Referred"/>
  </r>
  <r>
    <x v="206"/>
    <x v="197"/>
    <d v="2022-11-05T00:00:00"/>
    <s v="The agent was helpful and explained everything."/>
    <n v="5"/>
    <x v="0"/>
    <x v="1"/>
    <x v="2"/>
    <x v="2"/>
    <x v="2"/>
    <x v="4"/>
    <x v="3"/>
    <s v="Saturday"/>
    <x v="0"/>
    <s v="New Customer"/>
    <s v="Not Referred"/>
  </r>
  <r>
    <x v="207"/>
    <x v="198"/>
    <d v="2020-10-31T00:00:00"/>
    <s v="The agent was helpful and explained everything."/>
    <n v="4"/>
    <x v="1"/>
    <x v="1"/>
    <x v="2"/>
    <x v="2"/>
    <x v="0"/>
    <x v="6"/>
    <x v="3"/>
    <s v="Saturday"/>
    <x v="0"/>
    <s v="New Customer"/>
    <s v="Not Referred"/>
  </r>
  <r>
    <x v="208"/>
    <x v="199"/>
    <d v="2022-02-27T00:00:00"/>
    <s v="I'm not happy with the premium charged."/>
    <n v="2"/>
    <x v="0"/>
    <x v="1"/>
    <x v="1"/>
    <x v="1"/>
    <x v="2"/>
    <x v="2"/>
    <x v="1"/>
    <s v="Sunday"/>
    <x v="1"/>
    <s v="New Customer"/>
    <s v="Not Referred"/>
  </r>
  <r>
    <x v="209"/>
    <x v="200"/>
    <d v="2023-10-04T00:00:00"/>
    <s v="Need more clarity on policy coverage."/>
    <n v="1"/>
    <x v="0"/>
    <x v="0"/>
    <x v="1"/>
    <x v="1"/>
    <x v="3"/>
    <x v="6"/>
    <x v="3"/>
    <s v="Wednesday"/>
    <x v="1"/>
    <s v="New Customer"/>
    <s v="Referred"/>
  </r>
  <r>
    <x v="210"/>
    <x v="201"/>
    <d v="2023-02-19T00:00:00"/>
    <s v="The mobile app experience was intuitive."/>
    <n v="4"/>
    <x v="1"/>
    <x v="0"/>
    <x v="2"/>
    <x v="2"/>
    <x v="3"/>
    <x v="2"/>
    <x v="1"/>
    <s v="Sunday"/>
    <x v="0"/>
    <s v="New Customer"/>
    <s v="Referred"/>
  </r>
  <r>
    <x v="211"/>
    <x v="202"/>
    <d v="2021-09-08T00:00:00"/>
    <s v="I'm not happy with the premium charged."/>
    <n v="2"/>
    <x v="0"/>
    <x v="1"/>
    <x v="1"/>
    <x v="1"/>
    <x v="1"/>
    <x v="7"/>
    <x v="0"/>
    <s v="Wednesday"/>
    <x v="1"/>
    <s v="New Customer"/>
    <s v="Not Referred"/>
  </r>
  <r>
    <x v="212"/>
    <x v="203"/>
    <d v="2021-11-26T00:00:00"/>
    <s v="The agent was helpful and explained everything."/>
    <n v="4"/>
    <x v="0"/>
    <x v="1"/>
    <x v="2"/>
    <x v="2"/>
    <x v="1"/>
    <x v="4"/>
    <x v="3"/>
    <s v="Friday"/>
    <x v="0"/>
    <s v="Returning Customer"/>
    <s v="Not Referred"/>
  </r>
  <r>
    <x v="213"/>
    <x v="204"/>
    <d v="2020-07-18T00:00:00"/>
    <s v="Had to wait too long for claim approval."/>
    <n v="2"/>
    <x v="0"/>
    <x v="0"/>
    <x v="1"/>
    <x v="1"/>
    <x v="0"/>
    <x v="11"/>
    <x v="0"/>
    <s v="Saturday"/>
    <x v="1"/>
    <s v="Returning Customer"/>
    <s v="Referred"/>
  </r>
  <r>
    <x v="214"/>
    <x v="205"/>
    <d v="2021-11-02T00:00:00"/>
    <s v="Smooth experience with no issues."/>
    <n v="4"/>
    <x v="0"/>
    <x v="0"/>
    <x v="2"/>
    <x v="2"/>
    <x v="1"/>
    <x v="4"/>
    <x v="3"/>
    <s v="Tuesday"/>
    <x v="0"/>
    <s v="New Customer"/>
    <s v="Referred"/>
  </r>
  <r>
    <x v="215"/>
    <x v="206"/>
    <d v="2023-08-29T00:00:00"/>
    <s v="Had to wait too long for claim approval."/>
    <n v="1"/>
    <x v="0"/>
    <x v="0"/>
    <x v="1"/>
    <x v="1"/>
    <x v="3"/>
    <x v="0"/>
    <x v="0"/>
    <s v="Tuesday"/>
    <x v="1"/>
    <s v="New Customer"/>
    <s v="Referred"/>
  </r>
  <r>
    <x v="216"/>
    <x v="207"/>
    <d v="2021-02-27T00:00:00"/>
    <s v="The mobile app experience was intuitive."/>
    <n v="4"/>
    <x v="0"/>
    <x v="0"/>
    <x v="2"/>
    <x v="2"/>
    <x v="1"/>
    <x v="2"/>
    <x v="1"/>
    <s v="Saturday"/>
    <x v="0"/>
    <s v="New Customer"/>
    <s v="Referred"/>
  </r>
  <r>
    <x v="217"/>
    <x v="208"/>
    <d v="2021-04-26T00:00:00"/>
    <s v="Excellent customer service support."/>
    <n v="4"/>
    <x v="0"/>
    <x v="1"/>
    <x v="2"/>
    <x v="2"/>
    <x v="1"/>
    <x v="3"/>
    <x v="2"/>
    <s v="Monday"/>
    <x v="0"/>
    <s v="Returning Customer"/>
    <s v="Not Referred"/>
  </r>
  <r>
    <x v="218"/>
    <x v="209"/>
    <d v="2022-08-02T00:00:00"/>
    <s v="Claim process could be faster."/>
    <n v="3"/>
    <x v="0"/>
    <x v="1"/>
    <x v="0"/>
    <x v="0"/>
    <x v="2"/>
    <x v="0"/>
    <x v="0"/>
    <s v="Tuesday"/>
    <x v="0"/>
    <s v="New Customer"/>
    <s v="Not Referred"/>
  </r>
  <r>
    <x v="219"/>
    <x v="210"/>
    <d v="2022-06-11T00:00:00"/>
    <s v="Frustrated with repeated documentation requests."/>
    <n v="2"/>
    <x v="1"/>
    <x v="0"/>
    <x v="1"/>
    <x v="1"/>
    <x v="2"/>
    <x v="9"/>
    <x v="2"/>
    <s v="Saturday"/>
    <x v="1"/>
    <s v="Returning Customer"/>
    <s v="Referred"/>
  </r>
  <r>
    <x v="220"/>
    <x v="211"/>
    <d v="2022-01-27T00:00:00"/>
    <s v="Very satisfied with the claim process."/>
    <n v="5"/>
    <x v="0"/>
    <x v="0"/>
    <x v="2"/>
    <x v="2"/>
    <x v="2"/>
    <x v="1"/>
    <x v="1"/>
    <s v="Thursday"/>
    <x v="0"/>
    <s v="New Customer"/>
    <s v="Referred"/>
  </r>
  <r>
    <x v="221"/>
    <x v="212"/>
    <d v="2021-11-22T00:00:00"/>
    <s v="Frustrated with repeated documentation requests."/>
    <n v="1"/>
    <x v="1"/>
    <x v="0"/>
    <x v="1"/>
    <x v="1"/>
    <x v="1"/>
    <x v="4"/>
    <x v="3"/>
    <s v="Monday"/>
    <x v="1"/>
    <s v="New Customer"/>
    <s v="Referred"/>
  </r>
  <r>
    <x v="222"/>
    <x v="213"/>
    <d v="2022-02-28T00:00:00"/>
    <s v="I'm not happy with the premium charged."/>
    <n v="2"/>
    <x v="1"/>
    <x v="1"/>
    <x v="1"/>
    <x v="1"/>
    <x v="2"/>
    <x v="2"/>
    <x v="1"/>
    <s v="Monday"/>
    <x v="1"/>
    <s v="New Customer"/>
    <s v="Not Referred"/>
  </r>
  <r>
    <x v="223"/>
    <x v="214"/>
    <d v="2021-04-29T00:00:00"/>
    <s v="The agent was helpful and explained everything."/>
    <n v="4"/>
    <x v="0"/>
    <x v="1"/>
    <x v="2"/>
    <x v="2"/>
    <x v="1"/>
    <x v="3"/>
    <x v="2"/>
    <s v="Thursday"/>
    <x v="0"/>
    <s v="New Customer"/>
    <s v="Not Referred"/>
  </r>
  <r>
    <x v="224"/>
    <x v="215"/>
    <d v="2020-11-15T00:00:00"/>
    <s v="Need more clarity on policy coverage."/>
    <n v="2"/>
    <x v="0"/>
    <x v="1"/>
    <x v="1"/>
    <x v="1"/>
    <x v="0"/>
    <x v="4"/>
    <x v="3"/>
    <s v="Sunday"/>
    <x v="1"/>
    <s v="New Customer"/>
    <s v="Not Referred"/>
  </r>
  <r>
    <x v="225"/>
    <x v="216"/>
    <d v="2023-06-27T00:00:00"/>
    <s v="Need more clarity on policy coverage."/>
    <n v="2"/>
    <x v="1"/>
    <x v="0"/>
    <x v="1"/>
    <x v="1"/>
    <x v="3"/>
    <x v="9"/>
    <x v="2"/>
    <s v="Tuesday"/>
    <x v="1"/>
    <s v="New Customer"/>
    <s v="Referred"/>
  </r>
  <r>
    <x v="226"/>
    <x v="217"/>
    <d v="2020-05-25T00:00:00"/>
    <s v="Had to wait too long for claim approval."/>
    <n v="2"/>
    <x v="1"/>
    <x v="0"/>
    <x v="1"/>
    <x v="1"/>
    <x v="0"/>
    <x v="5"/>
    <x v="2"/>
    <s v="Monday"/>
    <x v="1"/>
    <s v="New Customer"/>
    <s v="Referred"/>
  </r>
  <r>
    <x v="227"/>
    <x v="218"/>
    <d v="2021-02-19T00:00:00"/>
    <s v="I'm not happy with the premium charged."/>
    <n v="2"/>
    <x v="0"/>
    <x v="1"/>
    <x v="1"/>
    <x v="1"/>
    <x v="1"/>
    <x v="2"/>
    <x v="1"/>
    <s v="Friday"/>
    <x v="1"/>
    <s v="New Customer"/>
    <s v="Not Referred"/>
  </r>
  <r>
    <x v="228"/>
    <x v="219"/>
    <d v="2022-06-02T00:00:00"/>
    <s v="Need more clarity on policy coverage."/>
    <n v="3"/>
    <x v="0"/>
    <x v="0"/>
    <x v="0"/>
    <x v="0"/>
    <x v="2"/>
    <x v="9"/>
    <x v="2"/>
    <s v="Thursday"/>
    <x v="0"/>
    <s v="New Customer"/>
    <s v="Referred"/>
  </r>
  <r>
    <x v="229"/>
    <x v="220"/>
    <d v="2021-01-23T00:00:00"/>
    <s v="I'm not happy with the premium charged."/>
    <n v="3"/>
    <x v="0"/>
    <x v="0"/>
    <x v="0"/>
    <x v="0"/>
    <x v="1"/>
    <x v="1"/>
    <x v="1"/>
    <s v="Saturday"/>
    <x v="0"/>
    <s v="New Customer"/>
    <s v="Referred"/>
  </r>
  <r>
    <x v="230"/>
    <x v="221"/>
    <d v="2020-07-22T00:00:00"/>
    <s v="Need more clarity on policy coverage."/>
    <n v="2"/>
    <x v="0"/>
    <x v="0"/>
    <x v="1"/>
    <x v="1"/>
    <x v="0"/>
    <x v="11"/>
    <x v="0"/>
    <s v="Wednesday"/>
    <x v="1"/>
    <s v="Returning Customer"/>
    <s v="Referred"/>
  </r>
  <r>
    <x v="231"/>
    <x v="222"/>
    <d v="2023-10-06T00:00:00"/>
    <s v="The agent was helpful and explained everything."/>
    <n v="4"/>
    <x v="0"/>
    <x v="1"/>
    <x v="2"/>
    <x v="2"/>
    <x v="3"/>
    <x v="6"/>
    <x v="3"/>
    <s v="Friday"/>
    <x v="0"/>
    <s v="New Customer"/>
    <s v="Not Referred"/>
  </r>
  <r>
    <x v="232"/>
    <x v="223"/>
    <d v="2023-11-27T00:00:00"/>
    <s v="Had to wait too long for claim approval."/>
    <n v="1"/>
    <x v="1"/>
    <x v="1"/>
    <x v="1"/>
    <x v="1"/>
    <x v="3"/>
    <x v="4"/>
    <x v="3"/>
    <s v="Monday"/>
    <x v="1"/>
    <s v="Returning Customer"/>
    <s v="Not Referred"/>
  </r>
  <r>
    <x v="233"/>
    <x v="224"/>
    <d v="2022-11-13T00:00:00"/>
    <s v="Claim process could be faster."/>
    <n v="2"/>
    <x v="0"/>
    <x v="0"/>
    <x v="1"/>
    <x v="1"/>
    <x v="2"/>
    <x v="4"/>
    <x v="3"/>
    <s v="Sunday"/>
    <x v="1"/>
    <s v="New Customer"/>
    <s v="Referred"/>
  </r>
  <r>
    <x v="234"/>
    <x v="225"/>
    <d v="2022-01-28T00:00:00"/>
    <s v="I'm not happy with the premium charged."/>
    <n v="3"/>
    <x v="0"/>
    <x v="0"/>
    <x v="0"/>
    <x v="0"/>
    <x v="2"/>
    <x v="1"/>
    <x v="1"/>
    <s v="Friday"/>
    <x v="0"/>
    <s v="New Customer"/>
    <s v="Referred"/>
  </r>
  <r>
    <x v="235"/>
    <x v="226"/>
    <d v="2020-06-05T00:00:00"/>
    <s v="The agent was helpful and explained everything."/>
    <n v="4"/>
    <x v="0"/>
    <x v="0"/>
    <x v="2"/>
    <x v="2"/>
    <x v="0"/>
    <x v="9"/>
    <x v="2"/>
    <s v="Friday"/>
    <x v="0"/>
    <s v="New Customer"/>
    <s v="Referred"/>
  </r>
  <r>
    <x v="236"/>
    <x v="39"/>
    <d v="2023-09-19T00:00:00"/>
    <s v="Claim process could be faster."/>
    <n v="2"/>
    <x v="0"/>
    <x v="1"/>
    <x v="1"/>
    <x v="1"/>
    <x v="3"/>
    <x v="7"/>
    <x v="0"/>
    <s v="Tuesday"/>
    <x v="1"/>
    <s v="Returning Customer"/>
    <s v="Not Referred"/>
  </r>
  <r>
    <x v="237"/>
    <x v="227"/>
    <d v="2021-03-24T00:00:00"/>
    <s v="Claim process could be faster."/>
    <n v="2"/>
    <x v="0"/>
    <x v="0"/>
    <x v="1"/>
    <x v="1"/>
    <x v="1"/>
    <x v="8"/>
    <x v="1"/>
    <s v="Wednesday"/>
    <x v="1"/>
    <s v="Returning Customer"/>
    <s v="Referred"/>
  </r>
  <r>
    <x v="238"/>
    <x v="228"/>
    <d v="2021-01-20T00:00:00"/>
    <s v="Claim process could be faster."/>
    <n v="2"/>
    <x v="0"/>
    <x v="1"/>
    <x v="1"/>
    <x v="1"/>
    <x v="1"/>
    <x v="1"/>
    <x v="1"/>
    <s v="Wednesday"/>
    <x v="1"/>
    <s v="New Customer"/>
    <s v="Not Referred"/>
  </r>
  <r>
    <x v="239"/>
    <x v="229"/>
    <d v="2020-02-06T00:00:00"/>
    <s v="Very satisfied with the claim process."/>
    <n v="4"/>
    <x v="0"/>
    <x v="1"/>
    <x v="2"/>
    <x v="2"/>
    <x v="0"/>
    <x v="2"/>
    <x v="1"/>
    <s v="Thursday"/>
    <x v="0"/>
    <s v="New Customer"/>
    <s v="Not Referred"/>
  </r>
  <r>
    <x v="240"/>
    <x v="230"/>
    <d v="2020-08-30T00:00:00"/>
    <s v="The mobile app experience was intuitive."/>
    <n v="5"/>
    <x v="0"/>
    <x v="1"/>
    <x v="2"/>
    <x v="2"/>
    <x v="0"/>
    <x v="0"/>
    <x v="0"/>
    <s v="Sunday"/>
    <x v="0"/>
    <s v="New Customer"/>
    <s v="Not Referred"/>
  </r>
  <r>
    <x v="241"/>
    <x v="231"/>
    <d v="2021-10-12T00:00:00"/>
    <s v="I'm not happy with the premium charged."/>
    <n v="1"/>
    <x v="1"/>
    <x v="0"/>
    <x v="1"/>
    <x v="1"/>
    <x v="1"/>
    <x v="6"/>
    <x v="3"/>
    <s v="Tuesday"/>
    <x v="1"/>
    <s v="New Customer"/>
    <s v="Referred"/>
  </r>
  <r>
    <x v="242"/>
    <x v="194"/>
    <d v="2022-01-26T00:00:00"/>
    <s v="The mobile app experience was intuitive."/>
    <n v="3"/>
    <x v="0"/>
    <x v="1"/>
    <x v="0"/>
    <x v="0"/>
    <x v="2"/>
    <x v="1"/>
    <x v="1"/>
    <s v="Wednesday"/>
    <x v="0"/>
    <s v="Returning Customer"/>
    <s v="Not Referred"/>
  </r>
  <r>
    <x v="243"/>
    <x v="232"/>
    <d v="2022-07-14T00:00:00"/>
    <s v="The mobile app experience was intuitive."/>
    <n v="5"/>
    <x v="1"/>
    <x v="1"/>
    <x v="2"/>
    <x v="2"/>
    <x v="2"/>
    <x v="11"/>
    <x v="0"/>
    <s v="Thursday"/>
    <x v="0"/>
    <s v="Returning Customer"/>
    <s v="Not Referred"/>
  </r>
  <r>
    <x v="244"/>
    <x v="233"/>
    <d v="2022-07-25T00:00:00"/>
    <s v="The mobile app experience was intuitive."/>
    <n v="3"/>
    <x v="1"/>
    <x v="1"/>
    <x v="0"/>
    <x v="0"/>
    <x v="2"/>
    <x v="11"/>
    <x v="0"/>
    <s v="Monday"/>
    <x v="0"/>
    <s v="New Customer"/>
    <s v="Not Referred"/>
  </r>
  <r>
    <x v="245"/>
    <x v="234"/>
    <d v="2020-12-31T00:00:00"/>
    <s v="Claim process could be faster."/>
    <n v="2"/>
    <x v="1"/>
    <x v="1"/>
    <x v="1"/>
    <x v="1"/>
    <x v="0"/>
    <x v="10"/>
    <x v="3"/>
    <s v="Thursday"/>
    <x v="1"/>
    <s v="Returning Customer"/>
    <s v="Not Referred"/>
  </r>
  <r>
    <x v="246"/>
    <x v="235"/>
    <d v="2021-07-13T00:00:00"/>
    <s v="Excellent customer service support."/>
    <n v="5"/>
    <x v="0"/>
    <x v="0"/>
    <x v="2"/>
    <x v="2"/>
    <x v="1"/>
    <x v="11"/>
    <x v="0"/>
    <s v="Tuesday"/>
    <x v="0"/>
    <s v="New Customer"/>
    <s v="Referred"/>
  </r>
  <r>
    <x v="247"/>
    <x v="236"/>
    <d v="2022-12-20T00:00:00"/>
    <s v="Need more clarity on policy coverage."/>
    <n v="3"/>
    <x v="1"/>
    <x v="1"/>
    <x v="0"/>
    <x v="0"/>
    <x v="2"/>
    <x v="10"/>
    <x v="3"/>
    <s v="Tuesday"/>
    <x v="0"/>
    <s v="New Customer"/>
    <s v="Not Referred"/>
  </r>
  <r>
    <x v="248"/>
    <x v="237"/>
    <d v="2020-02-27T00:00:00"/>
    <s v="The mobile app experience was intuitive."/>
    <n v="4"/>
    <x v="0"/>
    <x v="1"/>
    <x v="2"/>
    <x v="2"/>
    <x v="0"/>
    <x v="2"/>
    <x v="1"/>
    <s v="Thursday"/>
    <x v="0"/>
    <s v="New Customer"/>
    <s v="Not Referred"/>
  </r>
  <r>
    <x v="249"/>
    <x v="238"/>
    <d v="2023-03-27T00:00:00"/>
    <s v="Very satisfied with the claim process."/>
    <n v="4"/>
    <x v="0"/>
    <x v="1"/>
    <x v="2"/>
    <x v="2"/>
    <x v="3"/>
    <x v="8"/>
    <x v="1"/>
    <s v="Monday"/>
    <x v="0"/>
    <s v="New Customer"/>
    <s v="Not Referred"/>
  </r>
  <r>
    <x v="250"/>
    <x v="239"/>
    <d v="2020-10-23T00:00:00"/>
    <s v="Need more clarity on policy coverage."/>
    <n v="2"/>
    <x v="0"/>
    <x v="1"/>
    <x v="1"/>
    <x v="1"/>
    <x v="0"/>
    <x v="6"/>
    <x v="3"/>
    <s v="Friday"/>
    <x v="1"/>
    <s v="New Customer"/>
    <s v="Not Referred"/>
  </r>
  <r>
    <x v="251"/>
    <x v="240"/>
    <d v="2023-02-05T00:00:00"/>
    <s v="The mobile app experience was intuitive."/>
    <n v="5"/>
    <x v="0"/>
    <x v="0"/>
    <x v="2"/>
    <x v="2"/>
    <x v="3"/>
    <x v="2"/>
    <x v="1"/>
    <s v="Sunday"/>
    <x v="0"/>
    <s v="New Customer"/>
    <s v="Referred"/>
  </r>
  <r>
    <x v="252"/>
    <x v="241"/>
    <d v="2022-03-03T00:00:00"/>
    <s v="Smooth experience with no issues."/>
    <n v="5"/>
    <x v="0"/>
    <x v="1"/>
    <x v="2"/>
    <x v="2"/>
    <x v="2"/>
    <x v="8"/>
    <x v="1"/>
    <s v="Thursday"/>
    <x v="0"/>
    <s v="Returning Customer"/>
    <s v="Not Referred"/>
  </r>
  <r>
    <x v="253"/>
    <x v="242"/>
    <d v="2023-10-10T00:00:00"/>
    <s v="I'm not happy with the premium charged."/>
    <n v="3"/>
    <x v="0"/>
    <x v="1"/>
    <x v="0"/>
    <x v="0"/>
    <x v="3"/>
    <x v="6"/>
    <x v="3"/>
    <s v="Tuesday"/>
    <x v="0"/>
    <s v="Returning Customer"/>
    <s v="Not Referred"/>
  </r>
  <r>
    <x v="254"/>
    <x v="243"/>
    <d v="2022-01-01T00:00:00"/>
    <s v="Claim process could be faster."/>
    <n v="3"/>
    <x v="1"/>
    <x v="1"/>
    <x v="0"/>
    <x v="0"/>
    <x v="2"/>
    <x v="1"/>
    <x v="1"/>
    <s v="Saturday"/>
    <x v="0"/>
    <s v="Returning Customer"/>
    <s v="Not Referred"/>
  </r>
  <r>
    <x v="255"/>
    <x v="244"/>
    <d v="2020-08-06T00:00:00"/>
    <s v="The mobile app experience was intuitive."/>
    <n v="5"/>
    <x v="1"/>
    <x v="0"/>
    <x v="2"/>
    <x v="2"/>
    <x v="0"/>
    <x v="0"/>
    <x v="0"/>
    <s v="Thursday"/>
    <x v="0"/>
    <s v="New Customer"/>
    <s v="Referred"/>
  </r>
  <r>
    <x v="256"/>
    <x v="245"/>
    <d v="2023-01-08T00:00:00"/>
    <s v="I'm not happy with the premium charged."/>
    <n v="2"/>
    <x v="1"/>
    <x v="1"/>
    <x v="1"/>
    <x v="1"/>
    <x v="3"/>
    <x v="1"/>
    <x v="1"/>
    <s v="Sunday"/>
    <x v="1"/>
    <s v="New Customer"/>
    <s v="Not Referred"/>
  </r>
  <r>
    <x v="257"/>
    <x v="246"/>
    <d v="2021-05-09T00:00:00"/>
    <s v="Smooth experience with no issues."/>
    <n v="5"/>
    <x v="1"/>
    <x v="1"/>
    <x v="2"/>
    <x v="2"/>
    <x v="1"/>
    <x v="5"/>
    <x v="2"/>
    <s v="Sunday"/>
    <x v="0"/>
    <s v="New Customer"/>
    <s v="Not Referred"/>
  </r>
  <r>
    <x v="258"/>
    <x v="247"/>
    <d v="2023-08-28T00:00:00"/>
    <s v="Claim process could be faster."/>
    <n v="2"/>
    <x v="0"/>
    <x v="1"/>
    <x v="1"/>
    <x v="1"/>
    <x v="3"/>
    <x v="0"/>
    <x v="0"/>
    <s v="Monday"/>
    <x v="1"/>
    <s v="Returning Customer"/>
    <s v="Not Referred"/>
  </r>
  <r>
    <x v="259"/>
    <x v="223"/>
    <d v="2021-06-17T00:00:00"/>
    <s v="I'm not happy with the premium charged."/>
    <n v="1"/>
    <x v="1"/>
    <x v="1"/>
    <x v="1"/>
    <x v="1"/>
    <x v="1"/>
    <x v="9"/>
    <x v="2"/>
    <s v="Thursday"/>
    <x v="1"/>
    <s v="Returning Customer"/>
    <s v="Not Referred"/>
  </r>
  <r>
    <x v="260"/>
    <x v="248"/>
    <d v="2020-05-26T00:00:00"/>
    <s v="Very satisfied with the claim process."/>
    <n v="4"/>
    <x v="1"/>
    <x v="1"/>
    <x v="2"/>
    <x v="2"/>
    <x v="0"/>
    <x v="5"/>
    <x v="2"/>
    <s v="Tuesday"/>
    <x v="0"/>
    <s v="Returning Customer"/>
    <s v="Not Referred"/>
  </r>
  <r>
    <x v="261"/>
    <x v="249"/>
    <d v="2022-04-15T00:00:00"/>
    <s v="Claim process could be faster."/>
    <n v="3"/>
    <x v="0"/>
    <x v="1"/>
    <x v="0"/>
    <x v="0"/>
    <x v="2"/>
    <x v="3"/>
    <x v="2"/>
    <s v="Friday"/>
    <x v="0"/>
    <s v="New Customer"/>
    <s v="Not Referred"/>
  </r>
  <r>
    <x v="262"/>
    <x v="250"/>
    <d v="2022-03-07T00:00:00"/>
    <s v="Smooth experience with no issues."/>
    <n v="5"/>
    <x v="1"/>
    <x v="1"/>
    <x v="2"/>
    <x v="2"/>
    <x v="2"/>
    <x v="8"/>
    <x v="1"/>
    <s v="Monday"/>
    <x v="0"/>
    <s v="New Customer"/>
    <s v="Not Referred"/>
  </r>
  <r>
    <x v="263"/>
    <x v="251"/>
    <d v="2022-12-10T00:00:00"/>
    <s v="Claim process could be faster."/>
    <n v="2"/>
    <x v="1"/>
    <x v="1"/>
    <x v="1"/>
    <x v="1"/>
    <x v="2"/>
    <x v="10"/>
    <x v="3"/>
    <s v="Saturday"/>
    <x v="1"/>
    <s v="New Customer"/>
    <s v="Not Referred"/>
  </r>
  <r>
    <x v="264"/>
    <x v="248"/>
    <d v="2022-09-16T00:00:00"/>
    <s v="The agent was helpful and explained everything."/>
    <n v="4"/>
    <x v="0"/>
    <x v="1"/>
    <x v="2"/>
    <x v="2"/>
    <x v="2"/>
    <x v="7"/>
    <x v="0"/>
    <s v="Friday"/>
    <x v="0"/>
    <s v="Returning Customer"/>
    <s v="Not Referred"/>
  </r>
  <r>
    <x v="265"/>
    <x v="252"/>
    <d v="2021-06-09T00:00:00"/>
    <s v="The agent was helpful and explained everything."/>
    <n v="4"/>
    <x v="0"/>
    <x v="0"/>
    <x v="2"/>
    <x v="2"/>
    <x v="1"/>
    <x v="9"/>
    <x v="2"/>
    <s v="Wednesday"/>
    <x v="0"/>
    <s v="New Customer"/>
    <s v="Referred"/>
  </r>
  <r>
    <x v="266"/>
    <x v="182"/>
    <d v="2023-08-04T00:00:00"/>
    <s v="Had to wait too long for claim approval."/>
    <n v="1"/>
    <x v="1"/>
    <x v="1"/>
    <x v="1"/>
    <x v="1"/>
    <x v="3"/>
    <x v="0"/>
    <x v="0"/>
    <s v="Friday"/>
    <x v="1"/>
    <s v="Returning Customer"/>
    <s v="Not Referred"/>
  </r>
  <r>
    <x v="267"/>
    <x v="253"/>
    <d v="2021-12-19T00:00:00"/>
    <s v="Very satisfied with the claim process."/>
    <n v="5"/>
    <x v="1"/>
    <x v="1"/>
    <x v="2"/>
    <x v="2"/>
    <x v="1"/>
    <x v="10"/>
    <x v="3"/>
    <s v="Sunday"/>
    <x v="0"/>
    <s v="New Customer"/>
    <s v="Not Referred"/>
  </r>
  <r>
    <x v="268"/>
    <x v="254"/>
    <d v="2023-04-17T00:00:00"/>
    <s v="Had to wait too long for claim approval."/>
    <n v="1"/>
    <x v="1"/>
    <x v="0"/>
    <x v="1"/>
    <x v="1"/>
    <x v="3"/>
    <x v="3"/>
    <x v="2"/>
    <s v="Monday"/>
    <x v="1"/>
    <s v="New Customer"/>
    <s v="Referred"/>
  </r>
  <r>
    <x v="269"/>
    <x v="106"/>
    <d v="2021-08-14T00:00:00"/>
    <s v="Claim process could be faster."/>
    <n v="3"/>
    <x v="0"/>
    <x v="1"/>
    <x v="0"/>
    <x v="0"/>
    <x v="1"/>
    <x v="0"/>
    <x v="0"/>
    <s v="Saturday"/>
    <x v="0"/>
    <s v="Returning Customer"/>
    <s v="Not Referred"/>
  </r>
  <r>
    <x v="270"/>
    <x v="255"/>
    <d v="2022-12-29T00:00:00"/>
    <s v="Very satisfied with the claim process."/>
    <n v="5"/>
    <x v="1"/>
    <x v="1"/>
    <x v="2"/>
    <x v="2"/>
    <x v="2"/>
    <x v="10"/>
    <x v="3"/>
    <s v="Thursday"/>
    <x v="0"/>
    <s v="New Customer"/>
    <s v="Not Referred"/>
  </r>
  <r>
    <x v="271"/>
    <x v="256"/>
    <d v="2022-10-12T00:00:00"/>
    <s v="The agent was helpful and explained everything."/>
    <n v="4"/>
    <x v="1"/>
    <x v="1"/>
    <x v="2"/>
    <x v="2"/>
    <x v="2"/>
    <x v="6"/>
    <x v="3"/>
    <s v="Wednesday"/>
    <x v="0"/>
    <s v="New Customer"/>
    <s v="Not Referred"/>
  </r>
  <r>
    <x v="272"/>
    <x v="257"/>
    <d v="2021-10-09T00:00:00"/>
    <s v="Frustrated with repeated documentation requests."/>
    <n v="3"/>
    <x v="1"/>
    <x v="1"/>
    <x v="0"/>
    <x v="0"/>
    <x v="1"/>
    <x v="6"/>
    <x v="3"/>
    <s v="Saturday"/>
    <x v="0"/>
    <s v="New Customer"/>
    <s v="Not Referred"/>
  </r>
  <r>
    <x v="273"/>
    <x v="258"/>
    <d v="2022-06-04T00:00:00"/>
    <s v="The mobile app experience was intuitive."/>
    <n v="3"/>
    <x v="0"/>
    <x v="1"/>
    <x v="0"/>
    <x v="0"/>
    <x v="2"/>
    <x v="9"/>
    <x v="2"/>
    <s v="Saturday"/>
    <x v="0"/>
    <s v="Returning Customer"/>
    <s v="Not Referred"/>
  </r>
  <r>
    <x v="274"/>
    <x v="259"/>
    <d v="2023-07-25T00:00:00"/>
    <s v="Claim process could be faster."/>
    <n v="2"/>
    <x v="0"/>
    <x v="1"/>
    <x v="1"/>
    <x v="1"/>
    <x v="3"/>
    <x v="11"/>
    <x v="0"/>
    <s v="Tuesday"/>
    <x v="1"/>
    <s v="New Customer"/>
    <s v="Not Referred"/>
  </r>
  <r>
    <x v="275"/>
    <x v="260"/>
    <d v="2020-04-06T00:00:00"/>
    <s v="I'm not happy with the premium charged."/>
    <n v="3"/>
    <x v="0"/>
    <x v="1"/>
    <x v="0"/>
    <x v="0"/>
    <x v="0"/>
    <x v="3"/>
    <x v="2"/>
    <s v="Monday"/>
    <x v="0"/>
    <s v="New Customer"/>
    <s v="Not Referred"/>
  </r>
  <r>
    <x v="276"/>
    <x v="261"/>
    <d v="2023-12-04T00:00:00"/>
    <s v="Need more clarity on policy coverage."/>
    <n v="3"/>
    <x v="0"/>
    <x v="1"/>
    <x v="0"/>
    <x v="0"/>
    <x v="3"/>
    <x v="10"/>
    <x v="3"/>
    <s v="Monday"/>
    <x v="0"/>
    <s v="New Customer"/>
    <s v="Not Referred"/>
  </r>
  <r>
    <x v="277"/>
    <x v="262"/>
    <d v="2022-05-17T00:00:00"/>
    <s v="Frustrated with repeated documentation requests."/>
    <n v="2"/>
    <x v="1"/>
    <x v="1"/>
    <x v="1"/>
    <x v="1"/>
    <x v="2"/>
    <x v="5"/>
    <x v="2"/>
    <s v="Tuesday"/>
    <x v="1"/>
    <s v="New Customer"/>
    <s v="Not Referred"/>
  </r>
  <r>
    <x v="278"/>
    <x v="168"/>
    <d v="2021-09-01T00:00:00"/>
    <s v="I'm not happy with the premium charged."/>
    <n v="1"/>
    <x v="0"/>
    <x v="1"/>
    <x v="1"/>
    <x v="1"/>
    <x v="1"/>
    <x v="7"/>
    <x v="0"/>
    <s v="Wednesday"/>
    <x v="1"/>
    <s v="Returning Customer"/>
    <s v="Not Referred"/>
  </r>
  <r>
    <x v="279"/>
    <x v="263"/>
    <d v="2021-11-23T00:00:00"/>
    <s v="Very satisfied with the claim process."/>
    <n v="5"/>
    <x v="1"/>
    <x v="0"/>
    <x v="2"/>
    <x v="2"/>
    <x v="1"/>
    <x v="4"/>
    <x v="3"/>
    <s v="Tuesday"/>
    <x v="0"/>
    <s v="New Customer"/>
    <s v="Referred"/>
  </r>
  <r>
    <x v="280"/>
    <x v="264"/>
    <d v="2021-02-27T00:00:00"/>
    <s v="The agent was helpful and explained everything."/>
    <n v="4"/>
    <x v="0"/>
    <x v="1"/>
    <x v="2"/>
    <x v="2"/>
    <x v="1"/>
    <x v="2"/>
    <x v="1"/>
    <s v="Saturday"/>
    <x v="0"/>
    <s v="Returning Customer"/>
    <s v="Not Referred"/>
  </r>
  <r>
    <x v="281"/>
    <x v="243"/>
    <d v="2020-07-01T00:00:00"/>
    <s v="I'm not happy with the premium charged."/>
    <n v="3"/>
    <x v="1"/>
    <x v="0"/>
    <x v="0"/>
    <x v="0"/>
    <x v="0"/>
    <x v="11"/>
    <x v="0"/>
    <s v="Wednesday"/>
    <x v="0"/>
    <s v="Returning Customer"/>
    <s v="Referred"/>
  </r>
  <r>
    <x v="282"/>
    <x v="265"/>
    <d v="2021-08-14T00:00:00"/>
    <s v="Frustrated with repeated documentation requests."/>
    <n v="3"/>
    <x v="1"/>
    <x v="0"/>
    <x v="0"/>
    <x v="0"/>
    <x v="1"/>
    <x v="0"/>
    <x v="0"/>
    <s v="Saturday"/>
    <x v="0"/>
    <s v="New Customer"/>
    <s v="Referred"/>
  </r>
  <r>
    <x v="283"/>
    <x v="266"/>
    <d v="2021-04-25T00:00:00"/>
    <s v="The agent was helpful and explained everything."/>
    <n v="5"/>
    <x v="1"/>
    <x v="0"/>
    <x v="2"/>
    <x v="2"/>
    <x v="1"/>
    <x v="3"/>
    <x v="2"/>
    <s v="Sunday"/>
    <x v="0"/>
    <s v="New Customer"/>
    <s v="Referred"/>
  </r>
  <r>
    <x v="284"/>
    <x v="267"/>
    <d v="2020-09-11T00:00:00"/>
    <s v="Had to wait too long for claim approval."/>
    <n v="2"/>
    <x v="0"/>
    <x v="0"/>
    <x v="1"/>
    <x v="1"/>
    <x v="0"/>
    <x v="7"/>
    <x v="0"/>
    <s v="Friday"/>
    <x v="1"/>
    <s v="Returning Customer"/>
    <s v="Referred"/>
  </r>
  <r>
    <x v="285"/>
    <x v="258"/>
    <d v="2022-12-02T00:00:00"/>
    <s v="Need more clarity on policy coverage."/>
    <n v="3"/>
    <x v="1"/>
    <x v="0"/>
    <x v="0"/>
    <x v="0"/>
    <x v="2"/>
    <x v="10"/>
    <x v="3"/>
    <s v="Friday"/>
    <x v="0"/>
    <s v="Returning Customer"/>
    <s v="Referred"/>
  </r>
  <r>
    <x v="286"/>
    <x v="268"/>
    <d v="2020-12-12T00:00:00"/>
    <s v="Excellent customer service support."/>
    <n v="4"/>
    <x v="0"/>
    <x v="0"/>
    <x v="2"/>
    <x v="2"/>
    <x v="0"/>
    <x v="10"/>
    <x v="3"/>
    <s v="Saturday"/>
    <x v="0"/>
    <s v="New Customer"/>
    <s v="Referred"/>
  </r>
  <r>
    <x v="287"/>
    <x v="269"/>
    <d v="2023-12-10T00:00:00"/>
    <s v="Very satisfied with the claim process."/>
    <n v="5"/>
    <x v="1"/>
    <x v="1"/>
    <x v="2"/>
    <x v="2"/>
    <x v="3"/>
    <x v="10"/>
    <x v="3"/>
    <s v="Sunday"/>
    <x v="0"/>
    <s v="New Customer"/>
    <s v="Not Referred"/>
  </r>
  <r>
    <x v="288"/>
    <x v="270"/>
    <d v="2023-11-09T00:00:00"/>
    <s v="Frustrated with repeated documentation requests."/>
    <n v="3"/>
    <x v="1"/>
    <x v="1"/>
    <x v="0"/>
    <x v="0"/>
    <x v="3"/>
    <x v="4"/>
    <x v="3"/>
    <s v="Thursday"/>
    <x v="0"/>
    <s v="Returning Customer"/>
    <s v="Not Referred"/>
  </r>
  <r>
    <x v="289"/>
    <x v="271"/>
    <d v="2022-01-31T00:00:00"/>
    <s v="Had to wait too long for claim approval."/>
    <n v="1"/>
    <x v="1"/>
    <x v="0"/>
    <x v="1"/>
    <x v="1"/>
    <x v="2"/>
    <x v="1"/>
    <x v="1"/>
    <s v="Monday"/>
    <x v="1"/>
    <s v="Returning Customer"/>
    <s v="Referred"/>
  </r>
  <r>
    <x v="290"/>
    <x v="272"/>
    <d v="2020-07-03T00:00:00"/>
    <s v="Very satisfied with the claim process."/>
    <n v="4"/>
    <x v="1"/>
    <x v="1"/>
    <x v="2"/>
    <x v="2"/>
    <x v="0"/>
    <x v="11"/>
    <x v="0"/>
    <s v="Friday"/>
    <x v="0"/>
    <s v="New Customer"/>
    <s v="Not Referred"/>
  </r>
  <r>
    <x v="291"/>
    <x v="273"/>
    <d v="2022-08-20T00:00:00"/>
    <s v="The mobile app experience was intuitive."/>
    <n v="3"/>
    <x v="0"/>
    <x v="1"/>
    <x v="0"/>
    <x v="0"/>
    <x v="2"/>
    <x v="0"/>
    <x v="0"/>
    <s v="Saturday"/>
    <x v="0"/>
    <s v="New Customer"/>
    <s v="Not Referred"/>
  </r>
  <r>
    <x v="292"/>
    <x v="274"/>
    <d v="2021-09-13T00:00:00"/>
    <s v="I'm not happy with the premium charged."/>
    <n v="3"/>
    <x v="0"/>
    <x v="0"/>
    <x v="0"/>
    <x v="0"/>
    <x v="1"/>
    <x v="7"/>
    <x v="0"/>
    <s v="Monday"/>
    <x v="0"/>
    <s v="New Customer"/>
    <s v="Referred"/>
  </r>
  <r>
    <x v="293"/>
    <x v="275"/>
    <d v="2020-07-07T00:00:00"/>
    <s v="The mobile app experience was intuitive."/>
    <n v="5"/>
    <x v="1"/>
    <x v="1"/>
    <x v="2"/>
    <x v="2"/>
    <x v="0"/>
    <x v="11"/>
    <x v="0"/>
    <s v="Tuesday"/>
    <x v="0"/>
    <s v="Returning Customer"/>
    <s v="Not Referred"/>
  </r>
  <r>
    <x v="294"/>
    <x v="276"/>
    <d v="2021-06-08T00:00:00"/>
    <s v="Frustrated with repeated documentation requests."/>
    <n v="3"/>
    <x v="0"/>
    <x v="0"/>
    <x v="0"/>
    <x v="0"/>
    <x v="1"/>
    <x v="9"/>
    <x v="2"/>
    <s v="Tuesday"/>
    <x v="0"/>
    <s v="Returning Customer"/>
    <s v="Referred"/>
  </r>
  <r>
    <x v="295"/>
    <x v="277"/>
    <d v="2020-09-15T00:00:00"/>
    <s v="The mobile app experience was intuitive."/>
    <n v="5"/>
    <x v="1"/>
    <x v="0"/>
    <x v="2"/>
    <x v="2"/>
    <x v="0"/>
    <x v="7"/>
    <x v="0"/>
    <s v="Tuesday"/>
    <x v="0"/>
    <s v="New Customer"/>
    <s v="Referred"/>
  </r>
  <r>
    <x v="296"/>
    <x v="278"/>
    <d v="2020-07-30T00:00:00"/>
    <s v="Need more clarity on policy coverage."/>
    <n v="3"/>
    <x v="0"/>
    <x v="0"/>
    <x v="0"/>
    <x v="0"/>
    <x v="0"/>
    <x v="11"/>
    <x v="0"/>
    <s v="Thursday"/>
    <x v="0"/>
    <s v="Returning Customer"/>
    <s v="Referred"/>
  </r>
  <r>
    <x v="297"/>
    <x v="279"/>
    <d v="2022-12-12T00:00:00"/>
    <s v="Claim process could be faster."/>
    <n v="3"/>
    <x v="0"/>
    <x v="0"/>
    <x v="0"/>
    <x v="0"/>
    <x v="2"/>
    <x v="10"/>
    <x v="3"/>
    <s v="Monday"/>
    <x v="0"/>
    <s v="New Customer"/>
    <s v="Referred"/>
  </r>
  <r>
    <x v="298"/>
    <x v="280"/>
    <d v="2023-12-01T00:00:00"/>
    <s v="Frustrated with repeated documentation requests."/>
    <n v="2"/>
    <x v="0"/>
    <x v="1"/>
    <x v="1"/>
    <x v="1"/>
    <x v="3"/>
    <x v="10"/>
    <x v="3"/>
    <s v="Friday"/>
    <x v="1"/>
    <s v="New Customer"/>
    <s v="Not Referred"/>
  </r>
  <r>
    <x v="299"/>
    <x v="281"/>
    <d v="2021-06-22T00:00:00"/>
    <s v="I'm not happy with the premium charged."/>
    <n v="3"/>
    <x v="1"/>
    <x v="0"/>
    <x v="0"/>
    <x v="0"/>
    <x v="1"/>
    <x v="9"/>
    <x v="2"/>
    <s v="Tuesday"/>
    <x v="0"/>
    <s v="New Customer"/>
    <s v="Referred"/>
  </r>
  <r>
    <x v="300"/>
    <x v="135"/>
    <d v="2020-08-01T00:00:00"/>
    <s v="Need more clarity on policy coverage."/>
    <n v="2"/>
    <x v="1"/>
    <x v="0"/>
    <x v="1"/>
    <x v="1"/>
    <x v="0"/>
    <x v="0"/>
    <x v="0"/>
    <s v="Saturday"/>
    <x v="1"/>
    <s v="Loyal Customer"/>
    <s v="Referred"/>
  </r>
  <r>
    <x v="301"/>
    <x v="282"/>
    <d v="2022-08-25T00:00:00"/>
    <s v="Need more clarity on policy coverage."/>
    <n v="2"/>
    <x v="0"/>
    <x v="1"/>
    <x v="1"/>
    <x v="1"/>
    <x v="2"/>
    <x v="0"/>
    <x v="0"/>
    <s v="Thursday"/>
    <x v="1"/>
    <s v="New Customer"/>
    <s v="Not Referred"/>
  </r>
  <r>
    <x v="302"/>
    <x v="283"/>
    <d v="2022-08-01T00:00:00"/>
    <s v="Smooth experience with no issues."/>
    <n v="5"/>
    <x v="0"/>
    <x v="1"/>
    <x v="2"/>
    <x v="2"/>
    <x v="2"/>
    <x v="0"/>
    <x v="0"/>
    <s v="Monday"/>
    <x v="0"/>
    <s v="New Customer"/>
    <s v="Not Referred"/>
  </r>
  <r>
    <x v="303"/>
    <x v="284"/>
    <d v="2022-07-07T00:00:00"/>
    <s v="Frustrated with repeated documentation requests."/>
    <n v="1"/>
    <x v="1"/>
    <x v="1"/>
    <x v="1"/>
    <x v="1"/>
    <x v="2"/>
    <x v="11"/>
    <x v="0"/>
    <s v="Thursday"/>
    <x v="1"/>
    <s v="New Customer"/>
    <s v="Not Referred"/>
  </r>
  <r>
    <x v="304"/>
    <x v="285"/>
    <d v="2020-09-10T00:00:00"/>
    <s v="Claim process could be faster."/>
    <n v="2"/>
    <x v="0"/>
    <x v="1"/>
    <x v="1"/>
    <x v="1"/>
    <x v="0"/>
    <x v="7"/>
    <x v="0"/>
    <s v="Thursday"/>
    <x v="1"/>
    <s v="New Customer"/>
    <s v="Not Referred"/>
  </r>
  <r>
    <x v="305"/>
    <x v="286"/>
    <d v="2021-05-22T00:00:00"/>
    <s v="The agent was helpful and explained everything."/>
    <n v="4"/>
    <x v="0"/>
    <x v="1"/>
    <x v="2"/>
    <x v="2"/>
    <x v="1"/>
    <x v="5"/>
    <x v="2"/>
    <s v="Saturday"/>
    <x v="0"/>
    <s v="Returning Customer"/>
    <s v="Not Referred"/>
  </r>
  <r>
    <x v="306"/>
    <x v="287"/>
    <d v="2020-07-30T00:00:00"/>
    <s v="Frustrated with repeated documentation requests."/>
    <n v="3"/>
    <x v="0"/>
    <x v="0"/>
    <x v="0"/>
    <x v="0"/>
    <x v="0"/>
    <x v="11"/>
    <x v="0"/>
    <s v="Thursday"/>
    <x v="0"/>
    <s v="New Customer"/>
    <s v="Referred"/>
  </r>
  <r>
    <x v="307"/>
    <x v="288"/>
    <d v="2021-07-07T00:00:00"/>
    <s v="Need more clarity on policy coverage."/>
    <n v="2"/>
    <x v="0"/>
    <x v="0"/>
    <x v="1"/>
    <x v="1"/>
    <x v="1"/>
    <x v="11"/>
    <x v="0"/>
    <s v="Wednesday"/>
    <x v="1"/>
    <s v="Returning Customer"/>
    <s v="Referred"/>
  </r>
  <r>
    <x v="308"/>
    <x v="289"/>
    <d v="2023-04-21T00:00:00"/>
    <s v="Frustrated with repeated documentation requests."/>
    <n v="1"/>
    <x v="1"/>
    <x v="1"/>
    <x v="1"/>
    <x v="1"/>
    <x v="3"/>
    <x v="3"/>
    <x v="2"/>
    <s v="Friday"/>
    <x v="1"/>
    <s v="New Customer"/>
    <s v="Not Referred"/>
  </r>
  <r>
    <x v="309"/>
    <x v="290"/>
    <d v="2023-10-20T00:00:00"/>
    <s v="Very satisfied with the claim process."/>
    <n v="5"/>
    <x v="0"/>
    <x v="1"/>
    <x v="2"/>
    <x v="2"/>
    <x v="3"/>
    <x v="6"/>
    <x v="3"/>
    <s v="Friday"/>
    <x v="0"/>
    <s v="New Customer"/>
    <s v="Not Referred"/>
  </r>
  <r>
    <x v="310"/>
    <x v="291"/>
    <d v="2022-12-28T00:00:00"/>
    <s v="Need more clarity on policy coverage."/>
    <n v="3"/>
    <x v="1"/>
    <x v="0"/>
    <x v="0"/>
    <x v="0"/>
    <x v="2"/>
    <x v="10"/>
    <x v="3"/>
    <s v="Wednesday"/>
    <x v="0"/>
    <s v="Returning Customer"/>
    <s v="Referred"/>
  </r>
  <r>
    <x v="311"/>
    <x v="292"/>
    <d v="2021-07-06T00:00:00"/>
    <s v="I'm not happy with the premium charged."/>
    <n v="2"/>
    <x v="0"/>
    <x v="0"/>
    <x v="1"/>
    <x v="1"/>
    <x v="1"/>
    <x v="11"/>
    <x v="0"/>
    <s v="Tuesday"/>
    <x v="1"/>
    <s v="New Customer"/>
    <s v="Referred"/>
  </r>
  <r>
    <x v="312"/>
    <x v="156"/>
    <d v="2023-02-28T00:00:00"/>
    <s v="I'm not happy with the premium charged."/>
    <n v="2"/>
    <x v="0"/>
    <x v="1"/>
    <x v="1"/>
    <x v="1"/>
    <x v="3"/>
    <x v="2"/>
    <x v="1"/>
    <s v="Tuesday"/>
    <x v="1"/>
    <s v="Returning Customer"/>
    <s v="Not Referred"/>
  </r>
  <r>
    <x v="313"/>
    <x v="293"/>
    <d v="2022-11-01T00:00:00"/>
    <s v="I'm not happy with the premium charged."/>
    <n v="1"/>
    <x v="1"/>
    <x v="1"/>
    <x v="1"/>
    <x v="1"/>
    <x v="2"/>
    <x v="4"/>
    <x v="3"/>
    <s v="Tuesday"/>
    <x v="1"/>
    <s v="Returning Customer"/>
    <s v="Not Referred"/>
  </r>
  <r>
    <x v="314"/>
    <x v="294"/>
    <d v="2021-06-16T00:00:00"/>
    <s v="Need more clarity on policy coverage."/>
    <n v="2"/>
    <x v="1"/>
    <x v="0"/>
    <x v="1"/>
    <x v="1"/>
    <x v="1"/>
    <x v="9"/>
    <x v="2"/>
    <s v="Wednesday"/>
    <x v="1"/>
    <s v="New Customer"/>
    <s v="Referred"/>
  </r>
  <r>
    <x v="315"/>
    <x v="295"/>
    <d v="2020-11-03T00:00:00"/>
    <s v="Very satisfied with the claim process."/>
    <n v="5"/>
    <x v="0"/>
    <x v="0"/>
    <x v="2"/>
    <x v="2"/>
    <x v="0"/>
    <x v="4"/>
    <x v="3"/>
    <s v="Tuesday"/>
    <x v="0"/>
    <s v="New Customer"/>
    <s v="Referred"/>
  </r>
  <r>
    <x v="316"/>
    <x v="64"/>
    <d v="2023-04-24T00:00:00"/>
    <s v="Claim process could be faster."/>
    <n v="3"/>
    <x v="1"/>
    <x v="1"/>
    <x v="0"/>
    <x v="0"/>
    <x v="3"/>
    <x v="3"/>
    <x v="2"/>
    <s v="Monday"/>
    <x v="0"/>
    <s v="Returning Customer"/>
    <s v="Not Referred"/>
  </r>
  <r>
    <x v="317"/>
    <x v="296"/>
    <d v="2020-05-21T00:00:00"/>
    <s v="Excellent customer service support."/>
    <n v="4"/>
    <x v="1"/>
    <x v="1"/>
    <x v="2"/>
    <x v="2"/>
    <x v="0"/>
    <x v="5"/>
    <x v="2"/>
    <s v="Thursday"/>
    <x v="0"/>
    <s v="New Customer"/>
    <s v="Not Referred"/>
  </r>
  <r>
    <x v="318"/>
    <x v="297"/>
    <d v="2023-03-18T00:00:00"/>
    <s v="Excellent customer service support."/>
    <n v="5"/>
    <x v="0"/>
    <x v="0"/>
    <x v="2"/>
    <x v="2"/>
    <x v="3"/>
    <x v="8"/>
    <x v="1"/>
    <s v="Saturday"/>
    <x v="0"/>
    <s v="Returning Customer"/>
    <s v="Referred"/>
  </r>
  <r>
    <x v="319"/>
    <x v="298"/>
    <d v="2023-10-10T00:00:00"/>
    <s v="Frustrated with repeated documentation requests."/>
    <n v="3"/>
    <x v="0"/>
    <x v="1"/>
    <x v="0"/>
    <x v="0"/>
    <x v="3"/>
    <x v="6"/>
    <x v="3"/>
    <s v="Tuesday"/>
    <x v="0"/>
    <s v="Returning Customer"/>
    <s v="Not Referred"/>
  </r>
  <r>
    <x v="320"/>
    <x v="286"/>
    <d v="2023-04-06T00:00:00"/>
    <s v="Very satisfied with the claim process."/>
    <n v="5"/>
    <x v="0"/>
    <x v="1"/>
    <x v="2"/>
    <x v="2"/>
    <x v="3"/>
    <x v="3"/>
    <x v="2"/>
    <s v="Thursday"/>
    <x v="0"/>
    <s v="Returning Customer"/>
    <s v="Not Referred"/>
  </r>
  <r>
    <x v="321"/>
    <x v="299"/>
    <d v="2023-07-12T00:00:00"/>
    <s v="The mobile app experience was intuitive."/>
    <n v="5"/>
    <x v="0"/>
    <x v="0"/>
    <x v="2"/>
    <x v="2"/>
    <x v="3"/>
    <x v="11"/>
    <x v="0"/>
    <s v="Wednesday"/>
    <x v="0"/>
    <s v="Returning Customer"/>
    <s v="Referred"/>
  </r>
  <r>
    <x v="322"/>
    <x v="300"/>
    <d v="2023-03-26T00:00:00"/>
    <s v="Frustrated with repeated documentation requests."/>
    <n v="3"/>
    <x v="0"/>
    <x v="0"/>
    <x v="0"/>
    <x v="0"/>
    <x v="3"/>
    <x v="8"/>
    <x v="1"/>
    <s v="Sunday"/>
    <x v="0"/>
    <s v="New Customer"/>
    <s v="Referred"/>
  </r>
  <r>
    <x v="323"/>
    <x v="301"/>
    <d v="2020-01-27T00:00:00"/>
    <s v="The mobile app experience was intuitive."/>
    <n v="3"/>
    <x v="0"/>
    <x v="0"/>
    <x v="0"/>
    <x v="0"/>
    <x v="0"/>
    <x v="1"/>
    <x v="1"/>
    <s v="Monday"/>
    <x v="0"/>
    <s v="New Customer"/>
    <s v="Referred"/>
  </r>
  <r>
    <x v="324"/>
    <x v="302"/>
    <d v="2021-07-28T00:00:00"/>
    <s v="Excellent customer service support."/>
    <n v="4"/>
    <x v="0"/>
    <x v="0"/>
    <x v="2"/>
    <x v="2"/>
    <x v="1"/>
    <x v="11"/>
    <x v="0"/>
    <s v="Wednesday"/>
    <x v="0"/>
    <s v="New Customer"/>
    <s v="Referred"/>
  </r>
  <r>
    <x v="325"/>
    <x v="303"/>
    <d v="2023-10-24T00:00:00"/>
    <s v="The agent was helpful and explained everything."/>
    <n v="5"/>
    <x v="0"/>
    <x v="1"/>
    <x v="2"/>
    <x v="2"/>
    <x v="3"/>
    <x v="6"/>
    <x v="3"/>
    <s v="Tuesday"/>
    <x v="0"/>
    <s v="New Customer"/>
    <s v="Not Referred"/>
  </r>
  <r>
    <x v="326"/>
    <x v="304"/>
    <d v="2022-09-13T00:00:00"/>
    <s v="Smooth experience with no issues."/>
    <n v="5"/>
    <x v="1"/>
    <x v="1"/>
    <x v="2"/>
    <x v="2"/>
    <x v="2"/>
    <x v="7"/>
    <x v="0"/>
    <s v="Tuesday"/>
    <x v="0"/>
    <s v="Returning Customer"/>
    <s v="Not Referred"/>
  </r>
  <r>
    <x v="327"/>
    <x v="305"/>
    <d v="2023-11-16T00:00:00"/>
    <s v="Need more clarity on policy coverage."/>
    <n v="2"/>
    <x v="0"/>
    <x v="0"/>
    <x v="1"/>
    <x v="1"/>
    <x v="3"/>
    <x v="4"/>
    <x v="3"/>
    <s v="Thursday"/>
    <x v="1"/>
    <s v="New Customer"/>
    <s v="Referred"/>
  </r>
  <r>
    <x v="328"/>
    <x v="306"/>
    <d v="2020-02-16T00:00:00"/>
    <s v="Had to wait too long for claim approval."/>
    <n v="2"/>
    <x v="1"/>
    <x v="1"/>
    <x v="1"/>
    <x v="1"/>
    <x v="0"/>
    <x v="2"/>
    <x v="1"/>
    <s v="Sunday"/>
    <x v="1"/>
    <s v="Returning Customer"/>
    <s v="Not Referred"/>
  </r>
  <r>
    <x v="329"/>
    <x v="307"/>
    <d v="2022-12-05T00:00:00"/>
    <s v="Excellent customer service support."/>
    <n v="5"/>
    <x v="1"/>
    <x v="0"/>
    <x v="2"/>
    <x v="2"/>
    <x v="2"/>
    <x v="10"/>
    <x v="3"/>
    <s v="Monday"/>
    <x v="0"/>
    <s v="New Customer"/>
    <s v="Referred"/>
  </r>
  <r>
    <x v="330"/>
    <x v="308"/>
    <d v="2021-11-09T00:00:00"/>
    <s v="Need more clarity on policy coverage."/>
    <n v="3"/>
    <x v="1"/>
    <x v="1"/>
    <x v="0"/>
    <x v="0"/>
    <x v="1"/>
    <x v="4"/>
    <x v="3"/>
    <s v="Tuesday"/>
    <x v="0"/>
    <s v="New Customer"/>
    <s v="Not Referred"/>
  </r>
  <r>
    <x v="331"/>
    <x v="309"/>
    <d v="2020-01-16T00:00:00"/>
    <s v="Smooth experience with no issues."/>
    <n v="4"/>
    <x v="0"/>
    <x v="0"/>
    <x v="2"/>
    <x v="2"/>
    <x v="0"/>
    <x v="1"/>
    <x v="1"/>
    <s v="Thursday"/>
    <x v="0"/>
    <s v="New Customer"/>
    <s v="Referred"/>
  </r>
  <r>
    <x v="332"/>
    <x v="310"/>
    <d v="2020-11-01T00:00:00"/>
    <s v="The mobile app experience was intuitive."/>
    <n v="5"/>
    <x v="0"/>
    <x v="1"/>
    <x v="2"/>
    <x v="2"/>
    <x v="0"/>
    <x v="4"/>
    <x v="3"/>
    <s v="Sunday"/>
    <x v="0"/>
    <s v="New Customer"/>
    <s v="Not Referred"/>
  </r>
  <r>
    <x v="333"/>
    <x v="311"/>
    <d v="2022-07-16T00:00:00"/>
    <s v="I'm not happy with the premium charged."/>
    <n v="3"/>
    <x v="0"/>
    <x v="1"/>
    <x v="0"/>
    <x v="0"/>
    <x v="2"/>
    <x v="11"/>
    <x v="0"/>
    <s v="Saturday"/>
    <x v="0"/>
    <s v="New Customer"/>
    <s v="Not Referred"/>
  </r>
  <r>
    <x v="334"/>
    <x v="312"/>
    <d v="2021-01-29T00:00:00"/>
    <s v="Had to wait too long for claim approval."/>
    <n v="2"/>
    <x v="0"/>
    <x v="0"/>
    <x v="1"/>
    <x v="1"/>
    <x v="1"/>
    <x v="1"/>
    <x v="1"/>
    <s v="Friday"/>
    <x v="1"/>
    <s v="Returning Customer"/>
    <s v="Referred"/>
  </r>
  <r>
    <x v="335"/>
    <x v="313"/>
    <d v="2022-08-02T00:00:00"/>
    <s v="I'm not happy with the premium charged."/>
    <n v="3"/>
    <x v="0"/>
    <x v="1"/>
    <x v="0"/>
    <x v="0"/>
    <x v="2"/>
    <x v="0"/>
    <x v="0"/>
    <s v="Tuesday"/>
    <x v="0"/>
    <s v="Loyal Customer"/>
    <s v="Not Referred"/>
  </r>
  <r>
    <x v="336"/>
    <x v="314"/>
    <d v="2023-01-01T00:00:00"/>
    <s v="Claim process could be faster."/>
    <n v="2"/>
    <x v="1"/>
    <x v="0"/>
    <x v="1"/>
    <x v="1"/>
    <x v="3"/>
    <x v="1"/>
    <x v="1"/>
    <s v="Sunday"/>
    <x v="1"/>
    <s v="Returning Customer"/>
    <s v="Referred"/>
  </r>
  <r>
    <x v="337"/>
    <x v="315"/>
    <d v="2023-05-27T00:00:00"/>
    <s v="Claim process could be faster."/>
    <n v="3"/>
    <x v="1"/>
    <x v="1"/>
    <x v="0"/>
    <x v="0"/>
    <x v="3"/>
    <x v="5"/>
    <x v="2"/>
    <s v="Saturday"/>
    <x v="0"/>
    <s v="Returning Customer"/>
    <s v="Not Referred"/>
  </r>
  <r>
    <x v="338"/>
    <x v="316"/>
    <d v="2022-12-19T00:00:00"/>
    <s v="Frustrated with repeated documentation requests."/>
    <n v="1"/>
    <x v="1"/>
    <x v="0"/>
    <x v="1"/>
    <x v="1"/>
    <x v="2"/>
    <x v="10"/>
    <x v="3"/>
    <s v="Monday"/>
    <x v="1"/>
    <s v="New Customer"/>
    <s v="Referred"/>
  </r>
  <r>
    <x v="339"/>
    <x v="317"/>
    <d v="2020-08-11T00:00:00"/>
    <s v="Frustrated with repeated documentation requests."/>
    <n v="2"/>
    <x v="0"/>
    <x v="0"/>
    <x v="1"/>
    <x v="1"/>
    <x v="0"/>
    <x v="0"/>
    <x v="0"/>
    <s v="Tuesday"/>
    <x v="1"/>
    <s v="New Customer"/>
    <s v="Referred"/>
  </r>
  <r>
    <x v="340"/>
    <x v="318"/>
    <d v="2020-10-07T00:00:00"/>
    <s v="Very satisfied with the claim process."/>
    <n v="5"/>
    <x v="0"/>
    <x v="1"/>
    <x v="2"/>
    <x v="2"/>
    <x v="0"/>
    <x v="6"/>
    <x v="3"/>
    <s v="Wednesday"/>
    <x v="0"/>
    <s v="New Customer"/>
    <s v="Not Referred"/>
  </r>
  <r>
    <x v="341"/>
    <x v="319"/>
    <d v="2021-11-06T00:00:00"/>
    <s v="Claim process could be faster."/>
    <n v="2"/>
    <x v="1"/>
    <x v="0"/>
    <x v="1"/>
    <x v="1"/>
    <x v="1"/>
    <x v="4"/>
    <x v="3"/>
    <s v="Saturday"/>
    <x v="1"/>
    <s v="New Customer"/>
    <s v="Referred"/>
  </r>
  <r>
    <x v="342"/>
    <x v="116"/>
    <d v="2020-11-03T00:00:00"/>
    <s v="Had to wait too long for claim approval."/>
    <n v="1"/>
    <x v="1"/>
    <x v="1"/>
    <x v="1"/>
    <x v="1"/>
    <x v="0"/>
    <x v="4"/>
    <x v="3"/>
    <s v="Tuesday"/>
    <x v="1"/>
    <s v="Returning Customer"/>
    <s v="Not Referred"/>
  </r>
  <r>
    <x v="343"/>
    <x v="320"/>
    <d v="2020-12-11T00:00:00"/>
    <s v="Very satisfied with the claim process."/>
    <n v="4"/>
    <x v="0"/>
    <x v="0"/>
    <x v="2"/>
    <x v="2"/>
    <x v="0"/>
    <x v="10"/>
    <x v="3"/>
    <s v="Friday"/>
    <x v="0"/>
    <s v="New Customer"/>
    <s v="Referred"/>
  </r>
  <r>
    <x v="344"/>
    <x v="321"/>
    <d v="2022-12-30T00:00:00"/>
    <s v="I'm not happy with the premium charged."/>
    <n v="2"/>
    <x v="0"/>
    <x v="0"/>
    <x v="1"/>
    <x v="1"/>
    <x v="2"/>
    <x v="10"/>
    <x v="3"/>
    <s v="Friday"/>
    <x v="1"/>
    <s v="Returning Customer"/>
    <s v="Referred"/>
  </r>
  <r>
    <x v="345"/>
    <x v="322"/>
    <d v="2020-01-22T00:00:00"/>
    <s v="Excellent customer service support."/>
    <n v="5"/>
    <x v="1"/>
    <x v="1"/>
    <x v="2"/>
    <x v="2"/>
    <x v="0"/>
    <x v="1"/>
    <x v="1"/>
    <s v="Wednesday"/>
    <x v="0"/>
    <s v="Returning Customer"/>
    <s v="Not Referred"/>
  </r>
  <r>
    <x v="346"/>
    <x v="323"/>
    <d v="2023-02-21T00:00:00"/>
    <s v="Had to wait too long for claim approval."/>
    <n v="1"/>
    <x v="1"/>
    <x v="1"/>
    <x v="1"/>
    <x v="1"/>
    <x v="3"/>
    <x v="2"/>
    <x v="1"/>
    <s v="Tuesday"/>
    <x v="1"/>
    <s v="New Customer"/>
    <s v="Not Referred"/>
  </r>
  <r>
    <x v="347"/>
    <x v="324"/>
    <d v="2022-06-17T00:00:00"/>
    <s v="Need more clarity on policy coverage."/>
    <n v="1"/>
    <x v="0"/>
    <x v="0"/>
    <x v="1"/>
    <x v="1"/>
    <x v="2"/>
    <x v="9"/>
    <x v="2"/>
    <s v="Friday"/>
    <x v="1"/>
    <s v="Returning Customer"/>
    <s v="Referred"/>
  </r>
  <r>
    <x v="348"/>
    <x v="325"/>
    <d v="2023-11-11T00:00:00"/>
    <s v="Very satisfied with the claim process."/>
    <n v="4"/>
    <x v="0"/>
    <x v="0"/>
    <x v="2"/>
    <x v="2"/>
    <x v="3"/>
    <x v="4"/>
    <x v="3"/>
    <s v="Saturday"/>
    <x v="0"/>
    <s v="New Customer"/>
    <s v="Referred"/>
  </r>
  <r>
    <x v="349"/>
    <x v="326"/>
    <d v="2023-10-27T00:00:00"/>
    <s v="Smooth experience with no issues."/>
    <n v="5"/>
    <x v="0"/>
    <x v="0"/>
    <x v="2"/>
    <x v="2"/>
    <x v="3"/>
    <x v="6"/>
    <x v="3"/>
    <s v="Friday"/>
    <x v="0"/>
    <s v="New Customer"/>
    <s v="Referred"/>
  </r>
  <r>
    <x v="350"/>
    <x v="327"/>
    <d v="2020-07-25T00:00:00"/>
    <s v="Very satisfied with the claim process."/>
    <n v="5"/>
    <x v="0"/>
    <x v="1"/>
    <x v="2"/>
    <x v="2"/>
    <x v="0"/>
    <x v="11"/>
    <x v="0"/>
    <s v="Saturday"/>
    <x v="0"/>
    <s v="New Customer"/>
    <s v="Not Referred"/>
  </r>
  <r>
    <x v="351"/>
    <x v="321"/>
    <d v="2022-09-22T00:00:00"/>
    <s v="Need more clarity on policy coverage."/>
    <n v="3"/>
    <x v="0"/>
    <x v="1"/>
    <x v="0"/>
    <x v="0"/>
    <x v="2"/>
    <x v="7"/>
    <x v="0"/>
    <s v="Thursday"/>
    <x v="0"/>
    <s v="Returning Customer"/>
    <s v="Not Referred"/>
  </r>
  <r>
    <x v="352"/>
    <x v="328"/>
    <d v="2022-04-14T00:00:00"/>
    <s v="The agent was helpful and explained everything."/>
    <n v="4"/>
    <x v="1"/>
    <x v="0"/>
    <x v="2"/>
    <x v="2"/>
    <x v="2"/>
    <x v="3"/>
    <x v="2"/>
    <s v="Thursday"/>
    <x v="0"/>
    <s v="New Customer"/>
    <s v="Referred"/>
  </r>
  <r>
    <x v="353"/>
    <x v="329"/>
    <d v="2020-07-20T00:00:00"/>
    <s v="Excellent customer service support."/>
    <n v="5"/>
    <x v="1"/>
    <x v="0"/>
    <x v="2"/>
    <x v="2"/>
    <x v="0"/>
    <x v="11"/>
    <x v="0"/>
    <s v="Monday"/>
    <x v="0"/>
    <s v="New Customer"/>
    <s v="Referred"/>
  </r>
  <r>
    <x v="354"/>
    <x v="330"/>
    <d v="2021-01-07T00:00:00"/>
    <s v="The agent was helpful and explained everything."/>
    <n v="4"/>
    <x v="0"/>
    <x v="1"/>
    <x v="2"/>
    <x v="2"/>
    <x v="1"/>
    <x v="1"/>
    <x v="1"/>
    <s v="Thursday"/>
    <x v="0"/>
    <s v="New Customer"/>
    <s v="Not Referred"/>
  </r>
  <r>
    <x v="355"/>
    <x v="331"/>
    <d v="2023-10-05T00:00:00"/>
    <s v="The agent was helpful and explained everything."/>
    <n v="4"/>
    <x v="0"/>
    <x v="1"/>
    <x v="2"/>
    <x v="2"/>
    <x v="3"/>
    <x v="6"/>
    <x v="3"/>
    <s v="Thursday"/>
    <x v="0"/>
    <s v="Returning Customer"/>
    <s v="Not Referred"/>
  </r>
  <r>
    <x v="356"/>
    <x v="332"/>
    <d v="2020-02-22T00:00:00"/>
    <s v="Very satisfied with the claim process."/>
    <n v="4"/>
    <x v="0"/>
    <x v="0"/>
    <x v="2"/>
    <x v="2"/>
    <x v="0"/>
    <x v="2"/>
    <x v="1"/>
    <s v="Saturday"/>
    <x v="0"/>
    <s v="New Customer"/>
    <s v="Referred"/>
  </r>
  <r>
    <x v="357"/>
    <x v="333"/>
    <d v="2020-11-19T00:00:00"/>
    <s v="Had to wait too long for claim approval."/>
    <n v="1"/>
    <x v="0"/>
    <x v="0"/>
    <x v="1"/>
    <x v="1"/>
    <x v="0"/>
    <x v="4"/>
    <x v="3"/>
    <s v="Thursday"/>
    <x v="1"/>
    <s v="Returning Customer"/>
    <s v="Referred"/>
  </r>
  <r>
    <x v="358"/>
    <x v="334"/>
    <d v="2023-01-11T00:00:00"/>
    <s v="Claim process could be faster."/>
    <n v="2"/>
    <x v="1"/>
    <x v="0"/>
    <x v="1"/>
    <x v="1"/>
    <x v="3"/>
    <x v="1"/>
    <x v="1"/>
    <s v="Wednesday"/>
    <x v="1"/>
    <s v="Returning Customer"/>
    <s v="Referred"/>
  </r>
  <r>
    <x v="359"/>
    <x v="335"/>
    <d v="2022-10-10T00:00:00"/>
    <s v="Smooth experience with no issues."/>
    <n v="4"/>
    <x v="0"/>
    <x v="1"/>
    <x v="2"/>
    <x v="2"/>
    <x v="2"/>
    <x v="6"/>
    <x v="3"/>
    <s v="Monday"/>
    <x v="0"/>
    <s v="New Customer"/>
    <s v="Not Referred"/>
  </r>
  <r>
    <x v="360"/>
    <x v="336"/>
    <d v="2020-10-08T00:00:00"/>
    <s v="Very satisfied with the claim process."/>
    <n v="4"/>
    <x v="0"/>
    <x v="1"/>
    <x v="2"/>
    <x v="2"/>
    <x v="0"/>
    <x v="6"/>
    <x v="3"/>
    <s v="Thursday"/>
    <x v="0"/>
    <s v="New Customer"/>
    <s v="Not Referred"/>
  </r>
  <r>
    <x v="361"/>
    <x v="337"/>
    <d v="2022-03-14T00:00:00"/>
    <s v="Claim process could be faster."/>
    <n v="2"/>
    <x v="0"/>
    <x v="0"/>
    <x v="1"/>
    <x v="1"/>
    <x v="2"/>
    <x v="8"/>
    <x v="1"/>
    <s v="Monday"/>
    <x v="1"/>
    <s v="New Customer"/>
    <s v="Referred"/>
  </r>
  <r>
    <x v="362"/>
    <x v="338"/>
    <d v="2021-04-03T00:00:00"/>
    <s v="The agent was helpful and explained everything."/>
    <n v="5"/>
    <x v="0"/>
    <x v="0"/>
    <x v="2"/>
    <x v="2"/>
    <x v="1"/>
    <x v="3"/>
    <x v="2"/>
    <s v="Saturday"/>
    <x v="0"/>
    <s v="New Customer"/>
    <s v="Referred"/>
  </r>
  <r>
    <x v="363"/>
    <x v="339"/>
    <d v="2023-06-04T00:00:00"/>
    <s v="Very satisfied with the claim process."/>
    <n v="5"/>
    <x v="1"/>
    <x v="1"/>
    <x v="2"/>
    <x v="2"/>
    <x v="3"/>
    <x v="9"/>
    <x v="2"/>
    <s v="Sunday"/>
    <x v="0"/>
    <s v="New Customer"/>
    <s v="Not Referred"/>
  </r>
  <r>
    <x v="364"/>
    <x v="340"/>
    <d v="2021-08-23T00:00:00"/>
    <s v="Had to wait too long for claim approval."/>
    <n v="1"/>
    <x v="0"/>
    <x v="1"/>
    <x v="1"/>
    <x v="1"/>
    <x v="1"/>
    <x v="0"/>
    <x v="0"/>
    <s v="Monday"/>
    <x v="1"/>
    <s v="New Customer"/>
    <s v="Not Referred"/>
  </r>
  <r>
    <x v="365"/>
    <x v="293"/>
    <d v="2023-11-09T00:00:00"/>
    <s v="The agent was helpful and explained everything."/>
    <n v="5"/>
    <x v="0"/>
    <x v="1"/>
    <x v="2"/>
    <x v="2"/>
    <x v="3"/>
    <x v="4"/>
    <x v="3"/>
    <s v="Thursday"/>
    <x v="0"/>
    <s v="Returning Customer"/>
    <s v="Not Referred"/>
  </r>
  <r>
    <x v="366"/>
    <x v="341"/>
    <d v="2022-09-21T00:00:00"/>
    <s v="Claim process could be faster."/>
    <n v="2"/>
    <x v="1"/>
    <x v="0"/>
    <x v="1"/>
    <x v="1"/>
    <x v="2"/>
    <x v="7"/>
    <x v="0"/>
    <s v="Wednesday"/>
    <x v="1"/>
    <s v="New Customer"/>
    <s v="Referred"/>
  </r>
  <r>
    <x v="367"/>
    <x v="342"/>
    <d v="2023-05-02T00:00:00"/>
    <s v="Very satisfied with the claim process."/>
    <n v="4"/>
    <x v="0"/>
    <x v="0"/>
    <x v="2"/>
    <x v="2"/>
    <x v="3"/>
    <x v="5"/>
    <x v="2"/>
    <s v="Tuesday"/>
    <x v="0"/>
    <s v="New Customer"/>
    <s v="Referred"/>
  </r>
  <r>
    <x v="368"/>
    <x v="343"/>
    <d v="2021-03-04T00:00:00"/>
    <s v="Need more clarity on policy coverage."/>
    <n v="2"/>
    <x v="0"/>
    <x v="1"/>
    <x v="1"/>
    <x v="1"/>
    <x v="1"/>
    <x v="8"/>
    <x v="1"/>
    <s v="Thursday"/>
    <x v="1"/>
    <s v="New Customer"/>
    <s v="Not Referred"/>
  </r>
  <r>
    <x v="369"/>
    <x v="344"/>
    <d v="2020-06-09T00:00:00"/>
    <s v="Frustrated with repeated documentation requests."/>
    <n v="1"/>
    <x v="1"/>
    <x v="0"/>
    <x v="1"/>
    <x v="1"/>
    <x v="0"/>
    <x v="9"/>
    <x v="2"/>
    <s v="Tuesday"/>
    <x v="1"/>
    <s v="New Customer"/>
    <s v="Referred"/>
  </r>
  <r>
    <x v="370"/>
    <x v="345"/>
    <d v="2023-10-12T00:00:00"/>
    <s v="Very satisfied with the claim process."/>
    <n v="5"/>
    <x v="0"/>
    <x v="0"/>
    <x v="2"/>
    <x v="2"/>
    <x v="3"/>
    <x v="6"/>
    <x v="3"/>
    <s v="Thursday"/>
    <x v="0"/>
    <s v="New Customer"/>
    <s v="Referred"/>
  </r>
  <r>
    <x v="371"/>
    <x v="346"/>
    <d v="2023-09-22T00:00:00"/>
    <s v="Excellent customer service support."/>
    <n v="5"/>
    <x v="1"/>
    <x v="1"/>
    <x v="2"/>
    <x v="2"/>
    <x v="3"/>
    <x v="7"/>
    <x v="0"/>
    <s v="Friday"/>
    <x v="0"/>
    <s v="New Customer"/>
    <s v="Not Referred"/>
  </r>
  <r>
    <x v="372"/>
    <x v="347"/>
    <d v="2023-07-13T00:00:00"/>
    <s v="Had to wait too long for claim approval."/>
    <n v="1"/>
    <x v="0"/>
    <x v="0"/>
    <x v="1"/>
    <x v="1"/>
    <x v="3"/>
    <x v="11"/>
    <x v="0"/>
    <s v="Thursday"/>
    <x v="1"/>
    <s v="New Customer"/>
    <s v="Referred"/>
  </r>
  <r>
    <x v="373"/>
    <x v="267"/>
    <d v="2021-01-25T00:00:00"/>
    <s v="Had to wait too long for claim approval."/>
    <n v="2"/>
    <x v="1"/>
    <x v="1"/>
    <x v="1"/>
    <x v="1"/>
    <x v="1"/>
    <x v="1"/>
    <x v="1"/>
    <s v="Monday"/>
    <x v="1"/>
    <s v="Returning Customer"/>
    <s v="Not Referred"/>
  </r>
  <r>
    <x v="374"/>
    <x v="39"/>
    <d v="2023-06-03T00:00:00"/>
    <s v="Had to wait too long for claim approval."/>
    <n v="1"/>
    <x v="1"/>
    <x v="0"/>
    <x v="1"/>
    <x v="1"/>
    <x v="3"/>
    <x v="9"/>
    <x v="2"/>
    <s v="Saturday"/>
    <x v="1"/>
    <s v="Returning Customer"/>
    <s v="Referred"/>
  </r>
  <r>
    <x v="375"/>
    <x v="348"/>
    <d v="2023-12-10T00:00:00"/>
    <s v="Need more clarity on policy coverage."/>
    <n v="3"/>
    <x v="0"/>
    <x v="0"/>
    <x v="0"/>
    <x v="0"/>
    <x v="3"/>
    <x v="10"/>
    <x v="3"/>
    <s v="Sunday"/>
    <x v="0"/>
    <s v="New Customer"/>
    <s v="Referred"/>
  </r>
  <r>
    <x v="376"/>
    <x v="349"/>
    <d v="2021-12-19T00:00:00"/>
    <s v="Need more clarity on policy coverage."/>
    <n v="2"/>
    <x v="1"/>
    <x v="1"/>
    <x v="1"/>
    <x v="1"/>
    <x v="1"/>
    <x v="10"/>
    <x v="3"/>
    <s v="Sunday"/>
    <x v="1"/>
    <s v="New Customer"/>
    <s v="Not Referred"/>
  </r>
  <r>
    <x v="377"/>
    <x v="350"/>
    <d v="2022-05-21T00:00:00"/>
    <s v="Claim process could be faster."/>
    <n v="2"/>
    <x v="1"/>
    <x v="0"/>
    <x v="1"/>
    <x v="1"/>
    <x v="2"/>
    <x v="5"/>
    <x v="2"/>
    <s v="Saturday"/>
    <x v="1"/>
    <s v="Returning Customer"/>
    <s v="Referred"/>
  </r>
  <r>
    <x v="378"/>
    <x v="351"/>
    <d v="2023-06-16T00:00:00"/>
    <s v="Had to wait too long for claim approval."/>
    <n v="2"/>
    <x v="1"/>
    <x v="1"/>
    <x v="1"/>
    <x v="1"/>
    <x v="3"/>
    <x v="9"/>
    <x v="2"/>
    <s v="Friday"/>
    <x v="1"/>
    <s v="New Customer"/>
    <s v="Not Referred"/>
  </r>
  <r>
    <x v="379"/>
    <x v="352"/>
    <d v="2021-04-12T00:00:00"/>
    <s v="Very satisfied with the claim process."/>
    <n v="4"/>
    <x v="0"/>
    <x v="1"/>
    <x v="2"/>
    <x v="2"/>
    <x v="1"/>
    <x v="3"/>
    <x v="2"/>
    <s v="Monday"/>
    <x v="0"/>
    <s v="New Customer"/>
    <s v="Not Referred"/>
  </r>
  <r>
    <x v="380"/>
    <x v="221"/>
    <d v="2020-09-24T00:00:00"/>
    <s v="Claim process could be faster."/>
    <n v="3"/>
    <x v="1"/>
    <x v="0"/>
    <x v="0"/>
    <x v="0"/>
    <x v="0"/>
    <x v="7"/>
    <x v="0"/>
    <s v="Thursday"/>
    <x v="0"/>
    <s v="Returning Customer"/>
    <s v="Referred"/>
  </r>
  <r>
    <x v="381"/>
    <x v="353"/>
    <d v="2020-12-04T00:00:00"/>
    <s v="I'm not happy with the premium charged."/>
    <n v="3"/>
    <x v="1"/>
    <x v="1"/>
    <x v="0"/>
    <x v="0"/>
    <x v="0"/>
    <x v="10"/>
    <x v="3"/>
    <s v="Friday"/>
    <x v="0"/>
    <s v="New Customer"/>
    <s v="Not Referred"/>
  </r>
  <r>
    <x v="382"/>
    <x v="354"/>
    <d v="2023-09-29T00:00:00"/>
    <s v="Very satisfied with the claim process."/>
    <n v="5"/>
    <x v="0"/>
    <x v="0"/>
    <x v="2"/>
    <x v="2"/>
    <x v="3"/>
    <x v="7"/>
    <x v="0"/>
    <s v="Friday"/>
    <x v="0"/>
    <s v="New Customer"/>
    <s v="Referred"/>
  </r>
  <r>
    <x v="383"/>
    <x v="355"/>
    <d v="2023-01-27T00:00:00"/>
    <s v="Excellent customer service support."/>
    <n v="5"/>
    <x v="1"/>
    <x v="1"/>
    <x v="2"/>
    <x v="2"/>
    <x v="3"/>
    <x v="1"/>
    <x v="1"/>
    <s v="Friday"/>
    <x v="0"/>
    <s v="New Customer"/>
    <s v="Not Referred"/>
  </r>
  <r>
    <x v="384"/>
    <x v="356"/>
    <d v="2020-05-04T00:00:00"/>
    <s v="The agent was helpful and explained everything."/>
    <n v="4"/>
    <x v="0"/>
    <x v="0"/>
    <x v="2"/>
    <x v="2"/>
    <x v="0"/>
    <x v="5"/>
    <x v="2"/>
    <s v="Monday"/>
    <x v="0"/>
    <s v="New Customer"/>
    <s v="Referred"/>
  </r>
  <r>
    <x v="385"/>
    <x v="357"/>
    <d v="2021-12-06T00:00:00"/>
    <s v="The mobile app experience was intuitive."/>
    <n v="5"/>
    <x v="1"/>
    <x v="0"/>
    <x v="2"/>
    <x v="2"/>
    <x v="1"/>
    <x v="10"/>
    <x v="3"/>
    <s v="Monday"/>
    <x v="0"/>
    <s v="New Customer"/>
    <s v="Referred"/>
  </r>
  <r>
    <x v="386"/>
    <x v="358"/>
    <d v="2020-10-16T00:00:00"/>
    <s v="Smooth experience with no issues."/>
    <n v="4"/>
    <x v="1"/>
    <x v="0"/>
    <x v="2"/>
    <x v="2"/>
    <x v="0"/>
    <x v="6"/>
    <x v="3"/>
    <s v="Friday"/>
    <x v="0"/>
    <s v="New Customer"/>
    <s v="Referred"/>
  </r>
  <r>
    <x v="387"/>
    <x v="359"/>
    <d v="2022-11-30T00:00:00"/>
    <s v="Excellent customer service support."/>
    <n v="5"/>
    <x v="1"/>
    <x v="1"/>
    <x v="2"/>
    <x v="2"/>
    <x v="2"/>
    <x v="4"/>
    <x v="3"/>
    <s v="Wednesday"/>
    <x v="0"/>
    <s v="New Customer"/>
    <s v="Not Referred"/>
  </r>
  <r>
    <x v="388"/>
    <x v="360"/>
    <d v="2021-10-15T00:00:00"/>
    <s v="Very satisfied with the claim process."/>
    <n v="4"/>
    <x v="1"/>
    <x v="0"/>
    <x v="2"/>
    <x v="2"/>
    <x v="1"/>
    <x v="6"/>
    <x v="3"/>
    <s v="Friday"/>
    <x v="0"/>
    <s v="New Customer"/>
    <s v="Referred"/>
  </r>
  <r>
    <x v="389"/>
    <x v="361"/>
    <d v="2023-01-12T00:00:00"/>
    <s v="Had to wait too long for claim approval."/>
    <n v="2"/>
    <x v="1"/>
    <x v="0"/>
    <x v="1"/>
    <x v="1"/>
    <x v="3"/>
    <x v="1"/>
    <x v="1"/>
    <s v="Thursday"/>
    <x v="1"/>
    <s v="Returning Customer"/>
    <s v="Referred"/>
  </r>
  <r>
    <x v="390"/>
    <x v="362"/>
    <d v="2022-04-14T00:00:00"/>
    <s v="Claim process could be faster."/>
    <n v="2"/>
    <x v="0"/>
    <x v="1"/>
    <x v="1"/>
    <x v="1"/>
    <x v="2"/>
    <x v="3"/>
    <x v="2"/>
    <s v="Thursday"/>
    <x v="1"/>
    <s v="Returning Customer"/>
    <s v="Not Referred"/>
  </r>
  <r>
    <x v="391"/>
    <x v="363"/>
    <d v="2023-06-02T00:00:00"/>
    <s v="Need more clarity on policy coverage."/>
    <n v="3"/>
    <x v="0"/>
    <x v="1"/>
    <x v="0"/>
    <x v="0"/>
    <x v="3"/>
    <x v="9"/>
    <x v="2"/>
    <s v="Friday"/>
    <x v="0"/>
    <s v="New Customer"/>
    <s v="Not Referred"/>
  </r>
  <r>
    <x v="392"/>
    <x v="364"/>
    <d v="2021-08-02T00:00:00"/>
    <s v="The mobile app experience was intuitive."/>
    <n v="3"/>
    <x v="1"/>
    <x v="0"/>
    <x v="0"/>
    <x v="0"/>
    <x v="1"/>
    <x v="0"/>
    <x v="0"/>
    <s v="Monday"/>
    <x v="0"/>
    <s v="New Customer"/>
    <s v="Referred"/>
  </r>
  <r>
    <x v="393"/>
    <x v="365"/>
    <d v="2022-06-08T00:00:00"/>
    <s v="Need more clarity on policy coverage."/>
    <n v="3"/>
    <x v="1"/>
    <x v="1"/>
    <x v="0"/>
    <x v="0"/>
    <x v="2"/>
    <x v="9"/>
    <x v="2"/>
    <s v="Wednesday"/>
    <x v="0"/>
    <s v="Returning Customer"/>
    <s v="Not Referred"/>
  </r>
  <r>
    <x v="394"/>
    <x v="366"/>
    <d v="2020-10-25T00:00:00"/>
    <s v="The agent was helpful and explained everything."/>
    <n v="5"/>
    <x v="0"/>
    <x v="0"/>
    <x v="2"/>
    <x v="2"/>
    <x v="0"/>
    <x v="6"/>
    <x v="3"/>
    <s v="Sunday"/>
    <x v="0"/>
    <s v="New Customer"/>
    <s v="Referred"/>
  </r>
  <r>
    <x v="395"/>
    <x v="367"/>
    <d v="2021-10-04T00:00:00"/>
    <s v="Excellent customer service support."/>
    <n v="4"/>
    <x v="0"/>
    <x v="0"/>
    <x v="2"/>
    <x v="2"/>
    <x v="1"/>
    <x v="6"/>
    <x v="3"/>
    <s v="Monday"/>
    <x v="0"/>
    <s v="New Customer"/>
    <s v="Referred"/>
  </r>
  <r>
    <x v="396"/>
    <x v="368"/>
    <d v="2021-04-06T00:00:00"/>
    <s v="Smooth experience with no issues."/>
    <n v="5"/>
    <x v="0"/>
    <x v="1"/>
    <x v="2"/>
    <x v="2"/>
    <x v="1"/>
    <x v="3"/>
    <x v="2"/>
    <s v="Tuesday"/>
    <x v="0"/>
    <s v="New Customer"/>
    <s v="Not Referred"/>
  </r>
  <r>
    <x v="397"/>
    <x v="369"/>
    <d v="2023-06-06T00:00:00"/>
    <s v="I'm not happy with the premium charged."/>
    <n v="1"/>
    <x v="0"/>
    <x v="1"/>
    <x v="1"/>
    <x v="1"/>
    <x v="3"/>
    <x v="9"/>
    <x v="2"/>
    <s v="Tuesday"/>
    <x v="1"/>
    <s v="New Customer"/>
    <s v="Not Referred"/>
  </r>
  <r>
    <x v="398"/>
    <x v="370"/>
    <d v="2022-10-31T00:00:00"/>
    <s v="Claim process could be faster."/>
    <n v="3"/>
    <x v="0"/>
    <x v="0"/>
    <x v="0"/>
    <x v="0"/>
    <x v="2"/>
    <x v="6"/>
    <x v="3"/>
    <s v="Monday"/>
    <x v="0"/>
    <s v="New Customer"/>
    <s v="Referred"/>
  </r>
  <r>
    <x v="399"/>
    <x v="371"/>
    <d v="2023-12-29T00:00:00"/>
    <s v="The agent was helpful and explained everything."/>
    <n v="4"/>
    <x v="0"/>
    <x v="0"/>
    <x v="2"/>
    <x v="2"/>
    <x v="3"/>
    <x v="10"/>
    <x v="3"/>
    <s v="Friday"/>
    <x v="0"/>
    <s v="Returning Customer"/>
    <s v="Referred"/>
  </r>
  <r>
    <x v="400"/>
    <x v="372"/>
    <d v="2023-11-09T00:00:00"/>
    <s v="The mobile app experience was intuitive."/>
    <n v="4"/>
    <x v="0"/>
    <x v="0"/>
    <x v="2"/>
    <x v="2"/>
    <x v="3"/>
    <x v="4"/>
    <x v="3"/>
    <s v="Thursday"/>
    <x v="0"/>
    <s v="New Customer"/>
    <s v="Referred"/>
  </r>
  <r>
    <x v="401"/>
    <x v="373"/>
    <d v="2021-06-13T00:00:00"/>
    <s v="Need more clarity on policy coverage."/>
    <n v="2"/>
    <x v="1"/>
    <x v="0"/>
    <x v="1"/>
    <x v="1"/>
    <x v="1"/>
    <x v="9"/>
    <x v="2"/>
    <s v="Sunday"/>
    <x v="1"/>
    <s v="New Customer"/>
    <s v="Referred"/>
  </r>
  <r>
    <x v="402"/>
    <x v="374"/>
    <d v="2021-06-07T00:00:00"/>
    <s v="I'm not happy with the premium charged."/>
    <n v="2"/>
    <x v="0"/>
    <x v="1"/>
    <x v="1"/>
    <x v="1"/>
    <x v="1"/>
    <x v="9"/>
    <x v="2"/>
    <s v="Monday"/>
    <x v="1"/>
    <s v="New Customer"/>
    <s v="Not Referred"/>
  </r>
  <r>
    <x v="403"/>
    <x v="34"/>
    <d v="2022-06-14T00:00:00"/>
    <s v="The mobile app experience was intuitive."/>
    <n v="4"/>
    <x v="1"/>
    <x v="1"/>
    <x v="2"/>
    <x v="2"/>
    <x v="2"/>
    <x v="9"/>
    <x v="2"/>
    <s v="Tuesday"/>
    <x v="0"/>
    <s v="Returning Customer"/>
    <s v="Not Referred"/>
  </r>
  <r>
    <x v="404"/>
    <x v="375"/>
    <d v="2021-06-10T00:00:00"/>
    <s v="The agent was helpful and explained everything."/>
    <n v="5"/>
    <x v="0"/>
    <x v="1"/>
    <x v="2"/>
    <x v="2"/>
    <x v="1"/>
    <x v="9"/>
    <x v="2"/>
    <s v="Thursday"/>
    <x v="0"/>
    <s v="New Customer"/>
    <s v="Not Referred"/>
  </r>
  <r>
    <x v="405"/>
    <x v="376"/>
    <d v="2021-08-30T00:00:00"/>
    <s v="Very satisfied with the claim process."/>
    <n v="5"/>
    <x v="1"/>
    <x v="0"/>
    <x v="2"/>
    <x v="2"/>
    <x v="1"/>
    <x v="0"/>
    <x v="0"/>
    <s v="Monday"/>
    <x v="0"/>
    <s v="New Customer"/>
    <s v="Referred"/>
  </r>
  <r>
    <x v="406"/>
    <x v="377"/>
    <d v="2021-07-27T00:00:00"/>
    <s v="Very satisfied with the claim process."/>
    <n v="5"/>
    <x v="1"/>
    <x v="1"/>
    <x v="2"/>
    <x v="2"/>
    <x v="1"/>
    <x v="11"/>
    <x v="0"/>
    <s v="Tuesday"/>
    <x v="0"/>
    <s v="New Customer"/>
    <s v="Not Referred"/>
  </r>
  <r>
    <x v="407"/>
    <x v="378"/>
    <d v="2021-01-08T00:00:00"/>
    <s v="Smooth experience with no issues."/>
    <n v="4"/>
    <x v="0"/>
    <x v="0"/>
    <x v="2"/>
    <x v="2"/>
    <x v="1"/>
    <x v="1"/>
    <x v="1"/>
    <s v="Friday"/>
    <x v="0"/>
    <s v="Returning Customer"/>
    <s v="Referred"/>
  </r>
  <r>
    <x v="408"/>
    <x v="46"/>
    <d v="2023-11-28T00:00:00"/>
    <s v="The agent was helpful and explained everything."/>
    <n v="5"/>
    <x v="1"/>
    <x v="1"/>
    <x v="2"/>
    <x v="2"/>
    <x v="3"/>
    <x v="4"/>
    <x v="3"/>
    <s v="Tuesday"/>
    <x v="0"/>
    <s v="Returning Customer"/>
    <s v="Not Referred"/>
  </r>
  <r>
    <x v="409"/>
    <x v="379"/>
    <d v="2021-01-11T00:00:00"/>
    <s v="Smooth experience with no issues."/>
    <n v="4"/>
    <x v="0"/>
    <x v="0"/>
    <x v="2"/>
    <x v="2"/>
    <x v="1"/>
    <x v="1"/>
    <x v="1"/>
    <s v="Monday"/>
    <x v="0"/>
    <s v="New Customer"/>
    <s v="Referred"/>
  </r>
  <r>
    <x v="410"/>
    <x v="380"/>
    <d v="2023-09-28T00:00:00"/>
    <s v="Claim process could be faster."/>
    <n v="3"/>
    <x v="1"/>
    <x v="1"/>
    <x v="0"/>
    <x v="0"/>
    <x v="3"/>
    <x v="7"/>
    <x v="0"/>
    <s v="Thursday"/>
    <x v="0"/>
    <s v="New Customer"/>
    <s v="Not Referred"/>
  </r>
  <r>
    <x v="411"/>
    <x v="381"/>
    <d v="2023-05-13T00:00:00"/>
    <s v="Had to wait too long for claim approval."/>
    <n v="2"/>
    <x v="1"/>
    <x v="0"/>
    <x v="1"/>
    <x v="1"/>
    <x v="3"/>
    <x v="5"/>
    <x v="2"/>
    <s v="Saturday"/>
    <x v="1"/>
    <s v="Returning Customer"/>
    <s v="Referred"/>
  </r>
  <r>
    <x v="412"/>
    <x v="382"/>
    <d v="2023-06-13T00:00:00"/>
    <s v="Very satisfied with the claim process."/>
    <n v="5"/>
    <x v="1"/>
    <x v="1"/>
    <x v="2"/>
    <x v="2"/>
    <x v="3"/>
    <x v="9"/>
    <x v="2"/>
    <s v="Tuesday"/>
    <x v="0"/>
    <s v="New Customer"/>
    <s v="Not Referred"/>
  </r>
  <r>
    <x v="413"/>
    <x v="383"/>
    <d v="2022-06-23T00:00:00"/>
    <s v="Very satisfied with the claim process."/>
    <n v="5"/>
    <x v="1"/>
    <x v="1"/>
    <x v="2"/>
    <x v="2"/>
    <x v="2"/>
    <x v="9"/>
    <x v="2"/>
    <s v="Thursday"/>
    <x v="0"/>
    <s v="New Customer"/>
    <s v="Not Referred"/>
  </r>
  <r>
    <x v="414"/>
    <x v="384"/>
    <d v="2021-02-07T00:00:00"/>
    <s v="The agent was helpful and explained everything."/>
    <n v="5"/>
    <x v="0"/>
    <x v="0"/>
    <x v="2"/>
    <x v="2"/>
    <x v="1"/>
    <x v="2"/>
    <x v="1"/>
    <s v="Sunday"/>
    <x v="0"/>
    <s v="New Customer"/>
    <s v="Referred"/>
  </r>
  <r>
    <x v="415"/>
    <x v="385"/>
    <d v="2023-02-28T00:00:00"/>
    <s v="Very satisfied with the claim process."/>
    <n v="5"/>
    <x v="0"/>
    <x v="1"/>
    <x v="2"/>
    <x v="2"/>
    <x v="3"/>
    <x v="2"/>
    <x v="1"/>
    <s v="Tuesday"/>
    <x v="0"/>
    <s v="Returning Customer"/>
    <s v="Not Referred"/>
  </r>
  <r>
    <x v="416"/>
    <x v="386"/>
    <d v="2020-08-02T00:00:00"/>
    <s v="The agent was helpful and explained everything."/>
    <n v="4"/>
    <x v="0"/>
    <x v="1"/>
    <x v="2"/>
    <x v="2"/>
    <x v="0"/>
    <x v="0"/>
    <x v="0"/>
    <s v="Sunday"/>
    <x v="0"/>
    <s v="Returning Customer"/>
    <s v="Not Referred"/>
  </r>
  <r>
    <x v="417"/>
    <x v="387"/>
    <d v="2021-05-16T00:00:00"/>
    <s v="Excellent customer service support."/>
    <n v="4"/>
    <x v="0"/>
    <x v="0"/>
    <x v="2"/>
    <x v="2"/>
    <x v="1"/>
    <x v="5"/>
    <x v="2"/>
    <s v="Sunday"/>
    <x v="0"/>
    <s v="New Customer"/>
    <s v="Referred"/>
  </r>
  <r>
    <x v="418"/>
    <x v="388"/>
    <d v="2022-01-26T00:00:00"/>
    <s v="Excellent customer service support."/>
    <n v="5"/>
    <x v="1"/>
    <x v="1"/>
    <x v="2"/>
    <x v="2"/>
    <x v="2"/>
    <x v="1"/>
    <x v="1"/>
    <s v="Wednesday"/>
    <x v="0"/>
    <s v="New Customer"/>
    <s v="Not Referred"/>
  </r>
  <r>
    <x v="419"/>
    <x v="389"/>
    <d v="2022-05-22T00:00:00"/>
    <s v="I'm not happy with the premium charged."/>
    <n v="3"/>
    <x v="0"/>
    <x v="0"/>
    <x v="0"/>
    <x v="0"/>
    <x v="2"/>
    <x v="5"/>
    <x v="2"/>
    <s v="Sunday"/>
    <x v="0"/>
    <s v="New Customer"/>
    <s v="Referred"/>
  </r>
  <r>
    <x v="420"/>
    <x v="390"/>
    <d v="2023-10-22T00:00:00"/>
    <s v="Very satisfied with the claim process."/>
    <n v="5"/>
    <x v="0"/>
    <x v="0"/>
    <x v="2"/>
    <x v="2"/>
    <x v="3"/>
    <x v="6"/>
    <x v="3"/>
    <s v="Sunday"/>
    <x v="0"/>
    <s v="New Customer"/>
    <s v="Referred"/>
  </r>
  <r>
    <x v="421"/>
    <x v="391"/>
    <d v="2020-03-24T00:00:00"/>
    <s v="Need more clarity on policy coverage."/>
    <n v="3"/>
    <x v="0"/>
    <x v="1"/>
    <x v="0"/>
    <x v="0"/>
    <x v="0"/>
    <x v="8"/>
    <x v="1"/>
    <s v="Tuesday"/>
    <x v="0"/>
    <s v="New Customer"/>
    <s v="Not Referred"/>
  </r>
  <r>
    <x v="422"/>
    <x v="392"/>
    <d v="2020-01-27T00:00:00"/>
    <s v="Excellent customer service support."/>
    <n v="5"/>
    <x v="1"/>
    <x v="1"/>
    <x v="2"/>
    <x v="2"/>
    <x v="0"/>
    <x v="1"/>
    <x v="1"/>
    <s v="Monday"/>
    <x v="0"/>
    <s v="New Customer"/>
    <s v="Not Referred"/>
  </r>
  <r>
    <x v="423"/>
    <x v="393"/>
    <d v="2022-04-06T00:00:00"/>
    <s v="Need more clarity on policy coverage."/>
    <n v="3"/>
    <x v="1"/>
    <x v="0"/>
    <x v="0"/>
    <x v="0"/>
    <x v="2"/>
    <x v="3"/>
    <x v="2"/>
    <s v="Wednesday"/>
    <x v="0"/>
    <s v="New Customer"/>
    <s v="Referred"/>
  </r>
  <r>
    <x v="424"/>
    <x v="394"/>
    <d v="2022-06-26T00:00:00"/>
    <s v="Smooth experience with no issues."/>
    <n v="5"/>
    <x v="0"/>
    <x v="1"/>
    <x v="2"/>
    <x v="2"/>
    <x v="2"/>
    <x v="9"/>
    <x v="2"/>
    <s v="Sunday"/>
    <x v="0"/>
    <s v="New Customer"/>
    <s v="Not Referred"/>
  </r>
  <r>
    <x v="425"/>
    <x v="395"/>
    <d v="2023-11-14T00:00:00"/>
    <s v="Claim process could be faster."/>
    <n v="2"/>
    <x v="0"/>
    <x v="1"/>
    <x v="1"/>
    <x v="1"/>
    <x v="3"/>
    <x v="4"/>
    <x v="3"/>
    <s v="Tuesday"/>
    <x v="1"/>
    <s v="Returning Customer"/>
    <s v="Not Referred"/>
  </r>
  <r>
    <x v="426"/>
    <x v="396"/>
    <d v="2022-08-29T00:00:00"/>
    <s v="Had to wait too long for claim approval."/>
    <n v="2"/>
    <x v="1"/>
    <x v="1"/>
    <x v="1"/>
    <x v="1"/>
    <x v="2"/>
    <x v="0"/>
    <x v="0"/>
    <s v="Monday"/>
    <x v="1"/>
    <s v="New Customer"/>
    <s v="Not Referred"/>
  </r>
  <r>
    <x v="427"/>
    <x v="397"/>
    <d v="2020-09-07T00:00:00"/>
    <s v="The agent was helpful and explained everything."/>
    <n v="5"/>
    <x v="1"/>
    <x v="1"/>
    <x v="2"/>
    <x v="2"/>
    <x v="0"/>
    <x v="7"/>
    <x v="0"/>
    <s v="Monday"/>
    <x v="0"/>
    <s v="New Customer"/>
    <s v="Not Referred"/>
  </r>
  <r>
    <x v="428"/>
    <x v="398"/>
    <d v="2021-10-08T00:00:00"/>
    <s v="Excellent customer service support."/>
    <n v="5"/>
    <x v="1"/>
    <x v="1"/>
    <x v="2"/>
    <x v="2"/>
    <x v="1"/>
    <x v="6"/>
    <x v="3"/>
    <s v="Friday"/>
    <x v="0"/>
    <s v="New Customer"/>
    <s v="Not Referred"/>
  </r>
  <r>
    <x v="429"/>
    <x v="399"/>
    <d v="2022-03-24T00:00:00"/>
    <s v="Smooth experience with no issues."/>
    <n v="4"/>
    <x v="0"/>
    <x v="0"/>
    <x v="2"/>
    <x v="2"/>
    <x v="2"/>
    <x v="8"/>
    <x v="1"/>
    <s v="Thursday"/>
    <x v="0"/>
    <s v="New Customer"/>
    <s v="Referred"/>
  </r>
  <r>
    <x v="430"/>
    <x v="400"/>
    <d v="2021-11-27T00:00:00"/>
    <s v="Excellent customer service support."/>
    <n v="5"/>
    <x v="1"/>
    <x v="0"/>
    <x v="2"/>
    <x v="2"/>
    <x v="1"/>
    <x v="4"/>
    <x v="3"/>
    <s v="Saturday"/>
    <x v="0"/>
    <s v="Returning Customer"/>
    <s v="Referred"/>
  </r>
  <r>
    <x v="431"/>
    <x v="401"/>
    <d v="2020-06-21T00:00:00"/>
    <s v="Frustrated with repeated documentation requests."/>
    <n v="1"/>
    <x v="0"/>
    <x v="1"/>
    <x v="1"/>
    <x v="1"/>
    <x v="0"/>
    <x v="9"/>
    <x v="2"/>
    <s v="Sunday"/>
    <x v="1"/>
    <s v="New Customer"/>
    <s v="Not Referred"/>
  </r>
  <r>
    <x v="432"/>
    <x v="402"/>
    <d v="2022-07-30T00:00:00"/>
    <s v="Claim process could be faster."/>
    <n v="3"/>
    <x v="1"/>
    <x v="0"/>
    <x v="0"/>
    <x v="0"/>
    <x v="2"/>
    <x v="11"/>
    <x v="0"/>
    <s v="Saturday"/>
    <x v="0"/>
    <s v="New Customer"/>
    <s v="Referred"/>
  </r>
  <r>
    <x v="433"/>
    <x v="403"/>
    <d v="2021-07-28T00:00:00"/>
    <s v="Claim process could be faster."/>
    <n v="2"/>
    <x v="1"/>
    <x v="0"/>
    <x v="1"/>
    <x v="1"/>
    <x v="1"/>
    <x v="11"/>
    <x v="0"/>
    <s v="Wednesday"/>
    <x v="1"/>
    <s v="New Customer"/>
    <s v="Referred"/>
  </r>
  <r>
    <x v="434"/>
    <x v="234"/>
    <d v="2021-08-03T00:00:00"/>
    <s v="I'm not happy with the premium charged."/>
    <n v="2"/>
    <x v="0"/>
    <x v="1"/>
    <x v="1"/>
    <x v="1"/>
    <x v="1"/>
    <x v="0"/>
    <x v="0"/>
    <s v="Tuesday"/>
    <x v="1"/>
    <s v="Returning Customer"/>
    <s v="Not Referred"/>
  </r>
  <r>
    <x v="435"/>
    <x v="404"/>
    <d v="2022-10-27T00:00:00"/>
    <s v="Claim process could be faster."/>
    <n v="2"/>
    <x v="1"/>
    <x v="0"/>
    <x v="1"/>
    <x v="1"/>
    <x v="2"/>
    <x v="6"/>
    <x v="3"/>
    <s v="Thursday"/>
    <x v="1"/>
    <s v="New Customer"/>
    <s v="Referred"/>
  </r>
  <r>
    <x v="436"/>
    <x v="405"/>
    <d v="2021-01-15T00:00:00"/>
    <s v="Need more clarity on policy coverage."/>
    <n v="2"/>
    <x v="0"/>
    <x v="1"/>
    <x v="1"/>
    <x v="1"/>
    <x v="1"/>
    <x v="1"/>
    <x v="1"/>
    <s v="Friday"/>
    <x v="1"/>
    <s v="Returning Customer"/>
    <s v="Not Referred"/>
  </r>
  <r>
    <x v="437"/>
    <x v="406"/>
    <d v="2022-06-28T00:00:00"/>
    <s v="Claim process could be faster."/>
    <n v="3"/>
    <x v="1"/>
    <x v="1"/>
    <x v="0"/>
    <x v="0"/>
    <x v="2"/>
    <x v="9"/>
    <x v="2"/>
    <s v="Tuesday"/>
    <x v="0"/>
    <s v="New Customer"/>
    <s v="Not Referred"/>
  </r>
  <r>
    <x v="438"/>
    <x v="407"/>
    <d v="2021-03-17T00:00:00"/>
    <s v="The agent was helpful and explained everything."/>
    <n v="5"/>
    <x v="0"/>
    <x v="0"/>
    <x v="2"/>
    <x v="2"/>
    <x v="1"/>
    <x v="8"/>
    <x v="1"/>
    <s v="Wednesday"/>
    <x v="0"/>
    <s v="Returning Customer"/>
    <s v="Referred"/>
  </r>
  <r>
    <x v="439"/>
    <x v="408"/>
    <d v="2020-08-25T00:00:00"/>
    <s v="Excellent customer service support."/>
    <n v="4"/>
    <x v="0"/>
    <x v="1"/>
    <x v="2"/>
    <x v="2"/>
    <x v="0"/>
    <x v="0"/>
    <x v="0"/>
    <s v="Tuesday"/>
    <x v="0"/>
    <s v="Returning Customer"/>
    <s v="Not Referred"/>
  </r>
  <r>
    <x v="440"/>
    <x v="409"/>
    <d v="2022-09-05T00:00:00"/>
    <s v="The mobile app experience was intuitive."/>
    <n v="4"/>
    <x v="1"/>
    <x v="0"/>
    <x v="2"/>
    <x v="2"/>
    <x v="2"/>
    <x v="7"/>
    <x v="0"/>
    <s v="Monday"/>
    <x v="0"/>
    <s v="Returning Customer"/>
    <s v="Referred"/>
  </r>
  <r>
    <x v="441"/>
    <x v="313"/>
    <d v="2021-08-02T00:00:00"/>
    <s v="Need more clarity on policy coverage."/>
    <n v="1"/>
    <x v="1"/>
    <x v="0"/>
    <x v="1"/>
    <x v="1"/>
    <x v="1"/>
    <x v="0"/>
    <x v="0"/>
    <s v="Monday"/>
    <x v="1"/>
    <s v="Loyal Customer"/>
    <s v="Referred"/>
  </r>
  <r>
    <x v="442"/>
    <x v="410"/>
    <d v="2023-01-26T00:00:00"/>
    <s v="I'm not happy with the premium charged."/>
    <n v="2"/>
    <x v="0"/>
    <x v="1"/>
    <x v="1"/>
    <x v="1"/>
    <x v="3"/>
    <x v="1"/>
    <x v="1"/>
    <s v="Thursday"/>
    <x v="1"/>
    <s v="New Customer"/>
    <s v="Not Referred"/>
  </r>
  <r>
    <x v="443"/>
    <x v="411"/>
    <d v="2023-06-05T00:00:00"/>
    <s v="Need more clarity on policy coverage."/>
    <n v="2"/>
    <x v="0"/>
    <x v="1"/>
    <x v="1"/>
    <x v="1"/>
    <x v="3"/>
    <x v="9"/>
    <x v="2"/>
    <s v="Monday"/>
    <x v="1"/>
    <s v="New Customer"/>
    <s v="Not Referred"/>
  </r>
  <r>
    <x v="444"/>
    <x v="412"/>
    <d v="2022-02-21T00:00:00"/>
    <s v="The agent was helpful and explained everything."/>
    <n v="5"/>
    <x v="1"/>
    <x v="1"/>
    <x v="2"/>
    <x v="2"/>
    <x v="2"/>
    <x v="2"/>
    <x v="1"/>
    <s v="Monday"/>
    <x v="0"/>
    <s v="Returning Customer"/>
    <s v="Not Referred"/>
  </r>
  <r>
    <x v="445"/>
    <x v="331"/>
    <d v="2022-12-07T00:00:00"/>
    <s v="Excellent customer service support."/>
    <n v="4"/>
    <x v="1"/>
    <x v="1"/>
    <x v="2"/>
    <x v="2"/>
    <x v="2"/>
    <x v="10"/>
    <x v="3"/>
    <s v="Wednesday"/>
    <x v="0"/>
    <s v="Returning Customer"/>
    <s v="Not Referred"/>
  </r>
  <r>
    <x v="446"/>
    <x v="413"/>
    <d v="2022-05-28T00:00:00"/>
    <s v="Excellent customer service support."/>
    <n v="5"/>
    <x v="0"/>
    <x v="0"/>
    <x v="2"/>
    <x v="2"/>
    <x v="2"/>
    <x v="5"/>
    <x v="2"/>
    <s v="Saturday"/>
    <x v="0"/>
    <s v="New Customer"/>
    <s v="Referred"/>
  </r>
  <r>
    <x v="447"/>
    <x v="414"/>
    <d v="2023-09-16T00:00:00"/>
    <s v="Excellent customer service support."/>
    <n v="4"/>
    <x v="0"/>
    <x v="1"/>
    <x v="2"/>
    <x v="2"/>
    <x v="3"/>
    <x v="7"/>
    <x v="0"/>
    <s v="Saturday"/>
    <x v="0"/>
    <s v="New Customer"/>
    <s v="Not Referred"/>
  </r>
  <r>
    <x v="448"/>
    <x v="415"/>
    <d v="2022-04-08T00:00:00"/>
    <s v="Had to wait too long for claim approval."/>
    <n v="2"/>
    <x v="0"/>
    <x v="0"/>
    <x v="1"/>
    <x v="1"/>
    <x v="2"/>
    <x v="3"/>
    <x v="2"/>
    <s v="Friday"/>
    <x v="1"/>
    <s v="New Customer"/>
    <s v="Referred"/>
  </r>
  <r>
    <x v="449"/>
    <x v="416"/>
    <d v="2023-06-27T00:00:00"/>
    <s v="Frustrated with repeated documentation requests."/>
    <n v="1"/>
    <x v="0"/>
    <x v="0"/>
    <x v="1"/>
    <x v="1"/>
    <x v="3"/>
    <x v="9"/>
    <x v="2"/>
    <s v="Tuesday"/>
    <x v="1"/>
    <s v="New Customer"/>
    <s v="Referred"/>
  </r>
  <r>
    <x v="450"/>
    <x v="417"/>
    <d v="2022-04-19T00:00:00"/>
    <s v="Frustrated with repeated documentation requests."/>
    <n v="1"/>
    <x v="1"/>
    <x v="1"/>
    <x v="1"/>
    <x v="1"/>
    <x v="2"/>
    <x v="3"/>
    <x v="2"/>
    <s v="Tuesday"/>
    <x v="1"/>
    <s v="New Customer"/>
    <s v="Not Referred"/>
  </r>
  <r>
    <x v="451"/>
    <x v="418"/>
    <d v="2022-07-25T00:00:00"/>
    <s v="Excellent customer service support."/>
    <n v="5"/>
    <x v="0"/>
    <x v="0"/>
    <x v="2"/>
    <x v="2"/>
    <x v="2"/>
    <x v="11"/>
    <x v="0"/>
    <s v="Monday"/>
    <x v="0"/>
    <s v="New Customer"/>
    <s v="Referred"/>
  </r>
  <r>
    <x v="452"/>
    <x v="419"/>
    <d v="2022-09-27T00:00:00"/>
    <s v="Excellent customer service support."/>
    <n v="4"/>
    <x v="0"/>
    <x v="1"/>
    <x v="2"/>
    <x v="2"/>
    <x v="2"/>
    <x v="7"/>
    <x v="0"/>
    <s v="Tuesday"/>
    <x v="0"/>
    <s v="New Customer"/>
    <s v="Not Referred"/>
  </r>
  <r>
    <x v="453"/>
    <x v="385"/>
    <d v="2023-09-26T00:00:00"/>
    <s v="Frustrated with repeated documentation requests."/>
    <n v="1"/>
    <x v="0"/>
    <x v="1"/>
    <x v="1"/>
    <x v="1"/>
    <x v="3"/>
    <x v="7"/>
    <x v="0"/>
    <s v="Tuesday"/>
    <x v="1"/>
    <s v="Returning Customer"/>
    <s v="Not Referred"/>
  </r>
  <r>
    <x v="454"/>
    <x v="420"/>
    <d v="2022-07-02T00:00:00"/>
    <s v="Need more clarity on policy coverage."/>
    <n v="3"/>
    <x v="1"/>
    <x v="0"/>
    <x v="0"/>
    <x v="0"/>
    <x v="2"/>
    <x v="11"/>
    <x v="0"/>
    <s v="Saturday"/>
    <x v="0"/>
    <s v="New Customer"/>
    <s v="Referred"/>
  </r>
  <r>
    <x v="455"/>
    <x v="421"/>
    <d v="2023-12-01T00:00:00"/>
    <s v="Smooth experience with no issues."/>
    <n v="5"/>
    <x v="1"/>
    <x v="1"/>
    <x v="2"/>
    <x v="2"/>
    <x v="3"/>
    <x v="10"/>
    <x v="3"/>
    <s v="Friday"/>
    <x v="0"/>
    <s v="Returning Customer"/>
    <s v="Not Referred"/>
  </r>
  <r>
    <x v="456"/>
    <x v="422"/>
    <d v="2022-08-19T00:00:00"/>
    <s v="Need more clarity on policy coverage."/>
    <n v="3"/>
    <x v="0"/>
    <x v="1"/>
    <x v="0"/>
    <x v="0"/>
    <x v="2"/>
    <x v="0"/>
    <x v="0"/>
    <s v="Friday"/>
    <x v="0"/>
    <s v="Returning Customer"/>
    <s v="Not Referred"/>
  </r>
  <r>
    <x v="457"/>
    <x v="423"/>
    <d v="2020-11-16T00:00:00"/>
    <s v="Smooth experience with no issues."/>
    <n v="4"/>
    <x v="0"/>
    <x v="1"/>
    <x v="2"/>
    <x v="2"/>
    <x v="0"/>
    <x v="4"/>
    <x v="3"/>
    <s v="Monday"/>
    <x v="0"/>
    <s v="Returning Customer"/>
    <s v="Not Referred"/>
  </r>
  <r>
    <x v="458"/>
    <x v="424"/>
    <d v="2021-02-04T00:00:00"/>
    <s v="The agent was helpful and explained everything."/>
    <n v="4"/>
    <x v="1"/>
    <x v="1"/>
    <x v="2"/>
    <x v="2"/>
    <x v="1"/>
    <x v="2"/>
    <x v="1"/>
    <s v="Thursday"/>
    <x v="0"/>
    <s v="New Customer"/>
    <s v="Not Referred"/>
  </r>
  <r>
    <x v="459"/>
    <x v="425"/>
    <d v="2022-07-07T00:00:00"/>
    <s v="Need more clarity on policy coverage."/>
    <n v="3"/>
    <x v="0"/>
    <x v="1"/>
    <x v="0"/>
    <x v="0"/>
    <x v="2"/>
    <x v="11"/>
    <x v="0"/>
    <s v="Thursday"/>
    <x v="0"/>
    <s v="New Customer"/>
    <s v="Not Referred"/>
  </r>
  <r>
    <x v="460"/>
    <x v="426"/>
    <d v="2022-07-21T00:00:00"/>
    <s v="Smooth experience with no issues."/>
    <n v="4"/>
    <x v="1"/>
    <x v="1"/>
    <x v="2"/>
    <x v="2"/>
    <x v="2"/>
    <x v="11"/>
    <x v="0"/>
    <s v="Thursday"/>
    <x v="0"/>
    <s v="Returning Customer"/>
    <s v="Not Referred"/>
  </r>
  <r>
    <x v="461"/>
    <x v="86"/>
    <d v="2021-01-11T00:00:00"/>
    <s v="The mobile app experience was intuitive."/>
    <n v="5"/>
    <x v="1"/>
    <x v="0"/>
    <x v="2"/>
    <x v="2"/>
    <x v="1"/>
    <x v="1"/>
    <x v="1"/>
    <s v="Monday"/>
    <x v="0"/>
    <s v="Returning Customer"/>
    <s v="Referred"/>
  </r>
  <r>
    <x v="462"/>
    <x v="426"/>
    <d v="2020-02-22T00:00:00"/>
    <s v="Smooth experience with no issues."/>
    <n v="4"/>
    <x v="1"/>
    <x v="1"/>
    <x v="2"/>
    <x v="2"/>
    <x v="0"/>
    <x v="2"/>
    <x v="1"/>
    <s v="Saturday"/>
    <x v="0"/>
    <s v="Returning Customer"/>
    <s v="Not Referred"/>
  </r>
  <r>
    <x v="463"/>
    <x v="427"/>
    <d v="2023-02-24T00:00:00"/>
    <s v="The mobile app experience was intuitive."/>
    <n v="3"/>
    <x v="0"/>
    <x v="0"/>
    <x v="0"/>
    <x v="0"/>
    <x v="3"/>
    <x v="2"/>
    <x v="1"/>
    <s v="Friday"/>
    <x v="0"/>
    <s v="New Customer"/>
    <s v="Referred"/>
  </r>
  <r>
    <x v="464"/>
    <x v="428"/>
    <d v="2020-02-04T00:00:00"/>
    <s v="The mobile app experience was intuitive."/>
    <n v="5"/>
    <x v="1"/>
    <x v="0"/>
    <x v="2"/>
    <x v="2"/>
    <x v="0"/>
    <x v="2"/>
    <x v="1"/>
    <s v="Tuesday"/>
    <x v="0"/>
    <s v="New Customer"/>
    <s v="Referred"/>
  </r>
  <r>
    <x v="465"/>
    <x v="429"/>
    <d v="2021-05-04T00:00:00"/>
    <s v="I'm not happy with the premium charged."/>
    <n v="3"/>
    <x v="0"/>
    <x v="1"/>
    <x v="0"/>
    <x v="0"/>
    <x v="1"/>
    <x v="5"/>
    <x v="2"/>
    <s v="Tuesday"/>
    <x v="0"/>
    <s v="Returning Customer"/>
    <s v="Not Referred"/>
  </r>
  <r>
    <x v="466"/>
    <x v="227"/>
    <d v="2022-09-16T00:00:00"/>
    <s v="Excellent customer service support."/>
    <n v="5"/>
    <x v="0"/>
    <x v="1"/>
    <x v="2"/>
    <x v="2"/>
    <x v="2"/>
    <x v="7"/>
    <x v="0"/>
    <s v="Friday"/>
    <x v="0"/>
    <s v="Returning Customer"/>
    <s v="Not Referred"/>
  </r>
  <r>
    <x v="467"/>
    <x v="430"/>
    <d v="2023-08-18T00:00:00"/>
    <s v="I'm not happy with the premium charged."/>
    <n v="1"/>
    <x v="0"/>
    <x v="1"/>
    <x v="1"/>
    <x v="1"/>
    <x v="3"/>
    <x v="0"/>
    <x v="0"/>
    <s v="Friday"/>
    <x v="1"/>
    <s v="New Customer"/>
    <s v="Not Referred"/>
  </r>
  <r>
    <x v="468"/>
    <x v="431"/>
    <d v="2023-01-17T00:00:00"/>
    <s v="The agent was helpful and explained everything."/>
    <n v="4"/>
    <x v="1"/>
    <x v="0"/>
    <x v="2"/>
    <x v="2"/>
    <x v="3"/>
    <x v="1"/>
    <x v="1"/>
    <s v="Tuesday"/>
    <x v="0"/>
    <s v="New Customer"/>
    <s v="Referred"/>
  </r>
  <r>
    <x v="469"/>
    <x v="115"/>
    <d v="2023-11-13T00:00:00"/>
    <s v="Excellent customer service support."/>
    <n v="5"/>
    <x v="0"/>
    <x v="1"/>
    <x v="2"/>
    <x v="2"/>
    <x v="3"/>
    <x v="4"/>
    <x v="3"/>
    <s v="Monday"/>
    <x v="0"/>
    <s v="Returning Customer"/>
    <s v="Not Referred"/>
  </r>
  <r>
    <x v="470"/>
    <x v="432"/>
    <d v="2022-05-03T00:00:00"/>
    <s v="Claim process could be faster."/>
    <n v="3"/>
    <x v="0"/>
    <x v="0"/>
    <x v="0"/>
    <x v="0"/>
    <x v="2"/>
    <x v="5"/>
    <x v="2"/>
    <s v="Tuesday"/>
    <x v="0"/>
    <s v="New Customer"/>
    <s v="Referred"/>
  </r>
  <r>
    <x v="471"/>
    <x v="433"/>
    <d v="2020-01-28T00:00:00"/>
    <s v="Very satisfied with the claim process."/>
    <n v="4"/>
    <x v="1"/>
    <x v="1"/>
    <x v="2"/>
    <x v="2"/>
    <x v="0"/>
    <x v="1"/>
    <x v="1"/>
    <s v="Tuesday"/>
    <x v="0"/>
    <s v="New Customer"/>
    <s v="Not Referred"/>
  </r>
  <r>
    <x v="472"/>
    <x v="278"/>
    <d v="2021-03-12T00:00:00"/>
    <s v="The mobile app experience was intuitive."/>
    <n v="4"/>
    <x v="0"/>
    <x v="1"/>
    <x v="2"/>
    <x v="2"/>
    <x v="1"/>
    <x v="8"/>
    <x v="1"/>
    <s v="Friday"/>
    <x v="0"/>
    <s v="Returning Customer"/>
    <s v="Not Referred"/>
  </r>
  <r>
    <x v="473"/>
    <x v="434"/>
    <d v="2021-07-02T00:00:00"/>
    <s v="Very satisfied with the claim process."/>
    <n v="5"/>
    <x v="0"/>
    <x v="1"/>
    <x v="2"/>
    <x v="2"/>
    <x v="1"/>
    <x v="11"/>
    <x v="0"/>
    <s v="Friday"/>
    <x v="0"/>
    <s v="New Customer"/>
    <s v="Not Referred"/>
  </r>
  <r>
    <x v="474"/>
    <x v="135"/>
    <d v="2022-04-11T00:00:00"/>
    <s v="The agent was helpful and explained everything."/>
    <n v="5"/>
    <x v="0"/>
    <x v="0"/>
    <x v="2"/>
    <x v="2"/>
    <x v="2"/>
    <x v="3"/>
    <x v="2"/>
    <s v="Monday"/>
    <x v="0"/>
    <s v="Loyal Customer"/>
    <s v="Referred"/>
  </r>
  <r>
    <x v="475"/>
    <x v="435"/>
    <d v="2021-02-15T00:00:00"/>
    <s v="Very satisfied with the claim process."/>
    <n v="5"/>
    <x v="1"/>
    <x v="1"/>
    <x v="2"/>
    <x v="2"/>
    <x v="1"/>
    <x v="2"/>
    <x v="1"/>
    <s v="Monday"/>
    <x v="0"/>
    <s v="Returning Customer"/>
    <s v="Not Referred"/>
  </r>
  <r>
    <x v="476"/>
    <x v="436"/>
    <d v="2021-01-31T00:00:00"/>
    <s v="The mobile app experience was intuitive."/>
    <n v="4"/>
    <x v="1"/>
    <x v="0"/>
    <x v="2"/>
    <x v="2"/>
    <x v="1"/>
    <x v="1"/>
    <x v="1"/>
    <s v="Sunday"/>
    <x v="0"/>
    <s v="Returning Customer"/>
    <s v="Referred"/>
  </r>
  <r>
    <x v="477"/>
    <x v="437"/>
    <d v="2022-11-20T00:00:00"/>
    <s v="Very satisfied with the claim process."/>
    <n v="5"/>
    <x v="0"/>
    <x v="0"/>
    <x v="2"/>
    <x v="2"/>
    <x v="2"/>
    <x v="4"/>
    <x v="3"/>
    <s v="Sunday"/>
    <x v="0"/>
    <s v="New Customer"/>
    <s v="Referred"/>
  </r>
  <r>
    <x v="478"/>
    <x v="438"/>
    <d v="2022-09-06T00:00:00"/>
    <s v="Need more clarity on policy coverage."/>
    <n v="3"/>
    <x v="1"/>
    <x v="1"/>
    <x v="0"/>
    <x v="0"/>
    <x v="2"/>
    <x v="7"/>
    <x v="0"/>
    <s v="Tuesday"/>
    <x v="0"/>
    <s v="New Customer"/>
    <s v="Not Referred"/>
  </r>
  <r>
    <x v="479"/>
    <x v="439"/>
    <d v="2023-12-21T00:00:00"/>
    <s v="Need more clarity on policy coverage."/>
    <n v="3"/>
    <x v="1"/>
    <x v="0"/>
    <x v="0"/>
    <x v="0"/>
    <x v="3"/>
    <x v="10"/>
    <x v="3"/>
    <s v="Thursday"/>
    <x v="0"/>
    <s v="New Customer"/>
    <s v="Referred"/>
  </r>
  <r>
    <x v="480"/>
    <x v="313"/>
    <d v="2023-04-23T00:00:00"/>
    <s v="Had to wait too long for claim approval."/>
    <n v="2"/>
    <x v="0"/>
    <x v="1"/>
    <x v="1"/>
    <x v="1"/>
    <x v="3"/>
    <x v="3"/>
    <x v="2"/>
    <s v="Sunday"/>
    <x v="1"/>
    <s v="Loyal Customer"/>
    <s v="Not Referred"/>
  </r>
  <r>
    <x v="481"/>
    <x v="440"/>
    <d v="2023-01-07T00:00:00"/>
    <s v="The agent was helpful and explained everything."/>
    <n v="4"/>
    <x v="0"/>
    <x v="1"/>
    <x v="2"/>
    <x v="2"/>
    <x v="3"/>
    <x v="1"/>
    <x v="1"/>
    <s v="Saturday"/>
    <x v="0"/>
    <s v="Returning Customer"/>
    <s v="Not Referred"/>
  </r>
  <r>
    <x v="482"/>
    <x v="441"/>
    <d v="2021-11-23T00:00:00"/>
    <s v="Claim process could be faster."/>
    <n v="2"/>
    <x v="1"/>
    <x v="1"/>
    <x v="1"/>
    <x v="1"/>
    <x v="1"/>
    <x v="4"/>
    <x v="3"/>
    <s v="Tuesday"/>
    <x v="1"/>
    <s v="New Customer"/>
    <s v="Not Referred"/>
  </r>
  <r>
    <x v="483"/>
    <x v="442"/>
    <d v="2023-01-13T00:00:00"/>
    <s v="Smooth experience with no issues."/>
    <n v="5"/>
    <x v="0"/>
    <x v="1"/>
    <x v="2"/>
    <x v="2"/>
    <x v="3"/>
    <x v="1"/>
    <x v="1"/>
    <s v="Friday"/>
    <x v="0"/>
    <s v="New Customer"/>
    <s v="Not Referred"/>
  </r>
  <r>
    <x v="484"/>
    <x v="443"/>
    <d v="2023-08-28T00:00:00"/>
    <s v="Frustrated with repeated documentation requests."/>
    <n v="1"/>
    <x v="0"/>
    <x v="0"/>
    <x v="1"/>
    <x v="1"/>
    <x v="3"/>
    <x v="0"/>
    <x v="0"/>
    <s v="Monday"/>
    <x v="1"/>
    <s v="New Customer"/>
    <s v="Referred"/>
  </r>
  <r>
    <x v="485"/>
    <x v="444"/>
    <d v="2020-09-27T00:00:00"/>
    <s v="Claim process could be faster."/>
    <n v="3"/>
    <x v="1"/>
    <x v="0"/>
    <x v="0"/>
    <x v="0"/>
    <x v="0"/>
    <x v="7"/>
    <x v="0"/>
    <s v="Sunday"/>
    <x v="0"/>
    <s v="New Customer"/>
    <s v="Referred"/>
  </r>
  <r>
    <x v="486"/>
    <x v="445"/>
    <d v="2023-10-23T00:00:00"/>
    <s v="Smooth experience with no issues."/>
    <n v="5"/>
    <x v="1"/>
    <x v="0"/>
    <x v="2"/>
    <x v="2"/>
    <x v="3"/>
    <x v="6"/>
    <x v="3"/>
    <s v="Monday"/>
    <x v="0"/>
    <s v="New Customer"/>
    <s v="Referred"/>
  </r>
  <r>
    <x v="487"/>
    <x v="446"/>
    <d v="2023-08-03T00:00:00"/>
    <s v="Smooth experience with no issues."/>
    <n v="5"/>
    <x v="1"/>
    <x v="1"/>
    <x v="2"/>
    <x v="2"/>
    <x v="3"/>
    <x v="0"/>
    <x v="0"/>
    <s v="Thursday"/>
    <x v="0"/>
    <s v="New Customer"/>
    <s v="Not Referred"/>
  </r>
  <r>
    <x v="488"/>
    <x v="447"/>
    <d v="2021-03-14T00:00:00"/>
    <s v="I'm not happy with the premium charged."/>
    <n v="2"/>
    <x v="0"/>
    <x v="1"/>
    <x v="1"/>
    <x v="1"/>
    <x v="1"/>
    <x v="8"/>
    <x v="1"/>
    <s v="Sunday"/>
    <x v="1"/>
    <s v="New Customer"/>
    <s v="Not Referred"/>
  </r>
  <r>
    <x v="489"/>
    <x v="448"/>
    <d v="2022-11-24T00:00:00"/>
    <s v="The agent was helpful and explained everything."/>
    <n v="4"/>
    <x v="0"/>
    <x v="1"/>
    <x v="2"/>
    <x v="2"/>
    <x v="2"/>
    <x v="4"/>
    <x v="3"/>
    <s v="Thursday"/>
    <x v="0"/>
    <s v="New Customer"/>
    <s v="Not Referred"/>
  </r>
  <r>
    <x v="490"/>
    <x v="449"/>
    <d v="2023-06-18T00:00:00"/>
    <s v="I'm not happy with the premium charged."/>
    <n v="2"/>
    <x v="1"/>
    <x v="0"/>
    <x v="1"/>
    <x v="1"/>
    <x v="3"/>
    <x v="9"/>
    <x v="2"/>
    <s v="Sunday"/>
    <x v="1"/>
    <s v="New Customer"/>
    <s v="Referred"/>
  </r>
  <r>
    <x v="491"/>
    <x v="450"/>
    <d v="2021-05-11T00:00:00"/>
    <s v="The agent was helpful and explained everything."/>
    <n v="5"/>
    <x v="0"/>
    <x v="0"/>
    <x v="2"/>
    <x v="2"/>
    <x v="1"/>
    <x v="5"/>
    <x v="2"/>
    <s v="Tuesday"/>
    <x v="0"/>
    <s v="New Customer"/>
    <s v="Referred"/>
  </r>
  <r>
    <x v="492"/>
    <x v="451"/>
    <d v="2022-03-21T00:00:00"/>
    <s v="The mobile app experience was intuitive."/>
    <n v="4"/>
    <x v="0"/>
    <x v="1"/>
    <x v="2"/>
    <x v="2"/>
    <x v="2"/>
    <x v="8"/>
    <x v="1"/>
    <s v="Monday"/>
    <x v="0"/>
    <s v="New Customer"/>
    <s v="Not Referred"/>
  </r>
  <r>
    <x v="493"/>
    <x v="452"/>
    <d v="2022-07-05T00:00:00"/>
    <s v="Claim process could be faster."/>
    <n v="3"/>
    <x v="0"/>
    <x v="0"/>
    <x v="0"/>
    <x v="0"/>
    <x v="2"/>
    <x v="11"/>
    <x v="0"/>
    <s v="Tuesday"/>
    <x v="0"/>
    <s v="Returning Customer"/>
    <s v="Referred"/>
  </r>
  <r>
    <x v="494"/>
    <x v="429"/>
    <d v="2023-10-17T00:00:00"/>
    <s v="The agent was helpful and explained everything."/>
    <n v="5"/>
    <x v="0"/>
    <x v="0"/>
    <x v="2"/>
    <x v="2"/>
    <x v="3"/>
    <x v="6"/>
    <x v="3"/>
    <s v="Tuesday"/>
    <x v="0"/>
    <s v="Returning Customer"/>
    <s v="Referred"/>
  </r>
  <r>
    <x v="495"/>
    <x v="453"/>
    <d v="2020-09-01T00:00:00"/>
    <s v="Smooth experience with no issues."/>
    <n v="4"/>
    <x v="1"/>
    <x v="0"/>
    <x v="2"/>
    <x v="2"/>
    <x v="0"/>
    <x v="7"/>
    <x v="0"/>
    <s v="Tuesday"/>
    <x v="0"/>
    <s v="New Customer"/>
    <s v="Referred"/>
  </r>
  <r>
    <x v="496"/>
    <x v="454"/>
    <d v="2021-02-15T00:00:00"/>
    <s v="Claim process could be faster."/>
    <n v="2"/>
    <x v="1"/>
    <x v="1"/>
    <x v="1"/>
    <x v="1"/>
    <x v="1"/>
    <x v="2"/>
    <x v="1"/>
    <s v="Monday"/>
    <x v="1"/>
    <s v="Returning Customer"/>
    <s v="Not Referred"/>
  </r>
  <r>
    <x v="497"/>
    <x v="455"/>
    <d v="2021-05-03T00:00:00"/>
    <s v="Had to wait too long for claim approval."/>
    <n v="1"/>
    <x v="1"/>
    <x v="0"/>
    <x v="1"/>
    <x v="1"/>
    <x v="1"/>
    <x v="5"/>
    <x v="2"/>
    <s v="Monday"/>
    <x v="1"/>
    <s v="New Customer"/>
    <s v="Referred"/>
  </r>
  <r>
    <x v="498"/>
    <x v="407"/>
    <d v="2022-07-04T00:00:00"/>
    <s v="I'm not happy with the premium charged."/>
    <n v="2"/>
    <x v="0"/>
    <x v="0"/>
    <x v="1"/>
    <x v="1"/>
    <x v="2"/>
    <x v="11"/>
    <x v="0"/>
    <s v="Monday"/>
    <x v="1"/>
    <s v="Returning Customer"/>
    <s v="Referred"/>
  </r>
  <r>
    <x v="499"/>
    <x v="247"/>
    <d v="2022-09-25T00:00:00"/>
    <s v="Very satisfied with the claim process."/>
    <n v="5"/>
    <x v="1"/>
    <x v="0"/>
    <x v="2"/>
    <x v="2"/>
    <x v="2"/>
    <x v="7"/>
    <x v="0"/>
    <s v="Sunday"/>
    <x v="0"/>
    <s v="Returning Customer"/>
    <s v="Referred"/>
  </r>
  <r>
    <x v="500"/>
    <x v="157"/>
    <d v="2023-08-03T00:00:00"/>
    <s v="The agent was helpful and explained everything."/>
    <n v="4"/>
    <x v="1"/>
    <x v="0"/>
    <x v="2"/>
    <x v="2"/>
    <x v="3"/>
    <x v="0"/>
    <x v="0"/>
    <s v="Thursday"/>
    <x v="0"/>
    <s v="Returning Customer"/>
    <s v="Referred"/>
  </r>
  <r>
    <x v="501"/>
    <x v="456"/>
    <d v="2022-12-22T00:00:00"/>
    <s v="Excellent customer service support."/>
    <n v="4"/>
    <x v="1"/>
    <x v="0"/>
    <x v="2"/>
    <x v="2"/>
    <x v="2"/>
    <x v="10"/>
    <x v="3"/>
    <s v="Thursday"/>
    <x v="0"/>
    <s v="New Customer"/>
    <s v="Referred"/>
  </r>
  <r>
    <x v="502"/>
    <x v="457"/>
    <d v="2020-03-09T00:00:00"/>
    <s v="The mobile app experience was intuitive."/>
    <n v="4"/>
    <x v="0"/>
    <x v="1"/>
    <x v="2"/>
    <x v="2"/>
    <x v="0"/>
    <x v="8"/>
    <x v="1"/>
    <s v="Monday"/>
    <x v="0"/>
    <s v="New Customer"/>
    <s v="Not Referred"/>
  </r>
  <r>
    <x v="503"/>
    <x v="458"/>
    <d v="2021-09-26T00:00:00"/>
    <s v="Need more clarity on policy coverage."/>
    <n v="2"/>
    <x v="1"/>
    <x v="0"/>
    <x v="1"/>
    <x v="1"/>
    <x v="1"/>
    <x v="7"/>
    <x v="0"/>
    <s v="Sunday"/>
    <x v="1"/>
    <s v="New Customer"/>
    <s v="Referred"/>
  </r>
  <r>
    <x v="504"/>
    <x v="459"/>
    <d v="2022-08-21T00:00:00"/>
    <s v="The agent was helpful and explained everything."/>
    <n v="4"/>
    <x v="1"/>
    <x v="0"/>
    <x v="2"/>
    <x v="2"/>
    <x v="2"/>
    <x v="0"/>
    <x v="0"/>
    <s v="Sunday"/>
    <x v="0"/>
    <s v="New Customer"/>
    <s v="Referred"/>
  </r>
  <r>
    <x v="505"/>
    <x v="460"/>
    <d v="2020-01-31T00:00:00"/>
    <s v="Frustrated with repeated documentation requests."/>
    <n v="1"/>
    <x v="1"/>
    <x v="0"/>
    <x v="1"/>
    <x v="1"/>
    <x v="0"/>
    <x v="1"/>
    <x v="1"/>
    <s v="Friday"/>
    <x v="1"/>
    <s v="New Customer"/>
    <s v="Referred"/>
  </r>
  <r>
    <x v="506"/>
    <x v="461"/>
    <d v="2022-06-12T00:00:00"/>
    <s v="The mobile app experience was intuitive."/>
    <n v="5"/>
    <x v="1"/>
    <x v="1"/>
    <x v="2"/>
    <x v="2"/>
    <x v="2"/>
    <x v="9"/>
    <x v="2"/>
    <s v="Sunday"/>
    <x v="0"/>
    <s v="Returning Customer"/>
    <s v="Not Referred"/>
  </r>
  <r>
    <x v="507"/>
    <x v="462"/>
    <d v="2023-08-12T00:00:00"/>
    <s v="Smooth experience with no issues."/>
    <n v="4"/>
    <x v="1"/>
    <x v="0"/>
    <x v="2"/>
    <x v="2"/>
    <x v="3"/>
    <x v="0"/>
    <x v="0"/>
    <s v="Saturday"/>
    <x v="0"/>
    <s v="New Customer"/>
    <s v="Referred"/>
  </r>
  <r>
    <x v="508"/>
    <x v="463"/>
    <d v="2023-09-03T00:00:00"/>
    <s v="Smooth experience with no issues."/>
    <n v="5"/>
    <x v="1"/>
    <x v="0"/>
    <x v="2"/>
    <x v="2"/>
    <x v="3"/>
    <x v="7"/>
    <x v="0"/>
    <s v="Sunday"/>
    <x v="0"/>
    <s v="Returning Customer"/>
    <s v="Referred"/>
  </r>
  <r>
    <x v="509"/>
    <x v="232"/>
    <d v="2022-01-12T00:00:00"/>
    <s v="Excellent customer service support."/>
    <n v="4"/>
    <x v="1"/>
    <x v="0"/>
    <x v="2"/>
    <x v="2"/>
    <x v="2"/>
    <x v="1"/>
    <x v="1"/>
    <s v="Wednesday"/>
    <x v="0"/>
    <s v="Returning Customer"/>
    <s v="Referred"/>
  </r>
  <r>
    <x v="510"/>
    <x v="193"/>
    <d v="2020-02-08T00:00:00"/>
    <s v="I'm not happy with the premium charged."/>
    <n v="2"/>
    <x v="1"/>
    <x v="0"/>
    <x v="1"/>
    <x v="1"/>
    <x v="0"/>
    <x v="2"/>
    <x v="1"/>
    <s v="Saturday"/>
    <x v="1"/>
    <s v="Returning Customer"/>
    <s v="Referred"/>
  </r>
  <r>
    <x v="511"/>
    <x v="464"/>
    <d v="2021-05-11T00:00:00"/>
    <s v="Very satisfied with the claim process."/>
    <n v="4"/>
    <x v="0"/>
    <x v="0"/>
    <x v="2"/>
    <x v="2"/>
    <x v="1"/>
    <x v="5"/>
    <x v="2"/>
    <s v="Tuesday"/>
    <x v="0"/>
    <s v="Returning Customer"/>
    <s v="Referred"/>
  </r>
  <r>
    <x v="512"/>
    <x v="465"/>
    <d v="2021-01-23T00:00:00"/>
    <s v="The agent was helpful and explained everything."/>
    <n v="4"/>
    <x v="0"/>
    <x v="0"/>
    <x v="2"/>
    <x v="2"/>
    <x v="1"/>
    <x v="1"/>
    <x v="1"/>
    <s v="Saturday"/>
    <x v="0"/>
    <s v="New Customer"/>
    <s v="Referred"/>
  </r>
  <r>
    <x v="513"/>
    <x v="466"/>
    <d v="2020-11-22T00:00:00"/>
    <s v="Excellent customer service support."/>
    <n v="5"/>
    <x v="1"/>
    <x v="1"/>
    <x v="2"/>
    <x v="2"/>
    <x v="0"/>
    <x v="4"/>
    <x v="3"/>
    <s v="Sunday"/>
    <x v="0"/>
    <s v="New Customer"/>
    <s v="Not Referred"/>
  </r>
  <r>
    <x v="514"/>
    <x v="467"/>
    <d v="2020-03-21T00:00:00"/>
    <s v="Frustrated with repeated documentation requests."/>
    <n v="1"/>
    <x v="0"/>
    <x v="1"/>
    <x v="1"/>
    <x v="1"/>
    <x v="0"/>
    <x v="8"/>
    <x v="1"/>
    <s v="Saturday"/>
    <x v="1"/>
    <s v="New Customer"/>
    <s v="Not Referred"/>
  </r>
  <r>
    <x v="515"/>
    <x v="468"/>
    <d v="2021-02-08T00:00:00"/>
    <s v="Claim process could be faster."/>
    <n v="2"/>
    <x v="1"/>
    <x v="0"/>
    <x v="1"/>
    <x v="1"/>
    <x v="1"/>
    <x v="2"/>
    <x v="1"/>
    <s v="Monday"/>
    <x v="1"/>
    <s v="New Customer"/>
    <s v="Referred"/>
  </r>
  <r>
    <x v="516"/>
    <x v="469"/>
    <d v="2021-07-10T00:00:00"/>
    <s v="I'm not happy with the premium charged."/>
    <n v="3"/>
    <x v="0"/>
    <x v="0"/>
    <x v="0"/>
    <x v="0"/>
    <x v="1"/>
    <x v="11"/>
    <x v="0"/>
    <s v="Saturday"/>
    <x v="0"/>
    <s v="Returning Customer"/>
    <s v="Referred"/>
  </r>
  <r>
    <x v="517"/>
    <x v="470"/>
    <d v="2022-11-05T00:00:00"/>
    <s v="Excellent customer service support."/>
    <n v="4"/>
    <x v="1"/>
    <x v="0"/>
    <x v="2"/>
    <x v="2"/>
    <x v="2"/>
    <x v="4"/>
    <x v="3"/>
    <s v="Saturday"/>
    <x v="0"/>
    <s v="New Customer"/>
    <s v="Referred"/>
  </r>
  <r>
    <x v="518"/>
    <x v="471"/>
    <d v="2021-08-20T00:00:00"/>
    <s v="Smooth experience with no issues."/>
    <n v="4"/>
    <x v="1"/>
    <x v="0"/>
    <x v="2"/>
    <x v="2"/>
    <x v="1"/>
    <x v="0"/>
    <x v="0"/>
    <s v="Friday"/>
    <x v="0"/>
    <s v="New Customer"/>
    <s v="Referred"/>
  </r>
  <r>
    <x v="519"/>
    <x v="472"/>
    <d v="2022-12-12T00:00:00"/>
    <s v="The agent was helpful and explained everything."/>
    <n v="5"/>
    <x v="0"/>
    <x v="0"/>
    <x v="2"/>
    <x v="2"/>
    <x v="2"/>
    <x v="10"/>
    <x v="3"/>
    <s v="Monday"/>
    <x v="0"/>
    <s v="New Customer"/>
    <s v="Referred"/>
  </r>
  <r>
    <x v="520"/>
    <x v="473"/>
    <d v="2021-10-01T00:00:00"/>
    <s v="The agent was helpful and explained everything."/>
    <n v="4"/>
    <x v="0"/>
    <x v="1"/>
    <x v="2"/>
    <x v="2"/>
    <x v="1"/>
    <x v="6"/>
    <x v="3"/>
    <s v="Friday"/>
    <x v="0"/>
    <s v="New Customer"/>
    <s v="Not Referred"/>
  </r>
  <r>
    <x v="521"/>
    <x v="474"/>
    <d v="2021-12-09T00:00:00"/>
    <s v="Frustrated with repeated documentation requests."/>
    <n v="3"/>
    <x v="1"/>
    <x v="0"/>
    <x v="0"/>
    <x v="0"/>
    <x v="1"/>
    <x v="10"/>
    <x v="3"/>
    <s v="Thursday"/>
    <x v="0"/>
    <s v="New Customer"/>
    <s v="Referred"/>
  </r>
  <r>
    <x v="522"/>
    <x v="475"/>
    <d v="2023-10-27T00:00:00"/>
    <s v="I'm not happy with the premium charged."/>
    <n v="3"/>
    <x v="1"/>
    <x v="1"/>
    <x v="0"/>
    <x v="0"/>
    <x v="3"/>
    <x v="6"/>
    <x v="3"/>
    <s v="Friday"/>
    <x v="0"/>
    <s v="Returning Customer"/>
    <s v="Not Referred"/>
  </r>
  <r>
    <x v="523"/>
    <x v="14"/>
    <d v="2022-05-27T00:00:00"/>
    <s v="Excellent customer service support."/>
    <n v="5"/>
    <x v="1"/>
    <x v="0"/>
    <x v="2"/>
    <x v="2"/>
    <x v="2"/>
    <x v="5"/>
    <x v="2"/>
    <s v="Friday"/>
    <x v="0"/>
    <s v="Returning Customer"/>
    <s v="Referred"/>
  </r>
  <r>
    <x v="524"/>
    <x v="476"/>
    <d v="2020-04-21T00:00:00"/>
    <s v="Claim process could be faster."/>
    <n v="2"/>
    <x v="0"/>
    <x v="1"/>
    <x v="1"/>
    <x v="1"/>
    <x v="0"/>
    <x v="3"/>
    <x v="2"/>
    <s v="Tuesday"/>
    <x v="1"/>
    <s v="New Customer"/>
    <s v="Not Referred"/>
  </r>
  <r>
    <x v="525"/>
    <x v="477"/>
    <d v="2020-01-30T00:00:00"/>
    <s v="I'm not happy with the premium charged."/>
    <n v="2"/>
    <x v="0"/>
    <x v="1"/>
    <x v="1"/>
    <x v="1"/>
    <x v="0"/>
    <x v="1"/>
    <x v="1"/>
    <s v="Thursday"/>
    <x v="1"/>
    <s v="Returning Customer"/>
    <s v="Not Referred"/>
  </r>
  <r>
    <x v="526"/>
    <x v="478"/>
    <d v="2022-06-04T00:00:00"/>
    <s v="Frustrated with repeated documentation requests."/>
    <n v="2"/>
    <x v="1"/>
    <x v="0"/>
    <x v="1"/>
    <x v="1"/>
    <x v="2"/>
    <x v="9"/>
    <x v="2"/>
    <s v="Saturday"/>
    <x v="1"/>
    <s v="New Customer"/>
    <s v="Referred"/>
  </r>
  <r>
    <x v="527"/>
    <x v="234"/>
    <d v="2021-11-30T00:00:00"/>
    <s v="The mobile app experience was intuitive."/>
    <n v="5"/>
    <x v="0"/>
    <x v="0"/>
    <x v="2"/>
    <x v="2"/>
    <x v="1"/>
    <x v="4"/>
    <x v="3"/>
    <s v="Tuesday"/>
    <x v="0"/>
    <s v="Returning Customer"/>
    <s v="Referred"/>
  </r>
  <r>
    <x v="528"/>
    <x v="479"/>
    <d v="2022-07-12T00:00:00"/>
    <s v="Need more clarity on policy coverage."/>
    <n v="3"/>
    <x v="0"/>
    <x v="1"/>
    <x v="0"/>
    <x v="0"/>
    <x v="2"/>
    <x v="11"/>
    <x v="0"/>
    <s v="Tuesday"/>
    <x v="0"/>
    <s v="New Customer"/>
    <s v="Not Referred"/>
  </r>
  <r>
    <x v="529"/>
    <x v="480"/>
    <d v="2021-12-14T00:00:00"/>
    <s v="Smooth experience with no issues."/>
    <n v="5"/>
    <x v="1"/>
    <x v="0"/>
    <x v="2"/>
    <x v="2"/>
    <x v="1"/>
    <x v="10"/>
    <x v="3"/>
    <s v="Tuesday"/>
    <x v="0"/>
    <s v="New Customer"/>
    <s v="Referred"/>
  </r>
  <r>
    <x v="530"/>
    <x v="481"/>
    <d v="2022-01-22T00:00:00"/>
    <s v="The mobile app experience was intuitive."/>
    <n v="3"/>
    <x v="1"/>
    <x v="1"/>
    <x v="0"/>
    <x v="0"/>
    <x v="2"/>
    <x v="1"/>
    <x v="1"/>
    <s v="Saturday"/>
    <x v="0"/>
    <s v="New Customer"/>
    <s v="Not Referred"/>
  </r>
  <r>
    <x v="531"/>
    <x v="482"/>
    <d v="2020-04-06T00:00:00"/>
    <s v="Had to wait too long for claim approval."/>
    <n v="1"/>
    <x v="1"/>
    <x v="0"/>
    <x v="1"/>
    <x v="1"/>
    <x v="0"/>
    <x v="3"/>
    <x v="2"/>
    <s v="Monday"/>
    <x v="1"/>
    <s v="New Customer"/>
    <s v="Referred"/>
  </r>
  <r>
    <x v="532"/>
    <x v="483"/>
    <d v="2021-12-14T00:00:00"/>
    <s v="The mobile app experience was intuitive."/>
    <n v="3"/>
    <x v="1"/>
    <x v="1"/>
    <x v="0"/>
    <x v="0"/>
    <x v="1"/>
    <x v="10"/>
    <x v="3"/>
    <s v="Tuesday"/>
    <x v="0"/>
    <s v="New Customer"/>
    <s v="Not Referred"/>
  </r>
  <r>
    <x v="533"/>
    <x v="484"/>
    <d v="2022-11-12T00:00:00"/>
    <s v="Claim process could be faster."/>
    <n v="3"/>
    <x v="0"/>
    <x v="0"/>
    <x v="0"/>
    <x v="0"/>
    <x v="2"/>
    <x v="4"/>
    <x v="3"/>
    <s v="Saturday"/>
    <x v="0"/>
    <s v="Returning Customer"/>
    <s v="Referred"/>
  </r>
  <r>
    <x v="534"/>
    <x v="365"/>
    <d v="2020-04-11T00:00:00"/>
    <s v="The agent was helpful and explained everything."/>
    <n v="5"/>
    <x v="0"/>
    <x v="1"/>
    <x v="2"/>
    <x v="2"/>
    <x v="0"/>
    <x v="3"/>
    <x v="2"/>
    <s v="Saturday"/>
    <x v="0"/>
    <s v="Returning Customer"/>
    <s v="Not Referred"/>
  </r>
  <r>
    <x v="535"/>
    <x v="485"/>
    <d v="2021-03-26T00:00:00"/>
    <s v="Need more clarity on policy coverage."/>
    <n v="3"/>
    <x v="0"/>
    <x v="1"/>
    <x v="0"/>
    <x v="0"/>
    <x v="1"/>
    <x v="8"/>
    <x v="1"/>
    <s v="Friday"/>
    <x v="0"/>
    <s v="New Customer"/>
    <s v="Not Referred"/>
  </r>
  <r>
    <x v="536"/>
    <x v="486"/>
    <d v="2022-05-17T00:00:00"/>
    <s v="Excellent customer service support."/>
    <n v="5"/>
    <x v="0"/>
    <x v="0"/>
    <x v="2"/>
    <x v="2"/>
    <x v="2"/>
    <x v="5"/>
    <x v="2"/>
    <s v="Tuesday"/>
    <x v="0"/>
    <s v="New Customer"/>
    <s v="Referred"/>
  </r>
  <r>
    <x v="537"/>
    <x v="298"/>
    <d v="2022-09-08T00:00:00"/>
    <s v="Smooth experience with no issues."/>
    <n v="4"/>
    <x v="0"/>
    <x v="0"/>
    <x v="2"/>
    <x v="2"/>
    <x v="2"/>
    <x v="7"/>
    <x v="0"/>
    <s v="Thursday"/>
    <x v="0"/>
    <s v="Returning Customer"/>
    <s v="Referred"/>
  </r>
  <r>
    <x v="538"/>
    <x v="487"/>
    <d v="2021-11-18T00:00:00"/>
    <s v="Claim process could be faster."/>
    <n v="3"/>
    <x v="1"/>
    <x v="1"/>
    <x v="0"/>
    <x v="0"/>
    <x v="1"/>
    <x v="4"/>
    <x v="3"/>
    <s v="Thursday"/>
    <x v="0"/>
    <s v="New Customer"/>
    <s v="Not Referred"/>
  </r>
  <r>
    <x v="539"/>
    <x v="488"/>
    <d v="2021-03-18T00:00:00"/>
    <s v="I'm not happy with the premium charged."/>
    <n v="3"/>
    <x v="0"/>
    <x v="1"/>
    <x v="0"/>
    <x v="0"/>
    <x v="1"/>
    <x v="8"/>
    <x v="1"/>
    <s v="Thursday"/>
    <x v="0"/>
    <s v="Returning Customer"/>
    <s v="Not Referred"/>
  </r>
  <r>
    <x v="540"/>
    <x v="489"/>
    <d v="2021-04-18T00:00:00"/>
    <s v="I'm not happy with the premium charged."/>
    <n v="2"/>
    <x v="1"/>
    <x v="1"/>
    <x v="1"/>
    <x v="1"/>
    <x v="1"/>
    <x v="3"/>
    <x v="2"/>
    <s v="Sunday"/>
    <x v="1"/>
    <s v="Returning Customer"/>
    <s v="Not Referred"/>
  </r>
  <r>
    <x v="541"/>
    <x v="490"/>
    <d v="2022-10-11T00:00:00"/>
    <s v="The agent was helpful and explained everything."/>
    <n v="5"/>
    <x v="0"/>
    <x v="1"/>
    <x v="2"/>
    <x v="2"/>
    <x v="2"/>
    <x v="6"/>
    <x v="3"/>
    <s v="Tuesday"/>
    <x v="0"/>
    <s v="New Customer"/>
    <s v="Not Referred"/>
  </r>
  <r>
    <x v="542"/>
    <x v="71"/>
    <d v="2023-09-24T00:00:00"/>
    <s v="Frustrated with repeated documentation requests."/>
    <n v="3"/>
    <x v="0"/>
    <x v="1"/>
    <x v="0"/>
    <x v="0"/>
    <x v="3"/>
    <x v="7"/>
    <x v="0"/>
    <s v="Sunday"/>
    <x v="0"/>
    <s v="Returning Customer"/>
    <s v="Not Referred"/>
  </r>
  <r>
    <x v="543"/>
    <x v="491"/>
    <d v="2021-12-13T00:00:00"/>
    <s v="Smooth experience with no issues."/>
    <n v="5"/>
    <x v="0"/>
    <x v="0"/>
    <x v="2"/>
    <x v="2"/>
    <x v="1"/>
    <x v="10"/>
    <x v="3"/>
    <s v="Monday"/>
    <x v="0"/>
    <s v="New Customer"/>
    <s v="Referred"/>
  </r>
  <r>
    <x v="544"/>
    <x v="492"/>
    <d v="2021-01-16T00:00:00"/>
    <s v="Need more clarity on policy coverage."/>
    <n v="3"/>
    <x v="1"/>
    <x v="0"/>
    <x v="0"/>
    <x v="0"/>
    <x v="1"/>
    <x v="1"/>
    <x v="1"/>
    <s v="Saturday"/>
    <x v="0"/>
    <s v="Returning Customer"/>
    <s v="Referred"/>
  </r>
  <r>
    <x v="545"/>
    <x v="493"/>
    <d v="2023-02-17T00:00:00"/>
    <s v="Smooth experience with no issues."/>
    <n v="4"/>
    <x v="1"/>
    <x v="1"/>
    <x v="2"/>
    <x v="2"/>
    <x v="3"/>
    <x v="2"/>
    <x v="1"/>
    <s v="Friday"/>
    <x v="0"/>
    <s v="New Customer"/>
    <s v="Not Referred"/>
  </r>
  <r>
    <x v="546"/>
    <x v="494"/>
    <d v="2020-12-20T00:00:00"/>
    <s v="Need more clarity on policy coverage."/>
    <n v="3"/>
    <x v="0"/>
    <x v="0"/>
    <x v="0"/>
    <x v="0"/>
    <x v="0"/>
    <x v="10"/>
    <x v="3"/>
    <s v="Sunday"/>
    <x v="0"/>
    <s v="New Customer"/>
    <s v="Referred"/>
  </r>
  <r>
    <x v="547"/>
    <x v="495"/>
    <d v="2021-12-10T00:00:00"/>
    <s v="The agent was helpful and explained everything."/>
    <n v="4"/>
    <x v="1"/>
    <x v="1"/>
    <x v="2"/>
    <x v="2"/>
    <x v="1"/>
    <x v="10"/>
    <x v="3"/>
    <s v="Friday"/>
    <x v="0"/>
    <s v="New Customer"/>
    <s v="Not Referred"/>
  </r>
  <r>
    <x v="548"/>
    <x v="496"/>
    <d v="2023-05-16T00:00:00"/>
    <s v="The mobile app experience was intuitive."/>
    <n v="4"/>
    <x v="1"/>
    <x v="1"/>
    <x v="2"/>
    <x v="2"/>
    <x v="3"/>
    <x v="5"/>
    <x v="2"/>
    <s v="Tuesday"/>
    <x v="0"/>
    <s v="New Customer"/>
    <s v="Not Referred"/>
  </r>
  <r>
    <x v="549"/>
    <x v="497"/>
    <d v="2020-06-18T00:00:00"/>
    <s v="The agent was helpful and explained everything."/>
    <n v="5"/>
    <x v="1"/>
    <x v="1"/>
    <x v="2"/>
    <x v="2"/>
    <x v="0"/>
    <x v="9"/>
    <x v="2"/>
    <s v="Thursday"/>
    <x v="0"/>
    <s v="New Customer"/>
    <s v="Not Referred"/>
  </r>
  <r>
    <x v="550"/>
    <x v="498"/>
    <d v="2021-06-16T00:00:00"/>
    <s v="Frustrated with repeated documentation requests."/>
    <n v="1"/>
    <x v="0"/>
    <x v="1"/>
    <x v="1"/>
    <x v="1"/>
    <x v="1"/>
    <x v="9"/>
    <x v="2"/>
    <s v="Wednesday"/>
    <x v="1"/>
    <s v="New Customer"/>
    <s v="Not Referred"/>
  </r>
  <r>
    <x v="551"/>
    <x v="499"/>
    <d v="2022-07-15T00:00:00"/>
    <s v="The mobile app experience was intuitive."/>
    <n v="5"/>
    <x v="1"/>
    <x v="0"/>
    <x v="2"/>
    <x v="2"/>
    <x v="2"/>
    <x v="11"/>
    <x v="0"/>
    <s v="Friday"/>
    <x v="0"/>
    <s v="New Customer"/>
    <s v="Referred"/>
  </r>
  <r>
    <x v="552"/>
    <x v="500"/>
    <d v="2022-04-01T00:00:00"/>
    <s v="Very satisfied with the claim process."/>
    <n v="5"/>
    <x v="1"/>
    <x v="0"/>
    <x v="2"/>
    <x v="2"/>
    <x v="2"/>
    <x v="3"/>
    <x v="2"/>
    <s v="Friday"/>
    <x v="0"/>
    <s v="New Customer"/>
    <s v="Referred"/>
  </r>
  <r>
    <x v="553"/>
    <x v="501"/>
    <d v="2020-12-31T00:00:00"/>
    <s v="Had to wait too long for claim approval."/>
    <n v="2"/>
    <x v="1"/>
    <x v="1"/>
    <x v="1"/>
    <x v="1"/>
    <x v="0"/>
    <x v="10"/>
    <x v="3"/>
    <s v="Thursday"/>
    <x v="1"/>
    <s v="New Customer"/>
    <s v="Not Referred"/>
  </r>
  <r>
    <x v="554"/>
    <x v="502"/>
    <d v="2021-01-04T00:00:00"/>
    <s v="I'm not happy with the premium charged."/>
    <n v="1"/>
    <x v="1"/>
    <x v="1"/>
    <x v="1"/>
    <x v="1"/>
    <x v="1"/>
    <x v="1"/>
    <x v="1"/>
    <s v="Monday"/>
    <x v="1"/>
    <s v="Returning Customer"/>
    <s v="Not Referred"/>
  </r>
  <r>
    <x v="555"/>
    <x v="503"/>
    <d v="2022-04-28T00:00:00"/>
    <s v="The mobile app experience was intuitive."/>
    <n v="5"/>
    <x v="1"/>
    <x v="0"/>
    <x v="2"/>
    <x v="2"/>
    <x v="2"/>
    <x v="3"/>
    <x v="2"/>
    <s v="Thursday"/>
    <x v="0"/>
    <s v="New Customer"/>
    <s v="Referred"/>
  </r>
  <r>
    <x v="556"/>
    <x v="504"/>
    <d v="2023-02-03T00:00:00"/>
    <s v="Need more clarity on policy coverage."/>
    <n v="2"/>
    <x v="1"/>
    <x v="1"/>
    <x v="1"/>
    <x v="1"/>
    <x v="3"/>
    <x v="2"/>
    <x v="1"/>
    <s v="Friday"/>
    <x v="1"/>
    <s v="New Customer"/>
    <s v="Not Referred"/>
  </r>
  <r>
    <x v="557"/>
    <x v="409"/>
    <d v="2021-03-13T00:00:00"/>
    <s v="Excellent customer service support."/>
    <n v="5"/>
    <x v="1"/>
    <x v="0"/>
    <x v="2"/>
    <x v="2"/>
    <x v="1"/>
    <x v="8"/>
    <x v="1"/>
    <s v="Saturday"/>
    <x v="0"/>
    <s v="Returning Customer"/>
    <s v="Referred"/>
  </r>
  <r>
    <x v="558"/>
    <x v="505"/>
    <d v="2020-07-16T00:00:00"/>
    <s v="I'm not happy with the premium charged."/>
    <n v="1"/>
    <x v="0"/>
    <x v="0"/>
    <x v="1"/>
    <x v="1"/>
    <x v="0"/>
    <x v="11"/>
    <x v="0"/>
    <s v="Thursday"/>
    <x v="1"/>
    <s v="Returning Customer"/>
    <s v="Referred"/>
  </r>
  <r>
    <x v="559"/>
    <x v="506"/>
    <d v="2023-02-24T00:00:00"/>
    <s v="Smooth experience with no issues."/>
    <n v="5"/>
    <x v="1"/>
    <x v="0"/>
    <x v="2"/>
    <x v="2"/>
    <x v="3"/>
    <x v="2"/>
    <x v="1"/>
    <s v="Friday"/>
    <x v="0"/>
    <s v="New Customer"/>
    <s v="Referred"/>
  </r>
  <r>
    <x v="560"/>
    <x v="507"/>
    <d v="2022-09-15T00:00:00"/>
    <s v="Need more clarity on policy coverage."/>
    <n v="2"/>
    <x v="1"/>
    <x v="1"/>
    <x v="1"/>
    <x v="1"/>
    <x v="2"/>
    <x v="7"/>
    <x v="0"/>
    <s v="Thursday"/>
    <x v="1"/>
    <s v="Returning Customer"/>
    <s v="Not Referred"/>
  </r>
  <r>
    <x v="561"/>
    <x v="508"/>
    <d v="2020-05-15T00:00:00"/>
    <s v="The agent was helpful and explained everything."/>
    <n v="5"/>
    <x v="1"/>
    <x v="0"/>
    <x v="2"/>
    <x v="2"/>
    <x v="0"/>
    <x v="5"/>
    <x v="2"/>
    <s v="Friday"/>
    <x v="0"/>
    <s v="New Customer"/>
    <s v="Referred"/>
  </r>
  <r>
    <x v="562"/>
    <x v="509"/>
    <d v="2022-05-08T00:00:00"/>
    <s v="Had to wait too long for claim approval."/>
    <n v="2"/>
    <x v="0"/>
    <x v="0"/>
    <x v="1"/>
    <x v="1"/>
    <x v="2"/>
    <x v="5"/>
    <x v="2"/>
    <s v="Sunday"/>
    <x v="1"/>
    <s v="New Customer"/>
    <s v="Referred"/>
  </r>
  <r>
    <x v="563"/>
    <x v="510"/>
    <d v="2021-03-25T00:00:00"/>
    <s v="The mobile app experience was intuitive."/>
    <n v="3"/>
    <x v="1"/>
    <x v="0"/>
    <x v="0"/>
    <x v="0"/>
    <x v="1"/>
    <x v="8"/>
    <x v="1"/>
    <s v="Thursday"/>
    <x v="0"/>
    <s v="New Customer"/>
    <s v="Referred"/>
  </r>
  <r>
    <x v="564"/>
    <x v="511"/>
    <d v="2023-04-27T00:00:00"/>
    <s v="Very satisfied with the claim process."/>
    <n v="5"/>
    <x v="1"/>
    <x v="0"/>
    <x v="2"/>
    <x v="2"/>
    <x v="3"/>
    <x v="3"/>
    <x v="2"/>
    <s v="Thursday"/>
    <x v="0"/>
    <s v="New Customer"/>
    <s v="Referred"/>
  </r>
  <r>
    <x v="565"/>
    <x v="512"/>
    <d v="2021-04-07T00:00:00"/>
    <s v="Had to wait too long for claim approval."/>
    <n v="1"/>
    <x v="0"/>
    <x v="1"/>
    <x v="1"/>
    <x v="1"/>
    <x v="1"/>
    <x v="3"/>
    <x v="2"/>
    <s v="Wednesday"/>
    <x v="1"/>
    <s v="New Customer"/>
    <s v="Not Referred"/>
  </r>
  <r>
    <x v="566"/>
    <x v="513"/>
    <d v="2021-05-17T00:00:00"/>
    <s v="Frustrated with repeated documentation requests."/>
    <n v="3"/>
    <x v="0"/>
    <x v="1"/>
    <x v="0"/>
    <x v="0"/>
    <x v="1"/>
    <x v="5"/>
    <x v="2"/>
    <s v="Monday"/>
    <x v="0"/>
    <s v="New Customer"/>
    <s v="Not Referred"/>
  </r>
  <r>
    <x v="567"/>
    <x v="514"/>
    <d v="2021-07-12T00:00:00"/>
    <s v="Had to wait too long for claim approval."/>
    <n v="1"/>
    <x v="0"/>
    <x v="1"/>
    <x v="1"/>
    <x v="1"/>
    <x v="1"/>
    <x v="11"/>
    <x v="0"/>
    <s v="Monday"/>
    <x v="1"/>
    <s v="New Customer"/>
    <s v="Not Referred"/>
  </r>
  <r>
    <x v="568"/>
    <x v="515"/>
    <d v="2023-12-31T00:00:00"/>
    <s v="Need more clarity on policy coverage."/>
    <n v="3"/>
    <x v="0"/>
    <x v="0"/>
    <x v="0"/>
    <x v="0"/>
    <x v="3"/>
    <x v="10"/>
    <x v="3"/>
    <s v="Sunday"/>
    <x v="0"/>
    <s v="New Customer"/>
    <s v="Referred"/>
  </r>
  <r>
    <x v="569"/>
    <x v="516"/>
    <d v="2021-12-05T00:00:00"/>
    <s v="Excellent customer service support."/>
    <n v="4"/>
    <x v="1"/>
    <x v="1"/>
    <x v="2"/>
    <x v="2"/>
    <x v="1"/>
    <x v="10"/>
    <x v="3"/>
    <s v="Sunday"/>
    <x v="0"/>
    <s v="New Customer"/>
    <s v="Not Referred"/>
  </r>
  <r>
    <x v="570"/>
    <x v="517"/>
    <d v="2020-05-24T00:00:00"/>
    <s v="The agent was helpful and explained everything."/>
    <n v="5"/>
    <x v="0"/>
    <x v="1"/>
    <x v="2"/>
    <x v="2"/>
    <x v="0"/>
    <x v="5"/>
    <x v="2"/>
    <s v="Sunday"/>
    <x v="0"/>
    <s v="New Customer"/>
    <s v="Not Referred"/>
  </r>
  <r>
    <x v="571"/>
    <x v="518"/>
    <d v="2022-08-11T00:00:00"/>
    <s v="Frustrated with repeated documentation requests."/>
    <n v="2"/>
    <x v="0"/>
    <x v="1"/>
    <x v="1"/>
    <x v="1"/>
    <x v="2"/>
    <x v="0"/>
    <x v="0"/>
    <s v="Thursday"/>
    <x v="1"/>
    <s v="New Customer"/>
    <s v="Not Referred"/>
  </r>
  <r>
    <x v="572"/>
    <x v="519"/>
    <d v="2023-11-09T00:00:00"/>
    <s v="I'm not happy with the premium charged."/>
    <n v="1"/>
    <x v="1"/>
    <x v="0"/>
    <x v="1"/>
    <x v="1"/>
    <x v="3"/>
    <x v="4"/>
    <x v="3"/>
    <s v="Thursday"/>
    <x v="1"/>
    <s v="New Customer"/>
    <s v="Referred"/>
  </r>
  <r>
    <x v="573"/>
    <x v="194"/>
    <d v="2023-05-01T00:00:00"/>
    <s v="The mobile app experience was intuitive."/>
    <n v="3"/>
    <x v="1"/>
    <x v="0"/>
    <x v="0"/>
    <x v="0"/>
    <x v="3"/>
    <x v="5"/>
    <x v="2"/>
    <s v="Monday"/>
    <x v="0"/>
    <s v="Returning Customer"/>
    <s v="Referred"/>
  </r>
  <r>
    <x v="574"/>
    <x v="520"/>
    <d v="2022-03-18T00:00:00"/>
    <s v="Frustrated with repeated documentation requests."/>
    <n v="3"/>
    <x v="0"/>
    <x v="0"/>
    <x v="0"/>
    <x v="0"/>
    <x v="2"/>
    <x v="8"/>
    <x v="1"/>
    <s v="Friday"/>
    <x v="0"/>
    <s v="New Customer"/>
    <s v="Referred"/>
  </r>
  <r>
    <x v="575"/>
    <x v="521"/>
    <d v="2023-03-21T00:00:00"/>
    <s v="The mobile app experience was intuitive."/>
    <n v="5"/>
    <x v="0"/>
    <x v="0"/>
    <x v="2"/>
    <x v="2"/>
    <x v="3"/>
    <x v="8"/>
    <x v="1"/>
    <s v="Tuesday"/>
    <x v="0"/>
    <s v="New Customer"/>
    <s v="Referred"/>
  </r>
  <r>
    <x v="576"/>
    <x v="522"/>
    <d v="2023-11-06T00:00:00"/>
    <s v="The mobile app experience was intuitive."/>
    <n v="3"/>
    <x v="1"/>
    <x v="1"/>
    <x v="0"/>
    <x v="0"/>
    <x v="3"/>
    <x v="4"/>
    <x v="3"/>
    <s v="Monday"/>
    <x v="0"/>
    <s v="New Customer"/>
    <s v="Not Referred"/>
  </r>
  <r>
    <x v="577"/>
    <x v="523"/>
    <d v="2022-06-07T00:00:00"/>
    <s v="Very satisfied with the claim process."/>
    <n v="4"/>
    <x v="0"/>
    <x v="0"/>
    <x v="2"/>
    <x v="2"/>
    <x v="2"/>
    <x v="9"/>
    <x v="2"/>
    <s v="Tuesday"/>
    <x v="0"/>
    <s v="New Customer"/>
    <s v="Referred"/>
  </r>
  <r>
    <x v="578"/>
    <x v="524"/>
    <d v="2023-02-11T00:00:00"/>
    <s v="Need more clarity on policy coverage."/>
    <n v="3"/>
    <x v="1"/>
    <x v="1"/>
    <x v="0"/>
    <x v="0"/>
    <x v="3"/>
    <x v="2"/>
    <x v="1"/>
    <s v="Saturday"/>
    <x v="0"/>
    <s v="New Customer"/>
    <s v="Not Referred"/>
  </r>
  <r>
    <x v="579"/>
    <x v="525"/>
    <d v="2023-08-15T00:00:00"/>
    <s v="I'm not happy with the premium charged."/>
    <n v="2"/>
    <x v="1"/>
    <x v="0"/>
    <x v="1"/>
    <x v="1"/>
    <x v="3"/>
    <x v="0"/>
    <x v="0"/>
    <s v="Tuesday"/>
    <x v="1"/>
    <s v="New Customer"/>
    <s v="Referred"/>
  </r>
  <r>
    <x v="580"/>
    <x v="526"/>
    <d v="2023-01-28T00:00:00"/>
    <s v="The mobile app experience was intuitive."/>
    <n v="4"/>
    <x v="1"/>
    <x v="0"/>
    <x v="2"/>
    <x v="2"/>
    <x v="3"/>
    <x v="1"/>
    <x v="1"/>
    <s v="Saturday"/>
    <x v="0"/>
    <s v="New Customer"/>
    <s v="Referred"/>
  </r>
  <r>
    <x v="581"/>
    <x v="527"/>
    <d v="2023-06-05T00:00:00"/>
    <s v="Very satisfied with the claim process."/>
    <n v="5"/>
    <x v="1"/>
    <x v="1"/>
    <x v="2"/>
    <x v="2"/>
    <x v="3"/>
    <x v="9"/>
    <x v="2"/>
    <s v="Monday"/>
    <x v="0"/>
    <s v="New Customer"/>
    <s v="Not Referred"/>
  </r>
  <r>
    <x v="582"/>
    <x v="528"/>
    <d v="2022-10-28T00:00:00"/>
    <s v="Claim process could be faster."/>
    <n v="2"/>
    <x v="1"/>
    <x v="1"/>
    <x v="1"/>
    <x v="1"/>
    <x v="2"/>
    <x v="6"/>
    <x v="3"/>
    <s v="Friday"/>
    <x v="1"/>
    <s v="New Customer"/>
    <s v="Not Referred"/>
  </r>
  <r>
    <x v="583"/>
    <x v="529"/>
    <d v="2021-11-25T00:00:00"/>
    <s v="Frustrated with repeated documentation requests."/>
    <n v="3"/>
    <x v="1"/>
    <x v="1"/>
    <x v="0"/>
    <x v="0"/>
    <x v="1"/>
    <x v="4"/>
    <x v="3"/>
    <s v="Thursday"/>
    <x v="0"/>
    <s v="New Customer"/>
    <s v="Not Referred"/>
  </r>
  <r>
    <x v="584"/>
    <x v="530"/>
    <d v="2022-12-02T00:00:00"/>
    <s v="Need more clarity on policy coverage."/>
    <n v="1"/>
    <x v="1"/>
    <x v="1"/>
    <x v="1"/>
    <x v="1"/>
    <x v="2"/>
    <x v="10"/>
    <x v="3"/>
    <s v="Friday"/>
    <x v="1"/>
    <s v="Returning Customer"/>
    <s v="Not Referred"/>
  </r>
  <r>
    <x v="585"/>
    <x v="422"/>
    <d v="2020-06-05T00:00:00"/>
    <s v="The mobile app experience was intuitive."/>
    <n v="5"/>
    <x v="1"/>
    <x v="1"/>
    <x v="2"/>
    <x v="2"/>
    <x v="0"/>
    <x v="9"/>
    <x v="2"/>
    <s v="Friday"/>
    <x v="0"/>
    <s v="Returning Customer"/>
    <s v="Not Referred"/>
  </r>
  <r>
    <x v="586"/>
    <x v="531"/>
    <d v="2020-09-23T00:00:00"/>
    <s v="I'm not happy with the premium charged."/>
    <n v="3"/>
    <x v="1"/>
    <x v="0"/>
    <x v="0"/>
    <x v="0"/>
    <x v="0"/>
    <x v="7"/>
    <x v="0"/>
    <s v="Wednesday"/>
    <x v="0"/>
    <s v="New Customer"/>
    <s v="Referred"/>
  </r>
  <r>
    <x v="587"/>
    <x v="461"/>
    <d v="2021-02-19T00:00:00"/>
    <s v="I'm not happy with the premium charged."/>
    <n v="3"/>
    <x v="1"/>
    <x v="0"/>
    <x v="0"/>
    <x v="0"/>
    <x v="1"/>
    <x v="2"/>
    <x v="1"/>
    <s v="Friday"/>
    <x v="0"/>
    <s v="Returning Customer"/>
    <s v="Referred"/>
  </r>
  <r>
    <x v="588"/>
    <x v="532"/>
    <d v="2022-03-20T00:00:00"/>
    <s v="I'm not happy with the premium charged."/>
    <n v="1"/>
    <x v="1"/>
    <x v="0"/>
    <x v="1"/>
    <x v="1"/>
    <x v="2"/>
    <x v="8"/>
    <x v="1"/>
    <s v="Sunday"/>
    <x v="1"/>
    <s v="Returning Customer"/>
    <s v="Referred"/>
  </r>
  <r>
    <x v="589"/>
    <x v="533"/>
    <d v="2023-05-15T00:00:00"/>
    <s v="The mobile app experience was intuitive."/>
    <n v="3"/>
    <x v="1"/>
    <x v="1"/>
    <x v="0"/>
    <x v="0"/>
    <x v="3"/>
    <x v="5"/>
    <x v="2"/>
    <s v="Monday"/>
    <x v="0"/>
    <s v="New Customer"/>
    <s v="Not Referred"/>
  </r>
  <r>
    <x v="590"/>
    <x v="505"/>
    <d v="2020-10-25T00:00:00"/>
    <s v="Smooth experience with no issues."/>
    <n v="4"/>
    <x v="0"/>
    <x v="1"/>
    <x v="2"/>
    <x v="2"/>
    <x v="0"/>
    <x v="6"/>
    <x v="3"/>
    <s v="Sunday"/>
    <x v="0"/>
    <s v="Returning Customer"/>
    <s v="Not Referred"/>
  </r>
  <r>
    <x v="591"/>
    <x v="534"/>
    <d v="2021-04-23T00:00:00"/>
    <s v="Had to wait too long for claim approval."/>
    <n v="2"/>
    <x v="1"/>
    <x v="0"/>
    <x v="1"/>
    <x v="1"/>
    <x v="1"/>
    <x v="3"/>
    <x v="2"/>
    <s v="Friday"/>
    <x v="1"/>
    <s v="New Customer"/>
    <s v="Referred"/>
  </r>
  <r>
    <x v="592"/>
    <x v="43"/>
    <d v="2020-07-09T00:00:00"/>
    <s v="Claim process could be faster."/>
    <n v="2"/>
    <x v="1"/>
    <x v="1"/>
    <x v="1"/>
    <x v="1"/>
    <x v="0"/>
    <x v="11"/>
    <x v="0"/>
    <s v="Thursday"/>
    <x v="1"/>
    <s v="Returning Customer"/>
    <s v="Not Referred"/>
  </r>
  <r>
    <x v="593"/>
    <x v="535"/>
    <d v="2021-06-10T00:00:00"/>
    <s v="The mobile app experience was intuitive."/>
    <n v="4"/>
    <x v="1"/>
    <x v="0"/>
    <x v="2"/>
    <x v="2"/>
    <x v="1"/>
    <x v="9"/>
    <x v="2"/>
    <s v="Thursday"/>
    <x v="0"/>
    <s v="Returning Customer"/>
    <s v="Referred"/>
  </r>
  <r>
    <x v="594"/>
    <x v="267"/>
    <d v="2020-06-11T00:00:00"/>
    <s v="Claim process could be faster."/>
    <n v="3"/>
    <x v="0"/>
    <x v="0"/>
    <x v="0"/>
    <x v="0"/>
    <x v="0"/>
    <x v="9"/>
    <x v="2"/>
    <s v="Thursday"/>
    <x v="0"/>
    <s v="Returning Customer"/>
    <s v="Referred"/>
  </r>
  <r>
    <x v="595"/>
    <x v="536"/>
    <d v="2023-10-14T00:00:00"/>
    <s v="Need more clarity on policy coverage."/>
    <n v="1"/>
    <x v="1"/>
    <x v="0"/>
    <x v="1"/>
    <x v="1"/>
    <x v="3"/>
    <x v="6"/>
    <x v="3"/>
    <s v="Saturday"/>
    <x v="1"/>
    <s v="New Customer"/>
    <s v="Referred"/>
  </r>
  <r>
    <x v="596"/>
    <x v="537"/>
    <d v="2023-03-23T00:00:00"/>
    <s v="Very satisfied with the claim process."/>
    <n v="4"/>
    <x v="0"/>
    <x v="1"/>
    <x v="2"/>
    <x v="2"/>
    <x v="3"/>
    <x v="8"/>
    <x v="1"/>
    <s v="Thursday"/>
    <x v="0"/>
    <s v="New Customer"/>
    <s v="Not Referred"/>
  </r>
  <r>
    <x v="597"/>
    <x v="306"/>
    <d v="2022-05-23T00:00:00"/>
    <s v="Had to wait too long for claim approval."/>
    <n v="2"/>
    <x v="1"/>
    <x v="0"/>
    <x v="1"/>
    <x v="1"/>
    <x v="2"/>
    <x v="5"/>
    <x v="2"/>
    <s v="Monday"/>
    <x v="1"/>
    <s v="Returning Customer"/>
    <s v="Referred"/>
  </r>
  <r>
    <x v="598"/>
    <x v="322"/>
    <d v="2020-11-06T00:00:00"/>
    <s v="The agent was helpful and explained everything."/>
    <n v="4"/>
    <x v="1"/>
    <x v="1"/>
    <x v="2"/>
    <x v="2"/>
    <x v="0"/>
    <x v="4"/>
    <x v="3"/>
    <s v="Friday"/>
    <x v="0"/>
    <s v="Returning Customer"/>
    <s v="Not Referred"/>
  </r>
  <r>
    <x v="599"/>
    <x v="538"/>
    <d v="2021-08-17T00:00:00"/>
    <s v="Had to wait too long for claim approval."/>
    <n v="2"/>
    <x v="0"/>
    <x v="1"/>
    <x v="1"/>
    <x v="1"/>
    <x v="1"/>
    <x v="0"/>
    <x v="0"/>
    <s v="Tuesday"/>
    <x v="1"/>
    <s v="New Customer"/>
    <s v="Not Referred"/>
  </r>
  <r>
    <x v="600"/>
    <x v="539"/>
    <d v="2023-06-02T00:00:00"/>
    <s v="Excellent customer service support."/>
    <n v="4"/>
    <x v="0"/>
    <x v="0"/>
    <x v="2"/>
    <x v="2"/>
    <x v="3"/>
    <x v="9"/>
    <x v="2"/>
    <s v="Friday"/>
    <x v="0"/>
    <s v="New Customer"/>
    <s v="Referred"/>
  </r>
  <r>
    <x v="601"/>
    <x v="540"/>
    <d v="2021-12-18T00:00:00"/>
    <s v="Excellent customer service support."/>
    <n v="5"/>
    <x v="1"/>
    <x v="1"/>
    <x v="2"/>
    <x v="2"/>
    <x v="1"/>
    <x v="10"/>
    <x v="3"/>
    <s v="Saturday"/>
    <x v="0"/>
    <s v="New Customer"/>
    <s v="Not Referred"/>
  </r>
  <r>
    <x v="602"/>
    <x v="541"/>
    <d v="2022-10-11T00:00:00"/>
    <s v="Excellent customer service support."/>
    <n v="5"/>
    <x v="0"/>
    <x v="0"/>
    <x v="2"/>
    <x v="2"/>
    <x v="2"/>
    <x v="6"/>
    <x v="3"/>
    <s v="Tuesday"/>
    <x v="0"/>
    <s v="New Customer"/>
    <s v="Referred"/>
  </r>
  <r>
    <x v="603"/>
    <x v="542"/>
    <d v="2022-06-19T00:00:00"/>
    <s v="Frustrated with repeated documentation requests."/>
    <n v="1"/>
    <x v="0"/>
    <x v="0"/>
    <x v="1"/>
    <x v="1"/>
    <x v="2"/>
    <x v="9"/>
    <x v="2"/>
    <s v="Sunday"/>
    <x v="1"/>
    <s v="New Customer"/>
    <s v="Referred"/>
  </r>
  <r>
    <x v="604"/>
    <x v="543"/>
    <d v="2022-01-17T00:00:00"/>
    <s v="Very satisfied with the claim process."/>
    <n v="5"/>
    <x v="1"/>
    <x v="1"/>
    <x v="2"/>
    <x v="2"/>
    <x v="2"/>
    <x v="1"/>
    <x v="1"/>
    <s v="Monday"/>
    <x v="0"/>
    <s v="New Customer"/>
    <s v="Not Referred"/>
  </r>
  <r>
    <x v="605"/>
    <x v="544"/>
    <d v="2022-12-18T00:00:00"/>
    <s v="I'm not happy with the premium charged."/>
    <n v="3"/>
    <x v="0"/>
    <x v="1"/>
    <x v="0"/>
    <x v="0"/>
    <x v="2"/>
    <x v="10"/>
    <x v="3"/>
    <s v="Sunday"/>
    <x v="0"/>
    <s v="Returning Customer"/>
    <s v="Not Referred"/>
  </r>
  <r>
    <x v="606"/>
    <x v="545"/>
    <d v="2021-06-06T00:00:00"/>
    <s v="Frustrated with repeated documentation requests."/>
    <n v="3"/>
    <x v="0"/>
    <x v="1"/>
    <x v="0"/>
    <x v="0"/>
    <x v="1"/>
    <x v="9"/>
    <x v="2"/>
    <s v="Sunday"/>
    <x v="0"/>
    <s v="New Customer"/>
    <s v="Not Referred"/>
  </r>
  <r>
    <x v="607"/>
    <x v="546"/>
    <d v="2022-08-31T00:00:00"/>
    <s v="The agent was helpful and explained everything."/>
    <n v="4"/>
    <x v="0"/>
    <x v="1"/>
    <x v="2"/>
    <x v="2"/>
    <x v="2"/>
    <x v="0"/>
    <x v="0"/>
    <s v="Wednesday"/>
    <x v="0"/>
    <s v="New Customer"/>
    <s v="Not Referred"/>
  </r>
  <r>
    <x v="608"/>
    <x v="547"/>
    <d v="2023-11-10T00:00:00"/>
    <s v="Excellent customer service support."/>
    <n v="4"/>
    <x v="0"/>
    <x v="1"/>
    <x v="2"/>
    <x v="2"/>
    <x v="3"/>
    <x v="4"/>
    <x v="3"/>
    <s v="Friday"/>
    <x v="0"/>
    <s v="New Customer"/>
    <s v="Not Referred"/>
  </r>
  <r>
    <x v="609"/>
    <x v="548"/>
    <d v="2022-10-23T00:00:00"/>
    <s v="The mobile app experience was intuitive."/>
    <n v="3"/>
    <x v="1"/>
    <x v="1"/>
    <x v="0"/>
    <x v="0"/>
    <x v="2"/>
    <x v="6"/>
    <x v="3"/>
    <s v="Sunday"/>
    <x v="0"/>
    <s v="New Customer"/>
    <s v="Not Referred"/>
  </r>
  <r>
    <x v="610"/>
    <x v="549"/>
    <d v="2022-01-06T00:00:00"/>
    <s v="The mobile app experience was intuitive."/>
    <n v="3"/>
    <x v="0"/>
    <x v="1"/>
    <x v="0"/>
    <x v="0"/>
    <x v="2"/>
    <x v="1"/>
    <x v="1"/>
    <s v="Thursday"/>
    <x v="0"/>
    <s v="New Customer"/>
    <s v="Not Referred"/>
  </r>
  <r>
    <x v="611"/>
    <x v="168"/>
    <d v="2023-05-17T00:00:00"/>
    <s v="Had to wait too long for claim approval."/>
    <n v="1"/>
    <x v="0"/>
    <x v="1"/>
    <x v="1"/>
    <x v="1"/>
    <x v="3"/>
    <x v="5"/>
    <x v="2"/>
    <s v="Wednesday"/>
    <x v="1"/>
    <s v="Returning Customer"/>
    <s v="Not Referred"/>
  </r>
  <r>
    <x v="612"/>
    <x v="20"/>
    <d v="2020-04-26T00:00:00"/>
    <s v="The mobile app experience was intuitive."/>
    <n v="4"/>
    <x v="1"/>
    <x v="0"/>
    <x v="2"/>
    <x v="2"/>
    <x v="0"/>
    <x v="3"/>
    <x v="2"/>
    <s v="Sunday"/>
    <x v="0"/>
    <s v="Returning Customer"/>
    <s v="Referred"/>
  </r>
  <r>
    <x v="613"/>
    <x v="550"/>
    <d v="2022-09-03T00:00:00"/>
    <s v="Claim process could be faster."/>
    <n v="3"/>
    <x v="0"/>
    <x v="1"/>
    <x v="0"/>
    <x v="0"/>
    <x v="2"/>
    <x v="7"/>
    <x v="0"/>
    <s v="Saturday"/>
    <x v="0"/>
    <s v="New Customer"/>
    <s v="Not Referred"/>
  </r>
  <r>
    <x v="614"/>
    <x v="551"/>
    <d v="2020-08-05T00:00:00"/>
    <s v="Excellent customer service support."/>
    <n v="4"/>
    <x v="0"/>
    <x v="0"/>
    <x v="2"/>
    <x v="2"/>
    <x v="0"/>
    <x v="0"/>
    <x v="0"/>
    <s v="Wednesday"/>
    <x v="0"/>
    <s v="New Customer"/>
    <s v="Referred"/>
  </r>
  <r>
    <x v="615"/>
    <x v="400"/>
    <d v="2022-09-24T00:00:00"/>
    <s v="Very satisfied with the claim process."/>
    <n v="5"/>
    <x v="0"/>
    <x v="1"/>
    <x v="2"/>
    <x v="2"/>
    <x v="2"/>
    <x v="7"/>
    <x v="0"/>
    <s v="Saturday"/>
    <x v="0"/>
    <s v="Returning Customer"/>
    <s v="Not Referred"/>
  </r>
  <r>
    <x v="616"/>
    <x v="552"/>
    <d v="2023-09-04T00:00:00"/>
    <s v="Very satisfied with the claim process."/>
    <n v="5"/>
    <x v="1"/>
    <x v="1"/>
    <x v="2"/>
    <x v="2"/>
    <x v="3"/>
    <x v="7"/>
    <x v="0"/>
    <s v="Monday"/>
    <x v="0"/>
    <s v="New Customer"/>
    <s v="Not Referred"/>
  </r>
  <r>
    <x v="617"/>
    <x v="553"/>
    <d v="2023-04-26T00:00:00"/>
    <s v="The mobile app experience was intuitive."/>
    <n v="4"/>
    <x v="0"/>
    <x v="0"/>
    <x v="2"/>
    <x v="2"/>
    <x v="3"/>
    <x v="3"/>
    <x v="2"/>
    <s v="Wednesday"/>
    <x v="0"/>
    <s v="Returning Customer"/>
    <s v="Referred"/>
  </r>
  <r>
    <x v="618"/>
    <x v="408"/>
    <d v="2020-01-09T00:00:00"/>
    <s v="I'm not happy with the premium charged."/>
    <n v="2"/>
    <x v="1"/>
    <x v="0"/>
    <x v="1"/>
    <x v="1"/>
    <x v="0"/>
    <x v="1"/>
    <x v="1"/>
    <s v="Thursday"/>
    <x v="1"/>
    <s v="Returning Customer"/>
    <s v="Referred"/>
  </r>
  <r>
    <x v="619"/>
    <x v="554"/>
    <d v="2021-02-24T00:00:00"/>
    <s v="Smooth experience with no issues."/>
    <n v="5"/>
    <x v="0"/>
    <x v="0"/>
    <x v="2"/>
    <x v="2"/>
    <x v="1"/>
    <x v="2"/>
    <x v="1"/>
    <s v="Wednesday"/>
    <x v="0"/>
    <s v="New Customer"/>
    <s v="Referred"/>
  </r>
  <r>
    <x v="620"/>
    <x v="555"/>
    <d v="2023-07-21T00:00:00"/>
    <s v="Had to wait too long for claim approval."/>
    <n v="2"/>
    <x v="1"/>
    <x v="0"/>
    <x v="1"/>
    <x v="1"/>
    <x v="3"/>
    <x v="11"/>
    <x v="0"/>
    <s v="Friday"/>
    <x v="1"/>
    <s v="New Customer"/>
    <s v="Referred"/>
  </r>
  <r>
    <x v="621"/>
    <x v="556"/>
    <d v="2022-11-02T00:00:00"/>
    <s v="I'm not happy with the premium charged."/>
    <n v="2"/>
    <x v="0"/>
    <x v="1"/>
    <x v="1"/>
    <x v="1"/>
    <x v="2"/>
    <x v="4"/>
    <x v="3"/>
    <s v="Wednesday"/>
    <x v="1"/>
    <s v="New Customer"/>
    <s v="Not Referred"/>
  </r>
  <r>
    <x v="622"/>
    <x v="557"/>
    <d v="2021-04-30T00:00:00"/>
    <s v="Excellent customer service support."/>
    <n v="4"/>
    <x v="0"/>
    <x v="1"/>
    <x v="2"/>
    <x v="2"/>
    <x v="1"/>
    <x v="3"/>
    <x v="2"/>
    <s v="Friday"/>
    <x v="0"/>
    <s v="New Customer"/>
    <s v="Not Referred"/>
  </r>
  <r>
    <x v="623"/>
    <x v="558"/>
    <d v="2020-07-09T00:00:00"/>
    <s v="Frustrated with repeated documentation requests."/>
    <n v="1"/>
    <x v="0"/>
    <x v="1"/>
    <x v="1"/>
    <x v="1"/>
    <x v="0"/>
    <x v="11"/>
    <x v="0"/>
    <s v="Thursday"/>
    <x v="1"/>
    <s v="New Customer"/>
    <s v="Not Referred"/>
  </r>
  <r>
    <x v="624"/>
    <x v="559"/>
    <d v="2022-04-13T00:00:00"/>
    <s v="Very satisfied with the claim process."/>
    <n v="5"/>
    <x v="0"/>
    <x v="0"/>
    <x v="2"/>
    <x v="2"/>
    <x v="2"/>
    <x v="3"/>
    <x v="2"/>
    <s v="Wednesday"/>
    <x v="0"/>
    <s v="New Customer"/>
    <s v="Referred"/>
  </r>
  <r>
    <x v="625"/>
    <x v="140"/>
    <d v="2023-04-19T00:00:00"/>
    <s v="Excellent customer service support."/>
    <n v="5"/>
    <x v="0"/>
    <x v="0"/>
    <x v="2"/>
    <x v="2"/>
    <x v="3"/>
    <x v="3"/>
    <x v="2"/>
    <s v="Wednesday"/>
    <x v="0"/>
    <s v="Returning Customer"/>
    <s v="Referred"/>
  </r>
  <r>
    <x v="626"/>
    <x v="560"/>
    <d v="2020-04-16T00:00:00"/>
    <s v="Excellent customer service support."/>
    <n v="4"/>
    <x v="0"/>
    <x v="0"/>
    <x v="2"/>
    <x v="2"/>
    <x v="0"/>
    <x v="3"/>
    <x v="2"/>
    <s v="Thursday"/>
    <x v="0"/>
    <s v="New Customer"/>
    <s v="Referred"/>
  </r>
  <r>
    <x v="627"/>
    <x v="561"/>
    <d v="2020-07-27T00:00:00"/>
    <s v="Smooth experience with no issues."/>
    <n v="4"/>
    <x v="1"/>
    <x v="1"/>
    <x v="2"/>
    <x v="2"/>
    <x v="0"/>
    <x v="11"/>
    <x v="0"/>
    <s v="Monday"/>
    <x v="0"/>
    <s v="New Customer"/>
    <s v="Not Referred"/>
  </r>
  <r>
    <x v="628"/>
    <x v="381"/>
    <d v="2020-03-04T00:00:00"/>
    <s v="Excellent customer service support."/>
    <n v="4"/>
    <x v="0"/>
    <x v="1"/>
    <x v="2"/>
    <x v="2"/>
    <x v="0"/>
    <x v="8"/>
    <x v="1"/>
    <s v="Wednesday"/>
    <x v="0"/>
    <s v="Returning Customer"/>
    <s v="Not Referred"/>
  </r>
  <r>
    <x v="629"/>
    <x v="297"/>
    <d v="2020-06-15T00:00:00"/>
    <s v="Had to wait too long for claim approval."/>
    <n v="1"/>
    <x v="0"/>
    <x v="0"/>
    <x v="1"/>
    <x v="1"/>
    <x v="0"/>
    <x v="9"/>
    <x v="2"/>
    <s v="Monday"/>
    <x v="1"/>
    <s v="Returning Customer"/>
    <s v="Referred"/>
  </r>
  <r>
    <x v="630"/>
    <x v="562"/>
    <d v="2023-11-09T00:00:00"/>
    <s v="The agent was helpful and explained everything."/>
    <n v="5"/>
    <x v="1"/>
    <x v="0"/>
    <x v="2"/>
    <x v="2"/>
    <x v="3"/>
    <x v="4"/>
    <x v="3"/>
    <s v="Thursday"/>
    <x v="0"/>
    <s v="New Customer"/>
    <s v="Referred"/>
  </r>
  <r>
    <x v="631"/>
    <x v="563"/>
    <d v="2020-05-21T00:00:00"/>
    <s v="Need more clarity on policy coverage."/>
    <n v="3"/>
    <x v="0"/>
    <x v="1"/>
    <x v="0"/>
    <x v="0"/>
    <x v="0"/>
    <x v="5"/>
    <x v="2"/>
    <s v="Thursday"/>
    <x v="0"/>
    <s v="New Customer"/>
    <s v="Not Referred"/>
  </r>
  <r>
    <x v="632"/>
    <x v="324"/>
    <d v="2023-10-11T00:00:00"/>
    <s v="The mobile app experience was intuitive."/>
    <n v="3"/>
    <x v="1"/>
    <x v="0"/>
    <x v="0"/>
    <x v="0"/>
    <x v="3"/>
    <x v="6"/>
    <x v="3"/>
    <s v="Wednesday"/>
    <x v="0"/>
    <s v="Returning Customer"/>
    <s v="Referred"/>
  </r>
  <r>
    <x v="633"/>
    <x v="564"/>
    <d v="2021-07-31T00:00:00"/>
    <s v="Frustrated with repeated documentation requests."/>
    <n v="3"/>
    <x v="1"/>
    <x v="0"/>
    <x v="0"/>
    <x v="0"/>
    <x v="1"/>
    <x v="11"/>
    <x v="0"/>
    <s v="Saturday"/>
    <x v="0"/>
    <s v="New Customer"/>
    <s v="Referred"/>
  </r>
  <r>
    <x v="634"/>
    <x v="565"/>
    <d v="2023-11-04T00:00:00"/>
    <s v="Smooth experience with no issues."/>
    <n v="5"/>
    <x v="0"/>
    <x v="1"/>
    <x v="2"/>
    <x v="2"/>
    <x v="3"/>
    <x v="4"/>
    <x v="3"/>
    <s v="Saturday"/>
    <x v="0"/>
    <s v="New Customer"/>
    <s v="Not Referred"/>
  </r>
  <r>
    <x v="635"/>
    <x v="566"/>
    <d v="2021-03-19T00:00:00"/>
    <s v="The mobile app experience was intuitive."/>
    <n v="3"/>
    <x v="0"/>
    <x v="0"/>
    <x v="0"/>
    <x v="0"/>
    <x v="1"/>
    <x v="8"/>
    <x v="1"/>
    <s v="Friday"/>
    <x v="0"/>
    <s v="Returning Customer"/>
    <s v="Referred"/>
  </r>
  <r>
    <x v="636"/>
    <x v="567"/>
    <d v="2021-02-08T00:00:00"/>
    <s v="Frustrated with repeated documentation requests."/>
    <n v="1"/>
    <x v="0"/>
    <x v="0"/>
    <x v="1"/>
    <x v="1"/>
    <x v="1"/>
    <x v="2"/>
    <x v="1"/>
    <s v="Monday"/>
    <x v="1"/>
    <s v="Returning Customer"/>
    <s v="Referred"/>
  </r>
  <r>
    <x v="637"/>
    <x v="568"/>
    <d v="2021-01-09T00:00:00"/>
    <s v="I'm not happy with the premium charged."/>
    <n v="3"/>
    <x v="1"/>
    <x v="1"/>
    <x v="0"/>
    <x v="0"/>
    <x v="1"/>
    <x v="1"/>
    <x v="1"/>
    <s v="Saturday"/>
    <x v="0"/>
    <s v="New Customer"/>
    <s v="Not Referred"/>
  </r>
  <r>
    <x v="638"/>
    <x v="28"/>
    <d v="2021-02-20T00:00:00"/>
    <s v="Smooth experience with no issues."/>
    <n v="4"/>
    <x v="1"/>
    <x v="0"/>
    <x v="2"/>
    <x v="2"/>
    <x v="1"/>
    <x v="2"/>
    <x v="1"/>
    <s v="Saturday"/>
    <x v="0"/>
    <s v="Returning Customer"/>
    <s v="Referred"/>
  </r>
  <r>
    <x v="639"/>
    <x v="378"/>
    <d v="2021-08-07T00:00:00"/>
    <s v="Need more clarity on policy coverage."/>
    <n v="2"/>
    <x v="1"/>
    <x v="0"/>
    <x v="1"/>
    <x v="1"/>
    <x v="1"/>
    <x v="0"/>
    <x v="0"/>
    <s v="Saturday"/>
    <x v="1"/>
    <s v="Returning Customer"/>
    <s v="Referred"/>
  </r>
  <r>
    <x v="640"/>
    <x v="569"/>
    <d v="2021-08-31T00:00:00"/>
    <s v="Need more clarity on policy coverage."/>
    <n v="3"/>
    <x v="1"/>
    <x v="1"/>
    <x v="0"/>
    <x v="0"/>
    <x v="1"/>
    <x v="0"/>
    <x v="0"/>
    <s v="Tuesday"/>
    <x v="0"/>
    <s v="New Customer"/>
    <s v="Not Referred"/>
  </r>
  <r>
    <x v="641"/>
    <x v="570"/>
    <d v="2021-01-09T00:00:00"/>
    <s v="Need more clarity on policy coverage."/>
    <n v="1"/>
    <x v="1"/>
    <x v="0"/>
    <x v="1"/>
    <x v="1"/>
    <x v="1"/>
    <x v="1"/>
    <x v="1"/>
    <s v="Saturday"/>
    <x v="1"/>
    <s v="New Customer"/>
    <s v="Referred"/>
  </r>
  <r>
    <x v="642"/>
    <x v="571"/>
    <d v="2023-06-22T00:00:00"/>
    <s v="I'm not happy with the premium charged."/>
    <n v="2"/>
    <x v="0"/>
    <x v="1"/>
    <x v="1"/>
    <x v="1"/>
    <x v="3"/>
    <x v="9"/>
    <x v="2"/>
    <s v="Thursday"/>
    <x v="1"/>
    <s v="New Customer"/>
    <s v="Not Referred"/>
  </r>
  <r>
    <x v="643"/>
    <x v="572"/>
    <d v="2023-08-05T00:00:00"/>
    <s v="Very satisfied with the claim process."/>
    <n v="4"/>
    <x v="1"/>
    <x v="0"/>
    <x v="2"/>
    <x v="2"/>
    <x v="3"/>
    <x v="0"/>
    <x v="0"/>
    <s v="Saturday"/>
    <x v="0"/>
    <s v="New Customer"/>
    <s v="Referred"/>
  </r>
  <r>
    <x v="644"/>
    <x v="573"/>
    <d v="2020-01-26T00:00:00"/>
    <s v="Smooth experience with no issues."/>
    <n v="4"/>
    <x v="1"/>
    <x v="0"/>
    <x v="2"/>
    <x v="2"/>
    <x v="0"/>
    <x v="1"/>
    <x v="1"/>
    <s v="Sunday"/>
    <x v="0"/>
    <s v="New Customer"/>
    <s v="Referred"/>
  </r>
  <r>
    <x v="645"/>
    <x v="574"/>
    <d v="2022-07-29T00:00:00"/>
    <s v="Frustrated with repeated documentation requests."/>
    <n v="3"/>
    <x v="1"/>
    <x v="1"/>
    <x v="0"/>
    <x v="0"/>
    <x v="2"/>
    <x v="11"/>
    <x v="0"/>
    <s v="Friday"/>
    <x v="0"/>
    <s v="Returning Customer"/>
    <s v="Not Referred"/>
  </r>
  <r>
    <x v="646"/>
    <x v="575"/>
    <d v="2021-02-21T00:00:00"/>
    <s v="Need more clarity on policy coverage."/>
    <n v="3"/>
    <x v="1"/>
    <x v="0"/>
    <x v="0"/>
    <x v="0"/>
    <x v="1"/>
    <x v="2"/>
    <x v="1"/>
    <s v="Sunday"/>
    <x v="0"/>
    <s v="New Customer"/>
    <s v="Referred"/>
  </r>
  <r>
    <x v="647"/>
    <x v="208"/>
    <d v="2021-10-03T00:00:00"/>
    <s v="Very satisfied with the claim process."/>
    <n v="5"/>
    <x v="1"/>
    <x v="1"/>
    <x v="2"/>
    <x v="2"/>
    <x v="1"/>
    <x v="6"/>
    <x v="3"/>
    <s v="Sunday"/>
    <x v="0"/>
    <s v="Returning Customer"/>
    <s v="Not Referred"/>
  </r>
  <r>
    <x v="648"/>
    <x v="576"/>
    <d v="2021-07-31T00:00:00"/>
    <s v="Frustrated with repeated documentation requests."/>
    <n v="3"/>
    <x v="0"/>
    <x v="1"/>
    <x v="0"/>
    <x v="0"/>
    <x v="1"/>
    <x v="11"/>
    <x v="0"/>
    <s v="Saturday"/>
    <x v="0"/>
    <s v="New Customer"/>
    <s v="Not Referred"/>
  </r>
  <r>
    <x v="649"/>
    <x v="577"/>
    <d v="2022-08-12T00:00:00"/>
    <s v="Need more clarity on policy coverage."/>
    <n v="1"/>
    <x v="0"/>
    <x v="1"/>
    <x v="1"/>
    <x v="1"/>
    <x v="2"/>
    <x v="0"/>
    <x v="0"/>
    <s v="Friday"/>
    <x v="1"/>
    <s v="New Customer"/>
    <s v="Not Referred"/>
  </r>
  <r>
    <x v="650"/>
    <x v="578"/>
    <d v="2022-03-23T00:00:00"/>
    <s v="I'm not happy with the premium charged."/>
    <n v="1"/>
    <x v="1"/>
    <x v="0"/>
    <x v="1"/>
    <x v="1"/>
    <x v="2"/>
    <x v="8"/>
    <x v="1"/>
    <s v="Wednesday"/>
    <x v="1"/>
    <s v="New Customer"/>
    <s v="Referred"/>
  </r>
  <r>
    <x v="651"/>
    <x v="530"/>
    <d v="2021-06-07T00:00:00"/>
    <s v="Frustrated with repeated documentation requests."/>
    <n v="1"/>
    <x v="1"/>
    <x v="1"/>
    <x v="1"/>
    <x v="1"/>
    <x v="1"/>
    <x v="9"/>
    <x v="2"/>
    <s v="Monday"/>
    <x v="1"/>
    <s v="Returning Customer"/>
    <s v="Not Referred"/>
  </r>
  <r>
    <x v="652"/>
    <x v="17"/>
    <d v="2020-09-03T00:00:00"/>
    <s v="Claim process could be faster."/>
    <n v="3"/>
    <x v="0"/>
    <x v="0"/>
    <x v="0"/>
    <x v="0"/>
    <x v="0"/>
    <x v="7"/>
    <x v="0"/>
    <s v="Thursday"/>
    <x v="0"/>
    <s v="Returning Customer"/>
    <s v="Referred"/>
  </r>
  <r>
    <x v="653"/>
    <x v="579"/>
    <d v="2020-05-29T00:00:00"/>
    <s v="Excellent customer service support."/>
    <n v="5"/>
    <x v="1"/>
    <x v="0"/>
    <x v="2"/>
    <x v="2"/>
    <x v="0"/>
    <x v="5"/>
    <x v="2"/>
    <s v="Friday"/>
    <x v="0"/>
    <s v="New Customer"/>
    <s v="Referred"/>
  </r>
  <r>
    <x v="654"/>
    <x v="489"/>
    <d v="2020-04-05T00:00:00"/>
    <s v="Excellent customer service support."/>
    <n v="4"/>
    <x v="0"/>
    <x v="0"/>
    <x v="2"/>
    <x v="2"/>
    <x v="0"/>
    <x v="3"/>
    <x v="2"/>
    <s v="Sunday"/>
    <x v="0"/>
    <s v="Returning Customer"/>
    <s v="Referred"/>
  </r>
  <r>
    <x v="655"/>
    <x v="322"/>
    <d v="2022-11-12T00:00:00"/>
    <s v="Had to wait too long for claim approval."/>
    <n v="2"/>
    <x v="1"/>
    <x v="0"/>
    <x v="1"/>
    <x v="1"/>
    <x v="2"/>
    <x v="4"/>
    <x v="3"/>
    <s v="Saturday"/>
    <x v="1"/>
    <s v="Returning Customer"/>
    <s v="Referred"/>
  </r>
  <r>
    <x v="656"/>
    <x v="580"/>
    <d v="2020-10-02T00:00:00"/>
    <s v="Smooth experience with no issues."/>
    <n v="4"/>
    <x v="1"/>
    <x v="0"/>
    <x v="2"/>
    <x v="2"/>
    <x v="0"/>
    <x v="6"/>
    <x v="3"/>
    <s v="Friday"/>
    <x v="0"/>
    <s v="New Customer"/>
    <s v="Referred"/>
  </r>
  <r>
    <x v="657"/>
    <x v="139"/>
    <d v="2021-12-27T00:00:00"/>
    <s v="The mobile app experience was intuitive."/>
    <n v="5"/>
    <x v="0"/>
    <x v="1"/>
    <x v="2"/>
    <x v="2"/>
    <x v="1"/>
    <x v="10"/>
    <x v="3"/>
    <s v="Monday"/>
    <x v="0"/>
    <s v="Returning Customer"/>
    <s v="Not Referred"/>
  </r>
  <r>
    <x v="658"/>
    <x v="409"/>
    <d v="2023-09-20T00:00:00"/>
    <s v="Very satisfied with the claim process."/>
    <n v="5"/>
    <x v="1"/>
    <x v="0"/>
    <x v="2"/>
    <x v="2"/>
    <x v="3"/>
    <x v="7"/>
    <x v="0"/>
    <s v="Wednesday"/>
    <x v="0"/>
    <s v="Returning Customer"/>
    <s v="Referred"/>
  </r>
  <r>
    <x v="659"/>
    <x v="581"/>
    <d v="2022-10-08T00:00:00"/>
    <s v="The agent was helpful and explained everything."/>
    <n v="4"/>
    <x v="1"/>
    <x v="1"/>
    <x v="2"/>
    <x v="2"/>
    <x v="2"/>
    <x v="6"/>
    <x v="3"/>
    <s v="Saturday"/>
    <x v="0"/>
    <s v="New Customer"/>
    <s v="Not Referred"/>
  </r>
  <r>
    <x v="660"/>
    <x v="582"/>
    <d v="2020-09-23T00:00:00"/>
    <s v="Frustrated with repeated documentation requests."/>
    <n v="3"/>
    <x v="1"/>
    <x v="0"/>
    <x v="0"/>
    <x v="0"/>
    <x v="0"/>
    <x v="7"/>
    <x v="0"/>
    <s v="Wednesday"/>
    <x v="0"/>
    <s v="New Customer"/>
    <s v="Referred"/>
  </r>
  <r>
    <x v="661"/>
    <x v="583"/>
    <d v="2023-05-31T00:00:00"/>
    <s v="Frustrated with repeated documentation requests."/>
    <n v="2"/>
    <x v="0"/>
    <x v="1"/>
    <x v="1"/>
    <x v="1"/>
    <x v="3"/>
    <x v="5"/>
    <x v="2"/>
    <s v="Wednesday"/>
    <x v="1"/>
    <s v="New Customer"/>
    <s v="Not Referred"/>
  </r>
  <r>
    <x v="662"/>
    <x v="584"/>
    <d v="2020-01-13T00:00:00"/>
    <s v="Excellent customer service support."/>
    <n v="4"/>
    <x v="1"/>
    <x v="0"/>
    <x v="2"/>
    <x v="2"/>
    <x v="0"/>
    <x v="1"/>
    <x v="1"/>
    <s v="Monday"/>
    <x v="0"/>
    <s v="New Customer"/>
    <s v="Referred"/>
  </r>
  <r>
    <x v="663"/>
    <x v="105"/>
    <d v="2021-08-26T00:00:00"/>
    <s v="The agent was helpful and explained everything."/>
    <n v="4"/>
    <x v="1"/>
    <x v="1"/>
    <x v="2"/>
    <x v="2"/>
    <x v="1"/>
    <x v="0"/>
    <x v="0"/>
    <s v="Thursday"/>
    <x v="0"/>
    <s v="Returning Customer"/>
    <s v="Not Referred"/>
  </r>
  <r>
    <x v="664"/>
    <x v="585"/>
    <d v="2020-02-22T00:00:00"/>
    <s v="Claim process could be faster."/>
    <n v="3"/>
    <x v="1"/>
    <x v="0"/>
    <x v="0"/>
    <x v="0"/>
    <x v="0"/>
    <x v="2"/>
    <x v="1"/>
    <s v="Saturday"/>
    <x v="0"/>
    <s v="Returning Customer"/>
    <s v="Referred"/>
  </r>
  <r>
    <x v="665"/>
    <x v="586"/>
    <d v="2021-11-13T00:00:00"/>
    <s v="Need more clarity on policy coverage."/>
    <n v="1"/>
    <x v="1"/>
    <x v="0"/>
    <x v="1"/>
    <x v="1"/>
    <x v="1"/>
    <x v="4"/>
    <x v="3"/>
    <s v="Saturday"/>
    <x v="1"/>
    <s v="New Customer"/>
    <s v="Referred"/>
  </r>
  <r>
    <x v="666"/>
    <x v="587"/>
    <d v="2021-05-11T00:00:00"/>
    <s v="Excellent customer service support."/>
    <n v="4"/>
    <x v="1"/>
    <x v="1"/>
    <x v="2"/>
    <x v="2"/>
    <x v="1"/>
    <x v="5"/>
    <x v="2"/>
    <s v="Tuesday"/>
    <x v="0"/>
    <s v="New Customer"/>
    <s v="Not Referred"/>
  </r>
  <r>
    <x v="667"/>
    <x v="588"/>
    <d v="2020-01-22T00:00:00"/>
    <s v="Had to wait too long for claim approval."/>
    <n v="2"/>
    <x v="1"/>
    <x v="0"/>
    <x v="1"/>
    <x v="1"/>
    <x v="0"/>
    <x v="1"/>
    <x v="1"/>
    <s v="Wednesday"/>
    <x v="1"/>
    <s v="New Customer"/>
    <s v="Referred"/>
  </r>
  <r>
    <x v="668"/>
    <x v="589"/>
    <d v="2020-03-22T00:00:00"/>
    <s v="Very satisfied with the claim process."/>
    <n v="5"/>
    <x v="0"/>
    <x v="0"/>
    <x v="2"/>
    <x v="2"/>
    <x v="0"/>
    <x v="8"/>
    <x v="1"/>
    <s v="Sunday"/>
    <x v="0"/>
    <s v="New Customer"/>
    <s v="Referred"/>
  </r>
  <r>
    <x v="669"/>
    <x v="241"/>
    <d v="2023-06-23T00:00:00"/>
    <s v="Frustrated with repeated documentation requests."/>
    <n v="1"/>
    <x v="1"/>
    <x v="0"/>
    <x v="1"/>
    <x v="1"/>
    <x v="3"/>
    <x v="9"/>
    <x v="2"/>
    <s v="Friday"/>
    <x v="1"/>
    <s v="Returning Customer"/>
    <s v="Referred"/>
  </r>
  <r>
    <x v="670"/>
    <x v="590"/>
    <d v="2023-02-12T00:00:00"/>
    <s v="Frustrated with repeated documentation requests."/>
    <n v="1"/>
    <x v="0"/>
    <x v="1"/>
    <x v="1"/>
    <x v="1"/>
    <x v="3"/>
    <x v="2"/>
    <x v="1"/>
    <s v="Sunday"/>
    <x v="1"/>
    <s v="New Customer"/>
    <s v="Not Referred"/>
  </r>
  <r>
    <x v="671"/>
    <x v="591"/>
    <d v="2021-06-20T00:00:00"/>
    <s v="Frustrated with repeated documentation requests."/>
    <n v="3"/>
    <x v="0"/>
    <x v="1"/>
    <x v="0"/>
    <x v="0"/>
    <x v="1"/>
    <x v="9"/>
    <x v="2"/>
    <s v="Sunday"/>
    <x v="0"/>
    <s v="New Customer"/>
    <s v="Not Referred"/>
  </r>
  <r>
    <x v="672"/>
    <x v="592"/>
    <d v="2022-06-23T00:00:00"/>
    <s v="Frustrated with repeated documentation requests."/>
    <n v="3"/>
    <x v="1"/>
    <x v="0"/>
    <x v="0"/>
    <x v="0"/>
    <x v="2"/>
    <x v="9"/>
    <x v="2"/>
    <s v="Thursday"/>
    <x v="0"/>
    <s v="New Customer"/>
    <s v="Referred"/>
  </r>
  <r>
    <x v="673"/>
    <x v="488"/>
    <d v="2022-01-12T00:00:00"/>
    <s v="The agent was helpful and explained everything."/>
    <n v="4"/>
    <x v="1"/>
    <x v="1"/>
    <x v="2"/>
    <x v="2"/>
    <x v="2"/>
    <x v="1"/>
    <x v="1"/>
    <s v="Wednesday"/>
    <x v="0"/>
    <s v="Returning Customer"/>
    <s v="Not Referred"/>
  </r>
  <r>
    <x v="674"/>
    <x v="593"/>
    <d v="2021-09-04T00:00:00"/>
    <s v="The agent was helpful and explained everything."/>
    <n v="5"/>
    <x v="0"/>
    <x v="0"/>
    <x v="2"/>
    <x v="2"/>
    <x v="1"/>
    <x v="7"/>
    <x v="0"/>
    <s v="Saturday"/>
    <x v="0"/>
    <s v="New Customer"/>
    <s v="Referred"/>
  </r>
  <r>
    <x v="675"/>
    <x v="594"/>
    <d v="2022-11-30T00:00:00"/>
    <s v="Claim process could be faster."/>
    <n v="2"/>
    <x v="0"/>
    <x v="1"/>
    <x v="1"/>
    <x v="1"/>
    <x v="2"/>
    <x v="4"/>
    <x v="3"/>
    <s v="Wednesday"/>
    <x v="1"/>
    <s v="New Customer"/>
    <s v="Not Referred"/>
  </r>
  <r>
    <x v="676"/>
    <x v="595"/>
    <d v="2020-03-24T00:00:00"/>
    <s v="Frustrated with repeated documentation requests."/>
    <n v="1"/>
    <x v="1"/>
    <x v="1"/>
    <x v="1"/>
    <x v="1"/>
    <x v="0"/>
    <x v="8"/>
    <x v="1"/>
    <s v="Tuesday"/>
    <x v="1"/>
    <s v="New Customer"/>
    <s v="Not Referred"/>
  </r>
  <r>
    <x v="677"/>
    <x v="596"/>
    <d v="2023-02-03T00:00:00"/>
    <s v="The agent was helpful and explained everything."/>
    <n v="5"/>
    <x v="0"/>
    <x v="1"/>
    <x v="2"/>
    <x v="2"/>
    <x v="3"/>
    <x v="2"/>
    <x v="1"/>
    <s v="Friday"/>
    <x v="0"/>
    <s v="New Customer"/>
    <s v="Not Referred"/>
  </r>
  <r>
    <x v="678"/>
    <x v="597"/>
    <d v="2020-07-15T00:00:00"/>
    <s v="Need more clarity on policy coverage."/>
    <n v="2"/>
    <x v="1"/>
    <x v="0"/>
    <x v="1"/>
    <x v="1"/>
    <x v="0"/>
    <x v="11"/>
    <x v="0"/>
    <s v="Wednesday"/>
    <x v="1"/>
    <s v="New Customer"/>
    <s v="Referred"/>
  </r>
  <r>
    <x v="679"/>
    <x v="276"/>
    <d v="2023-11-07T00:00:00"/>
    <s v="I'm not happy with the premium charged."/>
    <n v="1"/>
    <x v="1"/>
    <x v="1"/>
    <x v="1"/>
    <x v="1"/>
    <x v="3"/>
    <x v="4"/>
    <x v="3"/>
    <s v="Tuesday"/>
    <x v="1"/>
    <s v="Returning Customer"/>
    <s v="Not Referred"/>
  </r>
  <r>
    <x v="680"/>
    <x v="464"/>
    <d v="2023-01-29T00:00:00"/>
    <s v="Need more clarity on policy coverage."/>
    <n v="2"/>
    <x v="1"/>
    <x v="0"/>
    <x v="1"/>
    <x v="1"/>
    <x v="3"/>
    <x v="1"/>
    <x v="1"/>
    <s v="Sunday"/>
    <x v="1"/>
    <s v="Returning Customer"/>
    <s v="Referred"/>
  </r>
  <r>
    <x v="681"/>
    <x v="334"/>
    <d v="2023-02-09T00:00:00"/>
    <s v="Excellent customer service support."/>
    <n v="5"/>
    <x v="1"/>
    <x v="0"/>
    <x v="2"/>
    <x v="2"/>
    <x v="3"/>
    <x v="2"/>
    <x v="1"/>
    <s v="Thursday"/>
    <x v="0"/>
    <s v="Returning Customer"/>
    <s v="Referred"/>
  </r>
  <r>
    <x v="682"/>
    <x v="598"/>
    <d v="2020-03-16T00:00:00"/>
    <s v="I'm not happy with the premium charged."/>
    <n v="1"/>
    <x v="0"/>
    <x v="0"/>
    <x v="1"/>
    <x v="1"/>
    <x v="0"/>
    <x v="8"/>
    <x v="1"/>
    <s v="Monday"/>
    <x v="1"/>
    <s v="New Customer"/>
    <s v="Referred"/>
  </r>
  <r>
    <x v="683"/>
    <x v="599"/>
    <d v="2022-04-15T00:00:00"/>
    <s v="Had to wait too long for claim approval."/>
    <n v="1"/>
    <x v="1"/>
    <x v="1"/>
    <x v="1"/>
    <x v="1"/>
    <x v="2"/>
    <x v="3"/>
    <x v="2"/>
    <s v="Friday"/>
    <x v="1"/>
    <s v="New Customer"/>
    <s v="Not Referred"/>
  </r>
  <r>
    <x v="684"/>
    <x v="600"/>
    <d v="2022-05-10T00:00:00"/>
    <s v="Had to wait too long for claim approval."/>
    <n v="1"/>
    <x v="1"/>
    <x v="1"/>
    <x v="1"/>
    <x v="1"/>
    <x v="2"/>
    <x v="5"/>
    <x v="2"/>
    <s v="Tuesday"/>
    <x v="1"/>
    <s v="New Customer"/>
    <s v="Not Referred"/>
  </r>
  <r>
    <x v="685"/>
    <x v="601"/>
    <d v="2022-05-03T00:00:00"/>
    <s v="Had to wait too long for claim approval."/>
    <n v="1"/>
    <x v="0"/>
    <x v="1"/>
    <x v="1"/>
    <x v="1"/>
    <x v="2"/>
    <x v="5"/>
    <x v="2"/>
    <s v="Tuesday"/>
    <x v="1"/>
    <s v="New Customer"/>
    <s v="Not Referred"/>
  </r>
  <r>
    <x v="686"/>
    <x v="602"/>
    <d v="2021-01-06T00:00:00"/>
    <s v="The agent was helpful and explained everything."/>
    <n v="4"/>
    <x v="0"/>
    <x v="1"/>
    <x v="2"/>
    <x v="2"/>
    <x v="1"/>
    <x v="1"/>
    <x v="1"/>
    <s v="Wednesday"/>
    <x v="0"/>
    <s v="New Customer"/>
    <s v="Not Referred"/>
  </r>
  <r>
    <x v="687"/>
    <x v="603"/>
    <d v="2022-11-12T00:00:00"/>
    <s v="I'm not happy with the premium charged."/>
    <n v="3"/>
    <x v="0"/>
    <x v="0"/>
    <x v="0"/>
    <x v="0"/>
    <x v="2"/>
    <x v="4"/>
    <x v="3"/>
    <s v="Saturday"/>
    <x v="0"/>
    <s v="New Customer"/>
    <s v="Referred"/>
  </r>
  <r>
    <x v="688"/>
    <x v="604"/>
    <d v="2023-05-06T00:00:00"/>
    <s v="Excellent customer service support."/>
    <n v="5"/>
    <x v="0"/>
    <x v="0"/>
    <x v="2"/>
    <x v="2"/>
    <x v="3"/>
    <x v="5"/>
    <x v="2"/>
    <s v="Saturday"/>
    <x v="0"/>
    <s v="New Customer"/>
    <s v="Referred"/>
  </r>
  <r>
    <x v="689"/>
    <x v="605"/>
    <d v="2021-12-10T00:00:00"/>
    <s v="I'm not happy with the premium charged."/>
    <n v="1"/>
    <x v="0"/>
    <x v="0"/>
    <x v="1"/>
    <x v="1"/>
    <x v="1"/>
    <x v="10"/>
    <x v="3"/>
    <s v="Friday"/>
    <x v="1"/>
    <s v="New Customer"/>
    <s v="Referred"/>
  </r>
  <r>
    <x v="690"/>
    <x v="606"/>
    <d v="2021-10-07T00:00:00"/>
    <s v="Had to wait too long for claim approval."/>
    <n v="2"/>
    <x v="0"/>
    <x v="1"/>
    <x v="1"/>
    <x v="1"/>
    <x v="1"/>
    <x v="6"/>
    <x v="3"/>
    <s v="Thursday"/>
    <x v="1"/>
    <s v="New Customer"/>
    <s v="Not Referred"/>
  </r>
  <r>
    <x v="691"/>
    <x v="607"/>
    <d v="2023-04-06T00:00:00"/>
    <s v="Frustrated with repeated documentation requests."/>
    <n v="1"/>
    <x v="0"/>
    <x v="1"/>
    <x v="1"/>
    <x v="1"/>
    <x v="3"/>
    <x v="3"/>
    <x v="2"/>
    <s v="Thursday"/>
    <x v="1"/>
    <s v="New Customer"/>
    <s v="Not Referred"/>
  </r>
  <r>
    <x v="692"/>
    <x v="608"/>
    <d v="2021-02-07T00:00:00"/>
    <s v="Frustrated with repeated documentation requests."/>
    <n v="3"/>
    <x v="1"/>
    <x v="0"/>
    <x v="0"/>
    <x v="0"/>
    <x v="1"/>
    <x v="2"/>
    <x v="1"/>
    <s v="Sunday"/>
    <x v="0"/>
    <s v="New Customer"/>
    <s v="Referred"/>
  </r>
  <r>
    <x v="693"/>
    <x v="609"/>
    <d v="2020-09-18T00:00:00"/>
    <s v="Excellent customer service support."/>
    <n v="4"/>
    <x v="0"/>
    <x v="0"/>
    <x v="2"/>
    <x v="2"/>
    <x v="0"/>
    <x v="7"/>
    <x v="0"/>
    <s v="Friday"/>
    <x v="0"/>
    <s v="New Customer"/>
    <s v="Referred"/>
  </r>
  <r>
    <x v="694"/>
    <x v="610"/>
    <d v="2021-03-26T00:00:00"/>
    <s v="Need more clarity on policy coverage."/>
    <n v="3"/>
    <x v="0"/>
    <x v="1"/>
    <x v="0"/>
    <x v="0"/>
    <x v="1"/>
    <x v="8"/>
    <x v="1"/>
    <s v="Friday"/>
    <x v="0"/>
    <s v="New Customer"/>
    <s v="Not Referred"/>
  </r>
  <r>
    <x v="695"/>
    <x v="611"/>
    <d v="2020-04-09T00:00:00"/>
    <s v="Had to wait too long for claim approval."/>
    <n v="2"/>
    <x v="0"/>
    <x v="0"/>
    <x v="1"/>
    <x v="1"/>
    <x v="0"/>
    <x v="3"/>
    <x v="2"/>
    <s v="Thursday"/>
    <x v="1"/>
    <s v="New Customer"/>
    <s v="Referred"/>
  </r>
  <r>
    <x v="696"/>
    <x v="612"/>
    <d v="2021-01-14T00:00:00"/>
    <s v="The agent was helpful and explained everything."/>
    <n v="4"/>
    <x v="0"/>
    <x v="0"/>
    <x v="2"/>
    <x v="2"/>
    <x v="1"/>
    <x v="1"/>
    <x v="1"/>
    <s v="Thursday"/>
    <x v="0"/>
    <s v="New Customer"/>
    <s v="Referred"/>
  </r>
  <r>
    <x v="697"/>
    <x v="299"/>
    <d v="2022-12-11T00:00:00"/>
    <s v="Frustrated with repeated documentation requests."/>
    <n v="1"/>
    <x v="0"/>
    <x v="0"/>
    <x v="1"/>
    <x v="1"/>
    <x v="2"/>
    <x v="10"/>
    <x v="3"/>
    <s v="Sunday"/>
    <x v="1"/>
    <s v="Returning Customer"/>
    <s v="Referred"/>
  </r>
  <r>
    <x v="698"/>
    <x v="181"/>
    <d v="2020-06-27T00:00:00"/>
    <s v="Had to wait too long for claim approval."/>
    <n v="1"/>
    <x v="0"/>
    <x v="1"/>
    <x v="1"/>
    <x v="1"/>
    <x v="0"/>
    <x v="9"/>
    <x v="2"/>
    <s v="Saturday"/>
    <x v="1"/>
    <s v="Returning Customer"/>
    <s v="Not Referred"/>
  </r>
  <r>
    <x v="699"/>
    <x v="613"/>
    <d v="2023-10-29T00:00:00"/>
    <s v="I'm not happy with the premium charged."/>
    <n v="3"/>
    <x v="1"/>
    <x v="1"/>
    <x v="0"/>
    <x v="0"/>
    <x v="3"/>
    <x v="6"/>
    <x v="3"/>
    <s v="Sunday"/>
    <x v="0"/>
    <s v="New Customer"/>
    <s v="Not Referred"/>
  </r>
  <r>
    <x v="700"/>
    <x v="614"/>
    <d v="2020-05-03T00:00:00"/>
    <s v="Had to wait too long for claim approval."/>
    <n v="1"/>
    <x v="0"/>
    <x v="0"/>
    <x v="1"/>
    <x v="1"/>
    <x v="0"/>
    <x v="5"/>
    <x v="2"/>
    <s v="Sunday"/>
    <x v="1"/>
    <s v="New Customer"/>
    <s v="Referred"/>
  </r>
  <r>
    <x v="701"/>
    <x v="615"/>
    <d v="2021-07-12T00:00:00"/>
    <s v="Frustrated with repeated documentation requests."/>
    <n v="3"/>
    <x v="1"/>
    <x v="0"/>
    <x v="0"/>
    <x v="0"/>
    <x v="1"/>
    <x v="11"/>
    <x v="0"/>
    <s v="Monday"/>
    <x v="0"/>
    <s v="New Customer"/>
    <s v="Referred"/>
  </r>
  <r>
    <x v="702"/>
    <x v="616"/>
    <d v="2023-12-12T00:00:00"/>
    <s v="Very satisfied with the claim process."/>
    <n v="5"/>
    <x v="0"/>
    <x v="0"/>
    <x v="2"/>
    <x v="2"/>
    <x v="3"/>
    <x v="10"/>
    <x v="3"/>
    <s v="Tuesday"/>
    <x v="0"/>
    <s v="New Customer"/>
    <s v="Referred"/>
  </r>
  <r>
    <x v="703"/>
    <x v="617"/>
    <d v="2020-05-16T00:00:00"/>
    <s v="Claim process could be faster."/>
    <n v="2"/>
    <x v="1"/>
    <x v="0"/>
    <x v="1"/>
    <x v="1"/>
    <x v="0"/>
    <x v="5"/>
    <x v="2"/>
    <s v="Saturday"/>
    <x v="1"/>
    <s v="New Customer"/>
    <s v="Referred"/>
  </r>
  <r>
    <x v="704"/>
    <x v="618"/>
    <d v="2020-02-27T00:00:00"/>
    <s v="Need more clarity on policy coverage."/>
    <n v="3"/>
    <x v="1"/>
    <x v="0"/>
    <x v="0"/>
    <x v="0"/>
    <x v="0"/>
    <x v="2"/>
    <x v="1"/>
    <s v="Thursday"/>
    <x v="0"/>
    <s v="New Customer"/>
    <s v="Referred"/>
  </r>
  <r>
    <x v="705"/>
    <x v="270"/>
    <d v="2021-10-23T00:00:00"/>
    <s v="The agent was helpful and explained everything."/>
    <n v="4"/>
    <x v="0"/>
    <x v="1"/>
    <x v="2"/>
    <x v="2"/>
    <x v="1"/>
    <x v="6"/>
    <x v="3"/>
    <s v="Saturday"/>
    <x v="0"/>
    <s v="Returning Customer"/>
    <s v="Not Referred"/>
  </r>
  <r>
    <x v="706"/>
    <x v="532"/>
    <d v="2020-11-26T00:00:00"/>
    <s v="The agent was helpful and explained everything."/>
    <n v="4"/>
    <x v="1"/>
    <x v="0"/>
    <x v="2"/>
    <x v="2"/>
    <x v="0"/>
    <x v="4"/>
    <x v="3"/>
    <s v="Thursday"/>
    <x v="0"/>
    <s v="Returning Customer"/>
    <s v="Referred"/>
  </r>
  <r>
    <x v="707"/>
    <x v="619"/>
    <d v="2020-12-07T00:00:00"/>
    <s v="The agent was helpful and explained everything."/>
    <n v="4"/>
    <x v="1"/>
    <x v="1"/>
    <x v="2"/>
    <x v="2"/>
    <x v="0"/>
    <x v="10"/>
    <x v="3"/>
    <s v="Monday"/>
    <x v="0"/>
    <s v="New Customer"/>
    <s v="Not Referred"/>
  </r>
  <r>
    <x v="708"/>
    <x v="620"/>
    <d v="2022-03-20T00:00:00"/>
    <s v="Very satisfied with the claim process."/>
    <n v="4"/>
    <x v="1"/>
    <x v="0"/>
    <x v="2"/>
    <x v="2"/>
    <x v="2"/>
    <x v="8"/>
    <x v="1"/>
    <s v="Sunday"/>
    <x v="0"/>
    <s v="Returning Customer"/>
    <s v="Referred"/>
  </r>
  <r>
    <x v="709"/>
    <x v="621"/>
    <d v="2020-04-22T00:00:00"/>
    <s v="I'm not happy with the premium charged."/>
    <n v="3"/>
    <x v="1"/>
    <x v="0"/>
    <x v="0"/>
    <x v="0"/>
    <x v="0"/>
    <x v="3"/>
    <x v="2"/>
    <s v="Wednesday"/>
    <x v="0"/>
    <s v="New Customer"/>
    <s v="Referred"/>
  </r>
  <r>
    <x v="710"/>
    <x v="622"/>
    <d v="2022-06-17T00:00:00"/>
    <s v="The mobile app experience was intuitive."/>
    <n v="3"/>
    <x v="0"/>
    <x v="1"/>
    <x v="0"/>
    <x v="0"/>
    <x v="2"/>
    <x v="9"/>
    <x v="2"/>
    <s v="Friday"/>
    <x v="0"/>
    <s v="New Customer"/>
    <s v="Not Referred"/>
  </r>
  <r>
    <x v="711"/>
    <x v="623"/>
    <d v="2022-10-06T00:00:00"/>
    <s v="Claim process could be faster."/>
    <n v="2"/>
    <x v="0"/>
    <x v="0"/>
    <x v="1"/>
    <x v="1"/>
    <x v="2"/>
    <x v="6"/>
    <x v="3"/>
    <s v="Thursday"/>
    <x v="1"/>
    <s v="New Customer"/>
    <s v="Referred"/>
  </r>
  <r>
    <x v="712"/>
    <x v="624"/>
    <d v="2022-01-27T00:00:00"/>
    <s v="Very satisfied with the claim process."/>
    <n v="5"/>
    <x v="0"/>
    <x v="1"/>
    <x v="2"/>
    <x v="2"/>
    <x v="2"/>
    <x v="1"/>
    <x v="1"/>
    <s v="Thursday"/>
    <x v="0"/>
    <s v="New Customer"/>
    <s v="Not Referred"/>
  </r>
  <r>
    <x v="713"/>
    <x v="625"/>
    <d v="2022-02-20T00:00:00"/>
    <s v="The agent was helpful and explained everything."/>
    <n v="5"/>
    <x v="0"/>
    <x v="1"/>
    <x v="2"/>
    <x v="2"/>
    <x v="2"/>
    <x v="2"/>
    <x v="1"/>
    <s v="Sunday"/>
    <x v="0"/>
    <s v="New Customer"/>
    <s v="Not Referred"/>
  </r>
  <r>
    <x v="714"/>
    <x v="333"/>
    <d v="2020-05-11T00:00:00"/>
    <s v="Need more clarity on policy coverage."/>
    <n v="2"/>
    <x v="0"/>
    <x v="1"/>
    <x v="1"/>
    <x v="1"/>
    <x v="0"/>
    <x v="5"/>
    <x v="2"/>
    <s v="Monday"/>
    <x v="1"/>
    <s v="Returning Customer"/>
    <s v="Not Referred"/>
  </r>
  <r>
    <x v="715"/>
    <x v="626"/>
    <d v="2021-08-28T00:00:00"/>
    <s v="The mobile app experience was intuitive."/>
    <n v="3"/>
    <x v="0"/>
    <x v="1"/>
    <x v="0"/>
    <x v="0"/>
    <x v="1"/>
    <x v="0"/>
    <x v="0"/>
    <s v="Saturday"/>
    <x v="0"/>
    <s v="New Customer"/>
    <s v="Not Referred"/>
  </r>
  <r>
    <x v="716"/>
    <x v="627"/>
    <d v="2020-11-22T00:00:00"/>
    <s v="Claim process could be faster."/>
    <n v="2"/>
    <x v="1"/>
    <x v="1"/>
    <x v="1"/>
    <x v="1"/>
    <x v="0"/>
    <x v="4"/>
    <x v="3"/>
    <s v="Sunday"/>
    <x v="1"/>
    <s v="Returning Customer"/>
    <s v="Not Referred"/>
  </r>
  <r>
    <x v="717"/>
    <x v="628"/>
    <d v="2021-01-13T00:00:00"/>
    <s v="I'm not happy with the premium charged."/>
    <n v="2"/>
    <x v="1"/>
    <x v="1"/>
    <x v="1"/>
    <x v="1"/>
    <x v="1"/>
    <x v="1"/>
    <x v="1"/>
    <s v="Wednesday"/>
    <x v="1"/>
    <s v="New Customer"/>
    <s v="Not Referred"/>
  </r>
  <r>
    <x v="718"/>
    <x v="629"/>
    <d v="2021-12-25T00:00:00"/>
    <s v="Claim process could be faster."/>
    <n v="2"/>
    <x v="0"/>
    <x v="0"/>
    <x v="1"/>
    <x v="1"/>
    <x v="1"/>
    <x v="10"/>
    <x v="3"/>
    <s v="Saturday"/>
    <x v="1"/>
    <s v="New Customer"/>
    <s v="Referred"/>
  </r>
  <r>
    <x v="719"/>
    <x v="630"/>
    <d v="2023-09-14T00:00:00"/>
    <s v="I'm not happy with the premium charged."/>
    <n v="3"/>
    <x v="1"/>
    <x v="1"/>
    <x v="0"/>
    <x v="0"/>
    <x v="3"/>
    <x v="7"/>
    <x v="0"/>
    <s v="Thursday"/>
    <x v="0"/>
    <s v="New Customer"/>
    <s v="Not Referred"/>
  </r>
  <r>
    <x v="720"/>
    <x v="120"/>
    <d v="2023-03-28T00:00:00"/>
    <s v="Need more clarity on policy coverage."/>
    <n v="1"/>
    <x v="0"/>
    <x v="1"/>
    <x v="1"/>
    <x v="1"/>
    <x v="3"/>
    <x v="8"/>
    <x v="1"/>
    <s v="Tuesday"/>
    <x v="1"/>
    <s v="Returning Customer"/>
    <s v="Not Referred"/>
  </r>
  <r>
    <x v="721"/>
    <x v="286"/>
    <d v="2021-12-30T00:00:00"/>
    <s v="The mobile app experience was intuitive."/>
    <n v="3"/>
    <x v="1"/>
    <x v="0"/>
    <x v="0"/>
    <x v="0"/>
    <x v="1"/>
    <x v="10"/>
    <x v="3"/>
    <s v="Thursday"/>
    <x v="0"/>
    <s v="Returning Customer"/>
    <s v="Referred"/>
  </r>
  <r>
    <x v="722"/>
    <x v="631"/>
    <d v="2020-03-12T00:00:00"/>
    <s v="Excellent customer service support."/>
    <n v="5"/>
    <x v="1"/>
    <x v="1"/>
    <x v="2"/>
    <x v="2"/>
    <x v="0"/>
    <x v="8"/>
    <x v="1"/>
    <s v="Thursday"/>
    <x v="0"/>
    <s v="New Customer"/>
    <s v="Not Referred"/>
  </r>
  <r>
    <x v="723"/>
    <x v="632"/>
    <d v="2020-05-29T00:00:00"/>
    <s v="The mobile app experience was intuitive."/>
    <n v="5"/>
    <x v="0"/>
    <x v="1"/>
    <x v="2"/>
    <x v="2"/>
    <x v="0"/>
    <x v="5"/>
    <x v="2"/>
    <s v="Friday"/>
    <x v="0"/>
    <s v="New Customer"/>
    <s v="Not Referred"/>
  </r>
  <r>
    <x v="724"/>
    <x v="633"/>
    <d v="2022-08-31T00:00:00"/>
    <s v="Need more clarity on policy coverage."/>
    <n v="2"/>
    <x v="0"/>
    <x v="1"/>
    <x v="1"/>
    <x v="1"/>
    <x v="2"/>
    <x v="0"/>
    <x v="0"/>
    <s v="Wednesday"/>
    <x v="1"/>
    <s v="New Customer"/>
    <s v="Not Referred"/>
  </r>
  <r>
    <x v="725"/>
    <x v="634"/>
    <d v="2022-07-13T00:00:00"/>
    <s v="Very satisfied with the claim process."/>
    <n v="5"/>
    <x v="1"/>
    <x v="1"/>
    <x v="2"/>
    <x v="2"/>
    <x v="2"/>
    <x v="11"/>
    <x v="0"/>
    <s v="Wednesday"/>
    <x v="0"/>
    <s v="New Customer"/>
    <s v="Not Referred"/>
  </r>
  <r>
    <x v="726"/>
    <x v="635"/>
    <d v="2020-09-26T00:00:00"/>
    <s v="Excellent customer service support."/>
    <n v="5"/>
    <x v="1"/>
    <x v="0"/>
    <x v="2"/>
    <x v="2"/>
    <x v="0"/>
    <x v="7"/>
    <x v="0"/>
    <s v="Saturday"/>
    <x v="0"/>
    <s v="New Customer"/>
    <s v="Referred"/>
  </r>
  <r>
    <x v="727"/>
    <x v="188"/>
    <d v="2020-07-30T00:00:00"/>
    <s v="Very satisfied with the claim process."/>
    <n v="5"/>
    <x v="0"/>
    <x v="1"/>
    <x v="2"/>
    <x v="2"/>
    <x v="0"/>
    <x v="11"/>
    <x v="0"/>
    <s v="Thursday"/>
    <x v="0"/>
    <s v="Returning Customer"/>
    <s v="Not Referred"/>
  </r>
  <r>
    <x v="728"/>
    <x v="636"/>
    <d v="2021-05-26T00:00:00"/>
    <s v="Had to wait too long for claim approval."/>
    <n v="1"/>
    <x v="0"/>
    <x v="1"/>
    <x v="1"/>
    <x v="1"/>
    <x v="1"/>
    <x v="5"/>
    <x v="2"/>
    <s v="Wednesday"/>
    <x v="1"/>
    <s v="New Customer"/>
    <s v="Not Referred"/>
  </r>
  <r>
    <x v="729"/>
    <x v="637"/>
    <d v="2021-12-15T00:00:00"/>
    <s v="I'm not happy with the premium charged."/>
    <n v="3"/>
    <x v="0"/>
    <x v="1"/>
    <x v="0"/>
    <x v="0"/>
    <x v="1"/>
    <x v="10"/>
    <x v="3"/>
    <s v="Wednesday"/>
    <x v="0"/>
    <s v="New Customer"/>
    <s v="Not Referred"/>
  </r>
  <r>
    <x v="730"/>
    <x v="638"/>
    <d v="2022-10-22T00:00:00"/>
    <s v="The mobile app experience was intuitive."/>
    <n v="3"/>
    <x v="0"/>
    <x v="1"/>
    <x v="0"/>
    <x v="0"/>
    <x v="2"/>
    <x v="6"/>
    <x v="3"/>
    <s v="Saturday"/>
    <x v="0"/>
    <s v="New Customer"/>
    <s v="Not Referred"/>
  </r>
  <r>
    <x v="731"/>
    <x v="639"/>
    <d v="2023-01-03T00:00:00"/>
    <s v="Claim process could be faster."/>
    <n v="3"/>
    <x v="0"/>
    <x v="0"/>
    <x v="0"/>
    <x v="0"/>
    <x v="3"/>
    <x v="1"/>
    <x v="1"/>
    <s v="Tuesday"/>
    <x v="0"/>
    <s v="Returning Customer"/>
    <s v="Referred"/>
  </r>
  <r>
    <x v="732"/>
    <x v="640"/>
    <d v="2023-02-23T00:00:00"/>
    <s v="Frustrated with repeated documentation requests."/>
    <n v="3"/>
    <x v="1"/>
    <x v="0"/>
    <x v="0"/>
    <x v="0"/>
    <x v="3"/>
    <x v="2"/>
    <x v="1"/>
    <s v="Thursday"/>
    <x v="0"/>
    <s v="New Customer"/>
    <s v="Referred"/>
  </r>
  <r>
    <x v="733"/>
    <x v="641"/>
    <d v="2020-05-07T00:00:00"/>
    <s v="Excellent customer service support."/>
    <n v="4"/>
    <x v="1"/>
    <x v="0"/>
    <x v="2"/>
    <x v="2"/>
    <x v="0"/>
    <x v="5"/>
    <x v="2"/>
    <s v="Thursday"/>
    <x v="0"/>
    <s v="New Customer"/>
    <s v="Referred"/>
  </r>
  <r>
    <x v="734"/>
    <x v="642"/>
    <d v="2021-11-01T00:00:00"/>
    <s v="Smooth experience with no issues."/>
    <n v="5"/>
    <x v="1"/>
    <x v="0"/>
    <x v="2"/>
    <x v="2"/>
    <x v="1"/>
    <x v="4"/>
    <x v="3"/>
    <s v="Monday"/>
    <x v="0"/>
    <s v="Returning Customer"/>
    <s v="Referred"/>
  </r>
  <r>
    <x v="735"/>
    <x v="643"/>
    <d v="2022-12-10T00:00:00"/>
    <s v="Frustrated with repeated documentation requests."/>
    <n v="2"/>
    <x v="0"/>
    <x v="1"/>
    <x v="1"/>
    <x v="1"/>
    <x v="2"/>
    <x v="10"/>
    <x v="3"/>
    <s v="Saturday"/>
    <x v="1"/>
    <s v="New Customer"/>
    <s v="Not Referred"/>
  </r>
  <r>
    <x v="736"/>
    <x v="204"/>
    <d v="2021-04-30T00:00:00"/>
    <s v="Smooth experience with no issues."/>
    <n v="5"/>
    <x v="1"/>
    <x v="1"/>
    <x v="2"/>
    <x v="2"/>
    <x v="1"/>
    <x v="3"/>
    <x v="2"/>
    <s v="Friday"/>
    <x v="0"/>
    <s v="Returning Customer"/>
    <s v="Not Referred"/>
  </r>
  <r>
    <x v="737"/>
    <x v="644"/>
    <d v="2022-03-29T00:00:00"/>
    <s v="Excellent customer service support."/>
    <n v="4"/>
    <x v="1"/>
    <x v="0"/>
    <x v="2"/>
    <x v="2"/>
    <x v="2"/>
    <x v="8"/>
    <x v="1"/>
    <s v="Tuesday"/>
    <x v="0"/>
    <s v="Returning Customer"/>
    <s v="Referred"/>
  </r>
  <r>
    <x v="738"/>
    <x v="452"/>
    <d v="2023-05-07T00:00:00"/>
    <s v="Excellent customer service support."/>
    <n v="4"/>
    <x v="1"/>
    <x v="0"/>
    <x v="2"/>
    <x v="2"/>
    <x v="3"/>
    <x v="5"/>
    <x v="2"/>
    <s v="Sunday"/>
    <x v="0"/>
    <s v="Returning Customer"/>
    <s v="Referred"/>
  </r>
  <r>
    <x v="739"/>
    <x v="645"/>
    <d v="2021-04-12T00:00:00"/>
    <s v="Claim process could be faster."/>
    <n v="2"/>
    <x v="0"/>
    <x v="0"/>
    <x v="1"/>
    <x v="1"/>
    <x v="1"/>
    <x v="3"/>
    <x v="2"/>
    <s v="Monday"/>
    <x v="1"/>
    <s v="New Customer"/>
    <s v="Referred"/>
  </r>
  <r>
    <x v="740"/>
    <x v="646"/>
    <d v="2020-06-11T00:00:00"/>
    <s v="Smooth experience with no issues."/>
    <n v="5"/>
    <x v="1"/>
    <x v="1"/>
    <x v="2"/>
    <x v="2"/>
    <x v="0"/>
    <x v="9"/>
    <x v="2"/>
    <s v="Thursday"/>
    <x v="0"/>
    <s v="New Customer"/>
    <s v="Not Referred"/>
  </r>
  <r>
    <x v="741"/>
    <x v="647"/>
    <d v="2022-08-04T00:00:00"/>
    <s v="Had to wait too long for claim approval."/>
    <n v="1"/>
    <x v="1"/>
    <x v="1"/>
    <x v="1"/>
    <x v="1"/>
    <x v="2"/>
    <x v="0"/>
    <x v="0"/>
    <s v="Thursday"/>
    <x v="1"/>
    <s v="New Customer"/>
    <s v="Not Referred"/>
  </r>
  <r>
    <x v="742"/>
    <x v="648"/>
    <d v="2021-01-24T00:00:00"/>
    <s v="Frustrated with repeated documentation requests."/>
    <n v="1"/>
    <x v="1"/>
    <x v="1"/>
    <x v="1"/>
    <x v="1"/>
    <x v="1"/>
    <x v="1"/>
    <x v="1"/>
    <s v="Sunday"/>
    <x v="1"/>
    <s v="New Customer"/>
    <s v="Not Referred"/>
  </r>
  <r>
    <x v="743"/>
    <x v="90"/>
    <d v="2020-02-17T00:00:00"/>
    <s v="The agent was helpful and explained everything."/>
    <n v="5"/>
    <x v="0"/>
    <x v="0"/>
    <x v="2"/>
    <x v="2"/>
    <x v="0"/>
    <x v="2"/>
    <x v="1"/>
    <s v="Monday"/>
    <x v="0"/>
    <s v="Returning Customer"/>
    <s v="Referred"/>
  </r>
  <r>
    <x v="744"/>
    <x v="649"/>
    <d v="2020-08-26T00:00:00"/>
    <s v="I'm not happy with the premium charged."/>
    <n v="1"/>
    <x v="0"/>
    <x v="1"/>
    <x v="1"/>
    <x v="1"/>
    <x v="0"/>
    <x v="0"/>
    <x v="0"/>
    <s v="Wednesday"/>
    <x v="1"/>
    <s v="New Customer"/>
    <s v="Not Referred"/>
  </r>
  <r>
    <x v="745"/>
    <x v="650"/>
    <d v="2020-05-18T00:00:00"/>
    <s v="The mobile app experience was intuitive."/>
    <n v="4"/>
    <x v="1"/>
    <x v="1"/>
    <x v="2"/>
    <x v="2"/>
    <x v="0"/>
    <x v="5"/>
    <x v="2"/>
    <s v="Monday"/>
    <x v="0"/>
    <s v="New Customer"/>
    <s v="Not Referred"/>
  </r>
  <r>
    <x v="746"/>
    <x v="651"/>
    <d v="2023-03-31T00:00:00"/>
    <s v="The mobile app experience was intuitive."/>
    <n v="5"/>
    <x v="0"/>
    <x v="0"/>
    <x v="2"/>
    <x v="2"/>
    <x v="3"/>
    <x v="8"/>
    <x v="1"/>
    <s v="Friday"/>
    <x v="0"/>
    <s v="New Customer"/>
    <s v="Referred"/>
  </r>
  <r>
    <x v="747"/>
    <x v="652"/>
    <d v="2022-07-12T00:00:00"/>
    <s v="Very satisfied with the claim process."/>
    <n v="4"/>
    <x v="1"/>
    <x v="0"/>
    <x v="2"/>
    <x v="2"/>
    <x v="2"/>
    <x v="11"/>
    <x v="0"/>
    <s v="Tuesday"/>
    <x v="0"/>
    <s v="New Customer"/>
    <s v="Referred"/>
  </r>
  <r>
    <x v="748"/>
    <x v="653"/>
    <d v="2021-09-03T00:00:00"/>
    <s v="Need more clarity on policy coverage."/>
    <n v="3"/>
    <x v="0"/>
    <x v="0"/>
    <x v="0"/>
    <x v="0"/>
    <x v="1"/>
    <x v="7"/>
    <x v="0"/>
    <s v="Friday"/>
    <x v="0"/>
    <s v="New Customer"/>
    <s v="Referred"/>
  </r>
  <r>
    <x v="749"/>
    <x v="654"/>
    <d v="2022-04-29T00:00:00"/>
    <s v="Claim process could be faster."/>
    <n v="2"/>
    <x v="0"/>
    <x v="1"/>
    <x v="1"/>
    <x v="1"/>
    <x v="2"/>
    <x v="3"/>
    <x v="2"/>
    <s v="Friday"/>
    <x v="1"/>
    <s v="New Customer"/>
    <s v="Not Referred"/>
  </r>
  <r>
    <x v="750"/>
    <x v="655"/>
    <d v="2022-04-16T00:00:00"/>
    <s v="Very satisfied with the claim process."/>
    <n v="5"/>
    <x v="1"/>
    <x v="1"/>
    <x v="2"/>
    <x v="2"/>
    <x v="2"/>
    <x v="3"/>
    <x v="2"/>
    <s v="Saturday"/>
    <x v="0"/>
    <s v="New Customer"/>
    <s v="Not Referred"/>
  </r>
  <r>
    <x v="751"/>
    <x v="656"/>
    <d v="2020-01-04T00:00:00"/>
    <s v="Very satisfied with the claim process."/>
    <n v="5"/>
    <x v="1"/>
    <x v="0"/>
    <x v="2"/>
    <x v="2"/>
    <x v="0"/>
    <x v="1"/>
    <x v="1"/>
    <s v="Saturday"/>
    <x v="0"/>
    <s v="New Customer"/>
    <s v="Referred"/>
  </r>
  <r>
    <x v="752"/>
    <x v="423"/>
    <d v="2022-01-27T00:00:00"/>
    <s v="Had to wait too long for claim approval."/>
    <n v="2"/>
    <x v="0"/>
    <x v="1"/>
    <x v="1"/>
    <x v="1"/>
    <x v="2"/>
    <x v="1"/>
    <x v="1"/>
    <s v="Thursday"/>
    <x v="1"/>
    <s v="Returning Customer"/>
    <s v="Not Referred"/>
  </r>
  <r>
    <x v="753"/>
    <x v="657"/>
    <d v="2023-07-31T00:00:00"/>
    <s v="I'm not happy with the premium charged."/>
    <n v="2"/>
    <x v="1"/>
    <x v="0"/>
    <x v="1"/>
    <x v="1"/>
    <x v="3"/>
    <x v="11"/>
    <x v="0"/>
    <s v="Monday"/>
    <x v="1"/>
    <s v="New Customer"/>
    <s v="Referred"/>
  </r>
  <r>
    <x v="754"/>
    <x v="658"/>
    <d v="2020-01-23T00:00:00"/>
    <s v="Frustrated with repeated documentation requests."/>
    <n v="3"/>
    <x v="1"/>
    <x v="0"/>
    <x v="0"/>
    <x v="0"/>
    <x v="0"/>
    <x v="1"/>
    <x v="1"/>
    <s v="Thursday"/>
    <x v="0"/>
    <s v="New Customer"/>
    <s v="Referred"/>
  </r>
  <r>
    <x v="755"/>
    <x v="659"/>
    <d v="2020-12-21T00:00:00"/>
    <s v="Claim process could be faster."/>
    <n v="2"/>
    <x v="1"/>
    <x v="0"/>
    <x v="1"/>
    <x v="1"/>
    <x v="0"/>
    <x v="10"/>
    <x v="3"/>
    <s v="Monday"/>
    <x v="1"/>
    <s v="New Customer"/>
    <s v="Referred"/>
  </r>
  <r>
    <x v="756"/>
    <x v="660"/>
    <d v="2022-10-12T00:00:00"/>
    <s v="Excellent customer service support."/>
    <n v="4"/>
    <x v="1"/>
    <x v="0"/>
    <x v="2"/>
    <x v="2"/>
    <x v="2"/>
    <x v="6"/>
    <x v="3"/>
    <s v="Wednesday"/>
    <x v="0"/>
    <s v="New Customer"/>
    <s v="Referred"/>
  </r>
  <r>
    <x v="757"/>
    <x v="661"/>
    <d v="2023-03-13T00:00:00"/>
    <s v="I'm not happy with the premium charged."/>
    <n v="2"/>
    <x v="1"/>
    <x v="0"/>
    <x v="1"/>
    <x v="1"/>
    <x v="3"/>
    <x v="8"/>
    <x v="1"/>
    <s v="Monday"/>
    <x v="1"/>
    <s v="Returning Customer"/>
    <s v="Referred"/>
  </r>
  <r>
    <x v="758"/>
    <x v="574"/>
    <d v="2021-11-04T00:00:00"/>
    <s v="Very satisfied with the claim process."/>
    <n v="4"/>
    <x v="0"/>
    <x v="0"/>
    <x v="2"/>
    <x v="2"/>
    <x v="1"/>
    <x v="4"/>
    <x v="3"/>
    <s v="Thursday"/>
    <x v="0"/>
    <s v="Returning Customer"/>
    <s v="Referred"/>
  </r>
  <r>
    <x v="759"/>
    <x v="271"/>
    <d v="2023-10-14T00:00:00"/>
    <s v="Very satisfied with the claim process."/>
    <n v="4"/>
    <x v="0"/>
    <x v="1"/>
    <x v="2"/>
    <x v="2"/>
    <x v="3"/>
    <x v="6"/>
    <x v="3"/>
    <s v="Saturday"/>
    <x v="0"/>
    <s v="Returning Customer"/>
    <s v="Not Referred"/>
  </r>
  <r>
    <x v="760"/>
    <x v="662"/>
    <d v="2021-07-31T00:00:00"/>
    <s v="The agent was helpful and explained everything."/>
    <n v="5"/>
    <x v="1"/>
    <x v="0"/>
    <x v="2"/>
    <x v="2"/>
    <x v="1"/>
    <x v="11"/>
    <x v="0"/>
    <s v="Saturday"/>
    <x v="0"/>
    <s v="New Customer"/>
    <s v="Referred"/>
  </r>
  <r>
    <x v="761"/>
    <x v="663"/>
    <d v="2021-10-12T00:00:00"/>
    <s v="Smooth experience with no issues."/>
    <n v="5"/>
    <x v="0"/>
    <x v="0"/>
    <x v="2"/>
    <x v="2"/>
    <x v="1"/>
    <x v="6"/>
    <x v="3"/>
    <s v="Tuesday"/>
    <x v="0"/>
    <s v="New Customer"/>
    <s v="Referred"/>
  </r>
  <r>
    <x v="762"/>
    <x v="620"/>
    <d v="2021-05-23T00:00:00"/>
    <s v="I'm not happy with the premium charged."/>
    <n v="1"/>
    <x v="1"/>
    <x v="1"/>
    <x v="1"/>
    <x v="1"/>
    <x v="1"/>
    <x v="5"/>
    <x v="2"/>
    <s v="Sunday"/>
    <x v="1"/>
    <s v="Returning Customer"/>
    <s v="Not Referred"/>
  </r>
  <r>
    <x v="763"/>
    <x v="664"/>
    <d v="2020-09-03T00:00:00"/>
    <s v="Smooth experience with no issues."/>
    <n v="5"/>
    <x v="1"/>
    <x v="1"/>
    <x v="2"/>
    <x v="2"/>
    <x v="0"/>
    <x v="7"/>
    <x v="0"/>
    <s v="Thursday"/>
    <x v="0"/>
    <s v="New Customer"/>
    <s v="Not Referred"/>
  </r>
  <r>
    <x v="764"/>
    <x v="665"/>
    <d v="2021-03-22T00:00:00"/>
    <s v="Need more clarity on policy coverage."/>
    <n v="1"/>
    <x v="1"/>
    <x v="0"/>
    <x v="1"/>
    <x v="1"/>
    <x v="1"/>
    <x v="8"/>
    <x v="1"/>
    <s v="Monday"/>
    <x v="1"/>
    <s v="New Customer"/>
    <s v="Referred"/>
  </r>
  <r>
    <x v="765"/>
    <x v="666"/>
    <d v="2023-12-20T00:00:00"/>
    <s v="Need more clarity on policy coverage."/>
    <n v="3"/>
    <x v="0"/>
    <x v="0"/>
    <x v="0"/>
    <x v="0"/>
    <x v="3"/>
    <x v="10"/>
    <x v="3"/>
    <s v="Wednesday"/>
    <x v="0"/>
    <s v="New Customer"/>
    <s v="Referred"/>
  </r>
  <r>
    <x v="766"/>
    <x v="667"/>
    <d v="2023-02-10T00:00:00"/>
    <s v="Frustrated with repeated documentation requests."/>
    <n v="2"/>
    <x v="0"/>
    <x v="0"/>
    <x v="1"/>
    <x v="1"/>
    <x v="3"/>
    <x v="2"/>
    <x v="1"/>
    <s v="Friday"/>
    <x v="1"/>
    <s v="New Customer"/>
    <s v="Referred"/>
  </r>
  <r>
    <x v="767"/>
    <x v="507"/>
    <d v="2020-04-23T00:00:00"/>
    <s v="Excellent customer service support."/>
    <n v="4"/>
    <x v="0"/>
    <x v="0"/>
    <x v="2"/>
    <x v="2"/>
    <x v="0"/>
    <x v="3"/>
    <x v="2"/>
    <s v="Thursday"/>
    <x v="0"/>
    <s v="Returning Customer"/>
    <s v="Referred"/>
  </r>
  <r>
    <x v="768"/>
    <x v="627"/>
    <d v="2020-08-08T00:00:00"/>
    <s v="Very satisfied with the claim process."/>
    <n v="4"/>
    <x v="1"/>
    <x v="0"/>
    <x v="2"/>
    <x v="2"/>
    <x v="0"/>
    <x v="0"/>
    <x v="0"/>
    <s v="Saturday"/>
    <x v="0"/>
    <s v="Returning Customer"/>
    <s v="Referred"/>
  </r>
  <r>
    <x v="769"/>
    <x v="144"/>
    <d v="2020-04-08T00:00:00"/>
    <s v="Excellent customer service support."/>
    <n v="4"/>
    <x v="1"/>
    <x v="1"/>
    <x v="2"/>
    <x v="2"/>
    <x v="0"/>
    <x v="3"/>
    <x v="2"/>
    <s v="Wednesday"/>
    <x v="0"/>
    <s v="Returning Customer"/>
    <s v="Not Referred"/>
  </r>
  <r>
    <x v="770"/>
    <x v="193"/>
    <d v="2022-01-17T00:00:00"/>
    <s v="Frustrated with repeated documentation requests."/>
    <n v="3"/>
    <x v="1"/>
    <x v="1"/>
    <x v="0"/>
    <x v="0"/>
    <x v="2"/>
    <x v="1"/>
    <x v="1"/>
    <s v="Monday"/>
    <x v="0"/>
    <s v="Returning Customer"/>
    <s v="Not Referred"/>
  </r>
  <r>
    <x v="771"/>
    <x v="668"/>
    <d v="2022-11-01T00:00:00"/>
    <s v="Frustrated with repeated documentation requests."/>
    <n v="1"/>
    <x v="1"/>
    <x v="1"/>
    <x v="1"/>
    <x v="1"/>
    <x v="2"/>
    <x v="4"/>
    <x v="3"/>
    <s v="Tuesday"/>
    <x v="1"/>
    <s v="New Customer"/>
    <s v="Not Referred"/>
  </r>
  <r>
    <x v="772"/>
    <x v="210"/>
    <d v="2020-02-02T00:00:00"/>
    <s v="Had to wait too long for claim approval."/>
    <n v="2"/>
    <x v="0"/>
    <x v="1"/>
    <x v="1"/>
    <x v="1"/>
    <x v="0"/>
    <x v="2"/>
    <x v="1"/>
    <s v="Sunday"/>
    <x v="1"/>
    <s v="Returning Customer"/>
    <s v="Not Referred"/>
  </r>
  <r>
    <x v="773"/>
    <x v="669"/>
    <d v="2021-05-16T00:00:00"/>
    <s v="Claim process could be faster."/>
    <n v="3"/>
    <x v="1"/>
    <x v="1"/>
    <x v="0"/>
    <x v="0"/>
    <x v="1"/>
    <x v="5"/>
    <x v="2"/>
    <s v="Sunday"/>
    <x v="0"/>
    <s v="New Customer"/>
    <s v="Not Referred"/>
  </r>
  <r>
    <x v="774"/>
    <x v="670"/>
    <d v="2023-08-10T00:00:00"/>
    <s v="The mobile app experience was intuitive."/>
    <n v="4"/>
    <x v="1"/>
    <x v="0"/>
    <x v="2"/>
    <x v="2"/>
    <x v="3"/>
    <x v="0"/>
    <x v="0"/>
    <s v="Thursday"/>
    <x v="0"/>
    <s v="New Customer"/>
    <s v="Referred"/>
  </r>
  <r>
    <x v="775"/>
    <x v="671"/>
    <d v="2023-07-19T00:00:00"/>
    <s v="I'm not happy with the premium charged."/>
    <n v="1"/>
    <x v="1"/>
    <x v="0"/>
    <x v="1"/>
    <x v="1"/>
    <x v="3"/>
    <x v="11"/>
    <x v="0"/>
    <s v="Wednesday"/>
    <x v="1"/>
    <s v="New Customer"/>
    <s v="Referred"/>
  </r>
  <r>
    <x v="776"/>
    <x v="672"/>
    <d v="2023-07-20T00:00:00"/>
    <s v="The agent was helpful and explained everything."/>
    <n v="4"/>
    <x v="0"/>
    <x v="1"/>
    <x v="2"/>
    <x v="2"/>
    <x v="3"/>
    <x v="11"/>
    <x v="0"/>
    <s v="Thursday"/>
    <x v="0"/>
    <s v="New Customer"/>
    <s v="Not Referred"/>
  </r>
  <r>
    <x v="777"/>
    <x v="673"/>
    <d v="2020-06-09T00:00:00"/>
    <s v="The mobile app experience was intuitive."/>
    <n v="3"/>
    <x v="0"/>
    <x v="1"/>
    <x v="0"/>
    <x v="0"/>
    <x v="0"/>
    <x v="9"/>
    <x v="2"/>
    <s v="Tuesday"/>
    <x v="0"/>
    <s v="New Customer"/>
    <s v="Not Referred"/>
  </r>
  <r>
    <x v="778"/>
    <x v="674"/>
    <d v="2023-06-21T00:00:00"/>
    <s v="Frustrated with repeated documentation requests."/>
    <n v="1"/>
    <x v="0"/>
    <x v="0"/>
    <x v="1"/>
    <x v="1"/>
    <x v="3"/>
    <x v="9"/>
    <x v="2"/>
    <s v="Wednesday"/>
    <x v="1"/>
    <s v="New Customer"/>
    <s v="Referred"/>
  </r>
  <r>
    <x v="779"/>
    <x v="675"/>
    <d v="2020-08-14T00:00:00"/>
    <s v="Excellent customer service support."/>
    <n v="5"/>
    <x v="1"/>
    <x v="1"/>
    <x v="2"/>
    <x v="2"/>
    <x v="0"/>
    <x v="0"/>
    <x v="0"/>
    <s v="Friday"/>
    <x v="0"/>
    <s v="New Customer"/>
    <s v="Not Referred"/>
  </r>
  <r>
    <x v="780"/>
    <x v="676"/>
    <d v="2022-11-04T00:00:00"/>
    <s v="Need more clarity on policy coverage."/>
    <n v="3"/>
    <x v="0"/>
    <x v="0"/>
    <x v="0"/>
    <x v="0"/>
    <x v="2"/>
    <x v="4"/>
    <x v="3"/>
    <s v="Friday"/>
    <x v="0"/>
    <s v="New Customer"/>
    <s v="Referred"/>
  </r>
  <r>
    <x v="781"/>
    <x v="677"/>
    <d v="2020-02-14T00:00:00"/>
    <s v="Frustrated with repeated documentation requests."/>
    <n v="2"/>
    <x v="1"/>
    <x v="0"/>
    <x v="1"/>
    <x v="1"/>
    <x v="0"/>
    <x v="2"/>
    <x v="1"/>
    <s v="Friday"/>
    <x v="1"/>
    <s v="New Customer"/>
    <s v="Referred"/>
  </r>
  <r>
    <x v="782"/>
    <x v="678"/>
    <d v="2020-09-27T00:00:00"/>
    <s v="Frustrated with repeated documentation requests."/>
    <n v="1"/>
    <x v="1"/>
    <x v="1"/>
    <x v="1"/>
    <x v="1"/>
    <x v="0"/>
    <x v="7"/>
    <x v="0"/>
    <s v="Sunday"/>
    <x v="1"/>
    <s v="New Customer"/>
    <s v="Not Referred"/>
  </r>
  <r>
    <x v="783"/>
    <x v="440"/>
    <d v="2021-12-05T00:00:00"/>
    <s v="Very satisfied with the claim process."/>
    <n v="5"/>
    <x v="1"/>
    <x v="0"/>
    <x v="2"/>
    <x v="2"/>
    <x v="1"/>
    <x v="10"/>
    <x v="3"/>
    <s v="Sunday"/>
    <x v="0"/>
    <s v="Returning Customer"/>
    <s v="Referred"/>
  </r>
  <r>
    <x v="784"/>
    <x v="679"/>
    <d v="2023-10-04T00:00:00"/>
    <s v="Claim process could be faster."/>
    <n v="2"/>
    <x v="1"/>
    <x v="0"/>
    <x v="1"/>
    <x v="1"/>
    <x v="3"/>
    <x v="6"/>
    <x v="3"/>
    <s v="Wednesday"/>
    <x v="1"/>
    <s v="New Customer"/>
    <s v="Referred"/>
  </r>
  <r>
    <x v="785"/>
    <x v="680"/>
    <d v="2020-04-29T00:00:00"/>
    <s v="Excellent customer service support."/>
    <n v="5"/>
    <x v="0"/>
    <x v="1"/>
    <x v="2"/>
    <x v="2"/>
    <x v="0"/>
    <x v="3"/>
    <x v="2"/>
    <s v="Wednesday"/>
    <x v="0"/>
    <s v="New Customer"/>
    <s v="Not Referred"/>
  </r>
  <r>
    <x v="786"/>
    <x v="502"/>
    <d v="2021-02-28T00:00:00"/>
    <s v="Smooth experience with no issues."/>
    <n v="5"/>
    <x v="1"/>
    <x v="0"/>
    <x v="2"/>
    <x v="2"/>
    <x v="1"/>
    <x v="2"/>
    <x v="1"/>
    <s v="Sunday"/>
    <x v="0"/>
    <s v="Returning Customer"/>
    <s v="Referred"/>
  </r>
  <r>
    <x v="787"/>
    <x v="681"/>
    <d v="2023-11-09T00:00:00"/>
    <s v="Had to wait too long for claim approval."/>
    <n v="2"/>
    <x v="1"/>
    <x v="0"/>
    <x v="1"/>
    <x v="1"/>
    <x v="3"/>
    <x v="4"/>
    <x v="3"/>
    <s v="Thursday"/>
    <x v="1"/>
    <s v="New Customer"/>
    <s v="Referred"/>
  </r>
  <r>
    <x v="788"/>
    <x v="313"/>
    <d v="2022-07-15T00:00:00"/>
    <s v="Very satisfied with the claim process."/>
    <n v="5"/>
    <x v="0"/>
    <x v="1"/>
    <x v="2"/>
    <x v="2"/>
    <x v="2"/>
    <x v="11"/>
    <x v="0"/>
    <s v="Friday"/>
    <x v="0"/>
    <s v="Loyal Customer"/>
    <s v="Not Referred"/>
  </r>
  <r>
    <x v="789"/>
    <x v="682"/>
    <d v="2022-02-12T00:00:00"/>
    <s v="Need more clarity on policy coverage."/>
    <n v="2"/>
    <x v="0"/>
    <x v="1"/>
    <x v="1"/>
    <x v="1"/>
    <x v="2"/>
    <x v="2"/>
    <x v="1"/>
    <s v="Saturday"/>
    <x v="1"/>
    <s v="Returning Customer"/>
    <s v="Not Referred"/>
  </r>
  <r>
    <x v="790"/>
    <x v="683"/>
    <d v="2020-01-03T00:00:00"/>
    <s v="Frustrated with repeated documentation requests."/>
    <n v="3"/>
    <x v="0"/>
    <x v="0"/>
    <x v="0"/>
    <x v="0"/>
    <x v="0"/>
    <x v="1"/>
    <x v="1"/>
    <s v="Friday"/>
    <x v="0"/>
    <s v="New Customer"/>
    <s v="Referred"/>
  </r>
  <r>
    <x v="791"/>
    <x v="684"/>
    <d v="2022-11-30T00:00:00"/>
    <s v="The mobile app experience was intuitive."/>
    <n v="4"/>
    <x v="0"/>
    <x v="0"/>
    <x v="2"/>
    <x v="2"/>
    <x v="2"/>
    <x v="4"/>
    <x v="3"/>
    <s v="Wednesday"/>
    <x v="0"/>
    <s v="New Customer"/>
    <s v="Referred"/>
  </r>
  <r>
    <x v="792"/>
    <x v="685"/>
    <d v="2022-08-15T00:00:00"/>
    <s v="Very satisfied with the claim process."/>
    <n v="4"/>
    <x v="0"/>
    <x v="1"/>
    <x v="2"/>
    <x v="2"/>
    <x v="2"/>
    <x v="0"/>
    <x v="0"/>
    <s v="Monday"/>
    <x v="0"/>
    <s v="New Customer"/>
    <s v="Not Referred"/>
  </r>
  <r>
    <x v="793"/>
    <x v="686"/>
    <d v="2021-04-22T00:00:00"/>
    <s v="Need more clarity on policy coverage."/>
    <n v="2"/>
    <x v="1"/>
    <x v="0"/>
    <x v="1"/>
    <x v="1"/>
    <x v="1"/>
    <x v="3"/>
    <x v="2"/>
    <s v="Thursday"/>
    <x v="1"/>
    <s v="New Customer"/>
    <s v="Referred"/>
  </r>
  <r>
    <x v="794"/>
    <x v="687"/>
    <d v="2020-09-27T00:00:00"/>
    <s v="The agent was helpful and explained everything."/>
    <n v="4"/>
    <x v="1"/>
    <x v="0"/>
    <x v="2"/>
    <x v="2"/>
    <x v="0"/>
    <x v="7"/>
    <x v="0"/>
    <s v="Sunday"/>
    <x v="0"/>
    <s v="Returning Customer"/>
    <s v="Referred"/>
  </r>
  <r>
    <x v="795"/>
    <x v="314"/>
    <d v="2022-07-29T00:00:00"/>
    <s v="The mobile app experience was intuitive."/>
    <n v="5"/>
    <x v="0"/>
    <x v="0"/>
    <x v="2"/>
    <x v="2"/>
    <x v="2"/>
    <x v="11"/>
    <x v="0"/>
    <s v="Friday"/>
    <x v="0"/>
    <s v="Returning Customer"/>
    <s v="Referred"/>
  </r>
  <r>
    <x v="796"/>
    <x v="688"/>
    <d v="2022-04-14T00:00:00"/>
    <s v="Smooth experience with no issues."/>
    <n v="5"/>
    <x v="0"/>
    <x v="0"/>
    <x v="2"/>
    <x v="2"/>
    <x v="2"/>
    <x v="3"/>
    <x v="2"/>
    <s v="Thursday"/>
    <x v="0"/>
    <s v="New Customer"/>
    <s v="Referred"/>
  </r>
  <r>
    <x v="797"/>
    <x v="689"/>
    <d v="2022-08-29T00:00:00"/>
    <s v="Smooth experience with no issues."/>
    <n v="5"/>
    <x v="1"/>
    <x v="0"/>
    <x v="2"/>
    <x v="2"/>
    <x v="2"/>
    <x v="0"/>
    <x v="0"/>
    <s v="Monday"/>
    <x v="0"/>
    <s v="New Customer"/>
    <s v="Referred"/>
  </r>
  <r>
    <x v="798"/>
    <x v="690"/>
    <d v="2020-07-27T00:00:00"/>
    <s v="The agent was helpful and explained everything."/>
    <n v="4"/>
    <x v="0"/>
    <x v="1"/>
    <x v="2"/>
    <x v="2"/>
    <x v="0"/>
    <x v="11"/>
    <x v="0"/>
    <s v="Monday"/>
    <x v="0"/>
    <s v="New Customer"/>
    <s v="Not Referred"/>
  </r>
  <r>
    <x v="799"/>
    <x v="691"/>
    <d v="2022-01-14T00:00:00"/>
    <s v="Had to wait too long for claim approval."/>
    <n v="2"/>
    <x v="0"/>
    <x v="0"/>
    <x v="1"/>
    <x v="1"/>
    <x v="2"/>
    <x v="1"/>
    <x v="1"/>
    <s v="Friday"/>
    <x v="1"/>
    <s v="New Customer"/>
    <s v="Referred"/>
  </r>
  <r>
    <x v="800"/>
    <x v="692"/>
    <d v="2022-10-05T00:00:00"/>
    <s v="The agent was helpful and explained everything."/>
    <n v="5"/>
    <x v="0"/>
    <x v="0"/>
    <x v="2"/>
    <x v="2"/>
    <x v="2"/>
    <x v="6"/>
    <x v="3"/>
    <s v="Wednesday"/>
    <x v="0"/>
    <s v="New Customer"/>
    <s v="Referred"/>
  </r>
  <r>
    <x v="801"/>
    <x v="693"/>
    <d v="2020-10-02T00:00:00"/>
    <s v="Excellent customer service support."/>
    <n v="5"/>
    <x v="0"/>
    <x v="1"/>
    <x v="2"/>
    <x v="2"/>
    <x v="0"/>
    <x v="6"/>
    <x v="3"/>
    <s v="Friday"/>
    <x v="0"/>
    <s v="New Customer"/>
    <s v="Not Referred"/>
  </r>
  <r>
    <x v="802"/>
    <x v="291"/>
    <d v="2022-04-04T00:00:00"/>
    <s v="The agent was helpful and explained everything."/>
    <n v="4"/>
    <x v="1"/>
    <x v="1"/>
    <x v="2"/>
    <x v="2"/>
    <x v="2"/>
    <x v="3"/>
    <x v="2"/>
    <s v="Monday"/>
    <x v="0"/>
    <s v="Returning Customer"/>
    <s v="Not Referred"/>
  </r>
  <r>
    <x v="803"/>
    <x v="694"/>
    <d v="2022-01-01T00:00:00"/>
    <s v="Excellent customer service support."/>
    <n v="5"/>
    <x v="1"/>
    <x v="1"/>
    <x v="2"/>
    <x v="2"/>
    <x v="2"/>
    <x v="1"/>
    <x v="1"/>
    <s v="Saturday"/>
    <x v="0"/>
    <s v="New Customer"/>
    <s v="Not Referred"/>
  </r>
  <r>
    <x v="804"/>
    <x v="695"/>
    <d v="2020-03-07T00:00:00"/>
    <s v="The mobile app experience was intuitive."/>
    <n v="4"/>
    <x v="1"/>
    <x v="0"/>
    <x v="2"/>
    <x v="2"/>
    <x v="0"/>
    <x v="8"/>
    <x v="1"/>
    <s v="Saturday"/>
    <x v="0"/>
    <s v="New Customer"/>
    <s v="Referred"/>
  </r>
  <r>
    <x v="805"/>
    <x v="696"/>
    <d v="2023-08-13T00:00:00"/>
    <s v="Claim process could be faster."/>
    <n v="2"/>
    <x v="0"/>
    <x v="0"/>
    <x v="1"/>
    <x v="1"/>
    <x v="3"/>
    <x v="0"/>
    <x v="0"/>
    <s v="Sunday"/>
    <x v="1"/>
    <s v="Returning Customer"/>
    <s v="Referred"/>
  </r>
  <r>
    <x v="806"/>
    <x v="242"/>
    <d v="2023-04-09T00:00:00"/>
    <s v="Frustrated with repeated documentation requests."/>
    <n v="2"/>
    <x v="1"/>
    <x v="0"/>
    <x v="1"/>
    <x v="1"/>
    <x v="3"/>
    <x v="3"/>
    <x v="2"/>
    <s v="Sunday"/>
    <x v="1"/>
    <s v="Returning Customer"/>
    <s v="Referred"/>
  </r>
  <r>
    <x v="807"/>
    <x v="697"/>
    <d v="2022-01-13T00:00:00"/>
    <s v="Excellent customer service support."/>
    <n v="5"/>
    <x v="1"/>
    <x v="1"/>
    <x v="2"/>
    <x v="2"/>
    <x v="2"/>
    <x v="1"/>
    <x v="1"/>
    <s v="Thursday"/>
    <x v="0"/>
    <s v="New Customer"/>
    <s v="Not Referred"/>
  </r>
  <r>
    <x v="808"/>
    <x v="698"/>
    <d v="2020-06-10T00:00:00"/>
    <s v="The agent was helpful and explained everything."/>
    <n v="4"/>
    <x v="0"/>
    <x v="1"/>
    <x v="2"/>
    <x v="2"/>
    <x v="0"/>
    <x v="9"/>
    <x v="2"/>
    <s v="Wednesday"/>
    <x v="0"/>
    <s v="New Customer"/>
    <s v="Not Referred"/>
  </r>
  <r>
    <x v="809"/>
    <x v="699"/>
    <d v="2022-06-04T00:00:00"/>
    <s v="Claim process could be faster."/>
    <n v="3"/>
    <x v="1"/>
    <x v="0"/>
    <x v="0"/>
    <x v="0"/>
    <x v="2"/>
    <x v="9"/>
    <x v="2"/>
    <s v="Saturday"/>
    <x v="0"/>
    <s v="New Customer"/>
    <s v="Referred"/>
  </r>
  <r>
    <x v="810"/>
    <x v="700"/>
    <d v="2022-08-29T00:00:00"/>
    <s v="Need more clarity on policy coverage."/>
    <n v="2"/>
    <x v="0"/>
    <x v="0"/>
    <x v="1"/>
    <x v="1"/>
    <x v="2"/>
    <x v="0"/>
    <x v="0"/>
    <s v="Monday"/>
    <x v="1"/>
    <s v="New Customer"/>
    <s v="Referred"/>
  </r>
  <r>
    <x v="811"/>
    <x v="275"/>
    <d v="2023-11-25T00:00:00"/>
    <s v="I'm not happy with the premium charged."/>
    <n v="1"/>
    <x v="0"/>
    <x v="0"/>
    <x v="1"/>
    <x v="1"/>
    <x v="3"/>
    <x v="4"/>
    <x v="3"/>
    <s v="Saturday"/>
    <x v="1"/>
    <s v="Returning Customer"/>
    <s v="Referred"/>
  </r>
  <r>
    <x v="812"/>
    <x v="701"/>
    <d v="2022-12-12T00:00:00"/>
    <s v="Claim process could be faster."/>
    <n v="3"/>
    <x v="0"/>
    <x v="0"/>
    <x v="0"/>
    <x v="0"/>
    <x v="2"/>
    <x v="10"/>
    <x v="3"/>
    <s v="Monday"/>
    <x v="0"/>
    <s v="New Customer"/>
    <s v="Referred"/>
  </r>
  <r>
    <x v="813"/>
    <x v="702"/>
    <d v="2023-03-27T00:00:00"/>
    <s v="Had to wait too long for claim approval."/>
    <n v="1"/>
    <x v="1"/>
    <x v="1"/>
    <x v="1"/>
    <x v="1"/>
    <x v="3"/>
    <x v="8"/>
    <x v="1"/>
    <s v="Monday"/>
    <x v="1"/>
    <s v="New Customer"/>
    <s v="Not Referred"/>
  </r>
  <r>
    <x v="814"/>
    <x v="703"/>
    <d v="2020-12-27T00:00:00"/>
    <s v="Frustrated with repeated documentation requests."/>
    <n v="3"/>
    <x v="0"/>
    <x v="0"/>
    <x v="0"/>
    <x v="0"/>
    <x v="0"/>
    <x v="10"/>
    <x v="3"/>
    <s v="Sunday"/>
    <x v="0"/>
    <s v="New Customer"/>
    <s v="Referred"/>
  </r>
  <r>
    <x v="815"/>
    <x v="288"/>
    <d v="2023-08-10T00:00:00"/>
    <s v="Frustrated with repeated documentation requests."/>
    <n v="1"/>
    <x v="0"/>
    <x v="0"/>
    <x v="1"/>
    <x v="1"/>
    <x v="3"/>
    <x v="0"/>
    <x v="0"/>
    <s v="Thursday"/>
    <x v="1"/>
    <s v="Returning Customer"/>
    <s v="Referred"/>
  </r>
  <r>
    <x v="816"/>
    <x v="299"/>
    <d v="2023-08-07T00:00:00"/>
    <s v="Need more clarity on policy coverage."/>
    <n v="1"/>
    <x v="0"/>
    <x v="0"/>
    <x v="1"/>
    <x v="1"/>
    <x v="3"/>
    <x v="0"/>
    <x v="0"/>
    <s v="Monday"/>
    <x v="1"/>
    <s v="Returning Customer"/>
    <s v="Referred"/>
  </r>
  <r>
    <x v="817"/>
    <x v="704"/>
    <d v="2022-11-29T00:00:00"/>
    <s v="Excellent customer service support."/>
    <n v="5"/>
    <x v="1"/>
    <x v="1"/>
    <x v="2"/>
    <x v="2"/>
    <x v="2"/>
    <x v="4"/>
    <x v="3"/>
    <s v="Tuesday"/>
    <x v="0"/>
    <s v="New Customer"/>
    <s v="Not Referred"/>
  </r>
  <r>
    <x v="818"/>
    <x v="705"/>
    <d v="2022-10-09T00:00:00"/>
    <s v="Claim process could be faster."/>
    <n v="2"/>
    <x v="0"/>
    <x v="1"/>
    <x v="1"/>
    <x v="1"/>
    <x v="2"/>
    <x v="6"/>
    <x v="3"/>
    <s v="Sunday"/>
    <x v="1"/>
    <s v="New Customer"/>
    <s v="Not Referred"/>
  </r>
  <r>
    <x v="819"/>
    <x v="706"/>
    <d v="2021-07-25T00:00:00"/>
    <s v="Frustrated with repeated documentation requests."/>
    <n v="2"/>
    <x v="1"/>
    <x v="1"/>
    <x v="1"/>
    <x v="1"/>
    <x v="1"/>
    <x v="11"/>
    <x v="0"/>
    <s v="Sunday"/>
    <x v="1"/>
    <s v="New Customer"/>
    <s v="Not Referred"/>
  </r>
  <r>
    <x v="820"/>
    <x v="143"/>
    <d v="2021-08-16T00:00:00"/>
    <s v="I'm not happy with the premium charged."/>
    <n v="1"/>
    <x v="1"/>
    <x v="1"/>
    <x v="1"/>
    <x v="1"/>
    <x v="1"/>
    <x v="0"/>
    <x v="0"/>
    <s v="Monday"/>
    <x v="1"/>
    <s v="Returning Customer"/>
    <s v="Not Referred"/>
  </r>
  <r>
    <x v="821"/>
    <x v="475"/>
    <d v="2022-01-18T00:00:00"/>
    <s v="The agent was helpful and explained everything."/>
    <n v="5"/>
    <x v="1"/>
    <x v="1"/>
    <x v="2"/>
    <x v="2"/>
    <x v="2"/>
    <x v="1"/>
    <x v="1"/>
    <s v="Tuesday"/>
    <x v="0"/>
    <s v="Returning Customer"/>
    <s v="Not Referred"/>
  </r>
  <r>
    <x v="822"/>
    <x v="707"/>
    <d v="2022-09-01T00:00:00"/>
    <s v="The mobile app experience was intuitive."/>
    <n v="4"/>
    <x v="0"/>
    <x v="1"/>
    <x v="2"/>
    <x v="2"/>
    <x v="2"/>
    <x v="7"/>
    <x v="0"/>
    <s v="Thursday"/>
    <x v="0"/>
    <s v="New Customer"/>
    <s v="Not Referred"/>
  </r>
  <r>
    <x v="823"/>
    <x v="708"/>
    <d v="2021-06-17T00:00:00"/>
    <s v="Excellent customer service support."/>
    <n v="4"/>
    <x v="0"/>
    <x v="0"/>
    <x v="2"/>
    <x v="2"/>
    <x v="1"/>
    <x v="9"/>
    <x v="2"/>
    <s v="Thursday"/>
    <x v="0"/>
    <s v="New Customer"/>
    <s v="Referred"/>
  </r>
  <r>
    <x v="824"/>
    <x v="42"/>
    <d v="2022-09-06T00:00:00"/>
    <s v="The mobile app experience was intuitive."/>
    <n v="3"/>
    <x v="1"/>
    <x v="0"/>
    <x v="0"/>
    <x v="0"/>
    <x v="2"/>
    <x v="7"/>
    <x v="0"/>
    <s v="Tuesday"/>
    <x v="0"/>
    <s v="Returning Customer"/>
    <s v="Referred"/>
  </r>
  <r>
    <x v="825"/>
    <x v="709"/>
    <d v="2022-02-27T00:00:00"/>
    <s v="Frustrated with repeated documentation requests."/>
    <n v="1"/>
    <x v="1"/>
    <x v="1"/>
    <x v="1"/>
    <x v="1"/>
    <x v="2"/>
    <x v="2"/>
    <x v="1"/>
    <s v="Sunday"/>
    <x v="1"/>
    <s v="New Customer"/>
    <s v="Not Referred"/>
  </r>
  <r>
    <x v="826"/>
    <x v="710"/>
    <d v="2023-08-16T00:00:00"/>
    <s v="Smooth experience with no issues."/>
    <n v="4"/>
    <x v="0"/>
    <x v="1"/>
    <x v="2"/>
    <x v="2"/>
    <x v="3"/>
    <x v="0"/>
    <x v="0"/>
    <s v="Wednesday"/>
    <x v="0"/>
    <s v="New Customer"/>
    <s v="Not Referred"/>
  </r>
  <r>
    <x v="827"/>
    <x v="711"/>
    <d v="2021-07-11T00:00:00"/>
    <s v="I'm not happy with the premium charged."/>
    <n v="1"/>
    <x v="1"/>
    <x v="0"/>
    <x v="1"/>
    <x v="1"/>
    <x v="1"/>
    <x v="11"/>
    <x v="0"/>
    <s v="Sunday"/>
    <x v="1"/>
    <s v="New Customer"/>
    <s v="Referred"/>
  </r>
  <r>
    <x v="828"/>
    <x v="312"/>
    <d v="2020-12-09T00:00:00"/>
    <s v="Very satisfied with the claim process."/>
    <n v="5"/>
    <x v="1"/>
    <x v="1"/>
    <x v="2"/>
    <x v="2"/>
    <x v="0"/>
    <x v="10"/>
    <x v="3"/>
    <s v="Wednesday"/>
    <x v="0"/>
    <s v="Returning Customer"/>
    <s v="Not Referred"/>
  </r>
  <r>
    <x v="829"/>
    <x v="454"/>
    <d v="2020-08-24T00:00:00"/>
    <s v="Smooth experience with no issues."/>
    <n v="5"/>
    <x v="0"/>
    <x v="0"/>
    <x v="2"/>
    <x v="2"/>
    <x v="0"/>
    <x v="0"/>
    <x v="0"/>
    <s v="Monday"/>
    <x v="0"/>
    <s v="Returning Customer"/>
    <s v="Referred"/>
  </r>
  <r>
    <x v="830"/>
    <x v="712"/>
    <d v="2021-04-20T00:00:00"/>
    <s v="Very satisfied with the claim process."/>
    <n v="5"/>
    <x v="0"/>
    <x v="1"/>
    <x v="2"/>
    <x v="2"/>
    <x v="1"/>
    <x v="3"/>
    <x v="2"/>
    <s v="Tuesday"/>
    <x v="0"/>
    <s v="New Customer"/>
    <s v="Not Referred"/>
  </r>
  <r>
    <x v="831"/>
    <x v="713"/>
    <d v="2023-01-04T00:00:00"/>
    <s v="The mobile app experience was intuitive."/>
    <n v="3"/>
    <x v="0"/>
    <x v="1"/>
    <x v="0"/>
    <x v="0"/>
    <x v="3"/>
    <x v="1"/>
    <x v="1"/>
    <s v="Wednesday"/>
    <x v="0"/>
    <s v="New Customer"/>
    <s v="Not Referred"/>
  </r>
  <r>
    <x v="832"/>
    <x v="714"/>
    <d v="2021-07-06T00:00:00"/>
    <s v="The mobile app experience was intuitive."/>
    <n v="3"/>
    <x v="0"/>
    <x v="0"/>
    <x v="0"/>
    <x v="0"/>
    <x v="1"/>
    <x v="11"/>
    <x v="0"/>
    <s v="Tuesday"/>
    <x v="0"/>
    <s v="New Customer"/>
    <s v="Referred"/>
  </r>
  <r>
    <x v="833"/>
    <x v="715"/>
    <d v="2023-07-31T00:00:00"/>
    <s v="Claim process could be faster."/>
    <n v="3"/>
    <x v="1"/>
    <x v="1"/>
    <x v="0"/>
    <x v="0"/>
    <x v="3"/>
    <x v="11"/>
    <x v="0"/>
    <s v="Monday"/>
    <x v="0"/>
    <s v="New Customer"/>
    <s v="Not Referred"/>
  </r>
  <r>
    <x v="834"/>
    <x v="716"/>
    <d v="2021-02-09T00:00:00"/>
    <s v="Frustrated with repeated documentation requests."/>
    <n v="2"/>
    <x v="0"/>
    <x v="0"/>
    <x v="1"/>
    <x v="1"/>
    <x v="1"/>
    <x v="2"/>
    <x v="1"/>
    <s v="Tuesday"/>
    <x v="1"/>
    <s v="New Customer"/>
    <s v="Referred"/>
  </r>
  <r>
    <x v="835"/>
    <x v="567"/>
    <d v="2023-02-02T00:00:00"/>
    <s v="Claim process could be faster."/>
    <n v="2"/>
    <x v="1"/>
    <x v="1"/>
    <x v="1"/>
    <x v="1"/>
    <x v="3"/>
    <x v="2"/>
    <x v="1"/>
    <s v="Thursday"/>
    <x v="1"/>
    <s v="Returning Customer"/>
    <s v="Not Referred"/>
  </r>
  <r>
    <x v="836"/>
    <x v="717"/>
    <d v="2022-01-12T00:00:00"/>
    <s v="Claim process could be faster."/>
    <n v="2"/>
    <x v="1"/>
    <x v="0"/>
    <x v="1"/>
    <x v="1"/>
    <x v="2"/>
    <x v="1"/>
    <x v="1"/>
    <s v="Wednesday"/>
    <x v="1"/>
    <s v="New Customer"/>
    <s v="Referred"/>
  </r>
  <r>
    <x v="837"/>
    <x v="718"/>
    <d v="2022-11-16T00:00:00"/>
    <s v="Claim process could be faster."/>
    <n v="3"/>
    <x v="0"/>
    <x v="1"/>
    <x v="0"/>
    <x v="0"/>
    <x v="2"/>
    <x v="4"/>
    <x v="3"/>
    <s v="Wednesday"/>
    <x v="0"/>
    <s v="New Customer"/>
    <s v="Not Referred"/>
  </r>
  <r>
    <x v="838"/>
    <x v="719"/>
    <d v="2023-10-30T00:00:00"/>
    <s v="Excellent customer service support."/>
    <n v="5"/>
    <x v="0"/>
    <x v="0"/>
    <x v="2"/>
    <x v="2"/>
    <x v="3"/>
    <x v="6"/>
    <x v="3"/>
    <s v="Monday"/>
    <x v="0"/>
    <s v="New Customer"/>
    <s v="Referred"/>
  </r>
  <r>
    <x v="839"/>
    <x v="720"/>
    <d v="2020-01-09T00:00:00"/>
    <s v="The mobile app experience was intuitive."/>
    <n v="5"/>
    <x v="0"/>
    <x v="1"/>
    <x v="2"/>
    <x v="2"/>
    <x v="0"/>
    <x v="1"/>
    <x v="1"/>
    <s v="Thursday"/>
    <x v="0"/>
    <s v="New Customer"/>
    <s v="Not Referred"/>
  </r>
  <r>
    <x v="840"/>
    <x v="721"/>
    <d v="2020-04-03T00:00:00"/>
    <s v="Excellent customer service support."/>
    <n v="5"/>
    <x v="0"/>
    <x v="1"/>
    <x v="2"/>
    <x v="2"/>
    <x v="0"/>
    <x v="3"/>
    <x v="2"/>
    <s v="Friday"/>
    <x v="0"/>
    <s v="New Customer"/>
    <s v="Not Referred"/>
  </r>
  <r>
    <x v="841"/>
    <x v="722"/>
    <d v="2023-05-17T00:00:00"/>
    <s v="The agent was helpful and explained everything."/>
    <n v="5"/>
    <x v="0"/>
    <x v="1"/>
    <x v="2"/>
    <x v="2"/>
    <x v="3"/>
    <x v="5"/>
    <x v="2"/>
    <s v="Wednesday"/>
    <x v="0"/>
    <s v="New Customer"/>
    <s v="Not Referred"/>
  </r>
  <r>
    <x v="842"/>
    <x v="723"/>
    <d v="2022-11-12T00:00:00"/>
    <s v="Frustrated with repeated documentation requests."/>
    <n v="1"/>
    <x v="0"/>
    <x v="0"/>
    <x v="1"/>
    <x v="1"/>
    <x v="2"/>
    <x v="4"/>
    <x v="3"/>
    <s v="Saturday"/>
    <x v="1"/>
    <s v="New Customer"/>
    <s v="Referred"/>
  </r>
  <r>
    <x v="843"/>
    <x v="553"/>
    <d v="2022-10-17T00:00:00"/>
    <s v="Excellent customer service support."/>
    <n v="4"/>
    <x v="0"/>
    <x v="1"/>
    <x v="2"/>
    <x v="2"/>
    <x v="2"/>
    <x v="6"/>
    <x v="3"/>
    <s v="Monday"/>
    <x v="0"/>
    <s v="Returning Customer"/>
    <s v="Not Referred"/>
  </r>
  <r>
    <x v="844"/>
    <x v="724"/>
    <d v="2023-02-25T00:00:00"/>
    <s v="Had to wait too long for claim approval."/>
    <n v="1"/>
    <x v="1"/>
    <x v="0"/>
    <x v="1"/>
    <x v="1"/>
    <x v="3"/>
    <x v="2"/>
    <x v="1"/>
    <s v="Saturday"/>
    <x v="1"/>
    <s v="Returning Customer"/>
    <s v="Referred"/>
  </r>
  <r>
    <x v="845"/>
    <x v="725"/>
    <d v="2020-10-07T00:00:00"/>
    <s v="The mobile app experience was intuitive."/>
    <n v="3"/>
    <x v="1"/>
    <x v="0"/>
    <x v="0"/>
    <x v="0"/>
    <x v="0"/>
    <x v="6"/>
    <x v="3"/>
    <s v="Wednesday"/>
    <x v="0"/>
    <s v="New Customer"/>
    <s v="Referred"/>
  </r>
  <r>
    <x v="846"/>
    <x v="726"/>
    <d v="2021-09-20T00:00:00"/>
    <s v="Excellent customer service support."/>
    <n v="4"/>
    <x v="0"/>
    <x v="1"/>
    <x v="2"/>
    <x v="2"/>
    <x v="1"/>
    <x v="7"/>
    <x v="0"/>
    <s v="Monday"/>
    <x v="0"/>
    <s v="New Customer"/>
    <s v="Not Referred"/>
  </r>
  <r>
    <x v="847"/>
    <x v="727"/>
    <d v="2021-08-08T00:00:00"/>
    <s v="Smooth experience with no issues."/>
    <n v="5"/>
    <x v="1"/>
    <x v="0"/>
    <x v="2"/>
    <x v="2"/>
    <x v="1"/>
    <x v="0"/>
    <x v="0"/>
    <s v="Sunday"/>
    <x v="0"/>
    <s v="New Customer"/>
    <s v="Referred"/>
  </r>
  <r>
    <x v="848"/>
    <x v="728"/>
    <d v="2021-12-12T00:00:00"/>
    <s v="The agent was helpful and explained everything."/>
    <n v="5"/>
    <x v="0"/>
    <x v="1"/>
    <x v="2"/>
    <x v="2"/>
    <x v="1"/>
    <x v="10"/>
    <x v="3"/>
    <s v="Sunday"/>
    <x v="0"/>
    <s v="New Customer"/>
    <s v="Not Referred"/>
  </r>
  <r>
    <x v="849"/>
    <x v="729"/>
    <d v="2020-05-27T00:00:00"/>
    <s v="Very satisfied with the claim process."/>
    <n v="4"/>
    <x v="1"/>
    <x v="1"/>
    <x v="2"/>
    <x v="2"/>
    <x v="0"/>
    <x v="5"/>
    <x v="2"/>
    <s v="Wednesday"/>
    <x v="0"/>
    <s v="New Customer"/>
    <s v="Not Referred"/>
  </r>
  <r>
    <x v="850"/>
    <x v="730"/>
    <d v="2021-08-22T00:00:00"/>
    <s v="Need more clarity on policy coverage."/>
    <n v="1"/>
    <x v="0"/>
    <x v="1"/>
    <x v="1"/>
    <x v="1"/>
    <x v="1"/>
    <x v="0"/>
    <x v="0"/>
    <s v="Sunday"/>
    <x v="1"/>
    <s v="New Customer"/>
    <s v="Not Referred"/>
  </r>
  <r>
    <x v="851"/>
    <x v="731"/>
    <d v="2020-08-23T00:00:00"/>
    <s v="Frustrated with repeated documentation requests."/>
    <n v="3"/>
    <x v="1"/>
    <x v="0"/>
    <x v="0"/>
    <x v="0"/>
    <x v="0"/>
    <x v="0"/>
    <x v="0"/>
    <s v="Sunday"/>
    <x v="0"/>
    <s v="New Customer"/>
    <s v="Referred"/>
  </r>
  <r>
    <x v="852"/>
    <x v="63"/>
    <d v="2022-09-21T00:00:00"/>
    <s v="Had to wait too long for claim approval."/>
    <n v="2"/>
    <x v="0"/>
    <x v="0"/>
    <x v="1"/>
    <x v="1"/>
    <x v="2"/>
    <x v="7"/>
    <x v="0"/>
    <s v="Wednesday"/>
    <x v="1"/>
    <s v="Returning Customer"/>
    <s v="Referred"/>
  </r>
  <r>
    <x v="853"/>
    <x v="732"/>
    <d v="2021-01-31T00:00:00"/>
    <s v="Need more clarity on policy coverage."/>
    <n v="1"/>
    <x v="1"/>
    <x v="0"/>
    <x v="1"/>
    <x v="1"/>
    <x v="1"/>
    <x v="1"/>
    <x v="1"/>
    <s v="Sunday"/>
    <x v="1"/>
    <s v="New Customer"/>
    <s v="Referred"/>
  </r>
  <r>
    <x v="854"/>
    <x v="733"/>
    <d v="2023-04-15T00:00:00"/>
    <s v="The mobile app experience was intuitive."/>
    <n v="3"/>
    <x v="0"/>
    <x v="0"/>
    <x v="0"/>
    <x v="0"/>
    <x v="3"/>
    <x v="3"/>
    <x v="2"/>
    <s v="Saturday"/>
    <x v="0"/>
    <s v="New Customer"/>
    <s v="Referred"/>
  </r>
  <r>
    <x v="855"/>
    <x v="734"/>
    <d v="2022-10-25T00:00:00"/>
    <s v="Had to wait too long for claim approval."/>
    <n v="1"/>
    <x v="0"/>
    <x v="0"/>
    <x v="1"/>
    <x v="1"/>
    <x v="2"/>
    <x v="6"/>
    <x v="3"/>
    <s v="Tuesday"/>
    <x v="1"/>
    <s v="New Customer"/>
    <s v="Referred"/>
  </r>
  <r>
    <x v="856"/>
    <x v="682"/>
    <d v="2021-07-23T00:00:00"/>
    <s v="The mobile app experience was intuitive."/>
    <n v="4"/>
    <x v="0"/>
    <x v="0"/>
    <x v="2"/>
    <x v="2"/>
    <x v="1"/>
    <x v="11"/>
    <x v="0"/>
    <s v="Friday"/>
    <x v="0"/>
    <s v="Returning Customer"/>
    <s v="Referred"/>
  </r>
  <r>
    <x v="857"/>
    <x v="735"/>
    <d v="2021-04-02T00:00:00"/>
    <s v="Frustrated with repeated documentation requests."/>
    <n v="2"/>
    <x v="0"/>
    <x v="1"/>
    <x v="1"/>
    <x v="1"/>
    <x v="1"/>
    <x v="3"/>
    <x v="2"/>
    <s v="Friday"/>
    <x v="1"/>
    <s v="New Customer"/>
    <s v="Not Referred"/>
  </r>
  <r>
    <x v="858"/>
    <x v="736"/>
    <d v="2021-03-10T00:00:00"/>
    <s v="Had to wait too long for claim approval."/>
    <n v="2"/>
    <x v="0"/>
    <x v="0"/>
    <x v="1"/>
    <x v="1"/>
    <x v="1"/>
    <x v="8"/>
    <x v="1"/>
    <s v="Wednesday"/>
    <x v="1"/>
    <s v="New Customer"/>
    <s v="Referred"/>
  </r>
  <r>
    <x v="859"/>
    <x v="737"/>
    <d v="2020-03-25T00:00:00"/>
    <s v="Frustrated with repeated documentation requests."/>
    <n v="2"/>
    <x v="0"/>
    <x v="1"/>
    <x v="1"/>
    <x v="1"/>
    <x v="0"/>
    <x v="8"/>
    <x v="1"/>
    <s v="Wednesday"/>
    <x v="1"/>
    <s v="New Customer"/>
    <s v="Not Referred"/>
  </r>
  <r>
    <x v="860"/>
    <x v="738"/>
    <d v="2020-10-10T00:00:00"/>
    <s v="Excellent customer service support."/>
    <n v="5"/>
    <x v="1"/>
    <x v="1"/>
    <x v="2"/>
    <x v="2"/>
    <x v="0"/>
    <x v="6"/>
    <x v="3"/>
    <s v="Saturday"/>
    <x v="0"/>
    <s v="New Customer"/>
    <s v="Not Referred"/>
  </r>
  <r>
    <x v="861"/>
    <x v="739"/>
    <d v="2022-09-12T00:00:00"/>
    <s v="Had to wait too long for claim approval."/>
    <n v="2"/>
    <x v="0"/>
    <x v="0"/>
    <x v="1"/>
    <x v="1"/>
    <x v="2"/>
    <x v="7"/>
    <x v="0"/>
    <s v="Monday"/>
    <x v="1"/>
    <s v="New Customer"/>
    <s v="Referred"/>
  </r>
  <r>
    <x v="862"/>
    <x v="740"/>
    <d v="2021-08-09T00:00:00"/>
    <s v="Had to wait too long for claim approval."/>
    <n v="2"/>
    <x v="1"/>
    <x v="0"/>
    <x v="1"/>
    <x v="1"/>
    <x v="1"/>
    <x v="0"/>
    <x v="0"/>
    <s v="Monday"/>
    <x v="1"/>
    <s v="New Customer"/>
    <s v="Referred"/>
  </r>
  <r>
    <x v="863"/>
    <x v="741"/>
    <d v="2023-08-07T00:00:00"/>
    <s v="The mobile app experience was intuitive."/>
    <n v="3"/>
    <x v="0"/>
    <x v="0"/>
    <x v="0"/>
    <x v="0"/>
    <x v="3"/>
    <x v="0"/>
    <x v="0"/>
    <s v="Monday"/>
    <x v="0"/>
    <s v="New Customer"/>
    <s v="Referred"/>
  </r>
  <r>
    <x v="864"/>
    <x v="288"/>
    <d v="2020-11-20T00:00:00"/>
    <s v="Smooth experience with no issues."/>
    <n v="4"/>
    <x v="1"/>
    <x v="0"/>
    <x v="2"/>
    <x v="2"/>
    <x v="0"/>
    <x v="4"/>
    <x v="3"/>
    <s v="Friday"/>
    <x v="0"/>
    <s v="Returning Customer"/>
    <s v="Referred"/>
  </r>
  <r>
    <x v="865"/>
    <x v="111"/>
    <d v="2020-10-05T00:00:00"/>
    <s v="I'm not happy with the premium charged."/>
    <n v="1"/>
    <x v="0"/>
    <x v="1"/>
    <x v="1"/>
    <x v="1"/>
    <x v="0"/>
    <x v="6"/>
    <x v="3"/>
    <s v="Monday"/>
    <x v="1"/>
    <s v="Returning Customer"/>
    <s v="Not Referred"/>
  </r>
  <r>
    <x v="866"/>
    <x v="742"/>
    <d v="2020-07-24T00:00:00"/>
    <s v="Need more clarity on policy coverage."/>
    <n v="2"/>
    <x v="1"/>
    <x v="1"/>
    <x v="1"/>
    <x v="1"/>
    <x v="0"/>
    <x v="11"/>
    <x v="0"/>
    <s v="Friday"/>
    <x v="1"/>
    <s v="New Customer"/>
    <s v="Not Referred"/>
  </r>
  <r>
    <x v="867"/>
    <x v="386"/>
    <d v="2021-09-17T00:00:00"/>
    <s v="The mobile app experience was intuitive."/>
    <n v="3"/>
    <x v="1"/>
    <x v="0"/>
    <x v="0"/>
    <x v="0"/>
    <x v="1"/>
    <x v="7"/>
    <x v="0"/>
    <s v="Friday"/>
    <x v="0"/>
    <s v="Returning Customer"/>
    <s v="Referred"/>
  </r>
  <r>
    <x v="868"/>
    <x v="743"/>
    <d v="2020-02-21T00:00:00"/>
    <s v="Frustrated with repeated documentation requests."/>
    <n v="1"/>
    <x v="0"/>
    <x v="0"/>
    <x v="1"/>
    <x v="1"/>
    <x v="0"/>
    <x v="2"/>
    <x v="1"/>
    <s v="Friday"/>
    <x v="1"/>
    <s v="New Customer"/>
    <s v="Referred"/>
  </r>
  <r>
    <x v="869"/>
    <x v="744"/>
    <d v="2021-08-14T00:00:00"/>
    <s v="Claim process could be faster."/>
    <n v="2"/>
    <x v="0"/>
    <x v="1"/>
    <x v="1"/>
    <x v="1"/>
    <x v="1"/>
    <x v="0"/>
    <x v="0"/>
    <s v="Saturday"/>
    <x v="1"/>
    <s v="New Customer"/>
    <s v="Not Referred"/>
  </r>
  <r>
    <x v="870"/>
    <x v="54"/>
    <d v="2023-05-12T00:00:00"/>
    <s v="The agent was helpful and explained everything."/>
    <n v="4"/>
    <x v="1"/>
    <x v="0"/>
    <x v="2"/>
    <x v="2"/>
    <x v="3"/>
    <x v="5"/>
    <x v="2"/>
    <s v="Friday"/>
    <x v="0"/>
    <s v="Returning Customer"/>
    <s v="Referred"/>
  </r>
  <r>
    <x v="871"/>
    <x v="745"/>
    <d v="2022-10-05T00:00:00"/>
    <s v="Need more clarity on policy coverage."/>
    <n v="3"/>
    <x v="1"/>
    <x v="0"/>
    <x v="0"/>
    <x v="0"/>
    <x v="2"/>
    <x v="6"/>
    <x v="3"/>
    <s v="Wednesday"/>
    <x v="0"/>
    <s v="New Customer"/>
    <s v="Referred"/>
  </r>
  <r>
    <x v="872"/>
    <x v="746"/>
    <d v="2020-11-01T00:00:00"/>
    <s v="Had to wait too long for claim approval."/>
    <n v="1"/>
    <x v="0"/>
    <x v="0"/>
    <x v="1"/>
    <x v="1"/>
    <x v="0"/>
    <x v="4"/>
    <x v="3"/>
    <s v="Sunday"/>
    <x v="1"/>
    <s v="Returning Customer"/>
    <s v="Referred"/>
  </r>
  <r>
    <x v="873"/>
    <x v="75"/>
    <d v="2021-06-20T00:00:00"/>
    <s v="Claim process could be faster."/>
    <n v="3"/>
    <x v="0"/>
    <x v="0"/>
    <x v="0"/>
    <x v="0"/>
    <x v="1"/>
    <x v="9"/>
    <x v="2"/>
    <s v="Sunday"/>
    <x v="0"/>
    <s v="Returning Customer"/>
    <s v="Referred"/>
  </r>
  <r>
    <x v="874"/>
    <x v="747"/>
    <d v="2023-06-05T00:00:00"/>
    <s v="Claim process could be faster."/>
    <n v="2"/>
    <x v="0"/>
    <x v="1"/>
    <x v="1"/>
    <x v="1"/>
    <x v="3"/>
    <x v="9"/>
    <x v="2"/>
    <s v="Monday"/>
    <x v="1"/>
    <s v="New Customer"/>
    <s v="Not Referred"/>
  </r>
  <r>
    <x v="875"/>
    <x v="748"/>
    <d v="2022-12-28T00:00:00"/>
    <s v="Frustrated with repeated documentation requests."/>
    <n v="2"/>
    <x v="1"/>
    <x v="0"/>
    <x v="1"/>
    <x v="1"/>
    <x v="2"/>
    <x v="10"/>
    <x v="3"/>
    <s v="Wednesday"/>
    <x v="1"/>
    <s v="New Customer"/>
    <s v="Referred"/>
  </r>
  <r>
    <x v="876"/>
    <x v="749"/>
    <d v="2021-12-04T00:00:00"/>
    <s v="Smooth experience with no issues."/>
    <n v="5"/>
    <x v="1"/>
    <x v="1"/>
    <x v="2"/>
    <x v="2"/>
    <x v="1"/>
    <x v="10"/>
    <x v="3"/>
    <s v="Saturday"/>
    <x v="0"/>
    <s v="New Customer"/>
    <s v="Not Referred"/>
  </r>
  <r>
    <x v="877"/>
    <x v="750"/>
    <d v="2021-09-18T00:00:00"/>
    <s v="Smooth experience with no issues."/>
    <n v="5"/>
    <x v="0"/>
    <x v="1"/>
    <x v="2"/>
    <x v="2"/>
    <x v="1"/>
    <x v="7"/>
    <x v="0"/>
    <s v="Saturday"/>
    <x v="0"/>
    <s v="New Customer"/>
    <s v="Not Referred"/>
  </r>
  <r>
    <x v="878"/>
    <x v="751"/>
    <d v="2020-10-27T00:00:00"/>
    <s v="I'm not happy with the premium charged."/>
    <n v="2"/>
    <x v="1"/>
    <x v="0"/>
    <x v="1"/>
    <x v="1"/>
    <x v="0"/>
    <x v="6"/>
    <x v="3"/>
    <s v="Tuesday"/>
    <x v="1"/>
    <s v="New Customer"/>
    <s v="Referred"/>
  </r>
  <r>
    <x v="879"/>
    <x v="752"/>
    <d v="2021-02-22T00:00:00"/>
    <s v="Had to wait too long for claim approval."/>
    <n v="1"/>
    <x v="1"/>
    <x v="0"/>
    <x v="1"/>
    <x v="1"/>
    <x v="1"/>
    <x v="2"/>
    <x v="1"/>
    <s v="Monday"/>
    <x v="1"/>
    <s v="New Customer"/>
    <s v="Referred"/>
  </r>
  <r>
    <x v="880"/>
    <x v="753"/>
    <d v="2023-10-11T00:00:00"/>
    <s v="I'm not happy with the premium charged."/>
    <n v="2"/>
    <x v="1"/>
    <x v="1"/>
    <x v="1"/>
    <x v="1"/>
    <x v="3"/>
    <x v="6"/>
    <x v="3"/>
    <s v="Wednesday"/>
    <x v="1"/>
    <s v="New Customer"/>
    <s v="Not Referred"/>
  </r>
  <r>
    <x v="881"/>
    <x v="754"/>
    <d v="2023-07-19T00:00:00"/>
    <s v="Frustrated with repeated documentation requests."/>
    <n v="3"/>
    <x v="0"/>
    <x v="1"/>
    <x v="0"/>
    <x v="0"/>
    <x v="3"/>
    <x v="11"/>
    <x v="0"/>
    <s v="Wednesday"/>
    <x v="0"/>
    <s v="New Customer"/>
    <s v="Not Referred"/>
  </r>
  <r>
    <x v="882"/>
    <x v="755"/>
    <d v="2020-07-08T00:00:00"/>
    <s v="The mobile app experience was intuitive."/>
    <n v="4"/>
    <x v="0"/>
    <x v="0"/>
    <x v="2"/>
    <x v="2"/>
    <x v="0"/>
    <x v="11"/>
    <x v="0"/>
    <s v="Wednesday"/>
    <x v="0"/>
    <s v="New Customer"/>
    <s v="Referred"/>
  </r>
  <r>
    <x v="883"/>
    <x v="756"/>
    <d v="2022-03-08T00:00:00"/>
    <s v="The agent was helpful and explained everything."/>
    <n v="4"/>
    <x v="1"/>
    <x v="0"/>
    <x v="2"/>
    <x v="2"/>
    <x v="2"/>
    <x v="8"/>
    <x v="1"/>
    <s v="Tuesday"/>
    <x v="0"/>
    <s v="New Customer"/>
    <s v="Referred"/>
  </r>
  <r>
    <x v="884"/>
    <x v="757"/>
    <d v="2022-05-10T00:00:00"/>
    <s v="The agent was helpful and explained everything."/>
    <n v="4"/>
    <x v="1"/>
    <x v="1"/>
    <x v="2"/>
    <x v="2"/>
    <x v="2"/>
    <x v="5"/>
    <x v="2"/>
    <s v="Tuesday"/>
    <x v="0"/>
    <s v="New Customer"/>
    <s v="Not Referred"/>
  </r>
  <r>
    <x v="885"/>
    <x v="758"/>
    <d v="2022-06-29T00:00:00"/>
    <s v="Excellent customer service support."/>
    <n v="5"/>
    <x v="1"/>
    <x v="1"/>
    <x v="2"/>
    <x v="2"/>
    <x v="2"/>
    <x v="9"/>
    <x v="2"/>
    <s v="Wednesday"/>
    <x v="0"/>
    <s v="New Customer"/>
    <s v="Not Referred"/>
  </r>
  <r>
    <x v="886"/>
    <x v="759"/>
    <d v="2022-09-05T00:00:00"/>
    <s v="Very satisfied with the claim process."/>
    <n v="5"/>
    <x v="0"/>
    <x v="1"/>
    <x v="2"/>
    <x v="2"/>
    <x v="2"/>
    <x v="7"/>
    <x v="0"/>
    <s v="Monday"/>
    <x v="0"/>
    <s v="New Customer"/>
    <s v="Not Referred"/>
  </r>
  <r>
    <x v="887"/>
    <x v="395"/>
    <d v="2023-06-28T00:00:00"/>
    <s v="The agent was helpful and explained everything."/>
    <n v="5"/>
    <x v="0"/>
    <x v="0"/>
    <x v="2"/>
    <x v="2"/>
    <x v="3"/>
    <x v="9"/>
    <x v="2"/>
    <s v="Wednesday"/>
    <x v="0"/>
    <s v="Returning Customer"/>
    <s v="Referred"/>
  </r>
  <r>
    <x v="888"/>
    <x v="760"/>
    <d v="2021-04-20T00:00:00"/>
    <s v="I'm not happy with the premium charged."/>
    <n v="1"/>
    <x v="1"/>
    <x v="1"/>
    <x v="1"/>
    <x v="1"/>
    <x v="1"/>
    <x v="3"/>
    <x v="2"/>
    <s v="Tuesday"/>
    <x v="1"/>
    <s v="New Customer"/>
    <s v="Not Referred"/>
  </r>
  <r>
    <x v="889"/>
    <x v="761"/>
    <d v="2021-11-20T00:00:00"/>
    <s v="Had to wait too long for claim approval."/>
    <n v="2"/>
    <x v="0"/>
    <x v="0"/>
    <x v="1"/>
    <x v="1"/>
    <x v="1"/>
    <x v="4"/>
    <x v="3"/>
    <s v="Saturday"/>
    <x v="1"/>
    <s v="New Customer"/>
    <s v="Referred"/>
  </r>
  <r>
    <x v="890"/>
    <x v="53"/>
    <d v="2023-02-02T00:00:00"/>
    <s v="I'm not happy with the premium charged."/>
    <n v="2"/>
    <x v="1"/>
    <x v="0"/>
    <x v="1"/>
    <x v="1"/>
    <x v="3"/>
    <x v="2"/>
    <x v="1"/>
    <s v="Thursday"/>
    <x v="1"/>
    <s v="Returning Customer"/>
    <s v="Referred"/>
  </r>
  <r>
    <x v="891"/>
    <x v="78"/>
    <d v="2021-06-17T00:00:00"/>
    <s v="Very satisfied with the claim process."/>
    <n v="4"/>
    <x v="0"/>
    <x v="0"/>
    <x v="2"/>
    <x v="2"/>
    <x v="1"/>
    <x v="9"/>
    <x v="2"/>
    <s v="Thursday"/>
    <x v="0"/>
    <s v="Returning Customer"/>
    <s v="Referred"/>
  </r>
  <r>
    <x v="892"/>
    <x v="762"/>
    <d v="2021-01-29T00:00:00"/>
    <s v="I'm not happy with the premium charged."/>
    <n v="2"/>
    <x v="0"/>
    <x v="0"/>
    <x v="1"/>
    <x v="1"/>
    <x v="1"/>
    <x v="1"/>
    <x v="1"/>
    <s v="Friday"/>
    <x v="1"/>
    <s v="New Customer"/>
    <s v="Referred"/>
  </r>
  <r>
    <x v="893"/>
    <x v="412"/>
    <d v="2020-03-06T00:00:00"/>
    <s v="Had to wait too long for claim approval."/>
    <n v="1"/>
    <x v="0"/>
    <x v="1"/>
    <x v="1"/>
    <x v="1"/>
    <x v="0"/>
    <x v="8"/>
    <x v="1"/>
    <s v="Friday"/>
    <x v="1"/>
    <s v="Returning Customer"/>
    <s v="Not Referred"/>
  </r>
  <r>
    <x v="894"/>
    <x v="469"/>
    <d v="2020-12-24T00:00:00"/>
    <s v="I'm not happy with the premium charged."/>
    <n v="3"/>
    <x v="0"/>
    <x v="1"/>
    <x v="0"/>
    <x v="0"/>
    <x v="0"/>
    <x v="10"/>
    <x v="3"/>
    <s v="Thursday"/>
    <x v="0"/>
    <s v="Returning Customer"/>
    <s v="Not Referred"/>
  </r>
  <r>
    <x v="895"/>
    <x v="763"/>
    <d v="2023-01-08T00:00:00"/>
    <s v="Very satisfied with the claim process."/>
    <n v="5"/>
    <x v="1"/>
    <x v="1"/>
    <x v="2"/>
    <x v="2"/>
    <x v="3"/>
    <x v="1"/>
    <x v="1"/>
    <s v="Sunday"/>
    <x v="0"/>
    <s v="New Customer"/>
    <s v="Not Referred"/>
  </r>
  <r>
    <x v="896"/>
    <x v="764"/>
    <d v="2020-01-02T00:00:00"/>
    <s v="Excellent customer service support."/>
    <n v="4"/>
    <x v="1"/>
    <x v="0"/>
    <x v="2"/>
    <x v="2"/>
    <x v="0"/>
    <x v="1"/>
    <x v="1"/>
    <s v="Thursday"/>
    <x v="0"/>
    <s v="New Customer"/>
    <s v="Referred"/>
  </r>
  <r>
    <x v="897"/>
    <x v="304"/>
    <d v="2021-08-04T00:00:00"/>
    <s v="Claim process could be faster."/>
    <n v="3"/>
    <x v="1"/>
    <x v="0"/>
    <x v="0"/>
    <x v="0"/>
    <x v="1"/>
    <x v="0"/>
    <x v="0"/>
    <s v="Wednesday"/>
    <x v="0"/>
    <s v="Returning Customer"/>
    <s v="Referred"/>
  </r>
  <r>
    <x v="898"/>
    <x v="765"/>
    <d v="2021-10-02T00:00:00"/>
    <s v="Claim process could be faster."/>
    <n v="3"/>
    <x v="1"/>
    <x v="0"/>
    <x v="0"/>
    <x v="0"/>
    <x v="1"/>
    <x v="6"/>
    <x v="3"/>
    <s v="Saturday"/>
    <x v="0"/>
    <s v="New Customer"/>
    <s v="Referred"/>
  </r>
  <r>
    <x v="899"/>
    <x v="766"/>
    <d v="2023-07-03T00:00:00"/>
    <s v="Claim process could be faster."/>
    <n v="2"/>
    <x v="1"/>
    <x v="0"/>
    <x v="1"/>
    <x v="1"/>
    <x v="3"/>
    <x v="11"/>
    <x v="0"/>
    <s v="Monday"/>
    <x v="1"/>
    <s v="New Customer"/>
    <s v="Referred"/>
  </r>
  <r>
    <x v="900"/>
    <x v="13"/>
    <d v="2020-09-20T00:00:00"/>
    <s v="The agent was helpful and explained everything."/>
    <n v="4"/>
    <x v="1"/>
    <x v="0"/>
    <x v="2"/>
    <x v="2"/>
    <x v="0"/>
    <x v="7"/>
    <x v="0"/>
    <s v="Sunday"/>
    <x v="0"/>
    <s v="Returning Customer"/>
    <s v="Referred"/>
  </r>
  <r>
    <x v="901"/>
    <x v="767"/>
    <d v="2021-10-17T00:00:00"/>
    <s v="The mobile app experience was intuitive."/>
    <n v="3"/>
    <x v="0"/>
    <x v="0"/>
    <x v="0"/>
    <x v="0"/>
    <x v="1"/>
    <x v="6"/>
    <x v="3"/>
    <s v="Sunday"/>
    <x v="0"/>
    <s v="New Customer"/>
    <s v="Referred"/>
  </r>
  <r>
    <x v="902"/>
    <x v="768"/>
    <d v="2022-01-25T00:00:00"/>
    <s v="Had to wait too long for claim approval."/>
    <n v="2"/>
    <x v="0"/>
    <x v="0"/>
    <x v="1"/>
    <x v="1"/>
    <x v="2"/>
    <x v="1"/>
    <x v="1"/>
    <s v="Tuesday"/>
    <x v="1"/>
    <s v="New Customer"/>
    <s v="Referred"/>
  </r>
  <r>
    <x v="903"/>
    <x v="769"/>
    <d v="2023-05-27T00:00:00"/>
    <s v="Claim process could be faster."/>
    <n v="3"/>
    <x v="1"/>
    <x v="1"/>
    <x v="0"/>
    <x v="0"/>
    <x v="3"/>
    <x v="5"/>
    <x v="2"/>
    <s v="Saturday"/>
    <x v="0"/>
    <s v="New Customer"/>
    <s v="Not Referred"/>
  </r>
  <r>
    <x v="904"/>
    <x v="566"/>
    <d v="2023-09-14T00:00:00"/>
    <s v="I'm not happy with the premium charged."/>
    <n v="3"/>
    <x v="0"/>
    <x v="0"/>
    <x v="0"/>
    <x v="0"/>
    <x v="3"/>
    <x v="7"/>
    <x v="0"/>
    <s v="Thursday"/>
    <x v="0"/>
    <s v="Returning Customer"/>
    <s v="Referred"/>
  </r>
  <r>
    <x v="905"/>
    <x v="770"/>
    <d v="2020-01-27T00:00:00"/>
    <s v="The agent was helpful and explained everything."/>
    <n v="4"/>
    <x v="1"/>
    <x v="1"/>
    <x v="2"/>
    <x v="2"/>
    <x v="0"/>
    <x v="1"/>
    <x v="1"/>
    <s v="Monday"/>
    <x v="0"/>
    <s v="New Customer"/>
    <s v="Not Referred"/>
  </r>
  <r>
    <x v="906"/>
    <x v="771"/>
    <d v="2020-12-17T00:00:00"/>
    <s v="I'm not happy with the premium charged."/>
    <n v="1"/>
    <x v="0"/>
    <x v="1"/>
    <x v="1"/>
    <x v="1"/>
    <x v="0"/>
    <x v="10"/>
    <x v="3"/>
    <s v="Thursday"/>
    <x v="1"/>
    <s v="New Customer"/>
    <s v="Not Referred"/>
  </r>
  <r>
    <x v="907"/>
    <x v="772"/>
    <d v="2020-07-19T00:00:00"/>
    <s v="Claim process could be faster."/>
    <n v="2"/>
    <x v="1"/>
    <x v="1"/>
    <x v="1"/>
    <x v="1"/>
    <x v="0"/>
    <x v="11"/>
    <x v="0"/>
    <s v="Sunday"/>
    <x v="1"/>
    <s v="New Customer"/>
    <s v="Not Referred"/>
  </r>
  <r>
    <x v="908"/>
    <x v="436"/>
    <d v="2020-05-31T00:00:00"/>
    <s v="Smooth experience with no issues."/>
    <n v="4"/>
    <x v="1"/>
    <x v="0"/>
    <x v="2"/>
    <x v="2"/>
    <x v="0"/>
    <x v="5"/>
    <x v="2"/>
    <s v="Sunday"/>
    <x v="0"/>
    <s v="Returning Customer"/>
    <s v="Referred"/>
  </r>
  <r>
    <x v="909"/>
    <x v="773"/>
    <d v="2023-12-08T00:00:00"/>
    <s v="Excellent customer service support."/>
    <n v="5"/>
    <x v="1"/>
    <x v="1"/>
    <x v="2"/>
    <x v="2"/>
    <x v="3"/>
    <x v="10"/>
    <x v="3"/>
    <s v="Friday"/>
    <x v="0"/>
    <s v="New Customer"/>
    <s v="Not Referred"/>
  </r>
  <r>
    <x v="910"/>
    <x v="774"/>
    <d v="2020-10-28T00:00:00"/>
    <s v="Need more clarity on policy coverage."/>
    <n v="3"/>
    <x v="0"/>
    <x v="1"/>
    <x v="0"/>
    <x v="0"/>
    <x v="0"/>
    <x v="6"/>
    <x v="3"/>
    <s v="Wednesday"/>
    <x v="0"/>
    <s v="New Customer"/>
    <s v="Not Referred"/>
  </r>
  <r>
    <x v="911"/>
    <x v="775"/>
    <d v="2022-08-25T00:00:00"/>
    <s v="Need more clarity on policy coverage."/>
    <n v="3"/>
    <x v="0"/>
    <x v="1"/>
    <x v="0"/>
    <x v="0"/>
    <x v="2"/>
    <x v="0"/>
    <x v="0"/>
    <s v="Thursday"/>
    <x v="0"/>
    <s v="New Customer"/>
    <s v="Not Referred"/>
  </r>
  <r>
    <x v="912"/>
    <x v="776"/>
    <d v="2020-04-16T00:00:00"/>
    <s v="Claim process could be faster."/>
    <n v="2"/>
    <x v="0"/>
    <x v="0"/>
    <x v="1"/>
    <x v="1"/>
    <x v="0"/>
    <x v="3"/>
    <x v="2"/>
    <s v="Thursday"/>
    <x v="1"/>
    <s v="New Customer"/>
    <s v="Referred"/>
  </r>
  <r>
    <x v="913"/>
    <x v="724"/>
    <d v="2020-01-07T00:00:00"/>
    <s v="Smooth experience with no issues."/>
    <n v="5"/>
    <x v="0"/>
    <x v="0"/>
    <x v="2"/>
    <x v="2"/>
    <x v="0"/>
    <x v="1"/>
    <x v="1"/>
    <s v="Tuesday"/>
    <x v="0"/>
    <s v="Returning Customer"/>
    <s v="Referred"/>
  </r>
  <r>
    <x v="914"/>
    <x v="644"/>
    <d v="2020-03-23T00:00:00"/>
    <s v="Had to wait too long for claim approval."/>
    <n v="2"/>
    <x v="0"/>
    <x v="1"/>
    <x v="1"/>
    <x v="1"/>
    <x v="0"/>
    <x v="8"/>
    <x v="1"/>
    <s v="Monday"/>
    <x v="1"/>
    <s v="Returning Customer"/>
    <s v="Not Referred"/>
  </r>
  <r>
    <x v="915"/>
    <x v="777"/>
    <d v="2020-06-14T00:00:00"/>
    <s v="I'm not happy with the premium charged."/>
    <n v="3"/>
    <x v="0"/>
    <x v="1"/>
    <x v="0"/>
    <x v="0"/>
    <x v="0"/>
    <x v="9"/>
    <x v="2"/>
    <s v="Sunday"/>
    <x v="0"/>
    <s v="New Customer"/>
    <s v="Not Referred"/>
  </r>
  <r>
    <x v="916"/>
    <x v="778"/>
    <d v="2021-05-17T00:00:00"/>
    <s v="Claim process could be faster."/>
    <n v="3"/>
    <x v="0"/>
    <x v="0"/>
    <x v="0"/>
    <x v="0"/>
    <x v="1"/>
    <x v="5"/>
    <x v="2"/>
    <s v="Monday"/>
    <x v="0"/>
    <s v="New Customer"/>
    <s v="Referred"/>
  </r>
  <r>
    <x v="917"/>
    <x v="779"/>
    <d v="2023-02-25T00:00:00"/>
    <s v="Need more clarity on policy coverage."/>
    <n v="1"/>
    <x v="0"/>
    <x v="0"/>
    <x v="1"/>
    <x v="1"/>
    <x v="3"/>
    <x v="2"/>
    <x v="1"/>
    <s v="Saturday"/>
    <x v="1"/>
    <s v="New Customer"/>
    <s v="Referred"/>
  </r>
  <r>
    <x v="918"/>
    <x v="203"/>
    <d v="2021-09-28T00:00:00"/>
    <s v="Had to wait too long for claim approval."/>
    <n v="1"/>
    <x v="1"/>
    <x v="0"/>
    <x v="1"/>
    <x v="1"/>
    <x v="1"/>
    <x v="7"/>
    <x v="0"/>
    <s v="Tuesday"/>
    <x v="1"/>
    <s v="Returning Customer"/>
    <s v="Referred"/>
  </r>
  <r>
    <x v="919"/>
    <x v="780"/>
    <d v="2021-05-02T00:00:00"/>
    <s v="The mobile app experience was intuitive."/>
    <n v="3"/>
    <x v="1"/>
    <x v="0"/>
    <x v="0"/>
    <x v="0"/>
    <x v="1"/>
    <x v="5"/>
    <x v="2"/>
    <s v="Sunday"/>
    <x v="0"/>
    <s v="New Customer"/>
    <s v="Referred"/>
  </r>
  <r>
    <x v="920"/>
    <x v="781"/>
    <d v="2020-06-23T00:00:00"/>
    <s v="Excellent customer service support."/>
    <n v="4"/>
    <x v="0"/>
    <x v="1"/>
    <x v="2"/>
    <x v="2"/>
    <x v="0"/>
    <x v="9"/>
    <x v="2"/>
    <s v="Tuesday"/>
    <x v="0"/>
    <s v="New Customer"/>
    <s v="Not Referred"/>
  </r>
  <r>
    <x v="921"/>
    <x v="782"/>
    <d v="2023-12-30T00:00:00"/>
    <s v="Had to wait too long for claim approval."/>
    <n v="1"/>
    <x v="0"/>
    <x v="0"/>
    <x v="1"/>
    <x v="1"/>
    <x v="3"/>
    <x v="10"/>
    <x v="3"/>
    <s v="Saturday"/>
    <x v="1"/>
    <s v="New Customer"/>
    <s v="Referred"/>
  </r>
  <r>
    <x v="922"/>
    <x v="746"/>
    <d v="2020-03-21T00:00:00"/>
    <s v="Had to wait too long for claim approval."/>
    <n v="1"/>
    <x v="0"/>
    <x v="1"/>
    <x v="1"/>
    <x v="1"/>
    <x v="0"/>
    <x v="8"/>
    <x v="1"/>
    <s v="Saturday"/>
    <x v="1"/>
    <s v="Returning Customer"/>
    <s v="Not Referred"/>
  </r>
  <r>
    <x v="923"/>
    <x v="783"/>
    <d v="2022-04-29T00:00:00"/>
    <s v="The agent was helpful and explained everything."/>
    <n v="4"/>
    <x v="0"/>
    <x v="1"/>
    <x v="2"/>
    <x v="2"/>
    <x v="2"/>
    <x v="3"/>
    <x v="2"/>
    <s v="Friday"/>
    <x v="0"/>
    <s v="New Customer"/>
    <s v="Not Referred"/>
  </r>
  <r>
    <x v="924"/>
    <x v="784"/>
    <d v="2023-02-27T00:00:00"/>
    <s v="The mobile app experience was intuitive."/>
    <n v="4"/>
    <x v="1"/>
    <x v="0"/>
    <x v="2"/>
    <x v="2"/>
    <x v="3"/>
    <x v="2"/>
    <x v="1"/>
    <s v="Monday"/>
    <x v="0"/>
    <s v="New Customer"/>
    <s v="Referred"/>
  </r>
  <r>
    <x v="925"/>
    <x v="785"/>
    <d v="2023-12-03T00:00:00"/>
    <s v="Smooth experience with no issues."/>
    <n v="4"/>
    <x v="0"/>
    <x v="1"/>
    <x v="2"/>
    <x v="2"/>
    <x v="3"/>
    <x v="10"/>
    <x v="3"/>
    <s v="Sunday"/>
    <x v="0"/>
    <s v="New Customer"/>
    <s v="Not Referred"/>
  </r>
  <r>
    <x v="926"/>
    <x v="786"/>
    <d v="2022-04-10T00:00:00"/>
    <s v="Frustrated with repeated documentation requests."/>
    <n v="3"/>
    <x v="1"/>
    <x v="0"/>
    <x v="0"/>
    <x v="0"/>
    <x v="2"/>
    <x v="3"/>
    <x v="2"/>
    <s v="Sunday"/>
    <x v="0"/>
    <s v="New Customer"/>
    <s v="Referred"/>
  </r>
  <r>
    <x v="927"/>
    <x v="535"/>
    <d v="2020-04-13T00:00:00"/>
    <s v="The agent was helpful and explained everything."/>
    <n v="4"/>
    <x v="1"/>
    <x v="1"/>
    <x v="2"/>
    <x v="2"/>
    <x v="0"/>
    <x v="3"/>
    <x v="2"/>
    <s v="Monday"/>
    <x v="0"/>
    <s v="Returning Customer"/>
    <s v="Not Referred"/>
  </r>
  <r>
    <x v="928"/>
    <x v="787"/>
    <d v="2023-05-07T00:00:00"/>
    <s v="I'm not happy with the premium charged."/>
    <n v="1"/>
    <x v="1"/>
    <x v="0"/>
    <x v="1"/>
    <x v="1"/>
    <x v="3"/>
    <x v="5"/>
    <x v="2"/>
    <s v="Sunday"/>
    <x v="1"/>
    <s v="New Customer"/>
    <s v="Referred"/>
  </r>
  <r>
    <x v="929"/>
    <x v="788"/>
    <d v="2022-02-24T00:00:00"/>
    <s v="Had to wait too long for claim approval."/>
    <n v="1"/>
    <x v="1"/>
    <x v="0"/>
    <x v="1"/>
    <x v="1"/>
    <x v="2"/>
    <x v="2"/>
    <x v="1"/>
    <s v="Thursday"/>
    <x v="1"/>
    <s v="New Customer"/>
    <s v="Referred"/>
  </r>
  <r>
    <x v="930"/>
    <x v="789"/>
    <d v="2020-06-11T00:00:00"/>
    <s v="Had to wait too long for claim approval."/>
    <n v="2"/>
    <x v="1"/>
    <x v="1"/>
    <x v="1"/>
    <x v="1"/>
    <x v="0"/>
    <x v="9"/>
    <x v="2"/>
    <s v="Thursday"/>
    <x v="1"/>
    <s v="New Customer"/>
    <s v="Not Referred"/>
  </r>
  <r>
    <x v="931"/>
    <x v="790"/>
    <d v="2020-01-27T00:00:00"/>
    <s v="Had to wait too long for claim approval."/>
    <n v="2"/>
    <x v="1"/>
    <x v="1"/>
    <x v="1"/>
    <x v="1"/>
    <x v="0"/>
    <x v="1"/>
    <x v="1"/>
    <s v="Monday"/>
    <x v="1"/>
    <s v="New Customer"/>
    <s v="Not Referred"/>
  </r>
  <r>
    <x v="932"/>
    <x v="791"/>
    <d v="2021-04-12T00:00:00"/>
    <s v="Had to wait too long for claim approval."/>
    <n v="1"/>
    <x v="0"/>
    <x v="1"/>
    <x v="1"/>
    <x v="1"/>
    <x v="1"/>
    <x v="3"/>
    <x v="2"/>
    <s v="Monday"/>
    <x v="1"/>
    <s v="New Customer"/>
    <s v="Not Referred"/>
  </r>
  <r>
    <x v="933"/>
    <x v="792"/>
    <d v="2023-04-06T00:00:00"/>
    <s v="Need more clarity on policy coverage."/>
    <n v="1"/>
    <x v="1"/>
    <x v="1"/>
    <x v="1"/>
    <x v="1"/>
    <x v="3"/>
    <x v="3"/>
    <x v="2"/>
    <s v="Thursday"/>
    <x v="1"/>
    <s v="New Customer"/>
    <s v="Not Referred"/>
  </r>
  <r>
    <x v="934"/>
    <x v="793"/>
    <d v="2020-06-19T00:00:00"/>
    <s v="Smooth experience with no issues."/>
    <n v="4"/>
    <x v="1"/>
    <x v="1"/>
    <x v="2"/>
    <x v="2"/>
    <x v="0"/>
    <x v="9"/>
    <x v="2"/>
    <s v="Friday"/>
    <x v="0"/>
    <s v="New Customer"/>
    <s v="Not Referred"/>
  </r>
  <r>
    <x v="935"/>
    <x v="131"/>
    <d v="2022-04-30T00:00:00"/>
    <s v="Claim process could be faster."/>
    <n v="2"/>
    <x v="0"/>
    <x v="0"/>
    <x v="1"/>
    <x v="1"/>
    <x v="2"/>
    <x v="3"/>
    <x v="2"/>
    <s v="Saturday"/>
    <x v="1"/>
    <s v="Returning Customer"/>
    <s v="Referred"/>
  </r>
  <r>
    <x v="936"/>
    <x v="794"/>
    <d v="2022-06-12T00:00:00"/>
    <s v="Excellent customer service support."/>
    <n v="4"/>
    <x v="1"/>
    <x v="1"/>
    <x v="2"/>
    <x v="2"/>
    <x v="2"/>
    <x v="9"/>
    <x v="2"/>
    <s v="Sunday"/>
    <x v="0"/>
    <s v="New Customer"/>
    <s v="Not Referred"/>
  </r>
  <r>
    <x v="937"/>
    <x v="362"/>
    <d v="2020-03-04T00:00:00"/>
    <s v="I'm not happy with the premium charged."/>
    <n v="3"/>
    <x v="1"/>
    <x v="0"/>
    <x v="0"/>
    <x v="0"/>
    <x v="0"/>
    <x v="8"/>
    <x v="1"/>
    <s v="Wednesday"/>
    <x v="0"/>
    <s v="Returning Customer"/>
    <s v="Referred"/>
  </r>
  <r>
    <x v="938"/>
    <x v="271"/>
    <d v="2020-11-07T00:00:00"/>
    <s v="Frustrated with repeated documentation requests."/>
    <n v="1"/>
    <x v="1"/>
    <x v="1"/>
    <x v="1"/>
    <x v="1"/>
    <x v="0"/>
    <x v="4"/>
    <x v="3"/>
    <s v="Saturday"/>
    <x v="1"/>
    <s v="Returning Customer"/>
    <s v="Not Referred"/>
  </r>
  <r>
    <x v="939"/>
    <x v="484"/>
    <d v="2021-06-19T00:00:00"/>
    <s v="Need more clarity on policy coverage."/>
    <n v="3"/>
    <x v="0"/>
    <x v="1"/>
    <x v="0"/>
    <x v="0"/>
    <x v="1"/>
    <x v="9"/>
    <x v="2"/>
    <s v="Saturday"/>
    <x v="0"/>
    <s v="Returning Customer"/>
    <s v="Not Referred"/>
  </r>
  <r>
    <x v="940"/>
    <x v="795"/>
    <d v="2020-08-31T00:00:00"/>
    <s v="I'm not happy with the premium charged."/>
    <n v="3"/>
    <x v="1"/>
    <x v="0"/>
    <x v="0"/>
    <x v="0"/>
    <x v="0"/>
    <x v="0"/>
    <x v="0"/>
    <s v="Monday"/>
    <x v="0"/>
    <s v="New Customer"/>
    <s v="Referred"/>
  </r>
  <r>
    <x v="941"/>
    <x v="477"/>
    <d v="2022-11-17T00:00:00"/>
    <s v="The agent was helpful and explained everything."/>
    <n v="4"/>
    <x v="0"/>
    <x v="0"/>
    <x v="2"/>
    <x v="2"/>
    <x v="2"/>
    <x v="4"/>
    <x v="3"/>
    <s v="Thursday"/>
    <x v="0"/>
    <s v="Returning Customer"/>
    <s v="Referred"/>
  </r>
  <r>
    <x v="942"/>
    <x v="687"/>
    <d v="2022-06-23T00:00:00"/>
    <s v="Had to wait too long for claim approval."/>
    <n v="2"/>
    <x v="0"/>
    <x v="0"/>
    <x v="1"/>
    <x v="1"/>
    <x v="2"/>
    <x v="9"/>
    <x v="2"/>
    <s v="Thursday"/>
    <x v="1"/>
    <s v="Returning Customer"/>
    <s v="Referred"/>
  </r>
  <r>
    <x v="943"/>
    <x v="350"/>
    <d v="2023-10-19T00:00:00"/>
    <s v="I'm not happy with the premium charged."/>
    <n v="1"/>
    <x v="1"/>
    <x v="1"/>
    <x v="1"/>
    <x v="1"/>
    <x v="3"/>
    <x v="6"/>
    <x v="3"/>
    <s v="Thursday"/>
    <x v="1"/>
    <s v="Returning Customer"/>
    <s v="Not Referred"/>
  </r>
  <r>
    <x v="944"/>
    <x v="639"/>
    <d v="2021-07-14T00:00:00"/>
    <s v="Had to wait too long for claim approval."/>
    <n v="1"/>
    <x v="0"/>
    <x v="0"/>
    <x v="1"/>
    <x v="1"/>
    <x v="1"/>
    <x v="11"/>
    <x v="0"/>
    <s v="Wednesday"/>
    <x v="1"/>
    <s v="Returning Customer"/>
    <s v="Referred"/>
  </r>
  <r>
    <x v="945"/>
    <x v="796"/>
    <d v="2020-09-25T00:00:00"/>
    <s v="I'm not happy with the premium charged."/>
    <n v="2"/>
    <x v="0"/>
    <x v="1"/>
    <x v="1"/>
    <x v="1"/>
    <x v="0"/>
    <x v="7"/>
    <x v="0"/>
    <s v="Friday"/>
    <x v="1"/>
    <s v="New Customer"/>
    <s v="Not Referred"/>
  </r>
  <r>
    <x v="946"/>
    <x v="544"/>
    <d v="2020-02-04T00:00:00"/>
    <s v="Smooth experience with no issues."/>
    <n v="4"/>
    <x v="0"/>
    <x v="1"/>
    <x v="2"/>
    <x v="2"/>
    <x v="0"/>
    <x v="2"/>
    <x v="1"/>
    <s v="Tuesday"/>
    <x v="0"/>
    <s v="Returning Customer"/>
    <s v="Not Referred"/>
  </r>
  <r>
    <x v="947"/>
    <x v="492"/>
    <d v="2021-01-28T00:00:00"/>
    <s v="Smooth experience with no issues."/>
    <n v="4"/>
    <x v="0"/>
    <x v="1"/>
    <x v="2"/>
    <x v="2"/>
    <x v="1"/>
    <x v="1"/>
    <x v="1"/>
    <s v="Thursday"/>
    <x v="0"/>
    <s v="Returning Customer"/>
    <s v="Not Referred"/>
  </r>
  <r>
    <x v="948"/>
    <x v="463"/>
    <d v="2021-11-22T00:00:00"/>
    <s v="Excellent customer service support."/>
    <n v="5"/>
    <x v="1"/>
    <x v="1"/>
    <x v="2"/>
    <x v="2"/>
    <x v="1"/>
    <x v="4"/>
    <x v="3"/>
    <s v="Monday"/>
    <x v="0"/>
    <s v="Returning Customer"/>
    <s v="Not Referred"/>
  </r>
  <r>
    <x v="949"/>
    <x v="797"/>
    <d v="2022-04-07T00:00:00"/>
    <s v="Excellent customer service support."/>
    <n v="4"/>
    <x v="0"/>
    <x v="0"/>
    <x v="2"/>
    <x v="2"/>
    <x v="2"/>
    <x v="3"/>
    <x v="2"/>
    <s v="Thursday"/>
    <x v="0"/>
    <s v="New Customer"/>
    <s v="Referred"/>
  </r>
  <r>
    <x v="950"/>
    <x v="798"/>
    <d v="2022-09-22T00:00:00"/>
    <s v="Need more clarity on policy coverage."/>
    <n v="1"/>
    <x v="1"/>
    <x v="0"/>
    <x v="1"/>
    <x v="1"/>
    <x v="2"/>
    <x v="7"/>
    <x v="0"/>
    <s v="Thursday"/>
    <x v="1"/>
    <s v="New Customer"/>
    <s v="Referred"/>
  </r>
  <r>
    <x v="951"/>
    <x v="696"/>
    <d v="2020-09-12T00:00:00"/>
    <s v="Smooth experience with no issues."/>
    <n v="4"/>
    <x v="0"/>
    <x v="1"/>
    <x v="2"/>
    <x v="2"/>
    <x v="0"/>
    <x v="7"/>
    <x v="0"/>
    <s v="Saturday"/>
    <x v="0"/>
    <s v="Returning Customer"/>
    <s v="Not Referred"/>
  </r>
  <r>
    <x v="952"/>
    <x v="799"/>
    <d v="2023-01-03T00:00:00"/>
    <s v="I'm not happy with the premium charged."/>
    <n v="3"/>
    <x v="0"/>
    <x v="0"/>
    <x v="0"/>
    <x v="0"/>
    <x v="3"/>
    <x v="1"/>
    <x v="1"/>
    <s v="Tuesday"/>
    <x v="0"/>
    <s v="New Customer"/>
    <s v="Referred"/>
  </r>
  <r>
    <x v="953"/>
    <x v="800"/>
    <d v="2020-07-24T00:00:00"/>
    <s v="I'm not happy with the premium charged."/>
    <n v="3"/>
    <x v="1"/>
    <x v="1"/>
    <x v="0"/>
    <x v="0"/>
    <x v="0"/>
    <x v="11"/>
    <x v="0"/>
    <s v="Friday"/>
    <x v="0"/>
    <s v="Returning Customer"/>
    <s v="Not Referred"/>
  </r>
  <r>
    <x v="954"/>
    <x v="801"/>
    <d v="2022-06-03T00:00:00"/>
    <s v="Smooth experience with no issues."/>
    <n v="5"/>
    <x v="0"/>
    <x v="0"/>
    <x v="2"/>
    <x v="2"/>
    <x v="2"/>
    <x v="9"/>
    <x v="2"/>
    <s v="Friday"/>
    <x v="0"/>
    <s v="New Customer"/>
    <s v="Referred"/>
  </r>
  <r>
    <x v="955"/>
    <x v="661"/>
    <d v="2021-08-20T00:00:00"/>
    <s v="Excellent customer service support."/>
    <n v="5"/>
    <x v="1"/>
    <x v="0"/>
    <x v="2"/>
    <x v="2"/>
    <x v="1"/>
    <x v="0"/>
    <x v="0"/>
    <s v="Friday"/>
    <x v="0"/>
    <s v="Returning Customer"/>
    <s v="Referred"/>
  </r>
  <r>
    <x v="956"/>
    <x v="315"/>
    <d v="2022-05-18T00:00:00"/>
    <s v="The agent was helpful and explained everything."/>
    <n v="5"/>
    <x v="1"/>
    <x v="0"/>
    <x v="2"/>
    <x v="2"/>
    <x v="2"/>
    <x v="5"/>
    <x v="2"/>
    <s v="Wednesday"/>
    <x v="0"/>
    <s v="Returning Customer"/>
    <s v="Referred"/>
  </r>
  <r>
    <x v="957"/>
    <x v="802"/>
    <d v="2022-10-03T00:00:00"/>
    <s v="Had to wait too long for claim approval."/>
    <n v="2"/>
    <x v="1"/>
    <x v="1"/>
    <x v="1"/>
    <x v="1"/>
    <x v="2"/>
    <x v="6"/>
    <x v="3"/>
    <s v="Monday"/>
    <x v="1"/>
    <s v="New Customer"/>
    <s v="Not Referred"/>
  </r>
  <r>
    <x v="958"/>
    <x v="80"/>
    <d v="2022-02-13T00:00:00"/>
    <s v="Claim process could be faster."/>
    <n v="3"/>
    <x v="1"/>
    <x v="1"/>
    <x v="0"/>
    <x v="0"/>
    <x v="2"/>
    <x v="2"/>
    <x v="1"/>
    <s v="Sunday"/>
    <x v="0"/>
    <s v="Returning Customer"/>
    <s v="Not Referred"/>
  </r>
  <r>
    <x v="959"/>
    <x v="803"/>
    <d v="2022-06-05T00:00:00"/>
    <s v="Excellent customer service support."/>
    <n v="4"/>
    <x v="1"/>
    <x v="0"/>
    <x v="2"/>
    <x v="2"/>
    <x v="2"/>
    <x v="9"/>
    <x v="2"/>
    <s v="Sunday"/>
    <x v="0"/>
    <s v="New Customer"/>
    <s v="Referred"/>
  </r>
  <r>
    <x v="960"/>
    <x v="371"/>
    <d v="2022-08-26T00:00:00"/>
    <s v="Had to wait too long for claim approval."/>
    <n v="1"/>
    <x v="1"/>
    <x v="1"/>
    <x v="1"/>
    <x v="1"/>
    <x v="2"/>
    <x v="0"/>
    <x v="0"/>
    <s v="Friday"/>
    <x v="1"/>
    <s v="Returning Customer"/>
    <s v="Not Referred"/>
  </r>
  <r>
    <x v="961"/>
    <x v="804"/>
    <d v="2023-01-20T00:00:00"/>
    <s v="Excellent customer service support."/>
    <n v="5"/>
    <x v="0"/>
    <x v="1"/>
    <x v="2"/>
    <x v="2"/>
    <x v="3"/>
    <x v="1"/>
    <x v="1"/>
    <s v="Friday"/>
    <x v="0"/>
    <s v="New Customer"/>
    <s v="Not Referred"/>
  </r>
  <r>
    <x v="962"/>
    <x v="805"/>
    <d v="2022-08-16T00:00:00"/>
    <s v="Smooth experience with no issues."/>
    <n v="5"/>
    <x v="1"/>
    <x v="0"/>
    <x v="2"/>
    <x v="2"/>
    <x v="2"/>
    <x v="0"/>
    <x v="0"/>
    <s v="Tuesday"/>
    <x v="0"/>
    <s v="New Customer"/>
    <s v="Referred"/>
  </r>
  <r>
    <x v="963"/>
    <x v="264"/>
    <d v="2022-07-15T00:00:00"/>
    <s v="Smooth experience with no issues."/>
    <n v="5"/>
    <x v="0"/>
    <x v="0"/>
    <x v="2"/>
    <x v="2"/>
    <x v="2"/>
    <x v="11"/>
    <x v="0"/>
    <s v="Friday"/>
    <x v="0"/>
    <s v="Returning Customer"/>
    <s v="Referred"/>
  </r>
  <r>
    <x v="964"/>
    <x v="806"/>
    <d v="2021-01-27T00:00:00"/>
    <s v="Very satisfied with the claim process."/>
    <n v="4"/>
    <x v="1"/>
    <x v="1"/>
    <x v="2"/>
    <x v="2"/>
    <x v="1"/>
    <x v="1"/>
    <x v="1"/>
    <s v="Wednesday"/>
    <x v="0"/>
    <s v="New Customer"/>
    <s v="Not Referred"/>
  </r>
  <r>
    <x v="965"/>
    <x v="807"/>
    <d v="2022-01-11T00:00:00"/>
    <s v="The mobile app experience was intuitive."/>
    <n v="3"/>
    <x v="0"/>
    <x v="0"/>
    <x v="0"/>
    <x v="0"/>
    <x v="2"/>
    <x v="1"/>
    <x v="1"/>
    <s v="Tuesday"/>
    <x v="0"/>
    <s v="New Customer"/>
    <s v="Referred"/>
  </r>
  <r>
    <x v="966"/>
    <x v="808"/>
    <d v="2020-09-21T00:00:00"/>
    <s v="I'm not happy with the premium charged."/>
    <n v="2"/>
    <x v="1"/>
    <x v="0"/>
    <x v="1"/>
    <x v="1"/>
    <x v="0"/>
    <x v="7"/>
    <x v="0"/>
    <s v="Monday"/>
    <x v="1"/>
    <s v="New Customer"/>
    <s v="Referred"/>
  </r>
  <r>
    <x v="967"/>
    <x v="809"/>
    <d v="2022-05-09T00:00:00"/>
    <s v="Very satisfied with the claim process."/>
    <n v="5"/>
    <x v="1"/>
    <x v="0"/>
    <x v="2"/>
    <x v="2"/>
    <x v="2"/>
    <x v="5"/>
    <x v="2"/>
    <s v="Monday"/>
    <x v="0"/>
    <s v="New Customer"/>
    <s v="Referred"/>
  </r>
  <r>
    <x v="968"/>
    <x v="135"/>
    <d v="2020-05-16T00:00:00"/>
    <s v="Need more clarity on policy coverage."/>
    <n v="1"/>
    <x v="1"/>
    <x v="0"/>
    <x v="1"/>
    <x v="1"/>
    <x v="0"/>
    <x v="5"/>
    <x v="2"/>
    <s v="Saturday"/>
    <x v="1"/>
    <s v="Loyal Customer"/>
    <s v="Referred"/>
  </r>
  <r>
    <x v="969"/>
    <x v="585"/>
    <d v="2020-10-02T00:00:00"/>
    <s v="Need more clarity on policy coverage."/>
    <n v="2"/>
    <x v="1"/>
    <x v="1"/>
    <x v="1"/>
    <x v="1"/>
    <x v="0"/>
    <x v="6"/>
    <x v="3"/>
    <s v="Friday"/>
    <x v="1"/>
    <s v="Returning Customer"/>
    <s v="Not Referred"/>
  </r>
  <r>
    <x v="970"/>
    <x v="810"/>
    <d v="2023-02-01T00:00:00"/>
    <s v="Frustrated with repeated documentation requests."/>
    <n v="3"/>
    <x v="0"/>
    <x v="0"/>
    <x v="0"/>
    <x v="0"/>
    <x v="3"/>
    <x v="2"/>
    <x v="1"/>
    <s v="Wednesday"/>
    <x v="0"/>
    <s v="New Customer"/>
    <s v="Referred"/>
  </r>
  <r>
    <x v="971"/>
    <x v="811"/>
    <d v="2020-04-10T00:00:00"/>
    <s v="Very satisfied with the claim process."/>
    <n v="4"/>
    <x v="0"/>
    <x v="0"/>
    <x v="2"/>
    <x v="2"/>
    <x v="0"/>
    <x v="3"/>
    <x v="2"/>
    <s v="Friday"/>
    <x v="0"/>
    <s v="New Customer"/>
    <s v="Referred"/>
  </r>
  <r>
    <x v="972"/>
    <x v="812"/>
    <d v="2021-02-15T00:00:00"/>
    <s v="Smooth experience with no issues."/>
    <n v="4"/>
    <x v="0"/>
    <x v="1"/>
    <x v="2"/>
    <x v="2"/>
    <x v="1"/>
    <x v="2"/>
    <x v="1"/>
    <s v="Monday"/>
    <x v="0"/>
    <s v="New Customer"/>
    <s v="Not Referred"/>
  </r>
  <r>
    <x v="973"/>
    <x v="813"/>
    <d v="2020-02-06T00:00:00"/>
    <s v="Frustrated with repeated documentation requests."/>
    <n v="3"/>
    <x v="0"/>
    <x v="0"/>
    <x v="0"/>
    <x v="0"/>
    <x v="0"/>
    <x v="2"/>
    <x v="1"/>
    <s v="Thursday"/>
    <x v="0"/>
    <s v="New Customer"/>
    <s v="Referred"/>
  </r>
  <r>
    <x v="974"/>
    <x v="133"/>
    <d v="2022-01-08T00:00:00"/>
    <s v="Had to wait too long for claim approval."/>
    <n v="1"/>
    <x v="0"/>
    <x v="0"/>
    <x v="1"/>
    <x v="1"/>
    <x v="2"/>
    <x v="1"/>
    <x v="1"/>
    <s v="Saturday"/>
    <x v="1"/>
    <s v="Returning Customer"/>
    <s v="Referred"/>
  </r>
  <r>
    <x v="975"/>
    <x v="800"/>
    <d v="2023-01-17T00:00:00"/>
    <s v="I'm not happy with the premium charged."/>
    <n v="3"/>
    <x v="1"/>
    <x v="0"/>
    <x v="0"/>
    <x v="0"/>
    <x v="3"/>
    <x v="1"/>
    <x v="1"/>
    <s v="Tuesday"/>
    <x v="0"/>
    <s v="Returning Customer"/>
    <s v="Referred"/>
  </r>
  <r>
    <x v="976"/>
    <x v="405"/>
    <d v="2022-01-28T00:00:00"/>
    <s v="Claim process could be faster."/>
    <n v="3"/>
    <x v="1"/>
    <x v="0"/>
    <x v="0"/>
    <x v="0"/>
    <x v="2"/>
    <x v="1"/>
    <x v="1"/>
    <s v="Friday"/>
    <x v="0"/>
    <s v="Returning Customer"/>
    <s v="Referred"/>
  </r>
  <r>
    <x v="977"/>
    <x v="814"/>
    <d v="2022-09-21T00:00:00"/>
    <s v="Excellent customer service support."/>
    <n v="4"/>
    <x v="0"/>
    <x v="0"/>
    <x v="2"/>
    <x v="2"/>
    <x v="2"/>
    <x v="7"/>
    <x v="0"/>
    <s v="Wednesday"/>
    <x v="0"/>
    <s v="New Customer"/>
    <s v="Referred"/>
  </r>
  <r>
    <x v="978"/>
    <x v="815"/>
    <d v="2021-02-13T00:00:00"/>
    <s v="Very satisfied with the claim process."/>
    <n v="5"/>
    <x v="0"/>
    <x v="1"/>
    <x v="2"/>
    <x v="2"/>
    <x v="1"/>
    <x v="2"/>
    <x v="1"/>
    <s v="Saturday"/>
    <x v="0"/>
    <s v="New Customer"/>
    <s v="Not Referred"/>
  </r>
  <r>
    <x v="979"/>
    <x v="816"/>
    <d v="2023-01-17T00:00:00"/>
    <s v="Smooth experience with no issues."/>
    <n v="5"/>
    <x v="0"/>
    <x v="1"/>
    <x v="2"/>
    <x v="2"/>
    <x v="3"/>
    <x v="1"/>
    <x v="1"/>
    <s v="Tuesday"/>
    <x v="0"/>
    <s v="New Customer"/>
    <s v="Not Referred"/>
  </r>
  <r>
    <x v="980"/>
    <x v="817"/>
    <d v="2022-02-20T00:00:00"/>
    <s v="Excellent customer service support."/>
    <n v="5"/>
    <x v="1"/>
    <x v="1"/>
    <x v="2"/>
    <x v="2"/>
    <x v="2"/>
    <x v="2"/>
    <x v="1"/>
    <s v="Sunday"/>
    <x v="0"/>
    <s v="New Customer"/>
    <s v="Not Referred"/>
  </r>
  <r>
    <x v="981"/>
    <x v="421"/>
    <d v="2023-09-24T00:00:00"/>
    <s v="Had to wait too long for claim approval."/>
    <n v="1"/>
    <x v="1"/>
    <x v="1"/>
    <x v="1"/>
    <x v="1"/>
    <x v="3"/>
    <x v="7"/>
    <x v="0"/>
    <s v="Sunday"/>
    <x v="1"/>
    <s v="Returning Customer"/>
    <s v="Not Referred"/>
  </r>
  <r>
    <x v="982"/>
    <x v="818"/>
    <d v="2021-12-13T00:00:00"/>
    <s v="The agent was helpful and explained everything."/>
    <n v="5"/>
    <x v="0"/>
    <x v="0"/>
    <x v="2"/>
    <x v="2"/>
    <x v="1"/>
    <x v="10"/>
    <x v="3"/>
    <s v="Monday"/>
    <x v="0"/>
    <s v="New Customer"/>
    <s v="Referred"/>
  </r>
  <r>
    <x v="983"/>
    <x v="642"/>
    <d v="2021-05-27T00:00:00"/>
    <s v="Excellent customer service support."/>
    <n v="5"/>
    <x v="1"/>
    <x v="0"/>
    <x v="2"/>
    <x v="2"/>
    <x v="1"/>
    <x v="5"/>
    <x v="2"/>
    <s v="Thursday"/>
    <x v="0"/>
    <s v="Returning Customer"/>
    <s v="Referred"/>
  </r>
  <r>
    <x v="984"/>
    <x v="181"/>
    <d v="2021-07-12T00:00:00"/>
    <s v="Frustrated with repeated documentation requests."/>
    <n v="1"/>
    <x v="0"/>
    <x v="0"/>
    <x v="1"/>
    <x v="1"/>
    <x v="1"/>
    <x v="11"/>
    <x v="0"/>
    <s v="Monday"/>
    <x v="1"/>
    <s v="Returning Customer"/>
    <s v="Referred"/>
  </r>
  <r>
    <x v="985"/>
    <x v="819"/>
    <d v="2022-01-14T00:00:00"/>
    <s v="Smooth experience with no issues."/>
    <n v="4"/>
    <x v="0"/>
    <x v="0"/>
    <x v="2"/>
    <x v="2"/>
    <x v="2"/>
    <x v="1"/>
    <x v="1"/>
    <s v="Friday"/>
    <x v="0"/>
    <s v="New Customer"/>
    <s v="Referred"/>
  </r>
  <r>
    <x v="986"/>
    <x v="820"/>
    <d v="2022-06-17T00:00:00"/>
    <s v="The mobile app experience was intuitive."/>
    <n v="4"/>
    <x v="1"/>
    <x v="0"/>
    <x v="2"/>
    <x v="2"/>
    <x v="2"/>
    <x v="9"/>
    <x v="2"/>
    <s v="Friday"/>
    <x v="0"/>
    <s v="New Customer"/>
    <s v="Referred"/>
  </r>
  <r>
    <x v="987"/>
    <x v="435"/>
    <d v="2023-03-08T00:00:00"/>
    <s v="Very satisfied with the claim process."/>
    <n v="4"/>
    <x v="1"/>
    <x v="1"/>
    <x v="2"/>
    <x v="2"/>
    <x v="3"/>
    <x v="8"/>
    <x v="1"/>
    <s v="Wednesday"/>
    <x v="0"/>
    <s v="Returning Customer"/>
    <s v="Not Referred"/>
  </r>
  <r>
    <x v="988"/>
    <x v="821"/>
    <d v="2022-04-13T00:00:00"/>
    <s v="Need more clarity on policy coverage."/>
    <n v="1"/>
    <x v="0"/>
    <x v="1"/>
    <x v="1"/>
    <x v="1"/>
    <x v="2"/>
    <x v="3"/>
    <x v="2"/>
    <s v="Wednesday"/>
    <x v="1"/>
    <s v="New Customer"/>
    <s v="Not Referred"/>
  </r>
  <r>
    <x v="989"/>
    <x v="822"/>
    <d v="2021-05-06T00:00:00"/>
    <s v="Frustrated with repeated documentation requests."/>
    <n v="2"/>
    <x v="0"/>
    <x v="0"/>
    <x v="1"/>
    <x v="1"/>
    <x v="1"/>
    <x v="5"/>
    <x v="2"/>
    <s v="Thursday"/>
    <x v="1"/>
    <s v="New Customer"/>
    <s v="Referred"/>
  </r>
  <r>
    <x v="990"/>
    <x v="306"/>
    <d v="2021-10-25T00:00:00"/>
    <s v="Had to wait too long for claim approval."/>
    <n v="1"/>
    <x v="1"/>
    <x v="0"/>
    <x v="1"/>
    <x v="1"/>
    <x v="1"/>
    <x v="6"/>
    <x v="3"/>
    <s v="Monday"/>
    <x v="1"/>
    <s v="Returning Customer"/>
    <s v="Referred"/>
  </r>
  <r>
    <x v="991"/>
    <x v="361"/>
    <d v="2020-04-05T00:00:00"/>
    <s v="I'm not happy with the premium charged."/>
    <n v="2"/>
    <x v="1"/>
    <x v="0"/>
    <x v="1"/>
    <x v="1"/>
    <x v="0"/>
    <x v="3"/>
    <x v="2"/>
    <s v="Sunday"/>
    <x v="1"/>
    <s v="Returning Customer"/>
    <s v="Referred"/>
  </r>
  <r>
    <x v="992"/>
    <x v="823"/>
    <d v="2022-10-07T00:00:00"/>
    <s v="Very satisfied with the claim process."/>
    <n v="4"/>
    <x v="1"/>
    <x v="0"/>
    <x v="2"/>
    <x v="2"/>
    <x v="2"/>
    <x v="6"/>
    <x v="3"/>
    <s v="Friday"/>
    <x v="0"/>
    <s v="New Customer"/>
    <s v="Referred"/>
  </r>
  <r>
    <x v="993"/>
    <x v="824"/>
    <d v="2023-07-14T00:00:00"/>
    <s v="Had to wait too long for claim approval."/>
    <n v="1"/>
    <x v="1"/>
    <x v="0"/>
    <x v="1"/>
    <x v="1"/>
    <x v="3"/>
    <x v="11"/>
    <x v="0"/>
    <s v="Friday"/>
    <x v="1"/>
    <s v="New Customer"/>
    <s v="Referred"/>
  </r>
  <r>
    <x v="994"/>
    <x v="825"/>
    <d v="2022-08-20T00:00:00"/>
    <s v="Frustrated with repeated documentation requests."/>
    <n v="1"/>
    <x v="0"/>
    <x v="1"/>
    <x v="1"/>
    <x v="1"/>
    <x v="2"/>
    <x v="0"/>
    <x v="0"/>
    <s v="Saturday"/>
    <x v="1"/>
    <s v="New Customer"/>
    <s v="Not Referred"/>
  </r>
  <r>
    <x v="995"/>
    <x v="826"/>
    <d v="2021-05-10T00:00:00"/>
    <s v="Excellent customer service support."/>
    <n v="4"/>
    <x v="0"/>
    <x v="1"/>
    <x v="2"/>
    <x v="2"/>
    <x v="1"/>
    <x v="5"/>
    <x v="2"/>
    <s v="Monday"/>
    <x v="0"/>
    <s v="New Customer"/>
    <s v="Not Referred"/>
  </r>
  <r>
    <x v="996"/>
    <x v="68"/>
    <d v="2022-06-10T00:00:00"/>
    <s v="Claim process could be faster."/>
    <n v="3"/>
    <x v="0"/>
    <x v="1"/>
    <x v="0"/>
    <x v="0"/>
    <x v="2"/>
    <x v="9"/>
    <x v="2"/>
    <s v="Friday"/>
    <x v="0"/>
    <s v="Returning Customer"/>
    <s v="Not Referred"/>
  </r>
  <r>
    <x v="997"/>
    <x v="827"/>
    <d v="2021-07-04T00:00:00"/>
    <s v="Claim process could be faster."/>
    <n v="2"/>
    <x v="1"/>
    <x v="1"/>
    <x v="1"/>
    <x v="1"/>
    <x v="1"/>
    <x v="11"/>
    <x v="0"/>
    <s v="Sunday"/>
    <x v="1"/>
    <s v="New Customer"/>
    <s v="Not Referred"/>
  </r>
  <r>
    <x v="998"/>
    <x v="828"/>
    <d v="2021-11-20T00:00:00"/>
    <s v="Very satisfied with the claim process."/>
    <n v="4"/>
    <x v="1"/>
    <x v="0"/>
    <x v="2"/>
    <x v="2"/>
    <x v="1"/>
    <x v="4"/>
    <x v="3"/>
    <s v="Saturday"/>
    <x v="0"/>
    <s v="New Customer"/>
    <s v="Referred"/>
  </r>
  <r>
    <x v="999"/>
    <x v="829"/>
    <d v="2023-03-20T00:00:00"/>
    <s v="The agent was helpful and explained everything."/>
    <n v="5"/>
    <x v="0"/>
    <x v="1"/>
    <x v="2"/>
    <x v="2"/>
    <x v="3"/>
    <x v="8"/>
    <x v="1"/>
    <s v="Monday"/>
    <x v="0"/>
    <s v="New Customer"/>
    <s v="Not Referr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488F1E-0BAA-42F2-911B-583DC00B78F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41:H44" firstHeaderRow="1" firstDataRow="1" firstDataCol="1"/>
  <pivotFields count="16">
    <pivotField showAll="0"/>
    <pivotField dataField="1" showAll="0">
      <items count="831">
        <item x="441"/>
        <item x="359"/>
        <item x="128"/>
        <item x="139"/>
        <item x="629"/>
        <item x="389"/>
        <item x="175"/>
        <item x="328"/>
        <item x="662"/>
        <item x="250"/>
        <item x="217"/>
        <item x="336"/>
        <item x="781"/>
        <item x="790"/>
        <item x="345"/>
        <item x="733"/>
        <item x="310"/>
        <item x="109"/>
        <item x="791"/>
        <item x="264"/>
        <item x="9"/>
        <item x="443"/>
        <item x="214"/>
        <item x="63"/>
        <item x="457"/>
        <item x="13"/>
        <item x="401"/>
        <item x="622"/>
        <item x="243"/>
        <item x="68"/>
        <item x="763"/>
        <item x="66"/>
        <item x="754"/>
        <item x="329"/>
        <item x="337"/>
        <item x="547"/>
        <item x="107"/>
        <item x="773"/>
        <item x="360"/>
        <item x="760"/>
        <item x="765"/>
        <item x="317"/>
        <item x="577"/>
        <item x="169"/>
        <item x="331"/>
        <item x="665"/>
        <item x="517"/>
        <item x="675"/>
        <item x="327"/>
        <item x="216"/>
        <item x="532"/>
        <item x="350"/>
        <item x="91"/>
        <item x="397"/>
        <item x="302"/>
        <item x="718"/>
        <item x="743"/>
        <item x="496"/>
        <item x="756"/>
        <item x="808"/>
        <item x="353"/>
        <item x="712"/>
        <item x="70"/>
        <item x="349"/>
        <item x="88"/>
        <item x="582"/>
        <item x="805"/>
        <item x="669"/>
        <item x="29"/>
        <item x="358"/>
        <item x="84"/>
        <item x="430"/>
        <item x="569"/>
        <item x="768"/>
        <item x="599"/>
        <item x="589"/>
        <item x="736"/>
        <item x="354"/>
        <item x="814"/>
        <item x="306"/>
        <item x="381"/>
        <item x="458"/>
        <item x="187"/>
        <item x="265"/>
        <item x="501"/>
        <item x="597"/>
        <item x="424"/>
        <item x="404"/>
        <item x="189"/>
        <item x="383"/>
        <item x="511"/>
        <item x="69"/>
        <item x="506"/>
        <item x="6"/>
        <item x="419"/>
        <item x="203"/>
        <item x="428"/>
        <item x="513"/>
        <item x="90"/>
        <item x="630"/>
        <item x="161"/>
        <item x="526"/>
        <item x="433"/>
        <item x="303"/>
        <item x="342"/>
        <item x="449"/>
        <item x="671"/>
        <item x="116"/>
        <item x="619"/>
        <item x="99"/>
        <item x="172"/>
        <item x="696"/>
        <item x="417"/>
        <item x="276"/>
        <item x="770"/>
        <item x="654"/>
        <item x="132"/>
        <item x="233"/>
        <item x="124"/>
        <item x="195"/>
        <item x="481"/>
        <item x="363"/>
        <item x="98"/>
        <item x="466"/>
        <item x="76"/>
        <item x="528"/>
        <item x="463"/>
        <item x="114"/>
        <item x="297"/>
        <item x="392"/>
        <item x="223"/>
        <item x="815"/>
        <item x="469"/>
        <item x="601"/>
        <item x="104"/>
        <item x="680"/>
        <item x="771"/>
        <item x="92"/>
        <item x="707"/>
        <item x="346"/>
        <item x="96"/>
        <item x="323"/>
        <item x="130"/>
        <item x="339"/>
        <item x="314"/>
        <item x="429"/>
        <item x="399"/>
        <item x="406"/>
        <item x="635"/>
        <item x="673"/>
        <item x="48"/>
        <item x="711"/>
        <item x="182"/>
        <item x="552"/>
        <item x="143"/>
        <item x="136"/>
        <item x="2"/>
        <item x="45"/>
        <item x="239"/>
        <item x="603"/>
        <item x="775"/>
        <item x="33"/>
        <item x="667"/>
        <item x="694"/>
        <item x="489"/>
        <item x="320"/>
        <item x="313"/>
        <item x="550"/>
        <item x="720"/>
        <item x="795"/>
        <item x="258"/>
        <item x="717"/>
        <item x="422"/>
        <item x="737"/>
        <item x="312"/>
        <item x="431"/>
        <item x="714"/>
        <item x="226"/>
        <item x="57"/>
        <item x="487"/>
        <item x="190"/>
        <item x="676"/>
        <item x="344"/>
        <item x="127"/>
        <item x="590"/>
        <item x="503"/>
        <item x="509"/>
        <item x="797"/>
        <item x="213"/>
        <item x="800"/>
        <item x="524"/>
        <item x="249"/>
        <item x="39"/>
        <item x="568"/>
        <item x="636"/>
        <item x="282"/>
        <item x="594"/>
        <item x="738"/>
        <item x="655"/>
        <item x="757"/>
        <item x="574"/>
        <item x="7"/>
        <item x="689"/>
        <item x="670"/>
        <item x="150"/>
        <item x="644"/>
        <item x="146"/>
        <item x="232"/>
        <item x="616"/>
        <item x="41"/>
        <item x="451"/>
        <item x="627"/>
        <item x="806"/>
        <item x="420"/>
        <item x="156"/>
        <item x="97"/>
        <item x="106"/>
        <item x="377"/>
        <item x="40"/>
        <item x="562"/>
        <item x="821"/>
        <item x="14"/>
        <item x="623"/>
        <item x="254"/>
        <item x="396"/>
        <item x="52"/>
        <item x="218"/>
        <item x="686"/>
        <item x="827"/>
        <item x="752"/>
        <item x="495"/>
        <item x="450"/>
        <item x="813"/>
        <item x="564"/>
        <item x="522"/>
        <item x="227"/>
        <item x="326"/>
        <item x="204"/>
        <item x="818"/>
        <item x="162"/>
        <item x="498"/>
        <item x="286"/>
        <item x="89"/>
        <item x="649"/>
        <item x="194"/>
        <item x="301"/>
        <item x="125"/>
        <item x="445"/>
        <item x="809"/>
        <item x="340"/>
        <item x="467"/>
        <item x="716"/>
        <item x="685"/>
        <item x="34"/>
        <item x="566"/>
        <item x="351"/>
        <item x="484"/>
        <item x="683"/>
        <item x="794"/>
        <item x="807"/>
        <item x="587"/>
        <item x="261"/>
        <item x="651"/>
        <item x="437"/>
        <item x="571"/>
        <item x="111"/>
        <item x="409"/>
        <item x="609"/>
        <item x="690"/>
        <item x="411"/>
        <item x="290"/>
        <item x="544"/>
        <item x="426"/>
        <item x="608"/>
        <item x="319"/>
        <item x="36"/>
        <item x="739"/>
        <item x="108"/>
        <item x="298"/>
        <item x="432"/>
        <item x="819"/>
        <item x="491"/>
        <item x="236"/>
        <item x="439"/>
        <item x="208"/>
        <item x="188"/>
        <item x="238"/>
        <item x="650"/>
        <item x="796"/>
        <item x="446"/>
        <item x="745"/>
        <item x="617"/>
        <item x="275"/>
        <item x="734"/>
        <item x="581"/>
        <item x="772"/>
        <item x="196"/>
        <item x="263"/>
        <item x="26"/>
        <item x="515"/>
        <item x="46"/>
        <item x="37"/>
        <item x="471"/>
        <item x="299"/>
        <item x="159"/>
        <item x="149"/>
        <item x="418"/>
        <item x="391"/>
        <item x="222"/>
        <item x="212"/>
        <item x="521"/>
        <item x="561"/>
        <item x="77"/>
        <item x="412"/>
        <item x="23"/>
        <item x="798"/>
        <item x="378"/>
        <item x="639"/>
        <item x="479"/>
        <item x="165"/>
        <item x="300"/>
        <item x="356"/>
        <item x="103"/>
        <item x="502"/>
        <item x="722"/>
        <item x="43"/>
        <item x="789"/>
        <item x="653"/>
        <item x="144"/>
        <item x="784"/>
        <item x="293"/>
        <item x="464"/>
        <item x="186"/>
        <item x="201"/>
        <item x="277"/>
        <item x="586"/>
        <item x="10"/>
        <item x="468"/>
        <item x="407"/>
        <item x="242"/>
        <item x="25"/>
        <item x="115"/>
        <item x="325"/>
        <item x="382"/>
        <item x="364"/>
        <item x="256"/>
        <item x="438"/>
        <item x="341"/>
        <item x="12"/>
        <item x="695"/>
        <item x="699"/>
        <item x="687"/>
        <item x="343"/>
        <item x="219"/>
        <item x="543"/>
        <item x="167"/>
        <item x="4"/>
        <item x="724"/>
        <item x="403"/>
        <item x="71"/>
        <item x="56"/>
        <item x="641"/>
        <item x="197"/>
        <item x="93"/>
        <item x="462"/>
        <item x="816"/>
        <item x="470"/>
        <item x="262"/>
        <item x="205"/>
        <item x="802"/>
        <item x="729"/>
        <item x="730"/>
        <item x="751"/>
        <item x="279"/>
        <item x="266"/>
        <item x="322"/>
        <item x="810"/>
        <item x="713"/>
        <item x="225"/>
        <item x="28"/>
        <item x="490"/>
        <item x="74"/>
        <item x="118"/>
        <item x="427"/>
        <item x="606"/>
        <item x="436"/>
        <item x="723"/>
        <item x="158"/>
        <item x="556"/>
        <item x="812"/>
        <item x="777"/>
        <item x="42"/>
        <item x="485"/>
        <item x="693"/>
        <item x="200"/>
        <item x="247"/>
        <item x="246"/>
        <item x="660"/>
        <item x="677"/>
        <item x="333"/>
        <item x="3"/>
        <item x="16"/>
        <item x="494"/>
        <item x="395"/>
        <item x="799"/>
        <item x="355"/>
        <item x="168"/>
        <item x="367"/>
        <item x="570"/>
        <item x="287"/>
        <item x="221"/>
        <item x="682"/>
        <item x="626"/>
        <item x="154"/>
        <item x="658"/>
        <item x="512"/>
        <item x="611"/>
        <item x="231"/>
        <item x="465"/>
        <item x="202"/>
        <item x="235"/>
        <item x="324"/>
        <item x="533"/>
        <item x="134"/>
        <item x="289"/>
        <item x="520"/>
        <item x="725"/>
        <item x="614"/>
        <item x="504"/>
        <item x="435"/>
        <item x="393"/>
        <item x="709"/>
        <item x="307"/>
        <item x="434"/>
        <item x="370"/>
        <item x="105"/>
        <item x="478"/>
        <item x="380"/>
        <item x="148"/>
        <item x="135"/>
        <item x="731"/>
        <item x="663"/>
        <item x="698"/>
        <item x="253"/>
        <item x="461"/>
        <item x="817"/>
        <item x="732"/>
        <item x="191"/>
        <item x="86"/>
        <item x="811"/>
        <item x="710"/>
        <item x="18"/>
        <item x="62"/>
        <item x="565"/>
        <item x="514"/>
        <item x="764"/>
        <item x="129"/>
        <item x="160"/>
        <item x="280"/>
        <item x="681"/>
        <item x="750"/>
        <item x="444"/>
        <item x="793"/>
        <item x="248"/>
        <item x="32"/>
        <item x="292"/>
        <item x="394"/>
        <item x="591"/>
        <item x="759"/>
        <item x="80"/>
        <item x="588"/>
        <item x="546"/>
        <item x="607"/>
        <item x="414"/>
        <item x="291"/>
        <item x="691"/>
        <item x="593"/>
        <item x="185"/>
        <item x="316"/>
        <item x="803"/>
        <item x="664"/>
        <item x="749"/>
        <item x="220"/>
        <item x="288"/>
        <item x="598"/>
        <item x="572"/>
        <item x="315"/>
        <item x="157"/>
        <item x="27"/>
        <item x="87"/>
        <item x="423"/>
        <item x="758"/>
        <item x="492"/>
        <item x="173"/>
        <item x="228"/>
        <item x="702"/>
        <item x="625"/>
        <item x="786"/>
        <item x="142"/>
        <item x="384"/>
        <item x="452"/>
        <item x="493"/>
        <item x="715"/>
        <item x="692"/>
        <item x="152"/>
        <item x="362"/>
        <item x="174"/>
        <item x="829"/>
        <item x="486"/>
        <item x="705"/>
        <item x="408"/>
        <item x="610"/>
        <item x="551"/>
        <item x="65"/>
        <item x="386"/>
        <item x="454"/>
        <item x="50"/>
        <item x="117"/>
        <item x="60"/>
        <item x="766"/>
        <item x="787"/>
        <item x="229"/>
        <item x="17"/>
        <item x="602"/>
        <item x="133"/>
        <item x="398"/>
        <item x="442"/>
        <item x="779"/>
        <item x="151"/>
        <item x="456"/>
        <item x="35"/>
        <item x="47"/>
        <item x="387"/>
        <item x="620"/>
        <item x="579"/>
        <item x="719"/>
        <item x="110"/>
        <item x="604"/>
        <item x="473"/>
        <item x="475"/>
        <item x="209"/>
        <item x="416"/>
        <item x="374"/>
        <item x="548"/>
        <item x="740"/>
        <item x="270"/>
        <item x="527"/>
        <item x="244"/>
        <item x="534"/>
        <item x="499"/>
        <item x="269"/>
        <item x="563"/>
        <item x="281"/>
        <item x="361"/>
        <item x="120"/>
        <item x="410"/>
        <item x="357"/>
        <item x="753"/>
        <item x="510"/>
        <item x="453"/>
        <item x="706"/>
        <item x="531"/>
        <item x="61"/>
        <item x="375"/>
        <item x="81"/>
        <item x="283"/>
        <item x="592"/>
        <item x="824"/>
        <item x="583"/>
        <item x="516"/>
        <item x="224"/>
        <item x="560"/>
        <item x="646"/>
        <item x="425"/>
        <item x="75"/>
        <item x="500"/>
        <item x="311"/>
        <item x="634"/>
        <item x="177"/>
        <item x="585"/>
        <item x="22"/>
        <item x="483"/>
        <item x="637"/>
        <item x="576"/>
        <item x="388"/>
        <item x="728"/>
        <item x="260"/>
        <item x="642"/>
        <item x="102"/>
        <item x="95"/>
        <item x="376"/>
        <item x="30"/>
        <item x="497"/>
        <item x="747"/>
        <item x="400"/>
        <item x="505"/>
        <item x="259"/>
        <item x="595"/>
        <item x="476"/>
        <item x="308"/>
        <item x="0"/>
        <item x="309"/>
        <item x="192"/>
        <item x="199"/>
        <item x="567"/>
        <item x="474"/>
        <item x="44"/>
        <item x="334"/>
        <item x="371"/>
        <item x="472"/>
        <item x="679"/>
        <item x="338"/>
        <item x="164"/>
        <item x="584"/>
        <item x="823"/>
        <item x="296"/>
        <item x="184"/>
        <item x="659"/>
        <item x="24"/>
        <item x="541"/>
        <item x="365"/>
        <item x="536"/>
        <item x="170"/>
        <item x="822"/>
        <item x="535"/>
        <item x="778"/>
        <item x="460"/>
        <item x="742"/>
        <item x="666"/>
        <item x="697"/>
        <item x="704"/>
        <item x="285"/>
        <item x="596"/>
        <item x="372"/>
        <item x="284"/>
        <item x="54"/>
        <item x="518"/>
        <item x="274"/>
        <item x="268"/>
        <item x="801"/>
        <item x="181"/>
        <item x="126"/>
        <item x="744"/>
        <item x="774"/>
        <item x="648"/>
        <item x="58"/>
        <item x="557"/>
        <item x="545"/>
        <item x="207"/>
        <item x="482"/>
        <item x="335"/>
        <item x="113"/>
        <item x="788"/>
        <item x="657"/>
        <item x="825"/>
        <item x="94"/>
        <item x="755"/>
        <item x="67"/>
        <item x="549"/>
        <item x="379"/>
        <item x="267"/>
        <item x="123"/>
        <item x="618"/>
        <item x="554"/>
        <item x="252"/>
        <item x="49"/>
        <item x="767"/>
        <item x="459"/>
        <item x="166"/>
        <item x="78"/>
        <item x="210"/>
        <item x="632"/>
        <item x="230"/>
        <item x="624"/>
        <item x="183"/>
        <item x="421"/>
        <item x="64"/>
        <item x="674"/>
        <item x="480"/>
        <item x="55"/>
        <item x="83"/>
        <item x="240"/>
        <item x="700"/>
        <item x="540"/>
        <item x="638"/>
        <item x="523"/>
        <item x="119"/>
        <item x="21"/>
        <item x="31"/>
        <item x="701"/>
        <item x="19"/>
        <item x="368"/>
        <item x="783"/>
        <item x="294"/>
        <item x="507"/>
        <item x="640"/>
        <item x="508"/>
        <item x="447"/>
        <item x="542"/>
        <item x="72"/>
        <item x="559"/>
        <item x="455"/>
        <item x="245"/>
        <item x="769"/>
        <item x="448"/>
        <item x="746"/>
        <item x="415"/>
        <item x="257"/>
        <item x="79"/>
        <item x="178"/>
        <item x="600"/>
        <item x="672"/>
        <item x="59"/>
        <item x="656"/>
        <item x="180"/>
        <item x="555"/>
        <item x="138"/>
        <item x="176"/>
        <item x="761"/>
        <item x="5"/>
        <item x="785"/>
        <item x="198"/>
        <item x="708"/>
        <item x="272"/>
        <item x="137"/>
        <item x="580"/>
        <item x="121"/>
        <item x="101"/>
        <item x="613"/>
        <item x="477"/>
        <item x="684"/>
        <item x="668"/>
        <item x="537"/>
        <item x="578"/>
        <item x="558"/>
        <item x="645"/>
        <item x="647"/>
        <item x="369"/>
        <item x="251"/>
        <item x="171"/>
        <item x="828"/>
        <item x="726"/>
        <item x="330"/>
        <item x="145"/>
        <item x="255"/>
        <item x="385"/>
        <item x="628"/>
        <item x="553"/>
        <item x="352"/>
        <item x="1"/>
        <item x="348"/>
        <item x="727"/>
        <item x="776"/>
        <item x="661"/>
        <item x="304"/>
        <item x="488"/>
        <item x="215"/>
        <item x="440"/>
        <item x="271"/>
        <item x="179"/>
        <item x="206"/>
        <item x="741"/>
        <item x="413"/>
        <item x="278"/>
        <item x="273"/>
        <item x="804"/>
        <item x="85"/>
        <item x="155"/>
        <item x="366"/>
        <item x="122"/>
        <item x="53"/>
        <item x="241"/>
        <item x="792"/>
        <item x="193"/>
        <item x="631"/>
        <item x="762"/>
        <item x="612"/>
        <item x="8"/>
        <item x="211"/>
        <item x="15"/>
        <item x="147"/>
        <item x="780"/>
        <item x="347"/>
        <item x="100"/>
        <item x="153"/>
        <item x="318"/>
        <item x="73"/>
        <item x="652"/>
        <item x="703"/>
        <item x="112"/>
        <item x="519"/>
        <item x="529"/>
        <item x="305"/>
        <item x="615"/>
        <item x="735"/>
        <item x="20"/>
        <item x="621"/>
        <item x="530"/>
        <item x="295"/>
        <item x="82"/>
        <item x="332"/>
        <item x="141"/>
        <item x="390"/>
        <item x="11"/>
        <item x="402"/>
        <item x="38"/>
        <item x="373"/>
        <item x="573"/>
        <item x="633"/>
        <item x="525"/>
        <item x="643"/>
        <item x="321"/>
        <item x="51"/>
        <item x="163"/>
        <item x="131"/>
        <item x="605"/>
        <item x="539"/>
        <item x="575"/>
        <item x="405"/>
        <item x="782"/>
        <item x="721"/>
        <item x="820"/>
        <item x="826"/>
        <item x="237"/>
        <item x="234"/>
        <item x="140"/>
        <item x="748"/>
        <item x="688"/>
        <item x="678"/>
        <item x="538"/>
        <item t="default"/>
      </items>
    </pivotField>
    <pivotField numFmtId="14" showAll="0"/>
    <pivotField showAll="0"/>
    <pivotField showAll="0"/>
    <pivotField showAll="0">
      <items count="3">
        <item x="1"/>
        <item x="0"/>
        <item t="default"/>
      </items>
    </pivotField>
    <pivotField axis="axisRow" showAll="0">
      <items count="3">
        <item x="1"/>
        <item x="0"/>
        <item t="default"/>
      </items>
    </pivotField>
    <pivotField showAll="0">
      <items count="4">
        <item x="2"/>
        <item x="1"/>
        <item x="0"/>
        <item t="default"/>
      </items>
    </pivotField>
    <pivotField showAll="0">
      <items count="4">
        <item x="2"/>
        <item x="1"/>
        <item x="0"/>
        <item t="default"/>
      </items>
    </pivotField>
    <pivotField showAll="0">
      <items count="5">
        <item x="0"/>
        <item x="1"/>
        <item x="2"/>
        <item x="3"/>
        <item t="default"/>
      </items>
    </pivotField>
    <pivotField showAll="0">
      <items count="13">
        <item x="1"/>
        <item x="2"/>
        <item x="8"/>
        <item x="3"/>
        <item x="5"/>
        <item x="9"/>
        <item x="11"/>
        <item x="0"/>
        <item x="7"/>
        <item x="6"/>
        <item x="4"/>
        <item x="10"/>
        <item t="default"/>
      </items>
    </pivotField>
    <pivotField showAll="0">
      <items count="5">
        <item x="1"/>
        <item x="2"/>
        <item x="0"/>
        <item x="3"/>
        <item t="default"/>
      </items>
    </pivotField>
    <pivotField showAll="0"/>
    <pivotField showAll="0"/>
    <pivotField showAll="0"/>
    <pivotField showAll="0"/>
  </pivotFields>
  <rowFields count="1">
    <field x="6"/>
  </rowFields>
  <rowItems count="3">
    <i>
      <x/>
    </i>
    <i>
      <x v="1"/>
    </i>
    <i t="grand">
      <x/>
    </i>
  </rowItems>
  <colItems count="1">
    <i/>
  </colItems>
  <dataFields count="1">
    <dataField name="Count of customer_id" fld="1" subtotal="count" baseField="0" baseItem="0"/>
  </dataFields>
  <formats count="12">
    <format dxfId="61">
      <pivotArea type="all" dataOnly="0" outline="0" fieldPosition="0"/>
    </format>
    <format dxfId="60">
      <pivotArea outline="0" collapsedLevelsAreSubtotals="1" fieldPosition="0"/>
    </format>
    <format dxfId="59">
      <pivotArea field="6" type="button" dataOnly="0" labelOnly="1" outline="0" axis="axisRow" fieldPosition="0"/>
    </format>
    <format dxfId="58">
      <pivotArea dataOnly="0" labelOnly="1" fieldPosition="0">
        <references count="1">
          <reference field="6" count="0"/>
        </references>
      </pivotArea>
    </format>
    <format dxfId="57">
      <pivotArea dataOnly="0" labelOnly="1" grandRow="1" outline="0" fieldPosition="0"/>
    </format>
    <format dxfId="56">
      <pivotArea dataOnly="0" labelOnly="1" outline="0" axis="axisValues" fieldPosition="0"/>
    </format>
    <format dxfId="55">
      <pivotArea type="all" dataOnly="0" outline="0" fieldPosition="0"/>
    </format>
    <format dxfId="54">
      <pivotArea outline="0" collapsedLevelsAreSubtotals="1" fieldPosition="0"/>
    </format>
    <format dxfId="53">
      <pivotArea field="6" type="button" dataOnly="0" labelOnly="1" outline="0" axis="axisRow" fieldPosition="0"/>
    </format>
    <format dxfId="52">
      <pivotArea dataOnly="0" labelOnly="1" fieldPosition="0">
        <references count="1">
          <reference field="6" count="0"/>
        </references>
      </pivotArea>
    </format>
    <format dxfId="51">
      <pivotArea dataOnly="0" labelOnly="1" grandRow="1" outline="0" fieldPosition="0"/>
    </format>
    <format dxfId="50">
      <pivotArea dataOnly="0" labelOnly="1" outline="0" axis="axisValues" fieldPosition="0"/>
    </format>
  </format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6" count="1" selected="0">
            <x v="0"/>
          </reference>
        </references>
      </pivotArea>
    </chartFormat>
    <chartFormat chart="3" format="6">
      <pivotArea type="data" outline="0" fieldPosition="0">
        <references count="2">
          <reference field="4294967294" count="1" selected="0">
            <x v="0"/>
          </reference>
          <reference field="6" count="1" selected="0">
            <x v="1"/>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2C43C2D-3940-47C2-AD30-87996AF3409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9:H13" firstHeaderRow="1" firstDataRow="1" firstDataCol="1"/>
  <pivotFields count="16">
    <pivotField showAll="0"/>
    <pivotField showAll="0">
      <items count="831">
        <item x="441"/>
        <item x="359"/>
        <item x="128"/>
        <item x="139"/>
        <item x="629"/>
        <item x="389"/>
        <item x="175"/>
        <item x="328"/>
        <item x="662"/>
        <item x="250"/>
        <item x="217"/>
        <item x="336"/>
        <item x="781"/>
        <item x="790"/>
        <item x="345"/>
        <item x="733"/>
        <item x="310"/>
        <item x="109"/>
        <item x="791"/>
        <item x="264"/>
        <item x="9"/>
        <item x="443"/>
        <item x="214"/>
        <item x="63"/>
        <item x="457"/>
        <item x="13"/>
        <item x="401"/>
        <item x="622"/>
        <item x="243"/>
        <item x="68"/>
        <item x="763"/>
        <item x="66"/>
        <item x="754"/>
        <item x="329"/>
        <item x="337"/>
        <item x="547"/>
        <item x="107"/>
        <item x="773"/>
        <item x="360"/>
        <item x="760"/>
        <item x="765"/>
        <item x="317"/>
        <item x="577"/>
        <item x="169"/>
        <item x="331"/>
        <item x="665"/>
        <item x="517"/>
        <item x="675"/>
        <item x="327"/>
        <item x="216"/>
        <item x="532"/>
        <item x="350"/>
        <item x="91"/>
        <item x="397"/>
        <item x="302"/>
        <item x="718"/>
        <item x="743"/>
        <item x="496"/>
        <item x="756"/>
        <item x="808"/>
        <item x="353"/>
        <item x="712"/>
        <item x="70"/>
        <item x="349"/>
        <item x="88"/>
        <item x="582"/>
        <item x="805"/>
        <item x="669"/>
        <item x="29"/>
        <item x="358"/>
        <item x="84"/>
        <item x="430"/>
        <item x="569"/>
        <item x="768"/>
        <item x="599"/>
        <item x="589"/>
        <item x="736"/>
        <item x="354"/>
        <item x="814"/>
        <item x="306"/>
        <item x="381"/>
        <item x="458"/>
        <item x="187"/>
        <item x="265"/>
        <item x="501"/>
        <item x="597"/>
        <item x="424"/>
        <item x="404"/>
        <item x="189"/>
        <item x="383"/>
        <item x="511"/>
        <item x="69"/>
        <item x="506"/>
        <item x="6"/>
        <item x="419"/>
        <item x="203"/>
        <item x="428"/>
        <item x="513"/>
        <item x="90"/>
        <item x="630"/>
        <item x="161"/>
        <item x="526"/>
        <item x="433"/>
        <item x="303"/>
        <item x="342"/>
        <item x="449"/>
        <item x="671"/>
        <item x="116"/>
        <item x="619"/>
        <item x="99"/>
        <item x="172"/>
        <item x="696"/>
        <item x="417"/>
        <item x="276"/>
        <item x="770"/>
        <item x="654"/>
        <item x="132"/>
        <item x="233"/>
        <item x="124"/>
        <item x="195"/>
        <item x="481"/>
        <item x="363"/>
        <item x="98"/>
        <item x="466"/>
        <item x="76"/>
        <item x="528"/>
        <item x="463"/>
        <item x="114"/>
        <item x="297"/>
        <item x="392"/>
        <item x="223"/>
        <item x="815"/>
        <item x="469"/>
        <item x="601"/>
        <item x="104"/>
        <item x="680"/>
        <item x="771"/>
        <item x="92"/>
        <item x="707"/>
        <item x="346"/>
        <item x="96"/>
        <item x="323"/>
        <item x="130"/>
        <item x="339"/>
        <item x="314"/>
        <item x="429"/>
        <item x="399"/>
        <item x="406"/>
        <item x="635"/>
        <item x="673"/>
        <item x="48"/>
        <item x="711"/>
        <item x="182"/>
        <item x="552"/>
        <item x="143"/>
        <item x="136"/>
        <item x="2"/>
        <item x="45"/>
        <item x="239"/>
        <item x="603"/>
        <item x="775"/>
        <item x="33"/>
        <item x="667"/>
        <item x="694"/>
        <item x="489"/>
        <item x="320"/>
        <item x="313"/>
        <item x="550"/>
        <item x="720"/>
        <item x="795"/>
        <item x="258"/>
        <item x="717"/>
        <item x="422"/>
        <item x="737"/>
        <item x="312"/>
        <item x="431"/>
        <item x="714"/>
        <item x="226"/>
        <item x="57"/>
        <item x="487"/>
        <item x="190"/>
        <item x="676"/>
        <item x="344"/>
        <item x="127"/>
        <item x="590"/>
        <item x="503"/>
        <item x="509"/>
        <item x="797"/>
        <item x="213"/>
        <item x="800"/>
        <item x="524"/>
        <item x="249"/>
        <item x="39"/>
        <item x="568"/>
        <item x="636"/>
        <item x="282"/>
        <item x="594"/>
        <item x="738"/>
        <item x="655"/>
        <item x="757"/>
        <item x="574"/>
        <item x="7"/>
        <item x="689"/>
        <item x="670"/>
        <item x="150"/>
        <item x="644"/>
        <item x="146"/>
        <item x="232"/>
        <item x="616"/>
        <item x="41"/>
        <item x="451"/>
        <item x="627"/>
        <item x="806"/>
        <item x="420"/>
        <item x="156"/>
        <item x="97"/>
        <item x="106"/>
        <item x="377"/>
        <item x="40"/>
        <item x="562"/>
        <item x="821"/>
        <item x="14"/>
        <item x="623"/>
        <item x="254"/>
        <item x="396"/>
        <item x="52"/>
        <item x="218"/>
        <item x="686"/>
        <item x="827"/>
        <item x="752"/>
        <item x="495"/>
        <item x="450"/>
        <item x="813"/>
        <item x="564"/>
        <item x="522"/>
        <item x="227"/>
        <item x="326"/>
        <item x="204"/>
        <item x="818"/>
        <item x="162"/>
        <item x="498"/>
        <item x="286"/>
        <item x="89"/>
        <item x="649"/>
        <item x="194"/>
        <item x="301"/>
        <item x="125"/>
        <item x="445"/>
        <item x="809"/>
        <item x="340"/>
        <item x="467"/>
        <item x="716"/>
        <item x="685"/>
        <item x="34"/>
        <item x="566"/>
        <item x="351"/>
        <item x="484"/>
        <item x="683"/>
        <item x="794"/>
        <item x="807"/>
        <item x="587"/>
        <item x="261"/>
        <item x="651"/>
        <item x="437"/>
        <item x="571"/>
        <item x="111"/>
        <item x="409"/>
        <item x="609"/>
        <item x="690"/>
        <item x="411"/>
        <item x="290"/>
        <item x="544"/>
        <item x="426"/>
        <item x="608"/>
        <item x="319"/>
        <item x="36"/>
        <item x="739"/>
        <item x="108"/>
        <item x="298"/>
        <item x="432"/>
        <item x="819"/>
        <item x="491"/>
        <item x="236"/>
        <item x="439"/>
        <item x="208"/>
        <item x="188"/>
        <item x="238"/>
        <item x="650"/>
        <item x="796"/>
        <item x="446"/>
        <item x="745"/>
        <item x="617"/>
        <item x="275"/>
        <item x="734"/>
        <item x="581"/>
        <item x="772"/>
        <item x="196"/>
        <item x="263"/>
        <item x="26"/>
        <item x="515"/>
        <item x="46"/>
        <item x="37"/>
        <item x="471"/>
        <item x="299"/>
        <item x="159"/>
        <item x="149"/>
        <item x="418"/>
        <item x="391"/>
        <item x="222"/>
        <item x="212"/>
        <item x="521"/>
        <item x="561"/>
        <item x="77"/>
        <item x="412"/>
        <item x="23"/>
        <item x="798"/>
        <item x="378"/>
        <item x="639"/>
        <item x="479"/>
        <item x="165"/>
        <item x="300"/>
        <item x="356"/>
        <item x="103"/>
        <item x="502"/>
        <item x="722"/>
        <item x="43"/>
        <item x="789"/>
        <item x="653"/>
        <item x="144"/>
        <item x="784"/>
        <item x="293"/>
        <item x="464"/>
        <item x="186"/>
        <item x="201"/>
        <item x="277"/>
        <item x="586"/>
        <item x="10"/>
        <item x="468"/>
        <item x="407"/>
        <item x="242"/>
        <item x="25"/>
        <item x="115"/>
        <item x="325"/>
        <item x="382"/>
        <item x="364"/>
        <item x="256"/>
        <item x="438"/>
        <item x="341"/>
        <item x="12"/>
        <item x="695"/>
        <item x="699"/>
        <item x="687"/>
        <item x="343"/>
        <item x="219"/>
        <item x="543"/>
        <item x="167"/>
        <item x="4"/>
        <item x="724"/>
        <item x="403"/>
        <item x="71"/>
        <item x="56"/>
        <item x="641"/>
        <item x="197"/>
        <item x="93"/>
        <item x="462"/>
        <item x="816"/>
        <item x="470"/>
        <item x="262"/>
        <item x="205"/>
        <item x="802"/>
        <item x="729"/>
        <item x="730"/>
        <item x="751"/>
        <item x="279"/>
        <item x="266"/>
        <item x="322"/>
        <item x="810"/>
        <item x="713"/>
        <item x="225"/>
        <item x="28"/>
        <item x="490"/>
        <item x="74"/>
        <item x="118"/>
        <item x="427"/>
        <item x="606"/>
        <item x="436"/>
        <item x="723"/>
        <item x="158"/>
        <item x="556"/>
        <item x="812"/>
        <item x="777"/>
        <item x="42"/>
        <item x="485"/>
        <item x="693"/>
        <item x="200"/>
        <item x="247"/>
        <item x="246"/>
        <item x="660"/>
        <item x="677"/>
        <item x="333"/>
        <item x="3"/>
        <item x="16"/>
        <item x="494"/>
        <item x="395"/>
        <item x="799"/>
        <item x="355"/>
        <item x="168"/>
        <item x="367"/>
        <item x="570"/>
        <item x="287"/>
        <item x="221"/>
        <item x="682"/>
        <item x="626"/>
        <item x="154"/>
        <item x="658"/>
        <item x="512"/>
        <item x="611"/>
        <item x="231"/>
        <item x="465"/>
        <item x="202"/>
        <item x="235"/>
        <item x="324"/>
        <item x="533"/>
        <item x="134"/>
        <item x="289"/>
        <item x="520"/>
        <item x="725"/>
        <item x="614"/>
        <item x="504"/>
        <item x="435"/>
        <item x="393"/>
        <item x="709"/>
        <item x="307"/>
        <item x="434"/>
        <item x="370"/>
        <item x="105"/>
        <item x="478"/>
        <item x="380"/>
        <item x="148"/>
        <item x="135"/>
        <item x="731"/>
        <item x="663"/>
        <item x="698"/>
        <item x="253"/>
        <item x="461"/>
        <item x="817"/>
        <item x="732"/>
        <item x="191"/>
        <item x="86"/>
        <item x="811"/>
        <item x="710"/>
        <item x="18"/>
        <item x="62"/>
        <item x="565"/>
        <item x="514"/>
        <item x="764"/>
        <item x="129"/>
        <item x="160"/>
        <item x="280"/>
        <item x="681"/>
        <item x="750"/>
        <item x="444"/>
        <item x="793"/>
        <item x="248"/>
        <item x="32"/>
        <item x="292"/>
        <item x="394"/>
        <item x="591"/>
        <item x="759"/>
        <item x="80"/>
        <item x="588"/>
        <item x="546"/>
        <item x="607"/>
        <item x="414"/>
        <item x="291"/>
        <item x="691"/>
        <item x="593"/>
        <item x="185"/>
        <item x="316"/>
        <item x="803"/>
        <item x="664"/>
        <item x="749"/>
        <item x="220"/>
        <item x="288"/>
        <item x="598"/>
        <item x="572"/>
        <item x="315"/>
        <item x="157"/>
        <item x="27"/>
        <item x="87"/>
        <item x="423"/>
        <item x="758"/>
        <item x="492"/>
        <item x="173"/>
        <item x="228"/>
        <item x="702"/>
        <item x="625"/>
        <item x="786"/>
        <item x="142"/>
        <item x="384"/>
        <item x="452"/>
        <item x="493"/>
        <item x="715"/>
        <item x="692"/>
        <item x="152"/>
        <item x="362"/>
        <item x="174"/>
        <item x="829"/>
        <item x="486"/>
        <item x="705"/>
        <item x="408"/>
        <item x="610"/>
        <item x="551"/>
        <item x="65"/>
        <item x="386"/>
        <item x="454"/>
        <item x="50"/>
        <item x="117"/>
        <item x="60"/>
        <item x="766"/>
        <item x="787"/>
        <item x="229"/>
        <item x="17"/>
        <item x="602"/>
        <item x="133"/>
        <item x="398"/>
        <item x="442"/>
        <item x="779"/>
        <item x="151"/>
        <item x="456"/>
        <item x="35"/>
        <item x="47"/>
        <item x="387"/>
        <item x="620"/>
        <item x="579"/>
        <item x="719"/>
        <item x="110"/>
        <item x="604"/>
        <item x="473"/>
        <item x="475"/>
        <item x="209"/>
        <item x="416"/>
        <item x="374"/>
        <item x="548"/>
        <item x="740"/>
        <item x="270"/>
        <item x="527"/>
        <item x="244"/>
        <item x="534"/>
        <item x="499"/>
        <item x="269"/>
        <item x="563"/>
        <item x="281"/>
        <item x="361"/>
        <item x="120"/>
        <item x="410"/>
        <item x="357"/>
        <item x="753"/>
        <item x="510"/>
        <item x="453"/>
        <item x="706"/>
        <item x="531"/>
        <item x="61"/>
        <item x="375"/>
        <item x="81"/>
        <item x="283"/>
        <item x="592"/>
        <item x="824"/>
        <item x="583"/>
        <item x="516"/>
        <item x="224"/>
        <item x="560"/>
        <item x="646"/>
        <item x="425"/>
        <item x="75"/>
        <item x="500"/>
        <item x="311"/>
        <item x="634"/>
        <item x="177"/>
        <item x="585"/>
        <item x="22"/>
        <item x="483"/>
        <item x="637"/>
        <item x="576"/>
        <item x="388"/>
        <item x="728"/>
        <item x="260"/>
        <item x="642"/>
        <item x="102"/>
        <item x="95"/>
        <item x="376"/>
        <item x="30"/>
        <item x="497"/>
        <item x="747"/>
        <item x="400"/>
        <item x="505"/>
        <item x="259"/>
        <item x="595"/>
        <item x="476"/>
        <item x="308"/>
        <item x="0"/>
        <item x="309"/>
        <item x="192"/>
        <item x="199"/>
        <item x="567"/>
        <item x="474"/>
        <item x="44"/>
        <item x="334"/>
        <item x="371"/>
        <item x="472"/>
        <item x="679"/>
        <item x="338"/>
        <item x="164"/>
        <item x="584"/>
        <item x="823"/>
        <item x="296"/>
        <item x="184"/>
        <item x="659"/>
        <item x="24"/>
        <item x="541"/>
        <item x="365"/>
        <item x="536"/>
        <item x="170"/>
        <item x="822"/>
        <item x="535"/>
        <item x="778"/>
        <item x="460"/>
        <item x="742"/>
        <item x="666"/>
        <item x="697"/>
        <item x="704"/>
        <item x="285"/>
        <item x="596"/>
        <item x="372"/>
        <item x="284"/>
        <item x="54"/>
        <item x="518"/>
        <item x="274"/>
        <item x="268"/>
        <item x="801"/>
        <item x="181"/>
        <item x="126"/>
        <item x="744"/>
        <item x="774"/>
        <item x="648"/>
        <item x="58"/>
        <item x="557"/>
        <item x="545"/>
        <item x="207"/>
        <item x="482"/>
        <item x="335"/>
        <item x="113"/>
        <item x="788"/>
        <item x="657"/>
        <item x="825"/>
        <item x="94"/>
        <item x="755"/>
        <item x="67"/>
        <item x="549"/>
        <item x="379"/>
        <item x="267"/>
        <item x="123"/>
        <item x="618"/>
        <item x="554"/>
        <item x="252"/>
        <item x="49"/>
        <item x="767"/>
        <item x="459"/>
        <item x="166"/>
        <item x="78"/>
        <item x="210"/>
        <item x="632"/>
        <item x="230"/>
        <item x="624"/>
        <item x="183"/>
        <item x="421"/>
        <item x="64"/>
        <item x="674"/>
        <item x="480"/>
        <item x="55"/>
        <item x="83"/>
        <item x="240"/>
        <item x="700"/>
        <item x="540"/>
        <item x="638"/>
        <item x="523"/>
        <item x="119"/>
        <item x="21"/>
        <item x="31"/>
        <item x="701"/>
        <item x="19"/>
        <item x="368"/>
        <item x="783"/>
        <item x="294"/>
        <item x="507"/>
        <item x="640"/>
        <item x="508"/>
        <item x="447"/>
        <item x="542"/>
        <item x="72"/>
        <item x="559"/>
        <item x="455"/>
        <item x="245"/>
        <item x="769"/>
        <item x="448"/>
        <item x="746"/>
        <item x="415"/>
        <item x="257"/>
        <item x="79"/>
        <item x="178"/>
        <item x="600"/>
        <item x="672"/>
        <item x="59"/>
        <item x="656"/>
        <item x="180"/>
        <item x="555"/>
        <item x="138"/>
        <item x="176"/>
        <item x="761"/>
        <item x="5"/>
        <item x="785"/>
        <item x="198"/>
        <item x="708"/>
        <item x="272"/>
        <item x="137"/>
        <item x="580"/>
        <item x="121"/>
        <item x="101"/>
        <item x="613"/>
        <item x="477"/>
        <item x="684"/>
        <item x="668"/>
        <item x="537"/>
        <item x="578"/>
        <item x="558"/>
        <item x="645"/>
        <item x="647"/>
        <item x="369"/>
        <item x="251"/>
        <item x="171"/>
        <item x="828"/>
        <item x="726"/>
        <item x="330"/>
        <item x="145"/>
        <item x="255"/>
        <item x="385"/>
        <item x="628"/>
        <item x="553"/>
        <item x="352"/>
        <item x="1"/>
        <item x="348"/>
        <item x="727"/>
        <item x="776"/>
        <item x="661"/>
        <item x="304"/>
        <item x="488"/>
        <item x="215"/>
        <item x="440"/>
        <item x="271"/>
        <item x="179"/>
        <item x="206"/>
        <item x="741"/>
        <item x="413"/>
        <item x="278"/>
        <item x="273"/>
        <item x="804"/>
        <item x="85"/>
        <item x="155"/>
        <item x="366"/>
        <item x="122"/>
        <item x="53"/>
        <item x="241"/>
        <item x="792"/>
        <item x="193"/>
        <item x="631"/>
        <item x="762"/>
        <item x="612"/>
        <item x="8"/>
        <item x="211"/>
        <item x="15"/>
        <item x="147"/>
        <item x="780"/>
        <item x="347"/>
        <item x="100"/>
        <item x="153"/>
        <item x="318"/>
        <item x="73"/>
        <item x="652"/>
        <item x="703"/>
        <item x="112"/>
        <item x="519"/>
        <item x="529"/>
        <item x="305"/>
        <item x="615"/>
        <item x="735"/>
        <item x="20"/>
        <item x="621"/>
        <item x="530"/>
        <item x="295"/>
        <item x="82"/>
        <item x="332"/>
        <item x="141"/>
        <item x="390"/>
        <item x="11"/>
        <item x="402"/>
        <item x="38"/>
        <item x="373"/>
        <item x="573"/>
        <item x="633"/>
        <item x="525"/>
        <item x="643"/>
        <item x="321"/>
        <item x="51"/>
        <item x="163"/>
        <item x="131"/>
        <item x="605"/>
        <item x="539"/>
        <item x="575"/>
        <item x="405"/>
        <item x="782"/>
        <item x="721"/>
        <item x="820"/>
        <item x="826"/>
        <item x="237"/>
        <item x="234"/>
        <item x="140"/>
        <item x="748"/>
        <item x="688"/>
        <item x="678"/>
        <item x="538"/>
        <item t="default"/>
      </items>
    </pivotField>
    <pivotField numFmtId="14" showAll="0"/>
    <pivotField showAll="0"/>
    <pivotField dataField="1" showAll="0"/>
    <pivotField showAll="0">
      <items count="3">
        <item x="1"/>
        <item x="0"/>
        <item t="default"/>
      </items>
    </pivotField>
    <pivotField showAll="0"/>
    <pivotField axis="axisRow" showAll="0">
      <items count="4">
        <item x="2"/>
        <item x="1"/>
        <item x="0"/>
        <item t="default"/>
      </items>
    </pivotField>
    <pivotField showAll="0">
      <items count="4">
        <item x="2"/>
        <item x="1"/>
        <item x="0"/>
        <item t="default"/>
      </items>
    </pivotField>
    <pivotField showAll="0">
      <items count="5">
        <item x="0"/>
        <item x="1"/>
        <item x="2"/>
        <item x="3"/>
        <item t="default"/>
      </items>
    </pivotField>
    <pivotField showAll="0">
      <items count="13">
        <item x="1"/>
        <item x="2"/>
        <item x="8"/>
        <item x="3"/>
        <item x="5"/>
        <item x="9"/>
        <item x="11"/>
        <item x="0"/>
        <item x="7"/>
        <item x="6"/>
        <item x="4"/>
        <item x="10"/>
        <item t="default"/>
      </items>
    </pivotField>
    <pivotField showAll="0">
      <items count="5">
        <item x="1"/>
        <item x="2"/>
        <item x="0"/>
        <item x="3"/>
        <item t="default"/>
      </items>
    </pivotField>
    <pivotField showAll="0"/>
    <pivotField showAll="0"/>
    <pivotField showAll="0"/>
    <pivotField showAll="0"/>
  </pivotFields>
  <rowFields count="1">
    <field x="7"/>
  </rowFields>
  <rowItems count="4">
    <i>
      <x/>
    </i>
    <i>
      <x v="1"/>
    </i>
    <i>
      <x v="2"/>
    </i>
    <i t="grand">
      <x/>
    </i>
  </rowItems>
  <colItems count="1">
    <i/>
  </colItems>
  <dataFields count="1">
    <dataField name="Average of satisfaction_score" fld="4" subtotal="average" baseField="7" baseItem="0"/>
  </dataFields>
  <formats count="14">
    <format dxfId="75">
      <pivotArea collapsedLevelsAreSubtotals="1" fieldPosition="0">
        <references count="1">
          <reference field="7" count="1">
            <x v="1"/>
          </reference>
        </references>
      </pivotArea>
    </format>
    <format dxfId="74">
      <pivotArea collapsedLevelsAreSubtotals="1" fieldPosition="0">
        <references count="1">
          <reference field="7" count="1">
            <x v="0"/>
          </reference>
        </references>
      </pivotArea>
    </format>
    <format dxfId="73">
      <pivotArea type="all" dataOnly="0" outline="0" fieldPosition="0"/>
    </format>
    <format dxfId="72">
      <pivotArea outline="0" collapsedLevelsAreSubtotals="1" fieldPosition="0"/>
    </format>
    <format dxfId="71">
      <pivotArea field="7" type="button" dataOnly="0" labelOnly="1" outline="0" axis="axisRow" fieldPosition="0"/>
    </format>
    <format dxfId="70">
      <pivotArea dataOnly="0" labelOnly="1" fieldPosition="0">
        <references count="1">
          <reference field="7" count="0"/>
        </references>
      </pivotArea>
    </format>
    <format dxfId="69">
      <pivotArea dataOnly="0" labelOnly="1" grandRow="1" outline="0" fieldPosition="0"/>
    </format>
    <format dxfId="68">
      <pivotArea dataOnly="0" labelOnly="1" outline="0" axis="axisValues" fieldPosition="0"/>
    </format>
    <format dxfId="67">
      <pivotArea type="all" dataOnly="0" outline="0" fieldPosition="0"/>
    </format>
    <format dxfId="66">
      <pivotArea outline="0" collapsedLevelsAreSubtotals="1" fieldPosition="0"/>
    </format>
    <format dxfId="65">
      <pivotArea field="7" type="button" dataOnly="0" labelOnly="1" outline="0" axis="axisRow" fieldPosition="0"/>
    </format>
    <format dxfId="64">
      <pivotArea dataOnly="0" labelOnly="1" fieldPosition="0">
        <references count="1">
          <reference field="7" count="0"/>
        </references>
      </pivotArea>
    </format>
    <format dxfId="63">
      <pivotArea dataOnly="0" labelOnly="1" grandRow="1" outline="0" fieldPosition="0"/>
    </format>
    <format dxfId="62">
      <pivotArea dataOnly="0" labelOnly="1" outline="0" axis="axisValues" fieldPosition="0"/>
    </format>
  </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40D7819-E007-4699-9AA6-AC441AC3C13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9:H34" firstHeaderRow="1" firstDataRow="1" firstDataCol="1"/>
  <pivotFields count="16">
    <pivotField showAll="0"/>
    <pivotField dataField="1" showAll="0">
      <items count="831">
        <item x="441"/>
        <item x="359"/>
        <item x="128"/>
        <item x="139"/>
        <item x="629"/>
        <item x="389"/>
        <item x="175"/>
        <item x="328"/>
        <item x="662"/>
        <item x="250"/>
        <item x="217"/>
        <item x="336"/>
        <item x="781"/>
        <item x="790"/>
        <item x="345"/>
        <item x="733"/>
        <item x="310"/>
        <item x="109"/>
        <item x="791"/>
        <item x="264"/>
        <item x="9"/>
        <item x="443"/>
        <item x="214"/>
        <item x="63"/>
        <item x="457"/>
        <item x="13"/>
        <item x="401"/>
        <item x="622"/>
        <item x="243"/>
        <item x="68"/>
        <item x="763"/>
        <item x="66"/>
        <item x="754"/>
        <item x="329"/>
        <item x="337"/>
        <item x="547"/>
        <item x="107"/>
        <item x="773"/>
        <item x="360"/>
        <item x="760"/>
        <item x="765"/>
        <item x="317"/>
        <item x="577"/>
        <item x="169"/>
        <item x="331"/>
        <item x="665"/>
        <item x="517"/>
        <item x="675"/>
        <item x="327"/>
        <item x="216"/>
        <item x="532"/>
        <item x="350"/>
        <item x="91"/>
        <item x="397"/>
        <item x="302"/>
        <item x="718"/>
        <item x="743"/>
        <item x="496"/>
        <item x="756"/>
        <item x="808"/>
        <item x="353"/>
        <item x="712"/>
        <item x="70"/>
        <item x="349"/>
        <item x="88"/>
        <item x="582"/>
        <item x="805"/>
        <item x="669"/>
        <item x="29"/>
        <item x="358"/>
        <item x="84"/>
        <item x="430"/>
        <item x="569"/>
        <item x="768"/>
        <item x="599"/>
        <item x="589"/>
        <item x="736"/>
        <item x="354"/>
        <item x="814"/>
        <item x="306"/>
        <item x="381"/>
        <item x="458"/>
        <item x="187"/>
        <item x="265"/>
        <item x="501"/>
        <item x="597"/>
        <item x="424"/>
        <item x="404"/>
        <item x="189"/>
        <item x="383"/>
        <item x="511"/>
        <item x="69"/>
        <item x="506"/>
        <item x="6"/>
        <item x="419"/>
        <item x="203"/>
        <item x="428"/>
        <item x="513"/>
        <item x="90"/>
        <item x="630"/>
        <item x="161"/>
        <item x="526"/>
        <item x="433"/>
        <item x="303"/>
        <item x="342"/>
        <item x="449"/>
        <item x="671"/>
        <item x="116"/>
        <item x="619"/>
        <item x="99"/>
        <item x="172"/>
        <item x="696"/>
        <item x="417"/>
        <item x="276"/>
        <item x="770"/>
        <item x="654"/>
        <item x="132"/>
        <item x="233"/>
        <item x="124"/>
        <item x="195"/>
        <item x="481"/>
        <item x="363"/>
        <item x="98"/>
        <item x="466"/>
        <item x="76"/>
        <item x="528"/>
        <item x="463"/>
        <item x="114"/>
        <item x="297"/>
        <item x="392"/>
        <item x="223"/>
        <item x="815"/>
        <item x="469"/>
        <item x="601"/>
        <item x="104"/>
        <item x="680"/>
        <item x="771"/>
        <item x="92"/>
        <item x="707"/>
        <item x="346"/>
        <item x="96"/>
        <item x="323"/>
        <item x="130"/>
        <item x="339"/>
        <item x="314"/>
        <item x="429"/>
        <item x="399"/>
        <item x="406"/>
        <item x="635"/>
        <item x="673"/>
        <item x="48"/>
        <item x="711"/>
        <item x="182"/>
        <item x="552"/>
        <item x="143"/>
        <item x="136"/>
        <item x="2"/>
        <item x="45"/>
        <item x="239"/>
        <item x="603"/>
        <item x="775"/>
        <item x="33"/>
        <item x="667"/>
        <item x="694"/>
        <item x="489"/>
        <item x="320"/>
        <item x="313"/>
        <item x="550"/>
        <item x="720"/>
        <item x="795"/>
        <item x="258"/>
        <item x="717"/>
        <item x="422"/>
        <item x="737"/>
        <item x="312"/>
        <item x="431"/>
        <item x="714"/>
        <item x="226"/>
        <item x="57"/>
        <item x="487"/>
        <item x="190"/>
        <item x="676"/>
        <item x="344"/>
        <item x="127"/>
        <item x="590"/>
        <item x="503"/>
        <item x="509"/>
        <item x="797"/>
        <item x="213"/>
        <item x="800"/>
        <item x="524"/>
        <item x="249"/>
        <item x="39"/>
        <item x="568"/>
        <item x="636"/>
        <item x="282"/>
        <item x="594"/>
        <item x="738"/>
        <item x="655"/>
        <item x="757"/>
        <item x="574"/>
        <item x="7"/>
        <item x="689"/>
        <item x="670"/>
        <item x="150"/>
        <item x="644"/>
        <item x="146"/>
        <item x="232"/>
        <item x="616"/>
        <item x="41"/>
        <item x="451"/>
        <item x="627"/>
        <item x="806"/>
        <item x="420"/>
        <item x="156"/>
        <item x="97"/>
        <item x="106"/>
        <item x="377"/>
        <item x="40"/>
        <item x="562"/>
        <item x="821"/>
        <item x="14"/>
        <item x="623"/>
        <item x="254"/>
        <item x="396"/>
        <item x="52"/>
        <item x="218"/>
        <item x="686"/>
        <item x="827"/>
        <item x="752"/>
        <item x="495"/>
        <item x="450"/>
        <item x="813"/>
        <item x="564"/>
        <item x="522"/>
        <item x="227"/>
        <item x="326"/>
        <item x="204"/>
        <item x="818"/>
        <item x="162"/>
        <item x="498"/>
        <item x="286"/>
        <item x="89"/>
        <item x="649"/>
        <item x="194"/>
        <item x="301"/>
        <item x="125"/>
        <item x="445"/>
        <item x="809"/>
        <item x="340"/>
        <item x="467"/>
        <item x="716"/>
        <item x="685"/>
        <item x="34"/>
        <item x="566"/>
        <item x="351"/>
        <item x="484"/>
        <item x="683"/>
        <item x="794"/>
        <item x="807"/>
        <item x="587"/>
        <item x="261"/>
        <item x="651"/>
        <item x="437"/>
        <item x="571"/>
        <item x="111"/>
        <item x="409"/>
        <item x="609"/>
        <item x="690"/>
        <item x="411"/>
        <item x="290"/>
        <item x="544"/>
        <item x="426"/>
        <item x="608"/>
        <item x="319"/>
        <item x="36"/>
        <item x="739"/>
        <item x="108"/>
        <item x="298"/>
        <item x="432"/>
        <item x="819"/>
        <item x="491"/>
        <item x="236"/>
        <item x="439"/>
        <item x="208"/>
        <item x="188"/>
        <item x="238"/>
        <item x="650"/>
        <item x="796"/>
        <item x="446"/>
        <item x="745"/>
        <item x="617"/>
        <item x="275"/>
        <item x="734"/>
        <item x="581"/>
        <item x="772"/>
        <item x="196"/>
        <item x="263"/>
        <item x="26"/>
        <item x="515"/>
        <item x="46"/>
        <item x="37"/>
        <item x="471"/>
        <item x="299"/>
        <item x="159"/>
        <item x="149"/>
        <item x="418"/>
        <item x="391"/>
        <item x="222"/>
        <item x="212"/>
        <item x="521"/>
        <item x="561"/>
        <item x="77"/>
        <item x="412"/>
        <item x="23"/>
        <item x="798"/>
        <item x="378"/>
        <item x="639"/>
        <item x="479"/>
        <item x="165"/>
        <item x="300"/>
        <item x="356"/>
        <item x="103"/>
        <item x="502"/>
        <item x="722"/>
        <item x="43"/>
        <item x="789"/>
        <item x="653"/>
        <item x="144"/>
        <item x="784"/>
        <item x="293"/>
        <item x="464"/>
        <item x="186"/>
        <item x="201"/>
        <item x="277"/>
        <item x="586"/>
        <item x="10"/>
        <item x="468"/>
        <item x="407"/>
        <item x="242"/>
        <item x="25"/>
        <item x="115"/>
        <item x="325"/>
        <item x="382"/>
        <item x="364"/>
        <item x="256"/>
        <item x="438"/>
        <item x="341"/>
        <item x="12"/>
        <item x="695"/>
        <item x="699"/>
        <item x="687"/>
        <item x="343"/>
        <item x="219"/>
        <item x="543"/>
        <item x="167"/>
        <item x="4"/>
        <item x="724"/>
        <item x="403"/>
        <item x="71"/>
        <item x="56"/>
        <item x="641"/>
        <item x="197"/>
        <item x="93"/>
        <item x="462"/>
        <item x="816"/>
        <item x="470"/>
        <item x="262"/>
        <item x="205"/>
        <item x="802"/>
        <item x="729"/>
        <item x="730"/>
        <item x="751"/>
        <item x="279"/>
        <item x="266"/>
        <item x="322"/>
        <item x="810"/>
        <item x="713"/>
        <item x="225"/>
        <item x="28"/>
        <item x="490"/>
        <item x="74"/>
        <item x="118"/>
        <item x="427"/>
        <item x="606"/>
        <item x="436"/>
        <item x="723"/>
        <item x="158"/>
        <item x="556"/>
        <item x="812"/>
        <item x="777"/>
        <item x="42"/>
        <item x="485"/>
        <item x="693"/>
        <item x="200"/>
        <item x="247"/>
        <item x="246"/>
        <item x="660"/>
        <item x="677"/>
        <item x="333"/>
        <item x="3"/>
        <item x="16"/>
        <item x="494"/>
        <item x="395"/>
        <item x="799"/>
        <item x="355"/>
        <item x="168"/>
        <item x="367"/>
        <item x="570"/>
        <item x="287"/>
        <item x="221"/>
        <item x="682"/>
        <item x="626"/>
        <item x="154"/>
        <item x="658"/>
        <item x="512"/>
        <item x="611"/>
        <item x="231"/>
        <item x="465"/>
        <item x="202"/>
        <item x="235"/>
        <item x="324"/>
        <item x="533"/>
        <item x="134"/>
        <item x="289"/>
        <item x="520"/>
        <item x="725"/>
        <item x="614"/>
        <item x="504"/>
        <item x="435"/>
        <item x="393"/>
        <item x="709"/>
        <item x="307"/>
        <item x="434"/>
        <item x="370"/>
        <item x="105"/>
        <item x="478"/>
        <item x="380"/>
        <item x="148"/>
        <item x="135"/>
        <item x="731"/>
        <item x="663"/>
        <item x="698"/>
        <item x="253"/>
        <item x="461"/>
        <item x="817"/>
        <item x="732"/>
        <item x="191"/>
        <item x="86"/>
        <item x="811"/>
        <item x="710"/>
        <item x="18"/>
        <item x="62"/>
        <item x="565"/>
        <item x="514"/>
        <item x="764"/>
        <item x="129"/>
        <item x="160"/>
        <item x="280"/>
        <item x="681"/>
        <item x="750"/>
        <item x="444"/>
        <item x="793"/>
        <item x="248"/>
        <item x="32"/>
        <item x="292"/>
        <item x="394"/>
        <item x="591"/>
        <item x="759"/>
        <item x="80"/>
        <item x="588"/>
        <item x="546"/>
        <item x="607"/>
        <item x="414"/>
        <item x="291"/>
        <item x="691"/>
        <item x="593"/>
        <item x="185"/>
        <item x="316"/>
        <item x="803"/>
        <item x="664"/>
        <item x="749"/>
        <item x="220"/>
        <item x="288"/>
        <item x="598"/>
        <item x="572"/>
        <item x="315"/>
        <item x="157"/>
        <item x="27"/>
        <item x="87"/>
        <item x="423"/>
        <item x="758"/>
        <item x="492"/>
        <item x="173"/>
        <item x="228"/>
        <item x="702"/>
        <item x="625"/>
        <item x="786"/>
        <item x="142"/>
        <item x="384"/>
        <item x="452"/>
        <item x="493"/>
        <item x="715"/>
        <item x="692"/>
        <item x="152"/>
        <item x="362"/>
        <item x="174"/>
        <item x="829"/>
        <item x="486"/>
        <item x="705"/>
        <item x="408"/>
        <item x="610"/>
        <item x="551"/>
        <item x="65"/>
        <item x="386"/>
        <item x="454"/>
        <item x="50"/>
        <item x="117"/>
        <item x="60"/>
        <item x="766"/>
        <item x="787"/>
        <item x="229"/>
        <item x="17"/>
        <item x="602"/>
        <item x="133"/>
        <item x="398"/>
        <item x="442"/>
        <item x="779"/>
        <item x="151"/>
        <item x="456"/>
        <item x="35"/>
        <item x="47"/>
        <item x="387"/>
        <item x="620"/>
        <item x="579"/>
        <item x="719"/>
        <item x="110"/>
        <item x="604"/>
        <item x="473"/>
        <item x="475"/>
        <item x="209"/>
        <item x="416"/>
        <item x="374"/>
        <item x="548"/>
        <item x="740"/>
        <item x="270"/>
        <item x="527"/>
        <item x="244"/>
        <item x="534"/>
        <item x="499"/>
        <item x="269"/>
        <item x="563"/>
        <item x="281"/>
        <item x="361"/>
        <item x="120"/>
        <item x="410"/>
        <item x="357"/>
        <item x="753"/>
        <item x="510"/>
        <item x="453"/>
        <item x="706"/>
        <item x="531"/>
        <item x="61"/>
        <item x="375"/>
        <item x="81"/>
        <item x="283"/>
        <item x="592"/>
        <item x="824"/>
        <item x="583"/>
        <item x="516"/>
        <item x="224"/>
        <item x="560"/>
        <item x="646"/>
        <item x="425"/>
        <item x="75"/>
        <item x="500"/>
        <item x="311"/>
        <item x="634"/>
        <item x="177"/>
        <item x="585"/>
        <item x="22"/>
        <item x="483"/>
        <item x="637"/>
        <item x="576"/>
        <item x="388"/>
        <item x="728"/>
        <item x="260"/>
        <item x="642"/>
        <item x="102"/>
        <item x="95"/>
        <item x="376"/>
        <item x="30"/>
        <item x="497"/>
        <item x="747"/>
        <item x="400"/>
        <item x="505"/>
        <item x="259"/>
        <item x="595"/>
        <item x="476"/>
        <item x="308"/>
        <item x="0"/>
        <item x="309"/>
        <item x="192"/>
        <item x="199"/>
        <item x="567"/>
        <item x="474"/>
        <item x="44"/>
        <item x="334"/>
        <item x="371"/>
        <item x="472"/>
        <item x="679"/>
        <item x="338"/>
        <item x="164"/>
        <item x="584"/>
        <item x="823"/>
        <item x="296"/>
        <item x="184"/>
        <item x="659"/>
        <item x="24"/>
        <item x="541"/>
        <item x="365"/>
        <item x="536"/>
        <item x="170"/>
        <item x="822"/>
        <item x="535"/>
        <item x="778"/>
        <item x="460"/>
        <item x="742"/>
        <item x="666"/>
        <item x="697"/>
        <item x="704"/>
        <item x="285"/>
        <item x="596"/>
        <item x="372"/>
        <item x="284"/>
        <item x="54"/>
        <item x="518"/>
        <item x="274"/>
        <item x="268"/>
        <item x="801"/>
        <item x="181"/>
        <item x="126"/>
        <item x="744"/>
        <item x="774"/>
        <item x="648"/>
        <item x="58"/>
        <item x="557"/>
        <item x="545"/>
        <item x="207"/>
        <item x="482"/>
        <item x="335"/>
        <item x="113"/>
        <item x="788"/>
        <item x="657"/>
        <item x="825"/>
        <item x="94"/>
        <item x="755"/>
        <item x="67"/>
        <item x="549"/>
        <item x="379"/>
        <item x="267"/>
        <item x="123"/>
        <item x="618"/>
        <item x="554"/>
        <item x="252"/>
        <item x="49"/>
        <item x="767"/>
        <item x="459"/>
        <item x="166"/>
        <item x="78"/>
        <item x="210"/>
        <item x="632"/>
        <item x="230"/>
        <item x="624"/>
        <item x="183"/>
        <item x="421"/>
        <item x="64"/>
        <item x="674"/>
        <item x="480"/>
        <item x="55"/>
        <item x="83"/>
        <item x="240"/>
        <item x="700"/>
        <item x="540"/>
        <item x="638"/>
        <item x="523"/>
        <item x="119"/>
        <item x="21"/>
        <item x="31"/>
        <item x="701"/>
        <item x="19"/>
        <item x="368"/>
        <item x="783"/>
        <item x="294"/>
        <item x="507"/>
        <item x="640"/>
        <item x="508"/>
        <item x="447"/>
        <item x="542"/>
        <item x="72"/>
        <item x="559"/>
        <item x="455"/>
        <item x="245"/>
        <item x="769"/>
        <item x="448"/>
        <item x="746"/>
        <item x="415"/>
        <item x="257"/>
        <item x="79"/>
        <item x="178"/>
        <item x="600"/>
        <item x="672"/>
        <item x="59"/>
        <item x="656"/>
        <item x="180"/>
        <item x="555"/>
        <item x="138"/>
        <item x="176"/>
        <item x="761"/>
        <item x="5"/>
        <item x="785"/>
        <item x="198"/>
        <item x="708"/>
        <item x="272"/>
        <item x="137"/>
        <item x="580"/>
        <item x="121"/>
        <item x="101"/>
        <item x="613"/>
        <item x="477"/>
        <item x="684"/>
        <item x="668"/>
        <item x="537"/>
        <item x="578"/>
        <item x="558"/>
        <item x="645"/>
        <item x="647"/>
        <item x="369"/>
        <item x="251"/>
        <item x="171"/>
        <item x="828"/>
        <item x="726"/>
        <item x="330"/>
        <item x="145"/>
        <item x="255"/>
        <item x="385"/>
        <item x="628"/>
        <item x="553"/>
        <item x="352"/>
        <item x="1"/>
        <item x="348"/>
        <item x="727"/>
        <item x="776"/>
        <item x="661"/>
        <item x="304"/>
        <item x="488"/>
        <item x="215"/>
        <item x="440"/>
        <item x="271"/>
        <item x="179"/>
        <item x="206"/>
        <item x="741"/>
        <item x="413"/>
        <item x="278"/>
        <item x="273"/>
        <item x="804"/>
        <item x="85"/>
        <item x="155"/>
        <item x="366"/>
        <item x="122"/>
        <item x="53"/>
        <item x="241"/>
        <item x="792"/>
        <item x="193"/>
        <item x="631"/>
        <item x="762"/>
        <item x="612"/>
        <item x="8"/>
        <item x="211"/>
        <item x="15"/>
        <item x="147"/>
        <item x="780"/>
        <item x="347"/>
        <item x="100"/>
        <item x="153"/>
        <item x="318"/>
        <item x="73"/>
        <item x="652"/>
        <item x="703"/>
        <item x="112"/>
        <item x="519"/>
        <item x="529"/>
        <item x="305"/>
        <item x="615"/>
        <item x="735"/>
        <item x="20"/>
        <item x="621"/>
        <item x="530"/>
        <item x="295"/>
        <item x="82"/>
        <item x="332"/>
        <item x="141"/>
        <item x="390"/>
        <item x="11"/>
        <item x="402"/>
        <item x="38"/>
        <item x="373"/>
        <item x="573"/>
        <item x="633"/>
        <item x="525"/>
        <item x="643"/>
        <item x="321"/>
        <item x="51"/>
        <item x="163"/>
        <item x="131"/>
        <item x="605"/>
        <item x="539"/>
        <item x="575"/>
        <item x="405"/>
        <item x="782"/>
        <item x="721"/>
        <item x="820"/>
        <item x="826"/>
        <item x="237"/>
        <item x="234"/>
        <item x="140"/>
        <item x="748"/>
        <item x="688"/>
        <item x="678"/>
        <item x="538"/>
        <item t="default"/>
      </items>
    </pivotField>
    <pivotField numFmtId="14" showAll="0"/>
    <pivotField showAll="0"/>
    <pivotField showAll="0"/>
    <pivotField showAll="0">
      <items count="3">
        <item x="1"/>
        <item x="0"/>
        <item t="default"/>
      </items>
    </pivotField>
    <pivotField showAll="0"/>
    <pivotField showAll="0">
      <items count="4">
        <item x="2"/>
        <item x="1"/>
        <item x="0"/>
        <item t="default"/>
      </items>
    </pivotField>
    <pivotField showAll="0">
      <items count="4">
        <item x="2"/>
        <item x="1"/>
        <item x="0"/>
        <item t="default"/>
      </items>
    </pivotField>
    <pivotField showAll="0">
      <items count="5">
        <item x="0"/>
        <item x="1"/>
        <item x="2"/>
        <item x="3"/>
        <item t="default"/>
      </items>
    </pivotField>
    <pivotField showAll="0">
      <items count="13">
        <item x="1"/>
        <item x="2"/>
        <item x="8"/>
        <item x="3"/>
        <item x="5"/>
        <item x="9"/>
        <item x="11"/>
        <item x="0"/>
        <item x="7"/>
        <item x="6"/>
        <item x="4"/>
        <item x="10"/>
        <item t="default"/>
      </items>
    </pivotField>
    <pivotField axis="axisRow" showAll="0">
      <items count="5">
        <item x="1"/>
        <item x="2"/>
        <item x="0"/>
        <item x="3"/>
        <item t="default"/>
      </items>
    </pivotField>
    <pivotField showAll="0"/>
    <pivotField showAll="0"/>
    <pivotField showAll="0"/>
    <pivotField showAll="0"/>
  </pivotFields>
  <rowFields count="1">
    <field x="11"/>
  </rowFields>
  <rowItems count="5">
    <i>
      <x/>
    </i>
    <i>
      <x v="1"/>
    </i>
    <i>
      <x v="2"/>
    </i>
    <i>
      <x v="3"/>
    </i>
    <i t="grand">
      <x/>
    </i>
  </rowItems>
  <colItems count="1">
    <i/>
  </colItems>
  <dataFields count="1">
    <dataField name="Count of customer_id" fld="1" subtotal="count" baseField="0" baseItem="0"/>
  </dataFields>
  <formats count="12">
    <format dxfId="87">
      <pivotArea type="all" dataOnly="0" outline="0" fieldPosition="0"/>
    </format>
    <format dxfId="86">
      <pivotArea outline="0" collapsedLevelsAreSubtotals="1" fieldPosition="0"/>
    </format>
    <format dxfId="85">
      <pivotArea field="11" type="button" dataOnly="0" labelOnly="1" outline="0" axis="axisRow" fieldPosition="0"/>
    </format>
    <format dxfId="84">
      <pivotArea dataOnly="0" labelOnly="1" fieldPosition="0">
        <references count="1">
          <reference field="11" count="0"/>
        </references>
      </pivotArea>
    </format>
    <format dxfId="83">
      <pivotArea dataOnly="0" labelOnly="1" grandRow="1" outline="0" fieldPosition="0"/>
    </format>
    <format dxfId="82">
      <pivotArea dataOnly="0" labelOnly="1" outline="0" axis="axisValues" fieldPosition="0"/>
    </format>
    <format dxfId="81">
      <pivotArea type="all" dataOnly="0" outline="0" fieldPosition="0"/>
    </format>
    <format dxfId="80">
      <pivotArea outline="0" collapsedLevelsAreSubtotals="1" fieldPosition="0"/>
    </format>
    <format dxfId="79">
      <pivotArea field="11" type="button" dataOnly="0" labelOnly="1" outline="0" axis="axisRow" fieldPosition="0"/>
    </format>
    <format dxfId="78">
      <pivotArea dataOnly="0" labelOnly="1" fieldPosition="0">
        <references count="1">
          <reference field="11" count="0"/>
        </references>
      </pivotArea>
    </format>
    <format dxfId="77">
      <pivotArea dataOnly="0" labelOnly="1" grandRow="1" outline="0" fieldPosition="0"/>
    </format>
    <format dxfId="76">
      <pivotArea dataOnly="0" labelOnly="1" outline="0" axis="axisValues" fieldPosition="0"/>
    </format>
  </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C4F8474-4273-4666-A733-81415A82B4C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41:C44" firstHeaderRow="1" firstDataRow="1" firstDataCol="1"/>
  <pivotFields count="16">
    <pivotField showAll="0"/>
    <pivotField dataField="1" showAll="0">
      <items count="831">
        <item x="441"/>
        <item x="359"/>
        <item x="128"/>
        <item x="139"/>
        <item x="629"/>
        <item x="389"/>
        <item x="175"/>
        <item x="328"/>
        <item x="662"/>
        <item x="250"/>
        <item x="217"/>
        <item x="336"/>
        <item x="781"/>
        <item x="790"/>
        <item x="345"/>
        <item x="733"/>
        <item x="310"/>
        <item x="109"/>
        <item x="791"/>
        <item x="264"/>
        <item x="9"/>
        <item x="443"/>
        <item x="214"/>
        <item x="63"/>
        <item x="457"/>
        <item x="13"/>
        <item x="401"/>
        <item x="622"/>
        <item x="243"/>
        <item x="68"/>
        <item x="763"/>
        <item x="66"/>
        <item x="754"/>
        <item x="329"/>
        <item x="337"/>
        <item x="547"/>
        <item x="107"/>
        <item x="773"/>
        <item x="360"/>
        <item x="760"/>
        <item x="765"/>
        <item x="317"/>
        <item x="577"/>
        <item x="169"/>
        <item x="331"/>
        <item x="665"/>
        <item x="517"/>
        <item x="675"/>
        <item x="327"/>
        <item x="216"/>
        <item x="532"/>
        <item x="350"/>
        <item x="91"/>
        <item x="397"/>
        <item x="302"/>
        <item x="718"/>
        <item x="743"/>
        <item x="496"/>
        <item x="756"/>
        <item x="808"/>
        <item x="353"/>
        <item x="712"/>
        <item x="70"/>
        <item x="349"/>
        <item x="88"/>
        <item x="582"/>
        <item x="805"/>
        <item x="669"/>
        <item x="29"/>
        <item x="358"/>
        <item x="84"/>
        <item x="430"/>
        <item x="569"/>
        <item x="768"/>
        <item x="599"/>
        <item x="589"/>
        <item x="736"/>
        <item x="354"/>
        <item x="814"/>
        <item x="306"/>
        <item x="381"/>
        <item x="458"/>
        <item x="187"/>
        <item x="265"/>
        <item x="501"/>
        <item x="597"/>
        <item x="424"/>
        <item x="404"/>
        <item x="189"/>
        <item x="383"/>
        <item x="511"/>
        <item x="69"/>
        <item x="506"/>
        <item x="6"/>
        <item x="419"/>
        <item x="203"/>
        <item x="428"/>
        <item x="513"/>
        <item x="90"/>
        <item x="630"/>
        <item x="161"/>
        <item x="526"/>
        <item x="433"/>
        <item x="303"/>
        <item x="342"/>
        <item x="449"/>
        <item x="671"/>
        <item x="116"/>
        <item x="619"/>
        <item x="99"/>
        <item x="172"/>
        <item x="696"/>
        <item x="417"/>
        <item x="276"/>
        <item x="770"/>
        <item x="654"/>
        <item x="132"/>
        <item x="233"/>
        <item x="124"/>
        <item x="195"/>
        <item x="481"/>
        <item x="363"/>
        <item x="98"/>
        <item x="466"/>
        <item x="76"/>
        <item x="528"/>
        <item x="463"/>
        <item x="114"/>
        <item x="297"/>
        <item x="392"/>
        <item x="223"/>
        <item x="815"/>
        <item x="469"/>
        <item x="601"/>
        <item x="104"/>
        <item x="680"/>
        <item x="771"/>
        <item x="92"/>
        <item x="707"/>
        <item x="346"/>
        <item x="96"/>
        <item x="323"/>
        <item x="130"/>
        <item x="339"/>
        <item x="314"/>
        <item x="429"/>
        <item x="399"/>
        <item x="406"/>
        <item x="635"/>
        <item x="673"/>
        <item x="48"/>
        <item x="711"/>
        <item x="182"/>
        <item x="552"/>
        <item x="143"/>
        <item x="136"/>
        <item x="2"/>
        <item x="45"/>
        <item x="239"/>
        <item x="603"/>
        <item x="775"/>
        <item x="33"/>
        <item x="667"/>
        <item x="694"/>
        <item x="489"/>
        <item x="320"/>
        <item x="313"/>
        <item x="550"/>
        <item x="720"/>
        <item x="795"/>
        <item x="258"/>
        <item x="717"/>
        <item x="422"/>
        <item x="737"/>
        <item x="312"/>
        <item x="431"/>
        <item x="714"/>
        <item x="226"/>
        <item x="57"/>
        <item x="487"/>
        <item x="190"/>
        <item x="676"/>
        <item x="344"/>
        <item x="127"/>
        <item x="590"/>
        <item x="503"/>
        <item x="509"/>
        <item x="797"/>
        <item x="213"/>
        <item x="800"/>
        <item x="524"/>
        <item x="249"/>
        <item x="39"/>
        <item x="568"/>
        <item x="636"/>
        <item x="282"/>
        <item x="594"/>
        <item x="738"/>
        <item x="655"/>
        <item x="757"/>
        <item x="574"/>
        <item x="7"/>
        <item x="689"/>
        <item x="670"/>
        <item x="150"/>
        <item x="644"/>
        <item x="146"/>
        <item x="232"/>
        <item x="616"/>
        <item x="41"/>
        <item x="451"/>
        <item x="627"/>
        <item x="806"/>
        <item x="420"/>
        <item x="156"/>
        <item x="97"/>
        <item x="106"/>
        <item x="377"/>
        <item x="40"/>
        <item x="562"/>
        <item x="821"/>
        <item x="14"/>
        <item x="623"/>
        <item x="254"/>
        <item x="396"/>
        <item x="52"/>
        <item x="218"/>
        <item x="686"/>
        <item x="827"/>
        <item x="752"/>
        <item x="495"/>
        <item x="450"/>
        <item x="813"/>
        <item x="564"/>
        <item x="522"/>
        <item x="227"/>
        <item x="326"/>
        <item x="204"/>
        <item x="818"/>
        <item x="162"/>
        <item x="498"/>
        <item x="286"/>
        <item x="89"/>
        <item x="649"/>
        <item x="194"/>
        <item x="301"/>
        <item x="125"/>
        <item x="445"/>
        <item x="809"/>
        <item x="340"/>
        <item x="467"/>
        <item x="716"/>
        <item x="685"/>
        <item x="34"/>
        <item x="566"/>
        <item x="351"/>
        <item x="484"/>
        <item x="683"/>
        <item x="794"/>
        <item x="807"/>
        <item x="587"/>
        <item x="261"/>
        <item x="651"/>
        <item x="437"/>
        <item x="571"/>
        <item x="111"/>
        <item x="409"/>
        <item x="609"/>
        <item x="690"/>
        <item x="411"/>
        <item x="290"/>
        <item x="544"/>
        <item x="426"/>
        <item x="608"/>
        <item x="319"/>
        <item x="36"/>
        <item x="739"/>
        <item x="108"/>
        <item x="298"/>
        <item x="432"/>
        <item x="819"/>
        <item x="491"/>
        <item x="236"/>
        <item x="439"/>
        <item x="208"/>
        <item x="188"/>
        <item x="238"/>
        <item x="650"/>
        <item x="796"/>
        <item x="446"/>
        <item x="745"/>
        <item x="617"/>
        <item x="275"/>
        <item x="734"/>
        <item x="581"/>
        <item x="772"/>
        <item x="196"/>
        <item x="263"/>
        <item x="26"/>
        <item x="515"/>
        <item x="46"/>
        <item x="37"/>
        <item x="471"/>
        <item x="299"/>
        <item x="159"/>
        <item x="149"/>
        <item x="418"/>
        <item x="391"/>
        <item x="222"/>
        <item x="212"/>
        <item x="521"/>
        <item x="561"/>
        <item x="77"/>
        <item x="412"/>
        <item x="23"/>
        <item x="798"/>
        <item x="378"/>
        <item x="639"/>
        <item x="479"/>
        <item x="165"/>
        <item x="300"/>
        <item x="356"/>
        <item x="103"/>
        <item x="502"/>
        <item x="722"/>
        <item x="43"/>
        <item x="789"/>
        <item x="653"/>
        <item x="144"/>
        <item x="784"/>
        <item x="293"/>
        <item x="464"/>
        <item x="186"/>
        <item x="201"/>
        <item x="277"/>
        <item x="586"/>
        <item x="10"/>
        <item x="468"/>
        <item x="407"/>
        <item x="242"/>
        <item x="25"/>
        <item x="115"/>
        <item x="325"/>
        <item x="382"/>
        <item x="364"/>
        <item x="256"/>
        <item x="438"/>
        <item x="341"/>
        <item x="12"/>
        <item x="695"/>
        <item x="699"/>
        <item x="687"/>
        <item x="343"/>
        <item x="219"/>
        <item x="543"/>
        <item x="167"/>
        <item x="4"/>
        <item x="724"/>
        <item x="403"/>
        <item x="71"/>
        <item x="56"/>
        <item x="641"/>
        <item x="197"/>
        <item x="93"/>
        <item x="462"/>
        <item x="816"/>
        <item x="470"/>
        <item x="262"/>
        <item x="205"/>
        <item x="802"/>
        <item x="729"/>
        <item x="730"/>
        <item x="751"/>
        <item x="279"/>
        <item x="266"/>
        <item x="322"/>
        <item x="810"/>
        <item x="713"/>
        <item x="225"/>
        <item x="28"/>
        <item x="490"/>
        <item x="74"/>
        <item x="118"/>
        <item x="427"/>
        <item x="606"/>
        <item x="436"/>
        <item x="723"/>
        <item x="158"/>
        <item x="556"/>
        <item x="812"/>
        <item x="777"/>
        <item x="42"/>
        <item x="485"/>
        <item x="693"/>
        <item x="200"/>
        <item x="247"/>
        <item x="246"/>
        <item x="660"/>
        <item x="677"/>
        <item x="333"/>
        <item x="3"/>
        <item x="16"/>
        <item x="494"/>
        <item x="395"/>
        <item x="799"/>
        <item x="355"/>
        <item x="168"/>
        <item x="367"/>
        <item x="570"/>
        <item x="287"/>
        <item x="221"/>
        <item x="682"/>
        <item x="626"/>
        <item x="154"/>
        <item x="658"/>
        <item x="512"/>
        <item x="611"/>
        <item x="231"/>
        <item x="465"/>
        <item x="202"/>
        <item x="235"/>
        <item x="324"/>
        <item x="533"/>
        <item x="134"/>
        <item x="289"/>
        <item x="520"/>
        <item x="725"/>
        <item x="614"/>
        <item x="504"/>
        <item x="435"/>
        <item x="393"/>
        <item x="709"/>
        <item x="307"/>
        <item x="434"/>
        <item x="370"/>
        <item x="105"/>
        <item x="478"/>
        <item x="380"/>
        <item x="148"/>
        <item x="135"/>
        <item x="731"/>
        <item x="663"/>
        <item x="698"/>
        <item x="253"/>
        <item x="461"/>
        <item x="817"/>
        <item x="732"/>
        <item x="191"/>
        <item x="86"/>
        <item x="811"/>
        <item x="710"/>
        <item x="18"/>
        <item x="62"/>
        <item x="565"/>
        <item x="514"/>
        <item x="764"/>
        <item x="129"/>
        <item x="160"/>
        <item x="280"/>
        <item x="681"/>
        <item x="750"/>
        <item x="444"/>
        <item x="793"/>
        <item x="248"/>
        <item x="32"/>
        <item x="292"/>
        <item x="394"/>
        <item x="591"/>
        <item x="759"/>
        <item x="80"/>
        <item x="588"/>
        <item x="546"/>
        <item x="607"/>
        <item x="414"/>
        <item x="291"/>
        <item x="691"/>
        <item x="593"/>
        <item x="185"/>
        <item x="316"/>
        <item x="803"/>
        <item x="664"/>
        <item x="749"/>
        <item x="220"/>
        <item x="288"/>
        <item x="598"/>
        <item x="572"/>
        <item x="315"/>
        <item x="157"/>
        <item x="27"/>
        <item x="87"/>
        <item x="423"/>
        <item x="758"/>
        <item x="492"/>
        <item x="173"/>
        <item x="228"/>
        <item x="702"/>
        <item x="625"/>
        <item x="786"/>
        <item x="142"/>
        <item x="384"/>
        <item x="452"/>
        <item x="493"/>
        <item x="715"/>
        <item x="692"/>
        <item x="152"/>
        <item x="362"/>
        <item x="174"/>
        <item x="829"/>
        <item x="486"/>
        <item x="705"/>
        <item x="408"/>
        <item x="610"/>
        <item x="551"/>
        <item x="65"/>
        <item x="386"/>
        <item x="454"/>
        <item x="50"/>
        <item x="117"/>
        <item x="60"/>
        <item x="766"/>
        <item x="787"/>
        <item x="229"/>
        <item x="17"/>
        <item x="602"/>
        <item x="133"/>
        <item x="398"/>
        <item x="442"/>
        <item x="779"/>
        <item x="151"/>
        <item x="456"/>
        <item x="35"/>
        <item x="47"/>
        <item x="387"/>
        <item x="620"/>
        <item x="579"/>
        <item x="719"/>
        <item x="110"/>
        <item x="604"/>
        <item x="473"/>
        <item x="475"/>
        <item x="209"/>
        <item x="416"/>
        <item x="374"/>
        <item x="548"/>
        <item x="740"/>
        <item x="270"/>
        <item x="527"/>
        <item x="244"/>
        <item x="534"/>
        <item x="499"/>
        <item x="269"/>
        <item x="563"/>
        <item x="281"/>
        <item x="361"/>
        <item x="120"/>
        <item x="410"/>
        <item x="357"/>
        <item x="753"/>
        <item x="510"/>
        <item x="453"/>
        <item x="706"/>
        <item x="531"/>
        <item x="61"/>
        <item x="375"/>
        <item x="81"/>
        <item x="283"/>
        <item x="592"/>
        <item x="824"/>
        <item x="583"/>
        <item x="516"/>
        <item x="224"/>
        <item x="560"/>
        <item x="646"/>
        <item x="425"/>
        <item x="75"/>
        <item x="500"/>
        <item x="311"/>
        <item x="634"/>
        <item x="177"/>
        <item x="585"/>
        <item x="22"/>
        <item x="483"/>
        <item x="637"/>
        <item x="576"/>
        <item x="388"/>
        <item x="728"/>
        <item x="260"/>
        <item x="642"/>
        <item x="102"/>
        <item x="95"/>
        <item x="376"/>
        <item x="30"/>
        <item x="497"/>
        <item x="747"/>
        <item x="400"/>
        <item x="505"/>
        <item x="259"/>
        <item x="595"/>
        <item x="476"/>
        <item x="308"/>
        <item x="0"/>
        <item x="309"/>
        <item x="192"/>
        <item x="199"/>
        <item x="567"/>
        <item x="474"/>
        <item x="44"/>
        <item x="334"/>
        <item x="371"/>
        <item x="472"/>
        <item x="679"/>
        <item x="338"/>
        <item x="164"/>
        <item x="584"/>
        <item x="823"/>
        <item x="296"/>
        <item x="184"/>
        <item x="659"/>
        <item x="24"/>
        <item x="541"/>
        <item x="365"/>
        <item x="536"/>
        <item x="170"/>
        <item x="822"/>
        <item x="535"/>
        <item x="778"/>
        <item x="460"/>
        <item x="742"/>
        <item x="666"/>
        <item x="697"/>
        <item x="704"/>
        <item x="285"/>
        <item x="596"/>
        <item x="372"/>
        <item x="284"/>
        <item x="54"/>
        <item x="518"/>
        <item x="274"/>
        <item x="268"/>
        <item x="801"/>
        <item x="181"/>
        <item x="126"/>
        <item x="744"/>
        <item x="774"/>
        <item x="648"/>
        <item x="58"/>
        <item x="557"/>
        <item x="545"/>
        <item x="207"/>
        <item x="482"/>
        <item x="335"/>
        <item x="113"/>
        <item x="788"/>
        <item x="657"/>
        <item x="825"/>
        <item x="94"/>
        <item x="755"/>
        <item x="67"/>
        <item x="549"/>
        <item x="379"/>
        <item x="267"/>
        <item x="123"/>
        <item x="618"/>
        <item x="554"/>
        <item x="252"/>
        <item x="49"/>
        <item x="767"/>
        <item x="459"/>
        <item x="166"/>
        <item x="78"/>
        <item x="210"/>
        <item x="632"/>
        <item x="230"/>
        <item x="624"/>
        <item x="183"/>
        <item x="421"/>
        <item x="64"/>
        <item x="674"/>
        <item x="480"/>
        <item x="55"/>
        <item x="83"/>
        <item x="240"/>
        <item x="700"/>
        <item x="540"/>
        <item x="638"/>
        <item x="523"/>
        <item x="119"/>
        <item x="21"/>
        <item x="31"/>
        <item x="701"/>
        <item x="19"/>
        <item x="368"/>
        <item x="783"/>
        <item x="294"/>
        <item x="507"/>
        <item x="640"/>
        <item x="508"/>
        <item x="447"/>
        <item x="542"/>
        <item x="72"/>
        <item x="559"/>
        <item x="455"/>
        <item x="245"/>
        <item x="769"/>
        <item x="448"/>
        <item x="746"/>
        <item x="415"/>
        <item x="257"/>
        <item x="79"/>
        <item x="178"/>
        <item x="600"/>
        <item x="672"/>
        <item x="59"/>
        <item x="656"/>
        <item x="180"/>
        <item x="555"/>
        <item x="138"/>
        <item x="176"/>
        <item x="761"/>
        <item x="5"/>
        <item x="785"/>
        <item x="198"/>
        <item x="708"/>
        <item x="272"/>
        <item x="137"/>
        <item x="580"/>
        <item x="121"/>
        <item x="101"/>
        <item x="613"/>
        <item x="477"/>
        <item x="684"/>
        <item x="668"/>
        <item x="537"/>
        <item x="578"/>
        <item x="558"/>
        <item x="645"/>
        <item x="647"/>
        <item x="369"/>
        <item x="251"/>
        <item x="171"/>
        <item x="828"/>
        <item x="726"/>
        <item x="330"/>
        <item x="145"/>
        <item x="255"/>
        <item x="385"/>
        <item x="628"/>
        <item x="553"/>
        <item x="352"/>
        <item x="1"/>
        <item x="348"/>
        <item x="727"/>
        <item x="776"/>
        <item x="661"/>
        <item x="304"/>
        <item x="488"/>
        <item x="215"/>
        <item x="440"/>
        <item x="271"/>
        <item x="179"/>
        <item x="206"/>
        <item x="741"/>
        <item x="413"/>
        <item x="278"/>
        <item x="273"/>
        <item x="804"/>
        <item x="85"/>
        <item x="155"/>
        <item x="366"/>
        <item x="122"/>
        <item x="53"/>
        <item x="241"/>
        <item x="792"/>
        <item x="193"/>
        <item x="631"/>
        <item x="762"/>
        <item x="612"/>
        <item x="8"/>
        <item x="211"/>
        <item x="15"/>
        <item x="147"/>
        <item x="780"/>
        <item x="347"/>
        <item x="100"/>
        <item x="153"/>
        <item x="318"/>
        <item x="73"/>
        <item x="652"/>
        <item x="703"/>
        <item x="112"/>
        <item x="519"/>
        <item x="529"/>
        <item x="305"/>
        <item x="615"/>
        <item x="735"/>
        <item x="20"/>
        <item x="621"/>
        <item x="530"/>
        <item x="295"/>
        <item x="82"/>
        <item x="332"/>
        <item x="141"/>
        <item x="390"/>
        <item x="11"/>
        <item x="402"/>
        <item x="38"/>
        <item x="373"/>
        <item x="573"/>
        <item x="633"/>
        <item x="525"/>
        <item x="643"/>
        <item x="321"/>
        <item x="51"/>
        <item x="163"/>
        <item x="131"/>
        <item x="605"/>
        <item x="539"/>
        <item x="575"/>
        <item x="405"/>
        <item x="782"/>
        <item x="721"/>
        <item x="820"/>
        <item x="826"/>
        <item x="237"/>
        <item x="234"/>
        <item x="140"/>
        <item x="748"/>
        <item x="688"/>
        <item x="678"/>
        <item x="538"/>
        <item t="default"/>
      </items>
    </pivotField>
    <pivotField numFmtId="14" showAll="0"/>
    <pivotField showAll="0"/>
    <pivotField showAll="0"/>
    <pivotField axis="axisRow" showAll="0">
      <items count="3">
        <item x="1"/>
        <item x="0"/>
        <item t="default"/>
      </items>
    </pivotField>
    <pivotField showAll="0"/>
    <pivotField showAll="0">
      <items count="4">
        <item x="2"/>
        <item x="1"/>
        <item x="0"/>
        <item t="default"/>
      </items>
    </pivotField>
    <pivotField showAll="0">
      <items count="4">
        <item x="2"/>
        <item x="1"/>
        <item x="0"/>
        <item t="default"/>
      </items>
    </pivotField>
    <pivotField showAll="0">
      <items count="5">
        <item x="0"/>
        <item x="1"/>
        <item x="2"/>
        <item x="3"/>
        <item t="default"/>
      </items>
    </pivotField>
    <pivotField showAll="0">
      <items count="13">
        <item x="1"/>
        <item x="2"/>
        <item x="8"/>
        <item x="3"/>
        <item x="5"/>
        <item x="9"/>
        <item x="11"/>
        <item x="0"/>
        <item x="7"/>
        <item x="6"/>
        <item x="4"/>
        <item x="10"/>
        <item t="default"/>
      </items>
    </pivotField>
    <pivotField showAll="0">
      <items count="5">
        <item x="1"/>
        <item x="2"/>
        <item x="0"/>
        <item x="3"/>
        <item t="default"/>
      </items>
    </pivotField>
    <pivotField showAll="0"/>
    <pivotField showAll="0"/>
    <pivotField showAll="0"/>
    <pivotField showAll="0"/>
  </pivotFields>
  <rowFields count="1">
    <field x="5"/>
  </rowFields>
  <rowItems count="3">
    <i>
      <x/>
    </i>
    <i>
      <x v="1"/>
    </i>
    <i t="grand">
      <x/>
    </i>
  </rowItems>
  <colItems count="1">
    <i/>
  </colItems>
  <dataFields count="1">
    <dataField name="Count of customer_id" fld="1" subtotal="count" baseField="0" baseItem="0"/>
  </dataFields>
  <formats count="12">
    <format dxfId="99">
      <pivotArea type="all" dataOnly="0" outline="0" fieldPosition="0"/>
    </format>
    <format dxfId="98">
      <pivotArea outline="0" collapsedLevelsAreSubtotals="1" fieldPosition="0"/>
    </format>
    <format dxfId="97">
      <pivotArea field="5" type="button" dataOnly="0" labelOnly="1" outline="0" axis="axisRow" fieldPosition="0"/>
    </format>
    <format dxfId="96">
      <pivotArea dataOnly="0" labelOnly="1" fieldPosition="0">
        <references count="1">
          <reference field="5" count="0"/>
        </references>
      </pivotArea>
    </format>
    <format dxfId="95">
      <pivotArea dataOnly="0" labelOnly="1" grandRow="1" outline="0" fieldPosition="0"/>
    </format>
    <format dxfId="94">
      <pivotArea dataOnly="0" labelOnly="1" outline="0" axis="axisValues" fieldPosition="0"/>
    </format>
    <format dxfId="93">
      <pivotArea type="all" dataOnly="0" outline="0" fieldPosition="0"/>
    </format>
    <format dxfId="92">
      <pivotArea outline="0" collapsedLevelsAreSubtotals="1" fieldPosition="0"/>
    </format>
    <format dxfId="91">
      <pivotArea field="5" type="button" dataOnly="0" labelOnly="1" outline="0" axis="axisRow" fieldPosition="0"/>
    </format>
    <format dxfId="90">
      <pivotArea dataOnly="0" labelOnly="1" fieldPosition="0">
        <references count="1">
          <reference field="5" count="0"/>
        </references>
      </pivotArea>
    </format>
    <format dxfId="89">
      <pivotArea dataOnly="0" labelOnly="1" grandRow="1" outline="0" fieldPosition="0"/>
    </format>
    <format dxfId="88">
      <pivotArea dataOnly="0" labelOnly="1" outline="0" axis="axisValues" fieldPosition="0"/>
    </format>
  </format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5" count="1" selected="0">
            <x v="0"/>
          </reference>
        </references>
      </pivotArea>
    </chartFormat>
    <chartFormat chart="3" format="6">
      <pivotArea type="data" outline="0" fieldPosition="0">
        <references count="2">
          <reference field="4294967294" count="1" selected="0">
            <x v="0"/>
          </reference>
          <reference field="5" count="1" selected="0">
            <x v="1"/>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E6F5275-3194-42FB-93F9-5908CB85C94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9:C34" firstHeaderRow="1" firstDataRow="1" firstDataCol="1"/>
  <pivotFields count="16">
    <pivotField showAll="0"/>
    <pivotField dataField="1" showAll="0">
      <items count="831">
        <item x="441"/>
        <item x="359"/>
        <item x="128"/>
        <item x="139"/>
        <item x="629"/>
        <item x="389"/>
        <item x="175"/>
        <item x="328"/>
        <item x="662"/>
        <item x="250"/>
        <item x="217"/>
        <item x="336"/>
        <item x="781"/>
        <item x="790"/>
        <item x="345"/>
        <item x="733"/>
        <item x="310"/>
        <item x="109"/>
        <item x="791"/>
        <item x="264"/>
        <item x="9"/>
        <item x="443"/>
        <item x="214"/>
        <item x="63"/>
        <item x="457"/>
        <item x="13"/>
        <item x="401"/>
        <item x="622"/>
        <item x="243"/>
        <item x="68"/>
        <item x="763"/>
        <item x="66"/>
        <item x="754"/>
        <item x="329"/>
        <item x="337"/>
        <item x="547"/>
        <item x="107"/>
        <item x="773"/>
        <item x="360"/>
        <item x="760"/>
        <item x="765"/>
        <item x="317"/>
        <item x="577"/>
        <item x="169"/>
        <item x="331"/>
        <item x="665"/>
        <item x="517"/>
        <item x="675"/>
        <item x="327"/>
        <item x="216"/>
        <item x="532"/>
        <item x="350"/>
        <item x="91"/>
        <item x="397"/>
        <item x="302"/>
        <item x="718"/>
        <item x="743"/>
        <item x="496"/>
        <item x="756"/>
        <item x="808"/>
        <item x="353"/>
        <item x="712"/>
        <item x="70"/>
        <item x="349"/>
        <item x="88"/>
        <item x="582"/>
        <item x="805"/>
        <item x="669"/>
        <item x="29"/>
        <item x="358"/>
        <item x="84"/>
        <item x="430"/>
        <item x="569"/>
        <item x="768"/>
        <item x="599"/>
        <item x="589"/>
        <item x="736"/>
        <item x="354"/>
        <item x="814"/>
        <item x="306"/>
        <item x="381"/>
        <item x="458"/>
        <item x="187"/>
        <item x="265"/>
        <item x="501"/>
        <item x="597"/>
        <item x="424"/>
        <item x="404"/>
        <item x="189"/>
        <item x="383"/>
        <item x="511"/>
        <item x="69"/>
        <item x="506"/>
        <item x="6"/>
        <item x="419"/>
        <item x="203"/>
        <item x="428"/>
        <item x="513"/>
        <item x="90"/>
        <item x="630"/>
        <item x="161"/>
        <item x="526"/>
        <item x="433"/>
        <item x="303"/>
        <item x="342"/>
        <item x="449"/>
        <item x="671"/>
        <item x="116"/>
        <item x="619"/>
        <item x="99"/>
        <item x="172"/>
        <item x="696"/>
        <item x="417"/>
        <item x="276"/>
        <item x="770"/>
        <item x="654"/>
        <item x="132"/>
        <item x="233"/>
        <item x="124"/>
        <item x="195"/>
        <item x="481"/>
        <item x="363"/>
        <item x="98"/>
        <item x="466"/>
        <item x="76"/>
        <item x="528"/>
        <item x="463"/>
        <item x="114"/>
        <item x="297"/>
        <item x="392"/>
        <item x="223"/>
        <item x="815"/>
        <item x="469"/>
        <item x="601"/>
        <item x="104"/>
        <item x="680"/>
        <item x="771"/>
        <item x="92"/>
        <item x="707"/>
        <item x="346"/>
        <item x="96"/>
        <item x="323"/>
        <item x="130"/>
        <item x="339"/>
        <item x="314"/>
        <item x="429"/>
        <item x="399"/>
        <item x="406"/>
        <item x="635"/>
        <item x="673"/>
        <item x="48"/>
        <item x="711"/>
        <item x="182"/>
        <item x="552"/>
        <item x="143"/>
        <item x="136"/>
        <item x="2"/>
        <item x="45"/>
        <item x="239"/>
        <item x="603"/>
        <item x="775"/>
        <item x="33"/>
        <item x="667"/>
        <item x="694"/>
        <item x="489"/>
        <item x="320"/>
        <item x="313"/>
        <item x="550"/>
        <item x="720"/>
        <item x="795"/>
        <item x="258"/>
        <item x="717"/>
        <item x="422"/>
        <item x="737"/>
        <item x="312"/>
        <item x="431"/>
        <item x="714"/>
        <item x="226"/>
        <item x="57"/>
        <item x="487"/>
        <item x="190"/>
        <item x="676"/>
        <item x="344"/>
        <item x="127"/>
        <item x="590"/>
        <item x="503"/>
        <item x="509"/>
        <item x="797"/>
        <item x="213"/>
        <item x="800"/>
        <item x="524"/>
        <item x="249"/>
        <item x="39"/>
        <item x="568"/>
        <item x="636"/>
        <item x="282"/>
        <item x="594"/>
        <item x="738"/>
        <item x="655"/>
        <item x="757"/>
        <item x="574"/>
        <item x="7"/>
        <item x="689"/>
        <item x="670"/>
        <item x="150"/>
        <item x="644"/>
        <item x="146"/>
        <item x="232"/>
        <item x="616"/>
        <item x="41"/>
        <item x="451"/>
        <item x="627"/>
        <item x="806"/>
        <item x="420"/>
        <item x="156"/>
        <item x="97"/>
        <item x="106"/>
        <item x="377"/>
        <item x="40"/>
        <item x="562"/>
        <item x="821"/>
        <item x="14"/>
        <item x="623"/>
        <item x="254"/>
        <item x="396"/>
        <item x="52"/>
        <item x="218"/>
        <item x="686"/>
        <item x="827"/>
        <item x="752"/>
        <item x="495"/>
        <item x="450"/>
        <item x="813"/>
        <item x="564"/>
        <item x="522"/>
        <item x="227"/>
        <item x="326"/>
        <item x="204"/>
        <item x="818"/>
        <item x="162"/>
        <item x="498"/>
        <item x="286"/>
        <item x="89"/>
        <item x="649"/>
        <item x="194"/>
        <item x="301"/>
        <item x="125"/>
        <item x="445"/>
        <item x="809"/>
        <item x="340"/>
        <item x="467"/>
        <item x="716"/>
        <item x="685"/>
        <item x="34"/>
        <item x="566"/>
        <item x="351"/>
        <item x="484"/>
        <item x="683"/>
        <item x="794"/>
        <item x="807"/>
        <item x="587"/>
        <item x="261"/>
        <item x="651"/>
        <item x="437"/>
        <item x="571"/>
        <item x="111"/>
        <item x="409"/>
        <item x="609"/>
        <item x="690"/>
        <item x="411"/>
        <item x="290"/>
        <item x="544"/>
        <item x="426"/>
        <item x="608"/>
        <item x="319"/>
        <item x="36"/>
        <item x="739"/>
        <item x="108"/>
        <item x="298"/>
        <item x="432"/>
        <item x="819"/>
        <item x="491"/>
        <item x="236"/>
        <item x="439"/>
        <item x="208"/>
        <item x="188"/>
        <item x="238"/>
        <item x="650"/>
        <item x="796"/>
        <item x="446"/>
        <item x="745"/>
        <item x="617"/>
        <item x="275"/>
        <item x="734"/>
        <item x="581"/>
        <item x="772"/>
        <item x="196"/>
        <item x="263"/>
        <item x="26"/>
        <item x="515"/>
        <item x="46"/>
        <item x="37"/>
        <item x="471"/>
        <item x="299"/>
        <item x="159"/>
        <item x="149"/>
        <item x="418"/>
        <item x="391"/>
        <item x="222"/>
        <item x="212"/>
        <item x="521"/>
        <item x="561"/>
        <item x="77"/>
        <item x="412"/>
        <item x="23"/>
        <item x="798"/>
        <item x="378"/>
        <item x="639"/>
        <item x="479"/>
        <item x="165"/>
        <item x="300"/>
        <item x="356"/>
        <item x="103"/>
        <item x="502"/>
        <item x="722"/>
        <item x="43"/>
        <item x="789"/>
        <item x="653"/>
        <item x="144"/>
        <item x="784"/>
        <item x="293"/>
        <item x="464"/>
        <item x="186"/>
        <item x="201"/>
        <item x="277"/>
        <item x="586"/>
        <item x="10"/>
        <item x="468"/>
        <item x="407"/>
        <item x="242"/>
        <item x="25"/>
        <item x="115"/>
        <item x="325"/>
        <item x="382"/>
        <item x="364"/>
        <item x="256"/>
        <item x="438"/>
        <item x="341"/>
        <item x="12"/>
        <item x="695"/>
        <item x="699"/>
        <item x="687"/>
        <item x="343"/>
        <item x="219"/>
        <item x="543"/>
        <item x="167"/>
        <item x="4"/>
        <item x="724"/>
        <item x="403"/>
        <item x="71"/>
        <item x="56"/>
        <item x="641"/>
        <item x="197"/>
        <item x="93"/>
        <item x="462"/>
        <item x="816"/>
        <item x="470"/>
        <item x="262"/>
        <item x="205"/>
        <item x="802"/>
        <item x="729"/>
        <item x="730"/>
        <item x="751"/>
        <item x="279"/>
        <item x="266"/>
        <item x="322"/>
        <item x="810"/>
        <item x="713"/>
        <item x="225"/>
        <item x="28"/>
        <item x="490"/>
        <item x="74"/>
        <item x="118"/>
        <item x="427"/>
        <item x="606"/>
        <item x="436"/>
        <item x="723"/>
        <item x="158"/>
        <item x="556"/>
        <item x="812"/>
        <item x="777"/>
        <item x="42"/>
        <item x="485"/>
        <item x="693"/>
        <item x="200"/>
        <item x="247"/>
        <item x="246"/>
        <item x="660"/>
        <item x="677"/>
        <item x="333"/>
        <item x="3"/>
        <item x="16"/>
        <item x="494"/>
        <item x="395"/>
        <item x="799"/>
        <item x="355"/>
        <item x="168"/>
        <item x="367"/>
        <item x="570"/>
        <item x="287"/>
        <item x="221"/>
        <item x="682"/>
        <item x="626"/>
        <item x="154"/>
        <item x="658"/>
        <item x="512"/>
        <item x="611"/>
        <item x="231"/>
        <item x="465"/>
        <item x="202"/>
        <item x="235"/>
        <item x="324"/>
        <item x="533"/>
        <item x="134"/>
        <item x="289"/>
        <item x="520"/>
        <item x="725"/>
        <item x="614"/>
        <item x="504"/>
        <item x="435"/>
        <item x="393"/>
        <item x="709"/>
        <item x="307"/>
        <item x="434"/>
        <item x="370"/>
        <item x="105"/>
        <item x="478"/>
        <item x="380"/>
        <item x="148"/>
        <item x="135"/>
        <item x="731"/>
        <item x="663"/>
        <item x="698"/>
        <item x="253"/>
        <item x="461"/>
        <item x="817"/>
        <item x="732"/>
        <item x="191"/>
        <item x="86"/>
        <item x="811"/>
        <item x="710"/>
        <item x="18"/>
        <item x="62"/>
        <item x="565"/>
        <item x="514"/>
        <item x="764"/>
        <item x="129"/>
        <item x="160"/>
        <item x="280"/>
        <item x="681"/>
        <item x="750"/>
        <item x="444"/>
        <item x="793"/>
        <item x="248"/>
        <item x="32"/>
        <item x="292"/>
        <item x="394"/>
        <item x="591"/>
        <item x="759"/>
        <item x="80"/>
        <item x="588"/>
        <item x="546"/>
        <item x="607"/>
        <item x="414"/>
        <item x="291"/>
        <item x="691"/>
        <item x="593"/>
        <item x="185"/>
        <item x="316"/>
        <item x="803"/>
        <item x="664"/>
        <item x="749"/>
        <item x="220"/>
        <item x="288"/>
        <item x="598"/>
        <item x="572"/>
        <item x="315"/>
        <item x="157"/>
        <item x="27"/>
        <item x="87"/>
        <item x="423"/>
        <item x="758"/>
        <item x="492"/>
        <item x="173"/>
        <item x="228"/>
        <item x="702"/>
        <item x="625"/>
        <item x="786"/>
        <item x="142"/>
        <item x="384"/>
        <item x="452"/>
        <item x="493"/>
        <item x="715"/>
        <item x="692"/>
        <item x="152"/>
        <item x="362"/>
        <item x="174"/>
        <item x="829"/>
        <item x="486"/>
        <item x="705"/>
        <item x="408"/>
        <item x="610"/>
        <item x="551"/>
        <item x="65"/>
        <item x="386"/>
        <item x="454"/>
        <item x="50"/>
        <item x="117"/>
        <item x="60"/>
        <item x="766"/>
        <item x="787"/>
        <item x="229"/>
        <item x="17"/>
        <item x="602"/>
        <item x="133"/>
        <item x="398"/>
        <item x="442"/>
        <item x="779"/>
        <item x="151"/>
        <item x="456"/>
        <item x="35"/>
        <item x="47"/>
        <item x="387"/>
        <item x="620"/>
        <item x="579"/>
        <item x="719"/>
        <item x="110"/>
        <item x="604"/>
        <item x="473"/>
        <item x="475"/>
        <item x="209"/>
        <item x="416"/>
        <item x="374"/>
        <item x="548"/>
        <item x="740"/>
        <item x="270"/>
        <item x="527"/>
        <item x="244"/>
        <item x="534"/>
        <item x="499"/>
        <item x="269"/>
        <item x="563"/>
        <item x="281"/>
        <item x="361"/>
        <item x="120"/>
        <item x="410"/>
        <item x="357"/>
        <item x="753"/>
        <item x="510"/>
        <item x="453"/>
        <item x="706"/>
        <item x="531"/>
        <item x="61"/>
        <item x="375"/>
        <item x="81"/>
        <item x="283"/>
        <item x="592"/>
        <item x="824"/>
        <item x="583"/>
        <item x="516"/>
        <item x="224"/>
        <item x="560"/>
        <item x="646"/>
        <item x="425"/>
        <item x="75"/>
        <item x="500"/>
        <item x="311"/>
        <item x="634"/>
        <item x="177"/>
        <item x="585"/>
        <item x="22"/>
        <item x="483"/>
        <item x="637"/>
        <item x="576"/>
        <item x="388"/>
        <item x="728"/>
        <item x="260"/>
        <item x="642"/>
        <item x="102"/>
        <item x="95"/>
        <item x="376"/>
        <item x="30"/>
        <item x="497"/>
        <item x="747"/>
        <item x="400"/>
        <item x="505"/>
        <item x="259"/>
        <item x="595"/>
        <item x="476"/>
        <item x="308"/>
        <item x="0"/>
        <item x="309"/>
        <item x="192"/>
        <item x="199"/>
        <item x="567"/>
        <item x="474"/>
        <item x="44"/>
        <item x="334"/>
        <item x="371"/>
        <item x="472"/>
        <item x="679"/>
        <item x="338"/>
        <item x="164"/>
        <item x="584"/>
        <item x="823"/>
        <item x="296"/>
        <item x="184"/>
        <item x="659"/>
        <item x="24"/>
        <item x="541"/>
        <item x="365"/>
        <item x="536"/>
        <item x="170"/>
        <item x="822"/>
        <item x="535"/>
        <item x="778"/>
        <item x="460"/>
        <item x="742"/>
        <item x="666"/>
        <item x="697"/>
        <item x="704"/>
        <item x="285"/>
        <item x="596"/>
        <item x="372"/>
        <item x="284"/>
        <item x="54"/>
        <item x="518"/>
        <item x="274"/>
        <item x="268"/>
        <item x="801"/>
        <item x="181"/>
        <item x="126"/>
        <item x="744"/>
        <item x="774"/>
        <item x="648"/>
        <item x="58"/>
        <item x="557"/>
        <item x="545"/>
        <item x="207"/>
        <item x="482"/>
        <item x="335"/>
        <item x="113"/>
        <item x="788"/>
        <item x="657"/>
        <item x="825"/>
        <item x="94"/>
        <item x="755"/>
        <item x="67"/>
        <item x="549"/>
        <item x="379"/>
        <item x="267"/>
        <item x="123"/>
        <item x="618"/>
        <item x="554"/>
        <item x="252"/>
        <item x="49"/>
        <item x="767"/>
        <item x="459"/>
        <item x="166"/>
        <item x="78"/>
        <item x="210"/>
        <item x="632"/>
        <item x="230"/>
        <item x="624"/>
        <item x="183"/>
        <item x="421"/>
        <item x="64"/>
        <item x="674"/>
        <item x="480"/>
        <item x="55"/>
        <item x="83"/>
        <item x="240"/>
        <item x="700"/>
        <item x="540"/>
        <item x="638"/>
        <item x="523"/>
        <item x="119"/>
        <item x="21"/>
        <item x="31"/>
        <item x="701"/>
        <item x="19"/>
        <item x="368"/>
        <item x="783"/>
        <item x="294"/>
        <item x="507"/>
        <item x="640"/>
        <item x="508"/>
        <item x="447"/>
        <item x="542"/>
        <item x="72"/>
        <item x="559"/>
        <item x="455"/>
        <item x="245"/>
        <item x="769"/>
        <item x="448"/>
        <item x="746"/>
        <item x="415"/>
        <item x="257"/>
        <item x="79"/>
        <item x="178"/>
        <item x="600"/>
        <item x="672"/>
        <item x="59"/>
        <item x="656"/>
        <item x="180"/>
        <item x="555"/>
        <item x="138"/>
        <item x="176"/>
        <item x="761"/>
        <item x="5"/>
        <item x="785"/>
        <item x="198"/>
        <item x="708"/>
        <item x="272"/>
        <item x="137"/>
        <item x="580"/>
        <item x="121"/>
        <item x="101"/>
        <item x="613"/>
        <item x="477"/>
        <item x="684"/>
        <item x="668"/>
        <item x="537"/>
        <item x="578"/>
        <item x="558"/>
        <item x="645"/>
        <item x="647"/>
        <item x="369"/>
        <item x="251"/>
        <item x="171"/>
        <item x="828"/>
        <item x="726"/>
        <item x="330"/>
        <item x="145"/>
        <item x="255"/>
        <item x="385"/>
        <item x="628"/>
        <item x="553"/>
        <item x="352"/>
        <item x="1"/>
        <item x="348"/>
        <item x="727"/>
        <item x="776"/>
        <item x="661"/>
        <item x="304"/>
        <item x="488"/>
        <item x="215"/>
        <item x="440"/>
        <item x="271"/>
        <item x="179"/>
        <item x="206"/>
        <item x="741"/>
        <item x="413"/>
        <item x="278"/>
        <item x="273"/>
        <item x="804"/>
        <item x="85"/>
        <item x="155"/>
        <item x="366"/>
        <item x="122"/>
        <item x="53"/>
        <item x="241"/>
        <item x="792"/>
        <item x="193"/>
        <item x="631"/>
        <item x="762"/>
        <item x="612"/>
        <item x="8"/>
        <item x="211"/>
        <item x="15"/>
        <item x="147"/>
        <item x="780"/>
        <item x="347"/>
        <item x="100"/>
        <item x="153"/>
        <item x="318"/>
        <item x="73"/>
        <item x="652"/>
        <item x="703"/>
        <item x="112"/>
        <item x="519"/>
        <item x="529"/>
        <item x="305"/>
        <item x="615"/>
        <item x="735"/>
        <item x="20"/>
        <item x="621"/>
        <item x="530"/>
        <item x="295"/>
        <item x="82"/>
        <item x="332"/>
        <item x="141"/>
        <item x="390"/>
        <item x="11"/>
        <item x="402"/>
        <item x="38"/>
        <item x="373"/>
        <item x="573"/>
        <item x="633"/>
        <item x="525"/>
        <item x="643"/>
        <item x="321"/>
        <item x="51"/>
        <item x="163"/>
        <item x="131"/>
        <item x="605"/>
        <item x="539"/>
        <item x="575"/>
        <item x="405"/>
        <item x="782"/>
        <item x="721"/>
        <item x="820"/>
        <item x="826"/>
        <item x="237"/>
        <item x="234"/>
        <item x="140"/>
        <item x="748"/>
        <item x="688"/>
        <item x="678"/>
        <item x="538"/>
        <item t="default"/>
      </items>
    </pivotField>
    <pivotField numFmtId="14" showAll="0"/>
    <pivotField showAll="0"/>
    <pivotField showAll="0"/>
    <pivotField showAll="0">
      <items count="3">
        <item x="1"/>
        <item x="0"/>
        <item t="default"/>
      </items>
    </pivotField>
    <pivotField showAll="0"/>
    <pivotField showAll="0">
      <items count="4">
        <item x="2"/>
        <item x="1"/>
        <item x="0"/>
        <item t="default"/>
      </items>
    </pivotField>
    <pivotField showAll="0">
      <items count="4">
        <item x="2"/>
        <item x="1"/>
        <item x="0"/>
        <item t="default"/>
      </items>
    </pivotField>
    <pivotField axis="axisRow" showAll="0">
      <items count="5">
        <item x="0"/>
        <item x="1"/>
        <item x="2"/>
        <item x="3"/>
        <item t="default"/>
      </items>
    </pivotField>
    <pivotField showAll="0">
      <items count="13">
        <item x="1"/>
        <item x="2"/>
        <item x="8"/>
        <item x="3"/>
        <item x="5"/>
        <item x="9"/>
        <item x="11"/>
        <item x="0"/>
        <item x="7"/>
        <item x="6"/>
        <item x="4"/>
        <item x="10"/>
        <item t="default"/>
      </items>
    </pivotField>
    <pivotField showAll="0">
      <items count="5">
        <item x="1"/>
        <item x="2"/>
        <item x="0"/>
        <item x="3"/>
        <item t="default"/>
      </items>
    </pivotField>
    <pivotField showAll="0"/>
    <pivotField showAll="0"/>
    <pivotField showAll="0"/>
    <pivotField showAll="0"/>
  </pivotFields>
  <rowFields count="1">
    <field x="9"/>
  </rowFields>
  <rowItems count="5">
    <i>
      <x/>
    </i>
    <i>
      <x v="1"/>
    </i>
    <i>
      <x v="2"/>
    </i>
    <i>
      <x v="3"/>
    </i>
    <i t="grand">
      <x/>
    </i>
  </rowItems>
  <colItems count="1">
    <i/>
  </colItems>
  <dataFields count="1">
    <dataField name="Count of customer_id" fld="1" subtotal="count" baseField="0" baseItem="0"/>
  </dataFields>
  <formats count="12">
    <format dxfId="111">
      <pivotArea type="all" dataOnly="0" outline="0" fieldPosition="0"/>
    </format>
    <format dxfId="110">
      <pivotArea outline="0" collapsedLevelsAreSubtotals="1" fieldPosition="0"/>
    </format>
    <format dxfId="109">
      <pivotArea field="9" type="button" dataOnly="0" labelOnly="1" outline="0" axis="axisRow" fieldPosition="0"/>
    </format>
    <format dxfId="108">
      <pivotArea dataOnly="0" labelOnly="1" fieldPosition="0">
        <references count="1">
          <reference field="9" count="0"/>
        </references>
      </pivotArea>
    </format>
    <format dxfId="107">
      <pivotArea dataOnly="0" labelOnly="1" grandRow="1" outline="0" fieldPosition="0"/>
    </format>
    <format dxfId="106">
      <pivotArea dataOnly="0" labelOnly="1" outline="0" axis="axisValues" fieldPosition="0"/>
    </format>
    <format dxfId="105">
      <pivotArea type="all" dataOnly="0" outline="0" fieldPosition="0"/>
    </format>
    <format dxfId="104">
      <pivotArea outline="0" collapsedLevelsAreSubtotals="1" fieldPosition="0"/>
    </format>
    <format dxfId="103">
      <pivotArea field="9" type="button" dataOnly="0" labelOnly="1" outline="0" axis="axisRow" fieldPosition="0"/>
    </format>
    <format dxfId="102">
      <pivotArea dataOnly="0" labelOnly="1" fieldPosition="0">
        <references count="1">
          <reference field="9" count="0"/>
        </references>
      </pivotArea>
    </format>
    <format dxfId="101">
      <pivotArea dataOnly="0" labelOnly="1" grandRow="1" outline="0" fieldPosition="0"/>
    </format>
    <format dxfId="100">
      <pivotArea dataOnly="0" labelOnly="1" outline="0" axis="axisValues" fieldPosition="0"/>
    </format>
  </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93F88F0-9B0F-4860-8F6F-C66633C10352}"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52:Q56" firstHeaderRow="1" firstDataRow="2" firstDataCol="1"/>
  <pivotFields count="16">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831">
        <item x="441"/>
        <item x="359"/>
        <item x="128"/>
        <item x="139"/>
        <item x="629"/>
        <item x="389"/>
        <item x="175"/>
        <item x="328"/>
        <item x="662"/>
        <item x="250"/>
        <item x="217"/>
        <item x="336"/>
        <item x="781"/>
        <item x="790"/>
        <item x="345"/>
        <item x="733"/>
        <item x="310"/>
        <item x="109"/>
        <item x="791"/>
        <item x="264"/>
        <item x="9"/>
        <item x="443"/>
        <item x="214"/>
        <item x="63"/>
        <item x="457"/>
        <item x="13"/>
        <item x="401"/>
        <item x="622"/>
        <item x="243"/>
        <item x="68"/>
        <item x="763"/>
        <item x="66"/>
        <item x="754"/>
        <item x="329"/>
        <item x="337"/>
        <item x="547"/>
        <item x="107"/>
        <item x="773"/>
        <item x="360"/>
        <item x="760"/>
        <item x="765"/>
        <item x="317"/>
        <item x="577"/>
        <item x="169"/>
        <item x="331"/>
        <item x="665"/>
        <item x="517"/>
        <item x="675"/>
        <item x="327"/>
        <item x="216"/>
        <item x="532"/>
        <item x="350"/>
        <item x="91"/>
        <item x="397"/>
        <item x="302"/>
        <item x="718"/>
        <item x="743"/>
        <item x="496"/>
        <item x="756"/>
        <item x="808"/>
        <item x="353"/>
        <item x="712"/>
        <item x="70"/>
        <item x="349"/>
        <item x="88"/>
        <item x="582"/>
        <item x="805"/>
        <item x="669"/>
        <item x="29"/>
        <item x="358"/>
        <item x="84"/>
        <item x="430"/>
        <item x="569"/>
        <item x="768"/>
        <item x="599"/>
        <item x="589"/>
        <item x="736"/>
        <item x="354"/>
        <item x="814"/>
        <item x="306"/>
        <item x="381"/>
        <item x="458"/>
        <item x="187"/>
        <item x="265"/>
        <item x="501"/>
        <item x="597"/>
        <item x="424"/>
        <item x="404"/>
        <item x="189"/>
        <item x="383"/>
        <item x="511"/>
        <item x="69"/>
        <item x="506"/>
        <item x="6"/>
        <item x="419"/>
        <item x="203"/>
        <item x="428"/>
        <item x="513"/>
        <item x="90"/>
        <item x="630"/>
        <item x="161"/>
        <item x="526"/>
        <item x="433"/>
        <item x="303"/>
        <item x="342"/>
        <item x="449"/>
        <item x="671"/>
        <item x="116"/>
        <item x="619"/>
        <item x="99"/>
        <item x="172"/>
        <item x="696"/>
        <item x="417"/>
        <item x="276"/>
        <item x="770"/>
        <item x="654"/>
        <item x="132"/>
        <item x="233"/>
        <item x="124"/>
        <item x="195"/>
        <item x="481"/>
        <item x="363"/>
        <item x="98"/>
        <item x="466"/>
        <item x="76"/>
        <item x="528"/>
        <item x="463"/>
        <item x="114"/>
        <item x="297"/>
        <item x="392"/>
        <item x="223"/>
        <item x="815"/>
        <item x="469"/>
        <item x="601"/>
        <item x="104"/>
        <item x="680"/>
        <item x="771"/>
        <item x="92"/>
        <item x="707"/>
        <item x="346"/>
        <item x="96"/>
        <item x="323"/>
        <item x="130"/>
        <item x="339"/>
        <item x="314"/>
        <item x="429"/>
        <item x="399"/>
        <item x="406"/>
        <item x="635"/>
        <item x="673"/>
        <item x="48"/>
        <item x="711"/>
        <item x="182"/>
        <item x="552"/>
        <item x="143"/>
        <item x="136"/>
        <item x="2"/>
        <item x="45"/>
        <item x="239"/>
        <item x="603"/>
        <item x="775"/>
        <item x="33"/>
        <item x="667"/>
        <item x="694"/>
        <item x="489"/>
        <item x="320"/>
        <item x="313"/>
        <item x="550"/>
        <item x="720"/>
        <item x="795"/>
        <item x="258"/>
        <item x="717"/>
        <item x="422"/>
        <item x="737"/>
        <item x="312"/>
        <item x="431"/>
        <item x="714"/>
        <item x="226"/>
        <item x="57"/>
        <item x="487"/>
        <item x="190"/>
        <item x="676"/>
        <item x="344"/>
        <item x="127"/>
        <item x="590"/>
        <item x="503"/>
        <item x="509"/>
        <item x="797"/>
        <item x="213"/>
        <item x="800"/>
        <item x="524"/>
        <item x="249"/>
        <item x="39"/>
        <item x="568"/>
        <item x="636"/>
        <item x="282"/>
        <item x="594"/>
        <item x="738"/>
        <item x="655"/>
        <item x="757"/>
        <item x="574"/>
        <item x="7"/>
        <item x="689"/>
        <item x="670"/>
        <item x="150"/>
        <item x="644"/>
        <item x="146"/>
        <item x="232"/>
        <item x="616"/>
        <item x="41"/>
        <item x="451"/>
        <item x="627"/>
        <item x="806"/>
        <item x="420"/>
        <item x="156"/>
        <item x="97"/>
        <item x="106"/>
        <item x="377"/>
        <item x="40"/>
        <item x="562"/>
        <item x="821"/>
        <item x="14"/>
        <item x="623"/>
        <item x="254"/>
        <item x="396"/>
        <item x="52"/>
        <item x="218"/>
        <item x="686"/>
        <item x="827"/>
        <item x="752"/>
        <item x="495"/>
        <item x="450"/>
        <item x="813"/>
        <item x="564"/>
        <item x="522"/>
        <item x="227"/>
        <item x="326"/>
        <item x="204"/>
        <item x="818"/>
        <item x="162"/>
        <item x="498"/>
        <item x="286"/>
        <item x="89"/>
        <item x="649"/>
        <item x="194"/>
        <item x="301"/>
        <item x="125"/>
        <item x="445"/>
        <item x="809"/>
        <item x="340"/>
        <item x="467"/>
        <item x="716"/>
        <item x="685"/>
        <item x="34"/>
        <item x="566"/>
        <item x="351"/>
        <item x="484"/>
        <item x="683"/>
        <item x="794"/>
        <item x="807"/>
        <item x="587"/>
        <item x="261"/>
        <item x="651"/>
        <item x="437"/>
        <item x="571"/>
        <item x="111"/>
        <item x="409"/>
        <item x="609"/>
        <item x="690"/>
        <item x="411"/>
        <item x="290"/>
        <item x="544"/>
        <item x="426"/>
        <item x="608"/>
        <item x="319"/>
        <item x="36"/>
        <item x="739"/>
        <item x="108"/>
        <item x="298"/>
        <item x="432"/>
        <item x="819"/>
        <item x="491"/>
        <item x="236"/>
        <item x="439"/>
        <item x="208"/>
        <item x="188"/>
        <item x="238"/>
        <item x="650"/>
        <item x="796"/>
        <item x="446"/>
        <item x="745"/>
        <item x="617"/>
        <item x="275"/>
        <item x="734"/>
        <item x="581"/>
        <item x="772"/>
        <item x="196"/>
        <item x="263"/>
        <item x="26"/>
        <item x="515"/>
        <item x="46"/>
        <item x="37"/>
        <item x="471"/>
        <item x="299"/>
        <item x="159"/>
        <item x="149"/>
        <item x="418"/>
        <item x="391"/>
        <item x="222"/>
        <item x="212"/>
        <item x="521"/>
        <item x="561"/>
        <item x="77"/>
        <item x="412"/>
        <item x="23"/>
        <item x="798"/>
        <item x="378"/>
        <item x="639"/>
        <item x="479"/>
        <item x="165"/>
        <item x="300"/>
        <item x="356"/>
        <item x="103"/>
        <item x="502"/>
        <item x="722"/>
        <item x="43"/>
        <item x="789"/>
        <item x="653"/>
        <item x="144"/>
        <item x="784"/>
        <item x="293"/>
        <item x="464"/>
        <item x="186"/>
        <item x="201"/>
        <item x="277"/>
        <item x="586"/>
        <item x="10"/>
        <item x="468"/>
        <item x="407"/>
        <item x="242"/>
        <item x="25"/>
        <item x="115"/>
        <item x="325"/>
        <item x="382"/>
        <item x="364"/>
        <item x="256"/>
        <item x="438"/>
        <item x="341"/>
        <item x="12"/>
        <item x="695"/>
        <item x="699"/>
        <item x="687"/>
        <item x="343"/>
        <item x="219"/>
        <item x="543"/>
        <item x="167"/>
        <item x="4"/>
        <item x="724"/>
        <item x="403"/>
        <item x="71"/>
        <item x="56"/>
        <item x="641"/>
        <item x="197"/>
        <item x="93"/>
        <item x="462"/>
        <item x="816"/>
        <item x="470"/>
        <item x="262"/>
        <item x="205"/>
        <item x="802"/>
        <item x="729"/>
        <item x="730"/>
        <item x="751"/>
        <item x="279"/>
        <item x="266"/>
        <item x="322"/>
        <item x="810"/>
        <item x="713"/>
        <item x="225"/>
        <item x="28"/>
        <item x="490"/>
        <item x="74"/>
        <item x="118"/>
        <item x="427"/>
        <item x="606"/>
        <item x="436"/>
        <item x="723"/>
        <item x="158"/>
        <item x="556"/>
        <item x="812"/>
        <item x="777"/>
        <item x="42"/>
        <item x="485"/>
        <item x="693"/>
        <item x="200"/>
        <item x="247"/>
        <item x="246"/>
        <item x="660"/>
        <item x="677"/>
        <item x="333"/>
        <item x="3"/>
        <item x="16"/>
        <item x="494"/>
        <item x="395"/>
        <item x="799"/>
        <item x="355"/>
        <item x="168"/>
        <item x="367"/>
        <item x="570"/>
        <item x="287"/>
        <item x="221"/>
        <item x="682"/>
        <item x="626"/>
        <item x="154"/>
        <item x="658"/>
        <item x="512"/>
        <item x="611"/>
        <item x="231"/>
        <item x="465"/>
        <item x="202"/>
        <item x="235"/>
        <item x="324"/>
        <item x="533"/>
        <item x="134"/>
        <item x="289"/>
        <item x="520"/>
        <item x="725"/>
        <item x="614"/>
        <item x="504"/>
        <item x="435"/>
        <item x="393"/>
        <item x="709"/>
        <item x="307"/>
        <item x="434"/>
        <item x="370"/>
        <item x="105"/>
        <item x="478"/>
        <item x="380"/>
        <item x="148"/>
        <item x="135"/>
        <item x="731"/>
        <item x="663"/>
        <item x="698"/>
        <item x="253"/>
        <item x="461"/>
        <item x="817"/>
        <item x="732"/>
        <item x="191"/>
        <item x="86"/>
        <item x="811"/>
        <item x="710"/>
        <item x="18"/>
        <item x="62"/>
        <item x="565"/>
        <item x="514"/>
        <item x="764"/>
        <item x="129"/>
        <item x="160"/>
        <item x="280"/>
        <item x="681"/>
        <item x="750"/>
        <item x="444"/>
        <item x="793"/>
        <item x="248"/>
        <item x="32"/>
        <item x="292"/>
        <item x="394"/>
        <item x="591"/>
        <item x="759"/>
        <item x="80"/>
        <item x="588"/>
        <item x="546"/>
        <item x="607"/>
        <item x="414"/>
        <item x="291"/>
        <item x="691"/>
        <item x="593"/>
        <item x="185"/>
        <item x="316"/>
        <item x="803"/>
        <item x="664"/>
        <item x="749"/>
        <item x="220"/>
        <item x="288"/>
        <item x="598"/>
        <item x="572"/>
        <item x="315"/>
        <item x="157"/>
        <item x="27"/>
        <item x="87"/>
        <item x="423"/>
        <item x="758"/>
        <item x="492"/>
        <item x="173"/>
        <item x="228"/>
        <item x="702"/>
        <item x="625"/>
        <item x="786"/>
        <item x="142"/>
        <item x="384"/>
        <item x="452"/>
        <item x="493"/>
        <item x="715"/>
        <item x="692"/>
        <item x="152"/>
        <item x="362"/>
        <item x="174"/>
        <item x="829"/>
        <item x="486"/>
        <item x="705"/>
        <item x="408"/>
        <item x="610"/>
        <item x="551"/>
        <item x="65"/>
        <item x="386"/>
        <item x="454"/>
        <item x="50"/>
        <item x="117"/>
        <item x="60"/>
        <item x="766"/>
        <item x="787"/>
        <item x="229"/>
        <item x="17"/>
        <item x="602"/>
        <item x="133"/>
        <item x="398"/>
        <item x="442"/>
        <item x="779"/>
        <item x="151"/>
        <item x="456"/>
        <item x="35"/>
        <item x="47"/>
        <item x="387"/>
        <item x="620"/>
        <item x="579"/>
        <item x="719"/>
        <item x="110"/>
        <item x="604"/>
        <item x="473"/>
        <item x="475"/>
        <item x="209"/>
        <item x="416"/>
        <item x="374"/>
        <item x="548"/>
        <item x="740"/>
        <item x="270"/>
        <item x="527"/>
        <item x="244"/>
        <item x="534"/>
        <item x="499"/>
        <item x="269"/>
        <item x="563"/>
        <item x="281"/>
        <item x="361"/>
        <item x="120"/>
        <item x="410"/>
        <item x="357"/>
        <item x="753"/>
        <item x="510"/>
        <item x="453"/>
        <item x="706"/>
        <item x="531"/>
        <item x="61"/>
        <item x="375"/>
        <item x="81"/>
        <item x="283"/>
        <item x="592"/>
        <item x="824"/>
        <item x="583"/>
        <item x="516"/>
        <item x="224"/>
        <item x="560"/>
        <item x="646"/>
        <item x="425"/>
        <item x="75"/>
        <item x="500"/>
        <item x="311"/>
        <item x="634"/>
        <item x="177"/>
        <item x="585"/>
        <item x="22"/>
        <item x="483"/>
        <item x="637"/>
        <item x="576"/>
        <item x="388"/>
        <item x="728"/>
        <item x="260"/>
        <item x="642"/>
        <item x="102"/>
        <item x="95"/>
        <item x="376"/>
        <item x="30"/>
        <item x="497"/>
        <item x="747"/>
        <item x="400"/>
        <item x="505"/>
        <item x="259"/>
        <item x="595"/>
        <item x="476"/>
        <item x="308"/>
        <item x="0"/>
        <item x="309"/>
        <item x="192"/>
        <item x="199"/>
        <item x="567"/>
        <item x="474"/>
        <item x="44"/>
        <item x="334"/>
        <item x="371"/>
        <item x="472"/>
        <item x="679"/>
        <item x="338"/>
        <item x="164"/>
        <item x="584"/>
        <item x="823"/>
        <item x="296"/>
        <item x="184"/>
        <item x="659"/>
        <item x="24"/>
        <item x="541"/>
        <item x="365"/>
        <item x="536"/>
        <item x="170"/>
        <item x="822"/>
        <item x="535"/>
        <item x="778"/>
        <item x="460"/>
        <item x="742"/>
        <item x="666"/>
        <item x="697"/>
        <item x="704"/>
        <item x="285"/>
        <item x="596"/>
        <item x="372"/>
        <item x="284"/>
        <item x="54"/>
        <item x="518"/>
        <item x="274"/>
        <item x="268"/>
        <item x="801"/>
        <item x="181"/>
        <item x="126"/>
        <item x="744"/>
        <item x="774"/>
        <item x="648"/>
        <item x="58"/>
        <item x="557"/>
        <item x="545"/>
        <item x="207"/>
        <item x="482"/>
        <item x="335"/>
        <item x="113"/>
        <item x="788"/>
        <item x="657"/>
        <item x="825"/>
        <item x="94"/>
        <item x="755"/>
        <item x="67"/>
        <item x="549"/>
        <item x="379"/>
        <item x="267"/>
        <item x="123"/>
        <item x="618"/>
        <item x="554"/>
        <item x="252"/>
        <item x="49"/>
        <item x="767"/>
        <item x="459"/>
        <item x="166"/>
        <item x="78"/>
        <item x="210"/>
        <item x="632"/>
        <item x="230"/>
        <item x="624"/>
        <item x="183"/>
        <item x="421"/>
        <item x="64"/>
        <item x="674"/>
        <item x="480"/>
        <item x="55"/>
        <item x="83"/>
        <item x="240"/>
        <item x="700"/>
        <item x="540"/>
        <item x="638"/>
        <item x="523"/>
        <item x="119"/>
        <item x="21"/>
        <item x="31"/>
        <item x="701"/>
        <item x="19"/>
        <item x="368"/>
        <item x="783"/>
        <item x="294"/>
        <item x="507"/>
        <item x="640"/>
        <item x="508"/>
        <item x="447"/>
        <item x="542"/>
        <item x="72"/>
        <item x="559"/>
        <item x="455"/>
        <item x="245"/>
        <item x="769"/>
        <item x="448"/>
        <item x="746"/>
        <item x="415"/>
        <item x="257"/>
        <item x="79"/>
        <item x="178"/>
        <item x="600"/>
        <item x="672"/>
        <item x="59"/>
        <item x="656"/>
        <item x="180"/>
        <item x="555"/>
        <item x="138"/>
        <item x="176"/>
        <item x="761"/>
        <item x="5"/>
        <item x="785"/>
        <item x="198"/>
        <item x="708"/>
        <item x="272"/>
        <item x="137"/>
        <item x="580"/>
        <item x="121"/>
        <item x="101"/>
        <item x="613"/>
        <item x="477"/>
        <item x="684"/>
        <item x="668"/>
        <item x="537"/>
        <item x="578"/>
        <item x="558"/>
        <item x="645"/>
        <item x="647"/>
        <item x="369"/>
        <item x="251"/>
        <item x="171"/>
        <item x="828"/>
        <item x="726"/>
        <item x="330"/>
        <item x="145"/>
        <item x="255"/>
        <item x="385"/>
        <item x="628"/>
        <item x="553"/>
        <item x="352"/>
        <item x="1"/>
        <item x="348"/>
        <item x="727"/>
        <item x="776"/>
        <item x="661"/>
        <item x="304"/>
        <item x="488"/>
        <item x="215"/>
        <item x="440"/>
        <item x="271"/>
        <item x="179"/>
        <item x="206"/>
        <item x="741"/>
        <item x="413"/>
        <item x="278"/>
        <item x="273"/>
        <item x="804"/>
        <item x="85"/>
        <item x="155"/>
        <item x="366"/>
        <item x="122"/>
        <item x="53"/>
        <item x="241"/>
        <item x="792"/>
        <item x="193"/>
        <item x="631"/>
        <item x="762"/>
        <item x="612"/>
        <item x="8"/>
        <item x="211"/>
        <item x="15"/>
        <item x="147"/>
        <item x="780"/>
        <item x="347"/>
        <item x="100"/>
        <item x="153"/>
        <item x="318"/>
        <item x="73"/>
        <item x="652"/>
        <item x="703"/>
        <item x="112"/>
        <item x="519"/>
        <item x="529"/>
        <item x="305"/>
        <item x="615"/>
        <item x="735"/>
        <item x="20"/>
        <item x="621"/>
        <item x="530"/>
        <item x="295"/>
        <item x="82"/>
        <item x="332"/>
        <item x="141"/>
        <item x="390"/>
        <item x="11"/>
        <item x="402"/>
        <item x="38"/>
        <item x="373"/>
        <item x="573"/>
        <item x="633"/>
        <item x="525"/>
        <item x="643"/>
        <item x="321"/>
        <item x="51"/>
        <item x="163"/>
        <item x="131"/>
        <item x="605"/>
        <item x="539"/>
        <item x="575"/>
        <item x="405"/>
        <item x="782"/>
        <item x="721"/>
        <item x="820"/>
        <item x="826"/>
        <item x="237"/>
        <item x="234"/>
        <item x="140"/>
        <item x="748"/>
        <item x="688"/>
        <item x="678"/>
        <item x="538"/>
        <item t="default"/>
      </items>
    </pivotField>
    <pivotField numFmtId="14" showAll="0"/>
    <pivotField showAll="0"/>
    <pivotField showAll="0"/>
    <pivotField axis="axisRow" showAll="0">
      <items count="3">
        <item x="1"/>
        <item x="0"/>
        <item t="default"/>
      </items>
    </pivotField>
    <pivotField showAll="0"/>
    <pivotField axis="axisCol" showAll="0">
      <items count="4">
        <item x="2"/>
        <item x="1"/>
        <item x="0"/>
        <item t="default"/>
      </items>
    </pivotField>
    <pivotField showAll="0">
      <items count="4">
        <item x="2"/>
        <item x="1"/>
        <item x="0"/>
        <item t="default"/>
      </items>
    </pivotField>
    <pivotField showAll="0">
      <items count="5">
        <item x="0"/>
        <item x="1"/>
        <item x="2"/>
        <item x="3"/>
        <item t="default"/>
      </items>
    </pivotField>
    <pivotField showAll="0">
      <items count="13">
        <item x="1"/>
        <item x="2"/>
        <item x="8"/>
        <item x="3"/>
        <item x="5"/>
        <item x="9"/>
        <item x="11"/>
        <item x="0"/>
        <item x="7"/>
        <item x="6"/>
        <item x="4"/>
        <item x="10"/>
        <item t="default"/>
      </items>
    </pivotField>
    <pivotField showAll="0">
      <items count="5">
        <item x="1"/>
        <item x="2"/>
        <item x="0"/>
        <item x="3"/>
        <item t="default"/>
      </items>
    </pivotField>
    <pivotField showAll="0"/>
    <pivotField showAll="0"/>
    <pivotField showAll="0"/>
    <pivotField showAll="0"/>
  </pivotFields>
  <rowFields count="1">
    <field x="5"/>
  </rowFields>
  <rowItems count="3">
    <i>
      <x/>
    </i>
    <i>
      <x v="1"/>
    </i>
    <i t="grand">
      <x/>
    </i>
  </rowItems>
  <colFields count="1">
    <field x="7"/>
  </colFields>
  <colItems count="4">
    <i>
      <x/>
    </i>
    <i>
      <x v="1"/>
    </i>
    <i>
      <x v="2"/>
    </i>
    <i t="grand">
      <x/>
    </i>
  </colItems>
  <dataFields count="1">
    <dataField name="Count of feedback_id" fld="0" subtotal="count" baseField="0" baseItem="0"/>
  </dataFields>
  <formats count="21">
    <format dxfId="132">
      <pivotArea outline="0" collapsedLevelsAreSubtotals="1" fieldPosition="0"/>
    </format>
    <format dxfId="131">
      <pivotArea type="all" dataOnly="0" outline="0" fieldPosition="0"/>
    </format>
    <format dxfId="130">
      <pivotArea outline="0" collapsedLevelsAreSubtotals="1" fieldPosition="0"/>
    </format>
    <format dxfId="129">
      <pivotArea type="origin" dataOnly="0" labelOnly="1" outline="0" fieldPosition="0"/>
    </format>
    <format dxfId="128">
      <pivotArea field="7" type="button" dataOnly="0" labelOnly="1" outline="0" axis="axisCol" fieldPosition="0"/>
    </format>
    <format dxfId="127">
      <pivotArea type="topRight" dataOnly="0" labelOnly="1" outline="0" fieldPosition="0"/>
    </format>
    <format dxfId="126">
      <pivotArea field="5" type="button" dataOnly="0" labelOnly="1" outline="0" axis="axisRow" fieldPosition="0"/>
    </format>
    <format dxfId="125">
      <pivotArea dataOnly="0" labelOnly="1" fieldPosition="0">
        <references count="1">
          <reference field="5" count="0"/>
        </references>
      </pivotArea>
    </format>
    <format dxfId="124">
      <pivotArea dataOnly="0" labelOnly="1" grandRow="1" outline="0" fieldPosition="0"/>
    </format>
    <format dxfId="123">
      <pivotArea dataOnly="0" labelOnly="1" fieldPosition="0">
        <references count="1">
          <reference field="7" count="0"/>
        </references>
      </pivotArea>
    </format>
    <format dxfId="122">
      <pivotArea dataOnly="0" labelOnly="1" grandCol="1" outline="0" fieldPosition="0"/>
    </format>
    <format dxfId="121">
      <pivotArea type="all" dataOnly="0" outline="0" fieldPosition="0"/>
    </format>
    <format dxfId="120">
      <pivotArea outline="0" collapsedLevelsAreSubtotals="1" fieldPosition="0"/>
    </format>
    <format dxfId="119">
      <pivotArea type="origin" dataOnly="0" labelOnly="1" outline="0" fieldPosition="0"/>
    </format>
    <format dxfId="118">
      <pivotArea field="7" type="button" dataOnly="0" labelOnly="1" outline="0" axis="axisCol" fieldPosition="0"/>
    </format>
    <format dxfId="117">
      <pivotArea type="topRight" dataOnly="0" labelOnly="1" outline="0" fieldPosition="0"/>
    </format>
    <format dxfId="116">
      <pivotArea field="5" type="button" dataOnly="0" labelOnly="1" outline="0" axis="axisRow" fieldPosition="0"/>
    </format>
    <format dxfId="115">
      <pivotArea dataOnly="0" labelOnly="1" fieldPosition="0">
        <references count="1">
          <reference field="5" count="0"/>
        </references>
      </pivotArea>
    </format>
    <format dxfId="114">
      <pivotArea dataOnly="0" labelOnly="1" grandRow="1" outline="0" fieldPosition="0"/>
    </format>
    <format dxfId="113">
      <pivotArea dataOnly="0" labelOnly="1" fieldPosition="0">
        <references count="1">
          <reference field="7" count="0"/>
        </references>
      </pivotArea>
    </format>
    <format dxfId="112">
      <pivotArea dataOnly="0" labelOnly="1" grandCol="1" outline="0" fieldPosition="0"/>
    </format>
  </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56CFDB9-A9AE-497B-89C4-47E6BE0CCC78}"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L41:M45" firstHeaderRow="1" firstDataRow="1" firstDataCol="1"/>
  <pivotFields count="16">
    <pivotField showAll="0"/>
    <pivotField dataField="1" showAll="0">
      <items count="831">
        <item x="441"/>
        <item x="359"/>
        <item x="128"/>
        <item x="139"/>
        <item x="629"/>
        <item x="389"/>
        <item x="175"/>
        <item x="328"/>
        <item x="662"/>
        <item x="250"/>
        <item x="217"/>
        <item x="336"/>
        <item x="781"/>
        <item x="790"/>
        <item x="345"/>
        <item x="733"/>
        <item x="310"/>
        <item x="109"/>
        <item x="791"/>
        <item x="264"/>
        <item x="9"/>
        <item x="443"/>
        <item x="214"/>
        <item x="63"/>
        <item x="457"/>
        <item x="13"/>
        <item x="401"/>
        <item x="622"/>
        <item x="243"/>
        <item x="68"/>
        <item x="763"/>
        <item x="66"/>
        <item x="754"/>
        <item x="329"/>
        <item x="337"/>
        <item x="547"/>
        <item x="107"/>
        <item x="773"/>
        <item x="360"/>
        <item x="760"/>
        <item x="765"/>
        <item x="317"/>
        <item x="577"/>
        <item x="169"/>
        <item x="331"/>
        <item x="665"/>
        <item x="517"/>
        <item x="675"/>
        <item x="327"/>
        <item x="216"/>
        <item x="532"/>
        <item x="350"/>
        <item x="91"/>
        <item x="397"/>
        <item x="302"/>
        <item x="718"/>
        <item x="743"/>
        <item x="496"/>
        <item x="756"/>
        <item x="808"/>
        <item x="353"/>
        <item x="712"/>
        <item x="70"/>
        <item x="349"/>
        <item x="88"/>
        <item x="582"/>
        <item x="805"/>
        <item x="669"/>
        <item x="29"/>
        <item x="358"/>
        <item x="84"/>
        <item x="430"/>
        <item x="569"/>
        <item x="768"/>
        <item x="599"/>
        <item x="589"/>
        <item x="736"/>
        <item x="354"/>
        <item x="814"/>
        <item x="306"/>
        <item x="381"/>
        <item x="458"/>
        <item x="187"/>
        <item x="265"/>
        <item x="501"/>
        <item x="597"/>
        <item x="424"/>
        <item x="404"/>
        <item x="189"/>
        <item x="383"/>
        <item x="511"/>
        <item x="69"/>
        <item x="506"/>
        <item x="6"/>
        <item x="419"/>
        <item x="203"/>
        <item x="428"/>
        <item x="513"/>
        <item x="90"/>
        <item x="630"/>
        <item x="161"/>
        <item x="526"/>
        <item x="433"/>
        <item x="303"/>
        <item x="342"/>
        <item x="449"/>
        <item x="671"/>
        <item x="116"/>
        <item x="619"/>
        <item x="99"/>
        <item x="172"/>
        <item x="696"/>
        <item x="417"/>
        <item x="276"/>
        <item x="770"/>
        <item x="654"/>
        <item x="132"/>
        <item x="233"/>
        <item x="124"/>
        <item x="195"/>
        <item x="481"/>
        <item x="363"/>
        <item x="98"/>
        <item x="466"/>
        <item x="76"/>
        <item x="528"/>
        <item x="463"/>
        <item x="114"/>
        <item x="297"/>
        <item x="392"/>
        <item x="223"/>
        <item x="815"/>
        <item x="469"/>
        <item x="601"/>
        <item x="104"/>
        <item x="680"/>
        <item x="771"/>
        <item x="92"/>
        <item x="707"/>
        <item x="346"/>
        <item x="96"/>
        <item x="323"/>
        <item x="130"/>
        <item x="339"/>
        <item x="314"/>
        <item x="429"/>
        <item x="399"/>
        <item x="406"/>
        <item x="635"/>
        <item x="673"/>
        <item x="48"/>
        <item x="711"/>
        <item x="182"/>
        <item x="552"/>
        <item x="143"/>
        <item x="136"/>
        <item x="2"/>
        <item x="45"/>
        <item x="239"/>
        <item x="603"/>
        <item x="775"/>
        <item x="33"/>
        <item x="667"/>
        <item x="694"/>
        <item x="489"/>
        <item x="320"/>
        <item x="313"/>
        <item x="550"/>
        <item x="720"/>
        <item x="795"/>
        <item x="258"/>
        <item x="717"/>
        <item x="422"/>
        <item x="737"/>
        <item x="312"/>
        <item x="431"/>
        <item x="714"/>
        <item x="226"/>
        <item x="57"/>
        <item x="487"/>
        <item x="190"/>
        <item x="676"/>
        <item x="344"/>
        <item x="127"/>
        <item x="590"/>
        <item x="503"/>
        <item x="509"/>
        <item x="797"/>
        <item x="213"/>
        <item x="800"/>
        <item x="524"/>
        <item x="249"/>
        <item x="39"/>
        <item x="568"/>
        <item x="636"/>
        <item x="282"/>
        <item x="594"/>
        <item x="738"/>
        <item x="655"/>
        <item x="757"/>
        <item x="574"/>
        <item x="7"/>
        <item x="689"/>
        <item x="670"/>
        <item x="150"/>
        <item x="644"/>
        <item x="146"/>
        <item x="232"/>
        <item x="616"/>
        <item x="41"/>
        <item x="451"/>
        <item x="627"/>
        <item x="806"/>
        <item x="420"/>
        <item x="156"/>
        <item x="97"/>
        <item x="106"/>
        <item x="377"/>
        <item x="40"/>
        <item x="562"/>
        <item x="821"/>
        <item x="14"/>
        <item x="623"/>
        <item x="254"/>
        <item x="396"/>
        <item x="52"/>
        <item x="218"/>
        <item x="686"/>
        <item x="827"/>
        <item x="752"/>
        <item x="495"/>
        <item x="450"/>
        <item x="813"/>
        <item x="564"/>
        <item x="522"/>
        <item x="227"/>
        <item x="326"/>
        <item x="204"/>
        <item x="818"/>
        <item x="162"/>
        <item x="498"/>
        <item x="286"/>
        <item x="89"/>
        <item x="649"/>
        <item x="194"/>
        <item x="301"/>
        <item x="125"/>
        <item x="445"/>
        <item x="809"/>
        <item x="340"/>
        <item x="467"/>
        <item x="716"/>
        <item x="685"/>
        <item x="34"/>
        <item x="566"/>
        <item x="351"/>
        <item x="484"/>
        <item x="683"/>
        <item x="794"/>
        <item x="807"/>
        <item x="587"/>
        <item x="261"/>
        <item x="651"/>
        <item x="437"/>
        <item x="571"/>
        <item x="111"/>
        <item x="409"/>
        <item x="609"/>
        <item x="690"/>
        <item x="411"/>
        <item x="290"/>
        <item x="544"/>
        <item x="426"/>
        <item x="608"/>
        <item x="319"/>
        <item x="36"/>
        <item x="739"/>
        <item x="108"/>
        <item x="298"/>
        <item x="432"/>
        <item x="819"/>
        <item x="491"/>
        <item x="236"/>
        <item x="439"/>
        <item x="208"/>
        <item x="188"/>
        <item x="238"/>
        <item x="650"/>
        <item x="796"/>
        <item x="446"/>
        <item x="745"/>
        <item x="617"/>
        <item x="275"/>
        <item x="734"/>
        <item x="581"/>
        <item x="772"/>
        <item x="196"/>
        <item x="263"/>
        <item x="26"/>
        <item x="515"/>
        <item x="46"/>
        <item x="37"/>
        <item x="471"/>
        <item x="299"/>
        <item x="159"/>
        <item x="149"/>
        <item x="418"/>
        <item x="391"/>
        <item x="222"/>
        <item x="212"/>
        <item x="521"/>
        <item x="561"/>
        <item x="77"/>
        <item x="412"/>
        <item x="23"/>
        <item x="798"/>
        <item x="378"/>
        <item x="639"/>
        <item x="479"/>
        <item x="165"/>
        <item x="300"/>
        <item x="356"/>
        <item x="103"/>
        <item x="502"/>
        <item x="722"/>
        <item x="43"/>
        <item x="789"/>
        <item x="653"/>
        <item x="144"/>
        <item x="784"/>
        <item x="293"/>
        <item x="464"/>
        <item x="186"/>
        <item x="201"/>
        <item x="277"/>
        <item x="586"/>
        <item x="10"/>
        <item x="468"/>
        <item x="407"/>
        <item x="242"/>
        <item x="25"/>
        <item x="115"/>
        <item x="325"/>
        <item x="382"/>
        <item x="364"/>
        <item x="256"/>
        <item x="438"/>
        <item x="341"/>
        <item x="12"/>
        <item x="695"/>
        <item x="699"/>
        <item x="687"/>
        <item x="343"/>
        <item x="219"/>
        <item x="543"/>
        <item x="167"/>
        <item x="4"/>
        <item x="724"/>
        <item x="403"/>
        <item x="71"/>
        <item x="56"/>
        <item x="641"/>
        <item x="197"/>
        <item x="93"/>
        <item x="462"/>
        <item x="816"/>
        <item x="470"/>
        <item x="262"/>
        <item x="205"/>
        <item x="802"/>
        <item x="729"/>
        <item x="730"/>
        <item x="751"/>
        <item x="279"/>
        <item x="266"/>
        <item x="322"/>
        <item x="810"/>
        <item x="713"/>
        <item x="225"/>
        <item x="28"/>
        <item x="490"/>
        <item x="74"/>
        <item x="118"/>
        <item x="427"/>
        <item x="606"/>
        <item x="436"/>
        <item x="723"/>
        <item x="158"/>
        <item x="556"/>
        <item x="812"/>
        <item x="777"/>
        <item x="42"/>
        <item x="485"/>
        <item x="693"/>
        <item x="200"/>
        <item x="247"/>
        <item x="246"/>
        <item x="660"/>
        <item x="677"/>
        <item x="333"/>
        <item x="3"/>
        <item x="16"/>
        <item x="494"/>
        <item x="395"/>
        <item x="799"/>
        <item x="355"/>
        <item x="168"/>
        <item x="367"/>
        <item x="570"/>
        <item x="287"/>
        <item x="221"/>
        <item x="682"/>
        <item x="626"/>
        <item x="154"/>
        <item x="658"/>
        <item x="512"/>
        <item x="611"/>
        <item x="231"/>
        <item x="465"/>
        <item x="202"/>
        <item x="235"/>
        <item x="324"/>
        <item x="533"/>
        <item x="134"/>
        <item x="289"/>
        <item x="520"/>
        <item x="725"/>
        <item x="614"/>
        <item x="504"/>
        <item x="435"/>
        <item x="393"/>
        <item x="709"/>
        <item x="307"/>
        <item x="434"/>
        <item x="370"/>
        <item x="105"/>
        <item x="478"/>
        <item x="380"/>
        <item x="148"/>
        <item x="135"/>
        <item x="731"/>
        <item x="663"/>
        <item x="698"/>
        <item x="253"/>
        <item x="461"/>
        <item x="817"/>
        <item x="732"/>
        <item x="191"/>
        <item x="86"/>
        <item x="811"/>
        <item x="710"/>
        <item x="18"/>
        <item x="62"/>
        <item x="565"/>
        <item x="514"/>
        <item x="764"/>
        <item x="129"/>
        <item x="160"/>
        <item x="280"/>
        <item x="681"/>
        <item x="750"/>
        <item x="444"/>
        <item x="793"/>
        <item x="248"/>
        <item x="32"/>
        <item x="292"/>
        <item x="394"/>
        <item x="591"/>
        <item x="759"/>
        <item x="80"/>
        <item x="588"/>
        <item x="546"/>
        <item x="607"/>
        <item x="414"/>
        <item x="291"/>
        <item x="691"/>
        <item x="593"/>
        <item x="185"/>
        <item x="316"/>
        <item x="803"/>
        <item x="664"/>
        <item x="749"/>
        <item x="220"/>
        <item x="288"/>
        <item x="598"/>
        <item x="572"/>
        <item x="315"/>
        <item x="157"/>
        <item x="27"/>
        <item x="87"/>
        <item x="423"/>
        <item x="758"/>
        <item x="492"/>
        <item x="173"/>
        <item x="228"/>
        <item x="702"/>
        <item x="625"/>
        <item x="786"/>
        <item x="142"/>
        <item x="384"/>
        <item x="452"/>
        <item x="493"/>
        <item x="715"/>
        <item x="692"/>
        <item x="152"/>
        <item x="362"/>
        <item x="174"/>
        <item x="829"/>
        <item x="486"/>
        <item x="705"/>
        <item x="408"/>
        <item x="610"/>
        <item x="551"/>
        <item x="65"/>
        <item x="386"/>
        <item x="454"/>
        <item x="50"/>
        <item x="117"/>
        <item x="60"/>
        <item x="766"/>
        <item x="787"/>
        <item x="229"/>
        <item x="17"/>
        <item x="602"/>
        <item x="133"/>
        <item x="398"/>
        <item x="442"/>
        <item x="779"/>
        <item x="151"/>
        <item x="456"/>
        <item x="35"/>
        <item x="47"/>
        <item x="387"/>
        <item x="620"/>
        <item x="579"/>
        <item x="719"/>
        <item x="110"/>
        <item x="604"/>
        <item x="473"/>
        <item x="475"/>
        <item x="209"/>
        <item x="416"/>
        <item x="374"/>
        <item x="548"/>
        <item x="740"/>
        <item x="270"/>
        <item x="527"/>
        <item x="244"/>
        <item x="534"/>
        <item x="499"/>
        <item x="269"/>
        <item x="563"/>
        <item x="281"/>
        <item x="361"/>
        <item x="120"/>
        <item x="410"/>
        <item x="357"/>
        <item x="753"/>
        <item x="510"/>
        <item x="453"/>
        <item x="706"/>
        <item x="531"/>
        <item x="61"/>
        <item x="375"/>
        <item x="81"/>
        <item x="283"/>
        <item x="592"/>
        <item x="824"/>
        <item x="583"/>
        <item x="516"/>
        <item x="224"/>
        <item x="560"/>
        <item x="646"/>
        <item x="425"/>
        <item x="75"/>
        <item x="500"/>
        <item x="311"/>
        <item x="634"/>
        <item x="177"/>
        <item x="585"/>
        <item x="22"/>
        <item x="483"/>
        <item x="637"/>
        <item x="576"/>
        <item x="388"/>
        <item x="728"/>
        <item x="260"/>
        <item x="642"/>
        <item x="102"/>
        <item x="95"/>
        <item x="376"/>
        <item x="30"/>
        <item x="497"/>
        <item x="747"/>
        <item x="400"/>
        <item x="505"/>
        <item x="259"/>
        <item x="595"/>
        <item x="476"/>
        <item x="308"/>
        <item x="0"/>
        <item x="309"/>
        <item x="192"/>
        <item x="199"/>
        <item x="567"/>
        <item x="474"/>
        <item x="44"/>
        <item x="334"/>
        <item x="371"/>
        <item x="472"/>
        <item x="679"/>
        <item x="338"/>
        <item x="164"/>
        <item x="584"/>
        <item x="823"/>
        <item x="296"/>
        <item x="184"/>
        <item x="659"/>
        <item x="24"/>
        <item x="541"/>
        <item x="365"/>
        <item x="536"/>
        <item x="170"/>
        <item x="822"/>
        <item x="535"/>
        <item x="778"/>
        <item x="460"/>
        <item x="742"/>
        <item x="666"/>
        <item x="697"/>
        <item x="704"/>
        <item x="285"/>
        <item x="596"/>
        <item x="372"/>
        <item x="284"/>
        <item x="54"/>
        <item x="518"/>
        <item x="274"/>
        <item x="268"/>
        <item x="801"/>
        <item x="181"/>
        <item x="126"/>
        <item x="744"/>
        <item x="774"/>
        <item x="648"/>
        <item x="58"/>
        <item x="557"/>
        <item x="545"/>
        <item x="207"/>
        <item x="482"/>
        <item x="335"/>
        <item x="113"/>
        <item x="788"/>
        <item x="657"/>
        <item x="825"/>
        <item x="94"/>
        <item x="755"/>
        <item x="67"/>
        <item x="549"/>
        <item x="379"/>
        <item x="267"/>
        <item x="123"/>
        <item x="618"/>
        <item x="554"/>
        <item x="252"/>
        <item x="49"/>
        <item x="767"/>
        <item x="459"/>
        <item x="166"/>
        <item x="78"/>
        <item x="210"/>
        <item x="632"/>
        <item x="230"/>
        <item x="624"/>
        <item x="183"/>
        <item x="421"/>
        <item x="64"/>
        <item x="674"/>
        <item x="480"/>
        <item x="55"/>
        <item x="83"/>
        <item x="240"/>
        <item x="700"/>
        <item x="540"/>
        <item x="638"/>
        <item x="523"/>
        <item x="119"/>
        <item x="21"/>
        <item x="31"/>
        <item x="701"/>
        <item x="19"/>
        <item x="368"/>
        <item x="783"/>
        <item x="294"/>
        <item x="507"/>
        <item x="640"/>
        <item x="508"/>
        <item x="447"/>
        <item x="542"/>
        <item x="72"/>
        <item x="559"/>
        <item x="455"/>
        <item x="245"/>
        <item x="769"/>
        <item x="448"/>
        <item x="746"/>
        <item x="415"/>
        <item x="257"/>
        <item x="79"/>
        <item x="178"/>
        <item x="600"/>
        <item x="672"/>
        <item x="59"/>
        <item x="656"/>
        <item x="180"/>
        <item x="555"/>
        <item x="138"/>
        <item x="176"/>
        <item x="761"/>
        <item x="5"/>
        <item x="785"/>
        <item x="198"/>
        <item x="708"/>
        <item x="272"/>
        <item x="137"/>
        <item x="580"/>
        <item x="121"/>
        <item x="101"/>
        <item x="613"/>
        <item x="477"/>
        <item x="684"/>
        <item x="668"/>
        <item x="537"/>
        <item x="578"/>
        <item x="558"/>
        <item x="645"/>
        <item x="647"/>
        <item x="369"/>
        <item x="251"/>
        <item x="171"/>
        <item x="828"/>
        <item x="726"/>
        <item x="330"/>
        <item x="145"/>
        <item x="255"/>
        <item x="385"/>
        <item x="628"/>
        <item x="553"/>
        <item x="352"/>
        <item x="1"/>
        <item x="348"/>
        <item x="727"/>
        <item x="776"/>
        <item x="661"/>
        <item x="304"/>
        <item x="488"/>
        <item x="215"/>
        <item x="440"/>
        <item x="271"/>
        <item x="179"/>
        <item x="206"/>
        <item x="741"/>
        <item x="413"/>
        <item x="278"/>
        <item x="273"/>
        <item x="804"/>
        <item x="85"/>
        <item x="155"/>
        <item x="366"/>
        <item x="122"/>
        <item x="53"/>
        <item x="241"/>
        <item x="792"/>
        <item x="193"/>
        <item x="631"/>
        <item x="762"/>
        <item x="612"/>
        <item x="8"/>
        <item x="211"/>
        <item x="15"/>
        <item x="147"/>
        <item x="780"/>
        <item x="347"/>
        <item x="100"/>
        <item x="153"/>
        <item x="318"/>
        <item x="73"/>
        <item x="652"/>
        <item x="703"/>
        <item x="112"/>
        <item x="519"/>
        <item x="529"/>
        <item x="305"/>
        <item x="615"/>
        <item x="735"/>
        <item x="20"/>
        <item x="621"/>
        <item x="530"/>
        <item x="295"/>
        <item x="82"/>
        <item x="332"/>
        <item x="141"/>
        <item x="390"/>
        <item x="11"/>
        <item x="402"/>
        <item x="38"/>
        <item x="373"/>
        <item x="573"/>
        <item x="633"/>
        <item x="525"/>
        <item x="643"/>
        <item x="321"/>
        <item x="51"/>
        <item x="163"/>
        <item x="131"/>
        <item x="605"/>
        <item x="539"/>
        <item x="575"/>
        <item x="405"/>
        <item x="782"/>
        <item x="721"/>
        <item x="820"/>
        <item x="826"/>
        <item x="237"/>
        <item x="234"/>
        <item x="140"/>
        <item x="748"/>
        <item x="688"/>
        <item x="678"/>
        <item x="538"/>
        <item t="default"/>
      </items>
    </pivotField>
    <pivotField numFmtId="14" showAll="0"/>
    <pivotField showAll="0"/>
    <pivotField showAll="0"/>
    <pivotField showAll="0">
      <items count="3">
        <item x="1"/>
        <item x="0"/>
        <item t="default"/>
      </items>
    </pivotField>
    <pivotField showAll="0">
      <items count="3">
        <item x="1"/>
        <item x="0"/>
        <item t="default"/>
      </items>
    </pivotField>
    <pivotField showAll="0">
      <items count="4">
        <item x="2"/>
        <item x="1"/>
        <item x="0"/>
        <item t="default"/>
      </items>
    </pivotField>
    <pivotField axis="axisRow" showAll="0">
      <items count="4">
        <item x="2"/>
        <item x="1"/>
        <item x="0"/>
        <item t="default"/>
      </items>
    </pivotField>
    <pivotField showAll="0">
      <items count="5">
        <item x="0"/>
        <item x="1"/>
        <item x="2"/>
        <item x="3"/>
        <item t="default"/>
      </items>
    </pivotField>
    <pivotField showAll="0">
      <items count="13">
        <item x="1"/>
        <item x="2"/>
        <item x="8"/>
        <item x="3"/>
        <item x="5"/>
        <item x="9"/>
        <item x="11"/>
        <item x="0"/>
        <item x="7"/>
        <item x="6"/>
        <item x="4"/>
        <item x="10"/>
        <item t="default"/>
      </items>
    </pivotField>
    <pivotField showAll="0">
      <items count="5">
        <item x="1"/>
        <item x="2"/>
        <item x="0"/>
        <item x="3"/>
        <item t="default"/>
      </items>
    </pivotField>
    <pivotField showAll="0"/>
    <pivotField showAll="0"/>
    <pivotField showAll="0"/>
    <pivotField showAll="0"/>
  </pivotFields>
  <rowFields count="1">
    <field x="8"/>
  </rowFields>
  <rowItems count="4">
    <i>
      <x/>
    </i>
    <i>
      <x v="1"/>
    </i>
    <i>
      <x v="2"/>
    </i>
    <i t="grand">
      <x/>
    </i>
  </rowItems>
  <colItems count="1">
    <i/>
  </colItems>
  <dataFields count="1">
    <dataField name="Count of customer_id" fld="1" subtotal="count" baseField="0" baseItem="0"/>
  </dataFields>
  <formats count="12">
    <format dxfId="144">
      <pivotArea type="all" dataOnly="0" outline="0" fieldPosition="0"/>
    </format>
    <format dxfId="143">
      <pivotArea outline="0" collapsedLevelsAreSubtotals="1" fieldPosition="0"/>
    </format>
    <format dxfId="142">
      <pivotArea field="8" type="button" dataOnly="0" labelOnly="1" outline="0" axis="axisRow" fieldPosition="0"/>
    </format>
    <format dxfId="141">
      <pivotArea dataOnly="0" labelOnly="1" fieldPosition="0">
        <references count="1">
          <reference field="8" count="0"/>
        </references>
      </pivotArea>
    </format>
    <format dxfId="140">
      <pivotArea dataOnly="0" labelOnly="1" grandRow="1" outline="0" fieldPosition="0"/>
    </format>
    <format dxfId="139">
      <pivotArea dataOnly="0" labelOnly="1" outline="0" axis="axisValues" fieldPosition="0"/>
    </format>
    <format dxfId="138">
      <pivotArea type="all" dataOnly="0" outline="0" fieldPosition="0"/>
    </format>
    <format dxfId="137">
      <pivotArea outline="0" collapsedLevelsAreSubtotals="1" fieldPosition="0"/>
    </format>
    <format dxfId="136">
      <pivotArea field="8" type="button" dataOnly="0" labelOnly="1" outline="0" axis="axisRow" fieldPosition="0"/>
    </format>
    <format dxfId="135">
      <pivotArea dataOnly="0" labelOnly="1" fieldPosition="0">
        <references count="1">
          <reference field="8" count="0"/>
        </references>
      </pivotArea>
    </format>
    <format dxfId="134">
      <pivotArea dataOnly="0" labelOnly="1" grandRow="1" outline="0" fieldPosition="0"/>
    </format>
    <format dxfId="133">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DEE6E39-044A-418E-9A7A-B6D234D4975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9:C13" firstHeaderRow="1" firstDataRow="1" firstDataCol="1"/>
  <pivotFields count="16">
    <pivotField showAll="0"/>
    <pivotField dataField="1" showAll="0">
      <items count="831">
        <item x="441"/>
        <item x="359"/>
        <item x="128"/>
        <item x="139"/>
        <item x="629"/>
        <item x="389"/>
        <item x="175"/>
        <item x="328"/>
        <item x="662"/>
        <item x="250"/>
        <item x="217"/>
        <item x="336"/>
        <item x="781"/>
        <item x="790"/>
        <item x="345"/>
        <item x="733"/>
        <item x="310"/>
        <item x="109"/>
        <item x="791"/>
        <item x="264"/>
        <item x="9"/>
        <item x="443"/>
        <item x="214"/>
        <item x="63"/>
        <item x="457"/>
        <item x="13"/>
        <item x="401"/>
        <item x="622"/>
        <item x="243"/>
        <item x="68"/>
        <item x="763"/>
        <item x="66"/>
        <item x="754"/>
        <item x="329"/>
        <item x="337"/>
        <item x="547"/>
        <item x="107"/>
        <item x="773"/>
        <item x="360"/>
        <item x="760"/>
        <item x="765"/>
        <item x="317"/>
        <item x="577"/>
        <item x="169"/>
        <item x="331"/>
        <item x="665"/>
        <item x="517"/>
        <item x="675"/>
        <item x="327"/>
        <item x="216"/>
        <item x="532"/>
        <item x="350"/>
        <item x="91"/>
        <item x="397"/>
        <item x="302"/>
        <item x="718"/>
        <item x="743"/>
        <item x="496"/>
        <item x="756"/>
        <item x="808"/>
        <item x="353"/>
        <item x="712"/>
        <item x="70"/>
        <item x="349"/>
        <item x="88"/>
        <item x="582"/>
        <item x="805"/>
        <item x="669"/>
        <item x="29"/>
        <item x="358"/>
        <item x="84"/>
        <item x="430"/>
        <item x="569"/>
        <item x="768"/>
        <item x="599"/>
        <item x="589"/>
        <item x="736"/>
        <item x="354"/>
        <item x="814"/>
        <item x="306"/>
        <item x="381"/>
        <item x="458"/>
        <item x="187"/>
        <item x="265"/>
        <item x="501"/>
        <item x="597"/>
        <item x="424"/>
        <item x="404"/>
        <item x="189"/>
        <item x="383"/>
        <item x="511"/>
        <item x="69"/>
        <item x="506"/>
        <item x="6"/>
        <item x="419"/>
        <item x="203"/>
        <item x="428"/>
        <item x="513"/>
        <item x="90"/>
        <item x="630"/>
        <item x="161"/>
        <item x="526"/>
        <item x="433"/>
        <item x="303"/>
        <item x="342"/>
        <item x="449"/>
        <item x="671"/>
        <item x="116"/>
        <item x="619"/>
        <item x="99"/>
        <item x="172"/>
        <item x="696"/>
        <item x="417"/>
        <item x="276"/>
        <item x="770"/>
        <item x="654"/>
        <item x="132"/>
        <item x="233"/>
        <item x="124"/>
        <item x="195"/>
        <item x="481"/>
        <item x="363"/>
        <item x="98"/>
        <item x="466"/>
        <item x="76"/>
        <item x="528"/>
        <item x="463"/>
        <item x="114"/>
        <item x="297"/>
        <item x="392"/>
        <item x="223"/>
        <item x="815"/>
        <item x="469"/>
        <item x="601"/>
        <item x="104"/>
        <item x="680"/>
        <item x="771"/>
        <item x="92"/>
        <item x="707"/>
        <item x="346"/>
        <item x="96"/>
        <item x="323"/>
        <item x="130"/>
        <item x="339"/>
        <item x="314"/>
        <item x="429"/>
        <item x="399"/>
        <item x="406"/>
        <item x="635"/>
        <item x="673"/>
        <item x="48"/>
        <item x="711"/>
        <item x="182"/>
        <item x="552"/>
        <item x="143"/>
        <item x="136"/>
        <item x="2"/>
        <item x="45"/>
        <item x="239"/>
        <item x="603"/>
        <item x="775"/>
        <item x="33"/>
        <item x="667"/>
        <item x="694"/>
        <item x="489"/>
        <item x="320"/>
        <item x="313"/>
        <item x="550"/>
        <item x="720"/>
        <item x="795"/>
        <item x="258"/>
        <item x="717"/>
        <item x="422"/>
        <item x="737"/>
        <item x="312"/>
        <item x="431"/>
        <item x="714"/>
        <item x="226"/>
        <item x="57"/>
        <item x="487"/>
        <item x="190"/>
        <item x="676"/>
        <item x="344"/>
        <item x="127"/>
        <item x="590"/>
        <item x="503"/>
        <item x="509"/>
        <item x="797"/>
        <item x="213"/>
        <item x="800"/>
        <item x="524"/>
        <item x="249"/>
        <item x="39"/>
        <item x="568"/>
        <item x="636"/>
        <item x="282"/>
        <item x="594"/>
        <item x="738"/>
        <item x="655"/>
        <item x="757"/>
        <item x="574"/>
        <item x="7"/>
        <item x="689"/>
        <item x="670"/>
        <item x="150"/>
        <item x="644"/>
        <item x="146"/>
        <item x="232"/>
        <item x="616"/>
        <item x="41"/>
        <item x="451"/>
        <item x="627"/>
        <item x="806"/>
        <item x="420"/>
        <item x="156"/>
        <item x="97"/>
        <item x="106"/>
        <item x="377"/>
        <item x="40"/>
        <item x="562"/>
        <item x="821"/>
        <item x="14"/>
        <item x="623"/>
        <item x="254"/>
        <item x="396"/>
        <item x="52"/>
        <item x="218"/>
        <item x="686"/>
        <item x="827"/>
        <item x="752"/>
        <item x="495"/>
        <item x="450"/>
        <item x="813"/>
        <item x="564"/>
        <item x="522"/>
        <item x="227"/>
        <item x="326"/>
        <item x="204"/>
        <item x="818"/>
        <item x="162"/>
        <item x="498"/>
        <item x="286"/>
        <item x="89"/>
        <item x="649"/>
        <item x="194"/>
        <item x="301"/>
        <item x="125"/>
        <item x="445"/>
        <item x="809"/>
        <item x="340"/>
        <item x="467"/>
        <item x="716"/>
        <item x="685"/>
        <item x="34"/>
        <item x="566"/>
        <item x="351"/>
        <item x="484"/>
        <item x="683"/>
        <item x="794"/>
        <item x="807"/>
        <item x="587"/>
        <item x="261"/>
        <item x="651"/>
        <item x="437"/>
        <item x="571"/>
        <item x="111"/>
        <item x="409"/>
        <item x="609"/>
        <item x="690"/>
        <item x="411"/>
        <item x="290"/>
        <item x="544"/>
        <item x="426"/>
        <item x="608"/>
        <item x="319"/>
        <item x="36"/>
        <item x="739"/>
        <item x="108"/>
        <item x="298"/>
        <item x="432"/>
        <item x="819"/>
        <item x="491"/>
        <item x="236"/>
        <item x="439"/>
        <item x="208"/>
        <item x="188"/>
        <item x="238"/>
        <item x="650"/>
        <item x="796"/>
        <item x="446"/>
        <item x="745"/>
        <item x="617"/>
        <item x="275"/>
        <item x="734"/>
        <item x="581"/>
        <item x="772"/>
        <item x="196"/>
        <item x="263"/>
        <item x="26"/>
        <item x="515"/>
        <item x="46"/>
        <item x="37"/>
        <item x="471"/>
        <item x="299"/>
        <item x="159"/>
        <item x="149"/>
        <item x="418"/>
        <item x="391"/>
        <item x="222"/>
        <item x="212"/>
        <item x="521"/>
        <item x="561"/>
        <item x="77"/>
        <item x="412"/>
        <item x="23"/>
        <item x="798"/>
        <item x="378"/>
        <item x="639"/>
        <item x="479"/>
        <item x="165"/>
        <item x="300"/>
        <item x="356"/>
        <item x="103"/>
        <item x="502"/>
        <item x="722"/>
        <item x="43"/>
        <item x="789"/>
        <item x="653"/>
        <item x="144"/>
        <item x="784"/>
        <item x="293"/>
        <item x="464"/>
        <item x="186"/>
        <item x="201"/>
        <item x="277"/>
        <item x="586"/>
        <item x="10"/>
        <item x="468"/>
        <item x="407"/>
        <item x="242"/>
        <item x="25"/>
        <item x="115"/>
        <item x="325"/>
        <item x="382"/>
        <item x="364"/>
        <item x="256"/>
        <item x="438"/>
        <item x="341"/>
        <item x="12"/>
        <item x="695"/>
        <item x="699"/>
        <item x="687"/>
        <item x="343"/>
        <item x="219"/>
        <item x="543"/>
        <item x="167"/>
        <item x="4"/>
        <item x="724"/>
        <item x="403"/>
        <item x="71"/>
        <item x="56"/>
        <item x="641"/>
        <item x="197"/>
        <item x="93"/>
        <item x="462"/>
        <item x="816"/>
        <item x="470"/>
        <item x="262"/>
        <item x="205"/>
        <item x="802"/>
        <item x="729"/>
        <item x="730"/>
        <item x="751"/>
        <item x="279"/>
        <item x="266"/>
        <item x="322"/>
        <item x="810"/>
        <item x="713"/>
        <item x="225"/>
        <item x="28"/>
        <item x="490"/>
        <item x="74"/>
        <item x="118"/>
        <item x="427"/>
        <item x="606"/>
        <item x="436"/>
        <item x="723"/>
        <item x="158"/>
        <item x="556"/>
        <item x="812"/>
        <item x="777"/>
        <item x="42"/>
        <item x="485"/>
        <item x="693"/>
        <item x="200"/>
        <item x="247"/>
        <item x="246"/>
        <item x="660"/>
        <item x="677"/>
        <item x="333"/>
        <item x="3"/>
        <item x="16"/>
        <item x="494"/>
        <item x="395"/>
        <item x="799"/>
        <item x="355"/>
        <item x="168"/>
        <item x="367"/>
        <item x="570"/>
        <item x="287"/>
        <item x="221"/>
        <item x="682"/>
        <item x="626"/>
        <item x="154"/>
        <item x="658"/>
        <item x="512"/>
        <item x="611"/>
        <item x="231"/>
        <item x="465"/>
        <item x="202"/>
        <item x="235"/>
        <item x="324"/>
        <item x="533"/>
        <item x="134"/>
        <item x="289"/>
        <item x="520"/>
        <item x="725"/>
        <item x="614"/>
        <item x="504"/>
        <item x="435"/>
        <item x="393"/>
        <item x="709"/>
        <item x="307"/>
        <item x="434"/>
        <item x="370"/>
        <item x="105"/>
        <item x="478"/>
        <item x="380"/>
        <item x="148"/>
        <item x="135"/>
        <item x="731"/>
        <item x="663"/>
        <item x="698"/>
        <item x="253"/>
        <item x="461"/>
        <item x="817"/>
        <item x="732"/>
        <item x="191"/>
        <item x="86"/>
        <item x="811"/>
        <item x="710"/>
        <item x="18"/>
        <item x="62"/>
        <item x="565"/>
        <item x="514"/>
        <item x="764"/>
        <item x="129"/>
        <item x="160"/>
        <item x="280"/>
        <item x="681"/>
        <item x="750"/>
        <item x="444"/>
        <item x="793"/>
        <item x="248"/>
        <item x="32"/>
        <item x="292"/>
        <item x="394"/>
        <item x="591"/>
        <item x="759"/>
        <item x="80"/>
        <item x="588"/>
        <item x="546"/>
        <item x="607"/>
        <item x="414"/>
        <item x="291"/>
        <item x="691"/>
        <item x="593"/>
        <item x="185"/>
        <item x="316"/>
        <item x="803"/>
        <item x="664"/>
        <item x="749"/>
        <item x="220"/>
        <item x="288"/>
        <item x="598"/>
        <item x="572"/>
        <item x="315"/>
        <item x="157"/>
        <item x="27"/>
        <item x="87"/>
        <item x="423"/>
        <item x="758"/>
        <item x="492"/>
        <item x="173"/>
        <item x="228"/>
        <item x="702"/>
        <item x="625"/>
        <item x="786"/>
        <item x="142"/>
        <item x="384"/>
        <item x="452"/>
        <item x="493"/>
        <item x="715"/>
        <item x="692"/>
        <item x="152"/>
        <item x="362"/>
        <item x="174"/>
        <item x="829"/>
        <item x="486"/>
        <item x="705"/>
        <item x="408"/>
        <item x="610"/>
        <item x="551"/>
        <item x="65"/>
        <item x="386"/>
        <item x="454"/>
        <item x="50"/>
        <item x="117"/>
        <item x="60"/>
        <item x="766"/>
        <item x="787"/>
        <item x="229"/>
        <item x="17"/>
        <item x="602"/>
        <item x="133"/>
        <item x="398"/>
        <item x="442"/>
        <item x="779"/>
        <item x="151"/>
        <item x="456"/>
        <item x="35"/>
        <item x="47"/>
        <item x="387"/>
        <item x="620"/>
        <item x="579"/>
        <item x="719"/>
        <item x="110"/>
        <item x="604"/>
        <item x="473"/>
        <item x="475"/>
        <item x="209"/>
        <item x="416"/>
        <item x="374"/>
        <item x="548"/>
        <item x="740"/>
        <item x="270"/>
        <item x="527"/>
        <item x="244"/>
        <item x="534"/>
        <item x="499"/>
        <item x="269"/>
        <item x="563"/>
        <item x="281"/>
        <item x="361"/>
        <item x="120"/>
        <item x="410"/>
        <item x="357"/>
        <item x="753"/>
        <item x="510"/>
        <item x="453"/>
        <item x="706"/>
        <item x="531"/>
        <item x="61"/>
        <item x="375"/>
        <item x="81"/>
        <item x="283"/>
        <item x="592"/>
        <item x="824"/>
        <item x="583"/>
        <item x="516"/>
        <item x="224"/>
        <item x="560"/>
        <item x="646"/>
        <item x="425"/>
        <item x="75"/>
        <item x="500"/>
        <item x="311"/>
        <item x="634"/>
        <item x="177"/>
        <item x="585"/>
        <item x="22"/>
        <item x="483"/>
        <item x="637"/>
        <item x="576"/>
        <item x="388"/>
        <item x="728"/>
        <item x="260"/>
        <item x="642"/>
        <item x="102"/>
        <item x="95"/>
        <item x="376"/>
        <item x="30"/>
        <item x="497"/>
        <item x="747"/>
        <item x="400"/>
        <item x="505"/>
        <item x="259"/>
        <item x="595"/>
        <item x="476"/>
        <item x="308"/>
        <item x="0"/>
        <item x="309"/>
        <item x="192"/>
        <item x="199"/>
        <item x="567"/>
        <item x="474"/>
        <item x="44"/>
        <item x="334"/>
        <item x="371"/>
        <item x="472"/>
        <item x="679"/>
        <item x="338"/>
        <item x="164"/>
        <item x="584"/>
        <item x="823"/>
        <item x="296"/>
        <item x="184"/>
        <item x="659"/>
        <item x="24"/>
        <item x="541"/>
        <item x="365"/>
        <item x="536"/>
        <item x="170"/>
        <item x="822"/>
        <item x="535"/>
        <item x="778"/>
        <item x="460"/>
        <item x="742"/>
        <item x="666"/>
        <item x="697"/>
        <item x="704"/>
        <item x="285"/>
        <item x="596"/>
        <item x="372"/>
        <item x="284"/>
        <item x="54"/>
        <item x="518"/>
        <item x="274"/>
        <item x="268"/>
        <item x="801"/>
        <item x="181"/>
        <item x="126"/>
        <item x="744"/>
        <item x="774"/>
        <item x="648"/>
        <item x="58"/>
        <item x="557"/>
        <item x="545"/>
        <item x="207"/>
        <item x="482"/>
        <item x="335"/>
        <item x="113"/>
        <item x="788"/>
        <item x="657"/>
        <item x="825"/>
        <item x="94"/>
        <item x="755"/>
        <item x="67"/>
        <item x="549"/>
        <item x="379"/>
        <item x="267"/>
        <item x="123"/>
        <item x="618"/>
        <item x="554"/>
        <item x="252"/>
        <item x="49"/>
        <item x="767"/>
        <item x="459"/>
        <item x="166"/>
        <item x="78"/>
        <item x="210"/>
        <item x="632"/>
        <item x="230"/>
        <item x="624"/>
        <item x="183"/>
        <item x="421"/>
        <item x="64"/>
        <item x="674"/>
        <item x="480"/>
        <item x="55"/>
        <item x="83"/>
        <item x="240"/>
        <item x="700"/>
        <item x="540"/>
        <item x="638"/>
        <item x="523"/>
        <item x="119"/>
        <item x="21"/>
        <item x="31"/>
        <item x="701"/>
        <item x="19"/>
        <item x="368"/>
        <item x="783"/>
        <item x="294"/>
        <item x="507"/>
        <item x="640"/>
        <item x="508"/>
        <item x="447"/>
        <item x="542"/>
        <item x="72"/>
        <item x="559"/>
        <item x="455"/>
        <item x="245"/>
        <item x="769"/>
        <item x="448"/>
        <item x="746"/>
        <item x="415"/>
        <item x="257"/>
        <item x="79"/>
        <item x="178"/>
        <item x="600"/>
        <item x="672"/>
        <item x="59"/>
        <item x="656"/>
        <item x="180"/>
        <item x="555"/>
        <item x="138"/>
        <item x="176"/>
        <item x="761"/>
        <item x="5"/>
        <item x="785"/>
        <item x="198"/>
        <item x="708"/>
        <item x="272"/>
        <item x="137"/>
        <item x="580"/>
        <item x="121"/>
        <item x="101"/>
        <item x="613"/>
        <item x="477"/>
        <item x="684"/>
        <item x="668"/>
        <item x="537"/>
        <item x="578"/>
        <item x="558"/>
        <item x="645"/>
        <item x="647"/>
        <item x="369"/>
        <item x="251"/>
        <item x="171"/>
        <item x="828"/>
        <item x="726"/>
        <item x="330"/>
        <item x="145"/>
        <item x="255"/>
        <item x="385"/>
        <item x="628"/>
        <item x="553"/>
        <item x="352"/>
        <item x="1"/>
        <item x="348"/>
        <item x="727"/>
        <item x="776"/>
        <item x="661"/>
        <item x="304"/>
        <item x="488"/>
        <item x="215"/>
        <item x="440"/>
        <item x="271"/>
        <item x="179"/>
        <item x="206"/>
        <item x="741"/>
        <item x="413"/>
        <item x="278"/>
        <item x="273"/>
        <item x="804"/>
        <item x="85"/>
        <item x="155"/>
        <item x="366"/>
        <item x="122"/>
        <item x="53"/>
        <item x="241"/>
        <item x="792"/>
        <item x="193"/>
        <item x="631"/>
        <item x="762"/>
        <item x="612"/>
        <item x="8"/>
        <item x="211"/>
        <item x="15"/>
        <item x="147"/>
        <item x="780"/>
        <item x="347"/>
        <item x="100"/>
        <item x="153"/>
        <item x="318"/>
        <item x="73"/>
        <item x="652"/>
        <item x="703"/>
        <item x="112"/>
        <item x="519"/>
        <item x="529"/>
        <item x="305"/>
        <item x="615"/>
        <item x="735"/>
        <item x="20"/>
        <item x="621"/>
        <item x="530"/>
        <item x="295"/>
        <item x="82"/>
        <item x="332"/>
        <item x="141"/>
        <item x="390"/>
        <item x="11"/>
        <item x="402"/>
        <item x="38"/>
        <item x="373"/>
        <item x="573"/>
        <item x="633"/>
        <item x="525"/>
        <item x="643"/>
        <item x="321"/>
        <item x="51"/>
        <item x="163"/>
        <item x="131"/>
        <item x="605"/>
        <item x="539"/>
        <item x="575"/>
        <item x="405"/>
        <item x="782"/>
        <item x="721"/>
        <item x="820"/>
        <item x="826"/>
        <item x="237"/>
        <item x="234"/>
        <item x="140"/>
        <item x="748"/>
        <item x="688"/>
        <item x="678"/>
        <item x="538"/>
        <item t="default"/>
      </items>
    </pivotField>
    <pivotField numFmtId="14" showAll="0"/>
    <pivotField showAll="0"/>
    <pivotField showAll="0"/>
    <pivotField showAll="0">
      <items count="3">
        <item x="1"/>
        <item x="0"/>
        <item t="default"/>
      </items>
    </pivotField>
    <pivotField showAll="0"/>
    <pivotField axis="axisRow" showAll="0">
      <items count="4">
        <item x="2"/>
        <item x="1"/>
        <item x="0"/>
        <item t="default"/>
      </items>
    </pivotField>
    <pivotField showAll="0">
      <items count="4">
        <item x="2"/>
        <item x="1"/>
        <item x="0"/>
        <item t="default"/>
      </items>
    </pivotField>
    <pivotField showAll="0">
      <items count="5">
        <item x="0"/>
        <item x="1"/>
        <item x="2"/>
        <item x="3"/>
        <item t="default"/>
      </items>
    </pivotField>
    <pivotField showAll="0">
      <items count="13">
        <item x="1"/>
        <item x="2"/>
        <item x="8"/>
        <item x="3"/>
        <item x="5"/>
        <item x="9"/>
        <item x="11"/>
        <item x="0"/>
        <item x="7"/>
        <item x="6"/>
        <item x="4"/>
        <item x="10"/>
        <item t="default"/>
      </items>
    </pivotField>
    <pivotField showAll="0">
      <items count="5">
        <item x="1"/>
        <item x="2"/>
        <item x="0"/>
        <item x="3"/>
        <item t="default"/>
      </items>
    </pivotField>
    <pivotField showAll="0"/>
    <pivotField showAll="0"/>
    <pivotField showAll="0"/>
    <pivotField showAll="0"/>
  </pivotFields>
  <rowFields count="1">
    <field x="7"/>
  </rowFields>
  <rowItems count="4">
    <i>
      <x/>
    </i>
    <i>
      <x v="1"/>
    </i>
    <i>
      <x v="2"/>
    </i>
    <i t="grand">
      <x/>
    </i>
  </rowItems>
  <colItems count="1">
    <i/>
  </colItems>
  <dataFields count="1">
    <dataField name="Count of customer_id" fld="1" subtotal="count" baseField="0" baseItem="0"/>
  </dataFields>
  <formats count="12">
    <format dxfId="156">
      <pivotArea type="all" dataOnly="0" outline="0" fieldPosition="0"/>
    </format>
    <format dxfId="155">
      <pivotArea outline="0" collapsedLevelsAreSubtotals="1" fieldPosition="0"/>
    </format>
    <format dxfId="154">
      <pivotArea field="7" type="button" dataOnly="0" labelOnly="1" outline="0" axis="axisRow" fieldPosition="0"/>
    </format>
    <format dxfId="153">
      <pivotArea dataOnly="0" labelOnly="1" fieldPosition="0">
        <references count="1">
          <reference field="7" count="0"/>
        </references>
      </pivotArea>
    </format>
    <format dxfId="152">
      <pivotArea dataOnly="0" labelOnly="1" grandRow="1" outline="0" fieldPosition="0"/>
    </format>
    <format dxfId="151">
      <pivotArea dataOnly="0" labelOnly="1" outline="0" axis="axisValues" fieldPosition="0"/>
    </format>
    <format dxfId="150">
      <pivotArea type="all" dataOnly="0" outline="0" fieldPosition="0"/>
    </format>
    <format dxfId="149">
      <pivotArea outline="0" collapsedLevelsAreSubtotals="1" fieldPosition="0"/>
    </format>
    <format dxfId="148">
      <pivotArea field="7" type="button" dataOnly="0" labelOnly="1" outline="0" axis="axisRow" fieldPosition="0"/>
    </format>
    <format dxfId="147">
      <pivotArea dataOnly="0" labelOnly="1" fieldPosition="0">
        <references count="1">
          <reference field="7" count="0"/>
        </references>
      </pivotArea>
    </format>
    <format dxfId="146">
      <pivotArea dataOnly="0" labelOnly="1" grandRow="1" outline="0" fieldPosition="0"/>
    </format>
    <format dxfId="145">
      <pivotArea dataOnly="0" labelOnly="1" outline="0" axis="axisValues" fieldPosition="0"/>
    </format>
  </format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7" count="1" selected="0">
            <x v="0"/>
          </reference>
        </references>
      </pivotArea>
    </chartFormat>
    <chartFormat chart="3" format="7">
      <pivotArea type="data" outline="0" fieldPosition="0">
        <references count="2">
          <reference field="4294967294" count="1" selected="0">
            <x v="0"/>
          </reference>
          <reference field="7" count="1" selected="0">
            <x v="1"/>
          </reference>
        </references>
      </pivotArea>
    </chartFormat>
    <chartFormat chart="3" format="8">
      <pivotArea type="data" outline="0" fieldPosition="0">
        <references count="2">
          <reference field="4294967294" count="1" selected="0">
            <x v="0"/>
          </reference>
          <reference field="7" count="1" selected="0">
            <x v="2"/>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4F158F0-1599-4B83-93DA-DBC523657E1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L29:M32" firstHeaderRow="1" firstDataRow="1" firstDataCol="1"/>
  <pivotFields count="16">
    <pivotField showAll="0"/>
    <pivotField dataField="1" showAll="0">
      <items count="831">
        <item x="441"/>
        <item x="359"/>
        <item x="128"/>
        <item x="139"/>
        <item x="629"/>
        <item x="389"/>
        <item x="175"/>
        <item x="328"/>
        <item x="662"/>
        <item x="250"/>
        <item x="217"/>
        <item x="336"/>
        <item x="781"/>
        <item x="790"/>
        <item x="345"/>
        <item x="733"/>
        <item x="310"/>
        <item x="109"/>
        <item x="791"/>
        <item x="264"/>
        <item x="9"/>
        <item x="443"/>
        <item x="214"/>
        <item x="63"/>
        <item x="457"/>
        <item x="13"/>
        <item x="401"/>
        <item x="622"/>
        <item x="243"/>
        <item x="68"/>
        <item x="763"/>
        <item x="66"/>
        <item x="754"/>
        <item x="329"/>
        <item x="337"/>
        <item x="547"/>
        <item x="107"/>
        <item x="773"/>
        <item x="360"/>
        <item x="760"/>
        <item x="765"/>
        <item x="317"/>
        <item x="577"/>
        <item x="169"/>
        <item x="331"/>
        <item x="665"/>
        <item x="517"/>
        <item x="675"/>
        <item x="327"/>
        <item x="216"/>
        <item x="532"/>
        <item x="350"/>
        <item x="91"/>
        <item x="397"/>
        <item x="302"/>
        <item x="718"/>
        <item x="743"/>
        <item x="496"/>
        <item x="756"/>
        <item x="808"/>
        <item x="353"/>
        <item x="712"/>
        <item x="70"/>
        <item x="349"/>
        <item x="88"/>
        <item x="582"/>
        <item x="805"/>
        <item x="669"/>
        <item x="29"/>
        <item x="358"/>
        <item x="84"/>
        <item x="430"/>
        <item x="569"/>
        <item x="768"/>
        <item x="599"/>
        <item x="589"/>
        <item x="736"/>
        <item x="354"/>
        <item x="814"/>
        <item x="306"/>
        <item x="381"/>
        <item x="458"/>
        <item x="187"/>
        <item x="265"/>
        <item x="501"/>
        <item x="597"/>
        <item x="424"/>
        <item x="404"/>
        <item x="189"/>
        <item x="383"/>
        <item x="511"/>
        <item x="69"/>
        <item x="506"/>
        <item x="6"/>
        <item x="419"/>
        <item x="203"/>
        <item x="428"/>
        <item x="513"/>
        <item x="90"/>
        <item x="630"/>
        <item x="161"/>
        <item x="526"/>
        <item x="433"/>
        <item x="303"/>
        <item x="342"/>
        <item x="449"/>
        <item x="671"/>
        <item x="116"/>
        <item x="619"/>
        <item x="99"/>
        <item x="172"/>
        <item x="696"/>
        <item x="417"/>
        <item x="276"/>
        <item x="770"/>
        <item x="654"/>
        <item x="132"/>
        <item x="233"/>
        <item x="124"/>
        <item x="195"/>
        <item x="481"/>
        <item x="363"/>
        <item x="98"/>
        <item x="466"/>
        <item x="76"/>
        <item x="528"/>
        <item x="463"/>
        <item x="114"/>
        <item x="297"/>
        <item x="392"/>
        <item x="223"/>
        <item x="815"/>
        <item x="469"/>
        <item x="601"/>
        <item x="104"/>
        <item x="680"/>
        <item x="771"/>
        <item x="92"/>
        <item x="707"/>
        <item x="346"/>
        <item x="96"/>
        <item x="323"/>
        <item x="130"/>
        <item x="339"/>
        <item x="314"/>
        <item x="429"/>
        <item x="399"/>
        <item x="406"/>
        <item x="635"/>
        <item x="673"/>
        <item x="48"/>
        <item x="711"/>
        <item x="182"/>
        <item x="552"/>
        <item x="143"/>
        <item x="136"/>
        <item x="2"/>
        <item x="45"/>
        <item x="239"/>
        <item x="603"/>
        <item x="775"/>
        <item x="33"/>
        <item x="667"/>
        <item x="694"/>
        <item x="489"/>
        <item x="320"/>
        <item x="313"/>
        <item x="550"/>
        <item x="720"/>
        <item x="795"/>
        <item x="258"/>
        <item x="717"/>
        <item x="422"/>
        <item x="737"/>
        <item x="312"/>
        <item x="431"/>
        <item x="714"/>
        <item x="226"/>
        <item x="57"/>
        <item x="487"/>
        <item x="190"/>
        <item x="676"/>
        <item x="344"/>
        <item x="127"/>
        <item x="590"/>
        <item x="503"/>
        <item x="509"/>
        <item x="797"/>
        <item x="213"/>
        <item x="800"/>
        <item x="524"/>
        <item x="249"/>
        <item x="39"/>
        <item x="568"/>
        <item x="636"/>
        <item x="282"/>
        <item x="594"/>
        <item x="738"/>
        <item x="655"/>
        <item x="757"/>
        <item x="574"/>
        <item x="7"/>
        <item x="689"/>
        <item x="670"/>
        <item x="150"/>
        <item x="644"/>
        <item x="146"/>
        <item x="232"/>
        <item x="616"/>
        <item x="41"/>
        <item x="451"/>
        <item x="627"/>
        <item x="806"/>
        <item x="420"/>
        <item x="156"/>
        <item x="97"/>
        <item x="106"/>
        <item x="377"/>
        <item x="40"/>
        <item x="562"/>
        <item x="821"/>
        <item x="14"/>
        <item x="623"/>
        <item x="254"/>
        <item x="396"/>
        <item x="52"/>
        <item x="218"/>
        <item x="686"/>
        <item x="827"/>
        <item x="752"/>
        <item x="495"/>
        <item x="450"/>
        <item x="813"/>
        <item x="564"/>
        <item x="522"/>
        <item x="227"/>
        <item x="326"/>
        <item x="204"/>
        <item x="818"/>
        <item x="162"/>
        <item x="498"/>
        <item x="286"/>
        <item x="89"/>
        <item x="649"/>
        <item x="194"/>
        <item x="301"/>
        <item x="125"/>
        <item x="445"/>
        <item x="809"/>
        <item x="340"/>
        <item x="467"/>
        <item x="716"/>
        <item x="685"/>
        <item x="34"/>
        <item x="566"/>
        <item x="351"/>
        <item x="484"/>
        <item x="683"/>
        <item x="794"/>
        <item x="807"/>
        <item x="587"/>
        <item x="261"/>
        <item x="651"/>
        <item x="437"/>
        <item x="571"/>
        <item x="111"/>
        <item x="409"/>
        <item x="609"/>
        <item x="690"/>
        <item x="411"/>
        <item x="290"/>
        <item x="544"/>
        <item x="426"/>
        <item x="608"/>
        <item x="319"/>
        <item x="36"/>
        <item x="739"/>
        <item x="108"/>
        <item x="298"/>
        <item x="432"/>
        <item x="819"/>
        <item x="491"/>
        <item x="236"/>
        <item x="439"/>
        <item x="208"/>
        <item x="188"/>
        <item x="238"/>
        <item x="650"/>
        <item x="796"/>
        <item x="446"/>
        <item x="745"/>
        <item x="617"/>
        <item x="275"/>
        <item x="734"/>
        <item x="581"/>
        <item x="772"/>
        <item x="196"/>
        <item x="263"/>
        <item x="26"/>
        <item x="515"/>
        <item x="46"/>
        <item x="37"/>
        <item x="471"/>
        <item x="299"/>
        <item x="159"/>
        <item x="149"/>
        <item x="418"/>
        <item x="391"/>
        <item x="222"/>
        <item x="212"/>
        <item x="521"/>
        <item x="561"/>
        <item x="77"/>
        <item x="412"/>
        <item x="23"/>
        <item x="798"/>
        <item x="378"/>
        <item x="639"/>
        <item x="479"/>
        <item x="165"/>
        <item x="300"/>
        <item x="356"/>
        <item x="103"/>
        <item x="502"/>
        <item x="722"/>
        <item x="43"/>
        <item x="789"/>
        <item x="653"/>
        <item x="144"/>
        <item x="784"/>
        <item x="293"/>
        <item x="464"/>
        <item x="186"/>
        <item x="201"/>
        <item x="277"/>
        <item x="586"/>
        <item x="10"/>
        <item x="468"/>
        <item x="407"/>
        <item x="242"/>
        <item x="25"/>
        <item x="115"/>
        <item x="325"/>
        <item x="382"/>
        <item x="364"/>
        <item x="256"/>
        <item x="438"/>
        <item x="341"/>
        <item x="12"/>
        <item x="695"/>
        <item x="699"/>
        <item x="687"/>
        <item x="343"/>
        <item x="219"/>
        <item x="543"/>
        <item x="167"/>
        <item x="4"/>
        <item x="724"/>
        <item x="403"/>
        <item x="71"/>
        <item x="56"/>
        <item x="641"/>
        <item x="197"/>
        <item x="93"/>
        <item x="462"/>
        <item x="816"/>
        <item x="470"/>
        <item x="262"/>
        <item x="205"/>
        <item x="802"/>
        <item x="729"/>
        <item x="730"/>
        <item x="751"/>
        <item x="279"/>
        <item x="266"/>
        <item x="322"/>
        <item x="810"/>
        <item x="713"/>
        <item x="225"/>
        <item x="28"/>
        <item x="490"/>
        <item x="74"/>
        <item x="118"/>
        <item x="427"/>
        <item x="606"/>
        <item x="436"/>
        <item x="723"/>
        <item x="158"/>
        <item x="556"/>
        <item x="812"/>
        <item x="777"/>
        <item x="42"/>
        <item x="485"/>
        <item x="693"/>
        <item x="200"/>
        <item x="247"/>
        <item x="246"/>
        <item x="660"/>
        <item x="677"/>
        <item x="333"/>
        <item x="3"/>
        <item x="16"/>
        <item x="494"/>
        <item x="395"/>
        <item x="799"/>
        <item x="355"/>
        <item x="168"/>
        <item x="367"/>
        <item x="570"/>
        <item x="287"/>
        <item x="221"/>
        <item x="682"/>
        <item x="626"/>
        <item x="154"/>
        <item x="658"/>
        <item x="512"/>
        <item x="611"/>
        <item x="231"/>
        <item x="465"/>
        <item x="202"/>
        <item x="235"/>
        <item x="324"/>
        <item x="533"/>
        <item x="134"/>
        <item x="289"/>
        <item x="520"/>
        <item x="725"/>
        <item x="614"/>
        <item x="504"/>
        <item x="435"/>
        <item x="393"/>
        <item x="709"/>
        <item x="307"/>
        <item x="434"/>
        <item x="370"/>
        <item x="105"/>
        <item x="478"/>
        <item x="380"/>
        <item x="148"/>
        <item x="135"/>
        <item x="731"/>
        <item x="663"/>
        <item x="698"/>
        <item x="253"/>
        <item x="461"/>
        <item x="817"/>
        <item x="732"/>
        <item x="191"/>
        <item x="86"/>
        <item x="811"/>
        <item x="710"/>
        <item x="18"/>
        <item x="62"/>
        <item x="565"/>
        <item x="514"/>
        <item x="764"/>
        <item x="129"/>
        <item x="160"/>
        <item x="280"/>
        <item x="681"/>
        <item x="750"/>
        <item x="444"/>
        <item x="793"/>
        <item x="248"/>
        <item x="32"/>
        <item x="292"/>
        <item x="394"/>
        <item x="591"/>
        <item x="759"/>
        <item x="80"/>
        <item x="588"/>
        <item x="546"/>
        <item x="607"/>
        <item x="414"/>
        <item x="291"/>
        <item x="691"/>
        <item x="593"/>
        <item x="185"/>
        <item x="316"/>
        <item x="803"/>
        <item x="664"/>
        <item x="749"/>
        <item x="220"/>
        <item x="288"/>
        <item x="598"/>
        <item x="572"/>
        <item x="315"/>
        <item x="157"/>
        <item x="27"/>
        <item x="87"/>
        <item x="423"/>
        <item x="758"/>
        <item x="492"/>
        <item x="173"/>
        <item x="228"/>
        <item x="702"/>
        <item x="625"/>
        <item x="786"/>
        <item x="142"/>
        <item x="384"/>
        <item x="452"/>
        <item x="493"/>
        <item x="715"/>
        <item x="692"/>
        <item x="152"/>
        <item x="362"/>
        <item x="174"/>
        <item x="829"/>
        <item x="486"/>
        <item x="705"/>
        <item x="408"/>
        <item x="610"/>
        <item x="551"/>
        <item x="65"/>
        <item x="386"/>
        <item x="454"/>
        <item x="50"/>
        <item x="117"/>
        <item x="60"/>
        <item x="766"/>
        <item x="787"/>
        <item x="229"/>
        <item x="17"/>
        <item x="602"/>
        <item x="133"/>
        <item x="398"/>
        <item x="442"/>
        <item x="779"/>
        <item x="151"/>
        <item x="456"/>
        <item x="35"/>
        <item x="47"/>
        <item x="387"/>
        <item x="620"/>
        <item x="579"/>
        <item x="719"/>
        <item x="110"/>
        <item x="604"/>
        <item x="473"/>
        <item x="475"/>
        <item x="209"/>
        <item x="416"/>
        <item x="374"/>
        <item x="548"/>
        <item x="740"/>
        <item x="270"/>
        <item x="527"/>
        <item x="244"/>
        <item x="534"/>
        <item x="499"/>
        <item x="269"/>
        <item x="563"/>
        <item x="281"/>
        <item x="361"/>
        <item x="120"/>
        <item x="410"/>
        <item x="357"/>
        <item x="753"/>
        <item x="510"/>
        <item x="453"/>
        <item x="706"/>
        <item x="531"/>
        <item x="61"/>
        <item x="375"/>
        <item x="81"/>
        <item x="283"/>
        <item x="592"/>
        <item x="824"/>
        <item x="583"/>
        <item x="516"/>
        <item x="224"/>
        <item x="560"/>
        <item x="646"/>
        <item x="425"/>
        <item x="75"/>
        <item x="500"/>
        <item x="311"/>
        <item x="634"/>
        <item x="177"/>
        <item x="585"/>
        <item x="22"/>
        <item x="483"/>
        <item x="637"/>
        <item x="576"/>
        <item x="388"/>
        <item x="728"/>
        <item x="260"/>
        <item x="642"/>
        <item x="102"/>
        <item x="95"/>
        <item x="376"/>
        <item x="30"/>
        <item x="497"/>
        <item x="747"/>
        <item x="400"/>
        <item x="505"/>
        <item x="259"/>
        <item x="595"/>
        <item x="476"/>
        <item x="308"/>
        <item x="0"/>
        <item x="309"/>
        <item x="192"/>
        <item x="199"/>
        <item x="567"/>
        <item x="474"/>
        <item x="44"/>
        <item x="334"/>
        <item x="371"/>
        <item x="472"/>
        <item x="679"/>
        <item x="338"/>
        <item x="164"/>
        <item x="584"/>
        <item x="823"/>
        <item x="296"/>
        <item x="184"/>
        <item x="659"/>
        <item x="24"/>
        <item x="541"/>
        <item x="365"/>
        <item x="536"/>
        <item x="170"/>
        <item x="822"/>
        <item x="535"/>
        <item x="778"/>
        <item x="460"/>
        <item x="742"/>
        <item x="666"/>
        <item x="697"/>
        <item x="704"/>
        <item x="285"/>
        <item x="596"/>
        <item x="372"/>
        <item x="284"/>
        <item x="54"/>
        <item x="518"/>
        <item x="274"/>
        <item x="268"/>
        <item x="801"/>
        <item x="181"/>
        <item x="126"/>
        <item x="744"/>
        <item x="774"/>
        <item x="648"/>
        <item x="58"/>
        <item x="557"/>
        <item x="545"/>
        <item x="207"/>
        <item x="482"/>
        <item x="335"/>
        <item x="113"/>
        <item x="788"/>
        <item x="657"/>
        <item x="825"/>
        <item x="94"/>
        <item x="755"/>
        <item x="67"/>
        <item x="549"/>
        <item x="379"/>
        <item x="267"/>
        <item x="123"/>
        <item x="618"/>
        <item x="554"/>
        <item x="252"/>
        <item x="49"/>
        <item x="767"/>
        <item x="459"/>
        <item x="166"/>
        <item x="78"/>
        <item x="210"/>
        <item x="632"/>
        <item x="230"/>
        <item x="624"/>
        <item x="183"/>
        <item x="421"/>
        <item x="64"/>
        <item x="674"/>
        <item x="480"/>
        <item x="55"/>
        <item x="83"/>
        <item x="240"/>
        <item x="700"/>
        <item x="540"/>
        <item x="638"/>
        <item x="523"/>
        <item x="119"/>
        <item x="21"/>
        <item x="31"/>
        <item x="701"/>
        <item x="19"/>
        <item x="368"/>
        <item x="783"/>
        <item x="294"/>
        <item x="507"/>
        <item x="640"/>
        <item x="508"/>
        <item x="447"/>
        <item x="542"/>
        <item x="72"/>
        <item x="559"/>
        <item x="455"/>
        <item x="245"/>
        <item x="769"/>
        <item x="448"/>
        <item x="746"/>
        <item x="415"/>
        <item x="257"/>
        <item x="79"/>
        <item x="178"/>
        <item x="600"/>
        <item x="672"/>
        <item x="59"/>
        <item x="656"/>
        <item x="180"/>
        <item x="555"/>
        <item x="138"/>
        <item x="176"/>
        <item x="761"/>
        <item x="5"/>
        <item x="785"/>
        <item x="198"/>
        <item x="708"/>
        <item x="272"/>
        <item x="137"/>
        <item x="580"/>
        <item x="121"/>
        <item x="101"/>
        <item x="613"/>
        <item x="477"/>
        <item x="684"/>
        <item x="668"/>
        <item x="537"/>
        <item x="578"/>
        <item x="558"/>
        <item x="645"/>
        <item x="647"/>
        <item x="369"/>
        <item x="251"/>
        <item x="171"/>
        <item x="828"/>
        <item x="726"/>
        <item x="330"/>
        <item x="145"/>
        <item x="255"/>
        <item x="385"/>
        <item x="628"/>
        <item x="553"/>
        <item x="352"/>
        <item x="1"/>
        <item x="348"/>
        <item x="727"/>
        <item x="776"/>
        <item x="661"/>
        <item x="304"/>
        <item x="488"/>
        <item x="215"/>
        <item x="440"/>
        <item x="271"/>
        <item x="179"/>
        <item x="206"/>
        <item x="741"/>
        <item x="413"/>
        <item x="278"/>
        <item x="273"/>
        <item x="804"/>
        <item x="85"/>
        <item x="155"/>
        <item x="366"/>
        <item x="122"/>
        <item x="53"/>
        <item x="241"/>
        <item x="792"/>
        <item x="193"/>
        <item x="631"/>
        <item x="762"/>
        <item x="612"/>
        <item x="8"/>
        <item x="211"/>
        <item x="15"/>
        <item x="147"/>
        <item x="780"/>
        <item x="347"/>
        <item x="100"/>
        <item x="153"/>
        <item x="318"/>
        <item x="73"/>
        <item x="652"/>
        <item x="703"/>
        <item x="112"/>
        <item x="519"/>
        <item x="529"/>
        <item x="305"/>
        <item x="615"/>
        <item x="735"/>
        <item x="20"/>
        <item x="621"/>
        <item x="530"/>
        <item x="295"/>
        <item x="82"/>
        <item x="332"/>
        <item x="141"/>
        <item x="390"/>
        <item x="11"/>
        <item x="402"/>
        <item x="38"/>
        <item x="373"/>
        <item x="573"/>
        <item x="633"/>
        <item x="525"/>
        <item x="643"/>
        <item x="321"/>
        <item x="51"/>
        <item x="163"/>
        <item x="131"/>
        <item x="605"/>
        <item x="539"/>
        <item x="575"/>
        <item x="405"/>
        <item x="782"/>
        <item x="721"/>
        <item x="820"/>
        <item x="826"/>
        <item x="237"/>
        <item x="234"/>
        <item x="140"/>
        <item x="748"/>
        <item x="688"/>
        <item x="678"/>
        <item x="538"/>
        <item t="default"/>
      </items>
    </pivotField>
    <pivotField numFmtId="14" showAll="0"/>
    <pivotField showAll="0"/>
    <pivotField showAll="0"/>
    <pivotField showAll="0">
      <items count="3">
        <item x="1"/>
        <item x="0"/>
        <item t="default"/>
      </items>
    </pivotField>
    <pivotField showAll="0"/>
    <pivotField showAll="0">
      <items count="4">
        <item x="2"/>
        <item x="1"/>
        <item x="0"/>
        <item t="default"/>
      </items>
    </pivotField>
    <pivotField showAll="0">
      <items count="4">
        <item x="2"/>
        <item x="1"/>
        <item x="0"/>
        <item t="default"/>
      </items>
    </pivotField>
    <pivotField showAll="0">
      <items count="5">
        <item x="0"/>
        <item x="1"/>
        <item x="2"/>
        <item x="3"/>
        <item t="default"/>
      </items>
    </pivotField>
    <pivotField showAll="0">
      <items count="13">
        <item x="1"/>
        <item x="2"/>
        <item x="8"/>
        <item x="3"/>
        <item x="5"/>
        <item x="9"/>
        <item x="11"/>
        <item x="0"/>
        <item x="7"/>
        <item x="6"/>
        <item x="4"/>
        <item x="10"/>
        <item t="default"/>
      </items>
    </pivotField>
    <pivotField showAll="0">
      <items count="5">
        <item x="1"/>
        <item x="2"/>
        <item x="0"/>
        <item x="3"/>
        <item t="default"/>
      </items>
    </pivotField>
    <pivotField showAll="0"/>
    <pivotField axis="axisRow" showAll="0">
      <items count="3">
        <item x="0"/>
        <item x="1"/>
        <item t="default"/>
      </items>
    </pivotField>
    <pivotField showAll="0"/>
    <pivotField showAll="0"/>
  </pivotFields>
  <rowFields count="1">
    <field x="13"/>
  </rowFields>
  <rowItems count="3">
    <i>
      <x/>
    </i>
    <i>
      <x v="1"/>
    </i>
    <i t="grand">
      <x/>
    </i>
  </rowItems>
  <colItems count="1">
    <i/>
  </colItems>
  <dataFields count="1">
    <dataField name="Count of customer_id" fld="1" subtotal="count" baseField="0" baseItem="0"/>
  </dataFields>
  <formats count="12">
    <format dxfId="168">
      <pivotArea type="all" dataOnly="0" outline="0" fieldPosition="0"/>
    </format>
    <format dxfId="167">
      <pivotArea outline="0" collapsedLevelsAreSubtotals="1" fieldPosition="0"/>
    </format>
    <format dxfId="166">
      <pivotArea field="13" type="button" dataOnly="0" labelOnly="1" outline="0" axis="axisRow" fieldPosition="0"/>
    </format>
    <format dxfId="165">
      <pivotArea dataOnly="0" labelOnly="1" fieldPosition="0">
        <references count="1">
          <reference field="13" count="0"/>
        </references>
      </pivotArea>
    </format>
    <format dxfId="164">
      <pivotArea dataOnly="0" labelOnly="1" grandRow="1" outline="0" fieldPosition="0"/>
    </format>
    <format dxfId="163">
      <pivotArea dataOnly="0" labelOnly="1" outline="0" axis="axisValues" fieldPosition="0"/>
    </format>
    <format dxfId="162">
      <pivotArea type="all" dataOnly="0" outline="0" fieldPosition="0"/>
    </format>
    <format dxfId="161">
      <pivotArea outline="0" collapsedLevelsAreSubtotals="1" fieldPosition="0"/>
    </format>
    <format dxfId="160">
      <pivotArea field="13" type="button" dataOnly="0" labelOnly="1" outline="0" axis="axisRow" fieldPosition="0"/>
    </format>
    <format dxfId="159">
      <pivotArea dataOnly="0" labelOnly="1" fieldPosition="0">
        <references count="1">
          <reference field="13" count="0"/>
        </references>
      </pivotArea>
    </format>
    <format dxfId="158">
      <pivotArea dataOnly="0" labelOnly="1" grandRow="1" outline="0" fieldPosition="0"/>
    </format>
    <format dxfId="157">
      <pivotArea dataOnly="0" labelOnly="1" outline="0" axis="axisValues" fieldPosition="0"/>
    </format>
  </formats>
  <chartFormats count="3">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3" count="1" selected="0">
            <x v="0"/>
          </reference>
        </references>
      </pivotArea>
    </chartFormat>
    <chartFormat chart="4" format="6">
      <pivotArea type="data" outline="0" fieldPosition="0">
        <references count="2">
          <reference field="4294967294" count="1" selected="0">
            <x v="0"/>
          </reference>
          <reference field="13" count="1" selected="0">
            <x v="1"/>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8801276-1A0E-4804-92B6-F0BD250EC90A}"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52:J57" firstHeaderRow="1" firstDataRow="1" firstDataCol="1"/>
  <pivotFields count="16">
    <pivotField showAll="0"/>
    <pivotField showAll="0">
      <items count="831">
        <item x="441"/>
        <item x="359"/>
        <item x="128"/>
        <item x="139"/>
        <item x="629"/>
        <item x="389"/>
        <item x="175"/>
        <item x="328"/>
        <item x="662"/>
        <item x="250"/>
        <item x="217"/>
        <item x="336"/>
        <item x="781"/>
        <item x="790"/>
        <item x="345"/>
        <item x="733"/>
        <item x="310"/>
        <item x="109"/>
        <item x="791"/>
        <item x="264"/>
        <item x="9"/>
        <item x="443"/>
        <item x="214"/>
        <item x="63"/>
        <item x="457"/>
        <item x="13"/>
        <item x="401"/>
        <item x="622"/>
        <item x="243"/>
        <item x="68"/>
        <item x="763"/>
        <item x="66"/>
        <item x="754"/>
        <item x="329"/>
        <item x="337"/>
        <item x="547"/>
        <item x="107"/>
        <item x="773"/>
        <item x="360"/>
        <item x="760"/>
        <item x="765"/>
        <item x="317"/>
        <item x="577"/>
        <item x="169"/>
        <item x="331"/>
        <item x="665"/>
        <item x="517"/>
        <item x="675"/>
        <item x="327"/>
        <item x="216"/>
        <item x="532"/>
        <item x="350"/>
        <item x="91"/>
        <item x="397"/>
        <item x="302"/>
        <item x="718"/>
        <item x="743"/>
        <item x="496"/>
        <item x="756"/>
        <item x="808"/>
        <item x="353"/>
        <item x="712"/>
        <item x="70"/>
        <item x="349"/>
        <item x="88"/>
        <item x="582"/>
        <item x="805"/>
        <item x="669"/>
        <item x="29"/>
        <item x="358"/>
        <item x="84"/>
        <item x="430"/>
        <item x="569"/>
        <item x="768"/>
        <item x="599"/>
        <item x="589"/>
        <item x="736"/>
        <item x="354"/>
        <item x="814"/>
        <item x="306"/>
        <item x="381"/>
        <item x="458"/>
        <item x="187"/>
        <item x="265"/>
        <item x="501"/>
        <item x="597"/>
        <item x="424"/>
        <item x="404"/>
        <item x="189"/>
        <item x="383"/>
        <item x="511"/>
        <item x="69"/>
        <item x="506"/>
        <item x="6"/>
        <item x="419"/>
        <item x="203"/>
        <item x="428"/>
        <item x="513"/>
        <item x="90"/>
        <item x="630"/>
        <item x="161"/>
        <item x="526"/>
        <item x="433"/>
        <item x="303"/>
        <item x="342"/>
        <item x="449"/>
        <item x="671"/>
        <item x="116"/>
        <item x="619"/>
        <item x="99"/>
        <item x="172"/>
        <item x="696"/>
        <item x="417"/>
        <item x="276"/>
        <item x="770"/>
        <item x="654"/>
        <item x="132"/>
        <item x="233"/>
        <item x="124"/>
        <item x="195"/>
        <item x="481"/>
        <item x="363"/>
        <item x="98"/>
        <item x="466"/>
        <item x="76"/>
        <item x="528"/>
        <item x="463"/>
        <item x="114"/>
        <item x="297"/>
        <item x="392"/>
        <item x="223"/>
        <item x="815"/>
        <item x="469"/>
        <item x="601"/>
        <item x="104"/>
        <item x="680"/>
        <item x="771"/>
        <item x="92"/>
        <item x="707"/>
        <item x="346"/>
        <item x="96"/>
        <item x="323"/>
        <item x="130"/>
        <item x="339"/>
        <item x="314"/>
        <item x="429"/>
        <item x="399"/>
        <item x="406"/>
        <item x="635"/>
        <item x="673"/>
        <item x="48"/>
        <item x="711"/>
        <item x="182"/>
        <item x="552"/>
        <item x="143"/>
        <item x="136"/>
        <item x="2"/>
        <item x="45"/>
        <item x="239"/>
        <item x="603"/>
        <item x="775"/>
        <item x="33"/>
        <item x="667"/>
        <item x="694"/>
        <item x="489"/>
        <item x="320"/>
        <item x="313"/>
        <item x="550"/>
        <item x="720"/>
        <item x="795"/>
        <item x="258"/>
        <item x="717"/>
        <item x="422"/>
        <item x="737"/>
        <item x="312"/>
        <item x="431"/>
        <item x="714"/>
        <item x="226"/>
        <item x="57"/>
        <item x="487"/>
        <item x="190"/>
        <item x="676"/>
        <item x="344"/>
        <item x="127"/>
        <item x="590"/>
        <item x="503"/>
        <item x="509"/>
        <item x="797"/>
        <item x="213"/>
        <item x="800"/>
        <item x="524"/>
        <item x="249"/>
        <item x="39"/>
        <item x="568"/>
        <item x="636"/>
        <item x="282"/>
        <item x="594"/>
        <item x="738"/>
        <item x="655"/>
        <item x="757"/>
        <item x="574"/>
        <item x="7"/>
        <item x="689"/>
        <item x="670"/>
        <item x="150"/>
        <item x="644"/>
        <item x="146"/>
        <item x="232"/>
        <item x="616"/>
        <item x="41"/>
        <item x="451"/>
        <item x="627"/>
        <item x="806"/>
        <item x="420"/>
        <item x="156"/>
        <item x="97"/>
        <item x="106"/>
        <item x="377"/>
        <item x="40"/>
        <item x="562"/>
        <item x="821"/>
        <item x="14"/>
        <item x="623"/>
        <item x="254"/>
        <item x="396"/>
        <item x="52"/>
        <item x="218"/>
        <item x="686"/>
        <item x="827"/>
        <item x="752"/>
        <item x="495"/>
        <item x="450"/>
        <item x="813"/>
        <item x="564"/>
        <item x="522"/>
        <item x="227"/>
        <item x="326"/>
        <item x="204"/>
        <item x="818"/>
        <item x="162"/>
        <item x="498"/>
        <item x="286"/>
        <item x="89"/>
        <item x="649"/>
        <item x="194"/>
        <item x="301"/>
        <item x="125"/>
        <item x="445"/>
        <item x="809"/>
        <item x="340"/>
        <item x="467"/>
        <item x="716"/>
        <item x="685"/>
        <item x="34"/>
        <item x="566"/>
        <item x="351"/>
        <item x="484"/>
        <item x="683"/>
        <item x="794"/>
        <item x="807"/>
        <item x="587"/>
        <item x="261"/>
        <item x="651"/>
        <item x="437"/>
        <item x="571"/>
        <item x="111"/>
        <item x="409"/>
        <item x="609"/>
        <item x="690"/>
        <item x="411"/>
        <item x="290"/>
        <item x="544"/>
        <item x="426"/>
        <item x="608"/>
        <item x="319"/>
        <item x="36"/>
        <item x="739"/>
        <item x="108"/>
        <item x="298"/>
        <item x="432"/>
        <item x="819"/>
        <item x="491"/>
        <item x="236"/>
        <item x="439"/>
        <item x="208"/>
        <item x="188"/>
        <item x="238"/>
        <item x="650"/>
        <item x="796"/>
        <item x="446"/>
        <item x="745"/>
        <item x="617"/>
        <item x="275"/>
        <item x="734"/>
        <item x="581"/>
        <item x="772"/>
        <item x="196"/>
        <item x="263"/>
        <item x="26"/>
        <item x="515"/>
        <item x="46"/>
        <item x="37"/>
        <item x="471"/>
        <item x="299"/>
        <item x="159"/>
        <item x="149"/>
        <item x="418"/>
        <item x="391"/>
        <item x="222"/>
        <item x="212"/>
        <item x="521"/>
        <item x="561"/>
        <item x="77"/>
        <item x="412"/>
        <item x="23"/>
        <item x="798"/>
        <item x="378"/>
        <item x="639"/>
        <item x="479"/>
        <item x="165"/>
        <item x="300"/>
        <item x="356"/>
        <item x="103"/>
        <item x="502"/>
        <item x="722"/>
        <item x="43"/>
        <item x="789"/>
        <item x="653"/>
        <item x="144"/>
        <item x="784"/>
        <item x="293"/>
        <item x="464"/>
        <item x="186"/>
        <item x="201"/>
        <item x="277"/>
        <item x="586"/>
        <item x="10"/>
        <item x="468"/>
        <item x="407"/>
        <item x="242"/>
        <item x="25"/>
        <item x="115"/>
        <item x="325"/>
        <item x="382"/>
        <item x="364"/>
        <item x="256"/>
        <item x="438"/>
        <item x="341"/>
        <item x="12"/>
        <item x="695"/>
        <item x="699"/>
        <item x="687"/>
        <item x="343"/>
        <item x="219"/>
        <item x="543"/>
        <item x="167"/>
        <item x="4"/>
        <item x="724"/>
        <item x="403"/>
        <item x="71"/>
        <item x="56"/>
        <item x="641"/>
        <item x="197"/>
        <item x="93"/>
        <item x="462"/>
        <item x="816"/>
        <item x="470"/>
        <item x="262"/>
        <item x="205"/>
        <item x="802"/>
        <item x="729"/>
        <item x="730"/>
        <item x="751"/>
        <item x="279"/>
        <item x="266"/>
        <item x="322"/>
        <item x="810"/>
        <item x="713"/>
        <item x="225"/>
        <item x="28"/>
        <item x="490"/>
        <item x="74"/>
        <item x="118"/>
        <item x="427"/>
        <item x="606"/>
        <item x="436"/>
        <item x="723"/>
        <item x="158"/>
        <item x="556"/>
        <item x="812"/>
        <item x="777"/>
        <item x="42"/>
        <item x="485"/>
        <item x="693"/>
        <item x="200"/>
        <item x="247"/>
        <item x="246"/>
        <item x="660"/>
        <item x="677"/>
        <item x="333"/>
        <item x="3"/>
        <item x="16"/>
        <item x="494"/>
        <item x="395"/>
        <item x="799"/>
        <item x="355"/>
        <item x="168"/>
        <item x="367"/>
        <item x="570"/>
        <item x="287"/>
        <item x="221"/>
        <item x="682"/>
        <item x="626"/>
        <item x="154"/>
        <item x="658"/>
        <item x="512"/>
        <item x="611"/>
        <item x="231"/>
        <item x="465"/>
        <item x="202"/>
        <item x="235"/>
        <item x="324"/>
        <item x="533"/>
        <item x="134"/>
        <item x="289"/>
        <item x="520"/>
        <item x="725"/>
        <item x="614"/>
        <item x="504"/>
        <item x="435"/>
        <item x="393"/>
        <item x="709"/>
        <item x="307"/>
        <item x="434"/>
        <item x="370"/>
        <item x="105"/>
        <item x="478"/>
        <item x="380"/>
        <item x="148"/>
        <item x="135"/>
        <item x="731"/>
        <item x="663"/>
        <item x="698"/>
        <item x="253"/>
        <item x="461"/>
        <item x="817"/>
        <item x="732"/>
        <item x="191"/>
        <item x="86"/>
        <item x="811"/>
        <item x="710"/>
        <item x="18"/>
        <item x="62"/>
        <item x="565"/>
        <item x="514"/>
        <item x="764"/>
        <item x="129"/>
        <item x="160"/>
        <item x="280"/>
        <item x="681"/>
        <item x="750"/>
        <item x="444"/>
        <item x="793"/>
        <item x="248"/>
        <item x="32"/>
        <item x="292"/>
        <item x="394"/>
        <item x="591"/>
        <item x="759"/>
        <item x="80"/>
        <item x="588"/>
        <item x="546"/>
        <item x="607"/>
        <item x="414"/>
        <item x="291"/>
        <item x="691"/>
        <item x="593"/>
        <item x="185"/>
        <item x="316"/>
        <item x="803"/>
        <item x="664"/>
        <item x="749"/>
        <item x="220"/>
        <item x="288"/>
        <item x="598"/>
        <item x="572"/>
        <item x="315"/>
        <item x="157"/>
        <item x="27"/>
        <item x="87"/>
        <item x="423"/>
        <item x="758"/>
        <item x="492"/>
        <item x="173"/>
        <item x="228"/>
        <item x="702"/>
        <item x="625"/>
        <item x="786"/>
        <item x="142"/>
        <item x="384"/>
        <item x="452"/>
        <item x="493"/>
        <item x="715"/>
        <item x="692"/>
        <item x="152"/>
        <item x="362"/>
        <item x="174"/>
        <item x="829"/>
        <item x="486"/>
        <item x="705"/>
        <item x="408"/>
        <item x="610"/>
        <item x="551"/>
        <item x="65"/>
        <item x="386"/>
        <item x="454"/>
        <item x="50"/>
        <item x="117"/>
        <item x="60"/>
        <item x="766"/>
        <item x="787"/>
        <item x="229"/>
        <item x="17"/>
        <item x="602"/>
        <item x="133"/>
        <item x="398"/>
        <item x="442"/>
        <item x="779"/>
        <item x="151"/>
        <item x="456"/>
        <item x="35"/>
        <item x="47"/>
        <item x="387"/>
        <item x="620"/>
        <item x="579"/>
        <item x="719"/>
        <item x="110"/>
        <item x="604"/>
        <item x="473"/>
        <item x="475"/>
        <item x="209"/>
        <item x="416"/>
        <item x="374"/>
        <item x="548"/>
        <item x="740"/>
        <item x="270"/>
        <item x="527"/>
        <item x="244"/>
        <item x="534"/>
        <item x="499"/>
        <item x="269"/>
        <item x="563"/>
        <item x="281"/>
        <item x="361"/>
        <item x="120"/>
        <item x="410"/>
        <item x="357"/>
        <item x="753"/>
        <item x="510"/>
        <item x="453"/>
        <item x="706"/>
        <item x="531"/>
        <item x="61"/>
        <item x="375"/>
        <item x="81"/>
        <item x="283"/>
        <item x="592"/>
        <item x="824"/>
        <item x="583"/>
        <item x="516"/>
        <item x="224"/>
        <item x="560"/>
        <item x="646"/>
        <item x="425"/>
        <item x="75"/>
        <item x="500"/>
        <item x="311"/>
        <item x="634"/>
        <item x="177"/>
        <item x="585"/>
        <item x="22"/>
        <item x="483"/>
        <item x="637"/>
        <item x="576"/>
        <item x="388"/>
        <item x="728"/>
        <item x="260"/>
        <item x="642"/>
        <item x="102"/>
        <item x="95"/>
        <item x="376"/>
        <item x="30"/>
        <item x="497"/>
        <item x="747"/>
        <item x="400"/>
        <item x="505"/>
        <item x="259"/>
        <item x="595"/>
        <item x="476"/>
        <item x="308"/>
        <item x="0"/>
        <item x="309"/>
        <item x="192"/>
        <item x="199"/>
        <item x="567"/>
        <item x="474"/>
        <item x="44"/>
        <item x="334"/>
        <item x="371"/>
        <item x="472"/>
        <item x="679"/>
        <item x="338"/>
        <item x="164"/>
        <item x="584"/>
        <item x="823"/>
        <item x="296"/>
        <item x="184"/>
        <item x="659"/>
        <item x="24"/>
        <item x="541"/>
        <item x="365"/>
        <item x="536"/>
        <item x="170"/>
        <item x="822"/>
        <item x="535"/>
        <item x="778"/>
        <item x="460"/>
        <item x="742"/>
        <item x="666"/>
        <item x="697"/>
        <item x="704"/>
        <item x="285"/>
        <item x="596"/>
        <item x="372"/>
        <item x="284"/>
        <item x="54"/>
        <item x="518"/>
        <item x="274"/>
        <item x="268"/>
        <item x="801"/>
        <item x="181"/>
        <item x="126"/>
        <item x="744"/>
        <item x="774"/>
        <item x="648"/>
        <item x="58"/>
        <item x="557"/>
        <item x="545"/>
        <item x="207"/>
        <item x="482"/>
        <item x="335"/>
        <item x="113"/>
        <item x="788"/>
        <item x="657"/>
        <item x="825"/>
        <item x="94"/>
        <item x="755"/>
        <item x="67"/>
        <item x="549"/>
        <item x="379"/>
        <item x="267"/>
        <item x="123"/>
        <item x="618"/>
        <item x="554"/>
        <item x="252"/>
        <item x="49"/>
        <item x="767"/>
        <item x="459"/>
        <item x="166"/>
        <item x="78"/>
        <item x="210"/>
        <item x="632"/>
        <item x="230"/>
        <item x="624"/>
        <item x="183"/>
        <item x="421"/>
        <item x="64"/>
        <item x="674"/>
        <item x="480"/>
        <item x="55"/>
        <item x="83"/>
        <item x="240"/>
        <item x="700"/>
        <item x="540"/>
        <item x="638"/>
        <item x="523"/>
        <item x="119"/>
        <item x="21"/>
        <item x="31"/>
        <item x="701"/>
        <item x="19"/>
        <item x="368"/>
        <item x="783"/>
        <item x="294"/>
        <item x="507"/>
        <item x="640"/>
        <item x="508"/>
        <item x="447"/>
        <item x="542"/>
        <item x="72"/>
        <item x="559"/>
        <item x="455"/>
        <item x="245"/>
        <item x="769"/>
        <item x="448"/>
        <item x="746"/>
        <item x="415"/>
        <item x="257"/>
        <item x="79"/>
        <item x="178"/>
        <item x="600"/>
        <item x="672"/>
        <item x="59"/>
        <item x="656"/>
        <item x="180"/>
        <item x="555"/>
        <item x="138"/>
        <item x="176"/>
        <item x="761"/>
        <item x="5"/>
        <item x="785"/>
        <item x="198"/>
        <item x="708"/>
        <item x="272"/>
        <item x="137"/>
        <item x="580"/>
        <item x="121"/>
        <item x="101"/>
        <item x="613"/>
        <item x="477"/>
        <item x="684"/>
        <item x="668"/>
        <item x="537"/>
        <item x="578"/>
        <item x="558"/>
        <item x="645"/>
        <item x="647"/>
        <item x="369"/>
        <item x="251"/>
        <item x="171"/>
        <item x="828"/>
        <item x="726"/>
        <item x="330"/>
        <item x="145"/>
        <item x="255"/>
        <item x="385"/>
        <item x="628"/>
        <item x="553"/>
        <item x="352"/>
        <item x="1"/>
        <item x="348"/>
        <item x="727"/>
        <item x="776"/>
        <item x="661"/>
        <item x="304"/>
        <item x="488"/>
        <item x="215"/>
        <item x="440"/>
        <item x="271"/>
        <item x="179"/>
        <item x="206"/>
        <item x="741"/>
        <item x="413"/>
        <item x="278"/>
        <item x="273"/>
        <item x="804"/>
        <item x="85"/>
        <item x="155"/>
        <item x="366"/>
        <item x="122"/>
        <item x="53"/>
        <item x="241"/>
        <item x="792"/>
        <item x="193"/>
        <item x="631"/>
        <item x="762"/>
        <item x="612"/>
        <item x="8"/>
        <item x="211"/>
        <item x="15"/>
        <item x="147"/>
        <item x="780"/>
        <item x="347"/>
        <item x="100"/>
        <item x="153"/>
        <item x="318"/>
        <item x="73"/>
        <item x="652"/>
        <item x="703"/>
        <item x="112"/>
        <item x="519"/>
        <item x="529"/>
        <item x="305"/>
        <item x="615"/>
        <item x="735"/>
        <item x="20"/>
        <item x="621"/>
        <item x="530"/>
        <item x="295"/>
        <item x="82"/>
        <item x="332"/>
        <item x="141"/>
        <item x="390"/>
        <item x="11"/>
        <item x="402"/>
        <item x="38"/>
        <item x="373"/>
        <item x="573"/>
        <item x="633"/>
        <item x="525"/>
        <item x="643"/>
        <item x="321"/>
        <item x="51"/>
        <item x="163"/>
        <item x="131"/>
        <item x="605"/>
        <item x="539"/>
        <item x="575"/>
        <item x="405"/>
        <item x="782"/>
        <item x="721"/>
        <item x="820"/>
        <item x="826"/>
        <item x="237"/>
        <item x="234"/>
        <item x="140"/>
        <item x="748"/>
        <item x="688"/>
        <item x="678"/>
        <item x="538"/>
        <item t="default"/>
      </items>
    </pivotField>
    <pivotField numFmtId="14" showAll="0"/>
    <pivotField showAll="0"/>
    <pivotField dataField="1" showAll="0"/>
    <pivotField showAll="0">
      <items count="3">
        <item x="1"/>
        <item x="0"/>
        <item t="default"/>
      </items>
    </pivotField>
    <pivotField showAll="0"/>
    <pivotField showAll="0">
      <items count="4">
        <item x="2"/>
        <item x="1"/>
        <item x="0"/>
        <item t="default"/>
      </items>
    </pivotField>
    <pivotField showAll="0">
      <items count="4">
        <item x="2"/>
        <item x="1"/>
        <item x="0"/>
        <item t="default"/>
      </items>
    </pivotField>
    <pivotField axis="axisRow" showAll="0">
      <items count="5">
        <item x="0"/>
        <item x="1"/>
        <item x="2"/>
        <item x="3"/>
        <item t="default"/>
      </items>
    </pivotField>
    <pivotField showAll="0">
      <items count="13">
        <item x="1"/>
        <item x="2"/>
        <item x="8"/>
        <item x="3"/>
        <item x="5"/>
        <item x="9"/>
        <item x="11"/>
        <item x="0"/>
        <item x="7"/>
        <item x="6"/>
        <item x="4"/>
        <item x="10"/>
        <item t="default"/>
      </items>
    </pivotField>
    <pivotField showAll="0">
      <items count="5">
        <item x="1"/>
        <item x="2"/>
        <item x="0"/>
        <item x="3"/>
        <item t="default"/>
      </items>
    </pivotField>
    <pivotField showAll="0"/>
    <pivotField showAll="0"/>
    <pivotField showAll="0"/>
    <pivotField showAll="0"/>
  </pivotFields>
  <rowFields count="1">
    <field x="9"/>
  </rowFields>
  <rowItems count="5">
    <i>
      <x/>
    </i>
    <i>
      <x v="1"/>
    </i>
    <i>
      <x v="2"/>
    </i>
    <i>
      <x v="3"/>
    </i>
    <i t="grand">
      <x/>
    </i>
  </rowItems>
  <colItems count="1">
    <i/>
  </colItems>
  <dataFields count="1">
    <dataField name="Average of satisfaction_score" fld="4" subtotal="average" baseField="9" baseItem="0" numFmtId="2"/>
  </dataFields>
  <formats count="13">
    <format dxfId="181">
      <pivotArea outline="0" collapsedLevelsAreSubtotals="1" fieldPosition="0"/>
    </format>
    <format dxfId="180">
      <pivotArea type="all" dataOnly="0" outline="0" fieldPosition="0"/>
    </format>
    <format dxfId="179">
      <pivotArea outline="0" collapsedLevelsAreSubtotals="1" fieldPosition="0"/>
    </format>
    <format dxfId="178">
      <pivotArea field="9" type="button" dataOnly="0" labelOnly="1" outline="0" axis="axisRow" fieldPosition="0"/>
    </format>
    <format dxfId="177">
      <pivotArea dataOnly="0" labelOnly="1" fieldPosition="0">
        <references count="1">
          <reference field="9" count="0"/>
        </references>
      </pivotArea>
    </format>
    <format dxfId="176">
      <pivotArea dataOnly="0" labelOnly="1" grandRow="1" outline="0" fieldPosition="0"/>
    </format>
    <format dxfId="175">
      <pivotArea dataOnly="0" labelOnly="1" outline="0" axis="axisValues" fieldPosition="0"/>
    </format>
    <format dxfId="174">
      <pivotArea type="all" dataOnly="0" outline="0" fieldPosition="0"/>
    </format>
    <format dxfId="173">
      <pivotArea outline="0" collapsedLevelsAreSubtotals="1" fieldPosition="0"/>
    </format>
    <format dxfId="172">
      <pivotArea field="9" type="button" dataOnly="0" labelOnly="1" outline="0" axis="axisRow" fieldPosition="0"/>
    </format>
    <format dxfId="171">
      <pivotArea dataOnly="0" labelOnly="1" fieldPosition="0">
        <references count="1">
          <reference field="9" count="0"/>
        </references>
      </pivotArea>
    </format>
    <format dxfId="170">
      <pivotArea dataOnly="0" labelOnly="1" grandRow="1" outline="0" fieldPosition="0"/>
    </format>
    <format dxfId="169">
      <pivotArea dataOnly="0" labelOnly="1" outline="0" axis="axisValues" fieldPosition="0"/>
    </format>
  </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49AC5E0-D52E-4ADF-A651-B2ED9617E93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9:M22" firstHeaderRow="1" firstDataRow="1" firstDataCol="1"/>
  <pivotFields count="16">
    <pivotField showAll="0"/>
    <pivotField dataField="1" showAll="0">
      <items count="831">
        <item x="441"/>
        <item x="359"/>
        <item x="128"/>
        <item x="139"/>
        <item x="629"/>
        <item x="389"/>
        <item x="175"/>
        <item x="328"/>
        <item x="662"/>
        <item x="250"/>
        <item x="217"/>
        <item x="336"/>
        <item x="781"/>
        <item x="790"/>
        <item x="345"/>
        <item x="733"/>
        <item x="310"/>
        <item x="109"/>
        <item x="791"/>
        <item x="264"/>
        <item x="9"/>
        <item x="443"/>
        <item x="214"/>
        <item x="63"/>
        <item x="457"/>
        <item x="13"/>
        <item x="401"/>
        <item x="622"/>
        <item x="243"/>
        <item x="68"/>
        <item x="763"/>
        <item x="66"/>
        <item x="754"/>
        <item x="329"/>
        <item x="337"/>
        <item x="547"/>
        <item x="107"/>
        <item x="773"/>
        <item x="360"/>
        <item x="760"/>
        <item x="765"/>
        <item x="317"/>
        <item x="577"/>
        <item x="169"/>
        <item x="331"/>
        <item x="665"/>
        <item x="517"/>
        <item x="675"/>
        <item x="327"/>
        <item x="216"/>
        <item x="532"/>
        <item x="350"/>
        <item x="91"/>
        <item x="397"/>
        <item x="302"/>
        <item x="718"/>
        <item x="743"/>
        <item x="496"/>
        <item x="756"/>
        <item x="808"/>
        <item x="353"/>
        <item x="712"/>
        <item x="70"/>
        <item x="349"/>
        <item x="88"/>
        <item x="582"/>
        <item x="805"/>
        <item x="669"/>
        <item x="29"/>
        <item x="358"/>
        <item x="84"/>
        <item x="430"/>
        <item x="569"/>
        <item x="768"/>
        <item x="599"/>
        <item x="589"/>
        <item x="736"/>
        <item x="354"/>
        <item x="814"/>
        <item x="306"/>
        <item x="381"/>
        <item x="458"/>
        <item x="187"/>
        <item x="265"/>
        <item x="501"/>
        <item x="597"/>
        <item x="424"/>
        <item x="404"/>
        <item x="189"/>
        <item x="383"/>
        <item x="511"/>
        <item x="69"/>
        <item x="506"/>
        <item x="6"/>
        <item x="419"/>
        <item x="203"/>
        <item x="428"/>
        <item x="513"/>
        <item x="90"/>
        <item x="630"/>
        <item x="161"/>
        <item x="526"/>
        <item x="433"/>
        <item x="303"/>
        <item x="342"/>
        <item x="449"/>
        <item x="671"/>
        <item x="116"/>
        <item x="619"/>
        <item x="99"/>
        <item x="172"/>
        <item x="696"/>
        <item x="417"/>
        <item x="276"/>
        <item x="770"/>
        <item x="654"/>
        <item x="132"/>
        <item x="233"/>
        <item x="124"/>
        <item x="195"/>
        <item x="481"/>
        <item x="363"/>
        <item x="98"/>
        <item x="466"/>
        <item x="76"/>
        <item x="528"/>
        <item x="463"/>
        <item x="114"/>
        <item x="297"/>
        <item x="392"/>
        <item x="223"/>
        <item x="815"/>
        <item x="469"/>
        <item x="601"/>
        <item x="104"/>
        <item x="680"/>
        <item x="771"/>
        <item x="92"/>
        <item x="707"/>
        <item x="346"/>
        <item x="96"/>
        <item x="323"/>
        <item x="130"/>
        <item x="339"/>
        <item x="314"/>
        <item x="429"/>
        <item x="399"/>
        <item x="406"/>
        <item x="635"/>
        <item x="673"/>
        <item x="48"/>
        <item x="711"/>
        <item x="182"/>
        <item x="552"/>
        <item x="143"/>
        <item x="136"/>
        <item x="2"/>
        <item x="45"/>
        <item x="239"/>
        <item x="603"/>
        <item x="775"/>
        <item x="33"/>
        <item x="667"/>
        <item x="694"/>
        <item x="489"/>
        <item x="320"/>
        <item x="313"/>
        <item x="550"/>
        <item x="720"/>
        <item x="795"/>
        <item x="258"/>
        <item x="717"/>
        <item x="422"/>
        <item x="737"/>
        <item x="312"/>
        <item x="431"/>
        <item x="714"/>
        <item x="226"/>
        <item x="57"/>
        <item x="487"/>
        <item x="190"/>
        <item x="676"/>
        <item x="344"/>
        <item x="127"/>
        <item x="590"/>
        <item x="503"/>
        <item x="509"/>
        <item x="797"/>
        <item x="213"/>
        <item x="800"/>
        <item x="524"/>
        <item x="249"/>
        <item x="39"/>
        <item x="568"/>
        <item x="636"/>
        <item x="282"/>
        <item x="594"/>
        <item x="738"/>
        <item x="655"/>
        <item x="757"/>
        <item x="574"/>
        <item x="7"/>
        <item x="689"/>
        <item x="670"/>
        <item x="150"/>
        <item x="644"/>
        <item x="146"/>
        <item x="232"/>
        <item x="616"/>
        <item x="41"/>
        <item x="451"/>
        <item x="627"/>
        <item x="806"/>
        <item x="420"/>
        <item x="156"/>
        <item x="97"/>
        <item x="106"/>
        <item x="377"/>
        <item x="40"/>
        <item x="562"/>
        <item x="821"/>
        <item x="14"/>
        <item x="623"/>
        <item x="254"/>
        <item x="396"/>
        <item x="52"/>
        <item x="218"/>
        <item x="686"/>
        <item x="827"/>
        <item x="752"/>
        <item x="495"/>
        <item x="450"/>
        <item x="813"/>
        <item x="564"/>
        <item x="522"/>
        <item x="227"/>
        <item x="326"/>
        <item x="204"/>
        <item x="818"/>
        <item x="162"/>
        <item x="498"/>
        <item x="286"/>
        <item x="89"/>
        <item x="649"/>
        <item x="194"/>
        <item x="301"/>
        <item x="125"/>
        <item x="445"/>
        <item x="809"/>
        <item x="340"/>
        <item x="467"/>
        <item x="716"/>
        <item x="685"/>
        <item x="34"/>
        <item x="566"/>
        <item x="351"/>
        <item x="484"/>
        <item x="683"/>
        <item x="794"/>
        <item x="807"/>
        <item x="587"/>
        <item x="261"/>
        <item x="651"/>
        <item x="437"/>
        <item x="571"/>
        <item x="111"/>
        <item x="409"/>
        <item x="609"/>
        <item x="690"/>
        <item x="411"/>
        <item x="290"/>
        <item x="544"/>
        <item x="426"/>
        <item x="608"/>
        <item x="319"/>
        <item x="36"/>
        <item x="739"/>
        <item x="108"/>
        <item x="298"/>
        <item x="432"/>
        <item x="819"/>
        <item x="491"/>
        <item x="236"/>
        <item x="439"/>
        <item x="208"/>
        <item x="188"/>
        <item x="238"/>
        <item x="650"/>
        <item x="796"/>
        <item x="446"/>
        <item x="745"/>
        <item x="617"/>
        <item x="275"/>
        <item x="734"/>
        <item x="581"/>
        <item x="772"/>
        <item x="196"/>
        <item x="263"/>
        <item x="26"/>
        <item x="515"/>
        <item x="46"/>
        <item x="37"/>
        <item x="471"/>
        <item x="299"/>
        <item x="159"/>
        <item x="149"/>
        <item x="418"/>
        <item x="391"/>
        <item x="222"/>
        <item x="212"/>
        <item x="521"/>
        <item x="561"/>
        <item x="77"/>
        <item x="412"/>
        <item x="23"/>
        <item x="798"/>
        <item x="378"/>
        <item x="639"/>
        <item x="479"/>
        <item x="165"/>
        <item x="300"/>
        <item x="356"/>
        <item x="103"/>
        <item x="502"/>
        <item x="722"/>
        <item x="43"/>
        <item x="789"/>
        <item x="653"/>
        <item x="144"/>
        <item x="784"/>
        <item x="293"/>
        <item x="464"/>
        <item x="186"/>
        <item x="201"/>
        <item x="277"/>
        <item x="586"/>
        <item x="10"/>
        <item x="468"/>
        <item x="407"/>
        <item x="242"/>
        <item x="25"/>
        <item x="115"/>
        <item x="325"/>
        <item x="382"/>
        <item x="364"/>
        <item x="256"/>
        <item x="438"/>
        <item x="341"/>
        <item x="12"/>
        <item x="695"/>
        <item x="699"/>
        <item x="687"/>
        <item x="343"/>
        <item x="219"/>
        <item x="543"/>
        <item x="167"/>
        <item x="4"/>
        <item x="724"/>
        <item x="403"/>
        <item x="71"/>
        <item x="56"/>
        <item x="641"/>
        <item x="197"/>
        <item x="93"/>
        <item x="462"/>
        <item x="816"/>
        <item x="470"/>
        <item x="262"/>
        <item x="205"/>
        <item x="802"/>
        <item x="729"/>
        <item x="730"/>
        <item x="751"/>
        <item x="279"/>
        <item x="266"/>
        <item x="322"/>
        <item x="810"/>
        <item x="713"/>
        <item x="225"/>
        <item x="28"/>
        <item x="490"/>
        <item x="74"/>
        <item x="118"/>
        <item x="427"/>
        <item x="606"/>
        <item x="436"/>
        <item x="723"/>
        <item x="158"/>
        <item x="556"/>
        <item x="812"/>
        <item x="777"/>
        <item x="42"/>
        <item x="485"/>
        <item x="693"/>
        <item x="200"/>
        <item x="247"/>
        <item x="246"/>
        <item x="660"/>
        <item x="677"/>
        <item x="333"/>
        <item x="3"/>
        <item x="16"/>
        <item x="494"/>
        <item x="395"/>
        <item x="799"/>
        <item x="355"/>
        <item x="168"/>
        <item x="367"/>
        <item x="570"/>
        <item x="287"/>
        <item x="221"/>
        <item x="682"/>
        <item x="626"/>
        <item x="154"/>
        <item x="658"/>
        <item x="512"/>
        <item x="611"/>
        <item x="231"/>
        <item x="465"/>
        <item x="202"/>
        <item x="235"/>
        <item x="324"/>
        <item x="533"/>
        <item x="134"/>
        <item x="289"/>
        <item x="520"/>
        <item x="725"/>
        <item x="614"/>
        <item x="504"/>
        <item x="435"/>
        <item x="393"/>
        <item x="709"/>
        <item x="307"/>
        <item x="434"/>
        <item x="370"/>
        <item x="105"/>
        <item x="478"/>
        <item x="380"/>
        <item x="148"/>
        <item x="135"/>
        <item x="731"/>
        <item x="663"/>
        <item x="698"/>
        <item x="253"/>
        <item x="461"/>
        <item x="817"/>
        <item x="732"/>
        <item x="191"/>
        <item x="86"/>
        <item x="811"/>
        <item x="710"/>
        <item x="18"/>
        <item x="62"/>
        <item x="565"/>
        <item x="514"/>
        <item x="764"/>
        <item x="129"/>
        <item x="160"/>
        <item x="280"/>
        <item x="681"/>
        <item x="750"/>
        <item x="444"/>
        <item x="793"/>
        <item x="248"/>
        <item x="32"/>
        <item x="292"/>
        <item x="394"/>
        <item x="591"/>
        <item x="759"/>
        <item x="80"/>
        <item x="588"/>
        <item x="546"/>
        <item x="607"/>
        <item x="414"/>
        <item x="291"/>
        <item x="691"/>
        <item x="593"/>
        <item x="185"/>
        <item x="316"/>
        <item x="803"/>
        <item x="664"/>
        <item x="749"/>
        <item x="220"/>
        <item x="288"/>
        <item x="598"/>
        <item x="572"/>
        <item x="315"/>
        <item x="157"/>
        <item x="27"/>
        <item x="87"/>
        <item x="423"/>
        <item x="758"/>
        <item x="492"/>
        <item x="173"/>
        <item x="228"/>
        <item x="702"/>
        <item x="625"/>
        <item x="786"/>
        <item x="142"/>
        <item x="384"/>
        <item x="452"/>
        <item x="493"/>
        <item x="715"/>
        <item x="692"/>
        <item x="152"/>
        <item x="362"/>
        <item x="174"/>
        <item x="829"/>
        <item x="486"/>
        <item x="705"/>
        <item x="408"/>
        <item x="610"/>
        <item x="551"/>
        <item x="65"/>
        <item x="386"/>
        <item x="454"/>
        <item x="50"/>
        <item x="117"/>
        <item x="60"/>
        <item x="766"/>
        <item x="787"/>
        <item x="229"/>
        <item x="17"/>
        <item x="602"/>
        <item x="133"/>
        <item x="398"/>
        <item x="442"/>
        <item x="779"/>
        <item x="151"/>
        <item x="456"/>
        <item x="35"/>
        <item x="47"/>
        <item x="387"/>
        <item x="620"/>
        <item x="579"/>
        <item x="719"/>
        <item x="110"/>
        <item x="604"/>
        <item x="473"/>
        <item x="475"/>
        <item x="209"/>
        <item x="416"/>
        <item x="374"/>
        <item x="548"/>
        <item x="740"/>
        <item x="270"/>
        <item x="527"/>
        <item x="244"/>
        <item x="534"/>
        <item x="499"/>
        <item x="269"/>
        <item x="563"/>
        <item x="281"/>
        <item x="361"/>
        <item x="120"/>
        <item x="410"/>
        <item x="357"/>
        <item x="753"/>
        <item x="510"/>
        <item x="453"/>
        <item x="706"/>
        <item x="531"/>
        <item x="61"/>
        <item x="375"/>
        <item x="81"/>
        <item x="283"/>
        <item x="592"/>
        <item x="824"/>
        <item x="583"/>
        <item x="516"/>
        <item x="224"/>
        <item x="560"/>
        <item x="646"/>
        <item x="425"/>
        <item x="75"/>
        <item x="500"/>
        <item x="311"/>
        <item x="634"/>
        <item x="177"/>
        <item x="585"/>
        <item x="22"/>
        <item x="483"/>
        <item x="637"/>
        <item x="576"/>
        <item x="388"/>
        <item x="728"/>
        <item x="260"/>
        <item x="642"/>
        <item x="102"/>
        <item x="95"/>
        <item x="376"/>
        <item x="30"/>
        <item x="497"/>
        <item x="747"/>
        <item x="400"/>
        <item x="505"/>
        <item x="259"/>
        <item x="595"/>
        <item x="476"/>
        <item x="308"/>
        <item x="0"/>
        <item x="309"/>
        <item x="192"/>
        <item x="199"/>
        <item x="567"/>
        <item x="474"/>
        <item x="44"/>
        <item x="334"/>
        <item x="371"/>
        <item x="472"/>
        <item x="679"/>
        <item x="338"/>
        <item x="164"/>
        <item x="584"/>
        <item x="823"/>
        <item x="296"/>
        <item x="184"/>
        <item x="659"/>
        <item x="24"/>
        <item x="541"/>
        <item x="365"/>
        <item x="536"/>
        <item x="170"/>
        <item x="822"/>
        <item x="535"/>
        <item x="778"/>
        <item x="460"/>
        <item x="742"/>
        <item x="666"/>
        <item x="697"/>
        <item x="704"/>
        <item x="285"/>
        <item x="596"/>
        <item x="372"/>
        <item x="284"/>
        <item x="54"/>
        <item x="518"/>
        <item x="274"/>
        <item x="268"/>
        <item x="801"/>
        <item x="181"/>
        <item x="126"/>
        <item x="744"/>
        <item x="774"/>
        <item x="648"/>
        <item x="58"/>
        <item x="557"/>
        <item x="545"/>
        <item x="207"/>
        <item x="482"/>
        <item x="335"/>
        <item x="113"/>
        <item x="788"/>
        <item x="657"/>
        <item x="825"/>
        <item x="94"/>
        <item x="755"/>
        <item x="67"/>
        <item x="549"/>
        <item x="379"/>
        <item x="267"/>
        <item x="123"/>
        <item x="618"/>
        <item x="554"/>
        <item x="252"/>
        <item x="49"/>
        <item x="767"/>
        <item x="459"/>
        <item x="166"/>
        <item x="78"/>
        <item x="210"/>
        <item x="632"/>
        <item x="230"/>
        <item x="624"/>
        <item x="183"/>
        <item x="421"/>
        <item x="64"/>
        <item x="674"/>
        <item x="480"/>
        <item x="55"/>
        <item x="83"/>
        <item x="240"/>
        <item x="700"/>
        <item x="540"/>
        <item x="638"/>
        <item x="523"/>
        <item x="119"/>
        <item x="21"/>
        <item x="31"/>
        <item x="701"/>
        <item x="19"/>
        <item x="368"/>
        <item x="783"/>
        <item x="294"/>
        <item x="507"/>
        <item x="640"/>
        <item x="508"/>
        <item x="447"/>
        <item x="542"/>
        <item x="72"/>
        <item x="559"/>
        <item x="455"/>
        <item x="245"/>
        <item x="769"/>
        <item x="448"/>
        <item x="746"/>
        <item x="415"/>
        <item x="257"/>
        <item x="79"/>
        <item x="178"/>
        <item x="600"/>
        <item x="672"/>
        <item x="59"/>
        <item x="656"/>
        <item x="180"/>
        <item x="555"/>
        <item x="138"/>
        <item x="176"/>
        <item x="761"/>
        <item x="5"/>
        <item x="785"/>
        <item x="198"/>
        <item x="708"/>
        <item x="272"/>
        <item x="137"/>
        <item x="580"/>
        <item x="121"/>
        <item x="101"/>
        <item x="613"/>
        <item x="477"/>
        <item x="684"/>
        <item x="668"/>
        <item x="537"/>
        <item x="578"/>
        <item x="558"/>
        <item x="645"/>
        <item x="647"/>
        <item x="369"/>
        <item x="251"/>
        <item x="171"/>
        <item x="828"/>
        <item x="726"/>
        <item x="330"/>
        <item x="145"/>
        <item x="255"/>
        <item x="385"/>
        <item x="628"/>
        <item x="553"/>
        <item x="352"/>
        <item x="1"/>
        <item x="348"/>
        <item x="727"/>
        <item x="776"/>
        <item x="661"/>
        <item x="304"/>
        <item x="488"/>
        <item x="215"/>
        <item x="440"/>
        <item x="271"/>
        <item x="179"/>
        <item x="206"/>
        <item x="741"/>
        <item x="413"/>
        <item x="278"/>
        <item x="273"/>
        <item x="804"/>
        <item x="85"/>
        <item x="155"/>
        <item x="366"/>
        <item x="122"/>
        <item x="53"/>
        <item x="241"/>
        <item x="792"/>
        <item x="193"/>
        <item x="631"/>
        <item x="762"/>
        <item x="612"/>
        <item x="8"/>
        <item x="211"/>
        <item x="15"/>
        <item x="147"/>
        <item x="780"/>
        <item x="347"/>
        <item x="100"/>
        <item x="153"/>
        <item x="318"/>
        <item x="73"/>
        <item x="652"/>
        <item x="703"/>
        <item x="112"/>
        <item x="519"/>
        <item x="529"/>
        <item x="305"/>
        <item x="615"/>
        <item x="735"/>
        <item x="20"/>
        <item x="621"/>
        <item x="530"/>
        <item x="295"/>
        <item x="82"/>
        <item x="332"/>
        <item x="141"/>
        <item x="390"/>
        <item x="11"/>
        <item x="402"/>
        <item x="38"/>
        <item x="373"/>
        <item x="573"/>
        <item x="633"/>
        <item x="525"/>
        <item x="643"/>
        <item x="321"/>
        <item x="51"/>
        <item x="163"/>
        <item x="131"/>
        <item x="605"/>
        <item x="539"/>
        <item x="575"/>
        <item x="405"/>
        <item x="782"/>
        <item x="721"/>
        <item x="820"/>
        <item x="826"/>
        <item x="237"/>
        <item x="234"/>
        <item x="140"/>
        <item x="748"/>
        <item x="688"/>
        <item x="678"/>
        <item x="538"/>
        <item t="default"/>
      </items>
    </pivotField>
    <pivotField numFmtId="14" showAll="0"/>
    <pivotField showAll="0"/>
    <pivotField showAll="0"/>
    <pivotField showAll="0">
      <items count="3">
        <item x="1"/>
        <item x="0"/>
        <item t="default"/>
      </items>
    </pivotField>
    <pivotField showAll="0"/>
    <pivotField showAll="0">
      <items count="4">
        <item x="2"/>
        <item x="1"/>
        <item x="0"/>
        <item t="default"/>
      </items>
    </pivotField>
    <pivotField showAll="0">
      <items count="4">
        <item x="2"/>
        <item x="1"/>
        <item x="0"/>
        <item t="default"/>
      </items>
    </pivotField>
    <pivotField showAll="0">
      <items count="5">
        <item x="0"/>
        <item x="1"/>
        <item x="2"/>
        <item x="3"/>
        <item t="default"/>
      </items>
    </pivotField>
    <pivotField axis="axisRow" showAll="0">
      <items count="13">
        <item x="1"/>
        <item x="2"/>
        <item x="8"/>
        <item x="3"/>
        <item x="5"/>
        <item x="9"/>
        <item x="11"/>
        <item x="0"/>
        <item x="7"/>
        <item x="6"/>
        <item x="4"/>
        <item x="10"/>
        <item t="default"/>
      </items>
    </pivotField>
    <pivotField showAll="0">
      <items count="5">
        <item x="1"/>
        <item x="2"/>
        <item x="0"/>
        <item x="3"/>
        <item t="default"/>
      </items>
    </pivotField>
    <pivotField showAll="0"/>
    <pivotField showAll="0"/>
    <pivotField showAll="0"/>
    <pivotField showAll="0"/>
  </pivotFields>
  <rowFields count="1">
    <field x="10"/>
  </rowFields>
  <rowItems count="13">
    <i>
      <x/>
    </i>
    <i>
      <x v="1"/>
    </i>
    <i>
      <x v="2"/>
    </i>
    <i>
      <x v="3"/>
    </i>
    <i>
      <x v="4"/>
    </i>
    <i>
      <x v="5"/>
    </i>
    <i>
      <x v="6"/>
    </i>
    <i>
      <x v="7"/>
    </i>
    <i>
      <x v="8"/>
    </i>
    <i>
      <x v="9"/>
    </i>
    <i>
      <x v="10"/>
    </i>
    <i>
      <x v="11"/>
    </i>
    <i t="grand">
      <x/>
    </i>
  </rowItems>
  <colItems count="1">
    <i/>
  </colItems>
  <dataFields count="1">
    <dataField name="Count of customer_id" fld="1" subtotal="count" baseField="0" baseItem="0"/>
  </dataFields>
  <formats count="12">
    <format dxfId="193">
      <pivotArea type="all" dataOnly="0" outline="0" fieldPosition="0"/>
    </format>
    <format dxfId="192">
      <pivotArea outline="0" collapsedLevelsAreSubtotals="1" fieldPosition="0"/>
    </format>
    <format dxfId="191">
      <pivotArea field="10" type="button" dataOnly="0" labelOnly="1" outline="0" axis="axisRow" fieldPosition="0"/>
    </format>
    <format dxfId="190">
      <pivotArea dataOnly="0" labelOnly="1" fieldPosition="0">
        <references count="1">
          <reference field="10" count="0"/>
        </references>
      </pivotArea>
    </format>
    <format dxfId="189">
      <pivotArea dataOnly="0" labelOnly="1" grandRow="1" outline="0" fieldPosition="0"/>
    </format>
    <format dxfId="188">
      <pivotArea dataOnly="0" labelOnly="1" outline="0" axis="axisValues" fieldPosition="0"/>
    </format>
    <format dxfId="187">
      <pivotArea type="all" dataOnly="0" outline="0" fieldPosition="0"/>
    </format>
    <format dxfId="186">
      <pivotArea outline="0" collapsedLevelsAreSubtotals="1" fieldPosition="0"/>
    </format>
    <format dxfId="185">
      <pivotArea field="10" type="button" dataOnly="0" labelOnly="1" outline="0" axis="axisRow" fieldPosition="0"/>
    </format>
    <format dxfId="184">
      <pivotArea dataOnly="0" labelOnly="1" fieldPosition="0">
        <references count="1">
          <reference field="10" count="0"/>
        </references>
      </pivotArea>
    </format>
    <format dxfId="183">
      <pivotArea dataOnly="0" labelOnly="1" grandRow="1" outline="0" fieldPosition="0"/>
    </format>
    <format dxfId="182">
      <pivotArea dataOnly="0" labelOnly="1" outline="0" axis="axisValues" fieldPosition="0"/>
    </format>
  </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8EE14CE-D2CA-4DDF-A2E6-3123CE29EED8}"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52:F66" firstHeaderRow="1" firstDataRow="2" firstDataCol="1"/>
  <pivotFields count="16">
    <pivotField showAll="0"/>
    <pivotField dataField="1" showAll="0">
      <items count="831">
        <item x="441"/>
        <item x="359"/>
        <item x="128"/>
        <item x="139"/>
        <item x="629"/>
        <item x="389"/>
        <item x="175"/>
        <item x="328"/>
        <item x="662"/>
        <item x="250"/>
        <item x="217"/>
        <item x="336"/>
        <item x="781"/>
        <item x="790"/>
        <item x="345"/>
        <item x="733"/>
        <item x="310"/>
        <item x="109"/>
        <item x="791"/>
        <item x="264"/>
        <item x="9"/>
        <item x="443"/>
        <item x="214"/>
        <item x="63"/>
        <item x="457"/>
        <item x="13"/>
        <item x="401"/>
        <item x="622"/>
        <item x="243"/>
        <item x="68"/>
        <item x="763"/>
        <item x="66"/>
        <item x="754"/>
        <item x="329"/>
        <item x="337"/>
        <item x="547"/>
        <item x="107"/>
        <item x="773"/>
        <item x="360"/>
        <item x="760"/>
        <item x="765"/>
        <item x="317"/>
        <item x="577"/>
        <item x="169"/>
        <item x="331"/>
        <item x="665"/>
        <item x="517"/>
        <item x="675"/>
        <item x="327"/>
        <item x="216"/>
        <item x="532"/>
        <item x="350"/>
        <item x="91"/>
        <item x="397"/>
        <item x="302"/>
        <item x="718"/>
        <item x="743"/>
        <item x="496"/>
        <item x="756"/>
        <item x="808"/>
        <item x="353"/>
        <item x="712"/>
        <item x="70"/>
        <item x="349"/>
        <item x="88"/>
        <item x="582"/>
        <item x="805"/>
        <item x="669"/>
        <item x="29"/>
        <item x="358"/>
        <item x="84"/>
        <item x="430"/>
        <item x="569"/>
        <item x="768"/>
        <item x="599"/>
        <item x="589"/>
        <item x="736"/>
        <item x="354"/>
        <item x="814"/>
        <item x="306"/>
        <item x="381"/>
        <item x="458"/>
        <item x="187"/>
        <item x="265"/>
        <item x="501"/>
        <item x="597"/>
        <item x="424"/>
        <item x="404"/>
        <item x="189"/>
        <item x="383"/>
        <item x="511"/>
        <item x="69"/>
        <item x="506"/>
        <item x="6"/>
        <item x="419"/>
        <item x="203"/>
        <item x="428"/>
        <item x="513"/>
        <item x="90"/>
        <item x="630"/>
        <item x="161"/>
        <item x="526"/>
        <item x="433"/>
        <item x="303"/>
        <item x="342"/>
        <item x="449"/>
        <item x="671"/>
        <item x="116"/>
        <item x="619"/>
        <item x="99"/>
        <item x="172"/>
        <item x="696"/>
        <item x="417"/>
        <item x="276"/>
        <item x="770"/>
        <item x="654"/>
        <item x="132"/>
        <item x="233"/>
        <item x="124"/>
        <item x="195"/>
        <item x="481"/>
        <item x="363"/>
        <item x="98"/>
        <item x="466"/>
        <item x="76"/>
        <item x="528"/>
        <item x="463"/>
        <item x="114"/>
        <item x="297"/>
        <item x="392"/>
        <item x="223"/>
        <item x="815"/>
        <item x="469"/>
        <item x="601"/>
        <item x="104"/>
        <item x="680"/>
        <item x="771"/>
        <item x="92"/>
        <item x="707"/>
        <item x="346"/>
        <item x="96"/>
        <item x="323"/>
        <item x="130"/>
        <item x="339"/>
        <item x="314"/>
        <item x="429"/>
        <item x="399"/>
        <item x="406"/>
        <item x="635"/>
        <item x="673"/>
        <item x="48"/>
        <item x="711"/>
        <item x="182"/>
        <item x="552"/>
        <item x="143"/>
        <item x="136"/>
        <item x="2"/>
        <item x="45"/>
        <item x="239"/>
        <item x="603"/>
        <item x="775"/>
        <item x="33"/>
        <item x="667"/>
        <item x="694"/>
        <item x="489"/>
        <item x="320"/>
        <item x="313"/>
        <item x="550"/>
        <item x="720"/>
        <item x="795"/>
        <item x="258"/>
        <item x="717"/>
        <item x="422"/>
        <item x="737"/>
        <item x="312"/>
        <item x="431"/>
        <item x="714"/>
        <item x="226"/>
        <item x="57"/>
        <item x="487"/>
        <item x="190"/>
        <item x="676"/>
        <item x="344"/>
        <item x="127"/>
        <item x="590"/>
        <item x="503"/>
        <item x="509"/>
        <item x="797"/>
        <item x="213"/>
        <item x="800"/>
        <item x="524"/>
        <item x="249"/>
        <item x="39"/>
        <item x="568"/>
        <item x="636"/>
        <item x="282"/>
        <item x="594"/>
        <item x="738"/>
        <item x="655"/>
        <item x="757"/>
        <item x="574"/>
        <item x="7"/>
        <item x="689"/>
        <item x="670"/>
        <item x="150"/>
        <item x="644"/>
        <item x="146"/>
        <item x="232"/>
        <item x="616"/>
        <item x="41"/>
        <item x="451"/>
        <item x="627"/>
        <item x="806"/>
        <item x="420"/>
        <item x="156"/>
        <item x="97"/>
        <item x="106"/>
        <item x="377"/>
        <item x="40"/>
        <item x="562"/>
        <item x="821"/>
        <item x="14"/>
        <item x="623"/>
        <item x="254"/>
        <item x="396"/>
        <item x="52"/>
        <item x="218"/>
        <item x="686"/>
        <item x="827"/>
        <item x="752"/>
        <item x="495"/>
        <item x="450"/>
        <item x="813"/>
        <item x="564"/>
        <item x="522"/>
        <item x="227"/>
        <item x="326"/>
        <item x="204"/>
        <item x="818"/>
        <item x="162"/>
        <item x="498"/>
        <item x="286"/>
        <item x="89"/>
        <item x="649"/>
        <item x="194"/>
        <item x="301"/>
        <item x="125"/>
        <item x="445"/>
        <item x="809"/>
        <item x="340"/>
        <item x="467"/>
        <item x="716"/>
        <item x="685"/>
        <item x="34"/>
        <item x="566"/>
        <item x="351"/>
        <item x="484"/>
        <item x="683"/>
        <item x="794"/>
        <item x="807"/>
        <item x="587"/>
        <item x="261"/>
        <item x="651"/>
        <item x="437"/>
        <item x="571"/>
        <item x="111"/>
        <item x="409"/>
        <item x="609"/>
        <item x="690"/>
        <item x="411"/>
        <item x="290"/>
        <item x="544"/>
        <item x="426"/>
        <item x="608"/>
        <item x="319"/>
        <item x="36"/>
        <item x="739"/>
        <item x="108"/>
        <item x="298"/>
        <item x="432"/>
        <item x="819"/>
        <item x="491"/>
        <item x="236"/>
        <item x="439"/>
        <item x="208"/>
        <item x="188"/>
        <item x="238"/>
        <item x="650"/>
        <item x="796"/>
        <item x="446"/>
        <item x="745"/>
        <item x="617"/>
        <item x="275"/>
        <item x="734"/>
        <item x="581"/>
        <item x="772"/>
        <item x="196"/>
        <item x="263"/>
        <item x="26"/>
        <item x="515"/>
        <item x="46"/>
        <item x="37"/>
        <item x="471"/>
        <item x="299"/>
        <item x="159"/>
        <item x="149"/>
        <item x="418"/>
        <item x="391"/>
        <item x="222"/>
        <item x="212"/>
        <item x="521"/>
        <item x="561"/>
        <item x="77"/>
        <item x="412"/>
        <item x="23"/>
        <item x="798"/>
        <item x="378"/>
        <item x="639"/>
        <item x="479"/>
        <item x="165"/>
        <item x="300"/>
        <item x="356"/>
        <item x="103"/>
        <item x="502"/>
        <item x="722"/>
        <item x="43"/>
        <item x="789"/>
        <item x="653"/>
        <item x="144"/>
        <item x="784"/>
        <item x="293"/>
        <item x="464"/>
        <item x="186"/>
        <item x="201"/>
        <item x="277"/>
        <item x="586"/>
        <item x="10"/>
        <item x="468"/>
        <item x="407"/>
        <item x="242"/>
        <item x="25"/>
        <item x="115"/>
        <item x="325"/>
        <item x="382"/>
        <item x="364"/>
        <item x="256"/>
        <item x="438"/>
        <item x="341"/>
        <item x="12"/>
        <item x="695"/>
        <item x="699"/>
        <item x="687"/>
        <item x="343"/>
        <item x="219"/>
        <item x="543"/>
        <item x="167"/>
        <item x="4"/>
        <item x="724"/>
        <item x="403"/>
        <item x="71"/>
        <item x="56"/>
        <item x="641"/>
        <item x="197"/>
        <item x="93"/>
        <item x="462"/>
        <item x="816"/>
        <item x="470"/>
        <item x="262"/>
        <item x="205"/>
        <item x="802"/>
        <item x="729"/>
        <item x="730"/>
        <item x="751"/>
        <item x="279"/>
        <item x="266"/>
        <item x="322"/>
        <item x="810"/>
        <item x="713"/>
        <item x="225"/>
        <item x="28"/>
        <item x="490"/>
        <item x="74"/>
        <item x="118"/>
        <item x="427"/>
        <item x="606"/>
        <item x="436"/>
        <item x="723"/>
        <item x="158"/>
        <item x="556"/>
        <item x="812"/>
        <item x="777"/>
        <item x="42"/>
        <item x="485"/>
        <item x="693"/>
        <item x="200"/>
        <item x="247"/>
        <item x="246"/>
        <item x="660"/>
        <item x="677"/>
        <item x="333"/>
        <item x="3"/>
        <item x="16"/>
        <item x="494"/>
        <item x="395"/>
        <item x="799"/>
        <item x="355"/>
        <item x="168"/>
        <item x="367"/>
        <item x="570"/>
        <item x="287"/>
        <item x="221"/>
        <item x="682"/>
        <item x="626"/>
        <item x="154"/>
        <item x="658"/>
        <item x="512"/>
        <item x="611"/>
        <item x="231"/>
        <item x="465"/>
        <item x="202"/>
        <item x="235"/>
        <item x="324"/>
        <item x="533"/>
        <item x="134"/>
        <item x="289"/>
        <item x="520"/>
        <item x="725"/>
        <item x="614"/>
        <item x="504"/>
        <item x="435"/>
        <item x="393"/>
        <item x="709"/>
        <item x="307"/>
        <item x="434"/>
        <item x="370"/>
        <item x="105"/>
        <item x="478"/>
        <item x="380"/>
        <item x="148"/>
        <item x="135"/>
        <item x="731"/>
        <item x="663"/>
        <item x="698"/>
        <item x="253"/>
        <item x="461"/>
        <item x="817"/>
        <item x="732"/>
        <item x="191"/>
        <item x="86"/>
        <item x="811"/>
        <item x="710"/>
        <item x="18"/>
        <item x="62"/>
        <item x="565"/>
        <item x="514"/>
        <item x="764"/>
        <item x="129"/>
        <item x="160"/>
        <item x="280"/>
        <item x="681"/>
        <item x="750"/>
        <item x="444"/>
        <item x="793"/>
        <item x="248"/>
        <item x="32"/>
        <item x="292"/>
        <item x="394"/>
        <item x="591"/>
        <item x="759"/>
        <item x="80"/>
        <item x="588"/>
        <item x="546"/>
        <item x="607"/>
        <item x="414"/>
        <item x="291"/>
        <item x="691"/>
        <item x="593"/>
        <item x="185"/>
        <item x="316"/>
        <item x="803"/>
        <item x="664"/>
        <item x="749"/>
        <item x="220"/>
        <item x="288"/>
        <item x="598"/>
        <item x="572"/>
        <item x="315"/>
        <item x="157"/>
        <item x="27"/>
        <item x="87"/>
        <item x="423"/>
        <item x="758"/>
        <item x="492"/>
        <item x="173"/>
        <item x="228"/>
        <item x="702"/>
        <item x="625"/>
        <item x="786"/>
        <item x="142"/>
        <item x="384"/>
        <item x="452"/>
        <item x="493"/>
        <item x="715"/>
        <item x="692"/>
        <item x="152"/>
        <item x="362"/>
        <item x="174"/>
        <item x="829"/>
        <item x="486"/>
        <item x="705"/>
        <item x="408"/>
        <item x="610"/>
        <item x="551"/>
        <item x="65"/>
        <item x="386"/>
        <item x="454"/>
        <item x="50"/>
        <item x="117"/>
        <item x="60"/>
        <item x="766"/>
        <item x="787"/>
        <item x="229"/>
        <item x="17"/>
        <item x="602"/>
        <item x="133"/>
        <item x="398"/>
        <item x="442"/>
        <item x="779"/>
        <item x="151"/>
        <item x="456"/>
        <item x="35"/>
        <item x="47"/>
        <item x="387"/>
        <item x="620"/>
        <item x="579"/>
        <item x="719"/>
        <item x="110"/>
        <item x="604"/>
        <item x="473"/>
        <item x="475"/>
        <item x="209"/>
        <item x="416"/>
        <item x="374"/>
        <item x="548"/>
        <item x="740"/>
        <item x="270"/>
        <item x="527"/>
        <item x="244"/>
        <item x="534"/>
        <item x="499"/>
        <item x="269"/>
        <item x="563"/>
        <item x="281"/>
        <item x="361"/>
        <item x="120"/>
        <item x="410"/>
        <item x="357"/>
        <item x="753"/>
        <item x="510"/>
        <item x="453"/>
        <item x="706"/>
        <item x="531"/>
        <item x="61"/>
        <item x="375"/>
        <item x="81"/>
        <item x="283"/>
        <item x="592"/>
        <item x="824"/>
        <item x="583"/>
        <item x="516"/>
        <item x="224"/>
        <item x="560"/>
        <item x="646"/>
        <item x="425"/>
        <item x="75"/>
        <item x="500"/>
        <item x="311"/>
        <item x="634"/>
        <item x="177"/>
        <item x="585"/>
        <item x="22"/>
        <item x="483"/>
        <item x="637"/>
        <item x="576"/>
        <item x="388"/>
        <item x="728"/>
        <item x="260"/>
        <item x="642"/>
        <item x="102"/>
        <item x="95"/>
        <item x="376"/>
        <item x="30"/>
        <item x="497"/>
        <item x="747"/>
        <item x="400"/>
        <item x="505"/>
        <item x="259"/>
        <item x="595"/>
        <item x="476"/>
        <item x="308"/>
        <item x="0"/>
        <item x="309"/>
        <item x="192"/>
        <item x="199"/>
        <item x="567"/>
        <item x="474"/>
        <item x="44"/>
        <item x="334"/>
        <item x="371"/>
        <item x="472"/>
        <item x="679"/>
        <item x="338"/>
        <item x="164"/>
        <item x="584"/>
        <item x="823"/>
        <item x="296"/>
        <item x="184"/>
        <item x="659"/>
        <item x="24"/>
        <item x="541"/>
        <item x="365"/>
        <item x="536"/>
        <item x="170"/>
        <item x="822"/>
        <item x="535"/>
        <item x="778"/>
        <item x="460"/>
        <item x="742"/>
        <item x="666"/>
        <item x="697"/>
        <item x="704"/>
        <item x="285"/>
        <item x="596"/>
        <item x="372"/>
        <item x="284"/>
        <item x="54"/>
        <item x="518"/>
        <item x="274"/>
        <item x="268"/>
        <item x="801"/>
        <item x="181"/>
        <item x="126"/>
        <item x="744"/>
        <item x="774"/>
        <item x="648"/>
        <item x="58"/>
        <item x="557"/>
        <item x="545"/>
        <item x="207"/>
        <item x="482"/>
        <item x="335"/>
        <item x="113"/>
        <item x="788"/>
        <item x="657"/>
        <item x="825"/>
        <item x="94"/>
        <item x="755"/>
        <item x="67"/>
        <item x="549"/>
        <item x="379"/>
        <item x="267"/>
        <item x="123"/>
        <item x="618"/>
        <item x="554"/>
        <item x="252"/>
        <item x="49"/>
        <item x="767"/>
        <item x="459"/>
        <item x="166"/>
        <item x="78"/>
        <item x="210"/>
        <item x="632"/>
        <item x="230"/>
        <item x="624"/>
        <item x="183"/>
        <item x="421"/>
        <item x="64"/>
        <item x="674"/>
        <item x="480"/>
        <item x="55"/>
        <item x="83"/>
        <item x="240"/>
        <item x="700"/>
        <item x="540"/>
        <item x="638"/>
        <item x="523"/>
        <item x="119"/>
        <item x="21"/>
        <item x="31"/>
        <item x="701"/>
        <item x="19"/>
        <item x="368"/>
        <item x="783"/>
        <item x="294"/>
        <item x="507"/>
        <item x="640"/>
        <item x="508"/>
        <item x="447"/>
        <item x="542"/>
        <item x="72"/>
        <item x="559"/>
        <item x="455"/>
        <item x="245"/>
        <item x="769"/>
        <item x="448"/>
        <item x="746"/>
        <item x="415"/>
        <item x="257"/>
        <item x="79"/>
        <item x="178"/>
        <item x="600"/>
        <item x="672"/>
        <item x="59"/>
        <item x="656"/>
        <item x="180"/>
        <item x="555"/>
        <item x="138"/>
        <item x="176"/>
        <item x="761"/>
        <item x="5"/>
        <item x="785"/>
        <item x="198"/>
        <item x="708"/>
        <item x="272"/>
        <item x="137"/>
        <item x="580"/>
        <item x="121"/>
        <item x="101"/>
        <item x="613"/>
        <item x="477"/>
        <item x="684"/>
        <item x="668"/>
        <item x="537"/>
        <item x="578"/>
        <item x="558"/>
        <item x="645"/>
        <item x="647"/>
        <item x="369"/>
        <item x="251"/>
        <item x="171"/>
        <item x="828"/>
        <item x="726"/>
        <item x="330"/>
        <item x="145"/>
        <item x="255"/>
        <item x="385"/>
        <item x="628"/>
        <item x="553"/>
        <item x="352"/>
        <item x="1"/>
        <item x="348"/>
        <item x="727"/>
        <item x="776"/>
        <item x="661"/>
        <item x="304"/>
        <item x="488"/>
        <item x="215"/>
        <item x="440"/>
        <item x="271"/>
        <item x="179"/>
        <item x="206"/>
        <item x="741"/>
        <item x="413"/>
        <item x="278"/>
        <item x="273"/>
        <item x="804"/>
        <item x="85"/>
        <item x="155"/>
        <item x="366"/>
        <item x="122"/>
        <item x="53"/>
        <item x="241"/>
        <item x="792"/>
        <item x="193"/>
        <item x="631"/>
        <item x="762"/>
        <item x="612"/>
        <item x="8"/>
        <item x="211"/>
        <item x="15"/>
        <item x="147"/>
        <item x="780"/>
        <item x="347"/>
        <item x="100"/>
        <item x="153"/>
        <item x="318"/>
        <item x="73"/>
        <item x="652"/>
        <item x="703"/>
        <item x="112"/>
        <item x="519"/>
        <item x="529"/>
        <item x="305"/>
        <item x="615"/>
        <item x="735"/>
        <item x="20"/>
        <item x="621"/>
        <item x="530"/>
        <item x="295"/>
        <item x="82"/>
        <item x="332"/>
        <item x="141"/>
        <item x="390"/>
        <item x="11"/>
        <item x="402"/>
        <item x="38"/>
        <item x="373"/>
        <item x="573"/>
        <item x="633"/>
        <item x="525"/>
        <item x="643"/>
        <item x="321"/>
        <item x="51"/>
        <item x="163"/>
        <item x="131"/>
        <item x="605"/>
        <item x="539"/>
        <item x="575"/>
        <item x="405"/>
        <item x="782"/>
        <item x="721"/>
        <item x="820"/>
        <item x="826"/>
        <item x="237"/>
        <item x="234"/>
        <item x="140"/>
        <item x="748"/>
        <item x="688"/>
        <item x="678"/>
        <item x="538"/>
        <item t="default"/>
      </items>
    </pivotField>
    <pivotField numFmtId="14" showAll="0"/>
    <pivotField showAll="0"/>
    <pivotField showAll="0"/>
    <pivotField showAll="0">
      <items count="3">
        <item x="1"/>
        <item x="0"/>
        <item t="default"/>
      </items>
    </pivotField>
    <pivotField showAll="0"/>
    <pivotField axis="axisCol" showAll="0">
      <items count="4">
        <item x="2"/>
        <item x="1"/>
        <item x="0"/>
        <item t="default"/>
      </items>
    </pivotField>
    <pivotField showAll="0">
      <items count="4">
        <item x="2"/>
        <item x="1"/>
        <item x="0"/>
        <item t="default"/>
      </items>
    </pivotField>
    <pivotField showAll="0">
      <items count="5">
        <item x="0"/>
        <item x="1"/>
        <item x="2"/>
        <item x="3"/>
        <item t="default"/>
      </items>
    </pivotField>
    <pivotField axis="axisRow" showAll="0">
      <items count="13">
        <item x="1"/>
        <item x="2"/>
        <item x="8"/>
        <item x="3"/>
        <item x="5"/>
        <item x="9"/>
        <item x="11"/>
        <item x="0"/>
        <item x="7"/>
        <item x="6"/>
        <item x="4"/>
        <item x="10"/>
        <item t="default"/>
      </items>
    </pivotField>
    <pivotField showAll="0">
      <items count="5">
        <item x="1"/>
        <item x="2"/>
        <item x="0"/>
        <item x="3"/>
        <item t="default"/>
      </items>
    </pivotField>
    <pivotField showAll="0"/>
    <pivotField showAll="0"/>
    <pivotField showAll="0"/>
    <pivotField showAll="0"/>
  </pivotFields>
  <rowFields count="1">
    <field x="10"/>
  </rowFields>
  <rowItems count="13">
    <i>
      <x/>
    </i>
    <i>
      <x v="1"/>
    </i>
    <i>
      <x v="2"/>
    </i>
    <i>
      <x v="3"/>
    </i>
    <i>
      <x v="4"/>
    </i>
    <i>
      <x v="5"/>
    </i>
    <i>
      <x v="6"/>
    </i>
    <i>
      <x v="7"/>
    </i>
    <i>
      <x v="8"/>
    </i>
    <i>
      <x v="9"/>
    </i>
    <i>
      <x v="10"/>
    </i>
    <i>
      <x v="11"/>
    </i>
    <i t="grand">
      <x/>
    </i>
  </rowItems>
  <colFields count="1">
    <field x="7"/>
  </colFields>
  <colItems count="4">
    <i>
      <x/>
    </i>
    <i>
      <x v="1"/>
    </i>
    <i>
      <x v="2"/>
    </i>
    <i t="grand">
      <x/>
    </i>
  </colItems>
  <dataFields count="1">
    <dataField name="Count of customer_id" fld="1" subtotal="count" baseField="0" baseItem="0"/>
  </dataFields>
  <formats count="20">
    <format dxfId="213">
      <pivotArea type="all" dataOnly="0" outline="0" fieldPosition="0"/>
    </format>
    <format dxfId="212">
      <pivotArea outline="0" collapsedLevelsAreSubtotals="1" fieldPosition="0"/>
    </format>
    <format dxfId="211">
      <pivotArea type="origin" dataOnly="0" labelOnly="1" outline="0" fieldPosition="0"/>
    </format>
    <format dxfId="210">
      <pivotArea field="7" type="button" dataOnly="0" labelOnly="1" outline="0" axis="axisCol" fieldPosition="0"/>
    </format>
    <format dxfId="209">
      <pivotArea type="topRight" dataOnly="0" labelOnly="1" outline="0" fieldPosition="0"/>
    </format>
    <format dxfId="208">
      <pivotArea field="10" type="button" dataOnly="0" labelOnly="1" outline="0" axis="axisRow" fieldPosition="0"/>
    </format>
    <format dxfId="207">
      <pivotArea dataOnly="0" labelOnly="1" fieldPosition="0">
        <references count="1">
          <reference field="10" count="0"/>
        </references>
      </pivotArea>
    </format>
    <format dxfId="206">
      <pivotArea dataOnly="0" labelOnly="1" grandRow="1" outline="0" fieldPosition="0"/>
    </format>
    <format dxfId="205">
      <pivotArea dataOnly="0" labelOnly="1" fieldPosition="0">
        <references count="1">
          <reference field="7" count="0"/>
        </references>
      </pivotArea>
    </format>
    <format dxfId="204">
      <pivotArea dataOnly="0" labelOnly="1" grandCol="1" outline="0" fieldPosition="0"/>
    </format>
    <format dxfId="203">
      <pivotArea type="all" dataOnly="0" outline="0" fieldPosition="0"/>
    </format>
    <format dxfId="202">
      <pivotArea outline="0" collapsedLevelsAreSubtotals="1" fieldPosition="0"/>
    </format>
    <format dxfId="201">
      <pivotArea type="origin" dataOnly="0" labelOnly="1" outline="0" fieldPosition="0"/>
    </format>
    <format dxfId="200">
      <pivotArea field="7" type="button" dataOnly="0" labelOnly="1" outline="0" axis="axisCol" fieldPosition="0"/>
    </format>
    <format dxfId="199">
      <pivotArea type="topRight" dataOnly="0" labelOnly="1" outline="0" fieldPosition="0"/>
    </format>
    <format dxfId="198">
      <pivotArea field="10" type="button" dataOnly="0" labelOnly="1" outline="0" axis="axisRow" fieldPosition="0"/>
    </format>
    <format dxfId="197">
      <pivotArea dataOnly="0" labelOnly="1" fieldPosition="0">
        <references count="1">
          <reference field="10" count="0"/>
        </references>
      </pivotArea>
    </format>
    <format dxfId="196">
      <pivotArea dataOnly="0" labelOnly="1" grandRow="1" outline="0" fieldPosition="0"/>
    </format>
    <format dxfId="195">
      <pivotArea dataOnly="0" labelOnly="1" fieldPosition="0">
        <references count="1">
          <reference field="7" count="0"/>
        </references>
      </pivotArea>
    </format>
    <format dxfId="194">
      <pivotArea dataOnly="0" labelOnly="1" grandCol="1" outline="0" fieldPosition="0"/>
    </format>
  </formats>
  <chartFormats count="3">
    <chartFormat chart="3" format="6" series="1">
      <pivotArea type="data" outline="0" fieldPosition="0">
        <references count="2">
          <reference field="4294967294" count="1" selected="0">
            <x v="0"/>
          </reference>
          <reference field="7" count="1" selected="0">
            <x v="0"/>
          </reference>
        </references>
      </pivotArea>
    </chartFormat>
    <chartFormat chart="3" format="7" series="1">
      <pivotArea type="data" outline="0" fieldPosition="0">
        <references count="2">
          <reference field="4294967294" count="1" selected="0">
            <x v="0"/>
          </reference>
          <reference field="7" count="1" selected="0">
            <x v="1"/>
          </reference>
        </references>
      </pivotArea>
    </chartFormat>
    <chartFormat chart="3" format="8" series="1">
      <pivotArea type="data" outline="0" fieldPosition="0">
        <references count="2">
          <reference field="4294967294" count="1" selected="0">
            <x v="0"/>
          </reference>
          <reference field="7" count="1" selected="0">
            <x v="2"/>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8C0781E-97C1-4716-AC54-74896DD08135}" autoFormatId="16" applyNumberFormats="0" applyBorderFormats="0" applyFontFormats="0" applyPatternFormats="0" applyAlignmentFormats="0" applyWidthHeightFormats="0">
  <queryTableRefresh nextId="18" unboundColumnsRight="9">
    <queryTableFields count="16">
      <queryTableField id="1" name="feedback_id" tableColumnId="1"/>
      <queryTableField id="2" name="customer_id" tableColumnId="2"/>
      <queryTableField id="3" name="date_submitted" tableColumnId="3"/>
      <queryTableField id="4" name="feedback_text" tableColumnId="4"/>
      <queryTableField id="5" name="satisfaction_score" tableColumnId="5"/>
      <queryTableField id="6" name="contacted_agent" tableColumnId="6"/>
      <queryTableField id="7" name="referred_claim" tableColumnId="7"/>
      <queryTableField id="8" dataBound="0" tableColumnId="8"/>
      <queryTableField id="9" dataBound="0" tableColumnId="9"/>
      <queryTableField id="10" dataBound="0" tableColumnId="10"/>
      <queryTableField id="11" dataBound="0" tableColumnId="11"/>
      <queryTableField id="12" dataBound="0" tableColumnId="12"/>
      <queryTableField id="13" dataBound="0" tableColumnId="13"/>
      <queryTableField id="14" dataBound="0" tableColumnId="14"/>
      <queryTableField id="15" dataBound="0" tableColumnId="15"/>
      <queryTableField id="17" dataBound="0"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acted_agent" xr10:uid="{7FB0C20D-2140-4759-ADFA-5AF3391DD800}" sourceName="contacted_agent">
  <pivotTables>
    <pivotTable tabId="3" name="PivotTable7"/>
    <pivotTable tabId="3" name="PivotTable1"/>
    <pivotTable tabId="3" name="PivotTable10"/>
    <pivotTable tabId="3" name="PivotTable11"/>
    <pivotTable tabId="3" name="PivotTable12"/>
    <pivotTable tabId="3" name="PivotTable2"/>
    <pivotTable tabId="3" name="PivotTable3"/>
    <pivotTable tabId="3" name="PivotTable4"/>
    <pivotTable tabId="3" name="PivotTable5"/>
    <pivotTable tabId="3" name="PivotTable6"/>
    <pivotTable tabId="3" name="PivotTable8"/>
    <pivotTable tabId="3" name="PivotTable9"/>
  </pivotTables>
  <data>
    <tabular pivotCacheId="1197376266">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eedback_Category" xr10:uid="{13CF2557-B654-405B-97C4-984505330746}" sourceName="Feedback_Category">
  <pivotTables>
    <pivotTable tabId="3" name="PivotTable7"/>
    <pivotTable tabId="3" name="PivotTable1"/>
    <pivotTable tabId="3" name="PivotTable10"/>
    <pivotTable tabId="3" name="PivotTable11"/>
    <pivotTable tabId="3" name="PivotTable12"/>
    <pivotTable tabId="3" name="PivotTable2"/>
    <pivotTable tabId="3" name="PivotTable3"/>
    <pivotTable tabId="3" name="PivotTable4"/>
    <pivotTable tabId="3" name="PivotTable5"/>
    <pivotTable tabId="3" name="PivotTable6"/>
    <pivotTable tabId="3" name="PivotTable8"/>
    <pivotTable tabId="3" name="PivotTable9"/>
  </pivotTables>
  <data>
    <tabular pivotCacheId="1197376266">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Group" xr10:uid="{104933AD-32C7-4626-9F64-651019BAB762}" sourceName="Rating Group">
  <pivotTables>
    <pivotTable tabId="3" name="PivotTable7"/>
    <pivotTable tabId="3" name="PivotTable1"/>
    <pivotTable tabId="3" name="PivotTable10"/>
    <pivotTable tabId="3" name="PivotTable11"/>
    <pivotTable tabId="3" name="PivotTable12"/>
    <pivotTable tabId="3" name="PivotTable2"/>
    <pivotTable tabId="3" name="PivotTable3"/>
    <pivotTable tabId="3" name="PivotTable4"/>
    <pivotTable tabId="3" name="PivotTable5"/>
    <pivotTable tabId="3" name="PivotTable6"/>
    <pivotTable tabId="3" name="PivotTable8"/>
    <pivotTable tabId="3" name="PivotTable9"/>
  </pivotTables>
  <data>
    <tabular pivotCacheId="1197376266">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1D53D08-43BB-4337-B6C6-DF011E833C9E}" sourceName="Year">
  <pivotTables>
    <pivotTable tabId="3" name="PivotTable7"/>
    <pivotTable tabId="3" name="PivotTable1"/>
    <pivotTable tabId="3" name="PivotTable10"/>
    <pivotTable tabId="3" name="PivotTable11"/>
    <pivotTable tabId="3" name="PivotTable12"/>
    <pivotTable tabId="3" name="PivotTable2"/>
    <pivotTable tabId="3" name="PivotTable3"/>
    <pivotTable tabId="3" name="PivotTable4"/>
    <pivotTable tabId="3" name="PivotTable5"/>
    <pivotTable tabId="3" name="PivotTable8"/>
    <pivotTable tabId="3" name="PivotTable9"/>
  </pivotTables>
  <data>
    <tabular pivotCacheId="1197376266">
      <items count="4">
        <i x="0" s="1"/>
        <i x="1" s="1"/>
        <i x="2"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99342D44-E74D-452D-80F1-3AEAD64B03D1}" sourceName="Month">
  <pivotTables>
    <pivotTable tabId="3" name="PivotTable7"/>
    <pivotTable tabId="3" name="PivotTable1"/>
    <pivotTable tabId="3" name="PivotTable10"/>
    <pivotTable tabId="3" name="PivotTable11"/>
    <pivotTable tabId="3" name="PivotTable12"/>
    <pivotTable tabId="3" name="PivotTable2"/>
    <pivotTable tabId="3" name="PivotTable3"/>
    <pivotTable tabId="3" name="PivotTable4"/>
    <pivotTable tabId="3" name="PivotTable5"/>
    <pivotTable tabId="3" name="PivotTable6"/>
    <pivotTable tabId="3" name="PivotTable8"/>
    <pivotTable tabId="3" name="PivotTable9"/>
  </pivotTables>
  <data>
    <tabular pivotCacheId="1197376266">
      <items count="12">
        <i x="1" s="1"/>
        <i x="2" s="1"/>
        <i x="8" s="1"/>
        <i x="3" s="1"/>
        <i x="5" s="1"/>
        <i x="9" s="1"/>
        <i x="11" s="1"/>
        <i x="0" s="1"/>
        <i x="7" s="1"/>
        <i x="6" s="1"/>
        <i x="4" s="1"/>
        <i x="1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7A3D4695-6BBB-4376-980D-A1B2C39B34CD}" sourceName="Quarter">
  <pivotTables>
    <pivotTable tabId="3" name="PivotTable7"/>
    <pivotTable tabId="3" name="PivotTable1"/>
    <pivotTable tabId="3" name="PivotTable10"/>
    <pivotTable tabId="3" name="PivotTable11"/>
    <pivotTable tabId="3" name="PivotTable12"/>
    <pivotTable tabId="3" name="PivotTable2"/>
    <pivotTable tabId="3" name="PivotTable3"/>
    <pivotTable tabId="3" name="PivotTable4"/>
    <pivotTable tabId="3" name="PivotTable5"/>
    <pivotTable tabId="3" name="PivotTable6"/>
    <pivotTable tabId="3" name="PivotTable8"/>
    <pivotTable tabId="3" name="PivotTable9"/>
  </pivotTables>
  <data>
    <tabular pivotCacheId="1197376266">
      <items count="4">
        <i x="1" s="1"/>
        <i x="2"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tacted_agent" xr10:uid="{2F1681E6-3B67-409D-B68F-3E59AD2AFA9A}" cache="Slicer_contacted_agent" caption="contacted_agent" columnCount="2" style="SlicerStyleLight6" rowHeight="180000"/>
  <slicer name="Feedback_Category" xr10:uid="{2A7CD526-FA6C-4C51-9F0C-B2D4D44F18ED}" cache="Slicer_Feedback_Category" caption="Feedback_Category" columnCount="2" style="SlicerStyleLight6" rowHeight="180000"/>
  <slicer name="Rating Group" xr10:uid="{F1CA84F7-9DF1-4F86-9EA7-854868CDAAA6}" cache="Slicer_Rating_Group" caption="Rating Group" columnCount="2" style="SlicerStyleLight6" rowHeight="144000"/>
  <slicer name="Year" xr10:uid="{99F7AA92-9C38-4E95-A7D1-42EDA380DE35}" cache="Slicer_Year" caption="Year" columnCount="2" style="SlicerStyleLight6" rowHeight="144000"/>
  <slicer name="Month" xr10:uid="{5CF70935-B559-4841-9C55-C2634DE51360}" cache="Slicer_Month" caption="Month" columnCount="2" style="SlicerStyleLight6" rowHeight="180000"/>
  <slicer name="Quarter" xr10:uid="{4EECE839-E52F-4B4F-9788-F663F269CFED}" cache="Slicer_Quarter" caption="Quarter" columnCount="2" style="SlicerStyleLight6" rowHeight="144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A123378-9FBF-4AF0-852A-0950E6E90E9F}" name="cf_cl" displayName="cf_cl" ref="A1:P1002" tableType="queryTable" totalsRowCount="1">
  <autoFilter ref="A1:P1001" xr:uid="{BA123378-9FBF-4AF0-852A-0950E6E90E9F}"/>
  <tableColumns count="16">
    <tableColumn id="1" xr3:uid="{9827EADC-A732-4BBF-BE0C-2D7322BF6F55}" uniqueName="1" name="feedback_id" queryTableFieldId="1" dataDxfId="49"/>
    <tableColumn id="2" xr3:uid="{EB1ED3BF-DACC-49C1-B704-AB32A63305D1}" uniqueName="2" name="customer_id" queryTableFieldId="2" dataDxfId="48"/>
    <tableColumn id="3" xr3:uid="{3AD02562-0311-4F2E-B433-925A8F6031DB}" uniqueName="3" name="date_submitted" queryTableFieldId="3" dataDxfId="47" totalsRowDxfId="31"/>
    <tableColumn id="4" xr3:uid="{957A2B66-043E-487C-A2FF-32CC5848448A}" uniqueName="4" name="feedback_text" queryTableFieldId="4" dataDxfId="46"/>
    <tableColumn id="5" xr3:uid="{49E5C948-1D94-48DD-AFA1-C6C7F6B08202}" uniqueName="5" name="satisfaction_score" queryTableFieldId="5"/>
    <tableColumn id="6" xr3:uid="{7A5C788F-35FE-4CB8-AB9A-E2E49E85D5A7}" uniqueName="6" name="contacted_agent" queryTableFieldId="6" dataDxfId="45" totalsRowDxfId="30"/>
    <tableColumn id="7" xr3:uid="{3E30C7E9-8974-4E35-93C6-B3569B3E0FEE}" uniqueName="7" name="referred_claim" queryTableFieldId="7" dataDxfId="44" totalsRowDxfId="29"/>
    <tableColumn id="8" xr3:uid="{59071695-7391-4756-854D-4AAA3A32E56F}" uniqueName="8" name="Feedback_Category" queryTableFieldId="8" dataDxfId="43" totalsRowDxfId="28">
      <calculatedColumnFormula>IF(cf_cl[[#This Row],[satisfaction_score]]&gt;=4,"Happy",IF(cf_cl[[#This Row],[satisfaction_score]]=3,"Neutral","Negative"))</calculatedColumnFormula>
    </tableColumn>
    <tableColumn id="9" xr3:uid="{CF1A3836-6C01-4293-93E7-0240FB767FD4}" uniqueName="9" name="Rating Group" queryTableFieldId="9" dataDxfId="42" totalsRowDxfId="27">
      <calculatedColumnFormula>IF(cf_cl[[#This Row],[satisfaction_score]]&lt;=2,"Low",IF(cf_cl[[#This Row],[satisfaction_score]]=3,"Medium","High"))</calculatedColumnFormula>
    </tableColumn>
    <tableColumn id="10" xr3:uid="{0EA6A18A-904B-4ADF-8CCF-DF4987A2AD6E}" uniqueName="10" name="Year" queryTableFieldId="10" dataDxfId="41">
      <calculatedColumnFormula>YEAR(cf_cl[[#This Row],[date_submitted]])</calculatedColumnFormula>
    </tableColumn>
    <tableColumn id="11" xr3:uid="{591BF1B5-C115-43EE-9B91-4D6E05902E61}" uniqueName="11" name="Month" queryTableFieldId="11" dataDxfId="40" totalsRowDxfId="26">
      <calculatedColumnFormula>TEXT(cf_cl[[#This Row],[date_submitted]],"mmm")</calculatedColumnFormula>
    </tableColumn>
    <tableColumn id="12" xr3:uid="{E0590A4A-56A8-47BD-BEEB-BAD929E50617}" uniqueName="12" name="Quarter" queryTableFieldId="12" dataDxfId="39" totalsRowDxfId="25">
      <calculatedColumnFormula>"Q"&amp;ROUNDUP(MONTH(C2)/3,0)</calculatedColumnFormula>
    </tableColumn>
    <tableColumn id="13" xr3:uid="{6ECD5610-3C10-45FF-B371-3651620840BA}" uniqueName="13" name="Weekday" queryTableFieldId="13" dataDxfId="38" totalsRowDxfId="24">
      <calculatedColumnFormula>TEXT(C2,"dddd")</calculatedColumnFormula>
    </tableColumn>
    <tableColumn id="14" xr3:uid="{931B7C78-A7DF-4BCB-AF9A-1B144840036D}" uniqueName="14" name="Response Required" queryTableFieldId="14" dataDxfId="37" totalsRowDxfId="23">
      <calculatedColumnFormula>IF(E2&lt;=2,"Yes","No")</calculatedColumnFormula>
    </tableColumn>
    <tableColumn id="15" xr3:uid="{58BBF264-6340-430D-99B8-25D94DE67CE5}" uniqueName="15" name="Customer Segment" queryTableFieldId="15" dataDxfId="36" totalsRowDxfId="22">
      <calculatedColumnFormula>IF(COUNTIF($B:$B,B2)=1,"New Customer",
IF(COUNTIF($B:$B,B2)&lt;=3,"Returning Customer","Loyal Customer"))</calculatedColumnFormula>
    </tableColumn>
    <tableColumn id="17" xr3:uid="{81A42692-2C01-4A53-93F1-772F794EC275}" uniqueName="17" name="Referral_Status" queryTableFieldId="17" dataDxfId="35" totalsRowDxfId="21">
      <calculatedColumnFormula>IF(cf_cl[[#This Row],[referred_claim]]="Yes","Referred","Not Referred")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593B1-2E6F-4169-9858-570AD2D057AF}">
  <dimension ref="A1:G1001"/>
  <sheetViews>
    <sheetView workbookViewId="0">
      <selection activeCell="H1" sqref="H1"/>
    </sheetView>
  </sheetViews>
  <sheetFormatPr defaultRowHeight="14.4" x14ac:dyDescent="0.3"/>
  <cols>
    <col min="1" max="1" width="11.33203125" bestFit="1" customWidth="1"/>
    <col min="2" max="2" width="11.44140625" bestFit="1" customWidth="1"/>
    <col min="3" max="3" width="14.44140625" bestFit="1" customWidth="1"/>
    <col min="4" max="4" width="42.77734375" bestFit="1" customWidth="1"/>
    <col min="5" max="5" width="16.109375" bestFit="1" customWidth="1"/>
    <col min="6" max="6" width="15.33203125" bestFit="1" customWidth="1"/>
    <col min="7" max="7" width="13.33203125" bestFit="1" customWidth="1"/>
  </cols>
  <sheetData>
    <row r="1" spans="1:7" x14ac:dyDescent="0.3">
      <c r="A1" s="2" t="s">
        <v>0</v>
      </c>
      <c r="B1" s="2" t="s">
        <v>1</v>
      </c>
      <c r="C1" s="2" t="s">
        <v>2</v>
      </c>
      <c r="D1" s="2" t="s">
        <v>3</v>
      </c>
      <c r="E1" s="2" t="s">
        <v>4</v>
      </c>
      <c r="F1" s="2" t="s">
        <v>5</v>
      </c>
      <c r="G1" s="2" t="s">
        <v>6</v>
      </c>
    </row>
    <row r="2" spans="1:7" x14ac:dyDescent="0.3">
      <c r="A2" t="s">
        <v>7</v>
      </c>
      <c r="B2" t="s">
        <v>8</v>
      </c>
      <c r="C2" t="s">
        <v>1852</v>
      </c>
      <c r="D2" t="s">
        <v>9</v>
      </c>
      <c r="E2">
        <v>3</v>
      </c>
      <c r="F2" t="s">
        <v>10</v>
      </c>
      <c r="G2" t="s">
        <v>10</v>
      </c>
    </row>
    <row r="3" spans="1:7" x14ac:dyDescent="0.3">
      <c r="A3" t="s">
        <v>11</v>
      </c>
      <c r="B3" t="s">
        <v>12</v>
      </c>
      <c r="C3" t="s">
        <v>1853</v>
      </c>
      <c r="D3" t="s">
        <v>9</v>
      </c>
      <c r="E3">
        <v>1</v>
      </c>
      <c r="F3" t="s">
        <v>13</v>
      </c>
      <c r="G3" t="s">
        <v>10</v>
      </c>
    </row>
    <row r="4" spans="1:7" x14ac:dyDescent="0.3">
      <c r="A4" t="s">
        <v>14</v>
      </c>
      <c r="B4" t="s">
        <v>15</v>
      </c>
      <c r="C4" t="s">
        <v>1854</v>
      </c>
      <c r="D4" t="s">
        <v>16</v>
      </c>
      <c r="E4">
        <v>5</v>
      </c>
      <c r="F4" t="s">
        <v>13</v>
      </c>
      <c r="G4" t="s">
        <v>10</v>
      </c>
    </row>
    <row r="5" spans="1:7" x14ac:dyDescent="0.3">
      <c r="A5" t="s">
        <v>17</v>
      </c>
      <c r="B5" t="s">
        <v>18</v>
      </c>
      <c r="C5" t="s">
        <v>1855</v>
      </c>
      <c r="D5" t="s">
        <v>19</v>
      </c>
      <c r="E5">
        <v>2</v>
      </c>
      <c r="F5" t="s">
        <v>13</v>
      </c>
      <c r="G5" t="s">
        <v>10</v>
      </c>
    </row>
    <row r="6" spans="1:7" x14ac:dyDescent="0.3">
      <c r="A6" t="s">
        <v>20</v>
      </c>
      <c r="B6" t="s">
        <v>21</v>
      </c>
      <c r="C6" t="s">
        <v>1856</v>
      </c>
      <c r="D6" t="s">
        <v>22</v>
      </c>
      <c r="E6">
        <v>5</v>
      </c>
      <c r="F6" t="s">
        <v>13</v>
      </c>
      <c r="G6" t="s">
        <v>13</v>
      </c>
    </row>
    <row r="7" spans="1:7" x14ac:dyDescent="0.3">
      <c r="A7" t="s">
        <v>23</v>
      </c>
      <c r="B7" t="s">
        <v>24</v>
      </c>
      <c r="C7" t="s">
        <v>1857</v>
      </c>
      <c r="D7" t="s">
        <v>25</v>
      </c>
      <c r="E7">
        <v>5</v>
      </c>
      <c r="F7" t="s">
        <v>10</v>
      </c>
      <c r="G7" t="s">
        <v>13</v>
      </c>
    </row>
    <row r="8" spans="1:7" x14ac:dyDescent="0.3">
      <c r="A8" t="s">
        <v>26</v>
      </c>
      <c r="B8" t="s">
        <v>27</v>
      </c>
      <c r="C8" t="s">
        <v>1858</v>
      </c>
      <c r="D8" t="s">
        <v>28</v>
      </c>
      <c r="E8">
        <v>4</v>
      </c>
      <c r="F8" t="s">
        <v>10</v>
      </c>
      <c r="G8" t="s">
        <v>10</v>
      </c>
    </row>
    <row r="9" spans="1:7" x14ac:dyDescent="0.3">
      <c r="A9" t="s">
        <v>29</v>
      </c>
      <c r="B9" t="s">
        <v>30</v>
      </c>
      <c r="C9" t="s">
        <v>1859</v>
      </c>
      <c r="D9" t="s">
        <v>31</v>
      </c>
      <c r="E9">
        <v>3</v>
      </c>
      <c r="F9" t="s">
        <v>13</v>
      </c>
      <c r="G9" t="s">
        <v>13</v>
      </c>
    </row>
    <row r="10" spans="1:7" x14ac:dyDescent="0.3">
      <c r="A10" t="s">
        <v>32</v>
      </c>
      <c r="B10" t="s">
        <v>33</v>
      </c>
      <c r="C10" t="s">
        <v>1860</v>
      </c>
      <c r="D10" t="s">
        <v>16</v>
      </c>
      <c r="E10">
        <v>5</v>
      </c>
      <c r="F10" t="s">
        <v>10</v>
      </c>
      <c r="G10" t="s">
        <v>10</v>
      </c>
    </row>
    <row r="11" spans="1:7" x14ac:dyDescent="0.3">
      <c r="A11" t="s">
        <v>34</v>
      </c>
      <c r="B11" t="s">
        <v>12</v>
      </c>
      <c r="C11" t="s">
        <v>1861</v>
      </c>
      <c r="D11" t="s">
        <v>28</v>
      </c>
      <c r="E11">
        <v>4</v>
      </c>
      <c r="F11" t="s">
        <v>13</v>
      </c>
      <c r="G11" t="s">
        <v>13</v>
      </c>
    </row>
    <row r="12" spans="1:7" x14ac:dyDescent="0.3">
      <c r="A12" t="s">
        <v>35</v>
      </c>
      <c r="B12" t="s">
        <v>36</v>
      </c>
      <c r="C12" t="s">
        <v>1862</v>
      </c>
      <c r="D12" t="s">
        <v>37</v>
      </c>
      <c r="E12">
        <v>3</v>
      </c>
      <c r="F12" t="s">
        <v>10</v>
      </c>
      <c r="G12" t="s">
        <v>13</v>
      </c>
    </row>
    <row r="13" spans="1:7" x14ac:dyDescent="0.3">
      <c r="A13" t="s">
        <v>38</v>
      </c>
      <c r="B13" t="s">
        <v>39</v>
      </c>
      <c r="C13" t="s">
        <v>1863</v>
      </c>
      <c r="D13" t="s">
        <v>9</v>
      </c>
      <c r="E13">
        <v>1</v>
      </c>
      <c r="F13" t="s">
        <v>10</v>
      </c>
      <c r="G13" t="s">
        <v>13</v>
      </c>
    </row>
    <row r="14" spans="1:7" x14ac:dyDescent="0.3">
      <c r="A14" t="s">
        <v>40</v>
      </c>
      <c r="B14" t="s">
        <v>41</v>
      </c>
      <c r="C14" t="s">
        <v>1864</v>
      </c>
      <c r="D14" t="s">
        <v>19</v>
      </c>
      <c r="E14">
        <v>3</v>
      </c>
      <c r="F14" t="s">
        <v>13</v>
      </c>
      <c r="G14" t="s">
        <v>13</v>
      </c>
    </row>
    <row r="15" spans="1:7" x14ac:dyDescent="0.3">
      <c r="A15" t="s">
        <v>42</v>
      </c>
      <c r="B15" t="s">
        <v>43</v>
      </c>
      <c r="C15" t="s">
        <v>1865</v>
      </c>
      <c r="D15" t="s">
        <v>22</v>
      </c>
      <c r="E15">
        <v>4</v>
      </c>
      <c r="F15" t="s">
        <v>10</v>
      </c>
      <c r="G15" t="s">
        <v>13</v>
      </c>
    </row>
    <row r="16" spans="1:7" x14ac:dyDescent="0.3">
      <c r="A16" t="s">
        <v>44</v>
      </c>
      <c r="B16" t="s">
        <v>45</v>
      </c>
      <c r="C16" t="s">
        <v>1866</v>
      </c>
      <c r="D16" t="s">
        <v>31</v>
      </c>
      <c r="E16">
        <v>2</v>
      </c>
      <c r="F16" t="s">
        <v>10</v>
      </c>
      <c r="G16" t="s">
        <v>13</v>
      </c>
    </row>
    <row r="17" spans="1:7" x14ac:dyDescent="0.3">
      <c r="A17" t="s">
        <v>46</v>
      </c>
      <c r="B17" t="s">
        <v>47</v>
      </c>
      <c r="C17" t="s">
        <v>1867</v>
      </c>
      <c r="D17" t="s">
        <v>31</v>
      </c>
      <c r="E17">
        <v>2</v>
      </c>
      <c r="F17" t="s">
        <v>10</v>
      </c>
      <c r="G17" t="s">
        <v>13</v>
      </c>
    </row>
    <row r="18" spans="1:7" x14ac:dyDescent="0.3">
      <c r="A18" t="s">
        <v>48</v>
      </c>
      <c r="B18" t="s">
        <v>49</v>
      </c>
      <c r="C18" t="s">
        <v>1868</v>
      </c>
      <c r="D18" t="s">
        <v>37</v>
      </c>
      <c r="E18">
        <v>5</v>
      </c>
      <c r="F18" t="s">
        <v>10</v>
      </c>
      <c r="G18" t="s">
        <v>10</v>
      </c>
    </row>
    <row r="19" spans="1:7" x14ac:dyDescent="0.3">
      <c r="A19" t="s">
        <v>50</v>
      </c>
      <c r="B19" t="s">
        <v>51</v>
      </c>
      <c r="C19" t="s">
        <v>1869</v>
      </c>
      <c r="D19" t="s">
        <v>9</v>
      </c>
      <c r="E19">
        <v>3</v>
      </c>
      <c r="F19" t="s">
        <v>13</v>
      </c>
      <c r="G19" t="s">
        <v>10</v>
      </c>
    </row>
    <row r="20" spans="1:7" x14ac:dyDescent="0.3">
      <c r="A20" t="s">
        <v>52</v>
      </c>
      <c r="B20" t="s">
        <v>53</v>
      </c>
      <c r="C20" t="s">
        <v>1870</v>
      </c>
      <c r="D20" t="s">
        <v>31</v>
      </c>
      <c r="E20">
        <v>1</v>
      </c>
      <c r="F20" t="s">
        <v>10</v>
      </c>
      <c r="G20" t="s">
        <v>10</v>
      </c>
    </row>
    <row r="21" spans="1:7" x14ac:dyDescent="0.3">
      <c r="A21" t="s">
        <v>54</v>
      </c>
      <c r="B21" t="s">
        <v>55</v>
      </c>
      <c r="C21" t="s">
        <v>1871</v>
      </c>
      <c r="D21" t="s">
        <v>19</v>
      </c>
      <c r="E21">
        <v>2</v>
      </c>
      <c r="F21" t="s">
        <v>10</v>
      </c>
      <c r="G21" t="s">
        <v>13</v>
      </c>
    </row>
    <row r="22" spans="1:7" x14ac:dyDescent="0.3">
      <c r="A22" t="s">
        <v>56</v>
      </c>
      <c r="B22" t="s">
        <v>57</v>
      </c>
      <c r="C22" t="s">
        <v>1872</v>
      </c>
      <c r="D22" t="s">
        <v>37</v>
      </c>
      <c r="E22">
        <v>4</v>
      </c>
      <c r="F22" t="s">
        <v>10</v>
      </c>
      <c r="G22" t="s">
        <v>13</v>
      </c>
    </row>
    <row r="23" spans="1:7" x14ac:dyDescent="0.3">
      <c r="A23" t="s">
        <v>58</v>
      </c>
      <c r="B23" t="s">
        <v>59</v>
      </c>
      <c r="C23" t="s">
        <v>1873</v>
      </c>
      <c r="D23" t="s">
        <v>28</v>
      </c>
      <c r="E23">
        <v>5</v>
      </c>
      <c r="F23" t="s">
        <v>10</v>
      </c>
      <c r="G23" t="s">
        <v>10</v>
      </c>
    </row>
    <row r="24" spans="1:7" x14ac:dyDescent="0.3">
      <c r="A24" t="s">
        <v>60</v>
      </c>
      <c r="B24" t="s">
        <v>61</v>
      </c>
      <c r="C24" t="s">
        <v>1874</v>
      </c>
      <c r="D24" t="s">
        <v>9</v>
      </c>
      <c r="E24">
        <v>3</v>
      </c>
      <c r="F24" t="s">
        <v>10</v>
      </c>
      <c r="G24" t="s">
        <v>13</v>
      </c>
    </row>
    <row r="25" spans="1:7" x14ac:dyDescent="0.3">
      <c r="A25" t="s">
        <v>62</v>
      </c>
      <c r="B25" t="s">
        <v>63</v>
      </c>
      <c r="C25" t="s">
        <v>1875</v>
      </c>
      <c r="D25" t="s">
        <v>9</v>
      </c>
      <c r="E25">
        <v>1</v>
      </c>
      <c r="F25" t="s">
        <v>13</v>
      </c>
      <c r="G25" t="s">
        <v>13</v>
      </c>
    </row>
    <row r="26" spans="1:7" x14ac:dyDescent="0.3">
      <c r="A26" t="s">
        <v>64</v>
      </c>
      <c r="B26" t="s">
        <v>65</v>
      </c>
      <c r="C26" t="s">
        <v>1876</v>
      </c>
      <c r="D26" t="s">
        <v>16</v>
      </c>
      <c r="E26">
        <v>5</v>
      </c>
      <c r="F26" t="s">
        <v>10</v>
      </c>
      <c r="G26" t="s">
        <v>10</v>
      </c>
    </row>
    <row r="27" spans="1:7" x14ac:dyDescent="0.3">
      <c r="A27" t="s">
        <v>66</v>
      </c>
      <c r="B27" t="s">
        <v>67</v>
      </c>
      <c r="C27" t="s">
        <v>1877</v>
      </c>
      <c r="D27" t="s">
        <v>68</v>
      </c>
      <c r="E27">
        <v>1</v>
      </c>
      <c r="F27" t="s">
        <v>10</v>
      </c>
      <c r="G27" t="s">
        <v>13</v>
      </c>
    </row>
    <row r="28" spans="1:7" x14ac:dyDescent="0.3">
      <c r="A28" t="s">
        <v>69</v>
      </c>
      <c r="B28" t="s">
        <v>70</v>
      </c>
      <c r="C28" t="s">
        <v>1878</v>
      </c>
      <c r="D28" t="s">
        <v>19</v>
      </c>
      <c r="E28">
        <v>2</v>
      </c>
      <c r="F28" t="s">
        <v>10</v>
      </c>
      <c r="G28" t="s">
        <v>13</v>
      </c>
    </row>
    <row r="29" spans="1:7" x14ac:dyDescent="0.3">
      <c r="A29" t="s">
        <v>71</v>
      </c>
      <c r="B29" t="s">
        <v>72</v>
      </c>
      <c r="C29" t="s">
        <v>1879</v>
      </c>
      <c r="D29" t="s">
        <v>68</v>
      </c>
      <c r="E29">
        <v>2</v>
      </c>
      <c r="F29" t="s">
        <v>10</v>
      </c>
      <c r="G29" t="s">
        <v>10</v>
      </c>
    </row>
    <row r="30" spans="1:7" x14ac:dyDescent="0.3">
      <c r="A30" t="s">
        <v>73</v>
      </c>
      <c r="B30" t="s">
        <v>74</v>
      </c>
      <c r="C30" t="s">
        <v>1880</v>
      </c>
      <c r="D30" t="s">
        <v>31</v>
      </c>
      <c r="E30">
        <v>2</v>
      </c>
      <c r="F30" t="s">
        <v>13</v>
      </c>
      <c r="G30" t="s">
        <v>10</v>
      </c>
    </row>
    <row r="31" spans="1:7" x14ac:dyDescent="0.3">
      <c r="A31" t="s">
        <v>75</v>
      </c>
      <c r="B31" t="s">
        <v>76</v>
      </c>
      <c r="C31" t="s">
        <v>1881</v>
      </c>
      <c r="D31" t="s">
        <v>16</v>
      </c>
      <c r="E31">
        <v>4</v>
      </c>
      <c r="F31" t="s">
        <v>13</v>
      </c>
      <c r="G31" t="s">
        <v>13</v>
      </c>
    </row>
    <row r="32" spans="1:7" x14ac:dyDescent="0.3">
      <c r="A32" t="s">
        <v>77</v>
      </c>
      <c r="B32" t="s">
        <v>78</v>
      </c>
      <c r="C32" t="s">
        <v>1882</v>
      </c>
      <c r="D32" t="s">
        <v>16</v>
      </c>
      <c r="E32">
        <v>5</v>
      </c>
      <c r="F32" t="s">
        <v>10</v>
      </c>
      <c r="G32" t="s">
        <v>13</v>
      </c>
    </row>
    <row r="33" spans="1:7" x14ac:dyDescent="0.3">
      <c r="A33" t="s">
        <v>79</v>
      </c>
      <c r="B33" t="s">
        <v>80</v>
      </c>
      <c r="C33" t="s">
        <v>1883</v>
      </c>
      <c r="D33" t="s">
        <v>16</v>
      </c>
      <c r="E33">
        <v>4</v>
      </c>
      <c r="F33" t="s">
        <v>10</v>
      </c>
      <c r="G33" t="s">
        <v>13</v>
      </c>
    </row>
    <row r="34" spans="1:7" x14ac:dyDescent="0.3">
      <c r="A34" t="s">
        <v>81</v>
      </c>
      <c r="B34" t="s">
        <v>82</v>
      </c>
      <c r="C34" t="s">
        <v>1884</v>
      </c>
      <c r="D34" t="s">
        <v>83</v>
      </c>
      <c r="E34">
        <v>3</v>
      </c>
      <c r="F34" t="s">
        <v>10</v>
      </c>
      <c r="G34" t="s">
        <v>13</v>
      </c>
    </row>
    <row r="35" spans="1:7" x14ac:dyDescent="0.3">
      <c r="A35" t="s">
        <v>84</v>
      </c>
      <c r="B35" t="s">
        <v>85</v>
      </c>
      <c r="C35" t="s">
        <v>1885</v>
      </c>
      <c r="D35" t="s">
        <v>16</v>
      </c>
      <c r="E35">
        <v>4</v>
      </c>
      <c r="F35" t="s">
        <v>13</v>
      </c>
      <c r="G35" t="s">
        <v>10</v>
      </c>
    </row>
    <row r="36" spans="1:7" x14ac:dyDescent="0.3">
      <c r="A36" t="s">
        <v>86</v>
      </c>
      <c r="B36" t="s">
        <v>87</v>
      </c>
      <c r="C36" t="s">
        <v>1886</v>
      </c>
      <c r="D36" t="s">
        <v>28</v>
      </c>
      <c r="E36">
        <v>5</v>
      </c>
      <c r="F36" t="s">
        <v>10</v>
      </c>
      <c r="G36" t="s">
        <v>10</v>
      </c>
    </row>
    <row r="37" spans="1:7" x14ac:dyDescent="0.3">
      <c r="A37" t="s">
        <v>88</v>
      </c>
      <c r="B37" t="s">
        <v>89</v>
      </c>
      <c r="C37" t="s">
        <v>1887</v>
      </c>
      <c r="D37" t="s">
        <v>19</v>
      </c>
      <c r="E37">
        <v>3</v>
      </c>
      <c r="F37" t="s">
        <v>13</v>
      </c>
      <c r="G37" t="s">
        <v>10</v>
      </c>
    </row>
    <row r="38" spans="1:7" x14ac:dyDescent="0.3">
      <c r="A38" t="s">
        <v>90</v>
      </c>
      <c r="B38" t="s">
        <v>91</v>
      </c>
      <c r="C38" t="s">
        <v>1888</v>
      </c>
      <c r="D38" t="s">
        <v>28</v>
      </c>
      <c r="E38">
        <v>4</v>
      </c>
      <c r="F38" t="s">
        <v>10</v>
      </c>
      <c r="G38" t="s">
        <v>10</v>
      </c>
    </row>
    <row r="39" spans="1:7" x14ac:dyDescent="0.3">
      <c r="A39" t="s">
        <v>92</v>
      </c>
      <c r="B39" t="s">
        <v>93</v>
      </c>
      <c r="C39" t="s">
        <v>1889</v>
      </c>
      <c r="D39" t="s">
        <v>19</v>
      </c>
      <c r="E39">
        <v>2</v>
      </c>
      <c r="F39" t="s">
        <v>10</v>
      </c>
      <c r="G39" t="s">
        <v>13</v>
      </c>
    </row>
    <row r="40" spans="1:7" x14ac:dyDescent="0.3">
      <c r="A40" t="s">
        <v>94</v>
      </c>
      <c r="B40" t="s">
        <v>95</v>
      </c>
      <c r="C40" t="s">
        <v>1890</v>
      </c>
      <c r="D40" t="s">
        <v>83</v>
      </c>
      <c r="E40">
        <v>3</v>
      </c>
      <c r="F40" t="s">
        <v>13</v>
      </c>
      <c r="G40" t="s">
        <v>13</v>
      </c>
    </row>
    <row r="41" spans="1:7" x14ac:dyDescent="0.3">
      <c r="A41" t="s">
        <v>96</v>
      </c>
      <c r="B41" t="s">
        <v>97</v>
      </c>
      <c r="C41" t="s">
        <v>1891</v>
      </c>
      <c r="D41" t="s">
        <v>31</v>
      </c>
      <c r="E41">
        <v>2</v>
      </c>
      <c r="F41" t="s">
        <v>13</v>
      </c>
      <c r="G41" t="s">
        <v>10</v>
      </c>
    </row>
    <row r="42" spans="1:7" x14ac:dyDescent="0.3">
      <c r="A42" t="s">
        <v>98</v>
      </c>
      <c r="B42" t="s">
        <v>99</v>
      </c>
      <c r="C42" t="s">
        <v>1892</v>
      </c>
      <c r="D42" t="s">
        <v>9</v>
      </c>
      <c r="E42">
        <v>3</v>
      </c>
      <c r="F42" t="s">
        <v>13</v>
      </c>
      <c r="G42" t="s">
        <v>13</v>
      </c>
    </row>
    <row r="43" spans="1:7" x14ac:dyDescent="0.3">
      <c r="A43" t="s">
        <v>100</v>
      </c>
      <c r="B43" t="s">
        <v>101</v>
      </c>
      <c r="C43" t="s">
        <v>1893</v>
      </c>
      <c r="D43" t="s">
        <v>31</v>
      </c>
      <c r="E43">
        <v>3</v>
      </c>
      <c r="F43" t="s">
        <v>13</v>
      </c>
      <c r="G43" t="s">
        <v>13</v>
      </c>
    </row>
    <row r="44" spans="1:7" x14ac:dyDescent="0.3">
      <c r="A44" t="s">
        <v>102</v>
      </c>
      <c r="B44" t="s">
        <v>103</v>
      </c>
      <c r="C44" t="s">
        <v>1894</v>
      </c>
      <c r="D44" t="s">
        <v>37</v>
      </c>
      <c r="E44">
        <v>3</v>
      </c>
      <c r="F44" t="s">
        <v>10</v>
      </c>
      <c r="G44" t="s">
        <v>13</v>
      </c>
    </row>
    <row r="45" spans="1:7" x14ac:dyDescent="0.3">
      <c r="A45" t="s">
        <v>104</v>
      </c>
      <c r="B45" t="s">
        <v>105</v>
      </c>
      <c r="C45" t="s">
        <v>1895</v>
      </c>
      <c r="D45" t="s">
        <v>16</v>
      </c>
      <c r="E45">
        <v>5</v>
      </c>
      <c r="F45" t="s">
        <v>10</v>
      </c>
      <c r="G45" t="s">
        <v>13</v>
      </c>
    </row>
    <row r="46" spans="1:7" x14ac:dyDescent="0.3">
      <c r="A46" t="s">
        <v>106</v>
      </c>
      <c r="B46" t="s">
        <v>107</v>
      </c>
      <c r="C46" t="s">
        <v>1896</v>
      </c>
      <c r="D46" t="s">
        <v>83</v>
      </c>
      <c r="E46">
        <v>1</v>
      </c>
      <c r="F46" t="s">
        <v>13</v>
      </c>
      <c r="G46" t="s">
        <v>10</v>
      </c>
    </row>
    <row r="47" spans="1:7" x14ac:dyDescent="0.3">
      <c r="A47" t="s">
        <v>108</v>
      </c>
      <c r="B47" t="s">
        <v>109</v>
      </c>
      <c r="C47" t="s">
        <v>1897</v>
      </c>
      <c r="D47" t="s">
        <v>22</v>
      </c>
      <c r="E47">
        <v>5</v>
      </c>
      <c r="F47" t="s">
        <v>10</v>
      </c>
      <c r="G47" t="s">
        <v>13</v>
      </c>
    </row>
    <row r="48" spans="1:7" x14ac:dyDescent="0.3">
      <c r="A48" t="s">
        <v>110</v>
      </c>
      <c r="B48" t="s">
        <v>111</v>
      </c>
      <c r="C48" t="s">
        <v>1898</v>
      </c>
      <c r="D48" t="s">
        <v>16</v>
      </c>
      <c r="E48">
        <v>5</v>
      </c>
      <c r="F48" t="s">
        <v>13</v>
      </c>
      <c r="G48" t="s">
        <v>13</v>
      </c>
    </row>
    <row r="49" spans="1:7" x14ac:dyDescent="0.3">
      <c r="A49" t="s">
        <v>112</v>
      </c>
      <c r="B49" t="s">
        <v>113</v>
      </c>
      <c r="C49" t="s">
        <v>1899</v>
      </c>
      <c r="D49" t="s">
        <v>68</v>
      </c>
      <c r="E49">
        <v>1</v>
      </c>
      <c r="F49" t="s">
        <v>13</v>
      </c>
      <c r="G49" t="s">
        <v>13</v>
      </c>
    </row>
    <row r="50" spans="1:7" x14ac:dyDescent="0.3">
      <c r="A50" t="s">
        <v>114</v>
      </c>
      <c r="B50" t="s">
        <v>115</v>
      </c>
      <c r="C50" t="s">
        <v>1900</v>
      </c>
      <c r="D50" t="s">
        <v>25</v>
      </c>
      <c r="E50">
        <v>4</v>
      </c>
      <c r="F50" t="s">
        <v>13</v>
      </c>
      <c r="G50" t="s">
        <v>10</v>
      </c>
    </row>
    <row r="51" spans="1:7" x14ac:dyDescent="0.3">
      <c r="A51" t="s">
        <v>116</v>
      </c>
      <c r="B51" t="s">
        <v>117</v>
      </c>
      <c r="C51" t="s">
        <v>1901</v>
      </c>
      <c r="D51" t="s">
        <v>37</v>
      </c>
      <c r="E51">
        <v>3</v>
      </c>
      <c r="F51" t="s">
        <v>10</v>
      </c>
      <c r="G51" t="s">
        <v>13</v>
      </c>
    </row>
    <row r="52" spans="1:7" x14ac:dyDescent="0.3">
      <c r="A52" t="s">
        <v>118</v>
      </c>
      <c r="B52" t="s">
        <v>119</v>
      </c>
      <c r="C52" t="s">
        <v>1902</v>
      </c>
      <c r="D52" t="s">
        <v>22</v>
      </c>
      <c r="E52">
        <v>5</v>
      </c>
      <c r="F52" t="s">
        <v>10</v>
      </c>
      <c r="G52" t="s">
        <v>13</v>
      </c>
    </row>
    <row r="53" spans="1:7" x14ac:dyDescent="0.3">
      <c r="A53" t="s">
        <v>120</v>
      </c>
      <c r="B53" t="s">
        <v>121</v>
      </c>
      <c r="C53" t="s">
        <v>1903</v>
      </c>
      <c r="D53" t="s">
        <v>37</v>
      </c>
      <c r="E53">
        <v>5</v>
      </c>
      <c r="F53" t="s">
        <v>13</v>
      </c>
      <c r="G53" t="s">
        <v>13</v>
      </c>
    </row>
    <row r="54" spans="1:7" x14ac:dyDescent="0.3">
      <c r="A54" t="s">
        <v>122</v>
      </c>
      <c r="B54" t="s">
        <v>123</v>
      </c>
      <c r="C54" t="s">
        <v>1904</v>
      </c>
      <c r="D54" t="s">
        <v>68</v>
      </c>
      <c r="E54">
        <v>2</v>
      </c>
      <c r="F54" t="s">
        <v>10</v>
      </c>
      <c r="G54" t="s">
        <v>13</v>
      </c>
    </row>
    <row r="55" spans="1:7" x14ac:dyDescent="0.3">
      <c r="A55" t="s">
        <v>124</v>
      </c>
      <c r="B55" t="s">
        <v>53</v>
      </c>
      <c r="C55" t="s">
        <v>1905</v>
      </c>
      <c r="D55" t="s">
        <v>31</v>
      </c>
      <c r="E55">
        <v>2</v>
      </c>
      <c r="F55" t="s">
        <v>10</v>
      </c>
      <c r="G55" t="s">
        <v>10</v>
      </c>
    </row>
    <row r="56" spans="1:7" x14ac:dyDescent="0.3">
      <c r="A56" t="s">
        <v>125</v>
      </c>
      <c r="B56" t="s">
        <v>126</v>
      </c>
      <c r="C56" t="s">
        <v>1906</v>
      </c>
      <c r="D56" t="s">
        <v>37</v>
      </c>
      <c r="E56">
        <v>5</v>
      </c>
      <c r="F56" t="s">
        <v>13</v>
      </c>
      <c r="G56" t="s">
        <v>10</v>
      </c>
    </row>
    <row r="57" spans="1:7" x14ac:dyDescent="0.3">
      <c r="A57" t="s">
        <v>127</v>
      </c>
      <c r="B57" t="s">
        <v>128</v>
      </c>
      <c r="C57" t="s">
        <v>1907</v>
      </c>
      <c r="D57" t="s">
        <v>68</v>
      </c>
      <c r="E57">
        <v>1</v>
      </c>
      <c r="F57" t="s">
        <v>13</v>
      </c>
      <c r="G57" t="s">
        <v>13</v>
      </c>
    </row>
    <row r="58" spans="1:7" x14ac:dyDescent="0.3">
      <c r="A58" t="s">
        <v>129</v>
      </c>
      <c r="B58" t="s">
        <v>130</v>
      </c>
      <c r="C58" t="s">
        <v>1908</v>
      </c>
      <c r="D58" t="s">
        <v>16</v>
      </c>
      <c r="E58">
        <v>5</v>
      </c>
      <c r="F58" t="s">
        <v>13</v>
      </c>
      <c r="G58" t="s">
        <v>10</v>
      </c>
    </row>
    <row r="59" spans="1:7" x14ac:dyDescent="0.3">
      <c r="A59" t="s">
        <v>131</v>
      </c>
      <c r="B59" t="s">
        <v>132</v>
      </c>
      <c r="C59" t="s">
        <v>1909</v>
      </c>
      <c r="D59" t="s">
        <v>28</v>
      </c>
      <c r="E59">
        <v>5</v>
      </c>
      <c r="F59" t="s">
        <v>10</v>
      </c>
      <c r="G59" t="s">
        <v>13</v>
      </c>
    </row>
    <row r="60" spans="1:7" x14ac:dyDescent="0.3">
      <c r="A60" t="s">
        <v>133</v>
      </c>
      <c r="B60" t="s">
        <v>134</v>
      </c>
      <c r="C60" t="s">
        <v>1910</v>
      </c>
      <c r="D60" t="s">
        <v>25</v>
      </c>
      <c r="E60">
        <v>5</v>
      </c>
      <c r="F60" t="s">
        <v>10</v>
      </c>
      <c r="G60" t="s">
        <v>10</v>
      </c>
    </row>
    <row r="61" spans="1:7" x14ac:dyDescent="0.3">
      <c r="A61" t="s">
        <v>135</v>
      </c>
      <c r="B61" t="s">
        <v>136</v>
      </c>
      <c r="C61" t="s">
        <v>1911</v>
      </c>
      <c r="D61" t="s">
        <v>9</v>
      </c>
      <c r="E61">
        <v>2</v>
      </c>
      <c r="F61" t="s">
        <v>10</v>
      </c>
      <c r="G61" t="s">
        <v>13</v>
      </c>
    </row>
    <row r="62" spans="1:7" x14ac:dyDescent="0.3">
      <c r="A62" t="s">
        <v>137</v>
      </c>
      <c r="B62" t="s">
        <v>138</v>
      </c>
      <c r="C62" t="s">
        <v>1912</v>
      </c>
      <c r="D62" t="s">
        <v>25</v>
      </c>
      <c r="E62">
        <v>5</v>
      </c>
      <c r="F62" t="s">
        <v>10</v>
      </c>
      <c r="G62" t="s">
        <v>10</v>
      </c>
    </row>
    <row r="63" spans="1:7" x14ac:dyDescent="0.3">
      <c r="A63" t="s">
        <v>139</v>
      </c>
      <c r="B63" t="s">
        <v>140</v>
      </c>
      <c r="C63" t="s">
        <v>1913</v>
      </c>
      <c r="D63" t="s">
        <v>68</v>
      </c>
      <c r="E63">
        <v>1</v>
      </c>
      <c r="F63" t="s">
        <v>13</v>
      </c>
      <c r="G63" t="s">
        <v>10</v>
      </c>
    </row>
    <row r="64" spans="1:7" x14ac:dyDescent="0.3">
      <c r="A64" t="s">
        <v>141</v>
      </c>
      <c r="B64" t="s">
        <v>142</v>
      </c>
      <c r="C64" t="s">
        <v>1914</v>
      </c>
      <c r="D64" t="s">
        <v>9</v>
      </c>
      <c r="E64">
        <v>3</v>
      </c>
      <c r="F64" t="s">
        <v>13</v>
      </c>
      <c r="G64" t="s">
        <v>13</v>
      </c>
    </row>
    <row r="65" spans="1:7" x14ac:dyDescent="0.3">
      <c r="A65" t="s">
        <v>143</v>
      </c>
      <c r="B65" t="s">
        <v>144</v>
      </c>
      <c r="C65" t="s">
        <v>1915</v>
      </c>
      <c r="D65" t="s">
        <v>22</v>
      </c>
      <c r="E65">
        <v>5</v>
      </c>
      <c r="F65" t="s">
        <v>10</v>
      </c>
      <c r="G65" t="s">
        <v>13</v>
      </c>
    </row>
    <row r="66" spans="1:7" x14ac:dyDescent="0.3">
      <c r="A66" t="s">
        <v>145</v>
      </c>
      <c r="B66" t="s">
        <v>146</v>
      </c>
      <c r="C66" t="s">
        <v>1916</v>
      </c>
      <c r="D66" t="s">
        <v>31</v>
      </c>
      <c r="E66">
        <v>1</v>
      </c>
      <c r="F66" t="s">
        <v>10</v>
      </c>
      <c r="G66" t="s">
        <v>13</v>
      </c>
    </row>
    <row r="67" spans="1:7" x14ac:dyDescent="0.3">
      <c r="A67" t="s">
        <v>147</v>
      </c>
      <c r="B67" t="s">
        <v>148</v>
      </c>
      <c r="C67" t="s">
        <v>1896</v>
      </c>
      <c r="D67" t="s">
        <v>31</v>
      </c>
      <c r="E67">
        <v>3</v>
      </c>
      <c r="F67" t="s">
        <v>13</v>
      </c>
      <c r="G67" t="s">
        <v>10</v>
      </c>
    </row>
    <row r="68" spans="1:7" x14ac:dyDescent="0.3">
      <c r="A68" t="s">
        <v>149</v>
      </c>
      <c r="B68" t="s">
        <v>150</v>
      </c>
      <c r="C68" t="s">
        <v>1917</v>
      </c>
      <c r="D68" t="s">
        <v>9</v>
      </c>
      <c r="E68">
        <v>2</v>
      </c>
      <c r="F68" t="s">
        <v>10</v>
      </c>
      <c r="G68" t="s">
        <v>13</v>
      </c>
    </row>
    <row r="69" spans="1:7" x14ac:dyDescent="0.3">
      <c r="A69" t="s">
        <v>151</v>
      </c>
      <c r="B69" t="s">
        <v>152</v>
      </c>
      <c r="C69" t="s">
        <v>1918</v>
      </c>
      <c r="D69" t="s">
        <v>31</v>
      </c>
      <c r="E69">
        <v>1</v>
      </c>
      <c r="F69" t="s">
        <v>10</v>
      </c>
      <c r="G69" t="s">
        <v>13</v>
      </c>
    </row>
    <row r="70" spans="1:7" x14ac:dyDescent="0.3">
      <c r="A70" t="s">
        <v>153</v>
      </c>
      <c r="B70" t="s">
        <v>154</v>
      </c>
      <c r="C70" t="s">
        <v>1919</v>
      </c>
      <c r="D70" t="s">
        <v>83</v>
      </c>
      <c r="E70">
        <v>1</v>
      </c>
      <c r="F70" t="s">
        <v>13</v>
      </c>
      <c r="G70" t="s">
        <v>13</v>
      </c>
    </row>
    <row r="71" spans="1:7" x14ac:dyDescent="0.3">
      <c r="A71" t="s">
        <v>155</v>
      </c>
      <c r="B71" t="s">
        <v>156</v>
      </c>
      <c r="C71" t="s">
        <v>1920</v>
      </c>
      <c r="D71" t="s">
        <v>31</v>
      </c>
      <c r="E71">
        <v>3</v>
      </c>
      <c r="F71" t="s">
        <v>13</v>
      </c>
      <c r="G71" t="s">
        <v>13</v>
      </c>
    </row>
    <row r="72" spans="1:7" x14ac:dyDescent="0.3">
      <c r="A72" t="s">
        <v>157</v>
      </c>
      <c r="B72" t="s">
        <v>158</v>
      </c>
      <c r="C72" t="s">
        <v>1921</v>
      </c>
      <c r="D72" t="s">
        <v>68</v>
      </c>
      <c r="E72">
        <v>1</v>
      </c>
      <c r="F72" t="s">
        <v>13</v>
      </c>
      <c r="G72" t="s">
        <v>13</v>
      </c>
    </row>
    <row r="73" spans="1:7" x14ac:dyDescent="0.3">
      <c r="A73" t="s">
        <v>159</v>
      </c>
      <c r="B73" t="s">
        <v>160</v>
      </c>
      <c r="C73" t="s">
        <v>1922</v>
      </c>
      <c r="D73" t="s">
        <v>37</v>
      </c>
      <c r="E73">
        <v>5</v>
      </c>
      <c r="F73" t="s">
        <v>10</v>
      </c>
      <c r="G73" t="s">
        <v>10</v>
      </c>
    </row>
    <row r="74" spans="1:7" x14ac:dyDescent="0.3">
      <c r="A74" t="s">
        <v>161</v>
      </c>
      <c r="B74" t="s">
        <v>162</v>
      </c>
      <c r="C74" t="s">
        <v>1923</v>
      </c>
      <c r="D74" t="s">
        <v>68</v>
      </c>
      <c r="E74">
        <v>2</v>
      </c>
      <c r="F74" t="s">
        <v>10</v>
      </c>
      <c r="G74" t="s">
        <v>10</v>
      </c>
    </row>
    <row r="75" spans="1:7" x14ac:dyDescent="0.3">
      <c r="A75" t="s">
        <v>163</v>
      </c>
      <c r="B75" t="s">
        <v>164</v>
      </c>
      <c r="C75" t="s">
        <v>1924</v>
      </c>
      <c r="D75" t="s">
        <v>31</v>
      </c>
      <c r="E75">
        <v>3</v>
      </c>
      <c r="F75" t="s">
        <v>10</v>
      </c>
      <c r="G75" t="s">
        <v>13</v>
      </c>
    </row>
    <row r="76" spans="1:7" x14ac:dyDescent="0.3">
      <c r="A76" t="s">
        <v>165</v>
      </c>
      <c r="B76" t="s">
        <v>166</v>
      </c>
      <c r="C76" t="s">
        <v>1925</v>
      </c>
      <c r="D76" t="s">
        <v>25</v>
      </c>
      <c r="E76">
        <v>5</v>
      </c>
      <c r="F76" t="s">
        <v>10</v>
      </c>
      <c r="G76" t="s">
        <v>10</v>
      </c>
    </row>
    <row r="77" spans="1:7" x14ac:dyDescent="0.3">
      <c r="A77" t="s">
        <v>167</v>
      </c>
      <c r="B77" t="s">
        <v>168</v>
      </c>
      <c r="C77" t="s">
        <v>1926</v>
      </c>
      <c r="D77" t="s">
        <v>25</v>
      </c>
      <c r="E77">
        <v>4</v>
      </c>
      <c r="F77" t="s">
        <v>10</v>
      </c>
      <c r="G77" t="s">
        <v>13</v>
      </c>
    </row>
    <row r="78" spans="1:7" x14ac:dyDescent="0.3">
      <c r="A78" t="s">
        <v>169</v>
      </c>
      <c r="B78" t="s">
        <v>170</v>
      </c>
      <c r="C78" t="s">
        <v>1927</v>
      </c>
      <c r="D78" t="s">
        <v>22</v>
      </c>
      <c r="E78">
        <v>5</v>
      </c>
      <c r="F78" t="s">
        <v>13</v>
      </c>
      <c r="G78" t="s">
        <v>13</v>
      </c>
    </row>
    <row r="79" spans="1:7" x14ac:dyDescent="0.3">
      <c r="A79" t="s">
        <v>171</v>
      </c>
      <c r="B79" t="s">
        <v>172</v>
      </c>
      <c r="C79" t="s">
        <v>1917</v>
      </c>
      <c r="D79" t="s">
        <v>9</v>
      </c>
      <c r="E79">
        <v>1</v>
      </c>
      <c r="F79" t="s">
        <v>13</v>
      </c>
      <c r="G79" t="s">
        <v>10</v>
      </c>
    </row>
    <row r="80" spans="1:7" x14ac:dyDescent="0.3">
      <c r="A80" t="s">
        <v>173</v>
      </c>
      <c r="B80" t="s">
        <v>174</v>
      </c>
      <c r="C80" t="s">
        <v>1928</v>
      </c>
      <c r="D80" t="s">
        <v>28</v>
      </c>
      <c r="E80">
        <v>5</v>
      </c>
      <c r="F80" t="s">
        <v>10</v>
      </c>
      <c r="G80" t="s">
        <v>13</v>
      </c>
    </row>
    <row r="81" spans="1:7" x14ac:dyDescent="0.3">
      <c r="A81" t="s">
        <v>175</v>
      </c>
      <c r="B81" t="s">
        <v>176</v>
      </c>
      <c r="C81" t="s">
        <v>1929</v>
      </c>
      <c r="D81" t="s">
        <v>28</v>
      </c>
      <c r="E81">
        <v>5</v>
      </c>
      <c r="F81" t="s">
        <v>13</v>
      </c>
      <c r="G81" t="s">
        <v>10</v>
      </c>
    </row>
    <row r="82" spans="1:7" x14ac:dyDescent="0.3">
      <c r="A82" t="s">
        <v>177</v>
      </c>
      <c r="B82" t="s">
        <v>178</v>
      </c>
      <c r="C82" t="s">
        <v>1930</v>
      </c>
      <c r="D82" t="s">
        <v>83</v>
      </c>
      <c r="E82">
        <v>2</v>
      </c>
      <c r="F82" t="s">
        <v>10</v>
      </c>
      <c r="G82" t="s">
        <v>10</v>
      </c>
    </row>
    <row r="83" spans="1:7" x14ac:dyDescent="0.3">
      <c r="A83" t="s">
        <v>179</v>
      </c>
      <c r="B83" t="s">
        <v>180</v>
      </c>
      <c r="C83" t="s">
        <v>1931</v>
      </c>
      <c r="D83" t="s">
        <v>25</v>
      </c>
      <c r="E83">
        <v>4</v>
      </c>
      <c r="F83" t="s">
        <v>13</v>
      </c>
      <c r="G83" t="s">
        <v>10</v>
      </c>
    </row>
    <row r="84" spans="1:7" x14ac:dyDescent="0.3">
      <c r="A84" t="s">
        <v>181</v>
      </c>
      <c r="B84" t="s">
        <v>182</v>
      </c>
      <c r="C84" t="s">
        <v>1932</v>
      </c>
      <c r="D84" t="s">
        <v>37</v>
      </c>
      <c r="E84">
        <v>4</v>
      </c>
      <c r="F84" t="s">
        <v>10</v>
      </c>
      <c r="G84" t="s">
        <v>10</v>
      </c>
    </row>
    <row r="85" spans="1:7" x14ac:dyDescent="0.3">
      <c r="A85" t="s">
        <v>183</v>
      </c>
      <c r="B85" t="s">
        <v>184</v>
      </c>
      <c r="C85" t="s">
        <v>1933</v>
      </c>
      <c r="D85" t="s">
        <v>28</v>
      </c>
      <c r="E85">
        <v>5</v>
      </c>
      <c r="F85" t="s">
        <v>13</v>
      </c>
      <c r="G85" t="s">
        <v>13</v>
      </c>
    </row>
    <row r="86" spans="1:7" x14ac:dyDescent="0.3">
      <c r="A86" t="s">
        <v>185</v>
      </c>
      <c r="B86" t="s">
        <v>186</v>
      </c>
      <c r="C86" t="s">
        <v>1934</v>
      </c>
      <c r="D86" t="s">
        <v>37</v>
      </c>
      <c r="E86">
        <v>4</v>
      </c>
      <c r="F86" t="s">
        <v>13</v>
      </c>
      <c r="G86" t="s">
        <v>10</v>
      </c>
    </row>
    <row r="87" spans="1:7" x14ac:dyDescent="0.3">
      <c r="A87" t="s">
        <v>187</v>
      </c>
      <c r="B87" t="s">
        <v>188</v>
      </c>
      <c r="C87" t="s">
        <v>1935</v>
      </c>
      <c r="D87" t="s">
        <v>22</v>
      </c>
      <c r="E87">
        <v>5</v>
      </c>
      <c r="F87" t="s">
        <v>13</v>
      </c>
      <c r="G87" t="s">
        <v>10</v>
      </c>
    </row>
    <row r="88" spans="1:7" x14ac:dyDescent="0.3">
      <c r="A88" t="s">
        <v>189</v>
      </c>
      <c r="B88" t="s">
        <v>190</v>
      </c>
      <c r="C88" t="s">
        <v>1936</v>
      </c>
      <c r="D88" t="s">
        <v>68</v>
      </c>
      <c r="E88">
        <v>2</v>
      </c>
      <c r="F88" t="s">
        <v>10</v>
      </c>
      <c r="G88" t="s">
        <v>13</v>
      </c>
    </row>
    <row r="89" spans="1:7" x14ac:dyDescent="0.3">
      <c r="A89" t="s">
        <v>191</v>
      </c>
      <c r="B89" t="s">
        <v>192</v>
      </c>
      <c r="C89" t="s">
        <v>1937</v>
      </c>
      <c r="D89" t="s">
        <v>68</v>
      </c>
      <c r="E89">
        <v>2</v>
      </c>
      <c r="F89" t="s">
        <v>13</v>
      </c>
      <c r="G89" t="s">
        <v>10</v>
      </c>
    </row>
    <row r="90" spans="1:7" x14ac:dyDescent="0.3">
      <c r="A90" t="s">
        <v>193</v>
      </c>
      <c r="B90" t="s">
        <v>194</v>
      </c>
      <c r="C90" t="s">
        <v>1938</v>
      </c>
      <c r="D90" t="s">
        <v>25</v>
      </c>
      <c r="E90">
        <v>4</v>
      </c>
      <c r="F90" t="s">
        <v>10</v>
      </c>
      <c r="G90" t="s">
        <v>10</v>
      </c>
    </row>
    <row r="91" spans="1:7" x14ac:dyDescent="0.3">
      <c r="A91" t="s">
        <v>195</v>
      </c>
      <c r="B91" t="s">
        <v>196</v>
      </c>
      <c r="C91" t="s">
        <v>1939</v>
      </c>
      <c r="D91" t="s">
        <v>31</v>
      </c>
      <c r="E91">
        <v>3</v>
      </c>
      <c r="F91" t="s">
        <v>10</v>
      </c>
      <c r="G91" t="s">
        <v>13</v>
      </c>
    </row>
    <row r="92" spans="1:7" x14ac:dyDescent="0.3">
      <c r="A92" t="s">
        <v>197</v>
      </c>
      <c r="B92" t="s">
        <v>198</v>
      </c>
      <c r="C92" t="s">
        <v>1940</v>
      </c>
      <c r="D92" t="s">
        <v>25</v>
      </c>
      <c r="E92">
        <v>4</v>
      </c>
      <c r="F92" t="s">
        <v>10</v>
      </c>
      <c r="G92" t="s">
        <v>13</v>
      </c>
    </row>
    <row r="93" spans="1:7" x14ac:dyDescent="0.3">
      <c r="A93" t="s">
        <v>199</v>
      </c>
      <c r="B93" t="s">
        <v>200</v>
      </c>
      <c r="C93" t="s">
        <v>1941</v>
      </c>
      <c r="D93" t="s">
        <v>22</v>
      </c>
      <c r="E93">
        <v>5</v>
      </c>
      <c r="F93" t="s">
        <v>13</v>
      </c>
      <c r="G93" t="s">
        <v>13</v>
      </c>
    </row>
    <row r="94" spans="1:7" x14ac:dyDescent="0.3">
      <c r="A94" t="s">
        <v>201</v>
      </c>
      <c r="B94" t="s">
        <v>202</v>
      </c>
      <c r="C94" t="s">
        <v>1942</v>
      </c>
      <c r="D94" t="s">
        <v>31</v>
      </c>
      <c r="E94">
        <v>1</v>
      </c>
      <c r="F94" t="s">
        <v>13</v>
      </c>
      <c r="G94" t="s">
        <v>10</v>
      </c>
    </row>
    <row r="95" spans="1:7" x14ac:dyDescent="0.3">
      <c r="A95" t="s">
        <v>203</v>
      </c>
      <c r="B95" t="s">
        <v>204</v>
      </c>
      <c r="C95" t="s">
        <v>1943</v>
      </c>
      <c r="D95" t="s">
        <v>28</v>
      </c>
      <c r="E95">
        <v>5</v>
      </c>
      <c r="F95" t="s">
        <v>13</v>
      </c>
      <c r="G95" t="s">
        <v>10</v>
      </c>
    </row>
    <row r="96" spans="1:7" x14ac:dyDescent="0.3">
      <c r="A96" t="s">
        <v>205</v>
      </c>
      <c r="B96" t="s">
        <v>206</v>
      </c>
      <c r="C96" t="s">
        <v>1944</v>
      </c>
      <c r="D96" t="s">
        <v>83</v>
      </c>
      <c r="E96">
        <v>3</v>
      </c>
      <c r="F96" t="s">
        <v>10</v>
      </c>
      <c r="G96" t="s">
        <v>13</v>
      </c>
    </row>
    <row r="97" spans="1:7" x14ac:dyDescent="0.3">
      <c r="A97" t="s">
        <v>207</v>
      </c>
      <c r="B97" t="s">
        <v>208</v>
      </c>
      <c r="C97" t="s">
        <v>1945</v>
      </c>
      <c r="D97" t="s">
        <v>9</v>
      </c>
      <c r="E97">
        <v>2</v>
      </c>
      <c r="F97" t="s">
        <v>10</v>
      </c>
      <c r="G97" t="s">
        <v>10</v>
      </c>
    </row>
    <row r="98" spans="1:7" x14ac:dyDescent="0.3">
      <c r="A98" t="s">
        <v>209</v>
      </c>
      <c r="B98" t="s">
        <v>210</v>
      </c>
      <c r="C98" t="s">
        <v>1946</v>
      </c>
      <c r="D98" t="s">
        <v>31</v>
      </c>
      <c r="E98">
        <v>2</v>
      </c>
      <c r="F98" t="s">
        <v>13</v>
      </c>
      <c r="G98" t="s">
        <v>10</v>
      </c>
    </row>
    <row r="99" spans="1:7" x14ac:dyDescent="0.3">
      <c r="A99" t="s">
        <v>211</v>
      </c>
      <c r="B99" t="s">
        <v>212</v>
      </c>
      <c r="C99" t="s">
        <v>1947</v>
      </c>
      <c r="D99" t="s">
        <v>16</v>
      </c>
      <c r="E99">
        <v>4</v>
      </c>
      <c r="F99" t="s">
        <v>13</v>
      </c>
      <c r="G99" t="s">
        <v>10</v>
      </c>
    </row>
    <row r="100" spans="1:7" x14ac:dyDescent="0.3">
      <c r="A100" t="s">
        <v>213</v>
      </c>
      <c r="B100" t="s">
        <v>214</v>
      </c>
      <c r="C100" t="s">
        <v>1948</v>
      </c>
      <c r="D100" t="s">
        <v>25</v>
      </c>
      <c r="E100">
        <v>4</v>
      </c>
      <c r="F100" t="s">
        <v>10</v>
      </c>
      <c r="G100" t="s">
        <v>10</v>
      </c>
    </row>
    <row r="101" spans="1:7" x14ac:dyDescent="0.3">
      <c r="A101" t="s">
        <v>215</v>
      </c>
      <c r="B101" t="s">
        <v>216</v>
      </c>
      <c r="C101" t="s">
        <v>1949</v>
      </c>
      <c r="D101" t="s">
        <v>9</v>
      </c>
      <c r="E101">
        <v>1</v>
      </c>
      <c r="F101" t="s">
        <v>10</v>
      </c>
      <c r="G101" t="s">
        <v>13</v>
      </c>
    </row>
    <row r="102" spans="1:7" x14ac:dyDescent="0.3">
      <c r="A102" t="s">
        <v>217</v>
      </c>
      <c r="B102" t="s">
        <v>218</v>
      </c>
      <c r="C102" t="s">
        <v>1950</v>
      </c>
      <c r="D102" t="s">
        <v>9</v>
      </c>
      <c r="E102">
        <v>1</v>
      </c>
      <c r="F102" t="s">
        <v>13</v>
      </c>
      <c r="G102" t="s">
        <v>13</v>
      </c>
    </row>
    <row r="103" spans="1:7" x14ac:dyDescent="0.3">
      <c r="A103" t="s">
        <v>219</v>
      </c>
      <c r="B103" t="s">
        <v>220</v>
      </c>
      <c r="C103" t="s">
        <v>1951</v>
      </c>
      <c r="D103" t="s">
        <v>22</v>
      </c>
      <c r="E103">
        <v>5</v>
      </c>
      <c r="F103" t="s">
        <v>10</v>
      </c>
      <c r="G103" t="s">
        <v>10</v>
      </c>
    </row>
    <row r="104" spans="1:7" x14ac:dyDescent="0.3">
      <c r="A104" t="s">
        <v>221</v>
      </c>
      <c r="B104" t="s">
        <v>222</v>
      </c>
      <c r="C104" t="s">
        <v>1952</v>
      </c>
      <c r="D104" t="s">
        <v>16</v>
      </c>
      <c r="E104">
        <v>5</v>
      </c>
      <c r="F104" t="s">
        <v>13</v>
      </c>
      <c r="G104" t="s">
        <v>10</v>
      </c>
    </row>
    <row r="105" spans="1:7" x14ac:dyDescent="0.3">
      <c r="A105" t="s">
        <v>223</v>
      </c>
      <c r="B105" t="s">
        <v>224</v>
      </c>
      <c r="C105" t="s">
        <v>1953</v>
      </c>
      <c r="D105" t="s">
        <v>83</v>
      </c>
      <c r="E105">
        <v>1</v>
      </c>
      <c r="F105" t="s">
        <v>13</v>
      </c>
      <c r="G105" t="s">
        <v>13</v>
      </c>
    </row>
    <row r="106" spans="1:7" x14ac:dyDescent="0.3">
      <c r="A106" t="s">
        <v>225</v>
      </c>
      <c r="B106" t="s">
        <v>226</v>
      </c>
      <c r="C106" t="s">
        <v>1954</v>
      </c>
      <c r="D106" t="s">
        <v>28</v>
      </c>
      <c r="E106">
        <v>5</v>
      </c>
      <c r="F106" t="s">
        <v>10</v>
      </c>
      <c r="G106" t="s">
        <v>13</v>
      </c>
    </row>
    <row r="107" spans="1:7" x14ac:dyDescent="0.3">
      <c r="A107" t="s">
        <v>227</v>
      </c>
      <c r="B107" t="s">
        <v>228</v>
      </c>
      <c r="C107" t="s">
        <v>1955</v>
      </c>
      <c r="D107" t="s">
        <v>25</v>
      </c>
      <c r="E107">
        <v>5</v>
      </c>
      <c r="F107" t="s">
        <v>13</v>
      </c>
      <c r="G107" t="s">
        <v>10</v>
      </c>
    </row>
    <row r="108" spans="1:7" x14ac:dyDescent="0.3">
      <c r="A108" t="s">
        <v>229</v>
      </c>
      <c r="B108" t="s">
        <v>230</v>
      </c>
      <c r="C108" t="s">
        <v>1861</v>
      </c>
      <c r="D108" t="s">
        <v>28</v>
      </c>
      <c r="E108">
        <v>5</v>
      </c>
      <c r="F108" t="s">
        <v>13</v>
      </c>
      <c r="G108" t="s">
        <v>10</v>
      </c>
    </row>
    <row r="109" spans="1:7" x14ac:dyDescent="0.3">
      <c r="A109" t="s">
        <v>231</v>
      </c>
      <c r="B109" t="s">
        <v>232</v>
      </c>
      <c r="C109" t="s">
        <v>1956</v>
      </c>
      <c r="D109" t="s">
        <v>22</v>
      </c>
      <c r="E109">
        <v>4</v>
      </c>
      <c r="F109" t="s">
        <v>13</v>
      </c>
      <c r="G109" t="s">
        <v>10</v>
      </c>
    </row>
    <row r="110" spans="1:7" x14ac:dyDescent="0.3">
      <c r="A110" t="s">
        <v>233</v>
      </c>
      <c r="B110" t="s">
        <v>234</v>
      </c>
      <c r="C110" t="s">
        <v>1957</v>
      </c>
      <c r="D110" t="s">
        <v>22</v>
      </c>
      <c r="E110">
        <v>5</v>
      </c>
      <c r="F110" t="s">
        <v>10</v>
      </c>
      <c r="G110" t="s">
        <v>13</v>
      </c>
    </row>
    <row r="111" spans="1:7" x14ac:dyDescent="0.3">
      <c r="A111" t="s">
        <v>235</v>
      </c>
      <c r="B111" t="s">
        <v>236</v>
      </c>
      <c r="C111" t="s">
        <v>1958</v>
      </c>
      <c r="D111" t="s">
        <v>19</v>
      </c>
      <c r="E111">
        <v>2</v>
      </c>
      <c r="F111" t="s">
        <v>10</v>
      </c>
      <c r="G111" t="s">
        <v>10</v>
      </c>
    </row>
    <row r="112" spans="1:7" x14ac:dyDescent="0.3">
      <c r="A112" t="s">
        <v>237</v>
      </c>
      <c r="B112" t="s">
        <v>238</v>
      </c>
      <c r="C112" t="s">
        <v>1959</v>
      </c>
      <c r="D112" t="s">
        <v>31</v>
      </c>
      <c r="E112">
        <v>1</v>
      </c>
      <c r="F112" t="s">
        <v>13</v>
      </c>
      <c r="G112" t="s">
        <v>10</v>
      </c>
    </row>
    <row r="113" spans="1:7" x14ac:dyDescent="0.3">
      <c r="A113" t="s">
        <v>239</v>
      </c>
      <c r="B113" t="s">
        <v>240</v>
      </c>
      <c r="C113" t="s">
        <v>1960</v>
      </c>
      <c r="D113" t="s">
        <v>68</v>
      </c>
      <c r="E113">
        <v>2</v>
      </c>
      <c r="F113" t="s">
        <v>10</v>
      </c>
      <c r="G113" t="s">
        <v>13</v>
      </c>
    </row>
    <row r="114" spans="1:7" x14ac:dyDescent="0.3">
      <c r="A114" t="s">
        <v>241</v>
      </c>
      <c r="B114" t="s">
        <v>242</v>
      </c>
      <c r="C114" t="s">
        <v>1961</v>
      </c>
      <c r="D114" t="s">
        <v>31</v>
      </c>
      <c r="E114">
        <v>1</v>
      </c>
      <c r="F114" t="s">
        <v>13</v>
      </c>
      <c r="G114" t="s">
        <v>10</v>
      </c>
    </row>
    <row r="115" spans="1:7" x14ac:dyDescent="0.3">
      <c r="A115" t="s">
        <v>243</v>
      </c>
      <c r="B115" t="s">
        <v>244</v>
      </c>
      <c r="C115" t="s">
        <v>1962</v>
      </c>
      <c r="D115" t="s">
        <v>22</v>
      </c>
      <c r="E115">
        <v>4</v>
      </c>
      <c r="F115" t="s">
        <v>10</v>
      </c>
      <c r="G115" t="s">
        <v>13</v>
      </c>
    </row>
    <row r="116" spans="1:7" x14ac:dyDescent="0.3">
      <c r="A116" t="s">
        <v>245</v>
      </c>
      <c r="B116" t="s">
        <v>246</v>
      </c>
      <c r="C116" t="s">
        <v>1963</v>
      </c>
      <c r="D116" t="s">
        <v>37</v>
      </c>
      <c r="E116">
        <v>3</v>
      </c>
      <c r="F116" t="s">
        <v>13</v>
      </c>
      <c r="G116" t="s">
        <v>10</v>
      </c>
    </row>
    <row r="117" spans="1:7" x14ac:dyDescent="0.3">
      <c r="A117" t="s">
        <v>247</v>
      </c>
      <c r="B117" t="s">
        <v>248</v>
      </c>
      <c r="C117" t="s">
        <v>1964</v>
      </c>
      <c r="D117" t="s">
        <v>28</v>
      </c>
      <c r="E117">
        <v>5</v>
      </c>
      <c r="F117" t="s">
        <v>10</v>
      </c>
      <c r="G117" t="s">
        <v>13</v>
      </c>
    </row>
    <row r="118" spans="1:7" x14ac:dyDescent="0.3">
      <c r="A118" t="s">
        <v>249</v>
      </c>
      <c r="B118" t="s">
        <v>250</v>
      </c>
      <c r="C118" t="s">
        <v>1965</v>
      </c>
      <c r="D118" t="s">
        <v>68</v>
      </c>
      <c r="E118">
        <v>2</v>
      </c>
      <c r="F118" t="s">
        <v>10</v>
      </c>
      <c r="G118" t="s">
        <v>13</v>
      </c>
    </row>
    <row r="119" spans="1:7" x14ac:dyDescent="0.3">
      <c r="A119" t="s">
        <v>251</v>
      </c>
      <c r="B119" t="s">
        <v>252</v>
      </c>
      <c r="C119" t="s">
        <v>1966</v>
      </c>
      <c r="D119" t="s">
        <v>37</v>
      </c>
      <c r="E119">
        <v>5</v>
      </c>
      <c r="F119" t="s">
        <v>13</v>
      </c>
      <c r="G119" t="s">
        <v>10</v>
      </c>
    </row>
    <row r="120" spans="1:7" x14ac:dyDescent="0.3">
      <c r="A120" t="s">
        <v>253</v>
      </c>
      <c r="B120" t="s">
        <v>254</v>
      </c>
      <c r="C120" t="s">
        <v>1967</v>
      </c>
      <c r="D120" t="s">
        <v>28</v>
      </c>
      <c r="E120">
        <v>5</v>
      </c>
      <c r="F120" t="s">
        <v>13</v>
      </c>
      <c r="G120" t="s">
        <v>13</v>
      </c>
    </row>
    <row r="121" spans="1:7" x14ac:dyDescent="0.3">
      <c r="A121" t="s">
        <v>255</v>
      </c>
      <c r="B121" t="s">
        <v>256</v>
      </c>
      <c r="C121" t="s">
        <v>1968</v>
      </c>
      <c r="D121" t="s">
        <v>83</v>
      </c>
      <c r="E121">
        <v>1</v>
      </c>
      <c r="F121" t="s">
        <v>10</v>
      </c>
      <c r="G121" t="s">
        <v>10</v>
      </c>
    </row>
    <row r="122" spans="1:7" x14ac:dyDescent="0.3">
      <c r="A122" t="s">
        <v>257</v>
      </c>
      <c r="B122" t="s">
        <v>258</v>
      </c>
      <c r="C122" t="s">
        <v>1930</v>
      </c>
      <c r="D122" t="s">
        <v>19</v>
      </c>
      <c r="E122">
        <v>3</v>
      </c>
      <c r="F122" t="s">
        <v>13</v>
      </c>
      <c r="G122" t="s">
        <v>13</v>
      </c>
    </row>
    <row r="123" spans="1:7" x14ac:dyDescent="0.3">
      <c r="A123" t="s">
        <v>259</v>
      </c>
      <c r="B123" t="s">
        <v>260</v>
      </c>
      <c r="C123" t="s">
        <v>1969</v>
      </c>
      <c r="D123" t="s">
        <v>19</v>
      </c>
      <c r="E123">
        <v>2</v>
      </c>
      <c r="F123" t="s">
        <v>10</v>
      </c>
      <c r="G123" t="s">
        <v>13</v>
      </c>
    </row>
    <row r="124" spans="1:7" x14ac:dyDescent="0.3">
      <c r="A124" t="s">
        <v>261</v>
      </c>
      <c r="B124" t="s">
        <v>262</v>
      </c>
      <c r="C124" t="s">
        <v>1970</v>
      </c>
      <c r="D124" t="s">
        <v>16</v>
      </c>
      <c r="E124">
        <v>5</v>
      </c>
      <c r="F124" t="s">
        <v>10</v>
      </c>
      <c r="G124" t="s">
        <v>10</v>
      </c>
    </row>
    <row r="125" spans="1:7" x14ac:dyDescent="0.3">
      <c r="A125" t="s">
        <v>263</v>
      </c>
      <c r="B125" t="s">
        <v>264</v>
      </c>
      <c r="C125" t="s">
        <v>1971</v>
      </c>
      <c r="D125" t="s">
        <v>83</v>
      </c>
      <c r="E125">
        <v>3</v>
      </c>
      <c r="F125" t="s">
        <v>13</v>
      </c>
      <c r="G125" t="s">
        <v>13</v>
      </c>
    </row>
    <row r="126" spans="1:7" x14ac:dyDescent="0.3">
      <c r="A126" t="s">
        <v>265</v>
      </c>
      <c r="B126" t="s">
        <v>266</v>
      </c>
      <c r="C126" t="s">
        <v>1972</v>
      </c>
      <c r="D126" t="s">
        <v>83</v>
      </c>
      <c r="E126">
        <v>3</v>
      </c>
      <c r="F126" t="s">
        <v>13</v>
      </c>
      <c r="G126" t="s">
        <v>10</v>
      </c>
    </row>
    <row r="127" spans="1:7" x14ac:dyDescent="0.3">
      <c r="A127" t="s">
        <v>267</v>
      </c>
      <c r="B127" t="s">
        <v>268</v>
      </c>
      <c r="C127" t="s">
        <v>1973</v>
      </c>
      <c r="D127" t="s">
        <v>68</v>
      </c>
      <c r="E127">
        <v>1</v>
      </c>
      <c r="F127" t="s">
        <v>13</v>
      </c>
      <c r="G127" t="s">
        <v>13</v>
      </c>
    </row>
    <row r="128" spans="1:7" x14ac:dyDescent="0.3">
      <c r="A128" t="s">
        <v>269</v>
      </c>
      <c r="B128" t="s">
        <v>70</v>
      </c>
      <c r="C128" t="s">
        <v>1974</v>
      </c>
      <c r="D128" t="s">
        <v>22</v>
      </c>
      <c r="E128">
        <v>5</v>
      </c>
      <c r="F128" t="s">
        <v>13</v>
      </c>
      <c r="G128" t="s">
        <v>13</v>
      </c>
    </row>
    <row r="129" spans="1:7" x14ac:dyDescent="0.3">
      <c r="A129" t="s">
        <v>270</v>
      </c>
      <c r="B129" t="s">
        <v>271</v>
      </c>
      <c r="C129" t="s">
        <v>1975</v>
      </c>
      <c r="D129" t="s">
        <v>25</v>
      </c>
      <c r="E129">
        <v>4</v>
      </c>
      <c r="F129" t="s">
        <v>13</v>
      </c>
      <c r="G129" t="s">
        <v>10</v>
      </c>
    </row>
    <row r="130" spans="1:7" x14ac:dyDescent="0.3">
      <c r="A130" t="s">
        <v>272</v>
      </c>
      <c r="B130" t="s">
        <v>273</v>
      </c>
      <c r="C130" t="s">
        <v>1976</v>
      </c>
      <c r="D130" t="s">
        <v>22</v>
      </c>
      <c r="E130">
        <v>4</v>
      </c>
      <c r="F130" t="s">
        <v>10</v>
      </c>
      <c r="G130" t="s">
        <v>13</v>
      </c>
    </row>
    <row r="131" spans="1:7" x14ac:dyDescent="0.3">
      <c r="A131" t="s">
        <v>274</v>
      </c>
      <c r="B131" t="s">
        <v>275</v>
      </c>
      <c r="C131" t="s">
        <v>1977</v>
      </c>
      <c r="D131" t="s">
        <v>28</v>
      </c>
      <c r="E131">
        <v>4</v>
      </c>
      <c r="F131" t="s">
        <v>10</v>
      </c>
      <c r="G131" t="s">
        <v>10</v>
      </c>
    </row>
    <row r="132" spans="1:7" x14ac:dyDescent="0.3">
      <c r="A132" t="s">
        <v>276</v>
      </c>
      <c r="B132" t="s">
        <v>277</v>
      </c>
      <c r="C132" t="s">
        <v>1978</v>
      </c>
      <c r="D132" t="s">
        <v>9</v>
      </c>
      <c r="E132">
        <v>2</v>
      </c>
      <c r="F132" t="s">
        <v>10</v>
      </c>
      <c r="G132" t="s">
        <v>10</v>
      </c>
    </row>
    <row r="133" spans="1:7" x14ac:dyDescent="0.3">
      <c r="A133" t="s">
        <v>278</v>
      </c>
      <c r="B133" t="s">
        <v>279</v>
      </c>
      <c r="C133" t="s">
        <v>1979</v>
      </c>
      <c r="D133" t="s">
        <v>22</v>
      </c>
      <c r="E133">
        <v>4</v>
      </c>
      <c r="F133" t="s">
        <v>13</v>
      </c>
      <c r="G133" t="s">
        <v>10</v>
      </c>
    </row>
    <row r="134" spans="1:7" x14ac:dyDescent="0.3">
      <c r="A134" t="s">
        <v>280</v>
      </c>
      <c r="B134" t="s">
        <v>281</v>
      </c>
      <c r="C134" t="s">
        <v>1980</v>
      </c>
      <c r="D134" t="s">
        <v>37</v>
      </c>
      <c r="E134">
        <v>5</v>
      </c>
      <c r="F134" t="s">
        <v>13</v>
      </c>
      <c r="G134" t="s">
        <v>13</v>
      </c>
    </row>
    <row r="135" spans="1:7" x14ac:dyDescent="0.3">
      <c r="A135" t="s">
        <v>282</v>
      </c>
      <c r="B135" t="s">
        <v>283</v>
      </c>
      <c r="C135" t="s">
        <v>1981</v>
      </c>
      <c r="D135" t="s">
        <v>16</v>
      </c>
      <c r="E135">
        <v>5</v>
      </c>
      <c r="F135" t="s">
        <v>10</v>
      </c>
      <c r="G135" t="s">
        <v>10</v>
      </c>
    </row>
    <row r="136" spans="1:7" x14ac:dyDescent="0.3">
      <c r="A136" t="s">
        <v>284</v>
      </c>
      <c r="B136" t="s">
        <v>285</v>
      </c>
      <c r="C136" t="s">
        <v>1982</v>
      </c>
      <c r="D136" t="s">
        <v>31</v>
      </c>
      <c r="E136">
        <v>2</v>
      </c>
      <c r="F136" t="s">
        <v>10</v>
      </c>
      <c r="G136" t="s">
        <v>10</v>
      </c>
    </row>
    <row r="137" spans="1:7" x14ac:dyDescent="0.3">
      <c r="A137" t="s">
        <v>286</v>
      </c>
      <c r="B137" t="s">
        <v>287</v>
      </c>
      <c r="C137" t="s">
        <v>1983</v>
      </c>
      <c r="D137" t="s">
        <v>22</v>
      </c>
      <c r="E137">
        <v>5</v>
      </c>
      <c r="F137" t="s">
        <v>10</v>
      </c>
      <c r="G137" t="s">
        <v>10</v>
      </c>
    </row>
    <row r="138" spans="1:7" x14ac:dyDescent="0.3">
      <c r="A138" t="s">
        <v>288</v>
      </c>
      <c r="B138" t="s">
        <v>289</v>
      </c>
      <c r="C138" t="s">
        <v>1948</v>
      </c>
      <c r="D138" t="s">
        <v>19</v>
      </c>
      <c r="E138">
        <v>3</v>
      </c>
      <c r="F138" t="s">
        <v>10</v>
      </c>
      <c r="G138" t="s">
        <v>13</v>
      </c>
    </row>
    <row r="139" spans="1:7" x14ac:dyDescent="0.3">
      <c r="A139" t="s">
        <v>290</v>
      </c>
      <c r="B139" t="s">
        <v>291</v>
      </c>
      <c r="C139" t="s">
        <v>1984</v>
      </c>
      <c r="D139" t="s">
        <v>31</v>
      </c>
      <c r="E139">
        <v>3</v>
      </c>
      <c r="F139" t="s">
        <v>10</v>
      </c>
      <c r="G139" t="s">
        <v>10</v>
      </c>
    </row>
    <row r="140" spans="1:7" x14ac:dyDescent="0.3">
      <c r="A140" t="s">
        <v>292</v>
      </c>
      <c r="B140" t="s">
        <v>293</v>
      </c>
      <c r="C140" t="s">
        <v>1985</v>
      </c>
      <c r="D140" t="s">
        <v>28</v>
      </c>
      <c r="E140">
        <v>5</v>
      </c>
      <c r="F140" t="s">
        <v>10</v>
      </c>
      <c r="G140" t="s">
        <v>13</v>
      </c>
    </row>
    <row r="141" spans="1:7" x14ac:dyDescent="0.3">
      <c r="A141" t="s">
        <v>294</v>
      </c>
      <c r="B141" t="s">
        <v>266</v>
      </c>
      <c r="C141" t="s">
        <v>1986</v>
      </c>
      <c r="D141" t="s">
        <v>28</v>
      </c>
      <c r="E141">
        <v>4</v>
      </c>
      <c r="F141" t="s">
        <v>10</v>
      </c>
      <c r="G141" t="s">
        <v>10</v>
      </c>
    </row>
    <row r="142" spans="1:7" x14ac:dyDescent="0.3">
      <c r="A142" t="s">
        <v>295</v>
      </c>
      <c r="B142" t="s">
        <v>296</v>
      </c>
      <c r="C142" t="s">
        <v>1987</v>
      </c>
      <c r="D142" t="s">
        <v>25</v>
      </c>
      <c r="E142">
        <v>5</v>
      </c>
      <c r="F142" t="s">
        <v>13</v>
      </c>
      <c r="G142" t="s">
        <v>13</v>
      </c>
    </row>
    <row r="143" spans="1:7" x14ac:dyDescent="0.3">
      <c r="A143" t="s">
        <v>297</v>
      </c>
      <c r="B143" t="s">
        <v>298</v>
      </c>
      <c r="C143" t="s">
        <v>1965</v>
      </c>
      <c r="D143" t="s">
        <v>22</v>
      </c>
      <c r="E143">
        <v>5</v>
      </c>
      <c r="F143" t="s">
        <v>13</v>
      </c>
      <c r="G143" t="s">
        <v>13</v>
      </c>
    </row>
    <row r="144" spans="1:7" x14ac:dyDescent="0.3">
      <c r="A144" t="s">
        <v>299</v>
      </c>
      <c r="B144" t="s">
        <v>300</v>
      </c>
      <c r="C144" t="s">
        <v>1988</v>
      </c>
      <c r="D144" t="s">
        <v>68</v>
      </c>
      <c r="E144">
        <v>1</v>
      </c>
      <c r="F144" t="s">
        <v>13</v>
      </c>
      <c r="G144" t="s">
        <v>13</v>
      </c>
    </row>
    <row r="145" spans="1:7" x14ac:dyDescent="0.3">
      <c r="A145" t="s">
        <v>301</v>
      </c>
      <c r="B145" t="s">
        <v>302</v>
      </c>
      <c r="C145" t="s">
        <v>1989</v>
      </c>
      <c r="D145" t="s">
        <v>28</v>
      </c>
      <c r="E145">
        <v>4</v>
      </c>
      <c r="F145" t="s">
        <v>13</v>
      </c>
      <c r="G145" t="s">
        <v>10</v>
      </c>
    </row>
    <row r="146" spans="1:7" x14ac:dyDescent="0.3">
      <c r="A146" t="s">
        <v>303</v>
      </c>
      <c r="B146" t="s">
        <v>304</v>
      </c>
      <c r="C146" t="s">
        <v>1990</v>
      </c>
      <c r="D146" t="s">
        <v>31</v>
      </c>
      <c r="E146">
        <v>2</v>
      </c>
      <c r="F146" t="s">
        <v>10</v>
      </c>
      <c r="G146" t="s">
        <v>10</v>
      </c>
    </row>
    <row r="147" spans="1:7" x14ac:dyDescent="0.3">
      <c r="A147" t="s">
        <v>305</v>
      </c>
      <c r="B147" t="s">
        <v>306</v>
      </c>
      <c r="C147" t="s">
        <v>1991</v>
      </c>
      <c r="D147" t="s">
        <v>83</v>
      </c>
      <c r="E147">
        <v>1</v>
      </c>
      <c r="F147" t="s">
        <v>13</v>
      </c>
      <c r="G147" t="s">
        <v>13</v>
      </c>
    </row>
    <row r="148" spans="1:7" x14ac:dyDescent="0.3">
      <c r="A148" t="s">
        <v>307</v>
      </c>
      <c r="B148" t="s">
        <v>308</v>
      </c>
      <c r="C148" t="s">
        <v>1992</v>
      </c>
      <c r="D148" t="s">
        <v>22</v>
      </c>
      <c r="E148">
        <v>4</v>
      </c>
      <c r="F148" t="s">
        <v>13</v>
      </c>
      <c r="G148" t="s">
        <v>13</v>
      </c>
    </row>
    <row r="149" spans="1:7" x14ac:dyDescent="0.3">
      <c r="A149" t="s">
        <v>309</v>
      </c>
      <c r="B149" t="s">
        <v>101</v>
      </c>
      <c r="C149" t="s">
        <v>1993</v>
      </c>
      <c r="D149" t="s">
        <v>83</v>
      </c>
      <c r="E149">
        <v>1</v>
      </c>
      <c r="F149" t="s">
        <v>10</v>
      </c>
      <c r="G149" t="s">
        <v>10</v>
      </c>
    </row>
    <row r="150" spans="1:7" x14ac:dyDescent="0.3">
      <c r="A150" t="s">
        <v>310</v>
      </c>
      <c r="B150" t="s">
        <v>311</v>
      </c>
      <c r="C150" t="s">
        <v>1994</v>
      </c>
      <c r="D150" t="s">
        <v>68</v>
      </c>
      <c r="E150">
        <v>2</v>
      </c>
      <c r="F150" t="s">
        <v>10</v>
      </c>
      <c r="G150" t="s">
        <v>13</v>
      </c>
    </row>
    <row r="151" spans="1:7" x14ac:dyDescent="0.3">
      <c r="A151" t="s">
        <v>312</v>
      </c>
      <c r="B151" t="s">
        <v>313</v>
      </c>
      <c r="C151" t="s">
        <v>1995</v>
      </c>
      <c r="D151" t="s">
        <v>31</v>
      </c>
      <c r="E151">
        <v>3</v>
      </c>
      <c r="F151" t="s">
        <v>10</v>
      </c>
      <c r="G151" t="s">
        <v>13</v>
      </c>
    </row>
    <row r="152" spans="1:7" x14ac:dyDescent="0.3">
      <c r="A152" t="s">
        <v>314</v>
      </c>
      <c r="B152" t="s">
        <v>315</v>
      </c>
      <c r="C152" t="s">
        <v>1996</v>
      </c>
      <c r="D152" t="s">
        <v>37</v>
      </c>
      <c r="E152">
        <v>4</v>
      </c>
      <c r="F152" t="s">
        <v>13</v>
      </c>
      <c r="G152" t="s">
        <v>10</v>
      </c>
    </row>
    <row r="153" spans="1:7" x14ac:dyDescent="0.3">
      <c r="A153" t="s">
        <v>316</v>
      </c>
      <c r="B153" t="s">
        <v>317</v>
      </c>
      <c r="C153" t="s">
        <v>1997</v>
      </c>
      <c r="D153" t="s">
        <v>16</v>
      </c>
      <c r="E153">
        <v>5</v>
      </c>
      <c r="F153" t="s">
        <v>10</v>
      </c>
      <c r="G153" t="s">
        <v>13</v>
      </c>
    </row>
    <row r="154" spans="1:7" x14ac:dyDescent="0.3">
      <c r="A154" t="s">
        <v>318</v>
      </c>
      <c r="B154" t="s">
        <v>178</v>
      </c>
      <c r="C154" t="s">
        <v>1998</v>
      </c>
      <c r="D154" t="s">
        <v>16</v>
      </c>
      <c r="E154">
        <v>5</v>
      </c>
      <c r="F154" t="s">
        <v>10</v>
      </c>
      <c r="G154" t="s">
        <v>10</v>
      </c>
    </row>
    <row r="155" spans="1:7" x14ac:dyDescent="0.3">
      <c r="A155" t="s">
        <v>319</v>
      </c>
      <c r="B155" t="s">
        <v>320</v>
      </c>
      <c r="C155" t="s">
        <v>1999</v>
      </c>
      <c r="D155" t="s">
        <v>19</v>
      </c>
      <c r="E155">
        <v>3</v>
      </c>
      <c r="F155" t="s">
        <v>10</v>
      </c>
      <c r="G155" t="s">
        <v>10</v>
      </c>
    </row>
    <row r="156" spans="1:7" x14ac:dyDescent="0.3">
      <c r="A156" t="s">
        <v>321</v>
      </c>
      <c r="B156" t="s">
        <v>322</v>
      </c>
      <c r="C156" t="s">
        <v>2000</v>
      </c>
      <c r="D156" t="s">
        <v>37</v>
      </c>
      <c r="E156">
        <v>5</v>
      </c>
      <c r="F156" t="s">
        <v>10</v>
      </c>
      <c r="G156" t="s">
        <v>10</v>
      </c>
    </row>
    <row r="157" spans="1:7" x14ac:dyDescent="0.3">
      <c r="A157" t="s">
        <v>323</v>
      </c>
      <c r="B157" t="s">
        <v>324</v>
      </c>
      <c r="C157" t="s">
        <v>2001</v>
      </c>
      <c r="D157" t="s">
        <v>83</v>
      </c>
      <c r="E157">
        <v>2</v>
      </c>
      <c r="F157" t="s">
        <v>10</v>
      </c>
      <c r="G157" t="s">
        <v>13</v>
      </c>
    </row>
    <row r="158" spans="1:7" x14ac:dyDescent="0.3">
      <c r="A158" t="s">
        <v>325</v>
      </c>
      <c r="B158" t="s">
        <v>326</v>
      </c>
      <c r="C158" t="s">
        <v>2002</v>
      </c>
      <c r="D158" t="s">
        <v>19</v>
      </c>
      <c r="E158">
        <v>3</v>
      </c>
      <c r="F158" t="s">
        <v>13</v>
      </c>
      <c r="G158" t="s">
        <v>10</v>
      </c>
    </row>
    <row r="159" spans="1:7" x14ac:dyDescent="0.3">
      <c r="A159" t="s">
        <v>327</v>
      </c>
      <c r="B159" t="s">
        <v>328</v>
      </c>
      <c r="C159" t="s">
        <v>2003</v>
      </c>
      <c r="D159" t="s">
        <v>16</v>
      </c>
      <c r="E159">
        <v>4</v>
      </c>
      <c r="F159" t="s">
        <v>10</v>
      </c>
      <c r="G159" t="s">
        <v>13</v>
      </c>
    </row>
    <row r="160" spans="1:7" x14ac:dyDescent="0.3">
      <c r="A160" t="s">
        <v>329</v>
      </c>
      <c r="B160" t="s">
        <v>330</v>
      </c>
      <c r="C160" t="s">
        <v>2004</v>
      </c>
      <c r="D160" t="s">
        <v>83</v>
      </c>
      <c r="E160">
        <v>2</v>
      </c>
      <c r="F160" t="s">
        <v>13</v>
      </c>
      <c r="G160" t="s">
        <v>13</v>
      </c>
    </row>
    <row r="161" spans="1:7" x14ac:dyDescent="0.3">
      <c r="A161" t="s">
        <v>331</v>
      </c>
      <c r="B161" t="s">
        <v>332</v>
      </c>
      <c r="C161" t="s">
        <v>2005</v>
      </c>
      <c r="D161" t="s">
        <v>9</v>
      </c>
      <c r="E161">
        <v>1</v>
      </c>
      <c r="F161" t="s">
        <v>13</v>
      </c>
      <c r="G161" t="s">
        <v>13</v>
      </c>
    </row>
    <row r="162" spans="1:7" x14ac:dyDescent="0.3">
      <c r="A162" t="s">
        <v>333</v>
      </c>
      <c r="B162" t="s">
        <v>334</v>
      </c>
      <c r="C162" t="s">
        <v>2006</v>
      </c>
      <c r="D162" t="s">
        <v>28</v>
      </c>
      <c r="E162">
        <v>4</v>
      </c>
      <c r="F162" t="s">
        <v>10</v>
      </c>
      <c r="G162" t="s">
        <v>10</v>
      </c>
    </row>
    <row r="163" spans="1:7" x14ac:dyDescent="0.3">
      <c r="A163" t="s">
        <v>335</v>
      </c>
      <c r="B163" t="s">
        <v>336</v>
      </c>
      <c r="C163" t="s">
        <v>2007</v>
      </c>
      <c r="D163" t="s">
        <v>37</v>
      </c>
      <c r="E163">
        <v>5</v>
      </c>
      <c r="F163" t="s">
        <v>10</v>
      </c>
      <c r="G163" t="s">
        <v>13</v>
      </c>
    </row>
    <row r="164" spans="1:7" x14ac:dyDescent="0.3">
      <c r="A164" t="s">
        <v>337</v>
      </c>
      <c r="B164" t="s">
        <v>126</v>
      </c>
      <c r="C164" t="s">
        <v>2008</v>
      </c>
      <c r="D164" t="s">
        <v>68</v>
      </c>
      <c r="E164">
        <v>1</v>
      </c>
      <c r="F164" t="s">
        <v>10</v>
      </c>
      <c r="G164" t="s">
        <v>13</v>
      </c>
    </row>
    <row r="165" spans="1:7" x14ac:dyDescent="0.3">
      <c r="A165" t="s">
        <v>338</v>
      </c>
      <c r="B165" t="s">
        <v>339</v>
      </c>
      <c r="C165" t="s">
        <v>2009</v>
      </c>
      <c r="D165" t="s">
        <v>83</v>
      </c>
      <c r="E165">
        <v>1</v>
      </c>
      <c r="F165" t="s">
        <v>10</v>
      </c>
      <c r="G165" t="s">
        <v>13</v>
      </c>
    </row>
    <row r="166" spans="1:7" x14ac:dyDescent="0.3">
      <c r="A166" t="s">
        <v>340</v>
      </c>
      <c r="B166" t="s">
        <v>341</v>
      </c>
      <c r="C166" t="s">
        <v>2010</v>
      </c>
      <c r="D166" t="s">
        <v>28</v>
      </c>
      <c r="E166">
        <v>4</v>
      </c>
      <c r="F166" t="s">
        <v>13</v>
      </c>
      <c r="G166" t="s">
        <v>13</v>
      </c>
    </row>
    <row r="167" spans="1:7" x14ac:dyDescent="0.3">
      <c r="A167" t="s">
        <v>342</v>
      </c>
      <c r="B167" t="s">
        <v>343</v>
      </c>
      <c r="C167" t="s">
        <v>2011</v>
      </c>
      <c r="D167" t="s">
        <v>37</v>
      </c>
      <c r="E167">
        <v>5</v>
      </c>
      <c r="F167" t="s">
        <v>10</v>
      </c>
      <c r="G167" t="s">
        <v>13</v>
      </c>
    </row>
    <row r="168" spans="1:7" x14ac:dyDescent="0.3">
      <c r="A168" t="s">
        <v>344</v>
      </c>
      <c r="B168" t="s">
        <v>345</v>
      </c>
      <c r="C168" t="s">
        <v>2012</v>
      </c>
      <c r="D168" t="s">
        <v>9</v>
      </c>
      <c r="E168">
        <v>2</v>
      </c>
      <c r="F168" t="s">
        <v>10</v>
      </c>
      <c r="G168" t="s">
        <v>13</v>
      </c>
    </row>
    <row r="169" spans="1:7" x14ac:dyDescent="0.3">
      <c r="A169" t="s">
        <v>346</v>
      </c>
      <c r="B169" t="s">
        <v>347</v>
      </c>
      <c r="C169" t="s">
        <v>2013</v>
      </c>
      <c r="D169" t="s">
        <v>68</v>
      </c>
      <c r="E169">
        <v>2</v>
      </c>
      <c r="F169" t="s">
        <v>13</v>
      </c>
      <c r="G169" t="s">
        <v>13</v>
      </c>
    </row>
    <row r="170" spans="1:7" x14ac:dyDescent="0.3">
      <c r="A170" t="s">
        <v>348</v>
      </c>
      <c r="B170" t="s">
        <v>347</v>
      </c>
      <c r="C170" t="s">
        <v>2014</v>
      </c>
      <c r="D170" t="s">
        <v>16</v>
      </c>
      <c r="E170">
        <v>5</v>
      </c>
      <c r="F170" t="s">
        <v>13</v>
      </c>
      <c r="G170" t="s">
        <v>13</v>
      </c>
    </row>
    <row r="171" spans="1:7" x14ac:dyDescent="0.3">
      <c r="A171" t="s">
        <v>349</v>
      </c>
      <c r="B171" t="s">
        <v>350</v>
      </c>
      <c r="C171" t="s">
        <v>2015</v>
      </c>
      <c r="D171" t="s">
        <v>37</v>
      </c>
      <c r="E171">
        <v>5</v>
      </c>
      <c r="F171" t="s">
        <v>10</v>
      </c>
      <c r="G171" t="s">
        <v>10</v>
      </c>
    </row>
    <row r="172" spans="1:7" x14ac:dyDescent="0.3">
      <c r="A172" t="s">
        <v>351</v>
      </c>
      <c r="B172" t="s">
        <v>352</v>
      </c>
      <c r="C172" t="s">
        <v>2016</v>
      </c>
      <c r="D172" t="s">
        <v>22</v>
      </c>
      <c r="E172">
        <v>4</v>
      </c>
      <c r="F172" t="s">
        <v>10</v>
      </c>
      <c r="G172" t="s">
        <v>10</v>
      </c>
    </row>
    <row r="173" spans="1:7" x14ac:dyDescent="0.3">
      <c r="A173" t="s">
        <v>353</v>
      </c>
      <c r="B173" t="s">
        <v>354</v>
      </c>
      <c r="C173" t="s">
        <v>2017</v>
      </c>
      <c r="D173" t="s">
        <v>25</v>
      </c>
      <c r="E173">
        <v>5</v>
      </c>
      <c r="F173" t="s">
        <v>10</v>
      </c>
      <c r="G173" t="s">
        <v>10</v>
      </c>
    </row>
    <row r="174" spans="1:7" x14ac:dyDescent="0.3">
      <c r="A174" t="s">
        <v>355</v>
      </c>
      <c r="B174" t="s">
        <v>356</v>
      </c>
      <c r="C174" t="s">
        <v>2018</v>
      </c>
      <c r="D174" t="s">
        <v>83</v>
      </c>
      <c r="E174">
        <v>3</v>
      </c>
      <c r="F174" t="s">
        <v>10</v>
      </c>
      <c r="G174" t="s">
        <v>13</v>
      </c>
    </row>
    <row r="175" spans="1:7" x14ac:dyDescent="0.3">
      <c r="A175" t="s">
        <v>357</v>
      </c>
      <c r="B175" t="s">
        <v>358</v>
      </c>
      <c r="C175" t="s">
        <v>2019</v>
      </c>
      <c r="D175" t="s">
        <v>37</v>
      </c>
      <c r="E175">
        <v>4</v>
      </c>
      <c r="F175" t="s">
        <v>13</v>
      </c>
      <c r="G175" t="s">
        <v>13</v>
      </c>
    </row>
    <row r="176" spans="1:7" x14ac:dyDescent="0.3">
      <c r="A176" t="s">
        <v>359</v>
      </c>
      <c r="B176" t="s">
        <v>360</v>
      </c>
      <c r="C176" t="s">
        <v>2020</v>
      </c>
      <c r="D176" t="s">
        <v>25</v>
      </c>
      <c r="E176">
        <v>5</v>
      </c>
      <c r="F176" t="s">
        <v>13</v>
      </c>
      <c r="G176" t="s">
        <v>10</v>
      </c>
    </row>
    <row r="177" spans="1:7" x14ac:dyDescent="0.3">
      <c r="A177" t="s">
        <v>361</v>
      </c>
      <c r="B177" t="s">
        <v>362</v>
      </c>
      <c r="C177" t="s">
        <v>2021</v>
      </c>
      <c r="D177" t="s">
        <v>16</v>
      </c>
      <c r="E177">
        <v>4</v>
      </c>
      <c r="F177" t="s">
        <v>13</v>
      </c>
      <c r="G177" t="s">
        <v>10</v>
      </c>
    </row>
    <row r="178" spans="1:7" x14ac:dyDescent="0.3">
      <c r="A178" t="s">
        <v>363</v>
      </c>
      <c r="B178" t="s">
        <v>364</v>
      </c>
      <c r="C178" t="s">
        <v>2022</v>
      </c>
      <c r="D178" t="s">
        <v>28</v>
      </c>
      <c r="E178">
        <v>4</v>
      </c>
      <c r="F178" t="s">
        <v>13</v>
      </c>
      <c r="G178" t="s">
        <v>13</v>
      </c>
    </row>
    <row r="179" spans="1:7" x14ac:dyDescent="0.3">
      <c r="A179" t="s">
        <v>365</v>
      </c>
      <c r="B179" t="s">
        <v>366</v>
      </c>
      <c r="C179" t="s">
        <v>2023</v>
      </c>
      <c r="D179" t="s">
        <v>16</v>
      </c>
      <c r="E179">
        <v>4</v>
      </c>
      <c r="F179" t="s">
        <v>10</v>
      </c>
      <c r="G179" t="s">
        <v>10</v>
      </c>
    </row>
    <row r="180" spans="1:7" x14ac:dyDescent="0.3">
      <c r="A180" t="s">
        <v>367</v>
      </c>
      <c r="B180" t="s">
        <v>368</v>
      </c>
      <c r="C180" t="s">
        <v>1913</v>
      </c>
      <c r="D180" t="s">
        <v>25</v>
      </c>
      <c r="E180">
        <v>4</v>
      </c>
      <c r="F180" t="s">
        <v>13</v>
      </c>
      <c r="G180" t="s">
        <v>10</v>
      </c>
    </row>
    <row r="181" spans="1:7" x14ac:dyDescent="0.3">
      <c r="A181" t="s">
        <v>369</v>
      </c>
      <c r="B181" t="s">
        <v>370</v>
      </c>
      <c r="C181" t="s">
        <v>2024</v>
      </c>
      <c r="D181" t="s">
        <v>16</v>
      </c>
      <c r="E181">
        <v>5</v>
      </c>
      <c r="F181" t="s">
        <v>10</v>
      </c>
      <c r="G181" t="s">
        <v>10</v>
      </c>
    </row>
    <row r="182" spans="1:7" x14ac:dyDescent="0.3">
      <c r="A182" t="s">
        <v>371</v>
      </c>
      <c r="B182" t="s">
        <v>372</v>
      </c>
      <c r="C182" t="s">
        <v>2025</v>
      </c>
      <c r="D182" t="s">
        <v>68</v>
      </c>
      <c r="E182">
        <v>1</v>
      </c>
      <c r="F182" t="s">
        <v>13</v>
      </c>
      <c r="G182" t="s">
        <v>10</v>
      </c>
    </row>
    <row r="183" spans="1:7" x14ac:dyDescent="0.3">
      <c r="A183" t="s">
        <v>373</v>
      </c>
      <c r="B183" t="s">
        <v>374</v>
      </c>
      <c r="C183" t="s">
        <v>2026</v>
      </c>
      <c r="D183" t="s">
        <v>31</v>
      </c>
      <c r="E183">
        <v>3</v>
      </c>
      <c r="F183" t="s">
        <v>10</v>
      </c>
      <c r="G183" t="s">
        <v>13</v>
      </c>
    </row>
    <row r="184" spans="1:7" x14ac:dyDescent="0.3">
      <c r="A184" t="s">
        <v>375</v>
      </c>
      <c r="B184" t="s">
        <v>376</v>
      </c>
      <c r="C184" t="s">
        <v>2027</v>
      </c>
      <c r="D184" t="s">
        <v>28</v>
      </c>
      <c r="E184">
        <v>4</v>
      </c>
      <c r="F184" t="s">
        <v>10</v>
      </c>
      <c r="G184" t="s">
        <v>13</v>
      </c>
    </row>
    <row r="185" spans="1:7" x14ac:dyDescent="0.3">
      <c r="A185" t="s">
        <v>377</v>
      </c>
      <c r="B185" t="s">
        <v>378</v>
      </c>
      <c r="C185" t="s">
        <v>2028</v>
      </c>
      <c r="D185" t="s">
        <v>25</v>
      </c>
      <c r="E185">
        <v>4</v>
      </c>
      <c r="F185" t="s">
        <v>10</v>
      </c>
      <c r="G185" t="s">
        <v>13</v>
      </c>
    </row>
    <row r="186" spans="1:7" x14ac:dyDescent="0.3">
      <c r="A186" t="s">
        <v>379</v>
      </c>
      <c r="B186" t="s">
        <v>380</v>
      </c>
      <c r="C186" t="s">
        <v>2029</v>
      </c>
      <c r="D186" t="s">
        <v>68</v>
      </c>
      <c r="E186">
        <v>1</v>
      </c>
      <c r="F186" t="s">
        <v>13</v>
      </c>
      <c r="G186" t="s">
        <v>10</v>
      </c>
    </row>
    <row r="187" spans="1:7" x14ac:dyDescent="0.3">
      <c r="A187" t="s">
        <v>381</v>
      </c>
      <c r="B187" t="s">
        <v>85</v>
      </c>
      <c r="C187" t="s">
        <v>2030</v>
      </c>
      <c r="D187" t="s">
        <v>25</v>
      </c>
      <c r="E187">
        <v>5</v>
      </c>
      <c r="F187" t="s">
        <v>10</v>
      </c>
      <c r="G187" t="s">
        <v>10</v>
      </c>
    </row>
    <row r="188" spans="1:7" x14ac:dyDescent="0.3">
      <c r="A188" t="s">
        <v>382</v>
      </c>
      <c r="B188" t="s">
        <v>383</v>
      </c>
      <c r="C188" t="s">
        <v>2031</v>
      </c>
      <c r="D188" t="s">
        <v>28</v>
      </c>
      <c r="E188">
        <v>5</v>
      </c>
      <c r="F188" t="s">
        <v>13</v>
      </c>
      <c r="G188" t="s">
        <v>10</v>
      </c>
    </row>
    <row r="189" spans="1:7" x14ac:dyDescent="0.3">
      <c r="A189" t="s">
        <v>384</v>
      </c>
      <c r="B189" t="s">
        <v>385</v>
      </c>
      <c r="C189" t="s">
        <v>2032</v>
      </c>
      <c r="D189" t="s">
        <v>16</v>
      </c>
      <c r="E189">
        <v>5</v>
      </c>
      <c r="F189" t="s">
        <v>13</v>
      </c>
      <c r="G189" t="s">
        <v>10</v>
      </c>
    </row>
    <row r="190" spans="1:7" x14ac:dyDescent="0.3">
      <c r="A190" t="s">
        <v>386</v>
      </c>
      <c r="B190" t="s">
        <v>387</v>
      </c>
      <c r="C190" t="s">
        <v>2033</v>
      </c>
      <c r="D190" t="s">
        <v>22</v>
      </c>
      <c r="E190">
        <v>5</v>
      </c>
      <c r="F190" t="s">
        <v>10</v>
      </c>
      <c r="G190" t="s">
        <v>13</v>
      </c>
    </row>
    <row r="191" spans="1:7" x14ac:dyDescent="0.3">
      <c r="A191" t="s">
        <v>388</v>
      </c>
      <c r="B191" t="s">
        <v>389</v>
      </c>
      <c r="C191" t="s">
        <v>2034</v>
      </c>
      <c r="D191" t="s">
        <v>37</v>
      </c>
      <c r="E191">
        <v>4</v>
      </c>
      <c r="F191" t="s">
        <v>10</v>
      </c>
      <c r="G191" t="s">
        <v>13</v>
      </c>
    </row>
    <row r="192" spans="1:7" x14ac:dyDescent="0.3">
      <c r="A192" t="s">
        <v>390</v>
      </c>
      <c r="B192" t="s">
        <v>391</v>
      </c>
      <c r="C192" t="s">
        <v>2035</v>
      </c>
      <c r="D192" t="s">
        <v>28</v>
      </c>
      <c r="E192">
        <v>5</v>
      </c>
      <c r="F192" t="s">
        <v>13</v>
      </c>
      <c r="G192" t="s">
        <v>13</v>
      </c>
    </row>
    <row r="193" spans="1:7" x14ac:dyDescent="0.3">
      <c r="A193" t="s">
        <v>392</v>
      </c>
      <c r="B193" t="s">
        <v>393</v>
      </c>
      <c r="C193" t="s">
        <v>1897</v>
      </c>
      <c r="D193" t="s">
        <v>19</v>
      </c>
      <c r="E193">
        <v>2</v>
      </c>
      <c r="F193" t="s">
        <v>10</v>
      </c>
      <c r="G193" t="s">
        <v>13</v>
      </c>
    </row>
    <row r="194" spans="1:7" x14ac:dyDescent="0.3">
      <c r="A194" t="s">
        <v>394</v>
      </c>
      <c r="B194" t="s">
        <v>395</v>
      </c>
      <c r="C194" t="s">
        <v>2036</v>
      </c>
      <c r="D194" t="s">
        <v>22</v>
      </c>
      <c r="E194">
        <v>5</v>
      </c>
      <c r="F194" t="s">
        <v>13</v>
      </c>
      <c r="G194" t="s">
        <v>10</v>
      </c>
    </row>
    <row r="195" spans="1:7" x14ac:dyDescent="0.3">
      <c r="A195" t="s">
        <v>396</v>
      </c>
      <c r="B195" t="s">
        <v>397</v>
      </c>
      <c r="C195" t="s">
        <v>2037</v>
      </c>
      <c r="D195" t="s">
        <v>83</v>
      </c>
      <c r="E195">
        <v>1</v>
      </c>
      <c r="F195" t="s">
        <v>13</v>
      </c>
      <c r="G195" t="s">
        <v>13</v>
      </c>
    </row>
    <row r="196" spans="1:7" x14ac:dyDescent="0.3">
      <c r="A196" t="s">
        <v>398</v>
      </c>
      <c r="B196" t="s">
        <v>399</v>
      </c>
      <c r="C196" t="s">
        <v>2038</v>
      </c>
      <c r="D196" t="s">
        <v>25</v>
      </c>
      <c r="E196">
        <v>5</v>
      </c>
      <c r="F196" t="s">
        <v>10</v>
      </c>
      <c r="G196" t="s">
        <v>13</v>
      </c>
    </row>
    <row r="197" spans="1:7" x14ac:dyDescent="0.3">
      <c r="A197" t="s">
        <v>400</v>
      </c>
      <c r="B197" t="s">
        <v>401</v>
      </c>
      <c r="C197" t="s">
        <v>2035</v>
      </c>
      <c r="D197" t="s">
        <v>68</v>
      </c>
      <c r="E197">
        <v>1</v>
      </c>
      <c r="F197" t="s">
        <v>13</v>
      </c>
      <c r="G197" t="s">
        <v>13</v>
      </c>
    </row>
    <row r="198" spans="1:7" x14ac:dyDescent="0.3">
      <c r="A198" t="s">
        <v>402</v>
      </c>
      <c r="B198" t="s">
        <v>403</v>
      </c>
      <c r="C198" t="s">
        <v>2039</v>
      </c>
      <c r="D198" t="s">
        <v>37</v>
      </c>
      <c r="E198">
        <v>5</v>
      </c>
      <c r="F198" t="s">
        <v>13</v>
      </c>
      <c r="G198" t="s">
        <v>13</v>
      </c>
    </row>
    <row r="199" spans="1:7" x14ac:dyDescent="0.3">
      <c r="A199" t="s">
        <v>404</v>
      </c>
      <c r="B199" t="s">
        <v>405</v>
      </c>
      <c r="C199" t="s">
        <v>1913</v>
      </c>
      <c r="D199" t="s">
        <v>22</v>
      </c>
      <c r="E199">
        <v>4</v>
      </c>
      <c r="F199" t="s">
        <v>10</v>
      </c>
      <c r="G199" t="s">
        <v>13</v>
      </c>
    </row>
    <row r="200" spans="1:7" x14ac:dyDescent="0.3">
      <c r="A200" t="s">
        <v>406</v>
      </c>
      <c r="B200" t="s">
        <v>407</v>
      </c>
      <c r="C200" t="s">
        <v>2040</v>
      </c>
      <c r="D200" t="s">
        <v>37</v>
      </c>
      <c r="E200">
        <v>3</v>
      </c>
      <c r="F200" t="s">
        <v>13</v>
      </c>
      <c r="G200" t="s">
        <v>10</v>
      </c>
    </row>
    <row r="201" spans="1:7" x14ac:dyDescent="0.3">
      <c r="A201" t="s">
        <v>408</v>
      </c>
      <c r="B201" t="s">
        <v>409</v>
      </c>
      <c r="C201" t="s">
        <v>2041</v>
      </c>
      <c r="D201" t="s">
        <v>16</v>
      </c>
      <c r="E201">
        <v>4</v>
      </c>
      <c r="F201" t="s">
        <v>10</v>
      </c>
      <c r="G201" t="s">
        <v>10</v>
      </c>
    </row>
    <row r="202" spans="1:7" x14ac:dyDescent="0.3">
      <c r="A202" t="s">
        <v>410</v>
      </c>
      <c r="B202" t="s">
        <v>411</v>
      </c>
      <c r="C202" t="s">
        <v>2042</v>
      </c>
      <c r="D202" t="s">
        <v>16</v>
      </c>
      <c r="E202">
        <v>4</v>
      </c>
      <c r="F202" t="s">
        <v>10</v>
      </c>
      <c r="G202" t="s">
        <v>13</v>
      </c>
    </row>
    <row r="203" spans="1:7" x14ac:dyDescent="0.3">
      <c r="A203" t="s">
        <v>412</v>
      </c>
      <c r="B203" t="s">
        <v>413</v>
      </c>
      <c r="C203" t="s">
        <v>2043</v>
      </c>
      <c r="D203" t="s">
        <v>28</v>
      </c>
      <c r="E203">
        <v>4</v>
      </c>
      <c r="F203" t="s">
        <v>13</v>
      </c>
      <c r="G203" t="s">
        <v>10</v>
      </c>
    </row>
    <row r="204" spans="1:7" x14ac:dyDescent="0.3">
      <c r="A204" t="s">
        <v>414</v>
      </c>
      <c r="B204" t="s">
        <v>415</v>
      </c>
      <c r="C204" t="s">
        <v>2044</v>
      </c>
      <c r="D204" t="s">
        <v>19</v>
      </c>
      <c r="E204">
        <v>2</v>
      </c>
      <c r="F204" t="s">
        <v>13</v>
      </c>
      <c r="G204" t="s">
        <v>10</v>
      </c>
    </row>
    <row r="205" spans="1:7" x14ac:dyDescent="0.3">
      <c r="A205" t="s">
        <v>416</v>
      </c>
      <c r="B205" t="s">
        <v>417</v>
      </c>
      <c r="C205" t="s">
        <v>2045</v>
      </c>
      <c r="D205" t="s">
        <v>37</v>
      </c>
      <c r="E205">
        <v>4</v>
      </c>
      <c r="F205" t="s">
        <v>13</v>
      </c>
      <c r="G205" t="s">
        <v>10</v>
      </c>
    </row>
    <row r="206" spans="1:7" x14ac:dyDescent="0.3">
      <c r="A206" t="s">
        <v>418</v>
      </c>
      <c r="B206" t="s">
        <v>419</v>
      </c>
      <c r="C206" t="s">
        <v>1957</v>
      </c>
      <c r="D206" t="s">
        <v>16</v>
      </c>
      <c r="E206">
        <v>4</v>
      </c>
      <c r="F206" t="s">
        <v>13</v>
      </c>
      <c r="G206" t="s">
        <v>13</v>
      </c>
    </row>
    <row r="207" spans="1:7" x14ac:dyDescent="0.3">
      <c r="A207" t="s">
        <v>420</v>
      </c>
      <c r="B207" t="s">
        <v>421</v>
      </c>
      <c r="C207" t="s">
        <v>2046</v>
      </c>
      <c r="D207" t="s">
        <v>22</v>
      </c>
      <c r="E207">
        <v>4</v>
      </c>
      <c r="F207" t="s">
        <v>10</v>
      </c>
      <c r="G207" t="s">
        <v>13</v>
      </c>
    </row>
    <row r="208" spans="1:7" x14ac:dyDescent="0.3">
      <c r="A208" t="s">
        <v>422</v>
      </c>
      <c r="B208" t="s">
        <v>423</v>
      </c>
      <c r="C208" t="s">
        <v>1976</v>
      </c>
      <c r="D208" t="s">
        <v>22</v>
      </c>
      <c r="E208">
        <v>5</v>
      </c>
      <c r="F208" t="s">
        <v>10</v>
      </c>
      <c r="G208" t="s">
        <v>13</v>
      </c>
    </row>
    <row r="209" spans="1:7" x14ac:dyDescent="0.3">
      <c r="A209" t="s">
        <v>424</v>
      </c>
      <c r="B209" t="s">
        <v>425</v>
      </c>
      <c r="C209" t="s">
        <v>2047</v>
      </c>
      <c r="D209" t="s">
        <v>22</v>
      </c>
      <c r="E209">
        <v>4</v>
      </c>
      <c r="F209" t="s">
        <v>13</v>
      </c>
      <c r="G209" t="s">
        <v>13</v>
      </c>
    </row>
    <row r="210" spans="1:7" x14ac:dyDescent="0.3">
      <c r="A210" t="s">
        <v>426</v>
      </c>
      <c r="B210" t="s">
        <v>427</v>
      </c>
      <c r="C210" t="s">
        <v>2048</v>
      </c>
      <c r="D210" t="s">
        <v>9</v>
      </c>
      <c r="E210">
        <v>2</v>
      </c>
      <c r="F210" t="s">
        <v>10</v>
      </c>
      <c r="G210" t="s">
        <v>13</v>
      </c>
    </row>
    <row r="211" spans="1:7" x14ac:dyDescent="0.3">
      <c r="A211" t="s">
        <v>428</v>
      </c>
      <c r="B211" t="s">
        <v>429</v>
      </c>
      <c r="C211" t="s">
        <v>2049</v>
      </c>
      <c r="D211" t="s">
        <v>31</v>
      </c>
      <c r="E211">
        <v>1</v>
      </c>
      <c r="F211" t="s">
        <v>10</v>
      </c>
      <c r="G211" t="s">
        <v>10</v>
      </c>
    </row>
    <row r="212" spans="1:7" x14ac:dyDescent="0.3">
      <c r="A212" t="s">
        <v>430</v>
      </c>
      <c r="B212" t="s">
        <v>431</v>
      </c>
      <c r="C212" t="s">
        <v>2050</v>
      </c>
      <c r="D212" t="s">
        <v>37</v>
      </c>
      <c r="E212">
        <v>4</v>
      </c>
      <c r="F212" t="s">
        <v>13</v>
      </c>
      <c r="G212" t="s">
        <v>10</v>
      </c>
    </row>
    <row r="213" spans="1:7" x14ac:dyDescent="0.3">
      <c r="A213" t="s">
        <v>432</v>
      </c>
      <c r="B213" t="s">
        <v>433</v>
      </c>
      <c r="C213" t="s">
        <v>2051</v>
      </c>
      <c r="D213" t="s">
        <v>9</v>
      </c>
      <c r="E213">
        <v>2</v>
      </c>
      <c r="F213" t="s">
        <v>10</v>
      </c>
      <c r="G213" t="s">
        <v>13</v>
      </c>
    </row>
    <row r="214" spans="1:7" x14ac:dyDescent="0.3">
      <c r="A214" t="s">
        <v>434</v>
      </c>
      <c r="B214" t="s">
        <v>435</v>
      </c>
      <c r="C214" t="s">
        <v>2052</v>
      </c>
      <c r="D214" t="s">
        <v>22</v>
      </c>
      <c r="E214">
        <v>4</v>
      </c>
      <c r="F214" t="s">
        <v>10</v>
      </c>
      <c r="G214" t="s">
        <v>13</v>
      </c>
    </row>
    <row r="215" spans="1:7" x14ac:dyDescent="0.3">
      <c r="A215" t="s">
        <v>436</v>
      </c>
      <c r="B215" t="s">
        <v>437</v>
      </c>
      <c r="C215" t="s">
        <v>2053</v>
      </c>
      <c r="D215" t="s">
        <v>68</v>
      </c>
      <c r="E215">
        <v>2</v>
      </c>
      <c r="F215" t="s">
        <v>10</v>
      </c>
      <c r="G215" t="s">
        <v>10</v>
      </c>
    </row>
    <row r="216" spans="1:7" x14ac:dyDescent="0.3">
      <c r="A216" t="s">
        <v>438</v>
      </c>
      <c r="B216" t="s">
        <v>439</v>
      </c>
      <c r="C216" t="s">
        <v>2054</v>
      </c>
      <c r="D216" t="s">
        <v>16</v>
      </c>
      <c r="E216">
        <v>4</v>
      </c>
      <c r="F216" t="s">
        <v>10</v>
      </c>
      <c r="G216" t="s">
        <v>10</v>
      </c>
    </row>
    <row r="217" spans="1:7" x14ac:dyDescent="0.3">
      <c r="A217" t="s">
        <v>440</v>
      </c>
      <c r="B217" t="s">
        <v>441</v>
      </c>
      <c r="C217" t="s">
        <v>2055</v>
      </c>
      <c r="D217" t="s">
        <v>68</v>
      </c>
      <c r="E217">
        <v>1</v>
      </c>
      <c r="F217" t="s">
        <v>10</v>
      </c>
      <c r="G217" t="s">
        <v>10</v>
      </c>
    </row>
    <row r="218" spans="1:7" x14ac:dyDescent="0.3">
      <c r="A218" t="s">
        <v>442</v>
      </c>
      <c r="B218" t="s">
        <v>443</v>
      </c>
      <c r="C218" t="s">
        <v>2056</v>
      </c>
      <c r="D218" t="s">
        <v>37</v>
      </c>
      <c r="E218">
        <v>4</v>
      </c>
      <c r="F218" t="s">
        <v>10</v>
      </c>
      <c r="G218" t="s">
        <v>10</v>
      </c>
    </row>
    <row r="219" spans="1:7" x14ac:dyDescent="0.3">
      <c r="A219" t="s">
        <v>444</v>
      </c>
      <c r="B219" t="s">
        <v>445</v>
      </c>
      <c r="C219" t="s">
        <v>2057</v>
      </c>
      <c r="D219" t="s">
        <v>28</v>
      </c>
      <c r="E219">
        <v>4</v>
      </c>
      <c r="F219" t="s">
        <v>10</v>
      </c>
      <c r="G219" t="s">
        <v>13</v>
      </c>
    </row>
    <row r="220" spans="1:7" x14ac:dyDescent="0.3">
      <c r="A220" t="s">
        <v>446</v>
      </c>
      <c r="B220" t="s">
        <v>447</v>
      </c>
      <c r="C220" t="s">
        <v>2058</v>
      </c>
      <c r="D220" t="s">
        <v>19</v>
      </c>
      <c r="E220">
        <v>3</v>
      </c>
      <c r="F220" t="s">
        <v>10</v>
      </c>
      <c r="G220" t="s">
        <v>13</v>
      </c>
    </row>
    <row r="221" spans="1:7" x14ac:dyDescent="0.3">
      <c r="A221" t="s">
        <v>448</v>
      </c>
      <c r="B221" t="s">
        <v>449</v>
      </c>
      <c r="C221" t="s">
        <v>2059</v>
      </c>
      <c r="D221" t="s">
        <v>83</v>
      </c>
      <c r="E221">
        <v>2</v>
      </c>
      <c r="F221" t="s">
        <v>13</v>
      </c>
      <c r="G221" t="s">
        <v>10</v>
      </c>
    </row>
    <row r="222" spans="1:7" x14ac:dyDescent="0.3">
      <c r="A222" t="s">
        <v>450</v>
      </c>
      <c r="B222" t="s">
        <v>451</v>
      </c>
      <c r="C222" t="s">
        <v>2060</v>
      </c>
      <c r="D222" t="s">
        <v>25</v>
      </c>
      <c r="E222">
        <v>5</v>
      </c>
      <c r="F222" t="s">
        <v>10</v>
      </c>
      <c r="G222" t="s">
        <v>10</v>
      </c>
    </row>
    <row r="223" spans="1:7" x14ac:dyDescent="0.3">
      <c r="A223" t="s">
        <v>452</v>
      </c>
      <c r="B223" t="s">
        <v>453</v>
      </c>
      <c r="C223" t="s">
        <v>2061</v>
      </c>
      <c r="D223" t="s">
        <v>83</v>
      </c>
      <c r="E223">
        <v>1</v>
      </c>
      <c r="F223" t="s">
        <v>13</v>
      </c>
      <c r="G223" t="s">
        <v>10</v>
      </c>
    </row>
    <row r="224" spans="1:7" x14ac:dyDescent="0.3">
      <c r="A224" t="s">
        <v>454</v>
      </c>
      <c r="B224" t="s">
        <v>455</v>
      </c>
      <c r="C224" t="s">
        <v>2062</v>
      </c>
      <c r="D224" t="s">
        <v>9</v>
      </c>
      <c r="E224">
        <v>2</v>
      </c>
      <c r="F224" t="s">
        <v>13</v>
      </c>
      <c r="G224" t="s">
        <v>13</v>
      </c>
    </row>
    <row r="225" spans="1:7" x14ac:dyDescent="0.3">
      <c r="A225" t="s">
        <v>456</v>
      </c>
      <c r="B225" t="s">
        <v>457</v>
      </c>
      <c r="C225" t="s">
        <v>2063</v>
      </c>
      <c r="D225" t="s">
        <v>22</v>
      </c>
      <c r="E225">
        <v>4</v>
      </c>
      <c r="F225" t="s">
        <v>10</v>
      </c>
      <c r="G225" t="s">
        <v>13</v>
      </c>
    </row>
    <row r="226" spans="1:7" x14ac:dyDescent="0.3">
      <c r="A226" t="s">
        <v>458</v>
      </c>
      <c r="B226" t="s">
        <v>459</v>
      </c>
      <c r="C226" t="s">
        <v>2009</v>
      </c>
      <c r="D226" t="s">
        <v>31</v>
      </c>
      <c r="E226">
        <v>2</v>
      </c>
      <c r="F226" t="s">
        <v>10</v>
      </c>
      <c r="G226" t="s">
        <v>13</v>
      </c>
    </row>
    <row r="227" spans="1:7" x14ac:dyDescent="0.3">
      <c r="A227" t="s">
        <v>460</v>
      </c>
      <c r="B227" t="s">
        <v>461</v>
      </c>
      <c r="C227" t="s">
        <v>2064</v>
      </c>
      <c r="D227" t="s">
        <v>31</v>
      </c>
      <c r="E227">
        <v>2</v>
      </c>
      <c r="F227" t="s">
        <v>13</v>
      </c>
      <c r="G227" t="s">
        <v>10</v>
      </c>
    </row>
    <row r="228" spans="1:7" x14ac:dyDescent="0.3">
      <c r="A228" t="s">
        <v>462</v>
      </c>
      <c r="B228" t="s">
        <v>463</v>
      </c>
      <c r="C228" t="s">
        <v>2065</v>
      </c>
      <c r="D228" t="s">
        <v>68</v>
      </c>
      <c r="E228">
        <v>2</v>
      </c>
      <c r="F228" t="s">
        <v>13</v>
      </c>
      <c r="G228" t="s">
        <v>10</v>
      </c>
    </row>
    <row r="229" spans="1:7" x14ac:dyDescent="0.3">
      <c r="A229" t="s">
        <v>464</v>
      </c>
      <c r="B229" t="s">
        <v>465</v>
      </c>
      <c r="C229" t="s">
        <v>2066</v>
      </c>
      <c r="D229" t="s">
        <v>9</v>
      </c>
      <c r="E229">
        <v>2</v>
      </c>
      <c r="F229" t="s">
        <v>10</v>
      </c>
      <c r="G229" t="s">
        <v>13</v>
      </c>
    </row>
    <row r="230" spans="1:7" x14ac:dyDescent="0.3">
      <c r="A230" t="s">
        <v>466</v>
      </c>
      <c r="B230" t="s">
        <v>467</v>
      </c>
      <c r="C230" t="s">
        <v>2067</v>
      </c>
      <c r="D230" t="s">
        <v>31</v>
      </c>
      <c r="E230">
        <v>3</v>
      </c>
      <c r="F230" t="s">
        <v>10</v>
      </c>
      <c r="G230" t="s">
        <v>10</v>
      </c>
    </row>
    <row r="231" spans="1:7" x14ac:dyDescent="0.3">
      <c r="A231" t="s">
        <v>468</v>
      </c>
      <c r="B231" t="s">
        <v>469</v>
      </c>
      <c r="C231" t="s">
        <v>2068</v>
      </c>
      <c r="D231" t="s">
        <v>9</v>
      </c>
      <c r="E231">
        <v>3</v>
      </c>
      <c r="F231" t="s">
        <v>10</v>
      </c>
      <c r="G231" t="s">
        <v>10</v>
      </c>
    </row>
    <row r="232" spans="1:7" x14ac:dyDescent="0.3">
      <c r="A232" t="s">
        <v>470</v>
      </c>
      <c r="B232" t="s">
        <v>471</v>
      </c>
      <c r="C232" t="s">
        <v>2069</v>
      </c>
      <c r="D232" t="s">
        <v>31</v>
      </c>
      <c r="E232">
        <v>2</v>
      </c>
      <c r="F232" t="s">
        <v>10</v>
      </c>
      <c r="G232" t="s">
        <v>10</v>
      </c>
    </row>
    <row r="233" spans="1:7" x14ac:dyDescent="0.3">
      <c r="A233" t="s">
        <v>472</v>
      </c>
      <c r="B233" t="s">
        <v>473</v>
      </c>
      <c r="C233" t="s">
        <v>2016</v>
      </c>
      <c r="D233" t="s">
        <v>22</v>
      </c>
      <c r="E233">
        <v>4</v>
      </c>
      <c r="F233" t="s">
        <v>10</v>
      </c>
      <c r="G233" t="s">
        <v>13</v>
      </c>
    </row>
    <row r="234" spans="1:7" x14ac:dyDescent="0.3">
      <c r="A234" t="s">
        <v>474</v>
      </c>
      <c r="B234" t="s">
        <v>475</v>
      </c>
      <c r="C234" t="s">
        <v>2070</v>
      </c>
      <c r="D234" t="s">
        <v>68</v>
      </c>
      <c r="E234">
        <v>1</v>
      </c>
      <c r="F234" t="s">
        <v>13</v>
      </c>
      <c r="G234" t="s">
        <v>13</v>
      </c>
    </row>
    <row r="235" spans="1:7" x14ac:dyDescent="0.3">
      <c r="A235" t="s">
        <v>476</v>
      </c>
      <c r="B235" t="s">
        <v>477</v>
      </c>
      <c r="C235" t="s">
        <v>2071</v>
      </c>
      <c r="D235" t="s">
        <v>19</v>
      </c>
      <c r="E235">
        <v>2</v>
      </c>
      <c r="F235" t="s">
        <v>10</v>
      </c>
      <c r="G235" t="s">
        <v>10</v>
      </c>
    </row>
    <row r="236" spans="1:7" x14ac:dyDescent="0.3">
      <c r="A236" t="s">
        <v>478</v>
      </c>
      <c r="B236" t="s">
        <v>479</v>
      </c>
      <c r="C236" t="s">
        <v>2072</v>
      </c>
      <c r="D236" t="s">
        <v>9</v>
      </c>
      <c r="E236">
        <v>3</v>
      </c>
      <c r="F236" t="s">
        <v>10</v>
      </c>
      <c r="G236" t="s">
        <v>10</v>
      </c>
    </row>
    <row r="237" spans="1:7" x14ac:dyDescent="0.3">
      <c r="A237" t="s">
        <v>480</v>
      </c>
      <c r="B237" t="s">
        <v>481</v>
      </c>
      <c r="C237" t="s">
        <v>2073</v>
      </c>
      <c r="D237" t="s">
        <v>22</v>
      </c>
      <c r="E237">
        <v>4</v>
      </c>
      <c r="F237" t="s">
        <v>10</v>
      </c>
      <c r="G237" t="s">
        <v>10</v>
      </c>
    </row>
    <row r="238" spans="1:7" x14ac:dyDescent="0.3">
      <c r="A238" t="s">
        <v>482</v>
      </c>
      <c r="B238" t="s">
        <v>99</v>
      </c>
      <c r="C238" t="s">
        <v>2074</v>
      </c>
      <c r="D238" t="s">
        <v>19</v>
      </c>
      <c r="E238">
        <v>2</v>
      </c>
      <c r="F238" t="s">
        <v>10</v>
      </c>
      <c r="G238" t="s">
        <v>13</v>
      </c>
    </row>
    <row r="239" spans="1:7" x14ac:dyDescent="0.3">
      <c r="A239" t="s">
        <v>483</v>
      </c>
      <c r="B239" t="s">
        <v>484</v>
      </c>
      <c r="C239" t="s">
        <v>1913</v>
      </c>
      <c r="D239" t="s">
        <v>19</v>
      </c>
      <c r="E239">
        <v>2</v>
      </c>
      <c r="F239" t="s">
        <v>10</v>
      </c>
      <c r="G239" t="s">
        <v>10</v>
      </c>
    </row>
    <row r="240" spans="1:7" x14ac:dyDescent="0.3">
      <c r="A240" t="s">
        <v>485</v>
      </c>
      <c r="B240" t="s">
        <v>486</v>
      </c>
      <c r="C240" t="s">
        <v>2075</v>
      </c>
      <c r="D240" t="s">
        <v>19</v>
      </c>
      <c r="E240">
        <v>2</v>
      </c>
      <c r="F240" t="s">
        <v>10</v>
      </c>
      <c r="G240" t="s">
        <v>13</v>
      </c>
    </row>
    <row r="241" spans="1:7" x14ac:dyDescent="0.3">
      <c r="A241" t="s">
        <v>487</v>
      </c>
      <c r="B241" t="s">
        <v>488</v>
      </c>
      <c r="C241" t="s">
        <v>2076</v>
      </c>
      <c r="D241" t="s">
        <v>25</v>
      </c>
      <c r="E241">
        <v>4</v>
      </c>
      <c r="F241" t="s">
        <v>10</v>
      </c>
      <c r="G241" t="s">
        <v>13</v>
      </c>
    </row>
    <row r="242" spans="1:7" x14ac:dyDescent="0.3">
      <c r="A242" t="s">
        <v>489</v>
      </c>
      <c r="B242" t="s">
        <v>490</v>
      </c>
      <c r="C242" t="s">
        <v>2077</v>
      </c>
      <c r="D242" t="s">
        <v>37</v>
      </c>
      <c r="E242">
        <v>5</v>
      </c>
      <c r="F242" t="s">
        <v>10</v>
      </c>
      <c r="G242" t="s">
        <v>13</v>
      </c>
    </row>
    <row r="243" spans="1:7" x14ac:dyDescent="0.3">
      <c r="A243" t="s">
        <v>491</v>
      </c>
      <c r="B243" t="s">
        <v>492</v>
      </c>
      <c r="C243" t="s">
        <v>2078</v>
      </c>
      <c r="D243" t="s">
        <v>9</v>
      </c>
      <c r="E243">
        <v>1</v>
      </c>
      <c r="F243" t="s">
        <v>13</v>
      </c>
      <c r="G243" t="s">
        <v>10</v>
      </c>
    </row>
    <row r="244" spans="1:7" x14ac:dyDescent="0.3">
      <c r="A244" t="s">
        <v>493</v>
      </c>
      <c r="B244" t="s">
        <v>417</v>
      </c>
      <c r="C244" t="s">
        <v>2079</v>
      </c>
      <c r="D244" t="s">
        <v>37</v>
      </c>
      <c r="E244">
        <v>3</v>
      </c>
      <c r="F244" t="s">
        <v>10</v>
      </c>
      <c r="G244" t="s">
        <v>13</v>
      </c>
    </row>
    <row r="245" spans="1:7" x14ac:dyDescent="0.3">
      <c r="A245" t="s">
        <v>494</v>
      </c>
      <c r="B245" t="s">
        <v>495</v>
      </c>
      <c r="C245" t="s">
        <v>2080</v>
      </c>
      <c r="D245" t="s">
        <v>37</v>
      </c>
      <c r="E245">
        <v>5</v>
      </c>
      <c r="F245" t="s">
        <v>13</v>
      </c>
      <c r="G245" t="s">
        <v>13</v>
      </c>
    </row>
    <row r="246" spans="1:7" x14ac:dyDescent="0.3">
      <c r="A246" t="s">
        <v>496</v>
      </c>
      <c r="B246" t="s">
        <v>497</v>
      </c>
      <c r="C246" t="s">
        <v>2081</v>
      </c>
      <c r="D246" t="s">
        <v>37</v>
      </c>
      <c r="E246">
        <v>3</v>
      </c>
      <c r="F246" t="s">
        <v>13</v>
      </c>
      <c r="G246" t="s">
        <v>13</v>
      </c>
    </row>
    <row r="247" spans="1:7" x14ac:dyDescent="0.3">
      <c r="A247" t="s">
        <v>498</v>
      </c>
      <c r="B247" t="s">
        <v>499</v>
      </c>
      <c r="C247" t="s">
        <v>2082</v>
      </c>
      <c r="D247" t="s">
        <v>19</v>
      </c>
      <c r="E247">
        <v>2</v>
      </c>
      <c r="F247" t="s">
        <v>13</v>
      </c>
      <c r="G247" t="s">
        <v>13</v>
      </c>
    </row>
    <row r="248" spans="1:7" x14ac:dyDescent="0.3">
      <c r="A248" t="s">
        <v>500</v>
      </c>
      <c r="B248" t="s">
        <v>501</v>
      </c>
      <c r="C248" t="s">
        <v>1958</v>
      </c>
      <c r="D248" t="s">
        <v>28</v>
      </c>
      <c r="E248">
        <v>5</v>
      </c>
      <c r="F248" t="s">
        <v>10</v>
      </c>
      <c r="G248" t="s">
        <v>10</v>
      </c>
    </row>
    <row r="249" spans="1:7" x14ac:dyDescent="0.3">
      <c r="A249" t="s">
        <v>502</v>
      </c>
      <c r="B249" t="s">
        <v>503</v>
      </c>
      <c r="C249" t="s">
        <v>2083</v>
      </c>
      <c r="D249" t="s">
        <v>31</v>
      </c>
      <c r="E249">
        <v>3</v>
      </c>
      <c r="F249" t="s">
        <v>13</v>
      </c>
      <c r="G249" t="s">
        <v>13</v>
      </c>
    </row>
    <row r="250" spans="1:7" x14ac:dyDescent="0.3">
      <c r="A250" t="s">
        <v>504</v>
      </c>
      <c r="B250" t="s">
        <v>505</v>
      </c>
      <c r="C250" t="s">
        <v>1861</v>
      </c>
      <c r="D250" t="s">
        <v>37</v>
      </c>
      <c r="E250">
        <v>4</v>
      </c>
      <c r="F250" t="s">
        <v>10</v>
      </c>
      <c r="G250" t="s">
        <v>13</v>
      </c>
    </row>
    <row r="251" spans="1:7" x14ac:dyDescent="0.3">
      <c r="A251" t="s">
        <v>506</v>
      </c>
      <c r="B251" t="s">
        <v>507</v>
      </c>
      <c r="C251" t="s">
        <v>2084</v>
      </c>
      <c r="D251" t="s">
        <v>25</v>
      </c>
      <c r="E251">
        <v>4</v>
      </c>
      <c r="F251" t="s">
        <v>10</v>
      </c>
      <c r="G251" t="s">
        <v>13</v>
      </c>
    </row>
    <row r="252" spans="1:7" x14ac:dyDescent="0.3">
      <c r="A252" t="s">
        <v>508</v>
      </c>
      <c r="B252" t="s">
        <v>509</v>
      </c>
      <c r="C252" t="s">
        <v>2085</v>
      </c>
      <c r="D252" t="s">
        <v>31</v>
      </c>
      <c r="E252">
        <v>2</v>
      </c>
      <c r="F252" t="s">
        <v>10</v>
      </c>
      <c r="G252" t="s">
        <v>13</v>
      </c>
    </row>
    <row r="253" spans="1:7" x14ac:dyDescent="0.3">
      <c r="A253" t="s">
        <v>510</v>
      </c>
      <c r="B253" t="s">
        <v>511</v>
      </c>
      <c r="C253" t="s">
        <v>2086</v>
      </c>
      <c r="D253" t="s">
        <v>37</v>
      </c>
      <c r="E253">
        <v>5</v>
      </c>
      <c r="F253" t="s">
        <v>10</v>
      </c>
      <c r="G253" t="s">
        <v>10</v>
      </c>
    </row>
    <row r="254" spans="1:7" x14ac:dyDescent="0.3">
      <c r="A254" t="s">
        <v>512</v>
      </c>
      <c r="B254" t="s">
        <v>513</v>
      </c>
      <c r="C254" t="s">
        <v>2087</v>
      </c>
      <c r="D254" t="s">
        <v>16</v>
      </c>
      <c r="E254">
        <v>5</v>
      </c>
      <c r="F254" t="s">
        <v>10</v>
      </c>
      <c r="G254" t="s">
        <v>13</v>
      </c>
    </row>
    <row r="255" spans="1:7" x14ac:dyDescent="0.3">
      <c r="A255" t="s">
        <v>514</v>
      </c>
      <c r="B255" t="s">
        <v>515</v>
      </c>
      <c r="C255" t="s">
        <v>2088</v>
      </c>
      <c r="D255" t="s">
        <v>9</v>
      </c>
      <c r="E255">
        <v>3</v>
      </c>
      <c r="F255" t="s">
        <v>10</v>
      </c>
      <c r="G255" t="s">
        <v>13</v>
      </c>
    </row>
    <row r="256" spans="1:7" x14ac:dyDescent="0.3">
      <c r="A256" t="s">
        <v>516</v>
      </c>
      <c r="B256" t="s">
        <v>517</v>
      </c>
      <c r="C256" t="s">
        <v>2089</v>
      </c>
      <c r="D256" t="s">
        <v>19</v>
      </c>
      <c r="E256">
        <v>3</v>
      </c>
      <c r="F256" t="s">
        <v>13</v>
      </c>
      <c r="G256" t="s">
        <v>13</v>
      </c>
    </row>
    <row r="257" spans="1:7" x14ac:dyDescent="0.3">
      <c r="A257" t="s">
        <v>518</v>
      </c>
      <c r="B257" t="s">
        <v>519</v>
      </c>
      <c r="C257" t="s">
        <v>2090</v>
      </c>
      <c r="D257" t="s">
        <v>37</v>
      </c>
      <c r="E257">
        <v>5</v>
      </c>
      <c r="F257" t="s">
        <v>13</v>
      </c>
      <c r="G257" t="s">
        <v>10</v>
      </c>
    </row>
    <row r="258" spans="1:7" x14ac:dyDescent="0.3">
      <c r="A258" t="s">
        <v>520</v>
      </c>
      <c r="B258" t="s">
        <v>521</v>
      </c>
      <c r="C258" t="s">
        <v>2091</v>
      </c>
      <c r="D258" t="s">
        <v>9</v>
      </c>
      <c r="E258">
        <v>2</v>
      </c>
      <c r="F258" t="s">
        <v>13</v>
      </c>
      <c r="G258" t="s">
        <v>13</v>
      </c>
    </row>
    <row r="259" spans="1:7" x14ac:dyDescent="0.3">
      <c r="A259" t="s">
        <v>522</v>
      </c>
      <c r="B259" t="s">
        <v>523</v>
      </c>
      <c r="C259" t="s">
        <v>2092</v>
      </c>
      <c r="D259" t="s">
        <v>16</v>
      </c>
      <c r="E259">
        <v>5</v>
      </c>
      <c r="F259" t="s">
        <v>13</v>
      </c>
      <c r="G259" t="s">
        <v>13</v>
      </c>
    </row>
    <row r="260" spans="1:7" x14ac:dyDescent="0.3">
      <c r="A260" t="s">
        <v>524</v>
      </c>
      <c r="B260" t="s">
        <v>525</v>
      </c>
      <c r="C260" t="s">
        <v>2093</v>
      </c>
      <c r="D260" t="s">
        <v>19</v>
      </c>
      <c r="E260">
        <v>2</v>
      </c>
      <c r="F260" t="s">
        <v>10</v>
      </c>
      <c r="G260" t="s">
        <v>13</v>
      </c>
    </row>
    <row r="261" spans="1:7" x14ac:dyDescent="0.3">
      <c r="A261" t="s">
        <v>526</v>
      </c>
      <c r="B261" t="s">
        <v>475</v>
      </c>
      <c r="C261" t="s">
        <v>1962</v>
      </c>
      <c r="D261" t="s">
        <v>9</v>
      </c>
      <c r="E261">
        <v>1</v>
      </c>
      <c r="F261" t="s">
        <v>13</v>
      </c>
      <c r="G261" t="s">
        <v>13</v>
      </c>
    </row>
    <row r="262" spans="1:7" x14ac:dyDescent="0.3">
      <c r="A262" t="s">
        <v>527</v>
      </c>
      <c r="B262" t="s">
        <v>528</v>
      </c>
      <c r="C262" t="s">
        <v>2094</v>
      </c>
      <c r="D262" t="s">
        <v>25</v>
      </c>
      <c r="E262">
        <v>4</v>
      </c>
      <c r="F262" t="s">
        <v>13</v>
      </c>
      <c r="G262" t="s">
        <v>13</v>
      </c>
    </row>
    <row r="263" spans="1:7" x14ac:dyDescent="0.3">
      <c r="A263" t="s">
        <v>529</v>
      </c>
      <c r="B263" t="s">
        <v>530</v>
      </c>
      <c r="C263" t="s">
        <v>2095</v>
      </c>
      <c r="D263" t="s">
        <v>19</v>
      </c>
      <c r="E263">
        <v>3</v>
      </c>
      <c r="F263" t="s">
        <v>10</v>
      </c>
      <c r="G263" t="s">
        <v>13</v>
      </c>
    </row>
    <row r="264" spans="1:7" x14ac:dyDescent="0.3">
      <c r="A264" t="s">
        <v>531</v>
      </c>
      <c r="B264" t="s">
        <v>532</v>
      </c>
      <c r="C264" t="s">
        <v>2096</v>
      </c>
      <c r="D264" t="s">
        <v>16</v>
      </c>
      <c r="E264">
        <v>5</v>
      </c>
      <c r="F264" t="s">
        <v>13</v>
      </c>
      <c r="G264" t="s">
        <v>13</v>
      </c>
    </row>
    <row r="265" spans="1:7" x14ac:dyDescent="0.3">
      <c r="A265" t="s">
        <v>533</v>
      </c>
      <c r="B265" t="s">
        <v>534</v>
      </c>
      <c r="C265" t="s">
        <v>2097</v>
      </c>
      <c r="D265" t="s">
        <v>19</v>
      </c>
      <c r="E265">
        <v>2</v>
      </c>
      <c r="F265" t="s">
        <v>13</v>
      </c>
      <c r="G265" t="s">
        <v>13</v>
      </c>
    </row>
    <row r="266" spans="1:7" x14ac:dyDescent="0.3">
      <c r="A266" t="s">
        <v>535</v>
      </c>
      <c r="B266" t="s">
        <v>528</v>
      </c>
      <c r="C266" t="s">
        <v>2098</v>
      </c>
      <c r="D266" t="s">
        <v>22</v>
      </c>
      <c r="E266">
        <v>4</v>
      </c>
      <c r="F266" t="s">
        <v>10</v>
      </c>
      <c r="G266" t="s">
        <v>13</v>
      </c>
    </row>
    <row r="267" spans="1:7" x14ac:dyDescent="0.3">
      <c r="A267" t="s">
        <v>536</v>
      </c>
      <c r="B267" t="s">
        <v>537</v>
      </c>
      <c r="C267" t="s">
        <v>2099</v>
      </c>
      <c r="D267" t="s">
        <v>22</v>
      </c>
      <c r="E267">
        <v>4</v>
      </c>
      <c r="F267" t="s">
        <v>10</v>
      </c>
      <c r="G267" t="s">
        <v>10</v>
      </c>
    </row>
    <row r="268" spans="1:7" x14ac:dyDescent="0.3">
      <c r="A268" t="s">
        <v>538</v>
      </c>
      <c r="B268" t="s">
        <v>393</v>
      </c>
      <c r="C268" t="s">
        <v>2100</v>
      </c>
      <c r="D268" t="s">
        <v>68</v>
      </c>
      <c r="E268">
        <v>1</v>
      </c>
      <c r="F268" t="s">
        <v>13</v>
      </c>
      <c r="G268" t="s">
        <v>13</v>
      </c>
    </row>
    <row r="269" spans="1:7" x14ac:dyDescent="0.3">
      <c r="A269" t="s">
        <v>539</v>
      </c>
      <c r="B269" t="s">
        <v>540</v>
      </c>
      <c r="C269" t="s">
        <v>2101</v>
      </c>
      <c r="D269" t="s">
        <v>25</v>
      </c>
      <c r="E269">
        <v>5</v>
      </c>
      <c r="F269" t="s">
        <v>13</v>
      </c>
      <c r="G269" t="s">
        <v>13</v>
      </c>
    </row>
    <row r="270" spans="1:7" x14ac:dyDescent="0.3">
      <c r="A270" t="s">
        <v>541</v>
      </c>
      <c r="B270" t="s">
        <v>542</v>
      </c>
      <c r="C270" t="s">
        <v>2102</v>
      </c>
      <c r="D270" t="s">
        <v>68</v>
      </c>
      <c r="E270">
        <v>1</v>
      </c>
      <c r="F270" t="s">
        <v>13</v>
      </c>
      <c r="G270" t="s">
        <v>10</v>
      </c>
    </row>
    <row r="271" spans="1:7" x14ac:dyDescent="0.3">
      <c r="A271" t="s">
        <v>543</v>
      </c>
      <c r="B271" t="s">
        <v>234</v>
      </c>
      <c r="C271" t="s">
        <v>2103</v>
      </c>
      <c r="D271" t="s">
        <v>19</v>
      </c>
      <c r="E271">
        <v>3</v>
      </c>
      <c r="F271" t="s">
        <v>10</v>
      </c>
      <c r="G271" t="s">
        <v>13</v>
      </c>
    </row>
    <row r="272" spans="1:7" x14ac:dyDescent="0.3">
      <c r="A272" t="s">
        <v>544</v>
      </c>
      <c r="B272" t="s">
        <v>545</v>
      </c>
      <c r="C272" t="s">
        <v>2104</v>
      </c>
      <c r="D272" t="s">
        <v>25</v>
      </c>
      <c r="E272">
        <v>5</v>
      </c>
      <c r="F272" t="s">
        <v>13</v>
      </c>
      <c r="G272" t="s">
        <v>13</v>
      </c>
    </row>
    <row r="273" spans="1:7" x14ac:dyDescent="0.3">
      <c r="A273" t="s">
        <v>546</v>
      </c>
      <c r="B273" t="s">
        <v>547</v>
      </c>
      <c r="C273" t="s">
        <v>2105</v>
      </c>
      <c r="D273" t="s">
        <v>22</v>
      </c>
      <c r="E273">
        <v>4</v>
      </c>
      <c r="F273" t="s">
        <v>13</v>
      </c>
      <c r="G273" t="s">
        <v>13</v>
      </c>
    </row>
    <row r="274" spans="1:7" x14ac:dyDescent="0.3">
      <c r="A274" t="s">
        <v>548</v>
      </c>
      <c r="B274" t="s">
        <v>549</v>
      </c>
      <c r="C274" t="s">
        <v>1981</v>
      </c>
      <c r="D274" t="s">
        <v>83</v>
      </c>
      <c r="E274">
        <v>3</v>
      </c>
      <c r="F274" t="s">
        <v>13</v>
      </c>
      <c r="G274" t="s">
        <v>13</v>
      </c>
    </row>
    <row r="275" spans="1:7" x14ac:dyDescent="0.3">
      <c r="A275" t="s">
        <v>550</v>
      </c>
      <c r="B275" t="s">
        <v>551</v>
      </c>
      <c r="C275" t="s">
        <v>2106</v>
      </c>
      <c r="D275" t="s">
        <v>37</v>
      </c>
      <c r="E275">
        <v>3</v>
      </c>
      <c r="F275" t="s">
        <v>10</v>
      </c>
      <c r="G275" t="s">
        <v>13</v>
      </c>
    </row>
    <row r="276" spans="1:7" x14ac:dyDescent="0.3">
      <c r="A276" t="s">
        <v>552</v>
      </c>
      <c r="B276" t="s">
        <v>553</v>
      </c>
      <c r="C276" t="s">
        <v>2107</v>
      </c>
      <c r="D276" t="s">
        <v>19</v>
      </c>
      <c r="E276">
        <v>2</v>
      </c>
      <c r="F276" t="s">
        <v>10</v>
      </c>
      <c r="G276" t="s">
        <v>13</v>
      </c>
    </row>
    <row r="277" spans="1:7" x14ac:dyDescent="0.3">
      <c r="A277" t="s">
        <v>554</v>
      </c>
      <c r="B277" t="s">
        <v>555</v>
      </c>
      <c r="C277" t="s">
        <v>2108</v>
      </c>
      <c r="D277" t="s">
        <v>9</v>
      </c>
      <c r="E277">
        <v>3</v>
      </c>
      <c r="F277" t="s">
        <v>10</v>
      </c>
      <c r="G277" t="s">
        <v>13</v>
      </c>
    </row>
    <row r="278" spans="1:7" x14ac:dyDescent="0.3">
      <c r="A278" t="s">
        <v>556</v>
      </c>
      <c r="B278" t="s">
        <v>557</v>
      </c>
      <c r="C278" t="s">
        <v>2109</v>
      </c>
      <c r="D278" t="s">
        <v>31</v>
      </c>
      <c r="E278">
        <v>3</v>
      </c>
      <c r="F278" t="s">
        <v>10</v>
      </c>
      <c r="G278" t="s">
        <v>13</v>
      </c>
    </row>
    <row r="279" spans="1:7" x14ac:dyDescent="0.3">
      <c r="A279" t="s">
        <v>558</v>
      </c>
      <c r="B279" t="s">
        <v>559</v>
      </c>
      <c r="C279" t="s">
        <v>2110</v>
      </c>
      <c r="D279" t="s">
        <v>83</v>
      </c>
      <c r="E279">
        <v>2</v>
      </c>
      <c r="F279" t="s">
        <v>13</v>
      </c>
      <c r="G279" t="s">
        <v>13</v>
      </c>
    </row>
    <row r="280" spans="1:7" x14ac:dyDescent="0.3">
      <c r="A280" t="s">
        <v>560</v>
      </c>
      <c r="B280" t="s">
        <v>364</v>
      </c>
      <c r="C280" t="s">
        <v>2111</v>
      </c>
      <c r="D280" t="s">
        <v>9</v>
      </c>
      <c r="E280">
        <v>1</v>
      </c>
      <c r="F280" t="s">
        <v>10</v>
      </c>
      <c r="G280" t="s">
        <v>13</v>
      </c>
    </row>
    <row r="281" spans="1:7" x14ac:dyDescent="0.3">
      <c r="A281" t="s">
        <v>561</v>
      </c>
      <c r="B281" t="s">
        <v>562</v>
      </c>
      <c r="C281" t="s">
        <v>2112</v>
      </c>
      <c r="D281" t="s">
        <v>25</v>
      </c>
      <c r="E281">
        <v>5</v>
      </c>
      <c r="F281" t="s">
        <v>13</v>
      </c>
      <c r="G281" t="s">
        <v>10</v>
      </c>
    </row>
    <row r="282" spans="1:7" x14ac:dyDescent="0.3">
      <c r="A282" t="s">
        <v>563</v>
      </c>
      <c r="B282" t="s">
        <v>564</v>
      </c>
      <c r="C282" t="s">
        <v>2056</v>
      </c>
      <c r="D282" t="s">
        <v>22</v>
      </c>
      <c r="E282">
        <v>4</v>
      </c>
      <c r="F282" t="s">
        <v>10</v>
      </c>
      <c r="G282" t="s">
        <v>13</v>
      </c>
    </row>
    <row r="283" spans="1:7" x14ac:dyDescent="0.3">
      <c r="A283" t="s">
        <v>565</v>
      </c>
      <c r="B283" t="s">
        <v>517</v>
      </c>
      <c r="C283" t="s">
        <v>2113</v>
      </c>
      <c r="D283" t="s">
        <v>9</v>
      </c>
      <c r="E283">
        <v>3</v>
      </c>
      <c r="F283" t="s">
        <v>13</v>
      </c>
      <c r="G283" t="s">
        <v>10</v>
      </c>
    </row>
    <row r="284" spans="1:7" x14ac:dyDescent="0.3">
      <c r="A284" t="s">
        <v>566</v>
      </c>
      <c r="B284" t="s">
        <v>567</v>
      </c>
      <c r="C284" t="s">
        <v>2103</v>
      </c>
      <c r="D284" t="s">
        <v>83</v>
      </c>
      <c r="E284">
        <v>3</v>
      </c>
      <c r="F284" t="s">
        <v>13</v>
      </c>
      <c r="G284" t="s">
        <v>10</v>
      </c>
    </row>
    <row r="285" spans="1:7" x14ac:dyDescent="0.3">
      <c r="A285" t="s">
        <v>568</v>
      </c>
      <c r="B285" t="s">
        <v>569</v>
      </c>
      <c r="C285" t="s">
        <v>2114</v>
      </c>
      <c r="D285" t="s">
        <v>22</v>
      </c>
      <c r="E285">
        <v>5</v>
      </c>
      <c r="F285" t="s">
        <v>13</v>
      </c>
      <c r="G285" t="s">
        <v>10</v>
      </c>
    </row>
    <row r="286" spans="1:7" x14ac:dyDescent="0.3">
      <c r="A286" t="s">
        <v>570</v>
      </c>
      <c r="B286" t="s">
        <v>571</v>
      </c>
      <c r="C286" t="s">
        <v>1909</v>
      </c>
      <c r="D286" t="s">
        <v>68</v>
      </c>
      <c r="E286">
        <v>2</v>
      </c>
      <c r="F286" t="s">
        <v>10</v>
      </c>
      <c r="G286" t="s">
        <v>10</v>
      </c>
    </row>
    <row r="287" spans="1:7" x14ac:dyDescent="0.3">
      <c r="A287" t="s">
        <v>572</v>
      </c>
      <c r="B287" t="s">
        <v>551</v>
      </c>
      <c r="C287" t="s">
        <v>2115</v>
      </c>
      <c r="D287" t="s">
        <v>31</v>
      </c>
      <c r="E287">
        <v>3</v>
      </c>
      <c r="F287" t="s">
        <v>13</v>
      </c>
      <c r="G287" t="s">
        <v>10</v>
      </c>
    </row>
    <row r="288" spans="1:7" x14ac:dyDescent="0.3">
      <c r="A288" t="s">
        <v>573</v>
      </c>
      <c r="B288" t="s">
        <v>574</v>
      </c>
      <c r="C288" t="s">
        <v>2012</v>
      </c>
      <c r="D288" t="s">
        <v>28</v>
      </c>
      <c r="E288">
        <v>4</v>
      </c>
      <c r="F288" t="s">
        <v>10</v>
      </c>
      <c r="G288" t="s">
        <v>10</v>
      </c>
    </row>
    <row r="289" spans="1:7" x14ac:dyDescent="0.3">
      <c r="A289" t="s">
        <v>575</v>
      </c>
      <c r="B289" t="s">
        <v>576</v>
      </c>
      <c r="C289" t="s">
        <v>2116</v>
      </c>
      <c r="D289" t="s">
        <v>25</v>
      </c>
      <c r="E289">
        <v>5</v>
      </c>
      <c r="F289" t="s">
        <v>13</v>
      </c>
      <c r="G289" t="s">
        <v>13</v>
      </c>
    </row>
    <row r="290" spans="1:7" x14ac:dyDescent="0.3">
      <c r="A290" t="s">
        <v>577</v>
      </c>
      <c r="B290" t="s">
        <v>578</v>
      </c>
      <c r="C290" t="s">
        <v>2117</v>
      </c>
      <c r="D290" t="s">
        <v>83</v>
      </c>
      <c r="E290">
        <v>3</v>
      </c>
      <c r="F290" t="s">
        <v>13</v>
      </c>
      <c r="G290" t="s">
        <v>13</v>
      </c>
    </row>
    <row r="291" spans="1:7" x14ac:dyDescent="0.3">
      <c r="A291" t="s">
        <v>579</v>
      </c>
      <c r="B291" t="s">
        <v>580</v>
      </c>
      <c r="C291" t="s">
        <v>2118</v>
      </c>
      <c r="D291" t="s">
        <v>68</v>
      </c>
      <c r="E291">
        <v>1</v>
      </c>
      <c r="F291" t="s">
        <v>13</v>
      </c>
      <c r="G291" t="s">
        <v>10</v>
      </c>
    </row>
    <row r="292" spans="1:7" x14ac:dyDescent="0.3">
      <c r="A292" t="s">
        <v>581</v>
      </c>
      <c r="B292" t="s">
        <v>582</v>
      </c>
      <c r="C292" t="s">
        <v>2119</v>
      </c>
      <c r="D292" t="s">
        <v>25</v>
      </c>
      <c r="E292">
        <v>4</v>
      </c>
      <c r="F292" t="s">
        <v>13</v>
      </c>
      <c r="G292" t="s">
        <v>13</v>
      </c>
    </row>
    <row r="293" spans="1:7" x14ac:dyDescent="0.3">
      <c r="A293" t="s">
        <v>583</v>
      </c>
      <c r="B293" t="s">
        <v>584</v>
      </c>
      <c r="C293" t="s">
        <v>1982</v>
      </c>
      <c r="D293" t="s">
        <v>37</v>
      </c>
      <c r="E293">
        <v>3</v>
      </c>
      <c r="F293" t="s">
        <v>10</v>
      </c>
      <c r="G293" t="s">
        <v>13</v>
      </c>
    </row>
    <row r="294" spans="1:7" x14ac:dyDescent="0.3">
      <c r="A294" t="s">
        <v>585</v>
      </c>
      <c r="B294" t="s">
        <v>586</v>
      </c>
      <c r="C294" t="s">
        <v>2120</v>
      </c>
      <c r="D294" t="s">
        <v>9</v>
      </c>
      <c r="E294">
        <v>3</v>
      </c>
      <c r="F294" t="s">
        <v>10</v>
      </c>
      <c r="G294" t="s">
        <v>10</v>
      </c>
    </row>
    <row r="295" spans="1:7" x14ac:dyDescent="0.3">
      <c r="A295" t="s">
        <v>587</v>
      </c>
      <c r="B295" t="s">
        <v>588</v>
      </c>
      <c r="C295" t="s">
        <v>2121</v>
      </c>
      <c r="D295" t="s">
        <v>37</v>
      </c>
      <c r="E295">
        <v>5</v>
      </c>
      <c r="F295" t="s">
        <v>13</v>
      </c>
      <c r="G295" t="s">
        <v>13</v>
      </c>
    </row>
    <row r="296" spans="1:7" x14ac:dyDescent="0.3">
      <c r="A296" t="s">
        <v>589</v>
      </c>
      <c r="B296" t="s">
        <v>590</v>
      </c>
      <c r="C296" t="s">
        <v>2122</v>
      </c>
      <c r="D296" t="s">
        <v>83</v>
      </c>
      <c r="E296">
        <v>3</v>
      </c>
      <c r="F296" t="s">
        <v>10</v>
      </c>
      <c r="G296" t="s">
        <v>10</v>
      </c>
    </row>
    <row r="297" spans="1:7" x14ac:dyDescent="0.3">
      <c r="A297" t="s">
        <v>591</v>
      </c>
      <c r="B297" t="s">
        <v>592</v>
      </c>
      <c r="C297" t="s">
        <v>1928</v>
      </c>
      <c r="D297" t="s">
        <v>37</v>
      </c>
      <c r="E297">
        <v>5</v>
      </c>
      <c r="F297" t="s">
        <v>13</v>
      </c>
      <c r="G297" t="s">
        <v>10</v>
      </c>
    </row>
    <row r="298" spans="1:7" x14ac:dyDescent="0.3">
      <c r="A298" t="s">
        <v>593</v>
      </c>
      <c r="B298" t="s">
        <v>594</v>
      </c>
      <c r="C298" t="s">
        <v>2123</v>
      </c>
      <c r="D298" t="s">
        <v>31</v>
      </c>
      <c r="E298">
        <v>3</v>
      </c>
      <c r="F298" t="s">
        <v>10</v>
      </c>
      <c r="G298" t="s">
        <v>10</v>
      </c>
    </row>
    <row r="299" spans="1:7" x14ac:dyDescent="0.3">
      <c r="A299" t="s">
        <v>595</v>
      </c>
      <c r="B299" t="s">
        <v>596</v>
      </c>
      <c r="C299" t="s">
        <v>2124</v>
      </c>
      <c r="D299" t="s">
        <v>19</v>
      </c>
      <c r="E299">
        <v>3</v>
      </c>
      <c r="F299" t="s">
        <v>10</v>
      </c>
      <c r="G299" t="s">
        <v>10</v>
      </c>
    </row>
    <row r="300" spans="1:7" x14ac:dyDescent="0.3">
      <c r="A300" t="s">
        <v>597</v>
      </c>
      <c r="B300" t="s">
        <v>598</v>
      </c>
      <c r="C300" t="s">
        <v>2125</v>
      </c>
      <c r="D300" t="s">
        <v>83</v>
      </c>
      <c r="E300">
        <v>2</v>
      </c>
      <c r="F300" t="s">
        <v>10</v>
      </c>
      <c r="G300" t="s">
        <v>13</v>
      </c>
    </row>
    <row r="301" spans="1:7" x14ac:dyDescent="0.3">
      <c r="A301" t="s">
        <v>599</v>
      </c>
      <c r="B301" t="s">
        <v>600</v>
      </c>
      <c r="C301" t="s">
        <v>2126</v>
      </c>
      <c r="D301" t="s">
        <v>9</v>
      </c>
      <c r="E301">
        <v>3</v>
      </c>
      <c r="F301" t="s">
        <v>13</v>
      </c>
      <c r="G301" t="s">
        <v>10</v>
      </c>
    </row>
    <row r="302" spans="1:7" x14ac:dyDescent="0.3">
      <c r="A302" t="s">
        <v>601</v>
      </c>
      <c r="B302" t="s">
        <v>293</v>
      </c>
      <c r="C302" t="s">
        <v>2127</v>
      </c>
      <c r="D302" t="s">
        <v>31</v>
      </c>
      <c r="E302">
        <v>2</v>
      </c>
      <c r="F302" t="s">
        <v>13</v>
      </c>
      <c r="G302" t="s">
        <v>10</v>
      </c>
    </row>
    <row r="303" spans="1:7" x14ac:dyDescent="0.3">
      <c r="A303" t="s">
        <v>602</v>
      </c>
      <c r="B303" t="s">
        <v>603</v>
      </c>
      <c r="C303" t="s">
        <v>2128</v>
      </c>
      <c r="D303" t="s">
        <v>31</v>
      </c>
      <c r="E303">
        <v>2</v>
      </c>
      <c r="F303" t="s">
        <v>10</v>
      </c>
      <c r="G303" t="s">
        <v>13</v>
      </c>
    </row>
    <row r="304" spans="1:7" x14ac:dyDescent="0.3">
      <c r="A304" t="s">
        <v>604</v>
      </c>
      <c r="B304" t="s">
        <v>605</v>
      </c>
      <c r="C304" t="s">
        <v>2129</v>
      </c>
      <c r="D304" t="s">
        <v>16</v>
      </c>
      <c r="E304">
        <v>5</v>
      </c>
      <c r="F304" t="s">
        <v>10</v>
      </c>
      <c r="G304" t="s">
        <v>13</v>
      </c>
    </row>
    <row r="305" spans="1:7" x14ac:dyDescent="0.3">
      <c r="A305" t="s">
        <v>606</v>
      </c>
      <c r="B305" t="s">
        <v>607</v>
      </c>
      <c r="C305" t="s">
        <v>2130</v>
      </c>
      <c r="D305" t="s">
        <v>83</v>
      </c>
      <c r="E305">
        <v>1</v>
      </c>
      <c r="F305" t="s">
        <v>13</v>
      </c>
      <c r="G305" t="s">
        <v>13</v>
      </c>
    </row>
    <row r="306" spans="1:7" x14ac:dyDescent="0.3">
      <c r="A306" t="s">
        <v>608</v>
      </c>
      <c r="B306" t="s">
        <v>609</v>
      </c>
      <c r="C306" t="s">
        <v>2131</v>
      </c>
      <c r="D306" t="s">
        <v>19</v>
      </c>
      <c r="E306">
        <v>2</v>
      </c>
      <c r="F306" t="s">
        <v>10</v>
      </c>
      <c r="G306" t="s">
        <v>13</v>
      </c>
    </row>
    <row r="307" spans="1:7" x14ac:dyDescent="0.3">
      <c r="A307" t="s">
        <v>610</v>
      </c>
      <c r="B307" t="s">
        <v>611</v>
      </c>
      <c r="C307" t="s">
        <v>2132</v>
      </c>
      <c r="D307" t="s">
        <v>22</v>
      </c>
      <c r="E307">
        <v>4</v>
      </c>
      <c r="F307" t="s">
        <v>10</v>
      </c>
      <c r="G307" t="s">
        <v>13</v>
      </c>
    </row>
    <row r="308" spans="1:7" x14ac:dyDescent="0.3">
      <c r="A308" t="s">
        <v>612</v>
      </c>
      <c r="B308" t="s">
        <v>613</v>
      </c>
      <c r="C308" t="s">
        <v>2123</v>
      </c>
      <c r="D308" t="s">
        <v>83</v>
      </c>
      <c r="E308">
        <v>3</v>
      </c>
      <c r="F308" t="s">
        <v>10</v>
      </c>
      <c r="G308" t="s">
        <v>10</v>
      </c>
    </row>
    <row r="309" spans="1:7" x14ac:dyDescent="0.3">
      <c r="A309" t="s">
        <v>614</v>
      </c>
      <c r="B309" t="s">
        <v>615</v>
      </c>
      <c r="C309" t="s">
        <v>2133</v>
      </c>
      <c r="D309" t="s">
        <v>31</v>
      </c>
      <c r="E309">
        <v>2</v>
      </c>
      <c r="F309" t="s">
        <v>10</v>
      </c>
      <c r="G309" t="s">
        <v>10</v>
      </c>
    </row>
    <row r="310" spans="1:7" x14ac:dyDescent="0.3">
      <c r="A310" t="s">
        <v>616</v>
      </c>
      <c r="B310" t="s">
        <v>617</v>
      </c>
      <c r="C310" t="s">
        <v>2134</v>
      </c>
      <c r="D310" t="s">
        <v>83</v>
      </c>
      <c r="E310">
        <v>1</v>
      </c>
      <c r="F310" t="s">
        <v>13</v>
      </c>
      <c r="G310" t="s">
        <v>13</v>
      </c>
    </row>
    <row r="311" spans="1:7" x14ac:dyDescent="0.3">
      <c r="A311" t="s">
        <v>618</v>
      </c>
      <c r="B311" t="s">
        <v>619</v>
      </c>
      <c r="C311" t="s">
        <v>2135</v>
      </c>
      <c r="D311" t="s">
        <v>25</v>
      </c>
      <c r="E311">
        <v>5</v>
      </c>
      <c r="F311" t="s">
        <v>10</v>
      </c>
      <c r="G311" t="s">
        <v>13</v>
      </c>
    </row>
    <row r="312" spans="1:7" x14ac:dyDescent="0.3">
      <c r="A312" t="s">
        <v>620</v>
      </c>
      <c r="B312" t="s">
        <v>621</v>
      </c>
      <c r="C312" t="s">
        <v>2136</v>
      </c>
      <c r="D312" t="s">
        <v>31</v>
      </c>
      <c r="E312">
        <v>3</v>
      </c>
      <c r="F312" t="s">
        <v>13</v>
      </c>
      <c r="G312" t="s">
        <v>10</v>
      </c>
    </row>
    <row r="313" spans="1:7" x14ac:dyDescent="0.3">
      <c r="A313" t="s">
        <v>622</v>
      </c>
      <c r="B313" t="s">
        <v>623</v>
      </c>
      <c r="C313" t="s">
        <v>1929</v>
      </c>
      <c r="D313" t="s">
        <v>9</v>
      </c>
      <c r="E313">
        <v>2</v>
      </c>
      <c r="F313" t="s">
        <v>10</v>
      </c>
      <c r="G313" t="s">
        <v>10</v>
      </c>
    </row>
    <row r="314" spans="1:7" x14ac:dyDescent="0.3">
      <c r="A314" t="s">
        <v>624</v>
      </c>
      <c r="B314" t="s">
        <v>339</v>
      </c>
      <c r="C314" t="s">
        <v>2137</v>
      </c>
      <c r="D314" t="s">
        <v>9</v>
      </c>
      <c r="E314">
        <v>2</v>
      </c>
      <c r="F314" t="s">
        <v>10</v>
      </c>
      <c r="G314" t="s">
        <v>13</v>
      </c>
    </row>
    <row r="315" spans="1:7" x14ac:dyDescent="0.3">
      <c r="A315" t="s">
        <v>625</v>
      </c>
      <c r="B315" t="s">
        <v>626</v>
      </c>
      <c r="C315" t="s">
        <v>2138</v>
      </c>
      <c r="D315" t="s">
        <v>9</v>
      </c>
      <c r="E315">
        <v>1</v>
      </c>
      <c r="F315" t="s">
        <v>13</v>
      </c>
      <c r="G315" t="s">
        <v>13</v>
      </c>
    </row>
    <row r="316" spans="1:7" x14ac:dyDescent="0.3">
      <c r="A316" t="s">
        <v>627</v>
      </c>
      <c r="B316" t="s">
        <v>628</v>
      </c>
      <c r="C316" t="s">
        <v>2139</v>
      </c>
      <c r="D316" t="s">
        <v>31</v>
      </c>
      <c r="E316">
        <v>2</v>
      </c>
      <c r="F316" t="s">
        <v>13</v>
      </c>
      <c r="G316" t="s">
        <v>10</v>
      </c>
    </row>
    <row r="317" spans="1:7" x14ac:dyDescent="0.3">
      <c r="A317" t="s">
        <v>629</v>
      </c>
      <c r="B317" t="s">
        <v>630</v>
      </c>
      <c r="C317" t="s">
        <v>2140</v>
      </c>
      <c r="D317" t="s">
        <v>25</v>
      </c>
      <c r="E317">
        <v>5</v>
      </c>
      <c r="F317" t="s">
        <v>10</v>
      </c>
      <c r="G317" t="s">
        <v>10</v>
      </c>
    </row>
    <row r="318" spans="1:7" x14ac:dyDescent="0.3">
      <c r="A318" t="s">
        <v>631</v>
      </c>
      <c r="B318" t="s">
        <v>150</v>
      </c>
      <c r="C318" t="s">
        <v>2141</v>
      </c>
      <c r="D318" t="s">
        <v>19</v>
      </c>
      <c r="E318">
        <v>3</v>
      </c>
      <c r="F318" t="s">
        <v>13</v>
      </c>
      <c r="G318" t="s">
        <v>13</v>
      </c>
    </row>
    <row r="319" spans="1:7" x14ac:dyDescent="0.3">
      <c r="A319" t="s">
        <v>632</v>
      </c>
      <c r="B319" t="s">
        <v>633</v>
      </c>
      <c r="C319" t="s">
        <v>2142</v>
      </c>
      <c r="D319" t="s">
        <v>28</v>
      </c>
      <c r="E319">
        <v>4</v>
      </c>
      <c r="F319" t="s">
        <v>13</v>
      </c>
      <c r="G319" t="s">
        <v>13</v>
      </c>
    </row>
    <row r="320" spans="1:7" x14ac:dyDescent="0.3">
      <c r="A320" t="s">
        <v>634</v>
      </c>
      <c r="B320" t="s">
        <v>635</v>
      </c>
      <c r="C320" t="s">
        <v>2143</v>
      </c>
      <c r="D320" t="s">
        <v>28</v>
      </c>
      <c r="E320">
        <v>5</v>
      </c>
      <c r="F320" t="s">
        <v>10</v>
      </c>
      <c r="G320" t="s">
        <v>10</v>
      </c>
    </row>
    <row r="321" spans="1:7" x14ac:dyDescent="0.3">
      <c r="A321" t="s">
        <v>636</v>
      </c>
      <c r="B321" t="s">
        <v>637</v>
      </c>
      <c r="C321" t="s">
        <v>2088</v>
      </c>
      <c r="D321" t="s">
        <v>83</v>
      </c>
      <c r="E321">
        <v>3</v>
      </c>
      <c r="F321" t="s">
        <v>10</v>
      </c>
      <c r="G321" t="s">
        <v>13</v>
      </c>
    </row>
    <row r="322" spans="1:7" x14ac:dyDescent="0.3">
      <c r="A322" t="s">
        <v>638</v>
      </c>
      <c r="B322" t="s">
        <v>611</v>
      </c>
      <c r="C322" t="s">
        <v>2144</v>
      </c>
      <c r="D322" t="s">
        <v>25</v>
      </c>
      <c r="E322">
        <v>5</v>
      </c>
      <c r="F322" t="s">
        <v>10</v>
      </c>
      <c r="G322" t="s">
        <v>13</v>
      </c>
    </row>
    <row r="323" spans="1:7" x14ac:dyDescent="0.3">
      <c r="A323" t="s">
        <v>639</v>
      </c>
      <c r="B323" t="s">
        <v>640</v>
      </c>
      <c r="C323" t="s">
        <v>2145</v>
      </c>
      <c r="D323" t="s">
        <v>37</v>
      </c>
      <c r="E323">
        <v>5</v>
      </c>
      <c r="F323" t="s">
        <v>10</v>
      </c>
      <c r="G323" t="s">
        <v>10</v>
      </c>
    </row>
    <row r="324" spans="1:7" x14ac:dyDescent="0.3">
      <c r="A324" t="s">
        <v>641</v>
      </c>
      <c r="B324" t="s">
        <v>642</v>
      </c>
      <c r="C324" t="s">
        <v>2146</v>
      </c>
      <c r="D324" t="s">
        <v>83</v>
      </c>
      <c r="E324">
        <v>3</v>
      </c>
      <c r="F324" t="s">
        <v>10</v>
      </c>
      <c r="G324" t="s">
        <v>10</v>
      </c>
    </row>
    <row r="325" spans="1:7" x14ac:dyDescent="0.3">
      <c r="A325" t="s">
        <v>643</v>
      </c>
      <c r="B325" t="s">
        <v>644</v>
      </c>
      <c r="C325" t="s">
        <v>2147</v>
      </c>
      <c r="D325" t="s">
        <v>37</v>
      </c>
      <c r="E325">
        <v>3</v>
      </c>
      <c r="F325" t="s">
        <v>10</v>
      </c>
      <c r="G325" t="s">
        <v>10</v>
      </c>
    </row>
    <row r="326" spans="1:7" x14ac:dyDescent="0.3">
      <c r="A326" t="s">
        <v>645</v>
      </c>
      <c r="B326" t="s">
        <v>646</v>
      </c>
      <c r="C326" t="s">
        <v>1957</v>
      </c>
      <c r="D326" t="s">
        <v>28</v>
      </c>
      <c r="E326">
        <v>4</v>
      </c>
      <c r="F326" t="s">
        <v>10</v>
      </c>
      <c r="G326" t="s">
        <v>10</v>
      </c>
    </row>
    <row r="327" spans="1:7" x14ac:dyDescent="0.3">
      <c r="A327" t="s">
        <v>647</v>
      </c>
      <c r="B327" t="s">
        <v>648</v>
      </c>
      <c r="C327" t="s">
        <v>2148</v>
      </c>
      <c r="D327" t="s">
        <v>22</v>
      </c>
      <c r="E327">
        <v>5</v>
      </c>
      <c r="F327" t="s">
        <v>10</v>
      </c>
      <c r="G327" t="s">
        <v>13</v>
      </c>
    </row>
    <row r="328" spans="1:7" x14ac:dyDescent="0.3">
      <c r="A328" t="s">
        <v>649</v>
      </c>
      <c r="B328" t="s">
        <v>650</v>
      </c>
      <c r="C328" t="s">
        <v>2149</v>
      </c>
      <c r="D328" t="s">
        <v>16</v>
      </c>
      <c r="E328">
        <v>5</v>
      </c>
      <c r="F328" t="s">
        <v>13</v>
      </c>
      <c r="G328" t="s">
        <v>13</v>
      </c>
    </row>
    <row r="329" spans="1:7" x14ac:dyDescent="0.3">
      <c r="A329" t="s">
        <v>651</v>
      </c>
      <c r="B329" t="s">
        <v>652</v>
      </c>
      <c r="C329" t="s">
        <v>2150</v>
      </c>
      <c r="D329" t="s">
        <v>31</v>
      </c>
      <c r="E329">
        <v>2</v>
      </c>
      <c r="F329" t="s">
        <v>10</v>
      </c>
      <c r="G329" t="s">
        <v>10</v>
      </c>
    </row>
    <row r="330" spans="1:7" x14ac:dyDescent="0.3">
      <c r="A330" t="s">
        <v>653</v>
      </c>
      <c r="B330" t="s">
        <v>654</v>
      </c>
      <c r="C330" t="s">
        <v>2151</v>
      </c>
      <c r="D330" t="s">
        <v>68</v>
      </c>
      <c r="E330">
        <v>2</v>
      </c>
      <c r="F330" t="s">
        <v>13</v>
      </c>
      <c r="G330" t="s">
        <v>13</v>
      </c>
    </row>
    <row r="331" spans="1:7" x14ac:dyDescent="0.3">
      <c r="A331" t="s">
        <v>655</v>
      </c>
      <c r="B331" t="s">
        <v>656</v>
      </c>
      <c r="C331" t="s">
        <v>2032</v>
      </c>
      <c r="D331" t="s">
        <v>28</v>
      </c>
      <c r="E331">
        <v>5</v>
      </c>
      <c r="F331" t="s">
        <v>13</v>
      </c>
      <c r="G331" t="s">
        <v>10</v>
      </c>
    </row>
    <row r="332" spans="1:7" x14ac:dyDescent="0.3">
      <c r="A332" t="s">
        <v>657</v>
      </c>
      <c r="B332" t="s">
        <v>658</v>
      </c>
      <c r="C332" t="s">
        <v>2152</v>
      </c>
      <c r="D332" t="s">
        <v>31</v>
      </c>
      <c r="E332">
        <v>3</v>
      </c>
      <c r="F332" t="s">
        <v>13</v>
      </c>
      <c r="G332" t="s">
        <v>13</v>
      </c>
    </row>
    <row r="333" spans="1:7" x14ac:dyDescent="0.3">
      <c r="A333" t="s">
        <v>659</v>
      </c>
      <c r="B333" t="s">
        <v>660</v>
      </c>
      <c r="C333" t="s">
        <v>2044</v>
      </c>
      <c r="D333" t="s">
        <v>16</v>
      </c>
      <c r="E333">
        <v>4</v>
      </c>
      <c r="F333" t="s">
        <v>10</v>
      </c>
      <c r="G333" t="s">
        <v>10</v>
      </c>
    </row>
    <row r="334" spans="1:7" x14ac:dyDescent="0.3">
      <c r="A334" t="s">
        <v>661</v>
      </c>
      <c r="B334" t="s">
        <v>662</v>
      </c>
      <c r="C334" t="s">
        <v>2153</v>
      </c>
      <c r="D334" t="s">
        <v>37</v>
      </c>
      <c r="E334">
        <v>5</v>
      </c>
      <c r="F334" t="s">
        <v>10</v>
      </c>
      <c r="G334" t="s">
        <v>13</v>
      </c>
    </row>
    <row r="335" spans="1:7" x14ac:dyDescent="0.3">
      <c r="A335" t="s">
        <v>663</v>
      </c>
      <c r="B335" t="s">
        <v>664</v>
      </c>
      <c r="C335" t="s">
        <v>2154</v>
      </c>
      <c r="D335" t="s">
        <v>9</v>
      </c>
      <c r="E335">
        <v>3</v>
      </c>
      <c r="F335" t="s">
        <v>10</v>
      </c>
      <c r="G335" t="s">
        <v>13</v>
      </c>
    </row>
    <row r="336" spans="1:7" x14ac:dyDescent="0.3">
      <c r="A336" t="s">
        <v>665</v>
      </c>
      <c r="B336" t="s">
        <v>666</v>
      </c>
      <c r="C336" t="s">
        <v>2155</v>
      </c>
      <c r="D336" t="s">
        <v>68</v>
      </c>
      <c r="E336">
        <v>2</v>
      </c>
      <c r="F336" t="s">
        <v>10</v>
      </c>
      <c r="G336" t="s">
        <v>10</v>
      </c>
    </row>
    <row r="337" spans="1:7" x14ac:dyDescent="0.3">
      <c r="A337" t="s">
        <v>667</v>
      </c>
      <c r="B337" t="s">
        <v>668</v>
      </c>
      <c r="C337" t="s">
        <v>2058</v>
      </c>
      <c r="D337" t="s">
        <v>9</v>
      </c>
      <c r="E337">
        <v>3</v>
      </c>
      <c r="F337" t="s">
        <v>10</v>
      </c>
      <c r="G337" t="s">
        <v>13</v>
      </c>
    </row>
    <row r="338" spans="1:7" x14ac:dyDescent="0.3">
      <c r="A338" t="s">
        <v>669</v>
      </c>
      <c r="B338" t="s">
        <v>670</v>
      </c>
      <c r="C338" t="s">
        <v>2156</v>
      </c>
      <c r="D338" t="s">
        <v>19</v>
      </c>
      <c r="E338">
        <v>2</v>
      </c>
      <c r="F338" t="s">
        <v>13</v>
      </c>
      <c r="G338" t="s">
        <v>10</v>
      </c>
    </row>
    <row r="339" spans="1:7" x14ac:dyDescent="0.3">
      <c r="A339" t="s">
        <v>671</v>
      </c>
      <c r="B339" t="s">
        <v>672</v>
      </c>
      <c r="C339" t="s">
        <v>2157</v>
      </c>
      <c r="D339" t="s">
        <v>19</v>
      </c>
      <c r="E339">
        <v>3</v>
      </c>
      <c r="F339" t="s">
        <v>13</v>
      </c>
      <c r="G339" t="s">
        <v>13</v>
      </c>
    </row>
    <row r="340" spans="1:7" x14ac:dyDescent="0.3">
      <c r="A340" t="s">
        <v>673</v>
      </c>
      <c r="B340" t="s">
        <v>674</v>
      </c>
      <c r="C340" t="s">
        <v>2158</v>
      </c>
      <c r="D340" t="s">
        <v>83</v>
      </c>
      <c r="E340">
        <v>1</v>
      </c>
      <c r="F340" t="s">
        <v>13</v>
      </c>
      <c r="G340" t="s">
        <v>10</v>
      </c>
    </row>
    <row r="341" spans="1:7" x14ac:dyDescent="0.3">
      <c r="A341" t="s">
        <v>675</v>
      </c>
      <c r="B341" t="s">
        <v>676</v>
      </c>
      <c r="C341" t="s">
        <v>2159</v>
      </c>
      <c r="D341" t="s">
        <v>83</v>
      </c>
      <c r="E341">
        <v>2</v>
      </c>
      <c r="F341" t="s">
        <v>10</v>
      </c>
      <c r="G341" t="s">
        <v>10</v>
      </c>
    </row>
    <row r="342" spans="1:7" x14ac:dyDescent="0.3">
      <c r="A342" t="s">
        <v>677</v>
      </c>
      <c r="B342" t="s">
        <v>678</v>
      </c>
      <c r="C342" t="s">
        <v>2160</v>
      </c>
      <c r="D342" t="s">
        <v>25</v>
      </c>
      <c r="E342">
        <v>5</v>
      </c>
      <c r="F342" t="s">
        <v>10</v>
      </c>
      <c r="G342" t="s">
        <v>13</v>
      </c>
    </row>
    <row r="343" spans="1:7" x14ac:dyDescent="0.3">
      <c r="A343" t="s">
        <v>679</v>
      </c>
      <c r="B343" t="s">
        <v>680</v>
      </c>
      <c r="C343" t="s">
        <v>2161</v>
      </c>
      <c r="D343" t="s">
        <v>19</v>
      </c>
      <c r="E343">
        <v>2</v>
      </c>
      <c r="F343" t="s">
        <v>13</v>
      </c>
      <c r="G343" t="s">
        <v>10</v>
      </c>
    </row>
    <row r="344" spans="1:7" x14ac:dyDescent="0.3">
      <c r="A344" t="s">
        <v>681</v>
      </c>
      <c r="B344" t="s">
        <v>254</v>
      </c>
      <c r="C344" t="s">
        <v>2140</v>
      </c>
      <c r="D344" t="s">
        <v>68</v>
      </c>
      <c r="E344">
        <v>1</v>
      </c>
      <c r="F344" t="s">
        <v>13</v>
      </c>
      <c r="G344" t="s">
        <v>13</v>
      </c>
    </row>
    <row r="345" spans="1:7" x14ac:dyDescent="0.3">
      <c r="A345" t="s">
        <v>682</v>
      </c>
      <c r="B345" t="s">
        <v>683</v>
      </c>
      <c r="C345" t="s">
        <v>2162</v>
      </c>
      <c r="D345" t="s">
        <v>25</v>
      </c>
      <c r="E345">
        <v>4</v>
      </c>
      <c r="F345" t="s">
        <v>10</v>
      </c>
      <c r="G345" t="s">
        <v>10</v>
      </c>
    </row>
    <row r="346" spans="1:7" x14ac:dyDescent="0.3">
      <c r="A346" t="s">
        <v>684</v>
      </c>
      <c r="B346" t="s">
        <v>685</v>
      </c>
      <c r="C346" t="s">
        <v>2163</v>
      </c>
      <c r="D346" t="s">
        <v>9</v>
      </c>
      <c r="E346">
        <v>2</v>
      </c>
      <c r="F346" t="s">
        <v>10</v>
      </c>
      <c r="G346" t="s">
        <v>10</v>
      </c>
    </row>
    <row r="347" spans="1:7" x14ac:dyDescent="0.3">
      <c r="A347" t="s">
        <v>686</v>
      </c>
      <c r="B347" t="s">
        <v>687</v>
      </c>
      <c r="C347" t="s">
        <v>2164</v>
      </c>
      <c r="D347" t="s">
        <v>28</v>
      </c>
      <c r="E347">
        <v>5</v>
      </c>
      <c r="F347" t="s">
        <v>13</v>
      </c>
      <c r="G347" t="s">
        <v>13</v>
      </c>
    </row>
    <row r="348" spans="1:7" x14ac:dyDescent="0.3">
      <c r="A348" t="s">
        <v>688</v>
      </c>
      <c r="B348" t="s">
        <v>689</v>
      </c>
      <c r="C348" t="s">
        <v>2165</v>
      </c>
      <c r="D348" t="s">
        <v>68</v>
      </c>
      <c r="E348">
        <v>1</v>
      </c>
      <c r="F348" t="s">
        <v>13</v>
      </c>
      <c r="G348" t="s">
        <v>13</v>
      </c>
    </row>
    <row r="349" spans="1:7" x14ac:dyDescent="0.3">
      <c r="A349" t="s">
        <v>690</v>
      </c>
      <c r="B349" t="s">
        <v>691</v>
      </c>
      <c r="C349" t="s">
        <v>2028</v>
      </c>
      <c r="D349" t="s">
        <v>31</v>
      </c>
      <c r="E349">
        <v>1</v>
      </c>
      <c r="F349" t="s">
        <v>10</v>
      </c>
      <c r="G349" t="s">
        <v>10</v>
      </c>
    </row>
    <row r="350" spans="1:7" x14ac:dyDescent="0.3">
      <c r="A350" t="s">
        <v>692</v>
      </c>
      <c r="B350" t="s">
        <v>693</v>
      </c>
      <c r="C350" t="s">
        <v>2166</v>
      </c>
      <c r="D350" t="s">
        <v>25</v>
      </c>
      <c r="E350">
        <v>4</v>
      </c>
      <c r="F350" t="s">
        <v>10</v>
      </c>
      <c r="G350" t="s">
        <v>10</v>
      </c>
    </row>
    <row r="351" spans="1:7" x14ac:dyDescent="0.3">
      <c r="A351" t="s">
        <v>694</v>
      </c>
      <c r="B351" t="s">
        <v>695</v>
      </c>
      <c r="C351" t="s">
        <v>2167</v>
      </c>
      <c r="D351" t="s">
        <v>16</v>
      </c>
      <c r="E351">
        <v>5</v>
      </c>
      <c r="F351" t="s">
        <v>10</v>
      </c>
      <c r="G351" t="s">
        <v>10</v>
      </c>
    </row>
    <row r="352" spans="1:7" x14ac:dyDescent="0.3">
      <c r="A352" t="s">
        <v>696</v>
      </c>
      <c r="B352" t="s">
        <v>697</v>
      </c>
      <c r="C352" t="s">
        <v>2168</v>
      </c>
      <c r="D352" t="s">
        <v>25</v>
      </c>
      <c r="E352">
        <v>5</v>
      </c>
      <c r="F352" t="s">
        <v>10</v>
      </c>
      <c r="G352" t="s">
        <v>13</v>
      </c>
    </row>
    <row r="353" spans="1:7" x14ac:dyDescent="0.3">
      <c r="A353" t="s">
        <v>698</v>
      </c>
      <c r="B353" t="s">
        <v>685</v>
      </c>
      <c r="C353" t="s">
        <v>2006</v>
      </c>
      <c r="D353" t="s">
        <v>31</v>
      </c>
      <c r="E353">
        <v>3</v>
      </c>
      <c r="F353" t="s">
        <v>10</v>
      </c>
      <c r="G353" t="s">
        <v>13</v>
      </c>
    </row>
    <row r="354" spans="1:7" x14ac:dyDescent="0.3">
      <c r="A354" t="s">
        <v>699</v>
      </c>
      <c r="B354" t="s">
        <v>700</v>
      </c>
      <c r="C354" t="s">
        <v>2169</v>
      </c>
      <c r="D354" t="s">
        <v>22</v>
      </c>
      <c r="E354">
        <v>4</v>
      </c>
      <c r="F354" t="s">
        <v>13</v>
      </c>
      <c r="G354" t="s">
        <v>10</v>
      </c>
    </row>
    <row r="355" spans="1:7" x14ac:dyDescent="0.3">
      <c r="A355" t="s">
        <v>701</v>
      </c>
      <c r="B355" t="s">
        <v>702</v>
      </c>
      <c r="C355" t="s">
        <v>2170</v>
      </c>
      <c r="D355" t="s">
        <v>28</v>
      </c>
      <c r="E355">
        <v>5</v>
      </c>
      <c r="F355" t="s">
        <v>13</v>
      </c>
      <c r="G355" t="s">
        <v>10</v>
      </c>
    </row>
    <row r="356" spans="1:7" x14ac:dyDescent="0.3">
      <c r="A356" t="s">
        <v>703</v>
      </c>
      <c r="B356" t="s">
        <v>704</v>
      </c>
      <c r="C356" t="s">
        <v>1919</v>
      </c>
      <c r="D356" t="s">
        <v>22</v>
      </c>
      <c r="E356">
        <v>4</v>
      </c>
      <c r="F356" t="s">
        <v>10</v>
      </c>
      <c r="G356" t="s">
        <v>13</v>
      </c>
    </row>
    <row r="357" spans="1:7" x14ac:dyDescent="0.3">
      <c r="A357" t="s">
        <v>705</v>
      </c>
      <c r="B357" t="s">
        <v>706</v>
      </c>
      <c r="C357" t="s">
        <v>2171</v>
      </c>
      <c r="D357" t="s">
        <v>22</v>
      </c>
      <c r="E357">
        <v>4</v>
      </c>
      <c r="F357" t="s">
        <v>10</v>
      </c>
      <c r="G357" t="s">
        <v>13</v>
      </c>
    </row>
    <row r="358" spans="1:7" x14ac:dyDescent="0.3">
      <c r="A358" t="s">
        <v>707</v>
      </c>
      <c r="B358" t="s">
        <v>708</v>
      </c>
      <c r="C358" t="s">
        <v>2172</v>
      </c>
      <c r="D358" t="s">
        <v>25</v>
      </c>
      <c r="E358">
        <v>4</v>
      </c>
      <c r="F358" t="s">
        <v>10</v>
      </c>
      <c r="G358" t="s">
        <v>10</v>
      </c>
    </row>
    <row r="359" spans="1:7" x14ac:dyDescent="0.3">
      <c r="A359" t="s">
        <v>709</v>
      </c>
      <c r="B359" t="s">
        <v>710</v>
      </c>
      <c r="C359" t="s">
        <v>2173</v>
      </c>
      <c r="D359" t="s">
        <v>68</v>
      </c>
      <c r="E359">
        <v>1</v>
      </c>
      <c r="F359" t="s">
        <v>10</v>
      </c>
      <c r="G359" t="s">
        <v>10</v>
      </c>
    </row>
    <row r="360" spans="1:7" x14ac:dyDescent="0.3">
      <c r="A360" t="s">
        <v>711</v>
      </c>
      <c r="B360" t="s">
        <v>712</v>
      </c>
      <c r="C360" t="s">
        <v>2174</v>
      </c>
      <c r="D360" t="s">
        <v>19</v>
      </c>
      <c r="E360">
        <v>2</v>
      </c>
      <c r="F360" t="s">
        <v>13</v>
      </c>
      <c r="G360" t="s">
        <v>10</v>
      </c>
    </row>
    <row r="361" spans="1:7" x14ac:dyDescent="0.3">
      <c r="A361" t="s">
        <v>713</v>
      </c>
      <c r="B361" t="s">
        <v>714</v>
      </c>
      <c r="C361" t="s">
        <v>2175</v>
      </c>
      <c r="D361" t="s">
        <v>16</v>
      </c>
      <c r="E361">
        <v>4</v>
      </c>
      <c r="F361" t="s">
        <v>10</v>
      </c>
      <c r="G361" t="s">
        <v>13</v>
      </c>
    </row>
    <row r="362" spans="1:7" x14ac:dyDescent="0.3">
      <c r="A362" t="s">
        <v>715</v>
      </c>
      <c r="B362" t="s">
        <v>716</v>
      </c>
      <c r="C362" t="s">
        <v>1947</v>
      </c>
      <c r="D362" t="s">
        <v>25</v>
      </c>
      <c r="E362">
        <v>4</v>
      </c>
      <c r="F362" t="s">
        <v>10</v>
      </c>
      <c r="G362" t="s">
        <v>13</v>
      </c>
    </row>
    <row r="363" spans="1:7" x14ac:dyDescent="0.3">
      <c r="A363" t="s">
        <v>717</v>
      </c>
      <c r="B363" t="s">
        <v>718</v>
      </c>
      <c r="C363" t="s">
        <v>2176</v>
      </c>
      <c r="D363" t="s">
        <v>19</v>
      </c>
      <c r="E363">
        <v>2</v>
      </c>
      <c r="F363" t="s">
        <v>10</v>
      </c>
      <c r="G363" t="s">
        <v>10</v>
      </c>
    </row>
    <row r="364" spans="1:7" x14ac:dyDescent="0.3">
      <c r="A364" t="s">
        <v>719</v>
      </c>
      <c r="B364" t="s">
        <v>720</v>
      </c>
      <c r="C364" t="s">
        <v>2177</v>
      </c>
      <c r="D364" t="s">
        <v>22</v>
      </c>
      <c r="E364">
        <v>5</v>
      </c>
      <c r="F364" t="s">
        <v>10</v>
      </c>
      <c r="G364" t="s">
        <v>10</v>
      </c>
    </row>
    <row r="365" spans="1:7" x14ac:dyDescent="0.3">
      <c r="A365" t="s">
        <v>721</v>
      </c>
      <c r="B365" t="s">
        <v>722</v>
      </c>
      <c r="C365" t="s">
        <v>2178</v>
      </c>
      <c r="D365" t="s">
        <v>25</v>
      </c>
      <c r="E365">
        <v>5</v>
      </c>
      <c r="F365" t="s">
        <v>13</v>
      </c>
      <c r="G365" t="s">
        <v>13</v>
      </c>
    </row>
    <row r="366" spans="1:7" x14ac:dyDescent="0.3">
      <c r="A366" t="s">
        <v>723</v>
      </c>
      <c r="B366" t="s">
        <v>724</v>
      </c>
      <c r="C366" t="s">
        <v>2179</v>
      </c>
      <c r="D366" t="s">
        <v>68</v>
      </c>
      <c r="E366">
        <v>1</v>
      </c>
      <c r="F366" t="s">
        <v>10</v>
      </c>
      <c r="G366" t="s">
        <v>13</v>
      </c>
    </row>
    <row r="367" spans="1:7" x14ac:dyDescent="0.3">
      <c r="A367" t="s">
        <v>725</v>
      </c>
      <c r="B367" t="s">
        <v>626</v>
      </c>
      <c r="C367" t="s">
        <v>2117</v>
      </c>
      <c r="D367" t="s">
        <v>22</v>
      </c>
      <c r="E367">
        <v>5</v>
      </c>
      <c r="F367" t="s">
        <v>10</v>
      </c>
      <c r="G367" t="s">
        <v>13</v>
      </c>
    </row>
    <row r="368" spans="1:7" x14ac:dyDescent="0.3">
      <c r="A368" t="s">
        <v>726</v>
      </c>
      <c r="B368" t="s">
        <v>727</v>
      </c>
      <c r="C368" t="s">
        <v>2180</v>
      </c>
      <c r="D368" t="s">
        <v>19</v>
      </c>
      <c r="E368">
        <v>2</v>
      </c>
      <c r="F368" t="s">
        <v>13</v>
      </c>
      <c r="G368" t="s">
        <v>10</v>
      </c>
    </row>
    <row r="369" spans="1:7" x14ac:dyDescent="0.3">
      <c r="A369" t="s">
        <v>728</v>
      </c>
      <c r="B369" t="s">
        <v>729</v>
      </c>
      <c r="C369" t="s">
        <v>2181</v>
      </c>
      <c r="D369" t="s">
        <v>25</v>
      </c>
      <c r="E369">
        <v>4</v>
      </c>
      <c r="F369" t="s">
        <v>10</v>
      </c>
      <c r="G369" t="s">
        <v>10</v>
      </c>
    </row>
    <row r="370" spans="1:7" x14ac:dyDescent="0.3">
      <c r="A370" t="s">
        <v>730</v>
      </c>
      <c r="B370" t="s">
        <v>731</v>
      </c>
      <c r="C370" t="s">
        <v>2182</v>
      </c>
      <c r="D370" t="s">
        <v>31</v>
      </c>
      <c r="E370">
        <v>2</v>
      </c>
      <c r="F370" t="s">
        <v>10</v>
      </c>
      <c r="G370" t="s">
        <v>13</v>
      </c>
    </row>
    <row r="371" spans="1:7" x14ac:dyDescent="0.3">
      <c r="A371" t="s">
        <v>732</v>
      </c>
      <c r="B371" t="s">
        <v>733</v>
      </c>
      <c r="C371" t="s">
        <v>1989</v>
      </c>
      <c r="D371" t="s">
        <v>83</v>
      </c>
      <c r="E371">
        <v>1</v>
      </c>
      <c r="F371" t="s">
        <v>13</v>
      </c>
      <c r="G371" t="s">
        <v>10</v>
      </c>
    </row>
    <row r="372" spans="1:7" x14ac:dyDescent="0.3">
      <c r="A372" t="s">
        <v>734</v>
      </c>
      <c r="B372" t="s">
        <v>735</v>
      </c>
      <c r="C372" t="s">
        <v>2183</v>
      </c>
      <c r="D372" t="s">
        <v>25</v>
      </c>
      <c r="E372">
        <v>5</v>
      </c>
      <c r="F372" t="s">
        <v>10</v>
      </c>
      <c r="G372" t="s">
        <v>10</v>
      </c>
    </row>
    <row r="373" spans="1:7" x14ac:dyDescent="0.3">
      <c r="A373" t="s">
        <v>736</v>
      </c>
      <c r="B373" t="s">
        <v>737</v>
      </c>
      <c r="C373" t="s">
        <v>2184</v>
      </c>
      <c r="D373" t="s">
        <v>28</v>
      </c>
      <c r="E373">
        <v>5</v>
      </c>
      <c r="F373" t="s">
        <v>13</v>
      </c>
      <c r="G373" t="s">
        <v>13</v>
      </c>
    </row>
    <row r="374" spans="1:7" x14ac:dyDescent="0.3">
      <c r="A374" t="s">
        <v>738</v>
      </c>
      <c r="B374" t="s">
        <v>739</v>
      </c>
      <c r="C374" t="s">
        <v>1914</v>
      </c>
      <c r="D374" t="s">
        <v>68</v>
      </c>
      <c r="E374">
        <v>1</v>
      </c>
      <c r="F374" t="s">
        <v>10</v>
      </c>
      <c r="G374" t="s">
        <v>10</v>
      </c>
    </row>
    <row r="375" spans="1:7" x14ac:dyDescent="0.3">
      <c r="A375" t="s">
        <v>740</v>
      </c>
      <c r="B375" t="s">
        <v>571</v>
      </c>
      <c r="C375" t="s">
        <v>2185</v>
      </c>
      <c r="D375" t="s">
        <v>68</v>
      </c>
      <c r="E375">
        <v>2</v>
      </c>
      <c r="F375" t="s">
        <v>13</v>
      </c>
      <c r="G375" t="s">
        <v>13</v>
      </c>
    </row>
    <row r="376" spans="1:7" x14ac:dyDescent="0.3">
      <c r="A376" t="s">
        <v>741</v>
      </c>
      <c r="B376" t="s">
        <v>99</v>
      </c>
      <c r="C376" t="s">
        <v>2186</v>
      </c>
      <c r="D376" t="s">
        <v>68</v>
      </c>
      <c r="E376">
        <v>1</v>
      </c>
      <c r="F376" t="s">
        <v>13</v>
      </c>
      <c r="G376" t="s">
        <v>10</v>
      </c>
    </row>
    <row r="377" spans="1:7" x14ac:dyDescent="0.3">
      <c r="A377" t="s">
        <v>742</v>
      </c>
      <c r="B377" t="s">
        <v>743</v>
      </c>
      <c r="C377" t="s">
        <v>2116</v>
      </c>
      <c r="D377" t="s">
        <v>31</v>
      </c>
      <c r="E377">
        <v>3</v>
      </c>
      <c r="F377" t="s">
        <v>10</v>
      </c>
      <c r="G377" t="s">
        <v>10</v>
      </c>
    </row>
    <row r="378" spans="1:7" x14ac:dyDescent="0.3">
      <c r="A378" t="s">
        <v>744</v>
      </c>
      <c r="B378" t="s">
        <v>745</v>
      </c>
      <c r="C378" t="s">
        <v>2101</v>
      </c>
      <c r="D378" t="s">
        <v>31</v>
      </c>
      <c r="E378">
        <v>2</v>
      </c>
      <c r="F378" t="s">
        <v>13</v>
      </c>
      <c r="G378" t="s">
        <v>13</v>
      </c>
    </row>
    <row r="379" spans="1:7" x14ac:dyDescent="0.3">
      <c r="A379" t="s">
        <v>746</v>
      </c>
      <c r="B379" t="s">
        <v>747</v>
      </c>
      <c r="C379" t="s">
        <v>2025</v>
      </c>
      <c r="D379" t="s">
        <v>19</v>
      </c>
      <c r="E379">
        <v>2</v>
      </c>
      <c r="F379" t="s">
        <v>13</v>
      </c>
      <c r="G379" t="s">
        <v>10</v>
      </c>
    </row>
    <row r="380" spans="1:7" x14ac:dyDescent="0.3">
      <c r="A380" t="s">
        <v>748</v>
      </c>
      <c r="B380" t="s">
        <v>749</v>
      </c>
      <c r="C380" t="s">
        <v>2187</v>
      </c>
      <c r="D380" t="s">
        <v>68</v>
      </c>
      <c r="E380">
        <v>2</v>
      </c>
      <c r="F380" t="s">
        <v>13</v>
      </c>
      <c r="G380" t="s">
        <v>13</v>
      </c>
    </row>
    <row r="381" spans="1:7" x14ac:dyDescent="0.3">
      <c r="A381" t="s">
        <v>750</v>
      </c>
      <c r="B381" t="s">
        <v>751</v>
      </c>
      <c r="C381" t="s">
        <v>2041</v>
      </c>
      <c r="D381" t="s">
        <v>25</v>
      </c>
      <c r="E381">
        <v>4</v>
      </c>
      <c r="F381" t="s">
        <v>10</v>
      </c>
      <c r="G381" t="s">
        <v>13</v>
      </c>
    </row>
    <row r="382" spans="1:7" x14ac:dyDescent="0.3">
      <c r="A382" t="s">
        <v>752</v>
      </c>
      <c r="B382" t="s">
        <v>471</v>
      </c>
      <c r="C382" t="s">
        <v>2188</v>
      </c>
      <c r="D382" t="s">
        <v>19</v>
      </c>
      <c r="E382">
        <v>3</v>
      </c>
      <c r="F382" t="s">
        <v>13</v>
      </c>
      <c r="G382" t="s">
        <v>10</v>
      </c>
    </row>
    <row r="383" spans="1:7" x14ac:dyDescent="0.3">
      <c r="A383" t="s">
        <v>753</v>
      </c>
      <c r="B383" t="s">
        <v>754</v>
      </c>
      <c r="C383" t="s">
        <v>2189</v>
      </c>
      <c r="D383" t="s">
        <v>9</v>
      </c>
      <c r="E383">
        <v>3</v>
      </c>
      <c r="F383" t="s">
        <v>13</v>
      </c>
      <c r="G383" t="s">
        <v>13</v>
      </c>
    </row>
    <row r="384" spans="1:7" x14ac:dyDescent="0.3">
      <c r="A384" t="s">
        <v>755</v>
      </c>
      <c r="B384" t="s">
        <v>756</v>
      </c>
      <c r="C384" t="s">
        <v>1932</v>
      </c>
      <c r="D384" t="s">
        <v>25</v>
      </c>
      <c r="E384">
        <v>5</v>
      </c>
      <c r="F384" t="s">
        <v>10</v>
      </c>
      <c r="G384" t="s">
        <v>10</v>
      </c>
    </row>
    <row r="385" spans="1:7" x14ac:dyDescent="0.3">
      <c r="A385" t="s">
        <v>757</v>
      </c>
      <c r="B385" t="s">
        <v>758</v>
      </c>
      <c r="C385" t="s">
        <v>2190</v>
      </c>
      <c r="D385" t="s">
        <v>28</v>
      </c>
      <c r="E385">
        <v>5</v>
      </c>
      <c r="F385" t="s">
        <v>13</v>
      </c>
      <c r="G385" t="s">
        <v>13</v>
      </c>
    </row>
    <row r="386" spans="1:7" x14ac:dyDescent="0.3">
      <c r="A386" t="s">
        <v>759</v>
      </c>
      <c r="B386" t="s">
        <v>760</v>
      </c>
      <c r="C386" t="s">
        <v>2191</v>
      </c>
      <c r="D386" t="s">
        <v>22</v>
      </c>
      <c r="E386">
        <v>4</v>
      </c>
      <c r="F386" t="s">
        <v>10</v>
      </c>
      <c r="G386" t="s">
        <v>10</v>
      </c>
    </row>
    <row r="387" spans="1:7" x14ac:dyDescent="0.3">
      <c r="A387" t="s">
        <v>761</v>
      </c>
      <c r="B387" t="s">
        <v>762</v>
      </c>
      <c r="C387" t="s">
        <v>2192</v>
      </c>
      <c r="D387" t="s">
        <v>37</v>
      </c>
      <c r="E387">
        <v>5</v>
      </c>
      <c r="F387" t="s">
        <v>13</v>
      </c>
      <c r="G387" t="s">
        <v>10</v>
      </c>
    </row>
    <row r="388" spans="1:7" x14ac:dyDescent="0.3">
      <c r="A388" t="s">
        <v>763</v>
      </c>
      <c r="B388" t="s">
        <v>764</v>
      </c>
      <c r="C388" t="s">
        <v>2193</v>
      </c>
      <c r="D388" t="s">
        <v>16</v>
      </c>
      <c r="E388">
        <v>4</v>
      </c>
      <c r="F388" t="s">
        <v>13</v>
      </c>
      <c r="G388" t="s">
        <v>10</v>
      </c>
    </row>
    <row r="389" spans="1:7" x14ac:dyDescent="0.3">
      <c r="A389" t="s">
        <v>765</v>
      </c>
      <c r="B389" t="s">
        <v>766</v>
      </c>
      <c r="C389" t="s">
        <v>2194</v>
      </c>
      <c r="D389" t="s">
        <v>28</v>
      </c>
      <c r="E389">
        <v>5</v>
      </c>
      <c r="F389" t="s">
        <v>13</v>
      </c>
      <c r="G389" t="s">
        <v>13</v>
      </c>
    </row>
    <row r="390" spans="1:7" x14ac:dyDescent="0.3">
      <c r="A390" t="s">
        <v>767</v>
      </c>
      <c r="B390" t="s">
        <v>768</v>
      </c>
      <c r="C390" t="s">
        <v>2195</v>
      </c>
      <c r="D390" t="s">
        <v>25</v>
      </c>
      <c r="E390">
        <v>4</v>
      </c>
      <c r="F390" t="s">
        <v>13</v>
      </c>
      <c r="G390" t="s">
        <v>10</v>
      </c>
    </row>
    <row r="391" spans="1:7" x14ac:dyDescent="0.3">
      <c r="A391" t="s">
        <v>769</v>
      </c>
      <c r="B391" t="s">
        <v>770</v>
      </c>
      <c r="C391" t="s">
        <v>2196</v>
      </c>
      <c r="D391" t="s">
        <v>68</v>
      </c>
      <c r="E391">
        <v>2</v>
      </c>
      <c r="F391" t="s">
        <v>13</v>
      </c>
      <c r="G391" t="s">
        <v>10</v>
      </c>
    </row>
    <row r="392" spans="1:7" x14ac:dyDescent="0.3">
      <c r="A392" t="s">
        <v>771</v>
      </c>
      <c r="B392" t="s">
        <v>772</v>
      </c>
      <c r="C392" t="s">
        <v>2169</v>
      </c>
      <c r="D392" t="s">
        <v>19</v>
      </c>
      <c r="E392">
        <v>2</v>
      </c>
      <c r="F392" t="s">
        <v>10</v>
      </c>
      <c r="G392" t="s">
        <v>13</v>
      </c>
    </row>
    <row r="393" spans="1:7" x14ac:dyDescent="0.3">
      <c r="A393" t="s">
        <v>773</v>
      </c>
      <c r="B393" t="s">
        <v>774</v>
      </c>
      <c r="C393" t="s">
        <v>2197</v>
      </c>
      <c r="D393" t="s">
        <v>31</v>
      </c>
      <c r="E393">
        <v>3</v>
      </c>
      <c r="F393" t="s">
        <v>10</v>
      </c>
      <c r="G393" t="s">
        <v>13</v>
      </c>
    </row>
    <row r="394" spans="1:7" x14ac:dyDescent="0.3">
      <c r="A394" t="s">
        <v>775</v>
      </c>
      <c r="B394" t="s">
        <v>776</v>
      </c>
      <c r="C394" t="s">
        <v>2198</v>
      </c>
      <c r="D394" t="s">
        <v>37</v>
      </c>
      <c r="E394">
        <v>3</v>
      </c>
      <c r="F394" t="s">
        <v>13</v>
      </c>
      <c r="G394" t="s">
        <v>10</v>
      </c>
    </row>
    <row r="395" spans="1:7" x14ac:dyDescent="0.3">
      <c r="A395" t="s">
        <v>777</v>
      </c>
      <c r="B395" t="s">
        <v>778</v>
      </c>
      <c r="C395" t="s">
        <v>2199</v>
      </c>
      <c r="D395" t="s">
        <v>31</v>
      </c>
      <c r="E395">
        <v>3</v>
      </c>
      <c r="F395" t="s">
        <v>13</v>
      </c>
      <c r="G395" t="s">
        <v>13</v>
      </c>
    </row>
    <row r="396" spans="1:7" x14ac:dyDescent="0.3">
      <c r="A396" t="s">
        <v>779</v>
      </c>
      <c r="B396" t="s">
        <v>780</v>
      </c>
      <c r="C396" t="s">
        <v>2200</v>
      </c>
      <c r="D396" t="s">
        <v>22</v>
      </c>
      <c r="E396">
        <v>5</v>
      </c>
      <c r="F396" t="s">
        <v>10</v>
      </c>
      <c r="G396" t="s">
        <v>10</v>
      </c>
    </row>
    <row r="397" spans="1:7" x14ac:dyDescent="0.3">
      <c r="A397" t="s">
        <v>781</v>
      </c>
      <c r="B397" t="s">
        <v>782</v>
      </c>
      <c r="C397" t="s">
        <v>2201</v>
      </c>
      <c r="D397" t="s">
        <v>28</v>
      </c>
      <c r="E397">
        <v>4</v>
      </c>
      <c r="F397" t="s">
        <v>10</v>
      </c>
      <c r="G397" t="s">
        <v>10</v>
      </c>
    </row>
    <row r="398" spans="1:7" x14ac:dyDescent="0.3">
      <c r="A398" t="s">
        <v>783</v>
      </c>
      <c r="B398" t="s">
        <v>784</v>
      </c>
      <c r="C398" t="s">
        <v>2202</v>
      </c>
      <c r="D398" t="s">
        <v>16</v>
      </c>
      <c r="E398">
        <v>5</v>
      </c>
      <c r="F398" t="s">
        <v>10</v>
      </c>
      <c r="G398" t="s">
        <v>13</v>
      </c>
    </row>
    <row r="399" spans="1:7" x14ac:dyDescent="0.3">
      <c r="A399" t="s">
        <v>785</v>
      </c>
      <c r="B399" t="s">
        <v>786</v>
      </c>
      <c r="C399" t="s">
        <v>2203</v>
      </c>
      <c r="D399" t="s">
        <v>9</v>
      </c>
      <c r="E399">
        <v>1</v>
      </c>
      <c r="F399" t="s">
        <v>10</v>
      </c>
      <c r="G399" t="s">
        <v>13</v>
      </c>
    </row>
    <row r="400" spans="1:7" x14ac:dyDescent="0.3">
      <c r="A400" t="s">
        <v>787</v>
      </c>
      <c r="B400" t="s">
        <v>788</v>
      </c>
      <c r="C400" t="s">
        <v>2038</v>
      </c>
      <c r="D400" t="s">
        <v>19</v>
      </c>
      <c r="E400">
        <v>3</v>
      </c>
      <c r="F400" t="s">
        <v>10</v>
      </c>
      <c r="G400" t="s">
        <v>10</v>
      </c>
    </row>
    <row r="401" spans="1:7" x14ac:dyDescent="0.3">
      <c r="A401" t="s">
        <v>789</v>
      </c>
      <c r="B401" t="s">
        <v>790</v>
      </c>
      <c r="C401" t="s">
        <v>2204</v>
      </c>
      <c r="D401" t="s">
        <v>22</v>
      </c>
      <c r="E401">
        <v>4</v>
      </c>
      <c r="F401" t="s">
        <v>10</v>
      </c>
      <c r="G401" t="s">
        <v>10</v>
      </c>
    </row>
    <row r="402" spans="1:7" x14ac:dyDescent="0.3">
      <c r="A402" t="s">
        <v>791</v>
      </c>
      <c r="B402" t="s">
        <v>792</v>
      </c>
      <c r="C402" t="s">
        <v>2117</v>
      </c>
      <c r="D402" t="s">
        <v>37</v>
      </c>
      <c r="E402">
        <v>4</v>
      </c>
      <c r="F402" t="s">
        <v>10</v>
      </c>
      <c r="G402" t="s">
        <v>10</v>
      </c>
    </row>
    <row r="403" spans="1:7" x14ac:dyDescent="0.3">
      <c r="A403" t="s">
        <v>793</v>
      </c>
      <c r="B403" t="s">
        <v>794</v>
      </c>
      <c r="C403" t="s">
        <v>2205</v>
      </c>
      <c r="D403" t="s">
        <v>31</v>
      </c>
      <c r="E403">
        <v>2</v>
      </c>
      <c r="F403" t="s">
        <v>13</v>
      </c>
      <c r="G403" t="s">
        <v>10</v>
      </c>
    </row>
    <row r="404" spans="1:7" x14ac:dyDescent="0.3">
      <c r="A404" t="s">
        <v>795</v>
      </c>
      <c r="B404" t="s">
        <v>796</v>
      </c>
      <c r="C404" t="s">
        <v>1900</v>
      </c>
      <c r="D404" t="s">
        <v>9</v>
      </c>
      <c r="E404">
        <v>2</v>
      </c>
      <c r="F404" t="s">
        <v>10</v>
      </c>
      <c r="G404" t="s">
        <v>13</v>
      </c>
    </row>
    <row r="405" spans="1:7" x14ac:dyDescent="0.3">
      <c r="A405" t="s">
        <v>797</v>
      </c>
      <c r="B405" t="s">
        <v>89</v>
      </c>
      <c r="C405" t="s">
        <v>2206</v>
      </c>
      <c r="D405" t="s">
        <v>37</v>
      </c>
      <c r="E405">
        <v>4</v>
      </c>
      <c r="F405" t="s">
        <v>13</v>
      </c>
      <c r="G405" t="s">
        <v>13</v>
      </c>
    </row>
    <row r="406" spans="1:7" x14ac:dyDescent="0.3">
      <c r="A406" t="s">
        <v>798</v>
      </c>
      <c r="B406" t="s">
        <v>799</v>
      </c>
      <c r="C406" t="s">
        <v>2207</v>
      </c>
      <c r="D406" t="s">
        <v>22</v>
      </c>
      <c r="E406">
        <v>5</v>
      </c>
      <c r="F406" t="s">
        <v>10</v>
      </c>
      <c r="G406" t="s">
        <v>13</v>
      </c>
    </row>
    <row r="407" spans="1:7" x14ac:dyDescent="0.3">
      <c r="A407" t="s">
        <v>800</v>
      </c>
      <c r="B407" t="s">
        <v>801</v>
      </c>
      <c r="C407" t="s">
        <v>2208</v>
      </c>
      <c r="D407" t="s">
        <v>25</v>
      </c>
      <c r="E407">
        <v>5</v>
      </c>
      <c r="F407" t="s">
        <v>13</v>
      </c>
      <c r="G407" t="s">
        <v>10</v>
      </c>
    </row>
    <row r="408" spans="1:7" x14ac:dyDescent="0.3">
      <c r="A408" t="s">
        <v>802</v>
      </c>
      <c r="B408" t="s">
        <v>803</v>
      </c>
      <c r="C408" t="s">
        <v>2209</v>
      </c>
      <c r="D408" t="s">
        <v>25</v>
      </c>
      <c r="E408">
        <v>5</v>
      </c>
      <c r="F408" t="s">
        <v>13</v>
      </c>
      <c r="G408" t="s">
        <v>13</v>
      </c>
    </row>
    <row r="409" spans="1:7" x14ac:dyDescent="0.3">
      <c r="A409" t="s">
        <v>804</v>
      </c>
      <c r="B409" t="s">
        <v>805</v>
      </c>
      <c r="C409" t="s">
        <v>2210</v>
      </c>
      <c r="D409" t="s">
        <v>16</v>
      </c>
      <c r="E409">
        <v>4</v>
      </c>
      <c r="F409" t="s">
        <v>10</v>
      </c>
      <c r="G409" t="s">
        <v>10</v>
      </c>
    </row>
    <row r="410" spans="1:7" x14ac:dyDescent="0.3">
      <c r="A410" t="s">
        <v>806</v>
      </c>
      <c r="B410" t="s">
        <v>113</v>
      </c>
      <c r="C410" t="s">
        <v>2211</v>
      </c>
      <c r="D410" t="s">
        <v>22</v>
      </c>
      <c r="E410">
        <v>5</v>
      </c>
      <c r="F410" t="s">
        <v>13</v>
      </c>
      <c r="G410" t="s">
        <v>13</v>
      </c>
    </row>
    <row r="411" spans="1:7" x14ac:dyDescent="0.3">
      <c r="A411" t="s">
        <v>807</v>
      </c>
      <c r="B411" t="s">
        <v>808</v>
      </c>
      <c r="C411" t="s">
        <v>2212</v>
      </c>
      <c r="D411" t="s">
        <v>16</v>
      </c>
      <c r="E411">
        <v>4</v>
      </c>
      <c r="F411" t="s">
        <v>10</v>
      </c>
      <c r="G411" t="s">
        <v>10</v>
      </c>
    </row>
    <row r="412" spans="1:7" x14ac:dyDescent="0.3">
      <c r="A412" t="s">
        <v>809</v>
      </c>
      <c r="B412" t="s">
        <v>810</v>
      </c>
      <c r="C412" t="s">
        <v>2213</v>
      </c>
      <c r="D412" t="s">
        <v>19</v>
      </c>
      <c r="E412">
        <v>3</v>
      </c>
      <c r="F412" t="s">
        <v>13</v>
      </c>
      <c r="G412" t="s">
        <v>13</v>
      </c>
    </row>
    <row r="413" spans="1:7" x14ac:dyDescent="0.3">
      <c r="A413" t="s">
        <v>811</v>
      </c>
      <c r="B413" t="s">
        <v>812</v>
      </c>
      <c r="C413" t="s">
        <v>2214</v>
      </c>
      <c r="D413" t="s">
        <v>68</v>
      </c>
      <c r="E413">
        <v>2</v>
      </c>
      <c r="F413" t="s">
        <v>13</v>
      </c>
      <c r="G413" t="s">
        <v>10</v>
      </c>
    </row>
    <row r="414" spans="1:7" x14ac:dyDescent="0.3">
      <c r="A414" t="s">
        <v>813</v>
      </c>
      <c r="B414" t="s">
        <v>814</v>
      </c>
      <c r="C414" t="s">
        <v>2215</v>
      </c>
      <c r="D414" t="s">
        <v>25</v>
      </c>
      <c r="E414">
        <v>5</v>
      </c>
      <c r="F414" t="s">
        <v>13</v>
      </c>
      <c r="G414" t="s">
        <v>13</v>
      </c>
    </row>
    <row r="415" spans="1:7" x14ac:dyDescent="0.3">
      <c r="A415" t="s">
        <v>815</v>
      </c>
      <c r="B415" t="s">
        <v>816</v>
      </c>
      <c r="C415" t="s">
        <v>2216</v>
      </c>
      <c r="D415" t="s">
        <v>25</v>
      </c>
      <c r="E415">
        <v>5</v>
      </c>
      <c r="F415" t="s">
        <v>13</v>
      </c>
      <c r="G415" t="s">
        <v>13</v>
      </c>
    </row>
    <row r="416" spans="1:7" x14ac:dyDescent="0.3">
      <c r="A416" t="s">
        <v>817</v>
      </c>
      <c r="B416" t="s">
        <v>818</v>
      </c>
      <c r="C416" t="s">
        <v>2217</v>
      </c>
      <c r="D416" t="s">
        <v>22</v>
      </c>
      <c r="E416">
        <v>5</v>
      </c>
      <c r="F416" t="s">
        <v>10</v>
      </c>
      <c r="G416" t="s">
        <v>10</v>
      </c>
    </row>
    <row r="417" spans="1:7" x14ac:dyDescent="0.3">
      <c r="A417" t="s">
        <v>819</v>
      </c>
      <c r="B417" t="s">
        <v>820</v>
      </c>
      <c r="C417" t="s">
        <v>2137</v>
      </c>
      <c r="D417" t="s">
        <v>25</v>
      </c>
      <c r="E417">
        <v>5</v>
      </c>
      <c r="F417" t="s">
        <v>10</v>
      </c>
      <c r="G417" t="s">
        <v>13</v>
      </c>
    </row>
    <row r="418" spans="1:7" x14ac:dyDescent="0.3">
      <c r="A418" t="s">
        <v>821</v>
      </c>
      <c r="B418" t="s">
        <v>822</v>
      </c>
      <c r="C418" t="s">
        <v>2218</v>
      </c>
      <c r="D418" t="s">
        <v>22</v>
      </c>
      <c r="E418">
        <v>4</v>
      </c>
      <c r="F418" t="s">
        <v>10</v>
      </c>
      <c r="G418" t="s">
        <v>13</v>
      </c>
    </row>
    <row r="419" spans="1:7" x14ac:dyDescent="0.3">
      <c r="A419" t="s">
        <v>823</v>
      </c>
      <c r="B419" t="s">
        <v>824</v>
      </c>
      <c r="C419" t="s">
        <v>2219</v>
      </c>
      <c r="D419" t="s">
        <v>28</v>
      </c>
      <c r="E419">
        <v>4</v>
      </c>
      <c r="F419" t="s">
        <v>10</v>
      </c>
      <c r="G419" t="s">
        <v>10</v>
      </c>
    </row>
    <row r="420" spans="1:7" x14ac:dyDescent="0.3">
      <c r="A420" t="s">
        <v>825</v>
      </c>
      <c r="B420" t="s">
        <v>826</v>
      </c>
      <c r="C420" t="s">
        <v>2079</v>
      </c>
      <c r="D420" t="s">
        <v>28</v>
      </c>
      <c r="E420">
        <v>5</v>
      </c>
      <c r="F420" t="s">
        <v>13</v>
      </c>
      <c r="G420" t="s">
        <v>13</v>
      </c>
    </row>
    <row r="421" spans="1:7" x14ac:dyDescent="0.3">
      <c r="A421" t="s">
        <v>827</v>
      </c>
      <c r="B421" t="s">
        <v>828</v>
      </c>
      <c r="C421" t="s">
        <v>2220</v>
      </c>
      <c r="D421" t="s">
        <v>9</v>
      </c>
      <c r="E421">
        <v>3</v>
      </c>
      <c r="F421" t="s">
        <v>10</v>
      </c>
      <c r="G421" t="s">
        <v>10</v>
      </c>
    </row>
    <row r="422" spans="1:7" x14ac:dyDescent="0.3">
      <c r="A422" t="s">
        <v>829</v>
      </c>
      <c r="B422" t="s">
        <v>830</v>
      </c>
      <c r="C422" t="s">
        <v>2221</v>
      </c>
      <c r="D422" t="s">
        <v>25</v>
      </c>
      <c r="E422">
        <v>5</v>
      </c>
      <c r="F422" t="s">
        <v>10</v>
      </c>
      <c r="G422" t="s">
        <v>10</v>
      </c>
    </row>
    <row r="423" spans="1:7" x14ac:dyDescent="0.3">
      <c r="A423" t="s">
        <v>831</v>
      </c>
      <c r="B423" t="s">
        <v>832</v>
      </c>
      <c r="C423" t="s">
        <v>2222</v>
      </c>
      <c r="D423" t="s">
        <v>31</v>
      </c>
      <c r="E423">
        <v>3</v>
      </c>
      <c r="F423" t="s">
        <v>10</v>
      </c>
      <c r="G423" t="s">
        <v>13</v>
      </c>
    </row>
    <row r="424" spans="1:7" x14ac:dyDescent="0.3">
      <c r="A424" t="s">
        <v>833</v>
      </c>
      <c r="B424" t="s">
        <v>834</v>
      </c>
      <c r="C424" t="s">
        <v>2147</v>
      </c>
      <c r="D424" t="s">
        <v>28</v>
      </c>
      <c r="E424">
        <v>5</v>
      </c>
      <c r="F424" t="s">
        <v>13</v>
      </c>
      <c r="G424" t="s">
        <v>13</v>
      </c>
    </row>
    <row r="425" spans="1:7" x14ac:dyDescent="0.3">
      <c r="A425" t="s">
        <v>835</v>
      </c>
      <c r="B425" t="s">
        <v>836</v>
      </c>
      <c r="C425" t="s">
        <v>2223</v>
      </c>
      <c r="D425" t="s">
        <v>31</v>
      </c>
      <c r="E425">
        <v>3</v>
      </c>
      <c r="F425" t="s">
        <v>13</v>
      </c>
      <c r="G425" t="s">
        <v>10</v>
      </c>
    </row>
    <row r="426" spans="1:7" x14ac:dyDescent="0.3">
      <c r="A426" t="s">
        <v>837</v>
      </c>
      <c r="B426" t="s">
        <v>838</v>
      </c>
      <c r="C426" t="s">
        <v>2224</v>
      </c>
      <c r="D426" t="s">
        <v>16</v>
      </c>
      <c r="E426">
        <v>5</v>
      </c>
      <c r="F426" t="s">
        <v>10</v>
      </c>
      <c r="G426" t="s">
        <v>13</v>
      </c>
    </row>
    <row r="427" spans="1:7" x14ac:dyDescent="0.3">
      <c r="A427" t="s">
        <v>839</v>
      </c>
      <c r="B427" t="s">
        <v>840</v>
      </c>
      <c r="C427" t="s">
        <v>1994</v>
      </c>
      <c r="D427" t="s">
        <v>19</v>
      </c>
      <c r="E427">
        <v>2</v>
      </c>
      <c r="F427" t="s">
        <v>10</v>
      </c>
      <c r="G427" t="s">
        <v>13</v>
      </c>
    </row>
    <row r="428" spans="1:7" x14ac:dyDescent="0.3">
      <c r="A428" t="s">
        <v>841</v>
      </c>
      <c r="B428" t="s">
        <v>842</v>
      </c>
      <c r="C428" t="s">
        <v>2225</v>
      </c>
      <c r="D428" t="s">
        <v>68</v>
      </c>
      <c r="E428">
        <v>2</v>
      </c>
      <c r="F428" t="s">
        <v>13</v>
      </c>
      <c r="G428" t="s">
        <v>13</v>
      </c>
    </row>
    <row r="429" spans="1:7" x14ac:dyDescent="0.3">
      <c r="A429" t="s">
        <v>843</v>
      </c>
      <c r="B429" t="s">
        <v>844</v>
      </c>
      <c r="C429" t="s">
        <v>2226</v>
      </c>
      <c r="D429" t="s">
        <v>22</v>
      </c>
      <c r="E429">
        <v>5</v>
      </c>
      <c r="F429" t="s">
        <v>13</v>
      </c>
      <c r="G429" t="s">
        <v>13</v>
      </c>
    </row>
    <row r="430" spans="1:7" x14ac:dyDescent="0.3">
      <c r="A430" t="s">
        <v>845</v>
      </c>
      <c r="B430" t="s">
        <v>846</v>
      </c>
      <c r="C430" t="s">
        <v>2227</v>
      </c>
      <c r="D430" t="s">
        <v>28</v>
      </c>
      <c r="E430">
        <v>5</v>
      </c>
      <c r="F430" t="s">
        <v>13</v>
      </c>
      <c r="G430" t="s">
        <v>13</v>
      </c>
    </row>
    <row r="431" spans="1:7" x14ac:dyDescent="0.3">
      <c r="A431" t="s">
        <v>847</v>
      </c>
      <c r="B431" t="s">
        <v>848</v>
      </c>
      <c r="C431" t="s">
        <v>2228</v>
      </c>
      <c r="D431" t="s">
        <v>16</v>
      </c>
      <c r="E431">
        <v>4</v>
      </c>
      <c r="F431" t="s">
        <v>10</v>
      </c>
      <c r="G431" t="s">
        <v>10</v>
      </c>
    </row>
    <row r="432" spans="1:7" x14ac:dyDescent="0.3">
      <c r="A432" t="s">
        <v>849</v>
      </c>
      <c r="B432" t="s">
        <v>850</v>
      </c>
      <c r="C432" t="s">
        <v>2229</v>
      </c>
      <c r="D432" t="s">
        <v>28</v>
      </c>
      <c r="E432">
        <v>5</v>
      </c>
      <c r="F432" t="s">
        <v>13</v>
      </c>
      <c r="G432" t="s">
        <v>10</v>
      </c>
    </row>
    <row r="433" spans="1:7" x14ac:dyDescent="0.3">
      <c r="A433" t="s">
        <v>851</v>
      </c>
      <c r="B433" t="s">
        <v>852</v>
      </c>
      <c r="C433" t="s">
        <v>2230</v>
      </c>
      <c r="D433" t="s">
        <v>83</v>
      </c>
      <c r="E433">
        <v>1</v>
      </c>
      <c r="F433" t="s">
        <v>10</v>
      </c>
      <c r="G433" t="s">
        <v>13</v>
      </c>
    </row>
    <row r="434" spans="1:7" x14ac:dyDescent="0.3">
      <c r="A434" t="s">
        <v>853</v>
      </c>
      <c r="B434" t="s">
        <v>854</v>
      </c>
      <c r="C434" t="s">
        <v>2231</v>
      </c>
      <c r="D434" t="s">
        <v>19</v>
      </c>
      <c r="E434">
        <v>3</v>
      </c>
      <c r="F434" t="s">
        <v>13</v>
      </c>
      <c r="G434" t="s">
        <v>10</v>
      </c>
    </row>
    <row r="435" spans="1:7" x14ac:dyDescent="0.3">
      <c r="A435" t="s">
        <v>855</v>
      </c>
      <c r="B435" t="s">
        <v>856</v>
      </c>
      <c r="C435" t="s">
        <v>1957</v>
      </c>
      <c r="D435" t="s">
        <v>19</v>
      </c>
      <c r="E435">
        <v>2</v>
      </c>
      <c r="F435" t="s">
        <v>13</v>
      </c>
      <c r="G435" t="s">
        <v>10</v>
      </c>
    </row>
    <row r="436" spans="1:7" x14ac:dyDescent="0.3">
      <c r="A436" t="s">
        <v>857</v>
      </c>
      <c r="B436" t="s">
        <v>499</v>
      </c>
      <c r="C436" t="s">
        <v>2232</v>
      </c>
      <c r="D436" t="s">
        <v>9</v>
      </c>
      <c r="E436">
        <v>2</v>
      </c>
      <c r="F436" t="s">
        <v>10</v>
      </c>
      <c r="G436" t="s">
        <v>13</v>
      </c>
    </row>
    <row r="437" spans="1:7" x14ac:dyDescent="0.3">
      <c r="A437" t="s">
        <v>858</v>
      </c>
      <c r="B437" t="s">
        <v>859</v>
      </c>
      <c r="C437" t="s">
        <v>2233</v>
      </c>
      <c r="D437" t="s">
        <v>19</v>
      </c>
      <c r="E437">
        <v>2</v>
      </c>
      <c r="F437" t="s">
        <v>13</v>
      </c>
      <c r="G437" t="s">
        <v>10</v>
      </c>
    </row>
    <row r="438" spans="1:7" x14ac:dyDescent="0.3">
      <c r="A438" t="s">
        <v>860</v>
      </c>
      <c r="B438" t="s">
        <v>861</v>
      </c>
      <c r="C438" t="s">
        <v>2234</v>
      </c>
      <c r="D438" t="s">
        <v>31</v>
      </c>
      <c r="E438">
        <v>2</v>
      </c>
      <c r="F438" t="s">
        <v>10</v>
      </c>
      <c r="G438" t="s">
        <v>13</v>
      </c>
    </row>
    <row r="439" spans="1:7" x14ac:dyDescent="0.3">
      <c r="A439" t="s">
        <v>862</v>
      </c>
      <c r="B439" t="s">
        <v>863</v>
      </c>
      <c r="C439" t="s">
        <v>2235</v>
      </c>
      <c r="D439" t="s">
        <v>19</v>
      </c>
      <c r="E439">
        <v>3</v>
      </c>
      <c r="F439" t="s">
        <v>13</v>
      </c>
      <c r="G439" t="s">
        <v>13</v>
      </c>
    </row>
    <row r="440" spans="1:7" x14ac:dyDescent="0.3">
      <c r="A440" t="s">
        <v>864</v>
      </c>
      <c r="B440" t="s">
        <v>865</v>
      </c>
      <c r="C440" t="s">
        <v>1925</v>
      </c>
      <c r="D440" t="s">
        <v>22</v>
      </c>
      <c r="E440">
        <v>5</v>
      </c>
      <c r="F440" t="s">
        <v>10</v>
      </c>
      <c r="G440" t="s">
        <v>10</v>
      </c>
    </row>
    <row r="441" spans="1:7" x14ac:dyDescent="0.3">
      <c r="A441" t="s">
        <v>866</v>
      </c>
      <c r="B441" t="s">
        <v>867</v>
      </c>
      <c r="C441" t="s">
        <v>2236</v>
      </c>
      <c r="D441" t="s">
        <v>28</v>
      </c>
      <c r="E441">
        <v>4</v>
      </c>
      <c r="F441" t="s">
        <v>10</v>
      </c>
      <c r="G441" t="s">
        <v>13</v>
      </c>
    </row>
    <row r="442" spans="1:7" x14ac:dyDescent="0.3">
      <c r="A442" t="s">
        <v>868</v>
      </c>
      <c r="B442" t="s">
        <v>869</v>
      </c>
      <c r="C442" t="s">
        <v>2237</v>
      </c>
      <c r="D442" t="s">
        <v>37</v>
      </c>
      <c r="E442">
        <v>4</v>
      </c>
      <c r="F442" t="s">
        <v>13</v>
      </c>
      <c r="G442" t="s">
        <v>10</v>
      </c>
    </row>
    <row r="443" spans="1:7" x14ac:dyDescent="0.3">
      <c r="A443" t="s">
        <v>870</v>
      </c>
      <c r="B443" t="s">
        <v>668</v>
      </c>
      <c r="C443" t="s">
        <v>2198</v>
      </c>
      <c r="D443" t="s">
        <v>31</v>
      </c>
      <c r="E443">
        <v>1</v>
      </c>
      <c r="F443" t="s">
        <v>13</v>
      </c>
      <c r="G443" t="s">
        <v>10</v>
      </c>
    </row>
    <row r="444" spans="1:7" x14ac:dyDescent="0.3">
      <c r="A444" t="s">
        <v>871</v>
      </c>
      <c r="B444" t="s">
        <v>872</v>
      </c>
      <c r="C444" t="s">
        <v>2238</v>
      </c>
      <c r="D444" t="s">
        <v>9</v>
      </c>
      <c r="E444">
        <v>2</v>
      </c>
      <c r="F444" t="s">
        <v>10</v>
      </c>
      <c r="G444" t="s">
        <v>13</v>
      </c>
    </row>
    <row r="445" spans="1:7" x14ac:dyDescent="0.3">
      <c r="A445" t="s">
        <v>873</v>
      </c>
      <c r="B445" t="s">
        <v>874</v>
      </c>
      <c r="C445" t="s">
        <v>2239</v>
      </c>
      <c r="D445" t="s">
        <v>31</v>
      </c>
      <c r="E445">
        <v>2</v>
      </c>
      <c r="F445" t="s">
        <v>10</v>
      </c>
      <c r="G445" t="s">
        <v>13</v>
      </c>
    </row>
    <row r="446" spans="1:7" x14ac:dyDescent="0.3">
      <c r="A446" t="s">
        <v>875</v>
      </c>
      <c r="B446" t="s">
        <v>876</v>
      </c>
      <c r="C446" t="s">
        <v>2240</v>
      </c>
      <c r="D446" t="s">
        <v>22</v>
      </c>
      <c r="E446">
        <v>5</v>
      </c>
      <c r="F446" t="s">
        <v>13</v>
      </c>
      <c r="G446" t="s">
        <v>13</v>
      </c>
    </row>
    <row r="447" spans="1:7" x14ac:dyDescent="0.3">
      <c r="A447" t="s">
        <v>877</v>
      </c>
      <c r="B447" t="s">
        <v>706</v>
      </c>
      <c r="C447" t="s">
        <v>2241</v>
      </c>
      <c r="D447" t="s">
        <v>28</v>
      </c>
      <c r="E447">
        <v>4</v>
      </c>
      <c r="F447" t="s">
        <v>13</v>
      </c>
      <c r="G447" t="s">
        <v>13</v>
      </c>
    </row>
    <row r="448" spans="1:7" x14ac:dyDescent="0.3">
      <c r="A448" t="s">
        <v>878</v>
      </c>
      <c r="B448" t="s">
        <v>879</v>
      </c>
      <c r="C448" t="s">
        <v>2242</v>
      </c>
      <c r="D448" t="s">
        <v>28</v>
      </c>
      <c r="E448">
        <v>5</v>
      </c>
      <c r="F448" t="s">
        <v>10</v>
      </c>
      <c r="G448" t="s">
        <v>10</v>
      </c>
    </row>
    <row r="449" spans="1:7" x14ac:dyDescent="0.3">
      <c r="A449" t="s">
        <v>880</v>
      </c>
      <c r="B449" t="s">
        <v>881</v>
      </c>
      <c r="C449" t="s">
        <v>2243</v>
      </c>
      <c r="D449" t="s">
        <v>28</v>
      </c>
      <c r="E449">
        <v>4</v>
      </c>
      <c r="F449" t="s">
        <v>10</v>
      </c>
      <c r="G449" t="s">
        <v>13</v>
      </c>
    </row>
    <row r="450" spans="1:7" x14ac:dyDescent="0.3">
      <c r="A450" t="s">
        <v>882</v>
      </c>
      <c r="B450" t="s">
        <v>883</v>
      </c>
      <c r="C450" t="s">
        <v>1874</v>
      </c>
      <c r="D450" t="s">
        <v>68</v>
      </c>
      <c r="E450">
        <v>2</v>
      </c>
      <c r="F450" t="s">
        <v>10</v>
      </c>
      <c r="G450" t="s">
        <v>10</v>
      </c>
    </row>
    <row r="451" spans="1:7" x14ac:dyDescent="0.3">
      <c r="A451" t="s">
        <v>884</v>
      </c>
      <c r="B451" t="s">
        <v>885</v>
      </c>
      <c r="C451" t="s">
        <v>2064</v>
      </c>
      <c r="D451" t="s">
        <v>83</v>
      </c>
      <c r="E451">
        <v>1</v>
      </c>
      <c r="F451" t="s">
        <v>10</v>
      </c>
      <c r="G451" t="s">
        <v>10</v>
      </c>
    </row>
    <row r="452" spans="1:7" x14ac:dyDescent="0.3">
      <c r="A452" t="s">
        <v>886</v>
      </c>
      <c r="B452" t="s">
        <v>887</v>
      </c>
      <c r="C452" t="s">
        <v>2244</v>
      </c>
      <c r="D452" t="s">
        <v>83</v>
      </c>
      <c r="E452">
        <v>1</v>
      </c>
      <c r="F452" t="s">
        <v>13</v>
      </c>
      <c r="G452" t="s">
        <v>13</v>
      </c>
    </row>
    <row r="453" spans="1:7" x14ac:dyDescent="0.3">
      <c r="A453" t="s">
        <v>888</v>
      </c>
      <c r="B453" t="s">
        <v>889</v>
      </c>
      <c r="C453" t="s">
        <v>2081</v>
      </c>
      <c r="D453" t="s">
        <v>28</v>
      </c>
      <c r="E453">
        <v>5</v>
      </c>
      <c r="F453" t="s">
        <v>10</v>
      </c>
      <c r="G453" t="s">
        <v>10</v>
      </c>
    </row>
    <row r="454" spans="1:7" x14ac:dyDescent="0.3">
      <c r="A454" t="s">
        <v>890</v>
      </c>
      <c r="B454" t="s">
        <v>891</v>
      </c>
      <c r="C454" t="s">
        <v>2245</v>
      </c>
      <c r="D454" t="s">
        <v>28</v>
      </c>
      <c r="E454">
        <v>4</v>
      </c>
      <c r="F454" t="s">
        <v>10</v>
      </c>
      <c r="G454" t="s">
        <v>13</v>
      </c>
    </row>
    <row r="455" spans="1:7" x14ac:dyDescent="0.3">
      <c r="A455" t="s">
        <v>892</v>
      </c>
      <c r="B455" t="s">
        <v>820</v>
      </c>
      <c r="C455" t="s">
        <v>2246</v>
      </c>
      <c r="D455" t="s">
        <v>83</v>
      </c>
      <c r="E455">
        <v>1</v>
      </c>
      <c r="F455" t="s">
        <v>10</v>
      </c>
      <c r="G455" t="s">
        <v>13</v>
      </c>
    </row>
    <row r="456" spans="1:7" x14ac:dyDescent="0.3">
      <c r="A456" t="s">
        <v>893</v>
      </c>
      <c r="B456" t="s">
        <v>894</v>
      </c>
      <c r="C456" t="s">
        <v>2247</v>
      </c>
      <c r="D456" t="s">
        <v>31</v>
      </c>
      <c r="E456">
        <v>3</v>
      </c>
      <c r="F456" t="s">
        <v>13</v>
      </c>
      <c r="G456" t="s">
        <v>10</v>
      </c>
    </row>
    <row r="457" spans="1:7" x14ac:dyDescent="0.3">
      <c r="A457" t="s">
        <v>895</v>
      </c>
      <c r="B457" t="s">
        <v>896</v>
      </c>
      <c r="C457" t="s">
        <v>2125</v>
      </c>
      <c r="D457" t="s">
        <v>16</v>
      </c>
      <c r="E457">
        <v>5</v>
      </c>
      <c r="F457" t="s">
        <v>13</v>
      </c>
      <c r="G457" t="s">
        <v>13</v>
      </c>
    </row>
    <row r="458" spans="1:7" x14ac:dyDescent="0.3">
      <c r="A458" t="s">
        <v>897</v>
      </c>
      <c r="B458" t="s">
        <v>898</v>
      </c>
      <c r="C458" t="s">
        <v>2007</v>
      </c>
      <c r="D458" t="s">
        <v>31</v>
      </c>
      <c r="E458">
        <v>3</v>
      </c>
      <c r="F458" t="s">
        <v>10</v>
      </c>
      <c r="G458" t="s">
        <v>13</v>
      </c>
    </row>
    <row r="459" spans="1:7" x14ac:dyDescent="0.3">
      <c r="A459" t="s">
        <v>899</v>
      </c>
      <c r="B459" t="s">
        <v>900</v>
      </c>
      <c r="C459" t="s">
        <v>2248</v>
      </c>
      <c r="D459" t="s">
        <v>16</v>
      </c>
      <c r="E459">
        <v>4</v>
      </c>
      <c r="F459" t="s">
        <v>10</v>
      </c>
      <c r="G459" t="s">
        <v>13</v>
      </c>
    </row>
    <row r="460" spans="1:7" x14ac:dyDescent="0.3">
      <c r="A460" t="s">
        <v>901</v>
      </c>
      <c r="B460" t="s">
        <v>902</v>
      </c>
      <c r="C460" t="s">
        <v>2249</v>
      </c>
      <c r="D460" t="s">
        <v>22</v>
      </c>
      <c r="E460">
        <v>4</v>
      </c>
      <c r="F460" t="s">
        <v>13</v>
      </c>
      <c r="G460" t="s">
        <v>13</v>
      </c>
    </row>
    <row r="461" spans="1:7" x14ac:dyDescent="0.3">
      <c r="A461" t="s">
        <v>903</v>
      </c>
      <c r="B461" t="s">
        <v>904</v>
      </c>
      <c r="C461" t="s">
        <v>2130</v>
      </c>
      <c r="D461" t="s">
        <v>31</v>
      </c>
      <c r="E461">
        <v>3</v>
      </c>
      <c r="F461" t="s">
        <v>10</v>
      </c>
      <c r="G461" t="s">
        <v>13</v>
      </c>
    </row>
    <row r="462" spans="1:7" x14ac:dyDescent="0.3">
      <c r="A462" t="s">
        <v>905</v>
      </c>
      <c r="B462" t="s">
        <v>906</v>
      </c>
      <c r="C462" t="s">
        <v>2250</v>
      </c>
      <c r="D462" t="s">
        <v>16</v>
      </c>
      <c r="E462">
        <v>4</v>
      </c>
      <c r="F462" t="s">
        <v>13</v>
      </c>
      <c r="G462" t="s">
        <v>13</v>
      </c>
    </row>
    <row r="463" spans="1:7" x14ac:dyDescent="0.3">
      <c r="A463" t="s">
        <v>907</v>
      </c>
      <c r="B463" t="s">
        <v>194</v>
      </c>
      <c r="C463" t="s">
        <v>2212</v>
      </c>
      <c r="D463" t="s">
        <v>37</v>
      </c>
      <c r="E463">
        <v>5</v>
      </c>
      <c r="F463" t="s">
        <v>13</v>
      </c>
      <c r="G463" t="s">
        <v>10</v>
      </c>
    </row>
    <row r="464" spans="1:7" x14ac:dyDescent="0.3">
      <c r="A464" t="s">
        <v>908</v>
      </c>
      <c r="B464" t="s">
        <v>906</v>
      </c>
      <c r="C464" t="s">
        <v>2172</v>
      </c>
      <c r="D464" t="s">
        <v>16</v>
      </c>
      <c r="E464">
        <v>4</v>
      </c>
      <c r="F464" t="s">
        <v>13</v>
      </c>
      <c r="G464" t="s">
        <v>13</v>
      </c>
    </row>
    <row r="465" spans="1:7" x14ac:dyDescent="0.3">
      <c r="A465" t="s">
        <v>909</v>
      </c>
      <c r="B465" t="s">
        <v>910</v>
      </c>
      <c r="C465" t="s">
        <v>2251</v>
      </c>
      <c r="D465" t="s">
        <v>37</v>
      </c>
      <c r="E465">
        <v>3</v>
      </c>
      <c r="F465" t="s">
        <v>10</v>
      </c>
      <c r="G465" t="s">
        <v>10</v>
      </c>
    </row>
    <row r="466" spans="1:7" x14ac:dyDescent="0.3">
      <c r="A466" t="s">
        <v>911</v>
      </c>
      <c r="B466" t="s">
        <v>912</v>
      </c>
      <c r="C466" t="s">
        <v>2252</v>
      </c>
      <c r="D466" t="s">
        <v>37</v>
      </c>
      <c r="E466">
        <v>5</v>
      </c>
      <c r="F466" t="s">
        <v>13</v>
      </c>
      <c r="G466" t="s">
        <v>10</v>
      </c>
    </row>
    <row r="467" spans="1:7" x14ac:dyDescent="0.3">
      <c r="A467" t="s">
        <v>913</v>
      </c>
      <c r="B467" t="s">
        <v>914</v>
      </c>
      <c r="C467" t="s">
        <v>2253</v>
      </c>
      <c r="D467" t="s">
        <v>9</v>
      </c>
      <c r="E467">
        <v>3</v>
      </c>
      <c r="F467" t="s">
        <v>10</v>
      </c>
      <c r="G467" t="s">
        <v>13</v>
      </c>
    </row>
    <row r="468" spans="1:7" x14ac:dyDescent="0.3">
      <c r="A468" t="s">
        <v>915</v>
      </c>
      <c r="B468" t="s">
        <v>484</v>
      </c>
      <c r="C468" t="s">
        <v>2098</v>
      </c>
      <c r="D468" t="s">
        <v>28</v>
      </c>
      <c r="E468">
        <v>5</v>
      </c>
      <c r="F468" t="s">
        <v>10</v>
      </c>
      <c r="G468" t="s">
        <v>13</v>
      </c>
    </row>
    <row r="469" spans="1:7" x14ac:dyDescent="0.3">
      <c r="A469" t="s">
        <v>916</v>
      </c>
      <c r="B469" t="s">
        <v>917</v>
      </c>
      <c r="C469" t="s">
        <v>2254</v>
      </c>
      <c r="D469" t="s">
        <v>9</v>
      </c>
      <c r="E469">
        <v>1</v>
      </c>
      <c r="F469" t="s">
        <v>10</v>
      </c>
      <c r="G469" t="s">
        <v>13</v>
      </c>
    </row>
    <row r="470" spans="1:7" x14ac:dyDescent="0.3">
      <c r="A470" t="s">
        <v>918</v>
      </c>
      <c r="B470" t="s">
        <v>919</v>
      </c>
      <c r="C470" t="s">
        <v>2255</v>
      </c>
      <c r="D470" t="s">
        <v>22</v>
      </c>
      <c r="E470">
        <v>4</v>
      </c>
      <c r="F470" t="s">
        <v>13</v>
      </c>
      <c r="G470" t="s">
        <v>10</v>
      </c>
    </row>
    <row r="471" spans="1:7" x14ac:dyDescent="0.3">
      <c r="A471" t="s">
        <v>920</v>
      </c>
      <c r="B471" t="s">
        <v>252</v>
      </c>
      <c r="C471" t="s">
        <v>2256</v>
      </c>
      <c r="D471" t="s">
        <v>28</v>
      </c>
      <c r="E471">
        <v>5</v>
      </c>
      <c r="F471" t="s">
        <v>10</v>
      </c>
      <c r="G471" t="s">
        <v>13</v>
      </c>
    </row>
    <row r="472" spans="1:7" x14ac:dyDescent="0.3">
      <c r="A472" t="s">
        <v>921</v>
      </c>
      <c r="B472" t="s">
        <v>922</v>
      </c>
      <c r="C472" t="s">
        <v>2257</v>
      </c>
      <c r="D472" t="s">
        <v>19</v>
      </c>
      <c r="E472">
        <v>3</v>
      </c>
      <c r="F472" t="s">
        <v>10</v>
      </c>
      <c r="G472" t="s">
        <v>10</v>
      </c>
    </row>
    <row r="473" spans="1:7" x14ac:dyDescent="0.3">
      <c r="A473" t="s">
        <v>923</v>
      </c>
      <c r="B473" t="s">
        <v>924</v>
      </c>
      <c r="C473" t="s">
        <v>2258</v>
      </c>
      <c r="D473" t="s">
        <v>25</v>
      </c>
      <c r="E473">
        <v>4</v>
      </c>
      <c r="F473" t="s">
        <v>13</v>
      </c>
      <c r="G473" t="s">
        <v>13</v>
      </c>
    </row>
    <row r="474" spans="1:7" x14ac:dyDescent="0.3">
      <c r="A474" t="s">
        <v>925</v>
      </c>
      <c r="B474" t="s">
        <v>594</v>
      </c>
      <c r="C474" t="s">
        <v>2259</v>
      </c>
      <c r="D474" t="s">
        <v>37</v>
      </c>
      <c r="E474">
        <v>4</v>
      </c>
      <c r="F474" t="s">
        <v>10</v>
      </c>
      <c r="G474" t="s">
        <v>13</v>
      </c>
    </row>
    <row r="475" spans="1:7" x14ac:dyDescent="0.3">
      <c r="A475" t="s">
        <v>926</v>
      </c>
      <c r="B475" t="s">
        <v>927</v>
      </c>
      <c r="C475" t="s">
        <v>2260</v>
      </c>
      <c r="D475" t="s">
        <v>25</v>
      </c>
      <c r="E475">
        <v>5</v>
      </c>
      <c r="F475" t="s">
        <v>10</v>
      </c>
      <c r="G475" t="s">
        <v>13</v>
      </c>
    </row>
    <row r="476" spans="1:7" x14ac:dyDescent="0.3">
      <c r="A476" t="s">
        <v>928</v>
      </c>
      <c r="B476" t="s">
        <v>293</v>
      </c>
      <c r="C476" t="s">
        <v>2261</v>
      </c>
      <c r="D476" t="s">
        <v>22</v>
      </c>
      <c r="E476">
        <v>5</v>
      </c>
      <c r="F476" t="s">
        <v>10</v>
      </c>
      <c r="G476" t="s">
        <v>10</v>
      </c>
    </row>
    <row r="477" spans="1:7" x14ac:dyDescent="0.3">
      <c r="A477" t="s">
        <v>929</v>
      </c>
      <c r="B477" t="s">
        <v>930</v>
      </c>
      <c r="C477" t="s">
        <v>2262</v>
      </c>
      <c r="D477" t="s">
        <v>25</v>
      </c>
      <c r="E477">
        <v>5</v>
      </c>
      <c r="F477" t="s">
        <v>13</v>
      </c>
      <c r="G477" t="s">
        <v>13</v>
      </c>
    </row>
    <row r="478" spans="1:7" x14ac:dyDescent="0.3">
      <c r="A478" t="s">
        <v>931</v>
      </c>
      <c r="B478" t="s">
        <v>932</v>
      </c>
      <c r="C478" t="s">
        <v>2263</v>
      </c>
      <c r="D478" t="s">
        <v>37</v>
      </c>
      <c r="E478">
        <v>4</v>
      </c>
      <c r="F478" t="s">
        <v>13</v>
      </c>
      <c r="G478" t="s">
        <v>10</v>
      </c>
    </row>
    <row r="479" spans="1:7" x14ac:dyDescent="0.3">
      <c r="A479" t="s">
        <v>933</v>
      </c>
      <c r="B479" t="s">
        <v>934</v>
      </c>
      <c r="C479" t="s">
        <v>2264</v>
      </c>
      <c r="D479" t="s">
        <v>25</v>
      </c>
      <c r="E479">
        <v>5</v>
      </c>
      <c r="F479" t="s">
        <v>10</v>
      </c>
      <c r="G479" t="s">
        <v>10</v>
      </c>
    </row>
    <row r="480" spans="1:7" x14ac:dyDescent="0.3">
      <c r="A480" t="s">
        <v>935</v>
      </c>
      <c r="B480" t="s">
        <v>936</v>
      </c>
      <c r="C480" t="s">
        <v>2265</v>
      </c>
      <c r="D480" t="s">
        <v>31</v>
      </c>
      <c r="E480">
        <v>3</v>
      </c>
      <c r="F480" t="s">
        <v>13</v>
      </c>
      <c r="G480" t="s">
        <v>13</v>
      </c>
    </row>
    <row r="481" spans="1:7" x14ac:dyDescent="0.3">
      <c r="A481" t="s">
        <v>937</v>
      </c>
      <c r="B481" t="s">
        <v>938</v>
      </c>
      <c r="C481" t="s">
        <v>2266</v>
      </c>
      <c r="D481" t="s">
        <v>31</v>
      </c>
      <c r="E481">
        <v>3</v>
      </c>
      <c r="F481" t="s">
        <v>13</v>
      </c>
      <c r="G481" t="s">
        <v>10</v>
      </c>
    </row>
    <row r="482" spans="1:7" x14ac:dyDescent="0.3">
      <c r="A482" t="s">
        <v>939</v>
      </c>
      <c r="B482" t="s">
        <v>668</v>
      </c>
      <c r="C482" t="s">
        <v>2267</v>
      </c>
      <c r="D482" t="s">
        <v>68</v>
      </c>
      <c r="E482">
        <v>2</v>
      </c>
      <c r="F482" t="s">
        <v>10</v>
      </c>
      <c r="G482" t="s">
        <v>13</v>
      </c>
    </row>
    <row r="483" spans="1:7" x14ac:dyDescent="0.3">
      <c r="A483" t="s">
        <v>940</v>
      </c>
      <c r="B483" t="s">
        <v>941</v>
      </c>
      <c r="C483" t="s">
        <v>2268</v>
      </c>
      <c r="D483" t="s">
        <v>22</v>
      </c>
      <c r="E483">
        <v>4</v>
      </c>
      <c r="F483" t="s">
        <v>10</v>
      </c>
      <c r="G483" t="s">
        <v>13</v>
      </c>
    </row>
    <row r="484" spans="1:7" x14ac:dyDescent="0.3">
      <c r="A484" t="s">
        <v>942</v>
      </c>
      <c r="B484" t="s">
        <v>943</v>
      </c>
      <c r="C484" t="s">
        <v>2112</v>
      </c>
      <c r="D484" t="s">
        <v>19</v>
      </c>
      <c r="E484">
        <v>2</v>
      </c>
      <c r="F484" t="s">
        <v>13</v>
      </c>
      <c r="G484" t="s">
        <v>13</v>
      </c>
    </row>
    <row r="485" spans="1:7" x14ac:dyDescent="0.3">
      <c r="A485" t="s">
        <v>944</v>
      </c>
      <c r="B485" t="s">
        <v>945</v>
      </c>
      <c r="C485" t="s">
        <v>2269</v>
      </c>
      <c r="D485" t="s">
        <v>16</v>
      </c>
      <c r="E485">
        <v>5</v>
      </c>
      <c r="F485" t="s">
        <v>10</v>
      </c>
      <c r="G485" t="s">
        <v>13</v>
      </c>
    </row>
    <row r="486" spans="1:7" x14ac:dyDescent="0.3">
      <c r="A486" t="s">
        <v>946</v>
      </c>
      <c r="B486" t="s">
        <v>947</v>
      </c>
      <c r="C486" t="s">
        <v>2093</v>
      </c>
      <c r="D486" t="s">
        <v>83</v>
      </c>
      <c r="E486">
        <v>1</v>
      </c>
      <c r="F486" t="s">
        <v>10</v>
      </c>
      <c r="G486" t="s">
        <v>10</v>
      </c>
    </row>
    <row r="487" spans="1:7" x14ac:dyDescent="0.3">
      <c r="A487" t="s">
        <v>948</v>
      </c>
      <c r="B487" t="s">
        <v>949</v>
      </c>
      <c r="C487" t="s">
        <v>2270</v>
      </c>
      <c r="D487" t="s">
        <v>19</v>
      </c>
      <c r="E487">
        <v>3</v>
      </c>
      <c r="F487" t="s">
        <v>13</v>
      </c>
      <c r="G487" t="s">
        <v>10</v>
      </c>
    </row>
    <row r="488" spans="1:7" x14ac:dyDescent="0.3">
      <c r="A488" t="s">
        <v>950</v>
      </c>
      <c r="B488" t="s">
        <v>951</v>
      </c>
      <c r="C488" t="s">
        <v>1898</v>
      </c>
      <c r="D488" t="s">
        <v>16</v>
      </c>
      <c r="E488">
        <v>5</v>
      </c>
      <c r="F488" t="s">
        <v>13</v>
      </c>
      <c r="G488" t="s">
        <v>10</v>
      </c>
    </row>
    <row r="489" spans="1:7" x14ac:dyDescent="0.3">
      <c r="A489" t="s">
        <v>952</v>
      </c>
      <c r="B489" t="s">
        <v>953</v>
      </c>
      <c r="C489" t="s">
        <v>1984</v>
      </c>
      <c r="D489" t="s">
        <v>16</v>
      </c>
      <c r="E489">
        <v>5</v>
      </c>
      <c r="F489" t="s">
        <v>13</v>
      </c>
      <c r="G489" t="s">
        <v>13</v>
      </c>
    </row>
    <row r="490" spans="1:7" x14ac:dyDescent="0.3">
      <c r="A490" t="s">
        <v>954</v>
      </c>
      <c r="B490" t="s">
        <v>955</v>
      </c>
      <c r="C490" t="s">
        <v>2271</v>
      </c>
      <c r="D490" t="s">
        <v>9</v>
      </c>
      <c r="E490">
        <v>2</v>
      </c>
      <c r="F490" t="s">
        <v>10</v>
      </c>
      <c r="G490" t="s">
        <v>13</v>
      </c>
    </row>
    <row r="491" spans="1:7" x14ac:dyDescent="0.3">
      <c r="A491" t="s">
        <v>956</v>
      </c>
      <c r="B491" t="s">
        <v>957</v>
      </c>
      <c r="C491" t="s">
        <v>2272</v>
      </c>
      <c r="D491" t="s">
        <v>22</v>
      </c>
      <c r="E491">
        <v>4</v>
      </c>
      <c r="F491" t="s">
        <v>10</v>
      </c>
      <c r="G491" t="s">
        <v>13</v>
      </c>
    </row>
    <row r="492" spans="1:7" x14ac:dyDescent="0.3">
      <c r="A492" t="s">
        <v>958</v>
      </c>
      <c r="B492" t="s">
        <v>959</v>
      </c>
      <c r="C492" t="s">
        <v>2273</v>
      </c>
      <c r="D492" t="s">
        <v>9</v>
      </c>
      <c r="E492">
        <v>2</v>
      </c>
      <c r="F492" t="s">
        <v>13</v>
      </c>
      <c r="G492" t="s">
        <v>10</v>
      </c>
    </row>
    <row r="493" spans="1:7" x14ac:dyDescent="0.3">
      <c r="A493" t="s">
        <v>960</v>
      </c>
      <c r="B493" t="s">
        <v>961</v>
      </c>
      <c r="C493" t="s">
        <v>2274</v>
      </c>
      <c r="D493" t="s">
        <v>22</v>
      </c>
      <c r="E493">
        <v>5</v>
      </c>
      <c r="F493" t="s">
        <v>10</v>
      </c>
      <c r="G493" t="s">
        <v>10</v>
      </c>
    </row>
    <row r="494" spans="1:7" x14ac:dyDescent="0.3">
      <c r="A494" t="s">
        <v>962</v>
      </c>
      <c r="B494" t="s">
        <v>963</v>
      </c>
      <c r="C494" t="s">
        <v>2275</v>
      </c>
      <c r="D494" t="s">
        <v>37</v>
      </c>
      <c r="E494">
        <v>4</v>
      </c>
      <c r="F494" t="s">
        <v>10</v>
      </c>
      <c r="G494" t="s">
        <v>13</v>
      </c>
    </row>
    <row r="495" spans="1:7" x14ac:dyDescent="0.3">
      <c r="A495" t="s">
        <v>964</v>
      </c>
      <c r="B495" t="s">
        <v>965</v>
      </c>
      <c r="C495" t="s">
        <v>2276</v>
      </c>
      <c r="D495" t="s">
        <v>19</v>
      </c>
      <c r="E495">
        <v>3</v>
      </c>
      <c r="F495" t="s">
        <v>10</v>
      </c>
      <c r="G495" t="s">
        <v>10</v>
      </c>
    </row>
    <row r="496" spans="1:7" x14ac:dyDescent="0.3">
      <c r="A496" t="s">
        <v>966</v>
      </c>
      <c r="B496" t="s">
        <v>914</v>
      </c>
      <c r="C496" t="s">
        <v>2277</v>
      </c>
      <c r="D496" t="s">
        <v>22</v>
      </c>
      <c r="E496">
        <v>5</v>
      </c>
      <c r="F496" t="s">
        <v>10</v>
      </c>
      <c r="G496" t="s">
        <v>10</v>
      </c>
    </row>
    <row r="497" spans="1:7" x14ac:dyDescent="0.3">
      <c r="A497" t="s">
        <v>967</v>
      </c>
      <c r="B497" t="s">
        <v>968</v>
      </c>
      <c r="C497" t="s">
        <v>1899</v>
      </c>
      <c r="D497" t="s">
        <v>16</v>
      </c>
      <c r="E497">
        <v>4</v>
      </c>
      <c r="F497" t="s">
        <v>13</v>
      </c>
      <c r="G497" t="s">
        <v>10</v>
      </c>
    </row>
    <row r="498" spans="1:7" x14ac:dyDescent="0.3">
      <c r="A498" t="s">
        <v>969</v>
      </c>
      <c r="B498" t="s">
        <v>970</v>
      </c>
      <c r="C498" t="s">
        <v>2262</v>
      </c>
      <c r="D498" t="s">
        <v>19</v>
      </c>
      <c r="E498">
        <v>2</v>
      </c>
      <c r="F498" t="s">
        <v>13</v>
      </c>
      <c r="G498" t="s">
        <v>13</v>
      </c>
    </row>
    <row r="499" spans="1:7" x14ac:dyDescent="0.3">
      <c r="A499" t="s">
        <v>971</v>
      </c>
      <c r="B499" t="s">
        <v>972</v>
      </c>
      <c r="C499" t="s">
        <v>2278</v>
      </c>
      <c r="D499" t="s">
        <v>68</v>
      </c>
      <c r="E499">
        <v>1</v>
      </c>
      <c r="F499" t="s">
        <v>13</v>
      </c>
      <c r="G499" t="s">
        <v>10</v>
      </c>
    </row>
    <row r="500" spans="1:7" x14ac:dyDescent="0.3">
      <c r="A500" t="s">
        <v>973</v>
      </c>
      <c r="B500" t="s">
        <v>865</v>
      </c>
      <c r="C500" t="s">
        <v>2279</v>
      </c>
      <c r="D500" t="s">
        <v>9</v>
      </c>
      <c r="E500">
        <v>2</v>
      </c>
      <c r="F500" t="s">
        <v>10</v>
      </c>
      <c r="G500" t="s">
        <v>10</v>
      </c>
    </row>
    <row r="501" spans="1:7" x14ac:dyDescent="0.3">
      <c r="A501" t="s">
        <v>974</v>
      </c>
      <c r="B501" t="s">
        <v>525</v>
      </c>
      <c r="C501" t="s">
        <v>2280</v>
      </c>
      <c r="D501" t="s">
        <v>25</v>
      </c>
      <c r="E501">
        <v>5</v>
      </c>
      <c r="F501" t="s">
        <v>13</v>
      </c>
      <c r="G501" t="s">
        <v>10</v>
      </c>
    </row>
    <row r="502" spans="1:7" x14ac:dyDescent="0.3">
      <c r="A502" t="s">
        <v>975</v>
      </c>
      <c r="B502" t="s">
        <v>341</v>
      </c>
      <c r="C502" t="s">
        <v>1984</v>
      </c>
      <c r="D502" t="s">
        <v>22</v>
      </c>
      <c r="E502">
        <v>4</v>
      </c>
      <c r="F502" t="s">
        <v>13</v>
      </c>
      <c r="G502" t="s">
        <v>10</v>
      </c>
    </row>
    <row r="503" spans="1:7" x14ac:dyDescent="0.3">
      <c r="A503" t="s">
        <v>976</v>
      </c>
      <c r="B503" t="s">
        <v>977</v>
      </c>
      <c r="C503" t="s">
        <v>2281</v>
      </c>
      <c r="D503" t="s">
        <v>28</v>
      </c>
      <c r="E503">
        <v>4</v>
      </c>
      <c r="F503" t="s">
        <v>13</v>
      </c>
      <c r="G503" t="s">
        <v>10</v>
      </c>
    </row>
    <row r="504" spans="1:7" x14ac:dyDescent="0.3">
      <c r="A504" t="s">
        <v>978</v>
      </c>
      <c r="B504" t="s">
        <v>979</v>
      </c>
      <c r="C504" t="s">
        <v>2282</v>
      </c>
      <c r="D504" t="s">
        <v>37</v>
      </c>
      <c r="E504">
        <v>4</v>
      </c>
      <c r="F504" t="s">
        <v>10</v>
      </c>
      <c r="G504" t="s">
        <v>13</v>
      </c>
    </row>
    <row r="505" spans="1:7" x14ac:dyDescent="0.3">
      <c r="A505" t="s">
        <v>980</v>
      </c>
      <c r="B505" t="s">
        <v>981</v>
      </c>
      <c r="C505" t="s">
        <v>2283</v>
      </c>
      <c r="D505" t="s">
        <v>31</v>
      </c>
      <c r="E505">
        <v>2</v>
      </c>
      <c r="F505" t="s">
        <v>13</v>
      </c>
      <c r="G505" t="s">
        <v>10</v>
      </c>
    </row>
    <row r="506" spans="1:7" x14ac:dyDescent="0.3">
      <c r="A506" t="s">
        <v>982</v>
      </c>
      <c r="B506" t="s">
        <v>983</v>
      </c>
      <c r="C506" t="s">
        <v>2284</v>
      </c>
      <c r="D506" t="s">
        <v>22</v>
      </c>
      <c r="E506">
        <v>4</v>
      </c>
      <c r="F506" t="s">
        <v>13</v>
      </c>
      <c r="G506" t="s">
        <v>10</v>
      </c>
    </row>
    <row r="507" spans="1:7" x14ac:dyDescent="0.3">
      <c r="A507" t="s">
        <v>984</v>
      </c>
      <c r="B507" t="s">
        <v>985</v>
      </c>
      <c r="C507" t="s">
        <v>2285</v>
      </c>
      <c r="D507" t="s">
        <v>83</v>
      </c>
      <c r="E507">
        <v>1</v>
      </c>
      <c r="F507" t="s">
        <v>13</v>
      </c>
      <c r="G507" t="s">
        <v>10</v>
      </c>
    </row>
    <row r="508" spans="1:7" x14ac:dyDescent="0.3">
      <c r="A508" t="s">
        <v>986</v>
      </c>
      <c r="B508" t="s">
        <v>987</v>
      </c>
      <c r="C508" t="s">
        <v>2286</v>
      </c>
      <c r="D508" t="s">
        <v>37</v>
      </c>
      <c r="E508">
        <v>5</v>
      </c>
      <c r="F508" t="s">
        <v>13</v>
      </c>
      <c r="G508" t="s">
        <v>13</v>
      </c>
    </row>
    <row r="509" spans="1:7" x14ac:dyDescent="0.3">
      <c r="A509" t="s">
        <v>988</v>
      </c>
      <c r="B509" t="s">
        <v>989</v>
      </c>
      <c r="C509" t="s">
        <v>2287</v>
      </c>
      <c r="D509" t="s">
        <v>16</v>
      </c>
      <c r="E509">
        <v>4</v>
      </c>
      <c r="F509" t="s">
        <v>13</v>
      </c>
      <c r="G509" t="s">
        <v>10</v>
      </c>
    </row>
    <row r="510" spans="1:7" x14ac:dyDescent="0.3">
      <c r="A510" t="s">
        <v>990</v>
      </c>
      <c r="B510" t="s">
        <v>991</v>
      </c>
      <c r="C510" t="s">
        <v>2288</v>
      </c>
      <c r="D510" t="s">
        <v>16</v>
      </c>
      <c r="E510">
        <v>5</v>
      </c>
      <c r="F510" t="s">
        <v>13</v>
      </c>
      <c r="G510" t="s">
        <v>10</v>
      </c>
    </row>
    <row r="511" spans="1:7" x14ac:dyDescent="0.3">
      <c r="A511" t="s">
        <v>992</v>
      </c>
      <c r="B511" t="s">
        <v>495</v>
      </c>
      <c r="C511" t="s">
        <v>2289</v>
      </c>
      <c r="D511" t="s">
        <v>28</v>
      </c>
      <c r="E511">
        <v>4</v>
      </c>
      <c r="F511" t="s">
        <v>13</v>
      </c>
      <c r="G511" t="s">
        <v>10</v>
      </c>
    </row>
    <row r="512" spans="1:7" x14ac:dyDescent="0.3">
      <c r="A512" t="s">
        <v>993</v>
      </c>
      <c r="B512" t="s">
        <v>415</v>
      </c>
      <c r="C512" t="s">
        <v>2290</v>
      </c>
      <c r="D512" t="s">
        <v>9</v>
      </c>
      <c r="E512">
        <v>2</v>
      </c>
      <c r="F512" t="s">
        <v>13</v>
      </c>
      <c r="G512" t="s">
        <v>10</v>
      </c>
    </row>
    <row r="513" spans="1:7" x14ac:dyDescent="0.3">
      <c r="A513" t="s">
        <v>994</v>
      </c>
      <c r="B513" t="s">
        <v>995</v>
      </c>
      <c r="C513" t="s">
        <v>2274</v>
      </c>
      <c r="D513" t="s">
        <v>25</v>
      </c>
      <c r="E513">
        <v>4</v>
      </c>
      <c r="F513" t="s">
        <v>10</v>
      </c>
      <c r="G513" t="s">
        <v>10</v>
      </c>
    </row>
    <row r="514" spans="1:7" x14ac:dyDescent="0.3">
      <c r="A514" t="s">
        <v>996</v>
      </c>
      <c r="B514" t="s">
        <v>997</v>
      </c>
      <c r="C514" t="s">
        <v>2068</v>
      </c>
      <c r="D514" t="s">
        <v>22</v>
      </c>
      <c r="E514">
        <v>4</v>
      </c>
      <c r="F514" t="s">
        <v>10</v>
      </c>
      <c r="G514" t="s">
        <v>10</v>
      </c>
    </row>
    <row r="515" spans="1:7" x14ac:dyDescent="0.3">
      <c r="A515" t="s">
        <v>998</v>
      </c>
      <c r="B515" t="s">
        <v>999</v>
      </c>
      <c r="C515" t="s">
        <v>2291</v>
      </c>
      <c r="D515" t="s">
        <v>28</v>
      </c>
      <c r="E515">
        <v>5</v>
      </c>
      <c r="F515" t="s">
        <v>13</v>
      </c>
      <c r="G515" t="s">
        <v>13</v>
      </c>
    </row>
    <row r="516" spans="1:7" x14ac:dyDescent="0.3">
      <c r="A516" t="s">
        <v>1000</v>
      </c>
      <c r="B516" t="s">
        <v>1001</v>
      </c>
      <c r="C516" t="s">
        <v>1997</v>
      </c>
      <c r="D516" t="s">
        <v>83</v>
      </c>
      <c r="E516">
        <v>1</v>
      </c>
      <c r="F516" t="s">
        <v>10</v>
      </c>
      <c r="G516" t="s">
        <v>13</v>
      </c>
    </row>
    <row r="517" spans="1:7" x14ac:dyDescent="0.3">
      <c r="A517" t="s">
        <v>1002</v>
      </c>
      <c r="B517" t="s">
        <v>1003</v>
      </c>
      <c r="C517" t="s">
        <v>2292</v>
      </c>
      <c r="D517" t="s">
        <v>19</v>
      </c>
      <c r="E517">
        <v>2</v>
      </c>
      <c r="F517" t="s">
        <v>13</v>
      </c>
      <c r="G517" t="s">
        <v>10</v>
      </c>
    </row>
    <row r="518" spans="1:7" x14ac:dyDescent="0.3">
      <c r="A518" t="s">
        <v>1004</v>
      </c>
      <c r="B518" t="s">
        <v>1005</v>
      </c>
      <c r="C518" t="s">
        <v>2293</v>
      </c>
      <c r="D518" t="s">
        <v>9</v>
      </c>
      <c r="E518">
        <v>3</v>
      </c>
      <c r="F518" t="s">
        <v>10</v>
      </c>
      <c r="G518" t="s">
        <v>10</v>
      </c>
    </row>
    <row r="519" spans="1:7" x14ac:dyDescent="0.3">
      <c r="A519" t="s">
        <v>1006</v>
      </c>
      <c r="B519" t="s">
        <v>1007</v>
      </c>
      <c r="C519" t="s">
        <v>1976</v>
      </c>
      <c r="D519" t="s">
        <v>28</v>
      </c>
      <c r="E519">
        <v>4</v>
      </c>
      <c r="F519" t="s">
        <v>13</v>
      </c>
      <c r="G519" t="s">
        <v>10</v>
      </c>
    </row>
    <row r="520" spans="1:7" x14ac:dyDescent="0.3">
      <c r="A520" t="s">
        <v>1008</v>
      </c>
      <c r="B520" t="s">
        <v>1009</v>
      </c>
      <c r="C520" t="s">
        <v>2294</v>
      </c>
      <c r="D520" t="s">
        <v>16</v>
      </c>
      <c r="E520">
        <v>4</v>
      </c>
      <c r="F520" t="s">
        <v>13</v>
      </c>
      <c r="G520" t="s">
        <v>10</v>
      </c>
    </row>
    <row r="521" spans="1:7" x14ac:dyDescent="0.3">
      <c r="A521" t="s">
        <v>1010</v>
      </c>
      <c r="B521" t="s">
        <v>1011</v>
      </c>
      <c r="C521" t="s">
        <v>2124</v>
      </c>
      <c r="D521" t="s">
        <v>22</v>
      </c>
      <c r="E521">
        <v>5</v>
      </c>
      <c r="F521" t="s">
        <v>10</v>
      </c>
      <c r="G521" t="s">
        <v>10</v>
      </c>
    </row>
    <row r="522" spans="1:7" x14ac:dyDescent="0.3">
      <c r="A522" t="s">
        <v>1012</v>
      </c>
      <c r="B522" t="s">
        <v>1013</v>
      </c>
      <c r="C522" t="s">
        <v>2020</v>
      </c>
      <c r="D522" t="s">
        <v>22</v>
      </c>
      <c r="E522">
        <v>4</v>
      </c>
      <c r="F522" t="s">
        <v>10</v>
      </c>
      <c r="G522" t="s">
        <v>13</v>
      </c>
    </row>
    <row r="523" spans="1:7" x14ac:dyDescent="0.3">
      <c r="A523" t="s">
        <v>1014</v>
      </c>
      <c r="B523" t="s">
        <v>1015</v>
      </c>
      <c r="C523" t="s">
        <v>2295</v>
      </c>
      <c r="D523" t="s">
        <v>83</v>
      </c>
      <c r="E523">
        <v>3</v>
      </c>
      <c r="F523" t="s">
        <v>13</v>
      </c>
      <c r="G523" t="s">
        <v>10</v>
      </c>
    </row>
    <row r="524" spans="1:7" x14ac:dyDescent="0.3">
      <c r="A524" t="s">
        <v>1016</v>
      </c>
      <c r="B524" t="s">
        <v>1017</v>
      </c>
      <c r="C524" t="s">
        <v>2167</v>
      </c>
      <c r="D524" t="s">
        <v>9</v>
      </c>
      <c r="E524">
        <v>3</v>
      </c>
      <c r="F524" t="s">
        <v>13</v>
      </c>
      <c r="G524" t="s">
        <v>13</v>
      </c>
    </row>
    <row r="525" spans="1:7" x14ac:dyDescent="0.3">
      <c r="A525" t="s">
        <v>1018</v>
      </c>
      <c r="B525" t="s">
        <v>47</v>
      </c>
      <c r="C525" t="s">
        <v>2296</v>
      </c>
      <c r="D525" t="s">
        <v>28</v>
      </c>
      <c r="E525">
        <v>5</v>
      </c>
      <c r="F525" t="s">
        <v>13</v>
      </c>
      <c r="G525" t="s">
        <v>10</v>
      </c>
    </row>
    <row r="526" spans="1:7" x14ac:dyDescent="0.3">
      <c r="A526" t="s">
        <v>1019</v>
      </c>
      <c r="B526" t="s">
        <v>1020</v>
      </c>
      <c r="C526" t="s">
        <v>2297</v>
      </c>
      <c r="D526" t="s">
        <v>19</v>
      </c>
      <c r="E526">
        <v>2</v>
      </c>
      <c r="F526" t="s">
        <v>10</v>
      </c>
      <c r="G526" t="s">
        <v>13</v>
      </c>
    </row>
    <row r="527" spans="1:7" x14ac:dyDescent="0.3">
      <c r="A527" t="s">
        <v>1021</v>
      </c>
      <c r="B527" t="s">
        <v>1022</v>
      </c>
      <c r="C527" t="s">
        <v>2298</v>
      </c>
      <c r="D527" t="s">
        <v>9</v>
      </c>
      <c r="E527">
        <v>2</v>
      </c>
      <c r="F527" t="s">
        <v>10</v>
      </c>
      <c r="G527" t="s">
        <v>13</v>
      </c>
    </row>
    <row r="528" spans="1:7" x14ac:dyDescent="0.3">
      <c r="A528" t="s">
        <v>1023</v>
      </c>
      <c r="B528" t="s">
        <v>1024</v>
      </c>
      <c r="C528" t="s">
        <v>2106</v>
      </c>
      <c r="D528" t="s">
        <v>83</v>
      </c>
      <c r="E528">
        <v>2</v>
      </c>
      <c r="F528" t="s">
        <v>13</v>
      </c>
      <c r="G528" t="s">
        <v>10</v>
      </c>
    </row>
    <row r="529" spans="1:7" x14ac:dyDescent="0.3">
      <c r="A529" t="s">
        <v>1025</v>
      </c>
      <c r="B529" t="s">
        <v>499</v>
      </c>
      <c r="C529" t="s">
        <v>2299</v>
      </c>
      <c r="D529" t="s">
        <v>37</v>
      </c>
      <c r="E529">
        <v>5</v>
      </c>
      <c r="F529" t="s">
        <v>10</v>
      </c>
      <c r="G529" t="s">
        <v>10</v>
      </c>
    </row>
    <row r="530" spans="1:7" x14ac:dyDescent="0.3">
      <c r="A530" t="s">
        <v>1026</v>
      </c>
      <c r="B530" t="s">
        <v>1027</v>
      </c>
      <c r="C530" t="s">
        <v>2300</v>
      </c>
      <c r="D530" t="s">
        <v>31</v>
      </c>
      <c r="E530">
        <v>3</v>
      </c>
      <c r="F530" t="s">
        <v>10</v>
      </c>
      <c r="G530" t="s">
        <v>13</v>
      </c>
    </row>
    <row r="531" spans="1:7" x14ac:dyDescent="0.3">
      <c r="A531" t="s">
        <v>1028</v>
      </c>
      <c r="B531" t="s">
        <v>1029</v>
      </c>
      <c r="C531" t="s">
        <v>2301</v>
      </c>
      <c r="D531" t="s">
        <v>16</v>
      </c>
      <c r="E531">
        <v>5</v>
      </c>
      <c r="F531" t="s">
        <v>13</v>
      </c>
      <c r="G531" t="s">
        <v>10</v>
      </c>
    </row>
    <row r="532" spans="1:7" x14ac:dyDescent="0.3">
      <c r="A532" t="s">
        <v>1030</v>
      </c>
      <c r="B532" t="s">
        <v>1031</v>
      </c>
      <c r="C532" t="s">
        <v>1866</v>
      </c>
      <c r="D532" t="s">
        <v>37</v>
      </c>
      <c r="E532">
        <v>3</v>
      </c>
      <c r="F532" t="s">
        <v>13</v>
      </c>
      <c r="G532" t="s">
        <v>13</v>
      </c>
    </row>
    <row r="533" spans="1:7" x14ac:dyDescent="0.3">
      <c r="A533" t="s">
        <v>1032</v>
      </c>
      <c r="B533" t="s">
        <v>1033</v>
      </c>
      <c r="C533" t="s">
        <v>2108</v>
      </c>
      <c r="D533" t="s">
        <v>68</v>
      </c>
      <c r="E533">
        <v>1</v>
      </c>
      <c r="F533" t="s">
        <v>13</v>
      </c>
      <c r="G533" t="s">
        <v>10</v>
      </c>
    </row>
    <row r="534" spans="1:7" x14ac:dyDescent="0.3">
      <c r="A534" t="s">
        <v>1034</v>
      </c>
      <c r="B534" t="s">
        <v>1035</v>
      </c>
      <c r="C534" t="s">
        <v>2301</v>
      </c>
      <c r="D534" t="s">
        <v>37</v>
      </c>
      <c r="E534">
        <v>3</v>
      </c>
      <c r="F534" t="s">
        <v>13</v>
      </c>
      <c r="G534" t="s">
        <v>13</v>
      </c>
    </row>
    <row r="535" spans="1:7" x14ac:dyDescent="0.3">
      <c r="A535" t="s">
        <v>1036</v>
      </c>
      <c r="B535" t="s">
        <v>1037</v>
      </c>
      <c r="C535" t="s">
        <v>2302</v>
      </c>
      <c r="D535" t="s">
        <v>19</v>
      </c>
      <c r="E535">
        <v>3</v>
      </c>
      <c r="F535" t="s">
        <v>10</v>
      </c>
      <c r="G535" t="s">
        <v>10</v>
      </c>
    </row>
    <row r="536" spans="1:7" x14ac:dyDescent="0.3">
      <c r="A536" t="s">
        <v>1038</v>
      </c>
      <c r="B536" t="s">
        <v>778</v>
      </c>
      <c r="C536" t="s">
        <v>2303</v>
      </c>
      <c r="D536" t="s">
        <v>22</v>
      </c>
      <c r="E536">
        <v>5</v>
      </c>
      <c r="F536" t="s">
        <v>10</v>
      </c>
      <c r="G536" t="s">
        <v>13</v>
      </c>
    </row>
    <row r="537" spans="1:7" x14ac:dyDescent="0.3">
      <c r="A537" t="s">
        <v>1039</v>
      </c>
      <c r="B537" t="s">
        <v>1040</v>
      </c>
      <c r="C537" t="s">
        <v>2304</v>
      </c>
      <c r="D537" t="s">
        <v>31</v>
      </c>
      <c r="E537">
        <v>3</v>
      </c>
      <c r="F537" t="s">
        <v>10</v>
      </c>
      <c r="G537" t="s">
        <v>13</v>
      </c>
    </row>
    <row r="538" spans="1:7" x14ac:dyDescent="0.3">
      <c r="A538" t="s">
        <v>1041</v>
      </c>
      <c r="B538" t="s">
        <v>1042</v>
      </c>
      <c r="C538" t="s">
        <v>2110</v>
      </c>
      <c r="D538" t="s">
        <v>28</v>
      </c>
      <c r="E538">
        <v>5</v>
      </c>
      <c r="F538" t="s">
        <v>10</v>
      </c>
      <c r="G538" t="s">
        <v>10</v>
      </c>
    </row>
    <row r="539" spans="1:7" x14ac:dyDescent="0.3">
      <c r="A539" t="s">
        <v>1043</v>
      </c>
      <c r="B539" t="s">
        <v>637</v>
      </c>
      <c r="C539" t="s">
        <v>1870</v>
      </c>
      <c r="D539" t="s">
        <v>16</v>
      </c>
      <c r="E539">
        <v>4</v>
      </c>
      <c r="F539" t="s">
        <v>10</v>
      </c>
      <c r="G539" t="s">
        <v>10</v>
      </c>
    </row>
    <row r="540" spans="1:7" x14ac:dyDescent="0.3">
      <c r="A540" t="s">
        <v>1044</v>
      </c>
      <c r="B540" t="s">
        <v>1045</v>
      </c>
      <c r="C540" t="s">
        <v>2305</v>
      </c>
      <c r="D540" t="s">
        <v>19</v>
      </c>
      <c r="E540">
        <v>3</v>
      </c>
      <c r="F540" t="s">
        <v>13</v>
      </c>
      <c r="G540" t="s">
        <v>13</v>
      </c>
    </row>
    <row r="541" spans="1:7" x14ac:dyDescent="0.3">
      <c r="A541" t="s">
        <v>1046</v>
      </c>
      <c r="B541" t="s">
        <v>1047</v>
      </c>
      <c r="C541" t="s">
        <v>2306</v>
      </c>
      <c r="D541" t="s">
        <v>9</v>
      </c>
      <c r="E541">
        <v>3</v>
      </c>
      <c r="F541" t="s">
        <v>10</v>
      </c>
      <c r="G541" t="s">
        <v>13</v>
      </c>
    </row>
    <row r="542" spans="1:7" x14ac:dyDescent="0.3">
      <c r="A542" t="s">
        <v>1048</v>
      </c>
      <c r="B542" t="s">
        <v>1049</v>
      </c>
      <c r="C542" t="s">
        <v>2307</v>
      </c>
      <c r="D542" t="s">
        <v>9</v>
      </c>
      <c r="E542">
        <v>2</v>
      </c>
      <c r="F542" t="s">
        <v>13</v>
      </c>
      <c r="G542" t="s">
        <v>13</v>
      </c>
    </row>
    <row r="543" spans="1:7" x14ac:dyDescent="0.3">
      <c r="A543" t="s">
        <v>1050</v>
      </c>
      <c r="B543" t="s">
        <v>1051</v>
      </c>
      <c r="C543" t="s">
        <v>2308</v>
      </c>
      <c r="D543" t="s">
        <v>22</v>
      </c>
      <c r="E543">
        <v>5</v>
      </c>
      <c r="F543" t="s">
        <v>10</v>
      </c>
      <c r="G543" t="s">
        <v>13</v>
      </c>
    </row>
    <row r="544" spans="1:7" x14ac:dyDescent="0.3">
      <c r="A544" t="s">
        <v>1052</v>
      </c>
      <c r="B544" t="s">
        <v>164</v>
      </c>
      <c r="C544" t="s">
        <v>2309</v>
      </c>
      <c r="D544" t="s">
        <v>83</v>
      </c>
      <c r="E544">
        <v>3</v>
      </c>
      <c r="F544" t="s">
        <v>10</v>
      </c>
      <c r="G544" t="s">
        <v>13</v>
      </c>
    </row>
    <row r="545" spans="1:7" x14ac:dyDescent="0.3">
      <c r="A545" t="s">
        <v>1053</v>
      </c>
      <c r="B545" t="s">
        <v>1054</v>
      </c>
      <c r="C545" t="s">
        <v>2310</v>
      </c>
      <c r="D545" t="s">
        <v>16</v>
      </c>
      <c r="E545">
        <v>5</v>
      </c>
      <c r="F545" t="s">
        <v>10</v>
      </c>
      <c r="G545" t="s">
        <v>10</v>
      </c>
    </row>
    <row r="546" spans="1:7" x14ac:dyDescent="0.3">
      <c r="A546" t="s">
        <v>1055</v>
      </c>
      <c r="B546" t="s">
        <v>1056</v>
      </c>
      <c r="C546" t="s">
        <v>2311</v>
      </c>
      <c r="D546" t="s">
        <v>31</v>
      </c>
      <c r="E546">
        <v>3</v>
      </c>
      <c r="F546" t="s">
        <v>13</v>
      </c>
      <c r="G546" t="s">
        <v>10</v>
      </c>
    </row>
    <row r="547" spans="1:7" x14ac:dyDescent="0.3">
      <c r="A547" t="s">
        <v>1057</v>
      </c>
      <c r="B547" t="s">
        <v>1058</v>
      </c>
      <c r="C547" t="s">
        <v>2312</v>
      </c>
      <c r="D547" t="s">
        <v>16</v>
      </c>
      <c r="E547">
        <v>4</v>
      </c>
      <c r="F547" t="s">
        <v>13</v>
      </c>
      <c r="G547" t="s">
        <v>13</v>
      </c>
    </row>
    <row r="548" spans="1:7" x14ac:dyDescent="0.3">
      <c r="A548" t="s">
        <v>1059</v>
      </c>
      <c r="B548" t="s">
        <v>1060</v>
      </c>
      <c r="C548" t="s">
        <v>2313</v>
      </c>
      <c r="D548" t="s">
        <v>31</v>
      </c>
      <c r="E548">
        <v>3</v>
      </c>
      <c r="F548" t="s">
        <v>10</v>
      </c>
      <c r="G548" t="s">
        <v>10</v>
      </c>
    </row>
    <row r="549" spans="1:7" x14ac:dyDescent="0.3">
      <c r="A549" t="s">
        <v>1061</v>
      </c>
      <c r="B549" t="s">
        <v>1062</v>
      </c>
      <c r="C549" t="s">
        <v>2314</v>
      </c>
      <c r="D549" t="s">
        <v>22</v>
      </c>
      <c r="E549">
        <v>4</v>
      </c>
      <c r="F549" t="s">
        <v>13</v>
      </c>
      <c r="G549" t="s">
        <v>13</v>
      </c>
    </row>
    <row r="550" spans="1:7" x14ac:dyDescent="0.3">
      <c r="A550" t="s">
        <v>1063</v>
      </c>
      <c r="B550" t="s">
        <v>1064</v>
      </c>
      <c r="C550" t="s">
        <v>2315</v>
      </c>
      <c r="D550" t="s">
        <v>37</v>
      </c>
      <c r="E550">
        <v>4</v>
      </c>
      <c r="F550" t="s">
        <v>13</v>
      </c>
      <c r="G550" t="s">
        <v>13</v>
      </c>
    </row>
    <row r="551" spans="1:7" x14ac:dyDescent="0.3">
      <c r="A551" t="s">
        <v>1065</v>
      </c>
      <c r="B551" t="s">
        <v>1066</v>
      </c>
      <c r="C551" t="s">
        <v>2316</v>
      </c>
      <c r="D551" t="s">
        <v>22</v>
      </c>
      <c r="E551">
        <v>5</v>
      </c>
      <c r="F551" t="s">
        <v>13</v>
      </c>
      <c r="G551" t="s">
        <v>13</v>
      </c>
    </row>
    <row r="552" spans="1:7" x14ac:dyDescent="0.3">
      <c r="A552" t="s">
        <v>1067</v>
      </c>
      <c r="B552" t="s">
        <v>1068</v>
      </c>
      <c r="C552" t="s">
        <v>2139</v>
      </c>
      <c r="D552" t="s">
        <v>83</v>
      </c>
      <c r="E552">
        <v>1</v>
      </c>
      <c r="F552" t="s">
        <v>10</v>
      </c>
      <c r="G552" t="s">
        <v>13</v>
      </c>
    </row>
    <row r="553" spans="1:7" x14ac:dyDescent="0.3">
      <c r="A553" t="s">
        <v>1069</v>
      </c>
      <c r="B553" t="s">
        <v>1070</v>
      </c>
      <c r="C553" t="s">
        <v>1922</v>
      </c>
      <c r="D553" t="s">
        <v>37</v>
      </c>
      <c r="E553">
        <v>5</v>
      </c>
      <c r="F553" t="s">
        <v>13</v>
      </c>
      <c r="G553" t="s">
        <v>10</v>
      </c>
    </row>
    <row r="554" spans="1:7" x14ac:dyDescent="0.3">
      <c r="A554" t="s">
        <v>1071</v>
      </c>
      <c r="B554" t="s">
        <v>1072</v>
      </c>
      <c r="C554" t="s">
        <v>2317</v>
      </c>
      <c r="D554" t="s">
        <v>25</v>
      </c>
      <c r="E554">
        <v>5</v>
      </c>
      <c r="F554" t="s">
        <v>13</v>
      </c>
      <c r="G554" t="s">
        <v>10</v>
      </c>
    </row>
    <row r="555" spans="1:7" x14ac:dyDescent="0.3">
      <c r="A555" t="s">
        <v>1073</v>
      </c>
      <c r="B555" t="s">
        <v>1074</v>
      </c>
      <c r="C555" t="s">
        <v>2082</v>
      </c>
      <c r="D555" t="s">
        <v>68</v>
      </c>
      <c r="E555">
        <v>2</v>
      </c>
      <c r="F555" t="s">
        <v>13</v>
      </c>
      <c r="G555" t="s">
        <v>13</v>
      </c>
    </row>
    <row r="556" spans="1:7" x14ac:dyDescent="0.3">
      <c r="A556" t="s">
        <v>1075</v>
      </c>
      <c r="B556" t="s">
        <v>1076</v>
      </c>
      <c r="C556" t="s">
        <v>1969</v>
      </c>
      <c r="D556" t="s">
        <v>9</v>
      </c>
      <c r="E556">
        <v>1</v>
      </c>
      <c r="F556" t="s">
        <v>13</v>
      </c>
      <c r="G556" t="s">
        <v>13</v>
      </c>
    </row>
    <row r="557" spans="1:7" x14ac:dyDescent="0.3">
      <c r="A557" t="s">
        <v>1077</v>
      </c>
      <c r="B557" t="s">
        <v>1078</v>
      </c>
      <c r="C557" t="s">
        <v>2318</v>
      </c>
      <c r="D557" t="s">
        <v>37</v>
      </c>
      <c r="E557">
        <v>5</v>
      </c>
      <c r="F557" t="s">
        <v>13</v>
      </c>
      <c r="G557" t="s">
        <v>10</v>
      </c>
    </row>
    <row r="558" spans="1:7" x14ac:dyDescent="0.3">
      <c r="A558" t="s">
        <v>1079</v>
      </c>
      <c r="B558" t="s">
        <v>1080</v>
      </c>
      <c r="C558" t="s">
        <v>2319</v>
      </c>
      <c r="D558" t="s">
        <v>31</v>
      </c>
      <c r="E558">
        <v>2</v>
      </c>
      <c r="F558" t="s">
        <v>13</v>
      </c>
      <c r="G558" t="s">
        <v>13</v>
      </c>
    </row>
    <row r="559" spans="1:7" x14ac:dyDescent="0.3">
      <c r="A559" t="s">
        <v>1081</v>
      </c>
      <c r="B559" t="s">
        <v>869</v>
      </c>
      <c r="C559" t="s">
        <v>2320</v>
      </c>
      <c r="D559" t="s">
        <v>28</v>
      </c>
      <c r="E559">
        <v>5</v>
      </c>
      <c r="F559" t="s">
        <v>13</v>
      </c>
      <c r="G559" t="s">
        <v>10</v>
      </c>
    </row>
    <row r="560" spans="1:7" x14ac:dyDescent="0.3">
      <c r="A560" t="s">
        <v>1082</v>
      </c>
      <c r="B560" t="s">
        <v>1083</v>
      </c>
      <c r="C560" t="s">
        <v>2321</v>
      </c>
      <c r="D560" t="s">
        <v>9</v>
      </c>
      <c r="E560">
        <v>1</v>
      </c>
      <c r="F560" t="s">
        <v>10</v>
      </c>
      <c r="G560" t="s">
        <v>10</v>
      </c>
    </row>
    <row r="561" spans="1:7" x14ac:dyDescent="0.3">
      <c r="A561" t="s">
        <v>1084</v>
      </c>
      <c r="B561" t="s">
        <v>1085</v>
      </c>
      <c r="C561" t="s">
        <v>2251</v>
      </c>
      <c r="D561" t="s">
        <v>16</v>
      </c>
      <c r="E561">
        <v>5</v>
      </c>
      <c r="F561" t="s">
        <v>13</v>
      </c>
      <c r="G561" t="s">
        <v>10</v>
      </c>
    </row>
    <row r="562" spans="1:7" x14ac:dyDescent="0.3">
      <c r="A562" t="s">
        <v>1086</v>
      </c>
      <c r="B562" t="s">
        <v>1087</v>
      </c>
      <c r="C562" t="s">
        <v>2322</v>
      </c>
      <c r="D562" t="s">
        <v>31</v>
      </c>
      <c r="E562">
        <v>2</v>
      </c>
      <c r="F562" t="s">
        <v>13</v>
      </c>
      <c r="G562" t="s">
        <v>13</v>
      </c>
    </row>
    <row r="563" spans="1:7" x14ac:dyDescent="0.3">
      <c r="A563" t="s">
        <v>1088</v>
      </c>
      <c r="B563" t="s">
        <v>1089</v>
      </c>
      <c r="C563" t="s">
        <v>2323</v>
      </c>
      <c r="D563" t="s">
        <v>22</v>
      </c>
      <c r="E563">
        <v>5</v>
      </c>
      <c r="F563" t="s">
        <v>13</v>
      </c>
      <c r="G563" t="s">
        <v>10</v>
      </c>
    </row>
    <row r="564" spans="1:7" x14ac:dyDescent="0.3">
      <c r="A564" t="s">
        <v>1090</v>
      </c>
      <c r="B564" t="s">
        <v>1091</v>
      </c>
      <c r="C564" t="s">
        <v>2324</v>
      </c>
      <c r="D564" t="s">
        <v>68</v>
      </c>
      <c r="E564">
        <v>2</v>
      </c>
      <c r="F564" t="s">
        <v>10</v>
      </c>
      <c r="G564" t="s">
        <v>10</v>
      </c>
    </row>
    <row r="565" spans="1:7" x14ac:dyDescent="0.3">
      <c r="A565" t="s">
        <v>1092</v>
      </c>
      <c r="B565" t="s">
        <v>1093</v>
      </c>
      <c r="C565" t="s">
        <v>1995</v>
      </c>
      <c r="D565" t="s">
        <v>37</v>
      </c>
      <c r="E565">
        <v>3</v>
      </c>
      <c r="F565" t="s">
        <v>13</v>
      </c>
      <c r="G565" t="s">
        <v>10</v>
      </c>
    </row>
    <row r="566" spans="1:7" x14ac:dyDescent="0.3">
      <c r="A566" t="s">
        <v>1094</v>
      </c>
      <c r="B566" t="s">
        <v>1095</v>
      </c>
      <c r="C566" t="s">
        <v>2325</v>
      </c>
      <c r="D566" t="s">
        <v>25</v>
      </c>
      <c r="E566">
        <v>5</v>
      </c>
      <c r="F566" t="s">
        <v>13</v>
      </c>
      <c r="G566" t="s">
        <v>10</v>
      </c>
    </row>
    <row r="567" spans="1:7" x14ac:dyDescent="0.3">
      <c r="A567" t="s">
        <v>1096</v>
      </c>
      <c r="B567" t="s">
        <v>1097</v>
      </c>
      <c r="C567" t="s">
        <v>2326</v>
      </c>
      <c r="D567" t="s">
        <v>68</v>
      </c>
      <c r="E567">
        <v>1</v>
      </c>
      <c r="F567" t="s">
        <v>10</v>
      </c>
      <c r="G567" t="s">
        <v>13</v>
      </c>
    </row>
    <row r="568" spans="1:7" x14ac:dyDescent="0.3">
      <c r="A568" t="s">
        <v>1098</v>
      </c>
      <c r="B568" t="s">
        <v>1099</v>
      </c>
      <c r="C568" t="s">
        <v>2327</v>
      </c>
      <c r="D568" t="s">
        <v>83</v>
      </c>
      <c r="E568">
        <v>3</v>
      </c>
      <c r="F568" t="s">
        <v>10</v>
      </c>
      <c r="G568" t="s">
        <v>13</v>
      </c>
    </row>
    <row r="569" spans="1:7" x14ac:dyDescent="0.3">
      <c r="A569" t="s">
        <v>1100</v>
      </c>
      <c r="B569" t="s">
        <v>1101</v>
      </c>
      <c r="C569" t="s">
        <v>1937</v>
      </c>
      <c r="D569" t="s">
        <v>68</v>
      </c>
      <c r="E569">
        <v>1</v>
      </c>
      <c r="F569" t="s">
        <v>10</v>
      </c>
      <c r="G569" t="s">
        <v>13</v>
      </c>
    </row>
    <row r="570" spans="1:7" x14ac:dyDescent="0.3">
      <c r="A570" t="s">
        <v>1102</v>
      </c>
      <c r="B570" t="s">
        <v>1103</v>
      </c>
      <c r="C570" t="s">
        <v>2328</v>
      </c>
      <c r="D570" t="s">
        <v>31</v>
      </c>
      <c r="E570">
        <v>3</v>
      </c>
      <c r="F570" t="s">
        <v>10</v>
      </c>
      <c r="G570" t="s">
        <v>10</v>
      </c>
    </row>
    <row r="571" spans="1:7" x14ac:dyDescent="0.3">
      <c r="A571" t="s">
        <v>1104</v>
      </c>
      <c r="B571" t="s">
        <v>1105</v>
      </c>
      <c r="C571" t="s">
        <v>2329</v>
      </c>
      <c r="D571" t="s">
        <v>28</v>
      </c>
      <c r="E571">
        <v>4</v>
      </c>
      <c r="F571" t="s">
        <v>13</v>
      </c>
      <c r="G571" t="s">
        <v>13</v>
      </c>
    </row>
    <row r="572" spans="1:7" x14ac:dyDescent="0.3">
      <c r="A572" t="s">
        <v>1106</v>
      </c>
      <c r="B572" t="s">
        <v>1107</v>
      </c>
      <c r="C572" t="s">
        <v>2330</v>
      </c>
      <c r="D572" t="s">
        <v>22</v>
      </c>
      <c r="E572">
        <v>5</v>
      </c>
      <c r="F572" t="s">
        <v>10</v>
      </c>
      <c r="G572" t="s">
        <v>13</v>
      </c>
    </row>
    <row r="573" spans="1:7" x14ac:dyDescent="0.3">
      <c r="A573" t="s">
        <v>1108</v>
      </c>
      <c r="B573" t="s">
        <v>1109</v>
      </c>
      <c r="C573" t="s">
        <v>2331</v>
      </c>
      <c r="D573" t="s">
        <v>83</v>
      </c>
      <c r="E573">
        <v>2</v>
      </c>
      <c r="F573" t="s">
        <v>10</v>
      </c>
      <c r="G573" t="s">
        <v>13</v>
      </c>
    </row>
    <row r="574" spans="1:7" x14ac:dyDescent="0.3">
      <c r="A574" t="s">
        <v>1110</v>
      </c>
      <c r="B574" t="s">
        <v>1111</v>
      </c>
      <c r="C574" t="s">
        <v>2117</v>
      </c>
      <c r="D574" t="s">
        <v>9</v>
      </c>
      <c r="E574">
        <v>1</v>
      </c>
      <c r="F574" t="s">
        <v>13</v>
      </c>
      <c r="G574" t="s">
        <v>10</v>
      </c>
    </row>
    <row r="575" spans="1:7" x14ac:dyDescent="0.3">
      <c r="A575" t="s">
        <v>1112</v>
      </c>
      <c r="B575" t="s">
        <v>417</v>
      </c>
      <c r="C575" t="s">
        <v>2332</v>
      </c>
      <c r="D575" t="s">
        <v>37</v>
      </c>
      <c r="E575">
        <v>3</v>
      </c>
      <c r="F575" t="s">
        <v>13</v>
      </c>
      <c r="G575" t="s">
        <v>10</v>
      </c>
    </row>
    <row r="576" spans="1:7" x14ac:dyDescent="0.3">
      <c r="A576" t="s">
        <v>1113</v>
      </c>
      <c r="B576" t="s">
        <v>1114</v>
      </c>
      <c r="C576" t="s">
        <v>2333</v>
      </c>
      <c r="D576" t="s">
        <v>83</v>
      </c>
      <c r="E576">
        <v>3</v>
      </c>
      <c r="F576" t="s">
        <v>10</v>
      </c>
      <c r="G576" t="s">
        <v>10</v>
      </c>
    </row>
    <row r="577" spans="1:7" x14ac:dyDescent="0.3">
      <c r="A577" t="s">
        <v>1115</v>
      </c>
      <c r="B577" t="s">
        <v>1116</v>
      </c>
      <c r="C577" t="s">
        <v>2334</v>
      </c>
      <c r="D577" t="s">
        <v>37</v>
      </c>
      <c r="E577">
        <v>5</v>
      </c>
      <c r="F577" t="s">
        <v>10</v>
      </c>
      <c r="G577" t="s">
        <v>10</v>
      </c>
    </row>
    <row r="578" spans="1:7" x14ac:dyDescent="0.3">
      <c r="A578" t="s">
        <v>1117</v>
      </c>
      <c r="B578" t="s">
        <v>1118</v>
      </c>
      <c r="C578" t="s">
        <v>2335</v>
      </c>
      <c r="D578" t="s">
        <v>37</v>
      </c>
      <c r="E578">
        <v>3</v>
      </c>
      <c r="F578" t="s">
        <v>13</v>
      </c>
      <c r="G578" t="s">
        <v>13</v>
      </c>
    </row>
    <row r="579" spans="1:7" x14ac:dyDescent="0.3">
      <c r="A579" t="s">
        <v>1119</v>
      </c>
      <c r="B579" t="s">
        <v>1120</v>
      </c>
      <c r="C579" t="s">
        <v>2336</v>
      </c>
      <c r="D579" t="s">
        <v>25</v>
      </c>
      <c r="E579">
        <v>4</v>
      </c>
      <c r="F579" t="s">
        <v>10</v>
      </c>
      <c r="G579" t="s">
        <v>10</v>
      </c>
    </row>
    <row r="580" spans="1:7" x14ac:dyDescent="0.3">
      <c r="A580" t="s">
        <v>1121</v>
      </c>
      <c r="B580" t="s">
        <v>1122</v>
      </c>
      <c r="C580" t="s">
        <v>2337</v>
      </c>
      <c r="D580" t="s">
        <v>31</v>
      </c>
      <c r="E580">
        <v>3</v>
      </c>
      <c r="F580" t="s">
        <v>13</v>
      </c>
      <c r="G580" t="s">
        <v>13</v>
      </c>
    </row>
    <row r="581" spans="1:7" x14ac:dyDescent="0.3">
      <c r="A581" t="s">
        <v>1123</v>
      </c>
      <c r="B581" t="s">
        <v>1124</v>
      </c>
      <c r="C581" t="s">
        <v>2338</v>
      </c>
      <c r="D581" t="s">
        <v>9</v>
      </c>
      <c r="E581">
        <v>2</v>
      </c>
      <c r="F581" t="s">
        <v>13</v>
      </c>
      <c r="G581" t="s">
        <v>10</v>
      </c>
    </row>
    <row r="582" spans="1:7" x14ac:dyDescent="0.3">
      <c r="A582" t="s">
        <v>1125</v>
      </c>
      <c r="B582" t="s">
        <v>1126</v>
      </c>
      <c r="C582" t="s">
        <v>2339</v>
      </c>
      <c r="D582" t="s">
        <v>37</v>
      </c>
      <c r="E582">
        <v>4</v>
      </c>
      <c r="F582" t="s">
        <v>13</v>
      </c>
      <c r="G582" t="s">
        <v>10</v>
      </c>
    </row>
    <row r="583" spans="1:7" x14ac:dyDescent="0.3">
      <c r="A583" t="s">
        <v>1127</v>
      </c>
      <c r="B583" t="s">
        <v>1128</v>
      </c>
      <c r="C583" t="s">
        <v>2239</v>
      </c>
      <c r="D583" t="s">
        <v>25</v>
      </c>
      <c r="E583">
        <v>5</v>
      </c>
      <c r="F583" t="s">
        <v>13</v>
      </c>
      <c r="G583" t="s">
        <v>13</v>
      </c>
    </row>
    <row r="584" spans="1:7" x14ac:dyDescent="0.3">
      <c r="A584" t="s">
        <v>1129</v>
      </c>
      <c r="B584" t="s">
        <v>1130</v>
      </c>
      <c r="C584" t="s">
        <v>2340</v>
      </c>
      <c r="D584" t="s">
        <v>19</v>
      </c>
      <c r="E584">
        <v>2</v>
      </c>
      <c r="F584" t="s">
        <v>13</v>
      </c>
      <c r="G584" t="s">
        <v>13</v>
      </c>
    </row>
    <row r="585" spans="1:7" x14ac:dyDescent="0.3">
      <c r="A585" t="s">
        <v>1131</v>
      </c>
      <c r="B585" t="s">
        <v>1132</v>
      </c>
      <c r="C585" t="s">
        <v>2341</v>
      </c>
      <c r="D585" t="s">
        <v>83</v>
      </c>
      <c r="E585">
        <v>3</v>
      </c>
      <c r="F585" t="s">
        <v>13</v>
      </c>
      <c r="G585" t="s">
        <v>13</v>
      </c>
    </row>
    <row r="586" spans="1:7" x14ac:dyDescent="0.3">
      <c r="A586" t="s">
        <v>1133</v>
      </c>
      <c r="B586" t="s">
        <v>1134</v>
      </c>
      <c r="C586" t="s">
        <v>2115</v>
      </c>
      <c r="D586" t="s">
        <v>31</v>
      </c>
      <c r="E586">
        <v>1</v>
      </c>
      <c r="F586" t="s">
        <v>13</v>
      </c>
      <c r="G586" t="s">
        <v>13</v>
      </c>
    </row>
    <row r="587" spans="1:7" x14ac:dyDescent="0.3">
      <c r="A587" t="s">
        <v>1135</v>
      </c>
      <c r="B587" t="s">
        <v>898</v>
      </c>
      <c r="C587" t="s">
        <v>2073</v>
      </c>
      <c r="D587" t="s">
        <v>37</v>
      </c>
      <c r="E587">
        <v>5</v>
      </c>
      <c r="F587" t="s">
        <v>13</v>
      </c>
      <c r="G587" t="s">
        <v>13</v>
      </c>
    </row>
    <row r="588" spans="1:7" x14ac:dyDescent="0.3">
      <c r="A588" t="s">
        <v>1136</v>
      </c>
      <c r="B588" t="s">
        <v>1137</v>
      </c>
      <c r="C588" t="s">
        <v>2342</v>
      </c>
      <c r="D588" t="s">
        <v>9</v>
      </c>
      <c r="E588">
        <v>3</v>
      </c>
      <c r="F588" t="s">
        <v>13</v>
      </c>
      <c r="G588" t="s">
        <v>10</v>
      </c>
    </row>
    <row r="589" spans="1:7" x14ac:dyDescent="0.3">
      <c r="A589" t="s">
        <v>1138</v>
      </c>
      <c r="B589" t="s">
        <v>987</v>
      </c>
      <c r="C589" t="s">
        <v>2066</v>
      </c>
      <c r="D589" t="s">
        <v>9</v>
      </c>
      <c r="E589">
        <v>3</v>
      </c>
      <c r="F589" t="s">
        <v>13</v>
      </c>
      <c r="G589" t="s">
        <v>10</v>
      </c>
    </row>
    <row r="590" spans="1:7" x14ac:dyDescent="0.3">
      <c r="A590" t="s">
        <v>1139</v>
      </c>
      <c r="B590" t="s">
        <v>1140</v>
      </c>
      <c r="C590" t="s">
        <v>2343</v>
      </c>
      <c r="D590" t="s">
        <v>9</v>
      </c>
      <c r="E590">
        <v>1</v>
      </c>
      <c r="F590" t="s">
        <v>13</v>
      </c>
      <c r="G590" t="s">
        <v>10</v>
      </c>
    </row>
    <row r="591" spans="1:7" x14ac:dyDescent="0.3">
      <c r="A591" t="s">
        <v>1141</v>
      </c>
      <c r="B591" t="s">
        <v>1142</v>
      </c>
      <c r="C591" t="s">
        <v>2344</v>
      </c>
      <c r="D591" t="s">
        <v>37</v>
      </c>
      <c r="E591">
        <v>3</v>
      </c>
      <c r="F591" t="s">
        <v>13</v>
      </c>
      <c r="G591" t="s">
        <v>13</v>
      </c>
    </row>
    <row r="592" spans="1:7" x14ac:dyDescent="0.3">
      <c r="A592" t="s">
        <v>1143</v>
      </c>
      <c r="B592" t="s">
        <v>1083</v>
      </c>
      <c r="C592" t="s">
        <v>2200</v>
      </c>
      <c r="D592" t="s">
        <v>16</v>
      </c>
      <c r="E592">
        <v>4</v>
      </c>
      <c r="F592" t="s">
        <v>10</v>
      </c>
      <c r="G592" t="s">
        <v>13</v>
      </c>
    </row>
    <row r="593" spans="1:7" x14ac:dyDescent="0.3">
      <c r="A593" t="s">
        <v>1144</v>
      </c>
      <c r="B593" t="s">
        <v>1145</v>
      </c>
      <c r="C593" t="s">
        <v>2345</v>
      </c>
      <c r="D593" t="s">
        <v>68</v>
      </c>
      <c r="E593">
        <v>2</v>
      </c>
      <c r="F593" t="s">
        <v>13</v>
      </c>
      <c r="G593" t="s">
        <v>10</v>
      </c>
    </row>
    <row r="594" spans="1:7" x14ac:dyDescent="0.3">
      <c r="A594" t="s">
        <v>1146</v>
      </c>
      <c r="B594" t="s">
        <v>107</v>
      </c>
      <c r="C594" t="s">
        <v>2346</v>
      </c>
      <c r="D594" t="s">
        <v>19</v>
      </c>
      <c r="E594">
        <v>2</v>
      </c>
      <c r="F594" t="s">
        <v>13</v>
      </c>
      <c r="G594" t="s">
        <v>13</v>
      </c>
    </row>
    <row r="595" spans="1:7" x14ac:dyDescent="0.3">
      <c r="A595" t="s">
        <v>1147</v>
      </c>
      <c r="B595" t="s">
        <v>1148</v>
      </c>
      <c r="C595" t="s">
        <v>2207</v>
      </c>
      <c r="D595" t="s">
        <v>37</v>
      </c>
      <c r="E595">
        <v>4</v>
      </c>
      <c r="F595" t="s">
        <v>13</v>
      </c>
      <c r="G595" t="s">
        <v>10</v>
      </c>
    </row>
    <row r="596" spans="1:7" x14ac:dyDescent="0.3">
      <c r="A596" t="s">
        <v>1149</v>
      </c>
      <c r="B596" t="s">
        <v>571</v>
      </c>
      <c r="C596" t="s">
        <v>2347</v>
      </c>
      <c r="D596" t="s">
        <v>19</v>
      </c>
      <c r="E596">
        <v>3</v>
      </c>
      <c r="F596" t="s">
        <v>10</v>
      </c>
      <c r="G596" t="s">
        <v>10</v>
      </c>
    </row>
    <row r="597" spans="1:7" x14ac:dyDescent="0.3">
      <c r="A597" t="s">
        <v>1150</v>
      </c>
      <c r="B597" t="s">
        <v>1151</v>
      </c>
      <c r="C597" t="s">
        <v>2348</v>
      </c>
      <c r="D597" t="s">
        <v>31</v>
      </c>
      <c r="E597">
        <v>1</v>
      </c>
      <c r="F597" t="s">
        <v>13</v>
      </c>
      <c r="G597" t="s">
        <v>10</v>
      </c>
    </row>
    <row r="598" spans="1:7" x14ac:dyDescent="0.3">
      <c r="A598" t="s">
        <v>1152</v>
      </c>
      <c r="B598" t="s">
        <v>1153</v>
      </c>
      <c r="C598" t="s">
        <v>2349</v>
      </c>
      <c r="D598" t="s">
        <v>25</v>
      </c>
      <c r="E598">
        <v>4</v>
      </c>
      <c r="F598" t="s">
        <v>10</v>
      </c>
      <c r="G598" t="s">
        <v>13</v>
      </c>
    </row>
    <row r="599" spans="1:7" x14ac:dyDescent="0.3">
      <c r="A599" t="s">
        <v>1154</v>
      </c>
      <c r="B599" t="s">
        <v>654</v>
      </c>
      <c r="C599" t="s">
        <v>2350</v>
      </c>
      <c r="D599" t="s">
        <v>68</v>
      </c>
      <c r="E599">
        <v>2</v>
      </c>
      <c r="F599" t="s">
        <v>13</v>
      </c>
      <c r="G599" t="s">
        <v>10</v>
      </c>
    </row>
    <row r="600" spans="1:7" x14ac:dyDescent="0.3">
      <c r="A600" t="s">
        <v>1155</v>
      </c>
      <c r="B600" t="s">
        <v>687</v>
      </c>
      <c r="C600" t="s">
        <v>2351</v>
      </c>
      <c r="D600" t="s">
        <v>22</v>
      </c>
      <c r="E600">
        <v>4</v>
      </c>
      <c r="F600" t="s">
        <v>13</v>
      </c>
      <c r="G600" t="s">
        <v>13</v>
      </c>
    </row>
    <row r="601" spans="1:7" x14ac:dyDescent="0.3">
      <c r="A601" t="s">
        <v>1156</v>
      </c>
      <c r="B601" t="s">
        <v>1157</v>
      </c>
      <c r="C601" t="s">
        <v>2352</v>
      </c>
      <c r="D601" t="s">
        <v>68</v>
      </c>
      <c r="E601">
        <v>2</v>
      </c>
      <c r="F601" t="s">
        <v>10</v>
      </c>
      <c r="G601" t="s">
        <v>13</v>
      </c>
    </row>
    <row r="602" spans="1:7" x14ac:dyDescent="0.3">
      <c r="A602" t="s">
        <v>1158</v>
      </c>
      <c r="B602" t="s">
        <v>1159</v>
      </c>
      <c r="C602" t="s">
        <v>2197</v>
      </c>
      <c r="D602" t="s">
        <v>28</v>
      </c>
      <c r="E602">
        <v>4</v>
      </c>
      <c r="F602" t="s">
        <v>10</v>
      </c>
      <c r="G602" t="s">
        <v>10</v>
      </c>
    </row>
    <row r="603" spans="1:7" x14ac:dyDescent="0.3">
      <c r="A603" t="s">
        <v>1160</v>
      </c>
      <c r="B603" t="s">
        <v>1161</v>
      </c>
      <c r="C603" t="s">
        <v>2353</v>
      </c>
      <c r="D603" t="s">
        <v>28</v>
      </c>
      <c r="E603">
        <v>5</v>
      </c>
      <c r="F603" t="s">
        <v>13</v>
      </c>
      <c r="G603" t="s">
        <v>13</v>
      </c>
    </row>
    <row r="604" spans="1:7" x14ac:dyDescent="0.3">
      <c r="A604" t="s">
        <v>1162</v>
      </c>
      <c r="B604" t="s">
        <v>1163</v>
      </c>
      <c r="C604" t="s">
        <v>2308</v>
      </c>
      <c r="D604" t="s">
        <v>28</v>
      </c>
      <c r="E604">
        <v>5</v>
      </c>
      <c r="F604" t="s">
        <v>10</v>
      </c>
      <c r="G604" t="s">
        <v>10</v>
      </c>
    </row>
    <row r="605" spans="1:7" x14ac:dyDescent="0.3">
      <c r="A605" t="s">
        <v>1164</v>
      </c>
      <c r="B605" t="s">
        <v>1165</v>
      </c>
      <c r="C605" t="s">
        <v>2354</v>
      </c>
      <c r="D605" t="s">
        <v>83</v>
      </c>
      <c r="E605">
        <v>1</v>
      </c>
      <c r="F605" t="s">
        <v>10</v>
      </c>
      <c r="G605" t="s">
        <v>10</v>
      </c>
    </row>
    <row r="606" spans="1:7" x14ac:dyDescent="0.3">
      <c r="A606" t="s">
        <v>1166</v>
      </c>
      <c r="B606" t="s">
        <v>1167</v>
      </c>
      <c r="C606" t="s">
        <v>2355</v>
      </c>
      <c r="D606" t="s">
        <v>25</v>
      </c>
      <c r="E606">
        <v>5</v>
      </c>
      <c r="F606" t="s">
        <v>13</v>
      </c>
      <c r="G606" t="s">
        <v>13</v>
      </c>
    </row>
    <row r="607" spans="1:7" x14ac:dyDescent="0.3">
      <c r="A607" t="s">
        <v>1168</v>
      </c>
      <c r="B607" t="s">
        <v>1169</v>
      </c>
      <c r="C607" t="s">
        <v>2356</v>
      </c>
      <c r="D607" t="s">
        <v>9</v>
      </c>
      <c r="E607">
        <v>3</v>
      </c>
      <c r="F607" t="s">
        <v>10</v>
      </c>
      <c r="G607" t="s">
        <v>13</v>
      </c>
    </row>
    <row r="608" spans="1:7" x14ac:dyDescent="0.3">
      <c r="A608" t="s">
        <v>1170</v>
      </c>
      <c r="B608" t="s">
        <v>1171</v>
      </c>
      <c r="C608" t="s">
        <v>2357</v>
      </c>
      <c r="D608" t="s">
        <v>83</v>
      </c>
      <c r="E608">
        <v>3</v>
      </c>
      <c r="F608" t="s">
        <v>10</v>
      </c>
      <c r="G608" t="s">
        <v>13</v>
      </c>
    </row>
    <row r="609" spans="1:7" x14ac:dyDescent="0.3">
      <c r="A609" t="s">
        <v>1172</v>
      </c>
      <c r="B609" t="s">
        <v>1173</v>
      </c>
      <c r="C609" t="s">
        <v>2358</v>
      </c>
      <c r="D609" t="s">
        <v>22</v>
      </c>
      <c r="E609">
        <v>4</v>
      </c>
      <c r="F609" t="s">
        <v>10</v>
      </c>
      <c r="G609" t="s">
        <v>13</v>
      </c>
    </row>
    <row r="610" spans="1:7" x14ac:dyDescent="0.3">
      <c r="A610" t="s">
        <v>1174</v>
      </c>
      <c r="B610" t="s">
        <v>1175</v>
      </c>
      <c r="C610" t="s">
        <v>2011</v>
      </c>
      <c r="D610" t="s">
        <v>28</v>
      </c>
      <c r="E610">
        <v>4</v>
      </c>
      <c r="F610" t="s">
        <v>10</v>
      </c>
      <c r="G610" t="s">
        <v>13</v>
      </c>
    </row>
    <row r="611" spans="1:7" x14ac:dyDescent="0.3">
      <c r="A611" t="s">
        <v>1176</v>
      </c>
      <c r="B611" t="s">
        <v>1177</v>
      </c>
      <c r="C611" t="s">
        <v>2359</v>
      </c>
      <c r="D611" t="s">
        <v>37</v>
      </c>
      <c r="E611">
        <v>3</v>
      </c>
      <c r="F611" t="s">
        <v>13</v>
      </c>
      <c r="G611" t="s">
        <v>13</v>
      </c>
    </row>
    <row r="612" spans="1:7" x14ac:dyDescent="0.3">
      <c r="A612" t="s">
        <v>1178</v>
      </c>
      <c r="B612" t="s">
        <v>1179</v>
      </c>
      <c r="C612" t="s">
        <v>2360</v>
      </c>
      <c r="D612" t="s">
        <v>37</v>
      </c>
      <c r="E612">
        <v>3</v>
      </c>
      <c r="F612" t="s">
        <v>10</v>
      </c>
      <c r="G612" t="s">
        <v>13</v>
      </c>
    </row>
    <row r="613" spans="1:7" x14ac:dyDescent="0.3">
      <c r="A613" t="s">
        <v>1180</v>
      </c>
      <c r="B613" t="s">
        <v>364</v>
      </c>
      <c r="C613" t="s">
        <v>2361</v>
      </c>
      <c r="D613" t="s">
        <v>68</v>
      </c>
      <c r="E613">
        <v>1</v>
      </c>
      <c r="F613" t="s">
        <v>10</v>
      </c>
      <c r="G613" t="s">
        <v>13</v>
      </c>
    </row>
    <row r="614" spans="1:7" x14ac:dyDescent="0.3">
      <c r="A614" t="s">
        <v>1181</v>
      </c>
      <c r="B614" t="s">
        <v>59</v>
      </c>
      <c r="C614" t="s">
        <v>2362</v>
      </c>
      <c r="D614" t="s">
        <v>37</v>
      </c>
      <c r="E614">
        <v>4</v>
      </c>
      <c r="F614" t="s">
        <v>13</v>
      </c>
      <c r="G614" t="s">
        <v>10</v>
      </c>
    </row>
    <row r="615" spans="1:7" x14ac:dyDescent="0.3">
      <c r="A615" t="s">
        <v>1182</v>
      </c>
      <c r="B615" t="s">
        <v>1183</v>
      </c>
      <c r="C615" t="s">
        <v>2363</v>
      </c>
      <c r="D615" t="s">
        <v>19</v>
      </c>
      <c r="E615">
        <v>3</v>
      </c>
      <c r="F615" t="s">
        <v>10</v>
      </c>
      <c r="G615" t="s">
        <v>13</v>
      </c>
    </row>
    <row r="616" spans="1:7" x14ac:dyDescent="0.3">
      <c r="A616" t="s">
        <v>1184</v>
      </c>
      <c r="B616" t="s">
        <v>1185</v>
      </c>
      <c r="C616" t="s">
        <v>2364</v>
      </c>
      <c r="D616" t="s">
        <v>28</v>
      </c>
      <c r="E616">
        <v>4</v>
      </c>
      <c r="F616" t="s">
        <v>10</v>
      </c>
      <c r="G616" t="s">
        <v>10</v>
      </c>
    </row>
    <row r="617" spans="1:7" x14ac:dyDescent="0.3">
      <c r="A617" t="s">
        <v>1186</v>
      </c>
      <c r="B617" t="s">
        <v>850</v>
      </c>
      <c r="C617" t="s">
        <v>2023</v>
      </c>
      <c r="D617" t="s">
        <v>25</v>
      </c>
      <c r="E617">
        <v>5</v>
      </c>
      <c r="F617" t="s">
        <v>10</v>
      </c>
      <c r="G617" t="s">
        <v>13</v>
      </c>
    </row>
    <row r="618" spans="1:7" x14ac:dyDescent="0.3">
      <c r="A618" t="s">
        <v>1187</v>
      </c>
      <c r="B618" t="s">
        <v>1188</v>
      </c>
      <c r="C618" t="s">
        <v>1974</v>
      </c>
      <c r="D618" t="s">
        <v>25</v>
      </c>
      <c r="E618">
        <v>5</v>
      </c>
      <c r="F618" t="s">
        <v>13</v>
      </c>
      <c r="G618" t="s">
        <v>13</v>
      </c>
    </row>
    <row r="619" spans="1:7" x14ac:dyDescent="0.3">
      <c r="A619" t="s">
        <v>1189</v>
      </c>
      <c r="B619" t="s">
        <v>1190</v>
      </c>
      <c r="C619" t="s">
        <v>2365</v>
      </c>
      <c r="D619" t="s">
        <v>37</v>
      </c>
      <c r="E619">
        <v>4</v>
      </c>
      <c r="F619" t="s">
        <v>10</v>
      </c>
      <c r="G619" t="s">
        <v>10</v>
      </c>
    </row>
    <row r="620" spans="1:7" x14ac:dyDescent="0.3">
      <c r="A620" t="s">
        <v>1191</v>
      </c>
      <c r="B620" t="s">
        <v>867</v>
      </c>
      <c r="C620" t="s">
        <v>2366</v>
      </c>
      <c r="D620" t="s">
        <v>9</v>
      </c>
      <c r="E620">
        <v>2</v>
      </c>
      <c r="F620" t="s">
        <v>13</v>
      </c>
      <c r="G620" t="s">
        <v>10</v>
      </c>
    </row>
    <row r="621" spans="1:7" x14ac:dyDescent="0.3">
      <c r="A621" t="s">
        <v>1192</v>
      </c>
      <c r="B621" t="s">
        <v>1193</v>
      </c>
      <c r="C621" t="s">
        <v>2367</v>
      </c>
      <c r="D621" t="s">
        <v>16</v>
      </c>
      <c r="E621">
        <v>5</v>
      </c>
      <c r="F621" t="s">
        <v>10</v>
      </c>
      <c r="G621" t="s">
        <v>10</v>
      </c>
    </row>
    <row r="622" spans="1:7" x14ac:dyDescent="0.3">
      <c r="A622" t="s">
        <v>1194</v>
      </c>
      <c r="B622" t="s">
        <v>1195</v>
      </c>
      <c r="C622" t="s">
        <v>2368</v>
      </c>
      <c r="D622" t="s">
        <v>68</v>
      </c>
      <c r="E622">
        <v>2</v>
      </c>
      <c r="F622" t="s">
        <v>13</v>
      </c>
      <c r="G622" t="s">
        <v>10</v>
      </c>
    </row>
    <row r="623" spans="1:7" x14ac:dyDescent="0.3">
      <c r="A623" t="s">
        <v>1196</v>
      </c>
      <c r="B623" t="s">
        <v>1197</v>
      </c>
      <c r="C623" t="s">
        <v>2369</v>
      </c>
      <c r="D623" t="s">
        <v>9</v>
      </c>
      <c r="E623">
        <v>2</v>
      </c>
      <c r="F623" t="s">
        <v>10</v>
      </c>
      <c r="G623" t="s">
        <v>13</v>
      </c>
    </row>
    <row r="624" spans="1:7" x14ac:dyDescent="0.3">
      <c r="A624" t="s">
        <v>1198</v>
      </c>
      <c r="B624" t="s">
        <v>1199</v>
      </c>
      <c r="C624" t="s">
        <v>1992</v>
      </c>
      <c r="D624" t="s">
        <v>28</v>
      </c>
      <c r="E624">
        <v>4</v>
      </c>
      <c r="F624" t="s">
        <v>10</v>
      </c>
      <c r="G624" t="s">
        <v>13</v>
      </c>
    </row>
    <row r="625" spans="1:7" x14ac:dyDescent="0.3">
      <c r="A625" t="s">
        <v>1200</v>
      </c>
      <c r="B625" t="s">
        <v>1201</v>
      </c>
      <c r="C625" t="s">
        <v>2346</v>
      </c>
      <c r="D625" t="s">
        <v>83</v>
      </c>
      <c r="E625">
        <v>1</v>
      </c>
      <c r="F625" t="s">
        <v>10</v>
      </c>
      <c r="G625" t="s">
        <v>13</v>
      </c>
    </row>
    <row r="626" spans="1:7" x14ac:dyDescent="0.3">
      <c r="A626" t="s">
        <v>1202</v>
      </c>
      <c r="B626" t="s">
        <v>1203</v>
      </c>
      <c r="C626" t="s">
        <v>2370</v>
      </c>
      <c r="D626" t="s">
        <v>25</v>
      </c>
      <c r="E626">
        <v>5</v>
      </c>
      <c r="F626" t="s">
        <v>10</v>
      </c>
      <c r="G626" t="s">
        <v>10</v>
      </c>
    </row>
    <row r="627" spans="1:7" x14ac:dyDescent="0.3">
      <c r="A627" t="s">
        <v>1204</v>
      </c>
      <c r="B627" t="s">
        <v>304</v>
      </c>
      <c r="C627" t="s">
        <v>2371</v>
      </c>
      <c r="D627" t="s">
        <v>28</v>
      </c>
      <c r="E627">
        <v>5</v>
      </c>
      <c r="F627" t="s">
        <v>10</v>
      </c>
      <c r="G627" t="s">
        <v>10</v>
      </c>
    </row>
    <row r="628" spans="1:7" x14ac:dyDescent="0.3">
      <c r="A628" t="s">
        <v>1205</v>
      </c>
      <c r="B628" t="s">
        <v>1206</v>
      </c>
      <c r="C628" t="s">
        <v>2372</v>
      </c>
      <c r="D628" t="s">
        <v>28</v>
      </c>
      <c r="E628">
        <v>4</v>
      </c>
      <c r="F628" t="s">
        <v>10</v>
      </c>
      <c r="G628" t="s">
        <v>10</v>
      </c>
    </row>
    <row r="629" spans="1:7" x14ac:dyDescent="0.3">
      <c r="A629" t="s">
        <v>1207</v>
      </c>
      <c r="B629" t="s">
        <v>1208</v>
      </c>
      <c r="C629" t="s">
        <v>2373</v>
      </c>
      <c r="D629" t="s">
        <v>16</v>
      </c>
      <c r="E629">
        <v>4</v>
      </c>
      <c r="F629" t="s">
        <v>13</v>
      </c>
      <c r="G629" t="s">
        <v>13</v>
      </c>
    </row>
    <row r="630" spans="1:7" x14ac:dyDescent="0.3">
      <c r="A630" t="s">
        <v>1209</v>
      </c>
      <c r="B630" t="s">
        <v>812</v>
      </c>
      <c r="C630" t="s">
        <v>2374</v>
      </c>
      <c r="D630" t="s">
        <v>28</v>
      </c>
      <c r="E630">
        <v>4</v>
      </c>
      <c r="F630" t="s">
        <v>10</v>
      </c>
      <c r="G630" t="s">
        <v>13</v>
      </c>
    </row>
    <row r="631" spans="1:7" x14ac:dyDescent="0.3">
      <c r="A631" t="s">
        <v>1210</v>
      </c>
      <c r="B631" t="s">
        <v>635</v>
      </c>
      <c r="C631" t="s">
        <v>2375</v>
      </c>
      <c r="D631" t="s">
        <v>68</v>
      </c>
      <c r="E631">
        <v>1</v>
      </c>
      <c r="F631" t="s">
        <v>10</v>
      </c>
      <c r="G631" t="s">
        <v>10</v>
      </c>
    </row>
    <row r="632" spans="1:7" x14ac:dyDescent="0.3">
      <c r="A632" t="s">
        <v>1211</v>
      </c>
      <c r="B632" t="s">
        <v>1212</v>
      </c>
      <c r="C632" t="s">
        <v>2117</v>
      </c>
      <c r="D632" t="s">
        <v>22</v>
      </c>
      <c r="E632">
        <v>5</v>
      </c>
      <c r="F632" t="s">
        <v>13</v>
      </c>
      <c r="G632" t="s">
        <v>10</v>
      </c>
    </row>
    <row r="633" spans="1:7" x14ac:dyDescent="0.3">
      <c r="A633" t="s">
        <v>1213</v>
      </c>
      <c r="B633" t="s">
        <v>1214</v>
      </c>
      <c r="C633" t="s">
        <v>2142</v>
      </c>
      <c r="D633" t="s">
        <v>31</v>
      </c>
      <c r="E633">
        <v>3</v>
      </c>
      <c r="F633" t="s">
        <v>10</v>
      </c>
      <c r="G633" t="s">
        <v>13</v>
      </c>
    </row>
    <row r="634" spans="1:7" x14ac:dyDescent="0.3">
      <c r="A634" t="s">
        <v>1215</v>
      </c>
      <c r="B634" t="s">
        <v>691</v>
      </c>
      <c r="C634" t="s">
        <v>1865</v>
      </c>
      <c r="D634" t="s">
        <v>37</v>
      </c>
      <c r="E634">
        <v>3</v>
      </c>
      <c r="F634" t="s">
        <v>13</v>
      </c>
      <c r="G634" t="s">
        <v>10</v>
      </c>
    </row>
    <row r="635" spans="1:7" x14ac:dyDescent="0.3">
      <c r="A635" t="s">
        <v>1216</v>
      </c>
      <c r="B635" t="s">
        <v>1217</v>
      </c>
      <c r="C635" t="s">
        <v>2376</v>
      </c>
      <c r="D635" t="s">
        <v>83</v>
      </c>
      <c r="E635">
        <v>3</v>
      </c>
      <c r="F635" t="s">
        <v>13</v>
      </c>
      <c r="G635" t="s">
        <v>10</v>
      </c>
    </row>
    <row r="636" spans="1:7" x14ac:dyDescent="0.3">
      <c r="A636" t="s">
        <v>1218</v>
      </c>
      <c r="B636" t="s">
        <v>1219</v>
      </c>
      <c r="C636" t="s">
        <v>2377</v>
      </c>
      <c r="D636" t="s">
        <v>16</v>
      </c>
      <c r="E636">
        <v>5</v>
      </c>
      <c r="F636" t="s">
        <v>10</v>
      </c>
      <c r="G636" t="s">
        <v>13</v>
      </c>
    </row>
    <row r="637" spans="1:7" x14ac:dyDescent="0.3">
      <c r="A637" t="s">
        <v>1220</v>
      </c>
      <c r="B637" t="s">
        <v>1221</v>
      </c>
      <c r="C637" t="s">
        <v>2378</v>
      </c>
      <c r="D637" t="s">
        <v>37</v>
      </c>
      <c r="E637">
        <v>3</v>
      </c>
      <c r="F637" t="s">
        <v>10</v>
      </c>
      <c r="G637" t="s">
        <v>10</v>
      </c>
    </row>
    <row r="638" spans="1:7" x14ac:dyDescent="0.3">
      <c r="A638" t="s">
        <v>1222</v>
      </c>
      <c r="B638" t="s">
        <v>1223</v>
      </c>
      <c r="C638" t="s">
        <v>2292</v>
      </c>
      <c r="D638" t="s">
        <v>83</v>
      </c>
      <c r="E638">
        <v>1</v>
      </c>
      <c r="F638" t="s">
        <v>10</v>
      </c>
      <c r="G638" t="s">
        <v>10</v>
      </c>
    </row>
    <row r="639" spans="1:7" x14ac:dyDescent="0.3">
      <c r="A639" t="s">
        <v>1224</v>
      </c>
      <c r="B639" t="s">
        <v>1225</v>
      </c>
      <c r="C639" t="s">
        <v>1893</v>
      </c>
      <c r="D639" t="s">
        <v>9</v>
      </c>
      <c r="E639">
        <v>3</v>
      </c>
      <c r="F639" t="s">
        <v>13</v>
      </c>
      <c r="G639" t="s">
        <v>13</v>
      </c>
    </row>
    <row r="640" spans="1:7" x14ac:dyDescent="0.3">
      <c r="A640" t="s">
        <v>1226</v>
      </c>
      <c r="B640" t="s">
        <v>76</v>
      </c>
      <c r="C640" t="s">
        <v>2379</v>
      </c>
      <c r="D640" t="s">
        <v>16</v>
      </c>
      <c r="E640">
        <v>4</v>
      </c>
      <c r="F640" t="s">
        <v>13</v>
      </c>
      <c r="G640" t="s">
        <v>10</v>
      </c>
    </row>
    <row r="641" spans="1:7" x14ac:dyDescent="0.3">
      <c r="A641" t="s">
        <v>1227</v>
      </c>
      <c r="B641" t="s">
        <v>805</v>
      </c>
      <c r="C641" t="s">
        <v>2380</v>
      </c>
      <c r="D641" t="s">
        <v>31</v>
      </c>
      <c r="E641">
        <v>2</v>
      </c>
      <c r="F641" t="s">
        <v>13</v>
      </c>
      <c r="G641" t="s">
        <v>10</v>
      </c>
    </row>
    <row r="642" spans="1:7" x14ac:dyDescent="0.3">
      <c r="A642" t="s">
        <v>1228</v>
      </c>
      <c r="B642" t="s">
        <v>1229</v>
      </c>
      <c r="C642" t="s">
        <v>2017</v>
      </c>
      <c r="D642" t="s">
        <v>31</v>
      </c>
      <c r="E642">
        <v>3</v>
      </c>
      <c r="F642" t="s">
        <v>13</v>
      </c>
      <c r="G642" t="s">
        <v>13</v>
      </c>
    </row>
    <row r="643" spans="1:7" x14ac:dyDescent="0.3">
      <c r="A643" t="s">
        <v>1230</v>
      </c>
      <c r="B643" t="s">
        <v>1231</v>
      </c>
      <c r="C643" t="s">
        <v>1893</v>
      </c>
      <c r="D643" t="s">
        <v>31</v>
      </c>
      <c r="E643">
        <v>1</v>
      </c>
      <c r="F643" t="s">
        <v>13</v>
      </c>
      <c r="G643" t="s">
        <v>10</v>
      </c>
    </row>
    <row r="644" spans="1:7" x14ac:dyDescent="0.3">
      <c r="A644" t="s">
        <v>1232</v>
      </c>
      <c r="B644" t="s">
        <v>1233</v>
      </c>
      <c r="C644" t="s">
        <v>2381</v>
      </c>
      <c r="D644" t="s">
        <v>9</v>
      </c>
      <c r="E644">
        <v>2</v>
      </c>
      <c r="F644" t="s">
        <v>10</v>
      </c>
      <c r="G644" t="s">
        <v>13</v>
      </c>
    </row>
    <row r="645" spans="1:7" x14ac:dyDescent="0.3">
      <c r="A645" t="s">
        <v>1234</v>
      </c>
      <c r="B645" t="s">
        <v>1235</v>
      </c>
      <c r="C645" t="s">
        <v>2382</v>
      </c>
      <c r="D645" t="s">
        <v>25</v>
      </c>
      <c r="E645">
        <v>4</v>
      </c>
      <c r="F645" t="s">
        <v>13</v>
      </c>
      <c r="G645" t="s">
        <v>10</v>
      </c>
    </row>
    <row r="646" spans="1:7" x14ac:dyDescent="0.3">
      <c r="A646" t="s">
        <v>1236</v>
      </c>
      <c r="B646" t="s">
        <v>1237</v>
      </c>
      <c r="C646" t="s">
        <v>2383</v>
      </c>
      <c r="D646" t="s">
        <v>16</v>
      </c>
      <c r="E646">
        <v>4</v>
      </c>
      <c r="F646" t="s">
        <v>13</v>
      </c>
      <c r="G646" t="s">
        <v>10</v>
      </c>
    </row>
    <row r="647" spans="1:7" x14ac:dyDescent="0.3">
      <c r="A647" t="s">
        <v>1238</v>
      </c>
      <c r="B647" t="s">
        <v>1239</v>
      </c>
      <c r="C647" t="s">
        <v>2384</v>
      </c>
      <c r="D647" t="s">
        <v>83</v>
      </c>
      <c r="E647">
        <v>3</v>
      </c>
      <c r="F647" t="s">
        <v>13</v>
      </c>
      <c r="G647" t="s">
        <v>13</v>
      </c>
    </row>
    <row r="648" spans="1:7" x14ac:dyDescent="0.3">
      <c r="A648" t="s">
        <v>1240</v>
      </c>
      <c r="B648" t="s">
        <v>1241</v>
      </c>
      <c r="C648" t="s">
        <v>2385</v>
      </c>
      <c r="D648" t="s">
        <v>31</v>
      </c>
      <c r="E648">
        <v>3</v>
      </c>
      <c r="F648" t="s">
        <v>13</v>
      </c>
      <c r="G648" t="s">
        <v>10</v>
      </c>
    </row>
    <row r="649" spans="1:7" x14ac:dyDescent="0.3">
      <c r="A649" t="s">
        <v>1242</v>
      </c>
      <c r="B649" t="s">
        <v>445</v>
      </c>
      <c r="C649" t="s">
        <v>2386</v>
      </c>
      <c r="D649" t="s">
        <v>25</v>
      </c>
      <c r="E649">
        <v>5</v>
      </c>
      <c r="F649" t="s">
        <v>13</v>
      </c>
      <c r="G649" t="s">
        <v>13</v>
      </c>
    </row>
    <row r="650" spans="1:7" x14ac:dyDescent="0.3">
      <c r="A650" t="s">
        <v>1243</v>
      </c>
      <c r="B650" t="s">
        <v>1244</v>
      </c>
      <c r="C650" t="s">
        <v>2376</v>
      </c>
      <c r="D650" t="s">
        <v>83</v>
      </c>
      <c r="E650">
        <v>3</v>
      </c>
      <c r="F650" t="s">
        <v>10</v>
      </c>
      <c r="G650" t="s">
        <v>13</v>
      </c>
    </row>
    <row r="651" spans="1:7" x14ac:dyDescent="0.3">
      <c r="A651" t="s">
        <v>1245</v>
      </c>
      <c r="B651" t="s">
        <v>1246</v>
      </c>
      <c r="C651" t="s">
        <v>2387</v>
      </c>
      <c r="D651" t="s">
        <v>31</v>
      </c>
      <c r="E651">
        <v>1</v>
      </c>
      <c r="F651" t="s">
        <v>10</v>
      </c>
      <c r="G651" t="s">
        <v>13</v>
      </c>
    </row>
    <row r="652" spans="1:7" x14ac:dyDescent="0.3">
      <c r="A652" t="s">
        <v>1247</v>
      </c>
      <c r="B652" t="s">
        <v>1248</v>
      </c>
      <c r="C652" t="s">
        <v>2388</v>
      </c>
      <c r="D652" t="s">
        <v>9</v>
      </c>
      <c r="E652">
        <v>1</v>
      </c>
      <c r="F652" t="s">
        <v>13</v>
      </c>
      <c r="G652" t="s">
        <v>10</v>
      </c>
    </row>
    <row r="653" spans="1:7" x14ac:dyDescent="0.3">
      <c r="A653" t="s">
        <v>1249</v>
      </c>
      <c r="B653" t="s">
        <v>1134</v>
      </c>
      <c r="C653" t="s">
        <v>1900</v>
      </c>
      <c r="D653" t="s">
        <v>83</v>
      </c>
      <c r="E653">
        <v>1</v>
      </c>
      <c r="F653" t="s">
        <v>13</v>
      </c>
      <c r="G653" t="s">
        <v>13</v>
      </c>
    </row>
    <row r="654" spans="1:7" x14ac:dyDescent="0.3">
      <c r="A654" t="s">
        <v>1250</v>
      </c>
      <c r="B654" t="s">
        <v>53</v>
      </c>
      <c r="C654" t="s">
        <v>2389</v>
      </c>
      <c r="D654" t="s">
        <v>19</v>
      </c>
      <c r="E654">
        <v>3</v>
      </c>
      <c r="F654" t="s">
        <v>10</v>
      </c>
      <c r="G654" t="s">
        <v>10</v>
      </c>
    </row>
    <row r="655" spans="1:7" x14ac:dyDescent="0.3">
      <c r="A655" t="s">
        <v>1251</v>
      </c>
      <c r="B655" t="s">
        <v>1252</v>
      </c>
      <c r="C655" t="s">
        <v>2390</v>
      </c>
      <c r="D655" t="s">
        <v>28</v>
      </c>
      <c r="E655">
        <v>5</v>
      </c>
      <c r="F655" t="s">
        <v>13</v>
      </c>
      <c r="G655" t="s">
        <v>10</v>
      </c>
    </row>
    <row r="656" spans="1:7" x14ac:dyDescent="0.3">
      <c r="A656" t="s">
        <v>1253</v>
      </c>
      <c r="B656" t="s">
        <v>1049</v>
      </c>
      <c r="C656" t="s">
        <v>2391</v>
      </c>
      <c r="D656" t="s">
        <v>28</v>
      </c>
      <c r="E656">
        <v>4</v>
      </c>
      <c r="F656" t="s">
        <v>10</v>
      </c>
      <c r="G656" t="s">
        <v>10</v>
      </c>
    </row>
    <row r="657" spans="1:7" x14ac:dyDescent="0.3">
      <c r="A657" t="s">
        <v>1254</v>
      </c>
      <c r="B657" t="s">
        <v>687</v>
      </c>
      <c r="C657" t="s">
        <v>2302</v>
      </c>
      <c r="D657" t="s">
        <v>68</v>
      </c>
      <c r="E657">
        <v>2</v>
      </c>
      <c r="F657" t="s">
        <v>13</v>
      </c>
      <c r="G657" t="s">
        <v>10</v>
      </c>
    </row>
    <row r="658" spans="1:7" x14ac:dyDescent="0.3">
      <c r="A658" t="s">
        <v>1255</v>
      </c>
      <c r="B658" t="s">
        <v>1256</v>
      </c>
      <c r="C658" t="s">
        <v>2392</v>
      </c>
      <c r="D658" t="s">
        <v>16</v>
      </c>
      <c r="E658">
        <v>4</v>
      </c>
      <c r="F658" t="s">
        <v>13</v>
      </c>
      <c r="G658" t="s">
        <v>10</v>
      </c>
    </row>
    <row r="659" spans="1:7" x14ac:dyDescent="0.3">
      <c r="A659" t="s">
        <v>1257</v>
      </c>
      <c r="B659" t="s">
        <v>302</v>
      </c>
      <c r="C659" t="s">
        <v>2393</v>
      </c>
      <c r="D659" t="s">
        <v>37</v>
      </c>
      <c r="E659">
        <v>5</v>
      </c>
      <c r="F659" t="s">
        <v>10</v>
      </c>
      <c r="G659" t="s">
        <v>13</v>
      </c>
    </row>
    <row r="660" spans="1:7" x14ac:dyDescent="0.3">
      <c r="A660" t="s">
        <v>1258</v>
      </c>
      <c r="B660" t="s">
        <v>869</v>
      </c>
      <c r="C660" t="s">
        <v>2394</v>
      </c>
      <c r="D660" t="s">
        <v>25</v>
      </c>
      <c r="E660">
        <v>5</v>
      </c>
      <c r="F660" t="s">
        <v>13</v>
      </c>
      <c r="G660" t="s">
        <v>10</v>
      </c>
    </row>
    <row r="661" spans="1:7" x14ac:dyDescent="0.3">
      <c r="A661" t="s">
        <v>1259</v>
      </c>
      <c r="B661" t="s">
        <v>1260</v>
      </c>
      <c r="C661" t="s">
        <v>2395</v>
      </c>
      <c r="D661" t="s">
        <v>22</v>
      </c>
      <c r="E661">
        <v>4</v>
      </c>
      <c r="F661" t="s">
        <v>13</v>
      </c>
      <c r="G661" t="s">
        <v>13</v>
      </c>
    </row>
    <row r="662" spans="1:7" x14ac:dyDescent="0.3">
      <c r="A662" t="s">
        <v>1261</v>
      </c>
      <c r="B662" t="s">
        <v>1262</v>
      </c>
      <c r="C662" t="s">
        <v>2342</v>
      </c>
      <c r="D662" t="s">
        <v>83</v>
      </c>
      <c r="E662">
        <v>3</v>
      </c>
      <c r="F662" t="s">
        <v>13</v>
      </c>
      <c r="G662" t="s">
        <v>10</v>
      </c>
    </row>
    <row r="663" spans="1:7" x14ac:dyDescent="0.3">
      <c r="A663" t="s">
        <v>1263</v>
      </c>
      <c r="B663" t="s">
        <v>1264</v>
      </c>
      <c r="C663" t="s">
        <v>2015</v>
      </c>
      <c r="D663" t="s">
        <v>83</v>
      </c>
      <c r="E663">
        <v>2</v>
      </c>
      <c r="F663" t="s">
        <v>10</v>
      </c>
      <c r="G663" t="s">
        <v>13</v>
      </c>
    </row>
    <row r="664" spans="1:7" x14ac:dyDescent="0.3">
      <c r="A664" t="s">
        <v>1265</v>
      </c>
      <c r="B664" t="s">
        <v>1266</v>
      </c>
      <c r="C664" t="s">
        <v>2396</v>
      </c>
      <c r="D664" t="s">
        <v>28</v>
      </c>
      <c r="E664">
        <v>4</v>
      </c>
      <c r="F664" t="s">
        <v>13</v>
      </c>
      <c r="G664" t="s">
        <v>10</v>
      </c>
    </row>
    <row r="665" spans="1:7" x14ac:dyDescent="0.3">
      <c r="A665" t="s">
        <v>1267</v>
      </c>
      <c r="B665" t="s">
        <v>232</v>
      </c>
      <c r="C665" t="s">
        <v>2397</v>
      </c>
      <c r="D665" t="s">
        <v>22</v>
      </c>
      <c r="E665">
        <v>4</v>
      </c>
      <c r="F665" t="s">
        <v>13</v>
      </c>
      <c r="G665" t="s">
        <v>13</v>
      </c>
    </row>
    <row r="666" spans="1:7" x14ac:dyDescent="0.3">
      <c r="A666" t="s">
        <v>1268</v>
      </c>
      <c r="B666" t="s">
        <v>1269</v>
      </c>
      <c r="C666" t="s">
        <v>2172</v>
      </c>
      <c r="D666" t="s">
        <v>19</v>
      </c>
      <c r="E666">
        <v>3</v>
      </c>
      <c r="F666" t="s">
        <v>13</v>
      </c>
      <c r="G666" t="s">
        <v>10</v>
      </c>
    </row>
    <row r="667" spans="1:7" x14ac:dyDescent="0.3">
      <c r="A667" t="s">
        <v>1270</v>
      </c>
      <c r="B667" t="s">
        <v>1271</v>
      </c>
      <c r="C667" t="s">
        <v>2398</v>
      </c>
      <c r="D667" t="s">
        <v>31</v>
      </c>
      <c r="E667">
        <v>1</v>
      </c>
      <c r="F667" t="s">
        <v>13</v>
      </c>
      <c r="G667" t="s">
        <v>10</v>
      </c>
    </row>
    <row r="668" spans="1:7" x14ac:dyDescent="0.3">
      <c r="A668" t="s">
        <v>1272</v>
      </c>
      <c r="B668" t="s">
        <v>1273</v>
      </c>
      <c r="C668" t="s">
        <v>2274</v>
      </c>
      <c r="D668" t="s">
        <v>28</v>
      </c>
      <c r="E668">
        <v>4</v>
      </c>
      <c r="F668" t="s">
        <v>13</v>
      </c>
      <c r="G668" t="s">
        <v>13</v>
      </c>
    </row>
    <row r="669" spans="1:7" x14ac:dyDescent="0.3">
      <c r="A669" t="s">
        <v>1274</v>
      </c>
      <c r="B669" t="s">
        <v>1275</v>
      </c>
      <c r="C669" t="s">
        <v>2164</v>
      </c>
      <c r="D669" t="s">
        <v>68</v>
      </c>
      <c r="E669">
        <v>2</v>
      </c>
      <c r="F669" t="s">
        <v>13</v>
      </c>
      <c r="G669" t="s">
        <v>10</v>
      </c>
    </row>
    <row r="670" spans="1:7" x14ac:dyDescent="0.3">
      <c r="A670" t="s">
        <v>1276</v>
      </c>
      <c r="B670" t="s">
        <v>1277</v>
      </c>
      <c r="C670" t="s">
        <v>2399</v>
      </c>
      <c r="D670" t="s">
        <v>25</v>
      </c>
      <c r="E670">
        <v>5</v>
      </c>
      <c r="F670" t="s">
        <v>10</v>
      </c>
      <c r="G670" t="s">
        <v>10</v>
      </c>
    </row>
    <row r="671" spans="1:7" x14ac:dyDescent="0.3">
      <c r="A671" t="s">
        <v>1278</v>
      </c>
      <c r="B671" t="s">
        <v>513</v>
      </c>
      <c r="C671" t="s">
        <v>2400</v>
      </c>
      <c r="D671" t="s">
        <v>83</v>
      </c>
      <c r="E671">
        <v>1</v>
      </c>
      <c r="F671" t="s">
        <v>13</v>
      </c>
      <c r="G671" t="s">
        <v>10</v>
      </c>
    </row>
    <row r="672" spans="1:7" x14ac:dyDescent="0.3">
      <c r="A672" t="s">
        <v>1279</v>
      </c>
      <c r="B672" t="s">
        <v>1280</v>
      </c>
      <c r="C672" t="s">
        <v>2401</v>
      </c>
      <c r="D672" t="s">
        <v>83</v>
      </c>
      <c r="E672">
        <v>1</v>
      </c>
      <c r="F672" t="s">
        <v>10</v>
      </c>
      <c r="G672" t="s">
        <v>13</v>
      </c>
    </row>
    <row r="673" spans="1:7" x14ac:dyDescent="0.3">
      <c r="A673" t="s">
        <v>1281</v>
      </c>
      <c r="B673" t="s">
        <v>1282</v>
      </c>
      <c r="C673" t="s">
        <v>2402</v>
      </c>
      <c r="D673" t="s">
        <v>83</v>
      </c>
      <c r="E673">
        <v>3</v>
      </c>
      <c r="F673" t="s">
        <v>10</v>
      </c>
      <c r="G673" t="s">
        <v>13</v>
      </c>
    </row>
    <row r="674" spans="1:7" x14ac:dyDescent="0.3">
      <c r="A674" t="s">
        <v>1283</v>
      </c>
      <c r="B674" t="s">
        <v>1284</v>
      </c>
      <c r="C674" t="s">
        <v>2216</v>
      </c>
      <c r="D674" t="s">
        <v>83</v>
      </c>
      <c r="E674">
        <v>3</v>
      </c>
      <c r="F674" t="s">
        <v>13</v>
      </c>
      <c r="G674" t="s">
        <v>10</v>
      </c>
    </row>
    <row r="675" spans="1:7" x14ac:dyDescent="0.3">
      <c r="A675" t="s">
        <v>1285</v>
      </c>
      <c r="B675" t="s">
        <v>1047</v>
      </c>
      <c r="C675" t="s">
        <v>2289</v>
      </c>
      <c r="D675" t="s">
        <v>22</v>
      </c>
      <c r="E675">
        <v>4</v>
      </c>
      <c r="F675" t="s">
        <v>13</v>
      </c>
      <c r="G675" t="s">
        <v>13</v>
      </c>
    </row>
    <row r="676" spans="1:7" x14ac:dyDescent="0.3">
      <c r="A676" t="s">
        <v>1286</v>
      </c>
      <c r="B676" t="s">
        <v>1287</v>
      </c>
      <c r="C676" t="s">
        <v>2403</v>
      </c>
      <c r="D676" t="s">
        <v>22</v>
      </c>
      <c r="E676">
        <v>5</v>
      </c>
      <c r="F676" t="s">
        <v>10</v>
      </c>
      <c r="G676" t="s">
        <v>10</v>
      </c>
    </row>
    <row r="677" spans="1:7" x14ac:dyDescent="0.3">
      <c r="A677" t="s">
        <v>1288</v>
      </c>
      <c r="B677" t="s">
        <v>1289</v>
      </c>
      <c r="C677" t="s">
        <v>2194</v>
      </c>
      <c r="D677" t="s">
        <v>19</v>
      </c>
      <c r="E677">
        <v>2</v>
      </c>
      <c r="F677" t="s">
        <v>10</v>
      </c>
      <c r="G677" t="s">
        <v>13</v>
      </c>
    </row>
    <row r="678" spans="1:7" x14ac:dyDescent="0.3">
      <c r="A678" t="s">
        <v>1290</v>
      </c>
      <c r="B678" t="s">
        <v>1291</v>
      </c>
      <c r="C678" t="s">
        <v>2222</v>
      </c>
      <c r="D678" t="s">
        <v>83</v>
      </c>
      <c r="E678">
        <v>1</v>
      </c>
      <c r="F678" t="s">
        <v>13</v>
      </c>
      <c r="G678" t="s">
        <v>13</v>
      </c>
    </row>
    <row r="679" spans="1:7" x14ac:dyDescent="0.3">
      <c r="A679" t="s">
        <v>1292</v>
      </c>
      <c r="B679" t="s">
        <v>1293</v>
      </c>
      <c r="C679" t="s">
        <v>2319</v>
      </c>
      <c r="D679" t="s">
        <v>22</v>
      </c>
      <c r="E679">
        <v>5</v>
      </c>
      <c r="F679" t="s">
        <v>10</v>
      </c>
      <c r="G679" t="s">
        <v>13</v>
      </c>
    </row>
    <row r="680" spans="1:7" x14ac:dyDescent="0.3">
      <c r="A680" t="s">
        <v>1294</v>
      </c>
      <c r="B680" t="s">
        <v>1295</v>
      </c>
      <c r="C680" t="s">
        <v>2404</v>
      </c>
      <c r="D680" t="s">
        <v>31</v>
      </c>
      <c r="E680">
        <v>2</v>
      </c>
      <c r="F680" t="s">
        <v>13</v>
      </c>
      <c r="G680" t="s">
        <v>10</v>
      </c>
    </row>
    <row r="681" spans="1:7" x14ac:dyDescent="0.3">
      <c r="A681" t="s">
        <v>1296</v>
      </c>
      <c r="B681" t="s">
        <v>590</v>
      </c>
      <c r="C681" t="s">
        <v>1924</v>
      </c>
      <c r="D681" t="s">
        <v>9</v>
      </c>
      <c r="E681">
        <v>1</v>
      </c>
      <c r="F681" t="s">
        <v>13</v>
      </c>
      <c r="G681" t="s">
        <v>13</v>
      </c>
    </row>
    <row r="682" spans="1:7" x14ac:dyDescent="0.3">
      <c r="A682" t="s">
        <v>1297</v>
      </c>
      <c r="B682" t="s">
        <v>995</v>
      </c>
      <c r="C682" t="s">
        <v>2405</v>
      </c>
      <c r="D682" t="s">
        <v>31</v>
      </c>
      <c r="E682">
        <v>2</v>
      </c>
      <c r="F682" t="s">
        <v>13</v>
      </c>
      <c r="G682" t="s">
        <v>10</v>
      </c>
    </row>
    <row r="683" spans="1:7" x14ac:dyDescent="0.3">
      <c r="A683" t="s">
        <v>1298</v>
      </c>
      <c r="B683" t="s">
        <v>712</v>
      </c>
      <c r="C683" t="s">
        <v>2406</v>
      </c>
      <c r="D683" t="s">
        <v>28</v>
      </c>
      <c r="E683">
        <v>5</v>
      </c>
      <c r="F683" t="s">
        <v>13</v>
      </c>
      <c r="G683" t="s">
        <v>10</v>
      </c>
    </row>
    <row r="684" spans="1:7" x14ac:dyDescent="0.3">
      <c r="A684" t="s">
        <v>1299</v>
      </c>
      <c r="B684" t="s">
        <v>1300</v>
      </c>
      <c r="C684" t="s">
        <v>2407</v>
      </c>
      <c r="D684" t="s">
        <v>9</v>
      </c>
      <c r="E684">
        <v>1</v>
      </c>
      <c r="F684" t="s">
        <v>10</v>
      </c>
      <c r="G684" t="s">
        <v>10</v>
      </c>
    </row>
    <row r="685" spans="1:7" x14ac:dyDescent="0.3">
      <c r="A685" t="s">
        <v>1301</v>
      </c>
      <c r="B685" t="s">
        <v>1302</v>
      </c>
      <c r="C685" t="s">
        <v>2095</v>
      </c>
      <c r="D685" t="s">
        <v>68</v>
      </c>
      <c r="E685">
        <v>1</v>
      </c>
      <c r="F685" t="s">
        <v>13</v>
      </c>
      <c r="G685" t="s">
        <v>13</v>
      </c>
    </row>
    <row r="686" spans="1:7" x14ac:dyDescent="0.3">
      <c r="A686" t="s">
        <v>1303</v>
      </c>
      <c r="B686" t="s">
        <v>1304</v>
      </c>
      <c r="C686" t="s">
        <v>2408</v>
      </c>
      <c r="D686" t="s">
        <v>68</v>
      </c>
      <c r="E686">
        <v>1</v>
      </c>
      <c r="F686" t="s">
        <v>13</v>
      </c>
      <c r="G686" t="s">
        <v>13</v>
      </c>
    </row>
    <row r="687" spans="1:7" x14ac:dyDescent="0.3">
      <c r="A687" t="s">
        <v>1305</v>
      </c>
      <c r="B687" t="s">
        <v>1306</v>
      </c>
      <c r="C687" t="s">
        <v>2257</v>
      </c>
      <c r="D687" t="s">
        <v>68</v>
      </c>
      <c r="E687">
        <v>1</v>
      </c>
      <c r="F687" t="s">
        <v>10</v>
      </c>
      <c r="G687" t="s">
        <v>13</v>
      </c>
    </row>
    <row r="688" spans="1:7" x14ac:dyDescent="0.3">
      <c r="A688" t="s">
        <v>1307</v>
      </c>
      <c r="B688" t="s">
        <v>1308</v>
      </c>
      <c r="C688" t="s">
        <v>2409</v>
      </c>
      <c r="D688" t="s">
        <v>22</v>
      </c>
      <c r="E688">
        <v>4</v>
      </c>
      <c r="F688" t="s">
        <v>10</v>
      </c>
      <c r="G688" t="s">
        <v>13</v>
      </c>
    </row>
    <row r="689" spans="1:7" x14ac:dyDescent="0.3">
      <c r="A689" t="s">
        <v>1309</v>
      </c>
      <c r="B689" t="s">
        <v>1310</v>
      </c>
      <c r="C689" t="s">
        <v>2302</v>
      </c>
      <c r="D689" t="s">
        <v>9</v>
      </c>
      <c r="E689">
        <v>3</v>
      </c>
      <c r="F689" t="s">
        <v>10</v>
      </c>
      <c r="G689" t="s">
        <v>10</v>
      </c>
    </row>
    <row r="690" spans="1:7" x14ac:dyDescent="0.3">
      <c r="A690" t="s">
        <v>1311</v>
      </c>
      <c r="B690" t="s">
        <v>1312</v>
      </c>
      <c r="C690" t="s">
        <v>2410</v>
      </c>
      <c r="D690" t="s">
        <v>28</v>
      </c>
      <c r="E690">
        <v>5</v>
      </c>
      <c r="F690" t="s">
        <v>10</v>
      </c>
      <c r="G690" t="s">
        <v>10</v>
      </c>
    </row>
    <row r="691" spans="1:7" x14ac:dyDescent="0.3">
      <c r="A691" t="s">
        <v>1313</v>
      </c>
      <c r="B691" t="s">
        <v>1314</v>
      </c>
      <c r="C691" t="s">
        <v>2314</v>
      </c>
      <c r="D691" t="s">
        <v>9</v>
      </c>
      <c r="E691">
        <v>1</v>
      </c>
      <c r="F691" t="s">
        <v>10</v>
      </c>
      <c r="G691" t="s">
        <v>10</v>
      </c>
    </row>
    <row r="692" spans="1:7" x14ac:dyDescent="0.3">
      <c r="A692" t="s">
        <v>1315</v>
      </c>
      <c r="B692" t="s">
        <v>1316</v>
      </c>
      <c r="C692" t="s">
        <v>2039</v>
      </c>
      <c r="D692" t="s">
        <v>68</v>
      </c>
      <c r="E692">
        <v>2</v>
      </c>
      <c r="F692" t="s">
        <v>10</v>
      </c>
      <c r="G692" t="s">
        <v>13</v>
      </c>
    </row>
    <row r="693" spans="1:7" x14ac:dyDescent="0.3">
      <c r="A693" t="s">
        <v>1317</v>
      </c>
      <c r="B693" t="s">
        <v>1318</v>
      </c>
      <c r="C693" t="s">
        <v>2144</v>
      </c>
      <c r="D693" t="s">
        <v>83</v>
      </c>
      <c r="E693">
        <v>1</v>
      </c>
      <c r="F693" t="s">
        <v>10</v>
      </c>
      <c r="G693" t="s">
        <v>13</v>
      </c>
    </row>
    <row r="694" spans="1:7" x14ac:dyDescent="0.3">
      <c r="A694" t="s">
        <v>1319</v>
      </c>
      <c r="B694" t="s">
        <v>1320</v>
      </c>
      <c r="C694" t="s">
        <v>2217</v>
      </c>
      <c r="D694" t="s">
        <v>83</v>
      </c>
      <c r="E694">
        <v>3</v>
      </c>
      <c r="F694" t="s">
        <v>13</v>
      </c>
      <c r="G694" t="s">
        <v>10</v>
      </c>
    </row>
    <row r="695" spans="1:7" x14ac:dyDescent="0.3">
      <c r="A695" t="s">
        <v>1321</v>
      </c>
      <c r="B695" t="s">
        <v>1322</v>
      </c>
      <c r="C695" t="s">
        <v>2411</v>
      </c>
      <c r="D695" t="s">
        <v>28</v>
      </c>
      <c r="E695">
        <v>4</v>
      </c>
      <c r="F695" t="s">
        <v>10</v>
      </c>
      <c r="G695" t="s">
        <v>10</v>
      </c>
    </row>
    <row r="696" spans="1:7" x14ac:dyDescent="0.3">
      <c r="A696" t="s">
        <v>1323</v>
      </c>
      <c r="B696" t="s">
        <v>1324</v>
      </c>
      <c r="C696" t="s">
        <v>2304</v>
      </c>
      <c r="D696" t="s">
        <v>31</v>
      </c>
      <c r="E696">
        <v>3</v>
      </c>
      <c r="F696" t="s">
        <v>10</v>
      </c>
      <c r="G696" t="s">
        <v>13</v>
      </c>
    </row>
    <row r="697" spans="1:7" x14ac:dyDescent="0.3">
      <c r="A697" t="s">
        <v>1325</v>
      </c>
      <c r="B697" t="s">
        <v>1326</v>
      </c>
      <c r="C697" t="s">
        <v>2412</v>
      </c>
      <c r="D697" t="s">
        <v>68</v>
      </c>
      <c r="E697">
        <v>2</v>
      </c>
      <c r="F697" t="s">
        <v>10</v>
      </c>
      <c r="G697" t="s">
        <v>10</v>
      </c>
    </row>
    <row r="698" spans="1:7" x14ac:dyDescent="0.3">
      <c r="A698" t="s">
        <v>1327</v>
      </c>
      <c r="B698" t="s">
        <v>1328</v>
      </c>
      <c r="C698" t="s">
        <v>2413</v>
      </c>
      <c r="D698" t="s">
        <v>22</v>
      </c>
      <c r="E698">
        <v>4</v>
      </c>
      <c r="F698" t="s">
        <v>10</v>
      </c>
      <c r="G698" t="s">
        <v>10</v>
      </c>
    </row>
    <row r="699" spans="1:7" x14ac:dyDescent="0.3">
      <c r="A699" t="s">
        <v>1329</v>
      </c>
      <c r="B699" t="s">
        <v>640</v>
      </c>
      <c r="C699" t="s">
        <v>2414</v>
      </c>
      <c r="D699" t="s">
        <v>83</v>
      </c>
      <c r="E699">
        <v>1</v>
      </c>
      <c r="F699" t="s">
        <v>10</v>
      </c>
      <c r="G699" t="s">
        <v>10</v>
      </c>
    </row>
    <row r="700" spans="1:7" x14ac:dyDescent="0.3">
      <c r="A700" t="s">
        <v>1330</v>
      </c>
      <c r="B700" t="s">
        <v>391</v>
      </c>
      <c r="C700" t="s">
        <v>2415</v>
      </c>
      <c r="D700" t="s">
        <v>68</v>
      </c>
      <c r="E700">
        <v>1</v>
      </c>
      <c r="F700" t="s">
        <v>10</v>
      </c>
      <c r="G700" t="s">
        <v>13</v>
      </c>
    </row>
    <row r="701" spans="1:7" x14ac:dyDescent="0.3">
      <c r="A701" t="s">
        <v>1331</v>
      </c>
      <c r="B701" t="s">
        <v>1332</v>
      </c>
      <c r="C701" t="s">
        <v>2416</v>
      </c>
      <c r="D701" t="s">
        <v>9</v>
      </c>
      <c r="E701">
        <v>3</v>
      </c>
      <c r="F701" t="s">
        <v>13</v>
      </c>
      <c r="G701" t="s">
        <v>13</v>
      </c>
    </row>
    <row r="702" spans="1:7" x14ac:dyDescent="0.3">
      <c r="A702" t="s">
        <v>1333</v>
      </c>
      <c r="B702" t="s">
        <v>1334</v>
      </c>
      <c r="C702" t="s">
        <v>2417</v>
      </c>
      <c r="D702" t="s">
        <v>68</v>
      </c>
      <c r="E702">
        <v>1</v>
      </c>
      <c r="F702" t="s">
        <v>10</v>
      </c>
      <c r="G702" t="s">
        <v>10</v>
      </c>
    </row>
    <row r="703" spans="1:7" x14ac:dyDescent="0.3">
      <c r="A703" t="s">
        <v>1335</v>
      </c>
      <c r="B703" t="s">
        <v>1336</v>
      </c>
      <c r="C703" t="s">
        <v>1937</v>
      </c>
      <c r="D703" t="s">
        <v>83</v>
      </c>
      <c r="E703">
        <v>3</v>
      </c>
      <c r="F703" t="s">
        <v>13</v>
      </c>
      <c r="G703" t="s">
        <v>10</v>
      </c>
    </row>
    <row r="704" spans="1:7" x14ac:dyDescent="0.3">
      <c r="A704" t="s">
        <v>1337</v>
      </c>
      <c r="B704" t="s">
        <v>1338</v>
      </c>
      <c r="C704" t="s">
        <v>2418</v>
      </c>
      <c r="D704" t="s">
        <v>25</v>
      </c>
      <c r="E704">
        <v>5</v>
      </c>
      <c r="F704" t="s">
        <v>10</v>
      </c>
      <c r="G704" t="s">
        <v>10</v>
      </c>
    </row>
    <row r="705" spans="1:7" x14ac:dyDescent="0.3">
      <c r="A705" t="s">
        <v>1339</v>
      </c>
      <c r="B705" t="s">
        <v>1340</v>
      </c>
      <c r="C705" t="s">
        <v>2419</v>
      </c>
      <c r="D705" t="s">
        <v>19</v>
      </c>
      <c r="E705">
        <v>2</v>
      </c>
      <c r="F705" t="s">
        <v>13</v>
      </c>
      <c r="G705" t="s">
        <v>10</v>
      </c>
    </row>
    <row r="706" spans="1:7" x14ac:dyDescent="0.3">
      <c r="A706" t="s">
        <v>1341</v>
      </c>
      <c r="B706" t="s">
        <v>1342</v>
      </c>
      <c r="C706" t="s">
        <v>1861</v>
      </c>
      <c r="D706" t="s">
        <v>31</v>
      </c>
      <c r="E706">
        <v>3</v>
      </c>
      <c r="F706" t="s">
        <v>13</v>
      </c>
      <c r="G706" t="s">
        <v>10</v>
      </c>
    </row>
    <row r="707" spans="1:7" x14ac:dyDescent="0.3">
      <c r="A707" t="s">
        <v>1343</v>
      </c>
      <c r="B707" t="s">
        <v>578</v>
      </c>
      <c r="C707" t="s">
        <v>2420</v>
      </c>
      <c r="D707" t="s">
        <v>22</v>
      </c>
      <c r="E707">
        <v>4</v>
      </c>
      <c r="F707" t="s">
        <v>10</v>
      </c>
      <c r="G707" t="s">
        <v>13</v>
      </c>
    </row>
    <row r="708" spans="1:7" x14ac:dyDescent="0.3">
      <c r="A708" t="s">
        <v>1344</v>
      </c>
      <c r="B708" t="s">
        <v>1140</v>
      </c>
      <c r="C708" t="s">
        <v>2421</v>
      </c>
      <c r="D708" t="s">
        <v>22</v>
      </c>
      <c r="E708">
        <v>4</v>
      </c>
      <c r="F708" t="s">
        <v>13</v>
      </c>
      <c r="G708" t="s">
        <v>10</v>
      </c>
    </row>
    <row r="709" spans="1:7" x14ac:dyDescent="0.3">
      <c r="A709" t="s">
        <v>1345</v>
      </c>
      <c r="B709" t="s">
        <v>1346</v>
      </c>
      <c r="C709" t="s">
        <v>2422</v>
      </c>
      <c r="D709" t="s">
        <v>22</v>
      </c>
      <c r="E709">
        <v>4</v>
      </c>
      <c r="F709" t="s">
        <v>13</v>
      </c>
      <c r="G709" t="s">
        <v>13</v>
      </c>
    </row>
    <row r="710" spans="1:7" x14ac:dyDescent="0.3">
      <c r="A710" t="s">
        <v>1347</v>
      </c>
      <c r="B710" t="s">
        <v>1348</v>
      </c>
      <c r="C710" t="s">
        <v>2343</v>
      </c>
      <c r="D710" t="s">
        <v>25</v>
      </c>
      <c r="E710">
        <v>4</v>
      </c>
      <c r="F710" t="s">
        <v>13</v>
      </c>
      <c r="G710" t="s">
        <v>10</v>
      </c>
    </row>
    <row r="711" spans="1:7" x14ac:dyDescent="0.3">
      <c r="A711" t="s">
        <v>1349</v>
      </c>
      <c r="B711" t="s">
        <v>1350</v>
      </c>
      <c r="C711" t="s">
        <v>1952</v>
      </c>
      <c r="D711" t="s">
        <v>9</v>
      </c>
      <c r="E711">
        <v>3</v>
      </c>
      <c r="F711" t="s">
        <v>13</v>
      </c>
      <c r="G711" t="s">
        <v>10</v>
      </c>
    </row>
    <row r="712" spans="1:7" x14ac:dyDescent="0.3">
      <c r="A712" t="s">
        <v>1351</v>
      </c>
      <c r="B712" t="s">
        <v>1352</v>
      </c>
      <c r="C712" t="s">
        <v>2028</v>
      </c>
      <c r="D712" t="s">
        <v>37</v>
      </c>
      <c r="E712">
        <v>3</v>
      </c>
      <c r="F712" t="s">
        <v>10</v>
      </c>
      <c r="G712" t="s">
        <v>13</v>
      </c>
    </row>
    <row r="713" spans="1:7" x14ac:dyDescent="0.3">
      <c r="A713" t="s">
        <v>1353</v>
      </c>
      <c r="B713" t="s">
        <v>1354</v>
      </c>
      <c r="C713" t="s">
        <v>2423</v>
      </c>
      <c r="D713" t="s">
        <v>19</v>
      </c>
      <c r="E713">
        <v>2</v>
      </c>
      <c r="F713" t="s">
        <v>10</v>
      </c>
      <c r="G713" t="s">
        <v>10</v>
      </c>
    </row>
    <row r="714" spans="1:7" x14ac:dyDescent="0.3">
      <c r="A714" t="s">
        <v>1355</v>
      </c>
      <c r="B714" t="s">
        <v>1356</v>
      </c>
      <c r="C714" t="s">
        <v>2060</v>
      </c>
      <c r="D714" t="s">
        <v>25</v>
      </c>
      <c r="E714">
        <v>5</v>
      </c>
      <c r="F714" t="s">
        <v>10</v>
      </c>
      <c r="G714" t="s">
        <v>13</v>
      </c>
    </row>
    <row r="715" spans="1:7" x14ac:dyDescent="0.3">
      <c r="A715" t="s">
        <v>1357</v>
      </c>
      <c r="B715" t="s">
        <v>1358</v>
      </c>
      <c r="C715" t="s">
        <v>2424</v>
      </c>
      <c r="D715" t="s">
        <v>22</v>
      </c>
      <c r="E715">
        <v>5</v>
      </c>
      <c r="F715" t="s">
        <v>10</v>
      </c>
      <c r="G715" t="s">
        <v>13</v>
      </c>
    </row>
    <row r="716" spans="1:7" x14ac:dyDescent="0.3">
      <c r="A716" t="s">
        <v>1359</v>
      </c>
      <c r="B716" t="s">
        <v>710</v>
      </c>
      <c r="C716" t="s">
        <v>2425</v>
      </c>
      <c r="D716" t="s">
        <v>31</v>
      </c>
      <c r="E716">
        <v>2</v>
      </c>
      <c r="F716" t="s">
        <v>10</v>
      </c>
      <c r="G716" t="s">
        <v>13</v>
      </c>
    </row>
    <row r="717" spans="1:7" x14ac:dyDescent="0.3">
      <c r="A717" t="s">
        <v>1360</v>
      </c>
      <c r="B717" t="s">
        <v>1361</v>
      </c>
      <c r="C717" t="s">
        <v>2426</v>
      </c>
      <c r="D717" t="s">
        <v>37</v>
      </c>
      <c r="E717">
        <v>3</v>
      </c>
      <c r="F717" t="s">
        <v>10</v>
      </c>
      <c r="G717" t="s">
        <v>13</v>
      </c>
    </row>
    <row r="718" spans="1:7" x14ac:dyDescent="0.3">
      <c r="A718" t="s">
        <v>1362</v>
      </c>
      <c r="B718" t="s">
        <v>1363</v>
      </c>
      <c r="C718" t="s">
        <v>2291</v>
      </c>
      <c r="D718" t="s">
        <v>19</v>
      </c>
      <c r="E718">
        <v>2</v>
      </c>
      <c r="F718" t="s">
        <v>13</v>
      </c>
      <c r="G718" t="s">
        <v>13</v>
      </c>
    </row>
    <row r="719" spans="1:7" x14ac:dyDescent="0.3">
      <c r="A719" t="s">
        <v>1364</v>
      </c>
      <c r="B719" t="s">
        <v>1365</v>
      </c>
      <c r="C719" t="s">
        <v>1853</v>
      </c>
      <c r="D719" t="s">
        <v>9</v>
      </c>
      <c r="E719">
        <v>2</v>
      </c>
      <c r="F719" t="s">
        <v>13</v>
      </c>
      <c r="G719" t="s">
        <v>13</v>
      </c>
    </row>
    <row r="720" spans="1:7" x14ac:dyDescent="0.3">
      <c r="A720" t="s">
        <v>1366</v>
      </c>
      <c r="B720" t="s">
        <v>1367</v>
      </c>
      <c r="C720" t="s">
        <v>2427</v>
      </c>
      <c r="D720" t="s">
        <v>19</v>
      </c>
      <c r="E720">
        <v>2</v>
      </c>
      <c r="F720" t="s">
        <v>10</v>
      </c>
      <c r="G720" t="s">
        <v>10</v>
      </c>
    </row>
    <row r="721" spans="1:7" x14ac:dyDescent="0.3">
      <c r="A721" t="s">
        <v>1368</v>
      </c>
      <c r="B721" t="s">
        <v>1369</v>
      </c>
      <c r="C721" t="s">
        <v>2428</v>
      </c>
      <c r="D721" t="s">
        <v>9</v>
      </c>
      <c r="E721">
        <v>3</v>
      </c>
      <c r="F721" t="s">
        <v>13</v>
      </c>
      <c r="G721" t="s">
        <v>13</v>
      </c>
    </row>
    <row r="722" spans="1:7" x14ac:dyDescent="0.3">
      <c r="A722" t="s">
        <v>1370</v>
      </c>
      <c r="B722" t="s">
        <v>262</v>
      </c>
      <c r="C722" t="s">
        <v>2429</v>
      </c>
      <c r="D722" t="s">
        <v>31</v>
      </c>
      <c r="E722">
        <v>1</v>
      </c>
      <c r="F722" t="s">
        <v>10</v>
      </c>
      <c r="G722" t="s">
        <v>13</v>
      </c>
    </row>
    <row r="723" spans="1:7" x14ac:dyDescent="0.3">
      <c r="A723" t="s">
        <v>1371</v>
      </c>
      <c r="B723" t="s">
        <v>611</v>
      </c>
      <c r="C723" t="s">
        <v>1927</v>
      </c>
      <c r="D723" t="s">
        <v>37</v>
      </c>
      <c r="E723">
        <v>3</v>
      </c>
      <c r="F723" t="s">
        <v>13</v>
      </c>
      <c r="G723" t="s">
        <v>10</v>
      </c>
    </row>
    <row r="724" spans="1:7" x14ac:dyDescent="0.3">
      <c r="A724" t="s">
        <v>1372</v>
      </c>
      <c r="B724" t="s">
        <v>1373</v>
      </c>
      <c r="C724" t="s">
        <v>2430</v>
      </c>
      <c r="D724" t="s">
        <v>28</v>
      </c>
      <c r="E724">
        <v>5</v>
      </c>
      <c r="F724" t="s">
        <v>13</v>
      </c>
      <c r="G724" t="s">
        <v>13</v>
      </c>
    </row>
    <row r="725" spans="1:7" x14ac:dyDescent="0.3">
      <c r="A725" t="s">
        <v>1374</v>
      </c>
      <c r="B725" t="s">
        <v>1375</v>
      </c>
      <c r="C725" t="s">
        <v>2390</v>
      </c>
      <c r="D725" t="s">
        <v>37</v>
      </c>
      <c r="E725">
        <v>5</v>
      </c>
      <c r="F725" t="s">
        <v>10</v>
      </c>
      <c r="G725" t="s">
        <v>13</v>
      </c>
    </row>
    <row r="726" spans="1:7" x14ac:dyDescent="0.3">
      <c r="A726" t="s">
        <v>1376</v>
      </c>
      <c r="B726" t="s">
        <v>1377</v>
      </c>
      <c r="C726" t="s">
        <v>2358</v>
      </c>
      <c r="D726" t="s">
        <v>31</v>
      </c>
      <c r="E726">
        <v>2</v>
      </c>
      <c r="F726" t="s">
        <v>10</v>
      </c>
      <c r="G726" t="s">
        <v>13</v>
      </c>
    </row>
    <row r="727" spans="1:7" x14ac:dyDescent="0.3">
      <c r="A727" t="s">
        <v>1378</v>
      </c>
      <c r="B727" t="s">
        <v>1379</v>
      </c>
      <c r="C727" t="s">
        <v>2431</v>
      </c>
      <c r="D727" t="s">
        <v>25</v>
      </c>
      <c r="E727">
        <v>5</v>
      </c>
      <c r="F727" t="s">
        <v>13</v>
      </c>
      <c r="G727" t="s">
        <v>13</v>
      </c>
    </row>
    <row r="728" spans="1:7" x14ac:dyDescent="0.3">
      <c r="A728" t="s">
        <v>1380</v>
      </c>
      <c r="B728" t="s">
        <v>1381</v>
      </c>
      <c r="C728" t="s">
        <v>2027</v>
      </c>
      <c r="D728" t="s">
        <v>28</v>
      </c>
      <c r="E728">
        <v>5</v>
      </c>
      <c r="F728" t="s">
        <v>13</v>
      </c>
      <c r="G728" t="s">
        <v>10</v>
      </c>
    </row>
    <row r="729" spans="1:7" x14ac:dyDescent="0.3">
      <c r="A729" t="s">
        <v>1382</v>
      </c>
      <c r="B729" t="s">
        <v>405</v>
      </c>
      <c r="C729" t="s">
        <v>2123</v>
      </c>
      <c r="D729" t="s">
        <v>25</v>
      </c>
      <c r="E729">
        <v>5</v>
      </c>
      <c r="F729" t="s">
        <v>10</v>
      </c>
      <c r="G729" t="s">
        <v>13</v>
      </c>
    </row>
    <row r="730" spans="1:7" x14ac:dyDescent="0.3">
      <c r="A730" t="s">
        <v>1383</v>
      </c>
      <c r="B730" t="s">
        <v>1384</v>
      </c>
      <c r="C730" t="s">
        <v>2432</v>
      </c>
      <c r="D730" t="s">
        <v>68</v>
      </c>
      <c r="E730">
        <v>1</v>
      </c>
      <c r="F730" t="s">
        <v>10</v>
      </c>
      <c r="G730" t="s">
        <v>13</v>
      </c>
    </row>
    <row r="731" spans="1:7" x14ac:dyDescent="0.3">
      <c r="A731" t="s">
        <v>1385</v>
      </c>
      <c r="B731" t="s">
        <v>1386</v>
      </c>
      <c r="C731" t="s">
        <v>2433</v>
      </c>
      <c r="D731" t="s">
        <v>9</v>
      </c>
      <c r="E731">
        <v>3</v>
      </c>
      <c r="F731" t="s">
        <v>10</v>
      </c>
      <c r="G731" t="s">
        <v>13</v>
      </c>
    </row>
    <row r="732" spans="1:7" x14ac:dyDescent="0.3">
      <c r="A732" t="s">
        <v>1387</v>
      </c>
      <c r="B732" t="s">
        <v>1388</v>
      </c>
      <c r="C732" t="s">
        <v>2026</v>
      </c>
      <c r="D732" t="s">
        <v>37</v>
      </c>
      <c r="E732">
        <v>3</v>
      </c>
      <c r="F732" t="s">
        <v>10</v>
      </c>
      <c r="G732" t="s">
        <v>13</v>
      </c>
    </row>
    <row r="733" spans="1:7" x14ac:dyDescent="0.3">
      <c r="A733" t="s">
        <v>1389</v>
      </c>
      <c r="B733" t="s">
        <v>1390</v>
      </c>
      <c r="C733" t="s">
        <v>1990</v>
      </c>
      <c r="D733" t="s">
        <v>19</v>
      </c>
      <c r="E733">
        <v>3</v>
      </c>
      <c r="F733" t="s">
        <v>10</v>
      </c>
      <c r="G733" t="s">
        <v>10</v>
      </c>
    </row>
    <row r="734" spans="1:7" x14ac:dyDescent="0.3">
      <c r="A734" t="s">
        <v>1391</v>
      </c>
      <c r="B734" t="s">
        <v>1392</v>
      </c>
      <c r="C734" t="s">
        <v>2434</v>
      </c>
      <c r="D734" t="s">
        <v>83</v>
      </c>
      <c r="E734">
        <v>3</v>
      </c>
      <c r="F734" t="s">
        <v>13</v>
      </c>
      <c r="G734" t="s">
        <v>10</v>
      </c>
    </row>
    <row r="735" spans="1:7" x14ac:dyDescent="0.3">
      <c r="A735" t="s">
        <v>1393</v>
      </c>
      <c r="B735" t="s">
        <v>1394</v>
      </c>
      <c r="C735" t="s">
        <v>2435</v>
      </c>
      <c r="D735" t="s">
        <v>28</v>
      </c>
      <c r="E735">
        <v>4</v>
      </c>
      <c r="F735" t="s">
        <v>13</v>
      </c>
      <c r="G735" t="s">
        <v>10</v>
      </c>
    </row>
    <row r="736" spans="1:7" x14ac:dyDescent="0.3">
      <c r="A736" t="s">
        <v>1395</v>
      </c>
      <c r="B736" t="s">
        <v>1396</v>
      </c>
      <c r="C736" t="s">
        <v>2436</v>
      </c>
      <c r="D736" t="s">
        <v>16</v>
      </c>
      <c r="E736">
        <v>5</v>
      </c>
      <c r="F736" t="s">
        <v>13</v>
      </c>
      <c r="G736" t="s">
        <v>10</v>
      </c>
    </row>
    <row r="737" spans="1:7" x14ac:dyDescent="0.3">
      <c r="A737" t="s">
        <v>1397</v>
      </c>
      <c r="B737" t="s">
        <v>1398</v>
      </c>
      <c r="C737" t="s">
        <v>2097</v>
      </c>
      <c r="D737" t="s">
        <v>83</v>
      </c>
      <c r="E737">
        <v>2</v>
      </c>
      <c r="F737" t="s">
        <v>10</v>
      </c>
      <c r="G737" t="s">
        <v>13</v>
      </c>
    </row>
    <row r="738" spans="1:7" x14ac:dyDescent="0.3">
      <c r="A738" t="s">
        <v>1399</v>
      </c>
      <c r="B738" t="s">
        <v>437</v>
      </c>
      <c r="C738" t="s">
        <v>1992</v>
      </c>
      <c r="D738" t="s">
        <v>16</v>
      </c>
      <c r="E738">
        <v>5</v>
      </c>
      <c r="F738" t="s">
        <v>13</v>
      </c>
      <c r="G738" t="s">
        <v>13</v>
      </c>
    </row>
    <row r="739" spans="1:7" x14ac:dyDescent="0.3">
      <c r="A739" t="s">
        <v>1400</v>
      </c>
      <c r="B739" t="s">
        <v>1401</v>
      </c>
      <c r="C739" t="s">
        <v>2437</v>
      </c>
      <c r="D739" t="s">
        <v>28</v>
      </c>
      <c r="E739">
        <v>4</v>
      </c>
      <c r="F739" t="s">
        <v>13</v>
      </c>
      <c r="G739" t="s">
        <v>10</v>
      </c>
    </row>
    <row r="740" spans="1:7" x14ac:dyDescent="0.3">
      <c r="A740" t="s">
        <v>1402</v>
      </c>
      <c r="B740" t="s">
        <v>965</v>
      </c>
      <c r="C740" t="s">
        <v>2438</v>
      </c>
      <c r="D740" t="s">
        <v>28</v>
      </c>
      <c r="E740">
        <v>4</v>
      </c>
      <c r="F740" t="s">
        <v>13</v>
      </c>
      <c r="G740" t="s">
        <v>10</v>
      </c>
    </row>
    <row r="741" spans="1:7" x14ac:dyDescent="0.3">
      <c r="A741" t="s">
        <v>1403</v>
      </c>
      <c r="B741" t="s">
        <v>1404</v>
      </c>
      <c r="C741" t="s">
        <v>2041</v>
      </c>
      <c r="D741" t="s">
        <v>19</v>
      </c>
      <c r="E741">
        <v>2</v>
      </c>
      <c r="F741" t="s">
        <v>10</v>
      </c>
      <c r="G741" t="s">
        <v>10</v>
      </c>
    </row>
    <row r="742" spans="1:7" x14ac:dyDescent="0.3">
      <c r="A742" t="s">
        <v>1405</v>
      </c>
      <c r="B742" t="s">
        <v>1406</v>
      </c>
      <c r="C742" t="s">
        <v>2347</v>
      </c>
      <c r="D742" t="s">
        <v>16</v>
      </c>
      <c r="E742">
        <v>5</v>
      </c>
      <c r="F742" t="s">
        <v>13</v>
      </c>
      <c r="G742" t="s">
        <v>13</v>
      </c>
    </row>
    <row r="743" spans="1:7" x14ac:dyDescent="0.3">
      <c r="A743" t="s">
        <v>1407</v>
      </c>
      <c r="B743" t="s">
        <v>1408</v>
      </c>
      <c r="C743" t="s">
        <v>2030</v>
      </c>
      <c r="D743" t="s">
        <v>68</v>
      </c>
      <c r="E743">
        <v>1</v>
      </c>
      <c r="F743" t="s">
        <v>13</v>
      </c>
      <c r="G743" t="s">
        <v>13</v>
      </c>
    </row>
    <row r="744" spans="1:7" x14ac:dyDescent="0.3">
      <c r="A744" t="s">
        <v>1409</v>
      </c>
      <c r="B744" t="s">
        <v>1410</v>
      </c>
      <c r="C744" t="s">
        <v>2439</v>
      </c>
      <c r="D744" t="s">
        <v>83</v>
      </c>
      <c r="E744">
        <v>1</v>
      </c>
      <c r="F744" t="s">
        <v>13</v>
      </c>
      <c r="G744" t="s">
        <v>13</v>
      </c>
    </row>
    <row r="745" spans="1:7" x14ac:dyDescent="0.3">
      <c r="A745" t="s">
        <v>1411</v>
      </c>
      <c r="B745" t="s">
        <v>202</v>
      </c>
      <c r="C745" t="s">
        <v>1876</v>
      </c>
      <c r="D745" t="s">
        <v>22</v>
      </c>
      <c r="E745">
        <v>5</v>
      </c>
      <c r="F745" t="s">
        <v>10</v>
      </c>
      <c r="G745" t="s">
        <v>10</v>
      </c>
    </row>
    <row r="746" spans="1:7" x14ac:dyDescent="0.3">
      <c r="A746" t="s">
        <v>1412</v>
      </c>
      <c r="B746" t="s">
        <v>1413</v>
      </c>
      <c r="C746" t="s">
        <v>1933</v>
      </c>
      <c r="D746" t="s">
        <v>9</v>
      </c>
      <c r="E746">
        <v>1</v>
      </c>
      <c r="F746" t="s">
        <v>10</v>
      </c>
      <c r="G746" t="s">
        <v>13</v>
      </c>
    </row>
    <row r="747" spans="1:7" x14ac:dyDescent="0.3">
      <c r="A747" t="s">
        <v>1414</v>
      </c>
      <c r="B747" t="s">
        <v>1415</v>
      </c>
      <c r="C747" t="s">
        <v>2035</v>
      </c>
      <c r="D747" t="s">
        <v>37</v>
      </c>
      <c r="E747">
        <v>4</v>
      </c>
      <c r="F747" t="s">
        <v>13</v>
      </c>
      <c r="G747" t="s">
        <v>13</v>
      </c>
    </row>
    <row r="748" spans="1:7" x14ac:dyDescent="0.3">
      <c r="A748" t="s">
        <v>1416</v>
      </c>
      <c r="B748" t="s">
        <v>1417</v>
      </c>
      <c r="C748" t="s">
        <v>2440</v>
      </c>
      <c r="D748" t="s">
        <v>37</v>
      </c>
      <c r="E748">
        <v>5</v>
      </c>
      <c r="F748" t="s">
        <v>10</v>
      </c>
      <c r="G748" t="s">
        <v>10</v>
      </c>
    </row>
    <row r="749" spans="1:7" x14ac:dyDescent="0.3">
      <c r="A749" t="s">
        <v>1418</v>
      </c>
      <c r="B749" t="s">
        <v>1419</v>
      </c>
      <c r="C749" t="s">
        <v>2300</v>
      </c>
      <c r="D749" t="s">
        <v>25</v>
      </c>
      <c r="E749">
        <v>4</v>
      </c>
      <c r="F749" t="s">
        <v>13</v>
      </c>
      <c r="G749" t="s">
        <v>10</v>
      </c>
    </row>
    <row r="750" spans="1:7" x14ac:dyDescent="0.3">
      <c r="A750" t="s">
        <v>1420</v>
      </c>
      <c r="B750" t="s">
        <v>1421</v>
      </c>
      <c r="C750" t="s">
        <v>2441</v>
      </c>
      <c r="D750" t="s">
        <v>31</v>
      </c>
      <c r="E750">
        <v>3</v>
      </c>
      <c r="F750" t="s">
        <v>10</v>
      </c>
      <c r="G750" t="s">
        <v>10</v>
      </c>
    </row>
    <row r="751" spans="1:7" x14ac:dyDescent="0.3">
      <c r="A751" t="s">
        <v>1422</v>
      </c>
      <c r="B751" t="s">
        <v>1423</v>
      </c>
      <c r="C751" t="s">
        <v>2442</v>
      </c>
      <c r="D751" t="s">
        <v>19</v>
      </c>
      <c r="E751">
        <v>2</v>
      </c>
      <c r="F751" t="s">
        <v>10</v>
      </c>
      <c r="G751" t="s">
        <v>13</v>
      </c>
    </row>
    <row r="752" spans="1:7" x14ac:dyDescent="0.3">
      <c r="A752" t="s">
        <v>1424</v>
      </c>
      <c r="B752" t="s">
        <v>1425</v>
      </c>
      <c r="C752" t="s">
        <v>2443</v>
      </c>
      <c r="D752" t="s">
        <v>25</v>
      </c>
      <c r="E752">
        <v>5</v>
      </c>
      <c r="F752" t="s">
        <v>13</v>
      </c>
      <c r="G752" t="s">
        <v>13</v>
      </c>
    </row>
    <row r="753" spans="1:7" x14ac:dyDescent="0.3">
      <c r="A753" t="s">
        <v>1426</v>
      </c>
      <c r="B753" t="s">
        <v>1427</v>
      </c>
      <c r="C753" t="s">
        <v>2444</v>
      </c>
      <c r="D753" t="s">
        <v>25</v>
      </c>
      <c r="E753">
        <v>5</v>
      </c>
      <c r="F753" t="s">
        <v>13</v>
      </c>
      <c r="G753" t="s">
        <v>10</v>
      </c>
    </row>
    <row r="754" spans="1:7" x14ac:dyDescent="0.3">
      <c r="A754" t="s">
        <v>1428</v>
      </c>
      <c r="B754" t="s">
        <v>900</v>
      </c>
      <c r="C754" t="s">
        <v>2060</v>
      </c>
      <c r="D754" t="s">
        <v>68</v>
      </c>
      <c r="E754">
        <v>2</v>
      </c>
      <c r="F754" t="s">
        <v>10</v>
      </c>
      <c r="G754" t="s">
        <v>13</v>
      </c>
    </row>
    <row r="755" spans="1:7" x14ac:dyDescent="0.3">
      <c r="A755" t="s">
        <v>1429</v>
      </c>
      <c r="B755" t="s">
        <v>1430</v>
      </c>
      <c r="C755" t="s">
        <v>2445</v>
      </c>
      <c r="D755" t="s">
        <v>9</v>
      </c>
      <c r="E755">
        <v>2</v>
      </c>
      <c r="F755" t="s">
        <v>13</v>
      </c>
      <c r="G755" t="s">
        <v>10</v>
      </c>
    </row>
    <row r="756" spans="1:7" x14ac:dyDescent="0.3">
      <c r="A756" t="s">
        <v>1431</v>
      </c>
      <c r="B756" t="s">
        <v>1432</v>
      </c>
      <c r="C756" t="s">
        <v>2446</v>
      </c>
      <c r="D756" t="s">
        <v>83</v>
      </c>
      <c r="E756">
        <v>3</v>
      </c>
      <c r="F756" t="s">
        <v>13</v>
      </c>
      <c r="G756" t="s">
        <v>10</v>
      </c>
    </row>
    <row r="757" spans="1:7" x14ac:dyDescent="0.3">
      <c r="A757" t="s">
        <v>1433</v>
      </c>
      <c r="B757" t="s">
        <v>1434</v>
      </c>
      <c r="C757" t="s">
        <v>2447</v>
      </c>
      <c r="D757" t="s">
        <v>19</v>
      </c>
      <c r="E757">
        <v>2</v>
      </c>
      <c r="F757" t="s">
        <v>13</v>
      </c>
      <c r="G757" t="s">
        <v>10</v>
      </c>
    </row>
    <row r="758" spans="1:7" x14ac:dyDescent="0.3">
      <c r="A758" t="s">
        <v>1435</v>
      </c>
      <c r="B758" t="s">
        <v>1436</v>
      </c>
      <c r="C758" t="s">
        <v>2105</v>
      </c>
      <c r="D758" t="s">
        <v>28</v>
      </c>
      <c r="E758">
        <v>4</v>
      </c>
      <c r="F758" t="s">
        <v>13</v>
      </c>
      <c r="G758" t="s">
        <v>10</v>
      </c>
    </row>
    <row r="759" spans="1:7" x14ac:dyDescent="0.3">
      <c r="A759" t="s">
        <v>1437</v>
      </c>
      <c r="B759" t="s">
        <v>1438</v>
      </c>
      <c r="C759" t="s">
        <v>2448</v>
      </c>
      <c r="D759" t="s">
        <v>9</v>
      </c>
      <c r="E759">
        <v>2</v>
      </c>
      <c r="F759" t="s">
        <v>13</v>
      </c>
      <c r="G759" t="s">
        <v>10</v>
      </c>
    </row>
    <row r="760" spans="1:7" x14ac:dyDescent="0.3">
      <c r="A760" t="s">
        <v>1439</v>
      </c>
      <c r="B760" t="s">
        <v>1239</v>
      </c>
      <c r="C760" t="s">
        <v>2449</v>
      </c>
      <c r="D760" t="s">
        <v>25</v>
      </c>
      <c r="E760">
        <v>4</v>
      </c>
      <c r="F760" t="s">
        <v>10</v>
      </c>
      <c r="G760" t="s">
        <v>10</v>
      </c>
    </row>
    <row r="761" spans="1:7" x14ac:dyDescent="0.3">
      <c r="A761" t="s">
        <v>1440</v>
      </c>
      <c r="B761" t="s">
        <v>580</v>
      </c>
      <c r="C761" t="s">
        <v>2348</v>
      </c>
      <c r="D761" t="s">
        <v>25</v>
      </c>
      <c r="E761">
        <v>4</v>
      </c>
      <c r="F761" t="s">
        <v>10</v>
      </c>
      <c r="G761" t="s">
        <v>13</v>
      </c>
    </row>
    <row r="762" spans="1:7" x14ac:dyDescent="0.3">
      <c r="A762" t="s">
        <v>1441</v>
      </c>
      <c r="B762" t="s">
        <v>1442</v>
      </c>
      <c r="C762" t="s">
        <v>2376</v>
      </c>
      <c r="D762" t="s">
        <v>22</v>
      </c>
      <c r="E762">
        <v>5</v>
      </c>
      <c r="F762" t="s">
        <v>13</v>
      </c>
      <c r="G762" t="s">
        <v>10</v>
      </c>
    </row>
    <row r="763" spans="1:7" x14ac:dyDescent="0.3">
      <c r="A763" t="s">
        <v>1443</v>
      </c>
      <c r="B763" t="s">
        <v>1444</v>
      </c>
      <c r="C763" t="s">
        <v>2078</v>
      </c>
      <c r="D763" t="s">
        <v>16</v>
      </c>
      <c r="E763">
        <v>5</v>
      </c>
      <c r="F763" t="s">
        <v>10</v>
      </c>
      <c r="G763" t="s">
        <v>10</v>
      </c>
    </row>
    <row r="764" spans="1:7" x14ac:dyDescent="0.3">
      <c r="A764" t="s">
        <v>1445</v>
      </c>
      <c r="B764" t="s">
        <v>1348</v>
      </c>
      <c r="C764" t="s">
        <v>2450</v>
      </c>
      <c r="D764" t="s">
        <v>9</v>
      </c>
      <c r="E764">
        <v>1</v>
      </c>
      <c r="F764" t="s">
        <v>13</v>
      </c>
      <c r="G764" t="s">
        <v>13</v>
      </c>
    </row>
    <row r="765" spans="1:7" x14ac:dyDescent="0.3">
      <c r="A765" t="s">
        <v>1446</v>
      </c>
      <c r="B765" t="s">
        <v>1447</v>
      </c>
      <c r="C765" t="s">
        <v>2389</v>
      </c>
      <c r="D765" t="s">
        <v>16</v>
      </c>
      <c r="E765">
        <v>5</v>
      </c>
      <c r="F765" t="s">
        <v>13</v>
      </c>
      <c r="G765" t="s">
        <v>13</v>
      </c>
    </row>
    <row r="766" spans="1:7" x14ac:dyDescent="0.3">
      <c r="A766" t="s">
        <v>1448</v>
      </c>
      <c r="B766" t="s">
        <v>1449</v>
      </c>
      <c r="C766" t="s">
        <v>2451</v>
      </c>
      <c r="D766" t="s">
        <v>31</v>
      </c>
      <c r="E766">
        <v>1</v>
      </c>
      <c r="F766" t="s">
        <v>13</v>
      </c>
      <c r="G766" t="s">
        <v>10</v>
      </c>
    </row>
    <row r="767" spans="1:7" x14ac:dyDescent="0.3">
      <c r="A767" t="s">
        <v>1450</v>
      </c>
      <c r="B767" t="s">
        <v>1451</v>
      </c>
      <c r="C767" t="s">
        <v>2452</v>
      </c>
      <c r="D767" t="s">
        <v>31</v>
      </c>
      <c r="E767">
        <v>3</v>
      </c>
      <c r="F767" t="s">
        <v>10</v>
      </c>
      <c r="G767" t="s">
        <v>10</v>
      </c>
    </row>
    <row r="768" spans="1:7" x14ac:dyDescent="0.3">
      <c r="A768" t="s">
        <v>1452</v>
      </c>
      <c r="B768" t="s">
        <v>1453</v>
      </c>
      <c r="C768" t="s">
        <v>2453</v>
      </c>
      <c r="D768" t="s">
        <v>83</v>
      </c>
      <c r="E768">
        <v>2</v>
      </c>
      <c r="F768" t="s">
        <v>10</v>
      </c>
      <c r="G768" t="s">
        <v>10</v>
      </c>
    </row>
    <row r="769" spans="1:7" x14ac:dyDescent="0.3">
      <c r="A769" t="s">
        <v>1454</v>
      </c>
      <c r="B769" t="s">
        <v>1087</v>
      </c>
      <c r="C769" t="s">
        <v>2454</v>
      </c>
      <c r="D769" t="s">
        <v>28</v>
      </c>
      <c r="E769">
        <v>4</v>
      </c>
      <c r="F769" t="s">
        <v>10</v>
      </c>
      <c r="G769" t="s">
        <v>10</v>
      </c>
    </row>
    <row r="770" spans="1:7" x14ac:dyDescent="0.3">
      <c r="A770" t="s">
        <v>1455</v>
      </c>
      <c r="B770" t="s">
        <v>1363</v>
      </c>
      <c r="C770" t="s">
        <v>2455</v>
      </c>
      <c r="D770" t="s">
        <v>25</v>
      </c>
      <c r="E770">
        <v>4</v>
      </c>
      <c r="F770" t="s">
        <v>13</v>
      </c>
      <c r="G770" t="s">
        <v>10</v>
      </c>
    </row>
    <row r="771" spans="1:7" x14ac:dyDescent="0.3">
      <c r="A771" t="s">
        <v>1456</v>
      </c>
      <c r="B771" t="s">
        <v>313</v>
      </c>
      <c r="C771" t="s">
        <v>2456</v>
      </c>
      <c r="D771" t="s">
        <v>28</v>
      </c>
      <c r="E771">
        <v>4</v>
      </c>
      <c r="F771" t="s">
        <v>13</v>
      </c>
      <c r="G771" t="s">
        <v>13</v>
      </c>
    </row>
    <row r="772" spans="1:7" x14ac:dyDescent="0.3">
      <c r="A772" t="s">
        <v>1457</v>
      </c>
      <c r="B772" t="s">
        <v>415</v>
      </c>
      <c r="C772" t="s">
        <v>2355</v>
      </c>
      <c r="D772" t="s">
        <v>83</v>
      </c>
      <c r="E772">
        <v>3</v>
      </c>
      <c r="F772" t="s">
        <v>13</v>
      </c>
      <c r="G772" t="s">
        <v>13</v>
      </c>
    </row>
    <row r="773" spans="1:7" x14ac:dyDescent="0.3">
      <c r="A773" t="s">
        <v>1458</v>
      </c>
      <c r="B773" t="s">
        <v>1459</v>
      </c>
      <c r="C773" t="s">
        <v>2138</v>
      </c>
      <c r="D773" t="s">
        <v>83</v>
      </c>
      <c r="E773">
        <v>1</v>
      </c>
      <c r="F773" t="s">
        <v>13</v>
      </c>
      <c r="G773" t="s">
        <v>13</v>
      </c>
    </row>
    <row r="774" spans="1:7" x14ac:dyDescent="0.3">
      <c r="A774" t="s">
        <v>1460</v>
      </c>
      <c r="B774" t="s">
        <v>449</v>
      </c>
      <c r="C774" t="s">
        <v>2457</v>
      </c>
      <c r="D774" t="s">
        <v>68</v>
      </c>
      <c r="E774">
        <v>2</v>
      </c>
      <c r="F774" t="s">
        <v>10</v>
      </c>
      <c r="G774" t="s">
        <v>13</v>
      </c>
    </row>
    <row r="775" spans="1:7" x14ac:dyDescent="0.3">
      <c r="A775" t="s">
        <v>1461</v>
      </c>
      <c r="B775" t="s">
        <v>1462</v>
      </c>
      <c r="C775" t="s">
        <v>2219</v>
      </c>
      <c r="D775" t="s">
        <v>19</v>
      </c>
      <c r="E775">
        <v>3</v>
      </c>
      <c r="F775" t="s">
        <v>13</v>
      </c>
      <c r="G775" t="s">
        <v>13</v>
      </c>
    </row>
    <row r="776" spans="1:7" x14ac:dyDescent="0.3">
      <c r="A776" t="s">
        <v>1463</v>
      </c>
      <c r="B776" t="s">
        <v>1464</v>
      </c>
      <c r="C776" t="s">
        <v>1980</v>
      </c>
      <c r="D776" t="s">
        <v>37</v>
      </c>
      <c r="E776">
        <v>4</v>
      </c>
      <c r="F776" t="s">
        <v>13</v>
      </c>
      <c r="G776" t="s">
        <v>10</v>
      </c>
    </row>
    <row r="777" spans="1:7" x14ac:dyDescent="0.3">
      <c r="A777" t="s">
        <v>1465</v>
      </c>
      <c r="B777" t="s">
        <v>1466</v>
      </c>
      <c r="C777" t="s">
        <v>2458</v>
      </c>
      <c r="D777" t="s">
        <v>9</v>
      </c>
      <c r="E777">
        <v>1</v>
      </c>
      <c r="F777" t="s">
        <v>13</v>
      </c>
      <c r="G777" t="s">
        <v>10</v>
      </c>
    </row>
    <row r="778" spans="1:7" x14ac:dyDescent="0.3">
      <c r="A778" t="s">
        <v>1467</v>
      </c>
      <c r="B778" t="s">
        <v>1468</v>
      </c>
      <c r="C778" t="s">
        <v>2459</v>
      </c>
      <c r="D778" t="s">
        <v>22</v>
      </c>
      <c r="E778">
        <v>4</v>
      </c>
      <c r="F778" t="s">
        <v>10</v>
      </c>
      <c r="G778" t="s">
        <v>13</v>
      </c>
    </row>
    <row r="779" spans="1:7" x14ac:dyDescent="0.3">
      <c r="A779" t="s">
        <v>1469</v>
      </c>
      <c r="B779" t="s">
        <v>1470</v>
      </c>
      <c r="C779" t="s">
        <v>1989</v>
      </c>
      <c r="D779" t="s">
        <v>37</v>
      </c>
      <c r="E779">
        <v>3</v>
      </c>
      <c r="F779" t="s">
        <v>10</v>
      </c>
      <c r="G779" t="s">
        <v>13</v>
      </c>
    </row>
    <row r="780" spans="1:7" x14ac:dyDescent="0.3">
      <c r="A780" t="s">
        <v>1471</v>
      </c>
      <c r="B780" t="s">
        <v>1472</v>
      </c>
      <c r="C780" t="s">
        <v>2460</v>
      </c>
      <c r="D780" t="s">
        <v>83</v>
      </c>
      <c r="E780">
        <v>1</v>
      </c>
      <c r="F780" t="s">
        <v>10</v>
      </c>
      <c r="G780" t="s">
        <v>10</v>
      </c>
    </row>
    <row r="781" spans="1:7" x14ac:dyDescent="0.3">
      <c r="A781" t="s">
        <v>1473</v>
      </c>
      <c r="B781" t="s">
        <v>1474</v>
      </c>
      <c r="C781" t="s">
        <v>1897</v>
      </c>
      <c r="D781" t="s">
        <v>28</v>
      </c>
      <c r="E781">
        <v>5</v>
      </c>
      <c r="F781" t="s">
        <v>13</v>
      </c>
      <c r="G781" t="s">
        <v>13</v>
      </c>
    </row>
    <row r="782" spans="1:7" x14ac:dyDescent="0.3">
      <c r="A782" t="s">
        <v>1475</v>
      </c>
      <c r="B782" t="s">
        <v>1476</v>
      </c>
      <c r="C782" t="s">
        <v>2461</v>
      </c>
      <c r="D782" t="s">
        <v>31</v>
      </c>
      <c r="E782">
        <v>3</v>
      </c>
      <c r="F782" t="s">
        <v>10</v>
      </c>
      <c r="G782" t="s">
        <v>10</v>
      </c>
    </row>
    <row r="783" spans="1:7" x14ac:dyDescent="0.3">
      <c r="A783" t="s">
        <v>1477</v>
      </c>
      <c r="B783" t="s">
        <v>1478</v>
      </c>
      <c r="C783" t="s">
        <v>2462</v>
      </c>
      <c r="D783" t="s">
        <v>83</v>
      </c>
      <c r="E783">
        <v>2</v>
      </c>
      <c r="F783" t="s">
        <v>13</v>
      </c>
      <c r="G783" t="s">
        <v>10</v>
      </c>
    </row>
    <row r="784" spans="1:7" x14ac:dyDescent="0.3">
      <c r="A784" t="s">
        <v>1479</v>
      </c>
      <c r="B784" t="s">
        <v>1480</v>
      </c>
      <c r="C784" t="s">
        <v>2270</v>
      </c>
      <c r="D784" t="s">
        <v>83</v>
      </c>
      <c r="E784">
        <v>1</v>
      </c>
      <c r="F784" t="s">
        <v>13</v>
      </c>
      <c r="G784" t="s">
        <v>13</v>
      </c>
    </row>
    <row r="785" spans="1:7" x14ac:dyDescent="0.3">
      <c r="A785" t="s">
        <v>1481</v>
      </c>
      <c r="B785" t="s">
        <v>941</v>
      </c>
      <c r="C785" t="s">
        <v>2329</v>
      </c>
      <c r="D785" t="s">
        <v>25</v>
      </c>
      <c r="E785">
        <v>5</v>
      </c>
      <c r="F785" t="s">
        <v>13</v>
      </c>
      <c r="G785" t="s">
        <v>10</v>
      </c>
    </row>
    <row r="786" spans="1:7" x14ac:dyDescent="0.3">
      <c r="A786" t="s">
        <v>1482</v>
      </c>
      <c r="B786" t="s">
        <v>1483</v>
      </c>
      <c r="C786" t="s">
        <v>2049</v>
      </c>
      <c r="D786" t="s">
        <v>19</v>
      </c>
      <c r="E786">
        <v>2</v>
      </c>
      <c r="F786" t="s">
        <v>13</v>
      </c>
      <c r="G786" t="s">
        <v>10</v>
      </c>
    </row>
    <row r="787" spans="1:7" x14ac:dyDescent="0.3">
      <c r="A787" t="s">
        <v>1484</v>
      </c>
      <c r="B787" t="s">
        <v>1485</v>
      </c>
      <c r="C787" t="s">
        <v>1973</v>
      </c>
      <c r="D787" t="s">
        <v>28</v>
      </c>
      <c r="E787">
        <v>5</v>
      </c>
      <c r="F787" t="s">
        <v>10</v>
      </c>
      <c r="G787" t="s">
        <v>13</v>
      </c>
    </row>
    <row r="788" spans="1:7" x14ac:dyDescent="0.3">
      <c r="A788" t="s">
        <v>1486</v>
      </c>
      <c r="B788" t="s">
        <v>1076</v>
      </c>
      <c r="C788" t="s">
        <v>2463</v>
      </c>
      <c r="D788" t="s">
        <v>16</v>
      </c>
      <c r="E788">
        <v>5</v>
      </c>
      <c r="F788" t="s">
        <v>13</v>
      </c>
      <c r="G788" t="s">
        <v>10</v>
      </c>
    </row>
    <row r="789" spans="1:7" x14ac:dyDescent="0.3">
      <c r="A789" t="s">
        <v>1487</v>
      </c>
      <c r="B789" t="s">
        <v>1488</v>
      </c>
      <c r="C789" t="s">
        <v>2117</v>
      </c>
      <c r="D789" t="s">
        <v>68</v>
      </c>
      <c r="E789">
        <v>2</v>
      </c>
      <c r="F789" t="s">
        <v>13</v>
      </c>
      <c r="G789" t="s">
        <v>10</v>
      </c>
    </row>
    <row r="790" spans="1:7" x14ac:dyDescent="0.3">
      <c r="A790" t="s">
        <v>1489</v>
      </c>
      <c r="B790" t="s">
        <v>668</v>
      </c>
      <c r="C790" t="s">
        <v>1922</v>
      </c>
      <c r="D790" t="s">
        <v>25</v>
      </c>
      <c r="E790">
        <v>5</v>
      </c>
      <c r="F790" t="s">
        <v>10</v>
      </c>
      <c r="G790" t="s">
        <v>13</v>
      </c>
    </row>
    <row r="791" spans="1:7" x14ac:dyDescent="0.3">
      <c r="A791" t="s">
        <v>1490</v>
      </c>
      <c r="B791" t="s">
        <v>1491</v>
      </c>
      <c r="C791" t="s">
        <v>2464</v>
      </c>
      <c r="D791" t="s">
        <v>31</v>
      </c>
      <c r="E791">
        <v>2</v>
      </c>
      <c r="F791" t="s">
        <v>10</v>
      </c>
      <c r="G791" t="s">
        <v>13</v>
      </c>
    </row>
    <row r="792" spans="1:7" x14ac:dyDescent="0.3">
      <c r="A792" t="s">
        <v>1492</v>
      </c>
      <c r="B792" t="s">
        <v>1493</v>
      </c>
      <c r="C792" t="s">
        <v>2465</v>
      </c>
      <c r="D792" t="s">
        <v>83</v>
      </c>
      <c r="E792">
        <v>3</v>
      </c>
      <c r="F792" t="s">
        <v>10</v>
      </c>
      <c r="G792" t="s">
        <v>10</v>
      </c>
    </row>
    <row r="793" spans="1:7" x14ac:dyDescent="0.3">
      <c r="A793" t="s">
        <v>1494</v>
      </c>
      <c r="B793" t="s">
        <v>1495</v>
      </c>
      <c r="C793" t="s">
        <v>2194</v>
      </c>
      <c r="D793" t="s">
        <v>37</v>
      </c>
      <c r="E793">
        <v>4</v>
      </c>
      <c r="F793" t="s">
        <v>10</v>
      </c>
      <c r="G793" t="s">
        <v>10</v>
      </c>
    </row>
    <row r="794" spans="1:7" x14ac:dyDescent="0.3">
      <c r="A794" t="s">
        <v>1496</v>
      </c>
      <c r="B794" t="s">
        <v>1497</v>
      </c>
      <c r="C794" t="s">
        <v>2466</v>
      </c>
      <c r="D794" t="s">
        <v>25</v>
      </c>
      <c r="E794">
        <v>4</v>
      </c>
      <c r="F794" t="s">
        <v>10</v>
      </c>
      <c r="G794" t="s">
        <v>13</v>
      </c>
    </row>
    <row r="795" spans="1:7" x14ac:dyDescent="0.3">
      <c r="A795" t="s">
        <v>1498</v>
      </c>
      <c r="B795" t="s">
        <v>1499</v>
      </c>
      <c r="C795" t="s">
        <v>2467</v>
      </c>
      <c r="D795" t="s">
        <v>31</v>
      </c>
      <c r="E795">
        <v>2</v>
      </c>
      <c r="F795" t="s">
        <v>13</v>
      </c>
      <c r="G795" t="s">
        <v>10</v>
      </c>
    </row>
    <row r="796" spans="1:7" x14ac:dyDescent="0.3">
      <c r="A796" t="s">
        <v>1500</v>
      </c>
      <c r="B796" t="s">
        <v>1501</v>
      </c>
      <c r="C796" t="s">
        <v>2270</v>
      </c>
      <c r="D796" t="s">
        <v>22</v>
      </c>
      <c r="E796">
        <v>4</v>
      </c>
      <c r="F796" t="s">
        <v>13</v>
      </c>
      <c r="G796" t="s">
        <v>10</v>
      </c>
    </row>
    <row r="797" spans="1:7" x14ac:dyDescent="0.3">
      <c r="A797" t="s">
        <v>1502</v>
      </c>
      <c r="B797" t="s">
        <v>670</v>
      </c>
      <c r="C797" t="s">
        <v>2384</v>
      </c>
      <c r="D797" t="s">
        <v>37</v>
      </c>
      <c r="E797">
        <v>5</v>
      </c>
      <c r="F797" t="s">
        <v>10</v>
      </c>
      <c r="G797" t="s">
        <v>10</v>
      </c>
    </row>
    <row r="798" spans="1:7" x14ac:dyDescent="0.3">
      <c r="A798" t="s">
        <v>1503</v>
      </c>
      <c r="B798" t="s">
        <v>1504</v>
      </c>
      <c r="C798" t="s">
        <v>2169</v>
      </c>
      <c r="D798" t="s">
        <v>16</v>
      </c>
      <c r="E798">
        <v>5</v>
      </c>
      <c r="F798" t="s">
        <v>10</v>
      </c>
      <c r="G798" t="s">
        <v>10</v>
      </c>
    </row>
    <row r="799" spans="1:7" x14ac:dyDescent="0.3">
      <c r="A799" t="s">
        <v>1505</v>
      </c>
      <c r="B799" t="s">
        <v>1506</v>
      </c>
      <c r="C799" t="s">
        <v>2225</v>
      </c>
      <c r="D799" t="s">
        <v>16</v>
      </c>
      <c r="E799">
        <v>5</v>
      </c>
      <c r="F799" t="s">
        <v>13</v>
      </c>
      <c r="G799" t="s">
        <v>10</v>
      </c>
    </row>
    <row r="800" spans="1:7" x14ac:dyDescent="0.3">
      <c r="A800" t="s">
        <v>1507</v>
      </c>
      <c r="B800" t="s">
        <v>1508</v>
      </c>
      <c r="C800" t="s">
        <v>2373</v>
      </c>
      <c r="D800" t="s">
        <v>22</v>
      </c>
      <c r="E800">
        <v>4</v>
      </c>
      <c r="F800" t="s">
        <v>10</v>
      </c>
      <c r="G800" t="s">
        <v>13</v>
      </c>
    </row>
    <row r="801" spans="1:7" x14ac:dyDescent="0.3">
      <c r="A801" t="s">
        <v>1509</v>
      </c>
      <c r="B801" t="s">
        <v>1510</v>
      </c>
      <c r="C801" t="s">
        <v>2468</v>
      </c>
      <c r="D801" t="s">
        <v>68</v>
      </c>
      <c r="E801">
        <v>2</v>
      </c>
      <c r="F801" t="s">
        <v>10</v>
      </c>
      <c r="G801" t="s">
        <v>10</v>
      </c>
    </row>
    <row r="802" spans="1:7" x14ac:dyDescent="0.3">
      <c r="A802" t="s">
        <v>1511</v>
      </c>
      <c r="B802" t="s">
        <v>1512</v>
      </c>
      <c r="C802" t="s">
        <v>2469</v>
      </c>
      <c r="D802" t="s">
        <v>22</v>
      </c>
      <c r="E802">
        <v>5</v>
      </c>
      <c r="F802" t="s">
        <v>10</v>
      </c>
      <c r="G802" t="s">
        <v>10</v>
      </c>
    </row>
    <row r="803" spans="1:7" x14ac:dyDescent="0.3">
      <c r="A803" t="s">
        <v>1513</v>
      </c>
      <c r="B803" t="s">
        <v>1514</v>
      </c>
      <c r="C803" t="s">
        <v>2392</v>
      </c>
      <c r="D803" t="s">
        <v>28</v>
      </c>
      <c r="E803">
        <v>5</v>
      </c>
      <c r="F803" t="s">
        <v>10</v>
      </c>
      <c r="G803" t="s">
        <v>13</v>
      </c>
    </row>
    <row r="804" spans="1:7" x14ac:dyDescent="0.3">
      <c r="A804" t="s">
        <v>1515</v>
      </c>
      <c r="B804" t="s">
        <v>621</v>
      </c>
      <c r="C804" t="s">
        <v>2470</v>
      </c>
      <c r="D804" t="s">
        <v>22</v>
      </c>
      <c r="E804">
        <v>4</v>
      </c>
      <c r="F804" t="s">
        <v>13</v>
      </c>
      <c r="G804" t="s">
        <v>13</v>
      </c>
    </row>
    <row r="805" spans="1:7" x14ac:dyDescent="0.3">
      <c r="A805" t="s">
        <v>1516</v>
      </c>
      <c r="B805" t="s">
        <v>1517</v>
      </c>
      <c r="C805" t="s">
        <v>2089</v>
      </c>
      <c r="D805" t="s">
        <v>28</v>
      </c>
      <c r="E805">
        <v>5</v>
      </c>
      <c r="F805" t="s">
        <v>13</v>
      </c>
      <c r="G805" t="s">
        <v>13</v>
      </c>
    </row>
    <row r="806" spans="1:7" x14ac:dyDescent="0.3">
      <c r="A806" t="s">
        <v>1518</v>
      </c>
      <c r="B806" t="s">
        <v>1519</v>
      </c>
      <c r="C806" t="s">
        <v>2471</v>
      </c>
      <c r="D806" t="s">
        <v>37</v>
      </c>
      <c r="E806">
        <v>4</v>
      </c>
      <c r="F806" t="s">
        <v>13</v>
      </c>
      <c r="G806" t="s">
        <v>10</v>
      </c>
    </row>
    <row r="807" spans="1:7" x14ac:dyDescent="0.3">
      <c r="A807" t="s">
        <v>1520</v>
      </c>
      <c r="B807" t="s">
        <v>1521</v>
      </c>
      <c r="C807" t="s">
        <v>2472</v>
      </c>
      <c r="D807" t="s">
        <v>19</v>
      </c>
      <c r="E807">
        <v>2</v>
      </c>
      <c r="F807" t="s">
        <v>10</v>
      </c>
      <c r="G807" t="s">
        <v>10</v>
      </c>
    </row>
    <row r="808" spans="1:7" x14ac:dyDescent="0.3">
      <c r="A808" t="s">
        <v>1522</v>
      </c>
      <c r="B808" t="s">
        <v>515</v>
      </c>
      <c r="C808" t="s">
        <v>2473</v>
      </c>
      <c r="D808" t="s">
        <v>83</v>
      </c>
      <c r="E808">
        <v>2</v>
      </c>
      <c r="F808" t="s">
        <v>13</v>
      </c>
      <c r="G808" t="s">
        <v>10</v>
      </c>
    </row>
    <row r="809" spans="1:7" x14ac:dyDescent="0.3">
      <c r="A809" t="s">
        <v>1523</v>
      </c>
      <c r="B809" t="s">
        <v>1524</v>
      </c>
      <c r="C809" t="s">
        <v>2474</v>
      </c>
      <c r="D809" t="s">
        <v>28</v>
      </c>
      <c r="E809">
        <v>5</v>
      </c>
      <c r="F809" t="s">
        <v>13</v>
      </c>
      <c r="G809" t="s">
        <v>13</v>
      </c>
    </row>
    <row r="810" spans="1:7" x14ac:dyDescent="0.3">
      <c r="A810" t="s">
        <v>1525</v>
      </c>
      <c r="B810" t="s">
        <v>1526</v>
      </c>
      <c r="C810" t="s">
        <v>2475</v>
      </c>
      <c r="D810" t="s">
        <v>22</v>
      </c>
      <c r="E810">
        <v>4</v>
      </c>
      <c r="F810" t="s">
        <v>10</v>
      </c>
      <c r="G810" t="s">
        <v>13</v>
      </c>
    </row>
    <row r="811" spans="1:7" x14ac:dyDescent="0.3">
      <c r="A811" t="s">
        <v>1527</v>
      </c>
      <c r="B811" t="s">
        <v>1528</v>
      </c>
      <c r="C811" t="s">
        <v>2106</v>
      </c>
      <c r="D811" t="s">
        <v>19</v>
      </c>
      <c r="E811">
        <v>3</v>
      </c>
      <c r="F811" t="s">
        <v>13</v>
      </c>
      <c r="G811" t="s">
        <v>10</v>
      </c>
    </row>
    <row r="812" spans="1:7" x14ac:dyDescent="0.3">
      <c r="A812" t="s">
        <v>1529</v>
      </c>
      <c r="B812" t="s">
        <v>1530</v>
      </c>
      <c r="C812" t="s">
        <v>2225</v>
      </c>
      <c r="D812" t="s">
        <v>31</v>
      </c>
      <c r="E812">
        <v>2</v>
      </c>
      <c r="F812" t="s">
        <v>10</v>
      </c>
      <c r="G812" t="s">
        <v>10</v>
      </c>
    </row>
    <row r="813" spans="1:7" x14ac:dyDescent="0.3">
      <c r="A813" t="s">
        <v>1531</v>
      </c>
      <c r="B813" t="s">
        <v>588</v>
      </c>
      <c r="C813" t="s">
        <v>1858</v>
      </c>
      <c r="D813" t="s">
        <v>9</v>
      </c>
      <c r="E813">
        <v>1</v>
      </c>
      <c r="F813" t="s">
        <v>10</v>
      </c>
      <c r="G813" t="s">
        <v>10</v>
      </c>
    </row>
    <row r="814" spans="1:7" x14ac:dyDescent="0.3">
      <c r="A814" t="s">
        <v>1532</v>
      </c>
      <c r="B814" t="s">
        <v>1533</v>
      </c>
      <c r="C814" t="s">
        <v>2124</v>
      </c>
      <c r="D814" t="s">
        <v>19</v>
      </c>
      <c r="E814">
        <v>3</v>
      </c>
      <c r="F814" t="s">
        <v>10</v>
      </c>
      <c r="G814" t="s">
        <v>10</v>
      </c>
    </row>
    <row r="815" spans="1:7" x14ac:dyDescent="0.3">
      <c r="A815" t="s">
        <v>1534</v>
      </c>
      <c r="B815" t="s">
        <v>1535</v>
      </c>
      <c r="C815" t="s">
        <v>2084</v>
      </c>
      <c r="D815" t="s">
        <v>68</v>
      </c>
      <c r="E815">
        <v>1</v>
      </c>
      <c r="F815" t="s">
        <v>13</v>
      </c>
      <c r="G815" t="s">
        <v>13</v>
      </c>
    </row>
    <row r="816" spans="1:7" x14ac:dyDescent="0.3">
      <c r="A816" t="s">
        <v>1536</v>
      </c>
      <c r="B816" t="s">
        <v>1537</v>
      </c>
      <c r="C816" t="s">
        <v>2476</v>
      </c>
      <c r="D816" t="s">
        <v>83</v>
      </c>
      <c r="E816">
        <v>3</v>
      </c>
      <c r="F816" t="s">
        <v>10</v>
      </c>
      <c r="G816" t="s">
        <v>10</v>
      </c>
    </row>
    <row r="817" spans="1:7" x14ac:dyDescent="0.3">
      <c r="A817" t="s">
        <v>1538</v>
      </c>
      <c r="B817" t="s">
        <v>615</v>
      </c>
      <c r="C817" t="s">
        <v>1980</v>
      </c>
      <c r="D817" t="s">
        <v>83</v>
      </c>
      <c r="E817">
        <v>1</v>
      </c>
      <c r="F817" t="s">
        <v>10</v>
      </c>
      <c r="G817" t="s">
        <v>10</v>
      </c>
    </row>
    <row r="818" spans="1:7" x14ac:dyDescent="0.3">
      <c r="A818" t="s">
        <v>1539</v>
      </c>
      <c r="B818" t="s">
        <v>640</v>
      </c>
      <c r="C818" t="s">
        <v>2477</v>
      </c>
      <c r="D818" t="s">
        <v>31</v>
      </c>
      <c r="E818">
        <v>1</v>
      </c>
      <c r="F818" t="s">
        <v>10</v>
      </c>
      <c r="G818" t="s">
        <v>10</v>
      </c>
    </row>
    <row r="819" spans="1:7" x14ac:dyDescent="0.3">
      <c r="A819" t="s">
        <v>1540</v>
      </c>
      <c r="B819" t="s">
        <v>1541</v>
      </c>
      <c r="C819" t="s">
        <v>2478</v>
      </c>
      <c r="D819" t="s">
        <v>28</v>
      </c>
      <c r="E819">
        <v>5</v>
      </c>
      <c r="F819" t="s">
        <v>13</v>
      </c>
      <c r="G819" t="s">
        <v>13</v>
      </c>
    </row>
    <row r="820" spans="1:7" x14ac:dyDescent="0.3">
      <c r="A820" t="s">
        <v>1542</v>
      </c>
      <c r="B820" t="s">
        <v>1543</v>
      </c>
      <c r="C820" t="s">
        <v>2479</v>
      </c>
      <c r="D820" t="s">
        <v>19</v>
      </c>
      <c r="E820">
        <v>2</v>
      </c>
      <c r="F820" t="s">
        <v>10</v>
      </c>
      <c r="G820" t="s">
        <v>13</v>
      </c>
    </row>
    <row r="821" spans="1:7" x14ac:dyDescent="0.3">
      <c r="A821" t="s">
        <v>1544</v>
      </c>
      <c r="B821" t="s">
        <v>1545</v>
      </c>
      <c r="C821" t="s">
        <v>2480</v>
      </c>
      <c r="D821" t="s">
        <v>83</v>
      </c>
      <c r="E821">
        <v>2</v>
      </c>
      <c r="F821" t="s">
        <v>13</v>
      </c>
      <c r="G821" t="s">
        <v>13</v>
      </c>
    </row>
    <row r="822" spans="1:7" x14ac:dyDescent="0.3">
      <c r="A822" t="s">
        <v>1546</v>
      </c>
      <c r="B822" t="s">
        <v>311</v>
      </c>
      <c r="C822" t="s">
        <v>2481</v>
      </c>
      <c r="D822" t="s">
        <v>9</v>
      </c>
      <c r="E822">
        <v>1</v>
      </c>
      <c r="F822" t="s">
        <v>13</v>
      </c>
      <c r="G822" t="s">
        <v>13</v>
      </c>
    </row>
    <row r="823" spans="1:7" x14ac:dyDescent="0.3">
      <c r="A823" t="s">
        <v>1547</v>
      </c>
      <c r="B823" t="s">
        <v>1017</v>
      </c>
      <c r="C823" t="s">
        <v>2482</v>
      </c>
      <c r="D823" t="s">
        <v>22</v>
      </c>
      <c r="E823">
        <v>5</v>
      </c>
      <c r="F823" t="s">
        <v>13</v>
      </c>
      <c r="G823" t="s">
        <v>13</v>
      </c>
    </row>
    <row r="824" spans="1:7" x14ac:dyDescent="0.3">
      <c r="A824" t="s">
        <v>1548</v>
      </c>
      <c r="B824" t="s">
        <v>1549</v>
      </c>
      <c r="C824" t="s">
        <v>2483</v>
      </c>
      <c r="D824" t="s">
        <v>37</v>
      </c>
      <c r="E824">
        <v>4</v>
      </c>
      <c r="F824" t="s">
        <v>10</v>
      </c>
      <c r="G824" t="s">
        <v>13</v>
      </c>
    </row>
    <row r="825" spans="1:7" x14ac:dyDescent="0.3">
      <c r="A825" t="s">
        <v>1550</v>
      </c>
      <c r="B825" t="s">
        <v>1551</v>
      </c>
      <c r="C825" t="s">
        <v>1962</v>
      </c>
      <c r="D825" t="s">
        <v>28</v>
      </c>
      <c r="E825">
        <v>4</v>
      </c>
      <c r="F825" t="s">
        <v>10</v>
      </c>
      <c r="G825" t="s">
        <v>10</v>
      </c>
    </row>
    <row r="826" spans="1:7" x14ac:dyDescent="0.3">
      <c r="A826" t="s">
        <v>1552</v>
      </c>
      <c r="B826" t="s">
        <v>105</v>
      </c>
      <c r="C826" t="s">
        <v>2265</v>
      </c>
      <c r="D826" t="s">
        <v>37</v>
      </c>
      <c r="E826">
        <v>3</v>
      </c>
      <c r="F826" t="s">
        <v>13</v>
      </c>
      <c r="G826" t="s">
        <v>10</v>
      </c>
    </row>
    <row r="827" spans="1:7" x14ac:dyDescent="0.3">
      <c r="A827" t="s">
        <v>1553</v>
      </c>
      <c r="B827" t="s">
        <v>1554</v>
      </c>
      <c r="C827" t="s">
        <v>2048</v>
      </c>
      <c r="D827" t="s">
        <v>83</v>
      </c>
      <c r="E827">
        <v>1</v>
      </c>
      <c r="F827" t="s">
        <v>13</v>
      </c>
      <c r="G827" t="s">
        <v>13</v>
      </c>
    </row>
    <row r="828" spans="1:7" x14ac:dyDescent="0.3">
      <c r="A828" t="s">
        <v>1555</v>
      </c>
      <c r="B828" t="s">
        <v>1556</v>
      </c>
      <c r="C828" t="s">
        <v>2484</v>
      </c>
      <c r="D828" t="s">
        <v>16</v>
      </c>
      <c r="E828">
        <v>4</v>
      </c>
      <c r="F828" t="s">
        <v>10</v>
      </c>
      <c r="G828" t="s">
        <v>13</v>
      </c>
    </row>
    <row r="829" spans="1:7" x14ac:dyDescent="0.3">
      <c r="A829" t="s">
        <v>1557</v>
      </c>
      <c r="B829" t="s">
        <v>1558</v>
      </c>
      <c r="C829" t="s">
        <v>2485</v>
      </c>
      <c r="D829" t="s">
        <v>9</v>
      </c>
      <c r="E829">
        <v>1</v>
      </c>
      <c r="F829" t="s">
        <v>13</v>
      </c>
      <c r="G829" t="s">
        <v>10</v>
      </c>
    </row>
    <row r="830" spans="1:7" x14ac:dyDescent="0.3">
      <c r="A830" t="s">
        <v>1559</v>
      </c>
      <c r="B830" t="s">
        <v>666</v>
      </c>
      <c r="C830" t="s">
        <v>2486</v>
      </c>
      <c r="D830" t="s">
        <v>25</v>
      </c>
      <c r="E830">
        <v>5</v>
      </c>
      <c r="F830" t="s">
        <v>13</v>
      </c>
      <c r="G830" t="s">
        <v>13</v>
      </c>
    </row>
    <row r="831" spans="1:7" x14ac:dyDescent="0.3">
      <c r="A831" t="s">
        <v>1560</v>
      </c>
      <c r="B831" t="s">
        <v>970</v>
      </c>
      <c r="C831" t="s">
        <v>2487</v>
      </c>
      <c r="D831" t="s">
        <v>16</v>
      </c>
      <c r="E831">
        <v>5</v>
      </c>
      <c r="F831" t="s">
        <v>10</v>
      </c>
      <c r="G831" t="s">
        <v>10</v>
      </c>
    </row>
    <row r="832" spans="1:7" x14ac:dyDescent="0.3">
      <c r="A832" t="s">
        <v>1561</v>
      </c>
      <c r="B832" t="s">
        <v>1562</v>
      </c>
      <c r="C832" t="s">
        <v>2488</v>
      </c>
      <c r="D832" t="s">
        <v>25</v>
      </c>
      <c r="E832">
        <v>5</v>
      </c>
      <c r="F832" t="s">
        <v>10</v>
      </c>
      <c r="G832" t="s">
        <v>13</v>
      </c>
    </row>
    <row r="833" spans="1:7" x14ac:dyDescent="0.3">
      <c r="A833" t="s">
        <v>1563</v>
      </c>
      <c r="B833" t="s">
        <v>1564</v>
      </c>
      <c r="C833" t="s">
        <v>2489</v>
      </c>
      <c r="D833" t="s">
        <v>37</v>
      </c>
      <c r="E833">
        <v>3</v>
      </c>
      <c r="F833" t="s">
        <v>10</v>
      </c>
      <c r="G833" t="s">
        <v>13</v>
      </c>
    </row>
    <row r="834" spans="1:7" x14ac:dyDescent="0.3">
      <c r="A834" t="s">
        <v>1565</v>
      </c>
      <c r="B834" t="s">
        <v>1566</v>
      </c>
      <c r="C834" t="s">
        <v>1929</v>
      </c>
      <c r="D834" t="s">
        <v>37</v>
      </c>
      <c r="E834">
        <v>3</v>
      </c>
      <c r="F834" t="s">
        <v>10</v>
      </c>
      <c r="G834" t="s">
        <v>10</v>
      </c>
    </row>
    <row r="835" spans="1:7" x14ac:dyDescent="0.3">
      <c r="A835" t="s">
        <v>1567</v>
      </c>
      <c r="B835" t="s">
        <v>1568</v>
      </c>
      <c r="C835" t="s">
        <v>2445</v>
      </c>
      <c r="D835" t="s">
        <v>19</v>
      </c>
      <c r="E835">
        <v>3</v>
      </c>
      <c r="F835" t="s">
        <v>13</v>
      </c>
      <c r="G835" t="s">
        <v>13</v>
      </c>
    </row>
    <row r="836" spans="1:7" x14ac:dyDescent="0.3">
      <c r="A836" t="s">
        <v>1569</v>
      </c>
      <c r="B836" t="s">
        <v>1570</v>
      </c>
      <c r="C836" t="s">
        <v>2490</v>
      </c>
      <c r="D836" t="s">
        <v>83</v>
      </c>
      <c r="E836">
        <v>2</v>
      </c>
      <c r="F836" t="s">
        <v>10</v>
      </c>
      <c r="G836" t="s">
        <v>10</v>
      </c>
    </row>
    <row r="837" spans="1:7" x14ac:dyDescent="0.3">
      <c r="A837" t="s">
        <v>1571</v>
      </c>
      <c r="B837" t="s">
        <v>1223</v>
      </c>
      <c r="C837" t="s">
        <v>2491</v>
      </c>
      <c r="D837" t="s">
        <v>19</v>
      </c>
      <c r="E837">
        <v>2</v>
      </c>
      <c r="F837" t="s">
        <v>13</v>
      </c>
      <c r="G837" t="s">
        <v>13</v>
      </c>
    </row>
    <row r="838" spans="1:7" x14ac:dyDescent="0.3">
      <c r="A838" t="s">
        <v>1572</v>
      </c>
      <c r="B838" t="s">
        <v>1573</v>
      </c>
      <c r="C838" t="s">
        <v>2289</v>
      </c>
      <c r="D838" t="s">
        <v>19</v>
      </c>
      <c r="E838">
        <v>2</v>
      </c>
      <c r="F838" t="s">
        <v>13</v>
      </c>
      <c r="G838" t="s">
        <v>10</v>
      </c>
    </row>
    <row r="839" spans="1:7" x14ac:dyDescent="0.3">
      <c r="A839" t="s">
        <v>1574</v>
      </c>
      <c r="B839" t="s">
        <v>1575</v>
      </c>
      <c r="C839" t="s">
        <v>2492</v>
      </c>
      <c r="D839" t="s">
        <v>19</v>
      </c>
      <c r="E839">
        <v>3</v>
      </c>
      <c r="F839" t="s">
        <v>10</v>
      </c>
      <c r="G839" t="s">
        <v>13</v>
      </c>
    </row>
    <row r="840" spans="1:7" x14ac:dyDescent="0.3">
      <c r="A840" t="s">
        <v>1576</v>
      </c>
      <c r="B840" t="s">
        <v>1577</v>
      </c>
      <c r="C840" t="s">
        <v>2493</v>
      </c>
      <c r="D840" t="s">
        <v>28</v>
      </c>
      <c r="E840">
        <v>5</v>
      </c>
      <c r="F840" t="s">
        <v>10</v>
      </c>
      <c r="G840" t="s">
        <v>10</v>
      </c>
    </row>
    <row r="841" spans="1:7" x14ac:dyDescent="0.3">
      <c r="A841" t="s">
        <v>1578</v>
      </c>
      <c r="B841" t="s">
        <v>1579</v>
      </c>
      <c r="C841" t="s">
        <v>2366</v>
      </c>
      <c r="D841" t="s">
        <v>37</v>
      </c>
      <c r="E841">
        <v>5</v>
      </c>
      <c r="F841" t="s">
        <v>10</v>
      </c>
      <c r="G841" t="s">
        <v>13</v>
      </c>
    </row>
    <row r="842" spans="1:7" x14ac:dyDescent="0.3">
      <c r="A842" t="s">
        <v>1580</v>
      </c>
      <c r="B842" t="s">
        <v>1581</v>
      </c>
      <c r="C842" t="s">
        <v>2494</v>
      </c>
      <c r="D842" t="s">
        <v>28</v>
      </c>
      <c r="E842">
        <v>5</v>
      </c>
      <c r="F842" t="s">
        <v>10</v>
      </c>
      <c r="G842" t="s">
        <v>13</v>
      </c>
    </row>
    <row r="843" spans="1:7" x14ac:dyDescent="0.3">
      <c r="A843" t="s">
        <v>1582</v>
      </c>
      <c r="B843" t="s">
        <v>1583</v>
      </c>
      <c r="C843" t="s">
        <v>2361</v>
      </c>
      <c r="D843" t="s">
        <v>22</v>
      </c>
      <c r="E843">
        <v>5</v>
      </c>
      <c r="F843" t="s">
        <v>10</v>
      </c>
      <c r="G843" t="s">
        <v>13</v>
      </c>
    </row>
    <row r="844" spans="1:7" x14ac:dyDescent="0.3">
      <c r="A844" t="s">
        <v>1584</v>
      </c>
      <c r="B844" t="s">
        <v>1585</v>
      </c>
      <c r="C844" t="s">
        <v>2302</v>
      </c>
      <c r="D844" t="s">
        <v>83</v>
      </c>
      <c r="E844">
        <v>1</v>
      </c>
      <c r="F844" t="s">
        <v>10</v>
      </c>
      <c r="G844" t="s">
        <v>10</v>
      </c>
    </row>
    <row r="845" spans="1:7" x14ac:dyDescent="0.3">
      <c r="A845" t="s">
        <v>1586</v>
      </c>
      <c r="B845" t="s">
        <v>1190</v>
      </c>
      <c r="C845" t="s">
        <v>2495</v>
      </c>
      <c r="D845" t="s">
        <v>28</v>
      </c>
      <c r="E845">
        <v>4</v>
      </c>
      <c r="F845" t="s">
        <v>10</v>
      </c>
      <c r="G845" t="s">
        <v>13</v>
      </c>
    </row>
    <row r="846" spans="1:7" x14ac:dyDescent="0.3">
      <c r="A846" t="s">
        <v>1587</v>
      </c>
      <c r="B846" t="s">
        <v>1588</v>
      </c>
      <c r="C846" t="s">
        <v>2496</v>
      </c>
      <c r="D846" t="s">
        <v>68</v>
      </c>
      <c r="E846">
        <v>1</v>
      </c>
      <c r="F846" t="s">
        <v>13</v>
      </c>
      <c r="G846" t="s">
        <v>10</v>
      </c>
    </row>
    <row r="847" spans="1:7" x14ac:dyDescent="0.3">
      <c r="A847" t="s">
        <v>1589</v>
      </c>
      <c r="B847" t="s">
        <v>1590</v>
      </c>
      <c r="C847" t="s">
        <v>2160</v>
      </c>
      <c r="D847" t="s">
        <v>37</v>
      </c>
      <c r="E847">
        <v>3</v>
      </c>
      <c r="F847" t="s">
        <v>13</v>
      </c>
      <c r="G847" t="s">
        <v>10</v>
      </c>
    </row>
    <row r="848" spans="1:7" x14ac:dyDescent="0.3">
      <c r="A848" t="s">
        <v>1591</v>
      </c>
      <c r="B848" t="s">
        <v>1592</v>
      </c>
      <c r="C848" t="s">
        <v>2497</v>
      </c>
      <c r="D848" t="s">
        <v>28</v>
      </c>
      <c r="E848">
        <v>4</v>
      </c>
      <c r="F848" t="s">
        <v>10</v>
      </c>
      <c r="G848" t="s">
        <v>13</v>
      </c>
    </row>
    <row r="849" spans="1:7" x14ac:dyDescent="0.3">
      <c r="A849" t="s">
        <v>1593</v>
      </c>
      <c r="B849" t="s">
        <v>1594</v>
      </c>
      <c r="C849" t="s">
        <v>2498</v>
      </c>
      <c r="D849" t="s">
        <v>16</v>
      </c>
      <c r="E849">
        <v>5</v>
      </c>
      <c r="F849" t="s">
        <v>13</v>
      </c>
      <c r="G849" t="s">
        <v>10</v>
      </c>
    </row>
    <row r="850" spans="1:7" x14ac:dyDescent="0.3">
      <c r="A850" t="s">
        <v>1595</v>
      </c>
      <c r="B850" t="s">
        <v>1596</v>
      </c>
      <c r="C850" t="s">
        <v>2499</v>
      </c>
      <c r="D850" t="s">
        <v>22</v>
      </c>
      <c r="E850">
        <v>5</v>
      </c>
      <c r="F850" t="s">
        <v>10</v>
      </c>
      <c r="G850" t="s">
        <v>13</v>
      </c>
    </row>
    <row r="851" spans="1:7" x14ac:dyDescent="0.3">
      <c r="A851" t="s">
        <v>1597</v>
      </c>
      <c r="B851" t="s">
        <v>1598</v>
      </c>
      <c r="C851" t="s">
        <v>1944</v>
      </c>
      <c r="D851" t="s">
        <v>25</v>
      </c>
      <c r="E851">
        <v>4</v>
      </c>
      <c r="F851" t="s">
        <v>13</v>
      </c>
      <c r="G851" t="s">
        <v>13</v>
      </c>
    </row>
    <row r="852" spans="1:7" x14ac:dyDescent="0.3">
      <c r="A852" t="s">
        <v>1599</v>
      </c>
      <c r="B852" t="s">
        <v>1600</v>
      </c>
      <c r="C852" t="s">
        <v>2500</v>
      </c>
      <c r="D852" t="s">
        <v>31</v>
      </c>
      <c r="E852">
        <v>1</v>
      </c>
      <c r="F852" t="s">
        <v>10</v>
      </c>
      <c r="G852" t="s">
        <v>13</v>
      </c>
    </row>
    <row r="853" spans="1:7" x14ac:dyDescent="0.3">
      <c r="A853" t="s">
        <v>1601</v>
      </c>
      <c r="B853" t="s">
        <v>1602</v>
      </c>
      <c r="C853" t="s">
        <v>2501</v>
      </c>
      <c r="D853" t="s">
        <v>83</v>
      </c>
      <c r="E853">
        <v>3</v>
      </c>
      <c r="F853" t="s">
        <v>13</v>
      </c>
      <c r="G853" t="s">
        <v>10</v>
      </c>
    </row>
    <row r="854" spans="1:7" x14ac:dyDescent="0.3">
      <c r="A854" t="s">
        <v>1603</v>
      </c>
      <c r="B854" t="s">
        <v>148</v>
      </c>
      <c r="C854" t="s">
        <v>2180</v>
      </c>
      <c r="D854" t="s">
        <v>68</v>
      </c>
      <c r="E854">
        <v>2</v>
      </c>
      <c r="F854" t="s">
        <v>10</v>
      </c>
      <c r="G854" t="s">
        <v>10</v>
      </c>
    </row>
    <row r="855" spans="1:7" x14ac:dyDescent="0.3">
      <c r="A855" t="s">
        <v>1604</v>
      </c>
      <c r="B855" t="s">
        <v>1605</v>
      </c>
      <c r="C855" t="s">
        <v>2263</v>
      </c>
      <c r="D855" t="s">
        <v>31</v>
      </c>
      <c r="E855">
        <v>1</v>
      </c>
      <c r="F855" t="s">
        <v>13</v>
      </c>
      <c r="G855" t="s">
        <v>10</v>
      </c>
    </row>
    <row r="856" spans="1:7" x14ac:dyDescent="0.3">
      <c r="A856" t="s">
        <v>1606</v>
      </c>
      <c r="B856" t="s">
        <v>1607</v>
      </c>
      <c r="C856" t="s">
        <v>2502</v>
      </c>
      <c r="D856" t="s">
        <v>37</v>
      </c>
      <c r="E856">
        <v>3</v>
      </c>
      <c r="F856" t="s">
        <v>10</v>
      </c>
      <c r="G856" t="s">
        <v>10</v>
      </c>
    </row>
    <row r="857" spans="1:7" x14ac:dyDescent="0.3">
      <c r="A857" t="s">
        <v>1608</v>
      </c>
      <c r="B857" t="s">
        <v>1609</v>
      </c>
      <c r="C857" t="s">
        <v>1890</v>
      </c>
      <c r="D857" t="s">
        <v>68</v>
      </c>
      <c r="E857">
        <v>1</v>
      </c>
      <c r="F857" t="s">
        <v>10</v>
      </c>
      <c r="G857" t="s">
        <v>10</v>
      </c>
    </row>
    <row r="858" spans="1:7" x14ac:dyDescent="0.3">
      <c r="A858" t="s">
        <v>1610</v>
      </c>
      <c r="B858" t="s">
        <v>1491</v>
      </c>
      <c r="C858" t="s">
        <v>2503</v>
      </c>
      <c r="D858" t="s">
        <v>37</v>
      </c>
      <c r="E858">
        <v>4</v>
      </c>
      <c r="F858" t="s">
        <v>10</v>
      </c>
      <c r="G858" t="s">
        <v>10</v>
      </c>
    </row>
    <row r="859" spans="1:7" x14ac:dyDescent="0.3">
      <c r="A859" t="s">
        <v>1611</v>
      </c>
      <c r="B859" t="s">
        <v>1612</v>
      </c>
      <c r="C859" t="s">
        <v>2504</v>
      </c>
      <c r="D859" t="s">
        <v>83</v>
      </c>
      <c r="E859">
        <v>2</v>
      </c>
      <c r="F859" t="s">
        <v>10</v>
      </c>
      <c r="G859" t="s">
        <v>13</v>
      </c>
    </row>
    <row r="860" spans="1:7" x14ac:dyDescent="0.3">
      <c r="A860" t="s">
        <v>1613</v>
      </c>
      <c r="B860" t="s">
        <v>1614</v>
      </c>
      <c r="C860" t="s">
        <v>2505</v>
      </c>
      <c r="D860" t="s">
        <v>68</v>
      </c>
      <c r="E860">
        <v>2</v>
      </c>
      <c r="F860" t="s">
        <v>10</v>
      </c>
      <c r="G860" t="s">
        <v>10</v>
      </c>
    </row>
    <row r="861" spans="1:7" x14ac:dyDescent="0.3">
      <c r="A861" t="s">
        <v>1615</v>
      </c>
      <c r="B861" t="s">
        <v>1616</v>
      </c>
      <c r="C861" t="s">
        <v>2506</v>
      </c>
      <c r="D861" t="s">
        <v>83</v>
      </c>
      <c r="E861">
        <v>2</v>
      </c>
      <c r="F861" t="s">
        <v>10</v>
      </c>
      <c r="G861" t="s">
        <v>13</v>
      </c>
    </row>
    <row r="862" spans="1:7" x14ac:dyDescent="0.3">
      <c r="A862" t="s">
        <v>1617</v>
      </c>
      <c r="B862" t="s">
        <v>1618</v>
      </c>
      <c r="C862" t="s">
        <v>1963</v>
      </c>
      <c r="D862" t="s">
        <v>28</v>
      </c>
      <c r="E862">
        <v>5</v>
      </c>
      <c r="F862" t="s">
        <v>13</v>
      </c>
      <c r="G862" t="s">
        <v>13</v>
      </c>
    </row>
    <row r="863" spans="1:7" x14ac:dyDescent="0.3">
      <c r="A863" t="s">
        <v>1619</v>
      </c>
      <c r="B863" t="s">
        <v>1620</v>
      </c>
      <c r="C863" t="s">
        <v>1871</v>
      </c>
      <c r="D863" t="s">
        <v>68</v>
      </c>
      <c r="E863">
        <v>2</v>
      </c>
      <c r="F863" t="s">
        <v>10</v>
      </c>
      <c r="G863" t="s">
        <v>10</v>
      </c>
    </row>
    <row r="864" spans="1:7" x14ac:dyDescent="0.3">
      <c r="A864" t="s">
        <v>1621</v>
      </c>
      <c r="B864" t="s">
        <v>1622</v>
      </c>
      <c r="C864" t="s">
        <v>2507</v>
      </c>
      <c r="D864" t="s">
        <v>68</v>
      </c>
      <c r="E864">
        <v>2</v>
      </c>
      <c r="F864" t="s">
        <v>13</v>
      </c>
      <c r="G864" t="s">
        <v>10</v>
      </c>
    </row>
    <row r="865" spans="1:7" x14ac:dyDescent="0.3">
      <c r="A865" t="s">
        <v>1623</v>
      </c>
      <c r="B865" t="s">
        <v>1624</v>
      </c>
      <c r="C865" t="s">
        <v>2477</v>
      </c>
      <c r="D865" t="s">
        <v>37</v>
      </c>
      <c r="E865">
        <v>3</v>
      </c>
      <c r="F865" t="s">
        <v>10</v>
      </c>
      <c r="G865" t="s">
        <v>10</v>
      </c>
    </row>
    <row r="866" spans="1:7" x14ac:dyDescent="0.3">
      <c r="A866" t="s">
        <v>1625</v>
      </c>
      <c r="B866" t="s">
        <v>615</v>
      </c>
      <c r="C866" t="s">
        <v>1884</v>
      </c>
      <c r="D866" t="s">
        <v>16</v>
      </c>
      <c r="E866">
        <v>4</v>
      </c>
      <c r="F866" t="s">
        <v>13</v>
      </c>
      <c r="G866" t="s">
        <v>10</v>
      </c>
    </row>
    <row r="867" spans="1:7" x14ac:dyDescent="0.3">
      <c r="A867" t="s">
        <v>1626</v>
      </c>
      <c r="B867" t="s">
        <v>244</v>
      </c>
      <c r="C867" t="s">
        <v>2508</v>
      </c>
      <c r="D867" t="s">
        <v>9</v>
      </c>
      <c r="E867">
        <v>1</v>
      </c>
      <c r="F867" t="s">
        <v>10</v>
      </c>
      <c r="G867" t="s">
        <v>13</v>
      </c>
    </row>
    <row r="868" spans="1:7" x14ac:dyDescent="0.3">
      <c r="A868" t="s">
        <v>1627</v>
      </c>
      <c r="B868" t="s">
        <v>1628</v>
      </c>
      <c r="C868" t="s">
        <v>2509</v>
      </c>
      <c r="D868" t="s">
        <v>31</v>
      </c>
      <c r="E868">
        <v>2</v>
      </c>
      <c r="F868" t="s">
        <v>13</v>
      </c>
      <c r="G868" t="s">
        <v>13</v>
      </c>
    </row>
    <row r="869" spans="1:7" x14ac:dyDescent="0.3">
      <c r="A869" t="s">
        <v>1629</v>
      </c>
      <c r="B869" t="s">
        <v>822</v>
      </c>
      <c r="C869" t="s">
        <v>2510</v>
      </c>
      <c r="D869" t="s">
        <v>37</v>
      </c>
      <c r="E869">
        <v>3</v>
      </c>
      <c r="F869" t="s">
        <v>13</v>
      </c>
      <c r="G869" t="s">
        <v>10</v>
      </c>
    </row>
    <row r="870" spans="1:7" x14ac:dyDescent="0.3">
      <c r="A870" t="s">
        <v>1630</v>
      </c>
      <c r="B870" t="s">
        <v>1631</v>
      </c>
      <c r="C870" t="s">
        <v>2511</v>
      </c>
      <c r="D870" t="s">
        <v>83</v>
      </c>
      <c r="E870">
        <v>1</v>
      </c>
      <c r="F870" t="s">
        <v>10</v>
      </c>
      <c r="G870" t="s">
        <v>10</v>
      </c>
    </row>
    <row r="871" spans="1:7" x14ac:dyDescent="0.3">
      <c r="A871" t="s">
        <v>1632</v>
      </c>
      <c r="B871" t="s">
        <v>1633</v>
      </c>
      <c r="C871" t="s">
        <v>2103</v>
      </c>
      <c r="D871" t="s">
        <v>19</v>
      </c>
      <c r="E871">
        <v>2</v>
      </c>
      <c r="F871" t="s">
        <v>10</v>
      </c>
      <c r="G871" t="s">
        <v>13</v>
      </c>
    </row>
    <row r="872" spans="1:7" x14ac:dyDescent="0.3">
      <c r="A872" t="s">
        <v>1634</v>
      </c>
      <c r="B872" t="s">
        <v>130</v>
      </c>
      <c r="C872" t="s">
        <v>1889</v>
      </c>
      <c r="D872" t="s">
        <v>22</v>
      </c>
      <c r="E872">
        <v>4</v>
      </c>
      <c r="F872" t="s">
        <v>13</v>
      </c>
      <c r="G872" t="s">
        <v>10</v>
      </c>
    </row>
    <row r="873" spans="1:7" x14ac:dyDescent="0.3">
      <c r="A873" t="s">
        <v>1635</v>
      </c>
      <c r="B873" t="s">
        <v>1636</v>
      </c>
      <c r="C873" t="s">
        <v>2469</v>
      </c>
      <c r="D873" t="s">
        <v>31</v>
      </c>
      <c r="E873">
        <v>3</v>
      </c>
      <c r="F873" t="s">
        <v>13</v>
      </c>
      <c r="G873" t="s">
        <v>10</v>
      </c>
    </row>
    <row r="874" spans="1:7" x14ac:dyDescent="0.3">
      <c r="A874" t="s">
        <v>1637</v>
      </c>
      <c r="B874" t="s">
        <v>1638</v>
      </c>
      <c r="C874" t="s">
        <v>2153</v>
      </c>
      <c r="D874" t="s">
        <v>68</v>
      </c>
      <c r="E874">
        <v>1</v>
      </c>
      <c r="F874" t="s">
        <v>10</v>
      </c>
      <c r="G874" t="s">
        <v>10</v>
      </c>
    </row>
    <row r="875" spans="1:7" x14ac:dyDescent="0.3">
      <c r="A875" t="s">
        <v>1639</v>
      </c>
      <c r="B875" t="s">
        <v>172</v>
      </c>
      <c r="C875" t="s">
        <v>2402</v>
      </c>
      <c r="D875" t="s">
        <v>19</v>
      </c>
      <c r="E875">
        <v>3</v>
      </c>
      <c r="F875" t="s">
        <v>10</v>
      </c>
      <c r="G875" t="s">
        <v>10</v>
      </c>
    </row>
    <row r="876" spans="1:7" x14ac:dyDescent="0.3">
      <c r="A876" t="s">
        <v>1640</v>
      </c>
      <c r="B876" t="s">
        <v>1641</v>
      </c>
      <c r="C876" t="s">
        <v>2239</v>
      </c>
      <c r="D876" t="s">
        <v>19</v>
      </c>
      <c r="E876">
        <v>2</v>
      </c>
      <c r="F876" t="s">
        <v>10</v>
      </c>
      <c r="G876" t="s">
        <v>13</v>
      </c>
    </row>
    <row r="877" spans="1:7" x14ac:dyDescent="0.3">
      <c r="A877" t="s">
        <v>1642</v>
      </c>
      <c r="B877" t="s">
        <v>1643</v>
      </c>
      <c r="C877" t="s">
        <v>2136</v>
      </c>
      <c r="D877" t="s">
        <v>83</v>
      </c>
      <c r="E877">
        <v>2</v>
      </c>
      <c r="F877" t="s">
        <v>13</v>
      </c>
      <c r="G877" t="s">
        <v>10</v>
      </c>
    </row>
    <row r="878" spans="1:7" x14ac:dyDescent="0.3">
      <c r="A878" t="s">
        <v>1644</v>
      </c>
      <c r="B878" t="s">
        <v>1645</v>
      </c>
      <c r="C878" t="s">
        <v>2512</v>
      </c>
      <c r="D878" t="s">
        <v>16</v>
      </c>
      <c r="E878">
        <v>5</v>
      </c>
      <c r="F878" t="s">
        <v>13</v>
      </c>
      <c r="G878" t="s">
        <v>13</v>
      </c>
    </row>
    <row r="879" spans="1:7" x14ac:dyDescent="0.3">
      <c r="A879" t="s">
        <v>1646</v>
      </c>
      <c r="B879" t="s">
        <v>1647</v>
      </c>
      <c r="C879" t="s">
        <v>2513</v>
      </c>
      <c r="D879" t="s">
        <v>16</v>
      </c>
      <c r="E879">
        <v>5</v>
      </c>
      <c r="F879" t="s">
        <v>10</v>
      </c>
      <c r="G879" t="s">
        <v>13</v>
      </c>
    </row>
    <row r="880" spans="1:7" x14ac:dyDescent="0.3">
      <c r="A880" t="s">
        <v>1648</v>
      </c>
      <c r="B880" t="s">
        <v>1649</v>
      </c>
      <c r="C880" t="s">
        <v>2514</v>
      </c>
      <c r="D880" t="s">
        <v>9</v>
      </c>
      <c r="E880">
        <v>2</v>
      </c>
      <c r="F880" t="s">
        <v>13</v>
      </c>
      <c r="G880" t="s">
        <v>10</v>
      </c>
    </row>
    <row r="881" spans="1:7" x14ac:dyDescent="0.3">
      <c r="A881" t="s">
        <v>1650</v>
      </c>
      <c r="B881" t="s">
        <v>1651</v>
      </c>
      <c r="C881" t="s">
        <v>2515</v>
      </c>
      <c r="D881" t="s">
        <v>68</v>
      </c>
      <c r="E881">
        <v>1</v>
      </c>
      <c r="F881" t="s">
        <v>13</v>
      </c>
      <c r="G881" t="s">
        <v>10</v>
      </c>
    </row>
    <row r="882" spans="1:7" x14ac:dyDescent="0.3">
      <c r="A882" t="s">
        <v>1652</v>
      </c>
      <c r="B882" t="s">
        <v>1653</v>
      </c>
      <c r="C882" t="s">
        <v>1865</v>
      </c>
      <c r="D882" t="s">
        <v>9</v>
      </c>
      <c r="E882">
        <v>2</v>
      </c>
      <c r="F882" t="s">
        <v>13</v>
      </c>
      <c r="G882" t="s">
        <v>13</v>
      </c>
    </row>
    <row r="883" spans="1:7" x14ac:dyDescent="0.3">
      <c r="A883" t="s">
        <v>1654</v>
      </c>
      <c r="B883" t="s">
        <v>1655</v>
      </c>
      <c r="C883" t="s">
        <v>2458</v>
      </c>
      <c r="D883" t="s">
        <v>83</v>
      </c>
      <c r="E883">
        <v>3</v>
      </c>
      <c r="F883" t="s">
        <v>10</v>
      </c>
      <c r="G883" t="s">
        <v>13</v>
      </c>
    </row>
    <row r="884" spans="1:7" x14ac:dyDescent="0.3">
      <c r="A884" t="s">
        <v>1656</v>
      </c>
      <c r="B884" t="s">
        <v>1657</v>
      </c>
      <c r="C884" t="s">
        <v>2516</v>
      </c>
      <c r="D884" t="s">
        <v>37</v>
      </c>
      <c r="E884">
        <v>4</v>
      </c>
      <c r="F884" t="s">
        <v>10</v>
      </c>
      <c r="G884" t="s">
        <v>10</v>
      </c>
    </row>
    <row r="885" spans="1:7" x14ac:dyDescent="0.3">
      <c r="A885" t="s">
        <v>1658</v>
      </c>
      <c r="B885" t="s">
        <v>1659</v>
      </c>
      <c r="C885" t="s">
        <v>2517</v>
      </c>
      <c r="D885" t="s">
        <v>22</v>
      </c>
      <c r="E885">
        <v>4</v>
      </c>
      <c r="F885" t="s">
        <v>13</v>
      </c>
      <c r="G885" t="s">
        <v>10</v>
      </c>
    </row>
    <row r="886" spans="1:7" x14ac:dyDescent="0.3">
      <c r="A886" t="s">
        <v>1660</v>
      </c>
      <c r="B886" t="s">
        <v>1661</v>
      </c>
      <c r="C886" t="s">
        <v>2408</v>
      </c>
      <c r="D886" t="s">
        <v>22</v>
      </c>
      <c r="E886">
        <v>4</v>
      </c>
      <c r="F886" t="s">
        <v>13</v>
      </c>
      <c r="G886" t="s">
        <v>13</v>
      </c>
    </row>
    <row r="887" spans="1:7" x14ac:dyDescent="0.3">
      <c r="A887" t="s">
        <v>1662</v>
      </c>
      <c r="B887" t="s">
        <v>1663</v>
      </c>
      <c r="C887" t="s">
        <v>2518</v>
      </c>
      <c r="D887" t="s">
        <v>28</v>
      </c>
      <c r="E887">
        <v>5</v>
      </c>
      <c r="F887" t="s">
        <v>13</v>
      </c>
      <c r="G887" t="s">
        <v>13</v>
      </c>
    </row>
    <row r="888" spans="1:7" x14ac:dyDescent="0.3">
      <c r="A888" t="s">
        <v>1664</v>
      </c>
      <c r="B888" t="s">
        <v>1665</v>
      </c>
      <c r="C888" t="s">
        <v>2237</v>
      </c>
      <c r="D888" t="s">
        <v>25</v>
      </c>
      <c r="E888">
        <v>5</v>
      </c>
      <c r="F888" t="s">
        <v>10</v>
      </c>
      <c r="G888" t="s">
        <v>13</v>
      </c>
    </row>
    <row r="889" spans="1:7" x14ac:dyDescent="0.3">
      <c r="A889" t="s">
        <v>1666</v>
      </c>
      <c r="B889" t="s">
        <v>840</v>
      </c>
      <c r="C889" t="s">
        <v>2519</v>
      </c>
      <c r="D889" t="s">
        <v>22</v>
      </c>
      <c r="E889">
        <v>5</v>
      </c>
      <c r="F889" t="s">
        <v>10</v>
      </c>
      <c r="G889" t="s">
        <v>10</v>
      </c>
    </row>
    <row r="890" spans="1:7" x14ac:dyDescent="0.3">
      <c r="A890" t="s">
        <v>1667</v>
      </c>
      <c r="B890" t="s">
        <v>1668</v>
      </c>
      <c r="C890" t="s">
        <v>2488</v>
      </c>
      <c r="D890" t="s">
        <v>9</v>
      </c>
      <c r="E890">
        <v>1</v>
      </c>
      <c r="F890" t="s">
        <v>13</v>
      </c>
      <c r="G890" t="s">
        <v>13</v>
      </c>
    </row>
    <row r="891" spans="1:7" x14ac:dyDescent="0.3">
      <c r="A891" t="s">
        <v>1669</v>
      </c>
      <c r="B891" t="s">
        <v>1670</v>
      </c>
      <c r="C891" t="s">
        <v>2520</v>
      </c>
      <c r="D891" t="s">
        <v>68</v>
      </c>
      <c r="E891">
        <v>2</v>
      </c>
      <c r="F891" t="s">
        <v>10</v>
      </c>
      <c r="G891" t="s">
        <v>10</v>
      </c>
    </row>
    <row r="892" spans="1:7" x14ac:dyDescent="0.3">
      <c r="A892" t="s">
        <v>1671</v>
      </c>
      <c r="B892" t="s">
        <v>128</v>
      </c>
      <c r="C892" t="s">
        <v>2491</v>
      </c>
      <c r="D892" t="s">
        <v>9</v>
      </c>
      <c r="E892">
        <v>2</v>
      </c>
      <c r="F892" t="s">
        <v>13</v>
      </c>
      <c r="G892" t="s">
        <v>10</v>
      </c>
    </row>
    <row r="893" spans="1:7" x14ac:dyDescent="0.3">
      <c r="A893" t="s">
        <v>1672</v>
      </c>
      <c r="B893" t="s">
        <v>178</v>
      </c>
      <c r="C893" t="s">
        <v>1962</v>
      </c>
      <c r="D893" t="s">
        <v>25</v>
      </c>
      <c r="E893">
        <v>4</v>
      </c>
      <c r="F893" t="s">
        <v>10</v>
      </c>
      <c r="G893" t="s">
        <v>10</v>
      </c>
    </row>
    <row r="894" spans="1:7" x14ac:dyDescent="0.3">
      <c r="A894" t="s">
        <v>1673</v>
      </c>
      <c r="B894" t="s">
        <v>1674</v>
      </c>
      <c r="C894" t="s">
        <v>2155</v>
      </c>
      <c r="D894" t="s">
        <v>9</v>
      </c>
      <c r="E894">
        <v>2</v>
      </c>
      <c r="F894" t="s">
        <v>10</v>
      </c>
      <c r="G894" t="s">
        <v>10</v>
      </c>
    </row>
    <row r="895" spans="1:7" x14ac:dyDescent="0.3">
      <c r="A895" t="s">
        <v>1675</v>
      </c>
      <c r="B895" t="s">
        <v>876</v>
      </c>
      <c r="C895" t="s">
        <v>2521</v>
      </c>
      <c r="D895" t="s">
        <v>68</v>
      </c>
      <c r="E895">
        <v>1</v>
      </c>
      <c r="F895" t="s">
        <v>10</v>
      </c>
      <c r="G895" t="s">
        <v>13</v>
      </c>
    </row>
    <row r="896" spans="1:7" x14ac:dyDescent="0.3">
      <c r="A896" t="s">
        <v>1676</v>
      </c>
      <c r="B896" t="s">
        <v>1005</v>
      </c>
      <c r="C896" t="s">
        <v>2522</v>
      </c>
      <c r="D896" t="s">
        <v>9</v>
      </c>
      <c r="E896">
        <v>3</v>
      </c>
      <c r="F896" t="s">
        <v>10</v>
      </c>
      <c r="G896" t="s">
        <v>13</v>
      </c>
    </row>
    <row r="897" spans="1:7" x14ac:dyDescent="0.3">
      <c r="A897" t="s">
        <v>1677</v>
      </c>
      <c r="B897" t="s">
        <v>1678</v>
      </c>
      <c r="C897" t="s">
        <v>2091</v>
      </c>
      <c r="D897" t="s">
        <v>25</v>
      </c>
      <c r="E897">
        <v>5</v>
      </c>
      <c r="F897" t="s">
        <v>13</v>
      </c>
      <c r="G897" t="s">
        <v>13</v>
      </c>
    </row>
    <row r="898" spans="1:7" x14ac:dyDescent="0.3">
      <c r="A898" t="s">
        <v>1679</v>
      </c>
      <c r="B898" t="s">
        <v>1680</v>
      </c>
      <c r="C898" t="s">
        <v>2523</v>
      </c>
      <c r="D898" t="s">
        <v>28</v>
      </c>
      <c r="E898">
        <v>4</v>
      </c>
      <c r="F898" t="s">
        <v>13</v>
      </c>
      <c r="G898" t="s">
        <v>10</v>
      </c>
    </row>
    <row r="899" spans="1:7" x14ac:dyDescent="0.3">
      <c r="A899" t="s">
        <v>1681</v>
      </c>
      <c r="B899" t="s">
        <v>650</v>
      </c>
      <c r="C899" t="s">
        <v>2524</v>
      </c>
      <c r="D899" t="s">
        <v>19</v>
      </c>
      <c r="E899">
        <v>3</v>
      </c>
      <c r="F899" t="s">
        <v>13</v>
      </c>
      <c r="G899" t="s">
        <v>10</v>
      </c>
    </row>
    <row r="900" spans="1:7" x14ac:dyDescent="0.3">
      <c r="A900" t="s">
        <v>1682</v>
      </c>
      <c r="B900" t="s">
        <v>1683</v>
      </c>
      <c r="C900" t="s">
        <v>2525</v>
      </c>
      <c r="D900" t="s">
        <v>19</v>
      </c>
      <c r="E900">
        <v>3</v>
      </c>
      <c r="F900" t="s">
        <v>13</v>
      </c>
      <c r="G900" t="s">
        <v>10</v>
      </c>
    </row>
    <row r="901" spans="1:7" x14ac:dyDescent="0.3">
      <c r="A901" t="s">
        <v>1684</v>
      </c>
      <c r="B901" t="s">
        <v>1685</v>
      </c>
      <c r="C901" t="s">
        <v>2526</v>
      </c>
      <c r="D901" t="s">
        <v>19</v>
      </c>
      <c r="E901">
        <v>2</v>
      </c>
      <c r="F901" t="s">
        <v>13</v>
      </c>
      <c r="G901" t="s">
        <v>10</v>
      </c>
    </row>
    <row r="902" spans="1:7" x14ac:dyDescent="0.3">
      <c r="A902" t="s">
        <v>1686</v>
      </c>
      <c r="B902" t="s">
        <v>45</v>
      </c>
      <c r="C902" t="s">
        <v>2527</v>
      </c>
      <c r="D902" t="s">
        <v>22</v>
      </c>
      <c r="E902">
        <v>4</v>
      </c>
      <c r="F902" t="s">
        <v>13</v>
      </c>
      <c r="G902" t="s">
        <v>10</v>
      </c>
    </row>
    <row r="903" spans="1:7" x14ac:dyDescent="0.3">
      <c r="A903" t="s">
        <v>1687</v>
      </c>
      <c r="B903" t="s">
        <v>1688</v>
      </c>
      <c r="C903" t="s">
        <v>2528</v>
      </c>
      <c r="D903" t="s">
        <v>37</v>
      </c>
      <c r="E903">
        <v>3</v>
      </c>
      <c r="F903" t="s">
        <v>10</v>
      </c>
      <c r="G903" t="s">
        <v>10</v>
      </c>
    </row>
    <row r="904" spans="1:7" x14ac:dyDescent="0.3">
      <c r="A904" t="s">
        <v>1689</v>
      </c>
      <c r="B904" t="s">
        <v>1690</v>
      </c>
      <c r="C904" t="s">
        <v>2529</v>
      </c>
      <c r="D904" t="s">
        <v>68</v>
      </c>
      <c r="E904">
        <v>2</v>
      </c>
      <c r="F904" t="s">
        <v>10</v>
      </c>
      <c r="G904" t="s">
        <v>10</v>
      </c>
    </row>
    <row r="905" spans="1:7" x14ac:dyDescent="0.3">
      <c r="A905" t="s">
        <v>1691</v>
      </c>
      <c r="B905" t="s">
        <v>1692</v>
      </c>
      <c r="C905" t="s">
        <v>2157</v>
      </c>
      <c r="D905" t="s">
        <v>19</v>
      </c>
      <c r="E905">
        <v>3</v>
      </c>
      <c r="F905" t="s">
        <v>13</v>
      </c>
      <c r="G905" t="s">
        <v>13</v>
      </c>
    </row>
    <row r="906" spans="1:7" x14ac:dyDescent="0.3">
      <c r="A906" t="s">
        <v>1693</v>
      </c>
      <c r="B906" t="s">
        <v>1221</v>
      </c>
      <c r="C906" t="s">
        <v>2428</v>
      </c>
      <c r="D906" t="s">
        <v>9</v>
      </c>
      <c r="E906">
        <v>3</v>
      </c>
      <c r="F906" t="s">
        <v>10</v>
      </c>
      <c r="G906" t="s">
        <v>10</v>
      </c>
    </row>
    <row r="907" spans="1:7" x14ac:dyDescent="0.3">
      <c r="A907" t="s">
        <v>1694</v>
      </c>
      <c r="B907" t="s">
        <v>1695</v>
      </c>
      <c r="C907" t="s">
        <v>2147</v>
      </c>
      <c r="D907" t="s">
        <v>22</v>
      </c>
      <c r="E907">
        <v>4</v>
      </c>
      <c r="F907" t="s">
        <v>13</v>
      </c>
      <c r="G907" t="s">
        <v>13</v>
      </c>
    </row>
    <row r="908" spans="1:7" x14ac:dyDescent="0.3">
      <c r="A908" t="s">
        <v>1696</v>
      </c>
      <c r="B908" t="s">
        <v>1697</v>
      </c>
      <c r="C908" t="s">
        <v>2530</v>
      </c>
      <c r="D908" t="s">
        <v>9</v>
      </c>
      <c r="E908">
        <v>1</v>
      </c>
      <c r="F908" t="s">
        <v>10</v>
      </c>
      <c r="G908" t="s">
        <v>13</v>
      </c>
    </row>
    <row r="909" spans="1:7" x14ac:dyDescent="0.3">
      <c r="A909" t="s">
        <v>1698</v>
      </c>
      <c r="B909" t="s">
        <v>1699</v>
      </c>
      <c r="C909" t="s">
        <v>2531</v>
      </c>
      <c r="D909" t="s">
        <v>19</v>
      </c>
      <c r="E909">
        <v>2</v>
      </c>
      <c r="F909" t="s">
        <v>13</v>
      </c>
      <c r="G909" t="s">
        <v>13</v>
      </c>
    </row>
    <row r="910" spans="1:7" x14ac:dyDescent="0.3">
      <c r="A910" t="s">
        <v>1700</v>
      </c>
      <c r="B910" t="s">
        <v>932</v>
      </c>
      <c r="C910" t="s">
        <v>2532</v>
      </c>
      <c r="D910" t="s">
        <v>16</v>
      </c>
      <c r="E910">
        <v>4</v>
      </c>
      <c r="F910" t="s">
        <v>13</v>
      </c>
      <c r="G910" t="s">
        <v>10</v>
      </c>
    </row>
    <row r="911" spans="1:7" x14ac:dyDescent="0.3">
      <c r="A911" t="s">
        <v>1701</v>
      </c>
      <c r="B911" t="s">
        <v>1702</v>
      </c>
      <c r="C911" t="s">
        <v>2533</v>
      </c>
      <c r="D911" t="s">
        <v>28</v>
      </c>
      <c r="E911">
        <v>5</v>
      </c>
      <c r="F911" t="s">
        <v>13</v>
      </c>
      <c r="G911" t="s">
        <v>13</v>
      </c>
    </row>
    <row r="912" spans="1:7" x14ac:dyDescent="0.3">
      <c r="A912" t="s">
        <v>1703</v>
      </c>
      <c r="B912" t="s">
        <v>1704</v>
      </c>
      <c r="C912" t="s">
        <v>2534</v>
      </c>
      <c r="D912" t="s">
        <v>31</v>
      </c>
      <c r="E912">
        <v>3</v>
      </c>
      <c r="F912" t="s">
        <v>10</v>
      </c>
      <c r="G912" t="s">
        <v>13</v>
      </c>
    </row>
    <row r="913" spans="1:7" x14ac:dyDescent="0.3">
      <c r="A913" t="s">
        <v>1705</v>
      </c>
      <c r="B913" t="s">
        <v>1706</v>
      </c>
      <c r="C913" t="s">
        <v>2128</v>
      </c>
      <c r="D913" t="s">
        <v>31</v>
      </c>
      <c r="E913">
        <v>3</v>
      </c>
      <c r="F913" t="s">
        <v>10</v>
      </c>
      <c r="G913" t="s">
        <v>13</v>
      </c>
    </row>
    <row r="914" spans="1:7" x14ac:dyDescent="0.3">
      <c r="A914" t="s">
        <v>1707</v>
      </c>
      <c r="B914" t="s">
        <v>1708</v>
      </c>
      <c r="C914" t="s">
        <v>2372</v>
      </c>
      <c r="D914" t="s">
        <v>19</v>
      </c>
      <c r="E914">
        <v>2</v>
      </c>
      <c r="F914" t="s">
        <v>10</v>
      </c>
      <c r="G914" t="s">
        <v>10</v>
      </c>
    </row>
    <row r="915" spans="1:7" x14ac:dyDescent="0.3">
      <c r="A915" t="s">
        <v>1709</v>
      </c>
      <c r="B915" t="s">
        <v>1588</v>
      </c>
      <c r="C915" t="s">
        <v>2014</v>
      </c>
      <c r="D915" t="s">
        <v>16</v>
      </c>
      <c r="E915">
        <v>5</v>
      </c>
      <c r="F915" t="s">
        <v>10</v>
      </c>
      <c r="G915" t="s">
        <v>10</v>
      </c>
    </row>
    <row r="916" spans="1:7" x14ac:dyDescent="0.3">
      <c r="A916" t="s">
        <v>1710</v>
      </c>
      <c r="B916" t="s">
        <v>1401</v>
      </c>
      <c r="C916" t="s">
        <v>2535</v>
      </c>
      <c r="D916" t="s">
        <v>68</v>
      </c>
      <c r="E916">
        <v>2</v>
      </c>
      <c r="F916" t="s">
        <v>10</v>
      </c>
      <c r="G916" t="s">
        <v>13</v>
      </c>
    </row>
    <row r="917" spans="1:7" x14ac:dyDescent="0.3">
      <c r="A917" t="s">
        <v>1711</v>
      </c>
      <c r="B917" t="s">
        <v>1712</v>
      </c>
      <c r="C917" t="s">
        <v>2536</v>
      </c>
      <c r="D917" t="s">
        <v>9</v>
      </c>
      <c r="E917">
        <v>3</v>
      </c>
      <c r="F917" t="s">
        <v>10</v>
      </c>
      <c r="G917" t="s">
        <v>13</v>
      </c>
    </row>
    <row r="918" spans="1:7" x14ac:dyDescent="0.3">
      <c r="A918" t="s">
        <v>1713</v>
      </c>
      <c r="B918" t="s">
        <v>1714</v>
      </c>
      <c r="C918" t="s">
        <v>2327</v>
      </c>
      <c r="D918" t="s">
        <v>19</v>
      </c>
      <c r="E918">
        <v>3</v>
      </c>
      <c r="F918" t="s">
        <v>10</v>
      </c>
      <c r="G918" t="s">
        <v>10</v>
      </c>
    </row>
    <row r="919" spans="1:7" x14ac:dyDescent="0.3">
      <c r="A919" t="s">
        <v>1715</v>
      </c>
      <c r="B919" t="s">
        <v>1716</v>
      </c>
      <c r="C919" t="s">
        <v>2496</v>
      </c>
      <c r="D919" t="s">
        <v>31</v>
      </c>
      <c r="E919">
        <v>1</v>
      </c>
      <c r="F919" t="s">
        <v>10</v>
      </c>
      <c r="G919" t="s">
        <v>10</v>
      </c>
    </row>
    <row r="920" spans="1:7" x14ac:dyDescent="0.3">
      <c r="A920" t="s">
        <v>1717</v>
      </c>
      <c r="B920" t="s">
        <v>435</v>
      </c>
      <c r="C920" t="s">
        <v>2537</v>
      </c>
      <c r="D920" t="s">
        <v>68</v>
      </c>
      <c r="E920">
        <v>1</v>
      </c>
      <c r="F920" t="s">
        <v>13</v>
      </c>
      <c r="G920" t="s">
        <v>10</v>
      </c>
    </row>
    <row r="921" spans="1:7" x14ac:dyDescent="0.3">
      <c r="A921" t="s">
        <v>1718</v>
      </c>
      <c r="B921" t="s">
        <v>1719</v>
      </c>
      <c r="C921" t="s">
        <v>2538</v>
      </c>
      <c r="D921" t="s">
        <v>37</v>
      </c>
      <c r="E921">
        <v>3</v>
      </c>
      <c r="F921" t="s">
        <v>13</v>
      </c>
      <c r="G921" t="s">
        <v>10</v>
      </c>
    </row>
    <row r="922" spans="1:7" x14ac:dyDescent="0.3">
      <c r="A922" t="s">
        <v>1720</v>
      </c>
      <c r="B922" t="s">
        <v>1721</v>
      </c>
      <c r="C922" t="s">
        <v>2539</v>
      </c>
      <c r="D922" t="s">
        <v>28</v>
      </c>
      <c r="E922">
        <v>4</v>
      </c>
      <c r="F922" t="s">
        <v>10</v>
      </c>
      <c r="G922" t="s">
        <v>13</v>
      </c>
    </row>
    <row r="923" spans="1:7" x14ac:dyDescent="0.3">
      <c r="A923" t="s">
        <v>1722</v>
      </c>
      <c r="B923" t="s">
        <v>1723</v>
      </c>
      <c r="C923" t="s">
        <v>2540</v>
      </c>
      <c r="D923" t="s">
        <v>68</v>
      </c>
      <c r="E923">
        <v>1</v>
      </c>
      <c r="F923" t="s">
        <v>10</v>
      </c>
      <c r="G923" t="s">
        <v>10</v>
      </c>
    </row>
    <row r="924" spans="1:7" x14ac:dyDescent="0.3">
      <c r="A924" t="s">
        <v>1724</v>
      </c>
      <c r="B924" t="s">
        <v>1638</v>
      </c>
      <c r="C924" t="s">
        <v>1997</v>
      </c>
      <c r="D924" t="s">
        <v>68</v>
      </c>
      <c r="E924">
        <v>1</v>
      </c>
      <c r="F924" t="s">
        <v>10</v>
      </c>
      <c r="G924" t="s">
        <v>13</v>
      </c>
    </row>
    <row r="925" spans="1:7" x14ac:dyDescent="0.3">
      <c r="A925" t="s">
        <v>1725</v>
      </c>
      <c r="B925" t="s">
        <v>1726</v>
      </c>
      <c r="C925" t="s">
        <v>2442</v>
      </c>
      <c r="D925" t="s">
        <v>22</v>
      </c>
      <c r="E925">
        <v>4</v>
      </c>
      <c r="F925" t="s">
        <v>10</v>
      </c>
      <c r="G925" t="s">
        <v>13</v>
      </c>
    </row>
    <row r="926" spans="1:7" x14ac:dyDescent="0.3">
      <c r="A926" t="s">
        <v>1727</v>
      </c>
      <c r="B926" t="s">
        <v>1728</v>
      </c>
      <c r="C926" t="s">
        <v>2541</v>
      </c>
      <c r="D926" t="s">
        <v>37</v>
      </c>
      <c r="E926">
        <v>4</v>
      </c>
      <c r="F926" t="s">
        <v>13</v>
      </c>
      <c r="G926" t="s">
        <v>10</v>
      </c>
    </row>
    <row r="927" spans="1:7" x14ac:dyDescent="0.3">
      <c r="A927" t="s">
        <v>1729</v>
      </c>
      <c r="B927" t="s">
        <v>1730</v>
      </c>
      <c r="C927" t="s">
        <v>2542</v>
      </c>
      <c r="D927" t="s">
        <v>16</v>
      </c>
      <c r="E927">
        <v>4</v>
      </c>
      <c r="F927" t="s">
        <v>10</v>
      </c>
      <c r="G927" t="s">
        <v>13</v>
      </c>
    </row>
    <row r="928" spans="1:7" x14ac:dyDescent="0.3">
      <c r="A928" t="s">
        <v>1731</v>
      </c>
      <c r="B928" t="s">
        <v>1732</v>
      </c>
      <c r="C928" t="s">
        <v>2543</v>
      </c>
      <c r="D928" t="s">
        <v>83</v>
      </c>
      <c r="E928">
        <v>3</v>
      </c>
      <c r="F928" t="s">
        <v>13</v>
      </c>
      <c r="G928" t="s">
        <v>10</v>
      </c>
    </row>
    <row r="929" spans="1:7" x14ac:dyDescent="0.3">
      <c r="A929" t="s">
        <v>1733</v>
      </c>
      <c r="B929" t="s">
        <v>1148</v>
      </c>
      <c r="C929" t="s">
        <v>2544</v>
      </c>
      <c r="D929" t="s">
        <v>22</v>
      </c>
      <c r="E929">
        <v>4</v>
      </c>
      <c r="F929" t="s">
        <v>13</v>
      </c>
      <c r="G929" t="s">
        <v>13</v>
      </c>
    </row>
    <row r="930" spans="1:7" x14ac:dyDescent="0.3">
      <c r="A930" t="s">
        <v>1734</v>
      </c>
      <c r="B930" t="s">
        <v>1735</v>
      </c>
      <c r="C930" t="s">
        <v>2438</v>
      </c>
      <c r="D930" t="s">
        <v>9</v>
      </c>
      <c r="E930">
        <v>1</v>
      </c>
      <c r="F930" t="s">
        <v>13</v>
      </c>
      <c r="G930" t="s">
        <v>10</v>
      </c>
    </row>
    <row r="931" spans="1:7" x14ac:dyDescent="0.3">
      <c r="A931" t="s">
        <v>1736</v>
      </c>
      <c r="B931" t="s">
        <v>1737</v>
      </c>
      <c r="C931" t="s">
        <v>2545</v>
      </c>
      <c r="D931" t="s">
        <v>68</v>
      </c>
      <c r="E931">
        <v>1</v>
      </c>
      <c r="F931" t="s">
        <v>13</v>
      </c>
      <c r="G931" t="s">
        <v>10</v>
      </c>
    </row>
    <row r="932" spans="1:7" x14ac:dyDescent="0.3">
      <c r="A932" t="s">
        <v>1738</v>
      </c>
      <c r="B932" t="s">
        <v>1739</v>
      </c>
      <c r="C932" t="s">
        <v>2347</v>
      </c>
      <c r="D932" t="s">
        <v>68</v>
      </c>
      <c r="E932">
        <v>2</v>
      </c>
      <c r="F932" t="s">
        <v>13</v>
      </c>
      <c r="G932" t="s">
        <v>13</v>
      </c>
    </row>
    <row r="933" spans="1:7" x14ac:dyDescent="0.3">
      <c r="A933" t="s">
        <v>1740</v>
      </c>
      <c r="B933" t="s">
        <v>1741</v>
      </c>
      <c r="C933" t="s">
        <v>2147</v>
      </c>
      <c r="D933" t="s">
        <v>68</v>
      </c>
      <c r="E933">
        <v>2</v>
      </c>
      <c r="F933" t="s">
        <v>13</v>
      </c>
      <c r="G933" t="s">
        <v>13</v>
      </c>
    </row>
    <row r="934" spans="1:7" x14ac:dyDescent="0.3">
      <c r="A934" t="s">
        <v>1742</v>
      </c>
      <c r="B934" t="s">
        <v>1743</v>
      </c>
      <c r="C934" t="s">
        <v>2041</v>
      </c>
      <c r="D934" t="s">
        <v>68</v>
      </c>
      <c r="E934">
        <v>1</v>
      </c>
      <c r="F934" t="s">
        <v>10</v>
      </c>
      <c r="G934" t="s">
        <v>13</v>
      </c>
    </row>
    <row r="935" spans="1:7" x14ac:dyDescent="0.3">
      <c r="A935" t="s">
        <v>1744</v>
      </c>
      <c r="B935" t="s">
        <v>1745</v>
      </c>
      <c r="C935" t="s">
        <v>2144</v>
      </c>
      <c r="D935" t="s">
        <v>31</v>
      </c>
      <c r="E935">
        <v>1</v>
      </c>
      <c r="F935" t="s">
        <v>13</v>
      </c>
      <c r="G935" t="s">
        <v>13</v>
      </c>
    </row>
    <row r="936" spans="1:7" x14ac:dyDescent="0.3">
      <c r="A936" t="s">
        <v>1746</v>
      </c>
      <c r="B936" t="s">
        <v>1747</v>
      </c>
      <c r="C936" t="s">
        <v>2546</v>
      </c>
      <c r="D936" t="s">
        <v>16</v>
      </c>
      <c r="E936">
        <v>4</v>
      </c>
      <c r="F936" t="s">
        <v>13</v>
      </c>
      <c r="G936" t="s">
        <v>13</v>
      </c>
    </row>
    <row r="937" spans="1:7" x14ac:dyDescent="0.3">
      <c r="A937" t="s">
        <v>1748</v>
      </c>
      <c r="B937" t="s">
        <v>285</v>
      </c>
      <c r="C937" t="s">
        <v>2547</v>
      </c>
      <c r="D937" t="s">
        <v>19</v>
      </c>
      <c r="E937">
        <v>2</v>
      </c>
      <c r="F937" t="s">
        <v>10</v>
      </c>
      <c r="G937" t="s">
        <v>10</v>
      </c>
    </row>
    <row r="938" spans="1:7" x14ac:dyDescent="0.3">
      <c r="A938" t="s">
        <v>1749</v>
      </c>
      <c r="B938" t="s">
        <v>1750</v>
      </c>
      <c r="C938" t="s">
        <v>2286</v>
      </c>
      <c r="D938" t="s">
        <v>28</v>
      </c>
      <c r="E938">
        <v>4</v>
      </c>
      <c r="F938" t="s">
        <v>13</v>
      </c>
      <c r="G938" t="s">
        <v>13</v>
      </c>
    </row>
    <row r="939" spans="1:7" x14ac:dyDescent="0.3">
      <c r="A939" t="s">
        <v>1751</v>
      </c>
      <c r="B939" t="s">
        <v>772</v>
      </c>
      <c r="C939" t="s">
        <v>2374</v>
      </c>
      <c r="D939" t="s">
        <v>9</v>
      </c>
      <c r="E939">
        <v>3</v>
      </c>
      <c r="F939" t="s">
        <v>13</v>
      </c>
      <c r="G939" t="s">
        <v>10</v>
      </c>
    </row>
    <row r="940" spans="1:7" x14ac:dyDescent="0.3">
      <c r="A940" t="s">
        <v>1752</v>
      </c>
      <c r="B940" t="s">
        <v>580</v>
      </c>
      <c r="C940" t="s">
        <v>2548</v>
      </c>
      <c r="D940" t="s">
        <v>83</v>
      </c>
      <c r="E940">
        <v>1</v>
      </c>
      <c r="F940" t="s">
        <v>13</v>
      </c>
      <c r="G940" t="s">
        <v>13</v>
      </c>
    </row>
    <row r="941" spans="1:7" x14ac:dyDescent="0.3">
      <c r="A941" t="s">
        <v>1753</v>
      </c>
      <c r="B941" t="s">
        <v>1037</v>
      </c>
      <c r="C941" t="s">
        <v>2549</v>
      </c>
      <c r="D941" t="s">
        <v>31</v>
      </c>
      <c r="E941">
        <v>3</v>
      </c>
      <c r="F941" t="s">
        <v>10</v>
      </c>
      <c r="G941" t="s">
        <v>13</v>
      </c>
    </row>
    <row r="942" spans="1:7" x14ac:dyDescent="0.3">
      <c r="A942" t="s">
        <v>1754</v>
      </c>
      <c r="B942" t="s">
        <v>1755</v>
      </c>
      <c r="C942" t="s">
        <v>2550</v>
      </c>
      <c r="D942" t="s">
        <v>9</v>
      </c>
      <c r="E942">
        <v>3</v>
      </c>
      <c r="F942" t="s">
        <v>13</v>
      </c>
      <c r="G942" t="s">
        <v>10</v>
      </c>
    </row>
    <row r="943" spans="1:7" x14ac:dyDescent="0.3">
      <c r="A943" t="s">
        <v>1756</v>
      </c>
      <c r="B943" t="s">
        <v>1022</v>
      </c>
      <c r="C943" t="s">
        <v>2037</v>
      </c>
      <c r="D943" t="s">
        <v>22</v>
      </c>
      <c r="E943">
        <v>4</v>
      </c>
      <c r="F943" t="s">
        <v>10</v>
      </c>
      <c r="G943" t="s">
        <v>10</v>
      </c>
    </row>
    <row r="944" spans="1:7" x14ac:dyDescent="0.3">
      <c r="A944" t="s">
        <v>1757</v>
      </c>
      <c r="B944" t="s">
        <v>1501</v>
      </c>
      <c r="C944" t="s">
        <v>2216</v>
      </c>
      <c r="D944" t="s">
        <v>68</v>
      </c>
      <c r="E944">
        <v>2</v>
      </c>
      <c r="F944" t="s">
        <v>10</v>
      </c>
      <c r="G944" t="s">
        <v>10</v>
      </c>
    </row>
    <row r="945" spans="1:7" x14ac:dyDescent="0.3">
      <c r="A945" t="s">
        <v>1758</v>
      </c>
      <c r="B945" t="s">
        <v>747</v>
      </c>
      <c r="C945" t="s">
        <v>2551</v>
      </c>
      <c r="D945" t="s">
        <v>9</v>
      </c>
      <c r="E945">
        <v>1</v>
      </c>
      <c r="F945" t="s">
        <v>13</v>
      </c>
      <c r="G945" t="s">
        <v>13</v>
      </c>
    </row>
    <row r="946" spans="1:7" x14ac:dyDescent="0.3">
      <c r="A946" t="s">
        <v>1759</v>
      </c>
      <c r="B946" t="s">
        <v>1390</v>
      </c>
      <c r="C946" t="s">
        <v>2552</v>
      </c>
      <c r="D946" t="s">
        <v>68</v>
      </c>
      <c r="E946">
        <v>1</v>
      </c>
      <c r="F946" t="s">
        <v>10</v>
      </c>
      <c r="G946" t="s">
        <v>10</v>
      </c>
    </row>
    <row r="947" spans="1:7" x14ac:dyDescent="0.3">
      <c r="A947" t="s">
        <v>1760</v>
      </c>
      <c r="B947" t="s">
        <v>1761</v>
      </c>
      <c r="C947" t="s">
        <v>2553</v>
      </c>
      <c r="D947" t="s">
        <v>9</v>
      </c>
      <c r="E947">
        <v>2</v>
      </c>
      <c r="F947" t="s">
        <v>10</v>
      </c>
      <c r="G947" t="s">
        <v>13</v>
      </c>
    </row>
    <row r="948" spans="1:7" x14ac:dyDescent="0.3">
      <c r="A948" t="s">
        <v>1762</v>
      </c>
      <c r="B948" t="s">
        <v>1169</v>
      </c>
      <c r="C948" t="s">
        <v>2252</v>
      </c>
      <c r="D948" t="s">
        <v>16</v>
      </c>
      <c r="E948">
        <v>4</v>
      </c>
      <c r="F948" t="s">
        <v>10</v>
      </c>
      <c r="G948" t="s">
        <v>13</v>
      </c>
    </row>
    <row r="949" spans="1:7" x14ac:dyDescent="0.3">
      <c r="A949" t="s">
        <v>1763</v>
      </c>
      <c r="B949" t="s">
        <v>1056</v>
      </c>
      <c r="C949" t="s">
        <v>2554</v>
      </c>
      <c r="D949" t="s">
        <v>16</v>
      </c>
      <c r="E949">
        <v>4</v>
      </c>
      <c r="F949" t="s">
        <v>10</v>
      </c>
      <c r="G949" t="s">
        <v>13</v>
      </c>
    </row>
    <row r="950" spans="1:7" x14ac:dyDescent="0.3">
      <c r="A950" t="s">
        <v>1764</v>
      </c>
      <c r="B950" t="s">
        <v>991</v>
      </c>
      <c r="C950" t="s">
        <v>2061</v>
      </c>
      <c r="D950" t="s">
        <v>28</v>
      </c>
      <c r="E950">
        <v>5</v>
      </c>
      <c r="F950" t="s">
        <v>13</v>
      </c>
      <c r="G950" t="s">
        <v>13</v>
      </c>
    </row>
    <row r="951" spans="1:7" x14ac:dyDescent="0.3">
      <c r="A951" t="s">
        <v>1765</v>
      </c>
      <c r="B951" t="s">
        <v>1766</v>
      </c>
      <c r="C951" t="s">
        <v>2555</v>
      </c>
      <c r="D951" t="s">
        <v>28</v>
      </c>
      <c r="E951">
        <v>4</v>
      </c>
      <c r="F951" t="s">
        <v>10</v>
      </c>
      <c r="G951" t="s">
        <v>10</v>
      </c>
    </row>
    <row r="952" spans="1:7" x14ac:dyDescent="0.3">
      <c r="A952" t="s">
        <v>1767</v>
      </c>
      <c r="B952" t="s">
        <v>1768</v>
      </c>
      <c r="C952" t="s">
        <v>2006</v>
      </c>
      <c r="D952" t="s">
        <v>31</v>
      </c>
      <c r="E952">
        <v>1</v>
      </c>
      <c r="F952" t="s">
        <v>13</v>
      </c>
      <c r="G952" t="s">
        <v>10</v>
      </c>
    </row>
    <row r="953" spans="1:7" x14ac:dyDescent="0.3">
      <c r="A953" t="s">
        <v>1769</v>
      </c>
      <c r="B953" t="s">
        <v>1521</v>
      </c>
      <c r="C953" t="s">
        <v>2556</v>
      </c>
      <c r="D953" t="s">
        <v>16</v>
      </c>
      <c r="E953">
        <v>4</v>
      </c>
      <c r="F953" t="s">
        <v>10</v>
      </c>
      <c r="G953" t="s">
        <v>13</v>
      </c>
    </row>
    <row r="954" spans="1:7" x14ac:dyDescent="0.3">
      <c r="A954" t="s">
        <v>1770</v>
      </c>
      <c r="B954" t="s">
        <v>1771</v>
      </c>
      <c r="C954" t="s">
        <v>1990</v>
      </c>
      <c r="D954" t="s">
        <v>9</v>
      </c>
      <c r="E954">
        <v>3</v>
      </c>
      <c r="F954" t="s">
        <v>10</v>
      </c>
      <c r="G954" t="s">
        <v>10</v>
      </c>
    </row>
    <row r="955" spans="1:7" x14ac:dyDescent="0.3">
      <c r="A955" t="s">
        <v>1772</v>
      </c>
      <c r="B955" t="s">
        <v>1773</v>
      </c>
      <c r="C955" t="s">
        <v>2509</v>
      </c>
      <c r="D955" t="s">
        <v>9</v>
      </c>
      <c r="E955">
        <v>3</v>
      </c>
      <c r="F955" t="s">
        <v>13</v>
      </c>
      <c r="G955" t="s">
        <v>13</v>
      </c>
    </row>
    <row r="956" spans="1:7" x14ac:dyDescent="0.3">
      <c r="A956" t="s">
        <v>1774</v>
      </c>
      <c r="B956" t="s">
        <v>1775</v>
      </c>
      <c r="C956" t="s">
        <v>2557</v>
      </c>
      <c r="D956" t="s">
        <v>16</v>
      </c>
      <c r="E956">
        <v>5</v>
      </c>
      <c r="F956" t="s">
        <v>10</v>
      </c>
      <c r="G956" t="s">
        <v>10</v>
      </c>
    </row>
    <row r="957" spans="1:7" x14ac:dyDescent="0.3">
      <c r="A957" t="s">
        <v>1776</v>
      </c>
      <c r="B957" t="s">
        <v>1438</v>
      </c>
      <c r="C957" t="s">
        <v>2294</v>
      </c>
      <c r="D957" t="s">
        <v>28</v>
      </c>
      <c r="E957">
        <v>5</v>
      </c>
      <c r="F957" t="s">
        <v>13</v>
      </c>
      <c r="G957" t="s">
        <v>10</v>
      </c>
    </row>
    <row r="958" spans="1:7" x14ac:dyDescent="0.3">
      <c r="A958" t="s">
        <v>1777</v>
      </c>
      <c r="B958" t="s">
        <v>672</v>
      </c>
      <c r="C958" t="s">
        <v>2558</v>
      </c>
      <c r="D958" t="s">
        <v>22</v>
      </c>
      <c r="E958">
        <v>5</v>
      </c>
      <c r="F958" t="s">
        <v>13</v>
      </c>
      <c r="G958" t="s">
        <v>10</v>
      </c>
    </row>
    <row r="959" spans="1:7" x14ac:dyDescent="0.3">
      <c r="A959" t="s">
        <v>1778</v>
      </c>
      <c r="B959" t="s">
        <v>1779</v>
      </c>
      <c r="C959" t="s">
        <v>1930</v>
      </c>
      <c r="D959" t="s">
        <v>68</v>
      </c>
      <c r="E959">
        <v>2</v>
      </c>
      <c r="F959" t="s">
        <v>13</v>
      </c>
      <c r="G959" t="s">
        <v>13</v>
      </c>
    </row>
    <row r="960" spans="1:7" x14ac:dyDescent="0.3">
      <c r="A960" t="s">
        <v>1780</v>
      </c>
      <c r="B960" t="s">
        <v>182</v>
      </c>
      <c r="C960" t="s">
        <v>2559</v>
      </c>
      <c r="D960" t="s">
        <v>19</v>
      </c>
      <c r="E960">
        <v>3</v>
      </c>
      <c r="F960" t="s">
        <v>13</v>
      </c>
      <c r="G960" t="s">
        <v>13</v>
      </c>
    </row>
    <row r="961" spans="1:7" x14ac:dyDescent="0.3">
      <c r="A961" t="s">
        <v>1781</v>
      </c>
      <c r="B961" t="s">
        <v>1782</v>
      </c>
      <c r="C961" t="s">
        <v>2560</v>
      </c>
      <c r="D961" t="s">
        <v>28</v>
      </c>
      <c r="E961">
        <v>4</v>
      </c>
      <c r="F961" t="s">
        <v>13</v>
      </c>
      <c r="G961" t="s">
        <v>10</v>
      </c>
    </row>
    <row r="962" spans="1:7" x14ac:dyDescent="0.3">
      <c r="A962" t="s">
        <v>1783</v>
      </c>
      <c r="B962" t="s">
        <v>790</v>
      </c>
      <c r="C962" t="s">
        <v>1998</v>
      </c>
      <c r="D962" t="s">
        <v>68</v>
      </c>
      <c r="E962">
        <v>1</v>
      </c>
      <c r="F962" t="s">
        <v>13</v>
      </c>
      <c r="G962" t="s">
        <v>13</v>
      </c>
    </row>
    <row r="963" spans="1:7" x14ac:dyDescent="0.3">
      <c r="A963" t="s">
        <v>1784</v>
      </c>
      <c r="B963" t="s">
        <v>1785</v>
      </c>
      <c r="C963" t="s">
        <v>1875</v>
      </c>
      <c r="D963" t="s">
        <v>28</v>
      </c>
      <c r="E963">
        <v>5</v>
      </c>
      <c r="F963" t="s">
        <v>10</v>
      </c>
      <c r="G963" t="s">
        <v>13</v>
      </c>
    </row>
    <row r="964" spans="1:7" x14ac:dyDescent="0.3">
      <c r="A964" t="s">
        <v>1786</v>
      </c>
      <c r="B964" t="s">
        <v>1787</v>
      </c>
      <c r="C964" t="s">
        <v>2561</v>
      </c>
      <c r="D964" t="s">
        <v>16</v>
      </c>
      <c r="E964">
        <v>5</v>
      </c>
      <c r="F964" t="s">
        <v>13</v>
      </c>
      <c r="G964" t="s">
        <v>10</v>
      </c>
    </row>
    <row r="965" spans="1:7" x14ac:dyDescent="0.3">
      <c r="A965" t="s">
        <v>1788</v>
      </c>
      <c r="B965" t="s">
        <v>564</v>
      </c>
      <c r="C965" t="s">
        <v>1922</v>
      </c>
      <c r="D965" t="s">
        <v>16</v>
      </c>
      <c r="E965">
        <v>5</v>
      </c>
      <c r="F965" t="s">
        <v>10</v>
      </c>
      <c r="G965" t="s">
        <v>10</v>
      </c>
    </row>
    <row r="966" spans="1:7" x14ac:dyDescent="0.3">
      <c r="A966" t="s">
        <v>1789</v>
      </c>
      <c r="B966" t="s">
        <v>1790</v>
      </c>
      <c r="C966" t="s">
        <v>2562</v>
      </c>
      <c r="D966" t="s">
        <v>25</v>
      </c>
      <c r="E966">
        <v>4</v>
      </c>
      <c r="F966" t="s">
        <v>13</v>
      </c>
      <c r="G966" t="s">
        <v>13</v>
      </c>
    </row>
    <row r="967" spans="1:7" x14ac:dyDescent="0.3">
      <c r="A967" t="s">
        <v>1791</v>
      </c>
      <c r="B967" t="s">
        <v>1792</v>
      </c>
      <c r="C967" t="s">
        <v>1948</v>
      </c>
      <c r="D967" t="s">
        <v>37</v>
      </c>
      <c r="E967">
        <v>3</v>
      </c>
      <c r="F967" t="s">
        <v>10</v>
      </c>
      <c r="G967" t="s">
        <v>10</v>
      </c>
    </row>
    <row r="968" spans="1:7" x14ac:dyDescent="0.3">
      <c r="A968" t="s">
        <v>1793</v>
      </c>
      <c r="B968" t="s">
        <v>1794</v>
      </c>
      <c r="C968" t="s">
        <v>2563</v>
      </c>
      <c r="D968" t="s">
        <v>9</v>
      </c>
      <c r="E968">
        <v>2</v>
      </c>
      <c r="F968" t="s">
        <v>13</v>
      </c>
      <c r="G968" t="s">
        <v>10</v>
      </c>
    </row>
    <row r="969" spans="1:7" x14ac:dyDescent="0.3">
      <c r="A969" t="s">
        <v>1795</v>
      </c>
      <c r="B969" t="s">
        <v>1796</v>
      </c>
      <c r="C969" t="s">
        <v>2564</v>
      </c>
      <c r="D969" t="s">
        <v>25</v>
      </c>
      <c r="E969">
        <v>5</v>
      </c>
      <c r="F969" t="s">
        <v>13</v>
      </c>
      <c r="G969" t="s">
        <v>10</v>
      </c>
    </row>
    <row r="970" spans="1:7" x14ac:dyDescent="0.3">
      <c r="A970" t="s">
        <v>1797</v>
      </c>
      <c r="B970" t="s">
        <v>293</v>
      </c>
      <c r="C970" t="s">
        <v>2419</v>
      </c>
      <c r="D970" t="s">
        <v>31</v>
      </c>
      <c r="E970">
        <v>1</v>
      </c>
      <c r="F970" t="s">
        <v>13</v>
      </c>
      <c r="G970" t="s">
        <v>10</v>
      </c>
    </row>
    <row r="971" spans="1:7" x14ac:dyDescent="0.3">
      <c r="A971" t="s">
        <v>1798</v>
      </c>
      <c r="B971" t="s">
        <v>1269</v>
      </c>
      <c r="C971" t="s">
        <v>2392</v>
      </c>
      <c r="D971" t="s">
        <v>31</v>
      </c>
      <c r="E971">
        <v>2</v>
      </c>
      <c r="F971" t="s">
        <v>13</v>
      </c>
      <c r="G971" t="s">
        <v>13</v>
      </c>
    </row>
    <row r="972" spans="1:7" x14ac:dyDescent="0.3">
      <c r="A972" t="s">
        <v>1799</v>
      </c>
      <c r="B972" t="s">
        <v>1800</v>
      </c>
      <c r="C972" t="s">
        <v>2565</v>
      </c>
      <c r="D972" t="s">
        <v>83</v>
      </c>
      <c r="E972">
        <v>3</v>
      </c>
      <c r="F972" t="s">
        <v>10</v>
      </c>
      <c r="G972" t="s">
        <v>10</v>
      </c>
    </row>
    <row r="973" spans="1:7" x14ac:dyDescent="0.3">
      <c r="A973" t="s">
        <v>1801</v>
      </c>
      <c r="B973" t="s">
        <v>1802</v>
      </c>
      <c r="C973" t="s">
        <v>2566</v>
      </c>
      <c r="D973" t="s">
        <v>25</v>
      </c>
      <c r="E973">
        <v>4</v>
      </c>
      <c r="F973" t="s">
        <v>10</v>
      </c>
      <c r="G973" t="s">
        <v>10</v>
      </c>
    </row>
    <row r="974" spans="1:7" x14ac:dyDescent="0.3">
      <c r="A974" t="s">
        <v>1803</v>
      </c>
      <c r="B974" t="s">
        <v>1804</v>
      </c>
      <c r="C974" t="s">
        <v>2262</v>
      </c>
      <c r="D974" t="s">
        <v>16</v>
      </c>
      <c r="E974">
        <v>4</v>
      </c>
      <c r="F974" t="s">
        <v>10</v>
      </c>
      <c r="G974" t="s">
        <v>13</v>
      </c>
    </row>
    <row r="975" spans="1:7" x14ac:dyDescent="0.3">
      <c r="A975" t="s">
        <v>1805</v>
      </c>
      <c r="B975" t="s">
        <v>1806</v>
      </c>
      <c r="C975" t="s">
        <v>2076</v>
      </c>
      <c r="D975" t="s">
        <v>83</v>
      </c>
      <c r="E975">
        <v>3</v>
      </c>
      <c r="F975" t="s">
        <v>10</v>
      </c>
      <c r="G975" t="s">
        <v>10</v>
      </c>
    </row>
    <row r="976" spans="1:7" x14ac:dyDescent="0.3">
      <c r="A976" t="s">
        <v>1807</v>
      </c>
      <c r="B976" t="s">
        <v>289</v>
      </c>
      <c r="C976" t="s">
        <v>2567</v>
      </c>
      <c r="D976" t="s">
        <v>68</v>
      </c>
      <c r="E976">
        <v>1</v>
      </c>
      <c r="F976" t="s">
        <v>10</v>
      </c>
      <c r="G976" t="s">
        <v>10</v>
      </c>
    </row>
    <row r="977" spans="1:7" x14ac:dyDescent="0.3">
      <c r="A977" t="s">
        <v>1808</v>
      </c>
      <c r="B977" t="s">
        <v>1773</v>
      </c>
      <c r="C977" t="s">
        <v>2255</v>
      </c>
      <c r="D977" t="s">
        <v>9</v>
      </c>
      <c r="E977">
        <v>3</v>
      </c>
      <c r="F977" t="s">
        <v>13</v>
      </c>
      <c r="G977" t="s">
        <v>10</v>
      </c>
    </row>
    <row r="978" spans="1:7" x14ac:dyDescent="0.3">
      <c r="A978" t="s">
        <v>1809</v>
      </c>
      <c r="B978" t="s">
        <v>861</v>
      </c>
      <c r="C978" t="s">
        <v>2072</v>
      </c>
      <c r="D978" t="s">
        <v>19</v>
      </c>
      <c r="E978">
        <v>3</v>
      </c>
      <c r="F978" t="s">
        <v>13</v>
      </c>
      <c r="G978" t="s">
        <v>10</v>
      </c>
    </row>
    <row r="979" spans="1:7" x14ac:dyDescent="0.3">
      <c r="A979" t="s">
        <v>1810</v>
      </c>
      <c r="B979" t="s">
        <v>1811</v>
      </c>
      <c r="C979" t="s">
        <v>2180</v>
      </c>
      <c r="D979" t="s">
        <v>28</v>
      </c>
      <c r="E979">
        <v>4</v>
      </c>
      <c r="F979" t="s">
        <v>10</v>
      </c>
      <c r="G979" t="s">
        <v>10</v>
      </c>
    </row>
    <row r="980" spans="1:7" x14ac:dyDescent="0.3">
      <c r="A980" t="s">
        <v>1812</v>
      </c>
      <c r="B980" t="s">
        <v>1813</v>
      </c>
      <c r="C980" t="s">
        <v>2568</v>
      </c>
      <c r="D980" t="s">
        <v>25</v>
      </c>
      <c r="E980">
        <v>5</v>
      </c>
      <c r="F980" t="s">
        <v>10</v>
      </c>
      <c r="G980" t="s">
        <v>13</v>
      </c>
    </row>
    <row r="981" spans="1:7" x14ac:dyDescent="0.3">
      <c r="A981" t="s">
        <v>1814</v>
      </c>
      <c r="B981" t="s">
        <v>1815</v>
      </c>
      <c r="C981" t="s">
        <v>2255</v>
      </c>
      <c r="D981" t="s">
        <v>16</v>
      </c>
      <c r="E981">
        <v>5</v>
      </c>
      <c r="F981" t="s">
        <v>10</v>
      </c>
      <c r="G981" t="s">
        <v>13</v>
      </c>
    </row>
    <row r="982" spans="1:7" x14ac:dyDescent="0.3">
      <c r="A982" t="s">
        <v>1816</v>
      </c>
      <c r="B982" t="s">
        <v>1817</v>
      </c>
      <c r="C982" t="s">
        <v>2424</v>
      </c>
      <c r="D982" t="s">
        <v>28</v>
      </c>
      <c r="E982">
        <v>5</v>
      </c>
      <c r="F982" t="s">
        <v>13</v>
      </c>
      <c r="G982" t="s">
        <v>13</v>
      </c>
    </row>
    <row r="983" spans="1:7" x14ac:dyDescent="0.3">
      <c r="A983" t="s">
        <v>1818</v>
      </c>
      <c r="B983" t="s">
        <v>896</v>
      </c>
      <c r="C983" t="s">
        <v>2309</v>
      </c>
      <c r="D983" t="s">
        <v>68</v>
      </c>
      <c r="E983">
        <v>1</v>
      </c>
      <c r="F983" t="s">
        <v>13</v>
      </c>
      <c r="G983" t="s">
        <v>13</v>
      </c>
    </row>
    <row r="984" spans="1:7" x14ac:dyDescent="0.3">
      <c r="A984" t="s">
        <v>1819</v>
      </c>
      <c r="B984" t="s">
        <v>1820</v>
      </c>
      <c r="C984" t="s">
        <v>2310</v>
      </c>
      <c r="D984" t="s">
        <v>22</v>
      </c>
      <c r="E984">
        <v>5</v>
      </c>
      <c r="F984" t="s">
        <v>10</v>
      </c>
      <c r="G984" t="s">
        <v>10</v>
      </c>
    </row>
    <row r="985" spans="1:7" x14ac:dyDescent="0.3">
      <c r="A985" t="s">
        <v>1821</v>
      </c>
      <c r="B985" t="s">
        <v>1396</v>
      </c>
      <c r="C985" t="s">
        <v>2569</v>
      </c>
      <c r="D985" t="s">
        <v>28</v>
      </c>
      <c r="E985">
        <v>5</v>
      </c>
      <c r="F985" t="s">
        <v>13</v>
      </c>
      <c r="G985" t="s">
        <v>10</v>
      </c>
    </row>
    <row r="986" spans="1:7" x14ac:dyDescent="0.3">
      <c r="A986" t="s">
        <v>1822</v>
      </c>
      <c r="B986" t="s">
        <v>391</v>
      </c>
      <c r="C986" t="s">
        <v>1937</v>
      </c>
      <c r="D986" t="s">
        <v>83</v>
      </c>
      <c r="E986">
        <v>1</v>
      </c>
      <c r="F986" t="s">
        <v>10</v>
      </c>
      <c r="G986" t="s">
        <v>10</v>
      </c>
    </row>
    <row r="987" spans="1:7" x14ac:dyDescent="0.3">
      <c r="A987" t="s">
        <v>1823</v>
      </c>
      <c r="B987" t="s">
        <v>1824</v>
      </c>
      <c r="C987" t="s">
        <v>2468</v>
      </c>
      <c r="D987" t="s">
        <v>16</v>
      </c>
      <c r="E987">
        <v>4</v>
      </c>
      <c r="F987" t="s">
        <v>10</v>
      </c>
      <c r="G987" t="s">
        <v>10</v>
      </c>
    </row>
    <row r="988" spans="1:7" x14ac:dyDescent="0.3">
      <c r="A988" t="s">
        <v>1825</v>
      </c>
      <c r="B988" t="s">
        <v>1826</v>
      </c>
      <c r="C988" t="s">
        <v>2028</v>
      </c>
      <c r="D988" t="s">
        <v>37</v>
      </c>
      <c r="E988">
        <v>4</v>
      </c>
      <c r="F988" t="s">
        <v>13</v>
      </c>
      <c r="G988" t="s">
        <v>10</v>
      </c>
    </row>
    <row r="989" spans="1:7" x14ac:dyDescent="0.3">
      <c r="A989" t="s">
        <v>1827</v>
      </c>
      <c r="B989" t="s">
        <v>930</v>
      </c>
      <c r="C989" t="s">
        <v>2570</v>
      </c>
      <c r="D989" t="s">
        <v>25</v>
      </c>
      <c r="E989">
        <v>4</v>
      </c>
      <c r="F989" t="s">
        <v>13</v>
      </c>
      <c r="G989" t="s">
        <v>13</v>
      </c>
    </row>
    <row r="990" spans="1:7" x14ac:dyDescent="0.3">
      <c r="A990" t="s">
        <v>1828</v>
      </c>
      <c r="B990" t="s">
        <v>1829</v>
      </c>
      <c r="C990" t="s">
        <v>2370</v>
      </c>
      <c r="D990" t="s">
        <v>31</v>
      </c>
      <c r="E990">
        <v>1</v>
      </c>
      <c r="F990" t="s">
        <v>10</v>
      </c>
      <c r="G990" t="s">
        <v>13</v>
      </c>
    </row>
    <row r="991" spans="1:7" x14ac:dyDescent="0.3">
      <c r="A991" t="s">
        <v>1830</v>
      </c>
      <c r="B991" t="s">
        <v>1831</v>
      </c>
      <c r="C991" t="s">
        <v>1965</v>
      </c>
      <c r="D991" t="s">
        <v>83</v>
      </c>
      <c r="E991">
        <v>2</v>
      </c>
      <c r="F991" t="s">
        <v>10</v>
      </c>
      <c r="G991" t="s">
        <v>10</v>
      </c>
    </row>
    <row r="992" spans="1:7" x14ac:dyDescent="0.3">
      <c r="A992" t="s">
        <v>1832</v>
      </c>
      <c r="B992" t="s">
        <v>654</v>
      </c>
      <c r="C992" t="s">
        <v>1966</v>
      </c>
      <c r="D992" t="s">
        <v>68</v>
      </c>
      <c r="E992">
        <v>1</v>
      </c>
      <c r="F992" t="s">
        <v>13</v>
      </c>
      <c r="G992" t="s">
        <v>10</v>
      </c>
    </row>
    <row r="993" spans="1:7" x14ac:dyDescent="0.3">
      <c r="A993" t="s">
        <v>1833</v>
      </c>
      <c r="B993" t="s">
        <v>770</v>
      </c>
      <c r="C993" t="s">
        <v>2391</v>
      </c>
      <c r="D993" t="s">
        <v>9</v>
      </c>
      <c r="E993">
        <v>2</v>
      </c>
      <c r="F993" t="s">
        <v>13</v>
      </c>
      <c r="G993" t="s">
        <v>10</v>
      </c>
    </row>
    <row r="994" spans="1:7" x14ac:dyDescent="0.3">
      <c r="A994" t="s">
        <v>1834</v>
      </c>
      <c r="B994" t="s">
        <v>1835</v>
      </c>
      <c r="C994" t="s">
        <v>2571</v>
      </c>
      <c r="D994" t="s">
        <v>25</v>
      </c>
      <c r="E994">
        <v>4</v>
      </c>
      <c r="F994" t="s">
        <v>13</v>
      </c>
      <c r="G994" t="s">
        <v>10</v>
      </c>
    </row>
    <row r="995" spans="1:7" x14ac:dyDescent="0.3">
      <c r="A995" t="s">
        <v>1836</v>
      </c>
      <c r="B995" t="s">
        <v>1837</v>
      </c>
      <c r="C995" t="s">
        <v>2572</v>
      </c>
      <c r="D995" t="s">
        <v>68</v>
      </c>
      <c r="E995">
        <v>1</v>
      </c>
      <c r="F995" t="s">
        <v>13</v>
      </c>
      <c r="G995" t="s">
        <v>10</v>
      </c>
    </row>
    <row r="996" spans="1:7" x14ac:dyDescent="0.3">
      <c r="A996" t="s">
        <v>1838</v>
      </c>
      <c r="B996" t="s">
        <v>1839</v>
      </c>
      <c r="C996" t="s">
        <v>1982</v>
      </c>
      <c r="D996" t="s">
        <v>83</v>
      </c>
      <c r="E996">
        <v>1</v>
      </c>
      <c r="F996" t="s">
        <v>10</v>
      </c>
      <c r="G996" t="s">
        <v>13</v>
      </c>
    </row>
    <row r="997" spans="1:7" x14ac:dyDescent="0.3">
      <c r="A997" t="s">
        <v>1840</v>
      </c>
      <c r="B997" t="s">
        <v>1841</v>
      </c>
      <c r="C997" t="s">
        <v>2573</v>
      </c>
      <c r="D997" t="s">
        <v>28</v>
      </c>
      <c r="E997">
        <v>4</v>
      </c>
      <c r="F997" t="s">
        <v>10</v>
      </c>
      <c r="G997" t="s">
        <v>13</v>
      </c>
    </row>
    <row r="998" spans="1:7" x14ac:dyDescent="0.3">
      <c r="A998" t="s">
        <v>1842</v>
      </c>
      <c r="B998" t="s">
        <v>158</v>
      </c>
      <c r="C998" t="s">
        <v>2574</v>
      </c>
      <c r="D998" t="s">
        <v>19</v>
      </c>
      <c r="E998">
        <v>3</v>
      </c>
      <c r="F998" t="s">
        <v>10</v>
      </c>
      <c r="G998" t="s">
        <v>13</v>
      </c>
    </row>
    <row r="999" spans="1:7" x14ac:dyDescent="0.3">
      <c r="A999" t="s">
        <v>1843</v>
      </c>
      <c r="B999" t="s">
        <v>1844</v>
      </c>
      <c r="C999" t="s">
        <v>2575</v>
      </c>
      <c r="D999" t="s">
        <v>19</v>
      </c>
      <c r="E999">
        <v>2</v>
      </c>
      <c r="F999" t="s">
        <v>13</v>
      </c>
      <c r="G999" t="s">
        <v>13</v>
      </c>
    </row>
    <row r="1000" spans="1:7" x14ac:dyDescent="0.3">
      <c r="A1000" t="s">
        <v>1845</v>
      </c>
      <c r="B1000" t="s">
        <v>1846</v>
      </c>
      <c r="C1000" t="s">
        <v>2520</v>
      </c>
      <c r="D1000" t="s">
        <v>25</v>
      </c>
      <c r="E1000">
        <v>4</v>
      </c>
      <c r="F1000" t="s">
        <v>13</v>
      </c>
      <c r="G1000" t="s">
        <v>10</v>
      </c>
    </row>
    <row r="1001" spans="1:7" x14ac:dyDescent="0.3">
      <c r="A1001" t="s">
        <v>1847</v>
      </c>
      <c r="B1001" t="s">
        <v>1848</v>
      </c>
      <c r="C1001" t="s">
        <v>2576</v>
      </c>
      <c r="D1001" t="s">
        <v>22</v>
      </c>
      <c r="E1001">
        <v>5</v>
      </c>
      <c r="F1001" t="s">
        <v>10</v>
      </c>
      <c r="G1001" t="s">
        <v>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404F9-7449-4370-B8C2-87D2F86C7F86}">
  <dimension ref="A1:P1002"/>
  <sheetViews>
    <sheetView tabSelected="1" zoomScale="85" zoomScaleNormal="85" workbookViewId="0">
      <selection activeCell="P2" sqref="P2"/>
    </sheetView>
  </sheetViews>
  <sheetFormatPr defaultRowHeight="14.4" x14ac:dyDescent="0.3"/>
  <cols>
    <col min="1" max="1" width="14.33203125" bestFit="1" customWidth="1"/>
    <col min="2" max="2" width="14.6640625" bestFit="1" customWidth="1"/>
    <col min="3" max="3" width="17.88671875" bestFit="1" customWidth="1"/>
    <col min="4" max="4" width="42.77734375" bestFit="1" customWidth="1"/>
    <col min="5" max="5" width="20" customWidth="1"/>
    <col min="6" max="6" width="19.77734375" customWidth="1"/>
    <col min="7" max="7" width="17.6640625" customWidth="1"/>
    <col min="8" max="8" width="23.44140625" customWidth="1"/>
    <col min="9" max="9" width="17.21875" customWidth="1"/>
    <col min="10" max="10" width="11.33203125" customWidth="1"/>
    <col min="11" max="11" width="11.6640625" customWidth="1"/>
    <col min="12" max="12" width="12" customWidth="1"/>
    <col min="13" max="13" width="16.5546875" customWidth="1"/>
    <col min="14" max="14" width="20.77734375" bestFit="1" customWidth="1"/>
    <col min="15" max="15" width="22" customWidth="1"/>
    <col min="16" max="16" width="17.33203125" bestFit="1" customWidth="1"/>
  </cols>
  <sheetData>
    <row r="1" spans="1:16" x14ac:dyDescent="0.3">
      <c r="A1" t="s">
        <v>0</v>
      </c>
      <c r="B1" t="s">
        <v>1</v>
      </c>
      <c r="C1" t="s">
        <v>2</v>
      </c>
      <c r="D1" t="s">
        <v>3</v>
      </c>
      <c r="E1" t="s">
        <v>4</v>
      </c>
      <c r="F1" t="s">
        <v>5</v>
      </c>
      <c r="G1" t="s">
        <v>6</v>
      </c>
      <c r="H1" t="s">
        <v>1849</v>
      </c>
      <c r="I1" t="s">
        <v>1850</v>
      </c>
      <c r="J1" t="s">
        <v>1851</v>
      </c>
      <c r="K1" t="s">
        <v>2577</v>
      </c>
      <c r="L1" t="s">
        <v>2578</v>
      </c>
      <c r="M1" t="s">
        <v>2579</v>
      </c>
      <c r="N1" t="s">
        <v>2580</v>
      </c>
      <c r="O1" t="s">
        <v>2581</v>
      </c>
      <c r="P1" t="s">
        <v>2582</v>
      </c>
    </row>
    <row r="2" spans="1:16" x14ac:dyDescent="0.3">
      <c r="A2" t="s">
        <v>7</v>
      </c>
      <c r="B2" t="s">
        <v>8</v>
      </c>
      <c r="C2" s="1">
        <v>44050</v>
      </c>
      <c r="D2" t="s">
        <v>9</v>
      </c>
      <c r="E2">
        <v>3</v>
      </c>
      <c r="F2" s="3" t="s">
        <v>10</v>
      </c>
      <c r="G2" s="3" t="s">
        <v>10</v>
      </c>
      <c r="H2" s="3" t="str">
        <f>IF(cf_cl[[#This Row],[satisfaction_score]]&gt;=4,"Happy",IF(cf_cl[[#This Row],[satisfaction_score]]=3,"Neutral","Negative"))</f>
        <v>Neutral</v>
      </c>
      <c r="I2" s="3" t="str">
        <f>IF(cf_cl[[#This Row],[satisfaction_score]]&lt;=2,"Low",IF(cf_cl[[#This Row],[satisfaction_score]]=3,"Medium","High"))</f>
        <v>Medium</v>
      </c>
      <c r="J2">
        <f>YEAR(cf_cl[[#This Row],[date_submitted]])</f>
        <v>2020</v>
      </c>
      <c r="K2" s="3" t="str">
        <f>TEXT(cf_cl[[#This Row],[date_submitted]],"mmm")</f>
        <v>Aug</v>
      </c>
      <c r="L2" s="3" t="str">
        <f t="shared" ref="L2:L65" si="0">"Q"&amp;ROUNDUP(MONTH(C2)/3,0)</f>
        <v>Q3</v>
      </c>
      <c r="M2" s="3" t="str">
        <f t="shared" ref="M2:M65" si="1">TEXT(C2,"dddd")</f>
        <v>Friday</v>
      </c>
      <c r="N2" s="3" t="str">
        <f t="shared" ref="N2:N65" si="2">IF(E2&lt;=2,"Yes","No")</f>
        <v>No</v>
      </c>
      <c r="O2" s="3" t="str">
        <f>IF(COUNTIF($B:$B,B2)=1,"New Customer",
IF(COUNTIF($B:$B,B2)&lt;=3,"Returning Customer","Loyal Customer"))</f>
        <v>New Customer</v>
      </c>
      <c r="P2" s="3" t="str">
        <f>IF(cf_cl[[#This Row],[referred_claim]]="Yes","Referred","Not Referred")</f>
        <v>Referred</v>
      </c>
    </row>
    <row r="3" spans="1:16" x14ac:dyDescent="0.3">
      <c r="A3" t="s">
        <v>11</v>
      </c>
      <c r="B3" t="s">
        <v>12</v>
      </c>
      <c r="C3" s="1">
        <v>44209</v>
      </c>
      <c r="D3" t="s">
        <v>9</v>
      </c>
      <c r="E3">
        <v>1</v>
      </c>
      <c r="F3" s="3" t="s">
        <v>13</v>
      </c>
      <c r="G3" s="3" t="s">
        <v>10</v>
      </c>
      <c r="H3" s="3" t="str">
        <f>IF(cf_cl[[#This Row],[satisfaction_score]]&gt;=4,"Happy",IF(cf_cl[[#This Row],[satisfaction_score]]=3,"Neutral","Negative"))</f>
        <v>Negative</v>
      </c>
      <c r="I3" s="3" t="str">
        <f>IF(cf_cl[[#This Row],[satisfaction_score]]&lt;=2,"Low",IF(cf_cl[[#This Row],[satisfaction_score]]=3,"Medium","High"))</f>
        <v>Low</v>
      </c>
      <c r="J3">
        <f>YEAR(cf_cl[[#This Row],[date_submitted]])</f>
        <v>2021</v>
      </c>
      <c r="K3" s="3" t="str">
        <f>TEXT(cf_cl[[#This Row],[date_submitted]],"mmm")</f>
        <v>Jan</v>
      </c>
      <c r="L3" s="3" t="str">
        <f t="shared" si="0"/>
        <v>Q1</v>
      </c>
      <c r="M3" s="3" t="str">
        <f t="shared" si="1"/>
        <v>Wednesday</v>
      </c>
      <c r="N3" s="3" t="str">
        <f t="shared" si="2"/>
        <v>Yes</v>
      </c>
      <c r="O3" s="3" t="str">
        <f>IF(COUNTIF($B:$B,B3)=1,"New Customer",
IF(COUNTIF($B:$B,B3)&lt;=3,"Returning Customer","Loyal Customer"))</f>
        <v>Returning Customer</v>
      </c>
      <c r="P3" s="3" t="str">
        <f>IF(cf_cl[[#This Row],[referred_claim]]="Yes","Referred","Not Referred")</f>
        <v>Referred</v>
      </c>
    </row>
    <row r="4" spans="1:16" x14ac:dyDescent="0.3">
      <c r="A4" t="s">
        <v>14</v>
      </c>
      <c r="B4" t="s">
        <v>15</v>
      </c>
      <c r="C4" s="1">
        <v>44608</v>
      </c>
      <c r="D4" t="s">
        <v>16</v>
      </c>
      <c r="E4">
        <v>5</v>
      </c>
      <c r="F4" s="3" t="s">
        <v>13</v>
      </c>
      <c r="G4" s="3" t="s">
        <v>10</v>
      </c>
      <c r="H4" s="3" t="str">
        <f>IF(cf_cl[[#This Row],[satisfaction_score]]&gt;=4,"Happy",IF(cf_cl[[#This Row],[satisfaction_score]]=3,"Neutral","Negative"))</f>
        <v>Happy</v>
      </c>
      <c r="I4" s="3" t="str">
        <f>IF(cf_cl[[#This Row],[satisfaction_score]]&lt;=2,"Low",IF(cf_cl[[#This Row],[satisfaction_score]]=3,"Medium","High"))</f>
        <v>High</v>
      </c>
      <c r="J4">
        <f>YEAR(cf_cl[[#This Row],[date_submitted]])</f>
        <v>2022</v>
      </c>
      <c r="K4" s="3" t="str">
        <f>TEXT(cf_cl[[#This Row],[date_submitted]],"mmm")</f>
        <v>Feb</v>
      </c>
      <c r="L4" s="3" t="str">
        <f t="shared" si="0"/>
        <v>Q1</v>
      </c>
      <c r="M4" s="3" t="str">
        <f t="shared" si="1"/>
        <v>Wednesday</v>
      </c>
      <c r="N4" s="3" t="str">
        <f t="shared" si="2"/>
        <v>No</v>
      </c>
      <c r="O4" s="3" t="str">
        <f>IF(COUNTIF($B:$B,B4)=1,"New Customer",
IF(COUNTIF($B:$B,B4)&lt;=3,"Returning Customer","Loyal Customer"))</f>
        <v>New Customer</v>
      </c>
      <c r="P4" s="3" t="str">
        <f>IF(cf_cl[[#This Row],[referred_claim]]="Yes","Referred","Not Referred")</f>
        <v>Referred</v>
      </c>
    </row>
    <row r="5" spans="1:16" x14ac:dyDescent="0.3">
      <c r="A5" t="s">
        <v>17</v>
      </c>
      <c r="B5" t="s">
        <v>18</v>
      </c>
      <c r="C5" s="1">
        <v>44243</v>
      </c>
      <c r="D5" t="s">
        <v>19</v>
      </c>
      <c r="E5">
        <v>2</v>
      </c>
      <c r="F5" s="3" t="s">
        <v>13</v>
      </c>
      <c r="G5" s="3" t="s">
        <v>10</v>
      </c>
      <c r="H5" s="3" t="str">
        <f>IF(cf_cl[[#This Row],[satisfaction_score]]&gt;=4,"Happy",IF(cf_cl[[#This Row],[satisfaction_score]]=3,"Neutral","Negative"))</f>
        <v>Negative</v>
      </c>
      <c r="I5" s="3" t="str">
        <f>IF(cf_cl[[#This Row],[satisfaction_score]]&lt;=2,"Low",IF(cf_cl[[#This Row],[satisfaction_score]]=3,"Medium","High"))</f>
        <v>Low</v>
      </c>
      <c r="J5">
        <f>YEAR(cf_cl[[#This Row],[date_submitted]])</f>
        <v>2021</v>
      </c>
      <c r="K5" s="3" t="str">
        <f>TEXT(cf_cl[[#This Row],[date_submitted]],"mmm")</f>
        <v>Feb</v>
      </c>
      <c r="L5" s="3" t="str">
        <f t="shared" si="0"/>
        <v>Q1</v>
      </c>
      <c r="M5" s="3" t="str">
        <f t="shared" si="1"/>
        <v>Tuesday</v>
      </c>
      <c r="N5" s="3" t="str">
        <f t="shared" si="2"/>
        <v>Yes</v>
      </c>
      <c r="O5" s="3" t="str">
        <f>IF(COUNTIF($B:$B,B5)=1,"New Customer",
IF(COUNTIF($B:$B,B5)&lt;=3,"Returning Customer","Loyal Customer"))</f>
        <v>New Customer</v>
      </c>
      <c r="P5" s="3" t="str">
        <f>IF(cf_cl[[#This Row],[referred_claim]]="Yes","Referred","Not Referred")</f>
        <v>Referred</v>
      </c>
    </row>
    <row r="6" spans="1:16" x14ac:dyDescent="0.3">
      <c r="A6" t="s">
        <v>20</v>
      </c>
      <c r="B6" t="s">
        <v>21</v>
      </c>
      <c r="C6" s="1">
        <v>44295</v>
      </c>
      <c r="D6" t="s">
        <v>22</v>
      </c>
      <c r="E6">
        <v>5</v>
      </c>
      <c r="F6" s="3" t="s">
        <v>13</v>
      </c>
      <c r="G6" s="3" t="s">
        <v>13</v>
      </c>
      <c r="H6" s="3" t="str">
        <f>IF(cf_cl[[#This Row],[satisfaction_score]]&gt;=4,"Happy",IF(cf_cl[[#This Row],[satisfaction_score]]=3,"Neutral","Negative"))</f>
        <v>Happy</v>
      </c>
      <c r="I6" s="3" t="str">
        <f>IF(cf_cl[[#This Row],[satisfaction_score]]&lt;=2,"Low",IF(cf_cl[[#This Row],[satisfaction_score]]=3,"Medium","High"))</f>
        <v>High</v>
      </c>
      <c r="J6">
        <f>YEAR(cf_cl[[#This Row],[date_submitted]])</f>
        <v>2021</v>
      </c>
      <c r="K6" s="3" t="str">
        <f>TEXT(cf_cl[[#This Row],[date_submitted]],"mmm")</f>
        <v>Apr</v>
      </c>
      <c r="L6" s="3" t="str">
        <f t="shared" si="0"/>
        <v>Q2</v>
      </c>
      <c r="M6" s="3" t="str">
        <f t="shared" si="1"/>
        <v>Friday</v>
      </c>
      <c r="N6" s="3" t="str">
        <f t="shared" si="2"/>
        <v>No</v>
      </c>
      <c r="O6" s="3" t="str">
        <f>IF(COUNTIF($B:$B,B6)=1,"New Customer",
IF(COUNTIF($B:$B,B6)&lt;=3,"Returning Customer","Loyal Customer"))</f>
        <v>New Customer</v>
      </c>
      <c r="P6" s="3" t="str">
        <f>IF(cf_cl[[#This Row],[referred_claim]]="Yes","Referred","Not Referred")</f>
        <v>Not Referred</v>
      </c>
    </row>
    <row r="7" spans="1:16" x14ac:dyDescent="0.3">
      <c r="A7" t="s">
        <v>23</v>
      </c>
      <c r="B7" t="s">
        <v>24</v>
      </c>
      <c r="C7" s="1">
        <v>43835</v>
      </c>
      <c r="D7" t="s">
        <v>25</v>
      </c>
      <c r="E7">
        <v>5</v>
      </c>
      <c r="F7" s="3" t="s">
        <v>10</v>
      </c>
      <c r="G7" s="3" t="s">
        <v>13</v>
      </c>
      <c r="H7" s="3" t="str">
        <f>IF(cf_cl[[#This Row],[satisfaction_score]]&gt;=4,"Happy",IF(cf_cl[[#This Row],[satisfaction_score]]=3,"Neutral","Negative"))</f>
        <v>Happy</v>
      </c>
      <c r="I7" s="3" t="str">
        <f>IF(cf_cl[[#This Row],[satisfaction_score]]&lt;=2,"Low",IF(cf_cl[[#This Row],[satisfaction_score]]=3,"Medium","High"))</f>
        <v>High</v>
      </c>
      <c r="J7">
        <f>YEAR(cf_cl[[#This Row],[date_submitted]])</f>
        <v>2020</v>
      </c>
      <c r="K7" s="3" t="str">
        <f>TEXT(cf_cl[[#This Row],[date_submitted]],"mmm")</f>
        <v>Jan</v>
      </c>
      <c r="L7" s="3" t="str">
        <f t="shared" si="0"/>
        <v>Q1</v>
      </c>
      <c r="M7" s="3" t="str">
        <f t="shared" si="1"/>
        <v>Sunday</v>
      </c>
      <c r="N7" s="3" t="str">
        <f t="shared" si="2"/>
        <v>No</v>
      </c>
      <c r="O7" s="3" t="str">
        <f>IF(COUNTIF($B:$B,B7)=1,"New Customer",
IF(COUNTIF($B:$B,B7)&lt;=3,"Returning Customer","Loyal Customer"))</f>
        <v>New Customer</v>
      </c>
      <c r="P7" s="3" t="str">
        <f>IF(cf_cl[[#This Row],[referred_claim]]="Yes","Referred","Not Referred")</f>
        <v>Not Referred</v>
      </c>
    </row>
    <row r="8" spans="1:16" x14ac:dyDescent="0.3">
      <c r="A8" t="s">
        <v>26</v>
      </c>
      <c r="B8" t="s">
        <v>27</v>
      </c>
      <c r="C8" s="1">
        <v>45255</v>
      </c>
      <c r="D8" t="s">
        <v>28</v>
      </c>
      <c r="E8">
        <v>4</v>
      </c>
      <c r="F8" s="3" t="s">
        <v>10</v>
      </c>
      <c r="G8" s="3" t="s">
        <v>10</v>
      </c>
      <c r="H8" s="3" t="str">
        <f>IF(cf_cl[[#This Row],[satisfaction_score]]&gt;=4,"Happy",IF(cf_cl[[#This Row],[satisfaction_score]]=3,"Neutral","Negative"))</f>
        <v>Happy</v>
      </c>
      <c r="I8" s="3" t="str">
        <f>IF(cf_cl[[#This Row],[satisfaction_score]]&lt;=2,"Low",IF(cf_cl[[#This Row],[satisfaction_score]]=3,"Medium","High"))</f>
        <v>High</v>
      </c>
      <c r="J8">
        <f>YEAR(cf_cl[[#This Row],[date_submitted]])</f>
        <v>2023</v>
      </c>
      <c r="K8" s="3" t="str">
        <f>TEXT(cf_cl[[#This Row],[date_submitted]],"mmm")</f>
        <v>Nov</v>
      </c>
      <c r="L8" s="3" t="str">
        <f t="shared" si="0"/>
        <v>Q4</v>
      </c>
      <c r="M8" s="3" t="str">
        <f t="shared" si="1"/>
        <v>Saturday</v>
      </c>
      <c r="N8" s="3" t="str">
        <f t="shared" si="2"/>
        <v>No</v>
      </c>
      <c r="O8" s="3" t="str">
        <f>IF(COUNTIF($B:$B,B8)=1,"New Customer",
IF(COUNTIF($B:$B,B8)&lt;=3,"Returning Customer","Loyal Customer"))</f>
        <v>New Customer</v>
      </c>
      <c r="P8" s="3" t="str">
        <f>IF(cf_cl[[#This Row],[referred_claim]]="Yes","Referred","Not Referred")</f>
        <v>Referred</v>
      </c>
    </row>
    <row r="9" spans="1:16" x14ac:dyDescent="0.3">
      <c r="A9" t="s">
        <v>29</v>
      </c>
      <c r="B9" t="s">
        <v>30</v>
      </c>
      <c r="C9" s="1">
        <v>44963</v>
      </c>
      <c r="D9" t="s">
        <v>31</v>
      </c>
      <c r="E9">
        <v>3</v>
      </c>
      <c r="F9" s="3" t="s">
        <v>13</v>
      </c>
      <c r="G9" s="3" t="s">
        <v>13</v>
      </c>
      <c r="H9" s="3" t="str">
        <f>IF(cf_cl[[#This Row],[satisfaction_score]]&gt;=4,"Happy",IF(cf_cl[[#This Row],[satisfaction_score]]=3,"Neutral","Negative"))</f>
        <v>Neutral</v>
      </c>
      <c r="I9" s="3" t="str">
        <f>IF(cf_cl[[#This Row],[satisfaction_score]]&lt;=2,"Low",IF(cf_cl[[#This Row],[satisfaction_score]]=3,"Medium","High"))</f>
        <v>Medium</v>
      </c>
      <c r="J9">
        <f>YEAR(cf_cl[[#This Row],[date_submitted]])</f>
        <v>2023</v>
      </c>
      <c r="K9" s="3" t="str">
        <f>TEXT(cf_cl[[#This Row],[date_submitted]],"mmm")</f>
        <v>Feb</v>
      </c>
      <c r="L9" s="3" t="str">
        <f t="shared" si="0"/>
        <v>Q1</v>
      </c>
      <c r="M9" s="3" t="str">
        <f t="shared" si="1"/>
        <v>Monday</v>
      </c>
      <c r="N9" s="3" t="str">
        <f t="shared" si="2"/>
        <v>No</v>
      </c>
      <c r="O9" s="3" t="str">
        <f>IF(COUNTIF($B:$B,B9)=1,"New Customer",
IF(COUNTIF($B:$B,B9)&lt;=3,"Returning Customer","Loyal Customer"))</f>
        <v>New Customer</v>
      </c>
      <c r="P9" s="3" t="str">
        <f>IF(cf_cl[[#This Row],[referred_claim]]="Yes","Referred","Not Referred")</f>
        <v>Not Referred</v>
      </c>
    </row>
    <row r="10" spans="1:16" x14ac:dyDescent="0.3">
      <c r="A10" t="s">
        <v>32</v>
      </c>
      <c r="B10" t="s">
        <v>33</v>
      </c>
      <c r="C10" s="1">
        <v>44593</v>
      </c>
      <c r="D10" t="s">
        <v>16</v>
      </c>
      <c r="E10">
        <v>5</v>
      </c>
      <c r="F10" s="3" t="s">
        <v>10</v>
      </c>
      <c r="G10" s="3" t="s">
        <v>10</v>
      </c>
      <c r="H10" s="3" t="str">
        <f>IF(cf_cl[[#This Row],[satisfaction_score]]&gt;=4,"Happy",IF(cf_cl[[#This Row],[satisfaction_score]]=3,"Neutral","Negative"))</f>
        <v>Happy</v>
      </c>
      <c r="I10" s="3" t="str">
        <f>IF(cf_cl[[#This Row],[satisfaction_score]]&lt;=2,"Low",IF(cf_cl[[#This Row],[satisfaction_score]]=3,"Medium","High"))</f>
        <v>High</v>
      </c>
      <c r="J10">
        <f>YEAR(cf_cl[[#This Row],[date_submitted]])</f>
        <v>2022</v>
      </c>
      <c r="K10" s="3" t="str">
        <f>TEXT(cf_cl[[#This Row],[date_submitted]],"mmm")</f>
        <v>Feb</v>
      </c>
      <c r="L10" s="3" t="str">
        <f t="shared" si="0"/>
        <v>Q1</v>
      </c>
      <c r="M10" s="3" t="str">
        <f t="shared" si="1"/>
        <v>Tuesday</v>
      </c>
      <c r="N10" s="3" t="str">
        <f t="shared" si="2"/>
        <v>No</v>
      </c>
      <c r="O10" s="3" t="str">
        <f>IF(COUNTIF($B:$B,B10)=1,"New Customer",
IF(COUNTIF($B:$B,B10)&lt;=3,"Returning Customer","Loyal Customer"))</f>
        <v>New Customer</v>
      </c>
      <c r="P10" s="3" t="str">
        <f>IF(cf_cl[[#This Row],[referred_claim]]="Yes","Referred","Not Referred")</f>
        <v>Referred</v>
      </c>
    </row>
    <row r="11" spans="1:16" x14ac:dyDescent="0.3">
      <c r="A11" t="s">
        <v>34</v>
      </c>
      <c r="B11" t="s">
        <v>12</v>
      </c>
      <c r="C11" s="1">
        <v>43888</v>
      </c>
      <c r="D11" t="s">
        <v>28</v>
      </c>
      <c r="E11">
        <v>4</v>
      </c>
      <c r="F11" s="3" t="s">
        <v>13</v>
      </c>
      <c r="G11" s="3" t="s">
        <v>13</v>
      </c>
      <c r="H11" s="3" t="str">
        <f>IF(cf_cl[[#This Row],[satisfaction_score]]&gt;=4,"Happy",IF(cf_cl[[#This Row],[satisfaction_score]]=3,"Neutral","Negative"))</f>
        <v>Happy</v>
      </c>
      <c r="I11" s="3" t="str">
        <f>IF(cf_cl[[#This Row],[satisfaction_score]]&lt;=2,"Low",IF(cf_cl[[#This Row],[satisfaction_score]]=3,"Medium","High"))</f>
        <v>High</v>
      </c>
      <c r="J11">
        <f>YEAR(cf_cl[[#This Row],[date_submitted]])</f>
        <v>2020</v>
      </c>
      <c r="K11" s="3" t="str">
        <f>TEXT(cf_cl[[#This Row],[date_submitted]],"mmm")</f>
        <v>Feb</v>
      </c>
      <c r="L11" s="3" t="str">
        <f t="shared" si="0"/>
        <v>Q1</v>
      </c>
      <c r="M11" s="3" t="str">
        <f t="shared" si="1"/>
        <v>Thursday</v>
      </c>
      <c r="N11" s="3" t="str">
        <f t="shared" si="2"/>
        <v>No</v>
      </c>
      <c r="O11" s="3" t="str">
        <f>IF(COUNTIF($B:$B,B11)=1,"New Customer",
IF(COUNTIF($B:$B,B11)&lt;=3,"Returning Customer","Loyal Customer"))</f>
        <v>Returning Customer</v>
      </c>
      <c r="P11" s="3" t="str">
        <f>IF(cf_cl[[#This Row],[referred_claim]]="Yes","Referred","Not Referred")</f>
        <v>Not Referred</v>
      </c>
    </row>
    <row r="12" spans="1:16" x14ac:dyDescent="0.3">
      <c r="A12" t="s">
        <v>35</v>
      </c>
      <c r="B12" t="s">
        <v>36</v>
      </c>
      <c r="C12" s="1">
        <v>44244</v>
      </c>
      <c r="D12" t="s">
        <v>37</v>
      </c>
      <c r="E12">
        <v>3</v>
      </c>
      <c r="F12" s="3" t="s">
        <v>10</v>
      </c>
      <c r="G12" s="3" t="s">
        <v>13</v>
      </c>
      <c r="H12" s="3" t="str">
        <f>IF(cf_cl[[#This Row],[satisfaction_score]]&gt;=4,"Happy",IF(cf_cl[[#This Row],[satisfaction_score]]=3,"Neutral","Negative"))</f>
        <v>Neutral</v>
      </c>
      <c r="I12" s="3" t="str">
        <f>IF(cf_cl[[#This Row],[satisfaction_score]]&lt;=2,"Low",IF(cf_cl[[#This Row],[satisfaction_score]]=3,"Medium","High"))</f>
        <v>Medium</v>
      </c>
      <c r="J12">
        <f>YEAR(cf_cl[[#This Row],[date_submitted]])</f>
        <v>2021</v>
      </c>
      <c r="K12" s="3" t="str">
        <f>TEXT(cf_cl[[#This Row],[date_submitted]],"mmm")</f>
        <v>Feb</v>
      </c>
      <c r="L12" s="3" t="str">
        <f t="shared" si="0"/>
        <v>Q1</v>
      </c>
      <c r="M12" s="3" t="str">
        <f t="shared" si="1"/>
        <v>Wednesday</v>
      </c>
      <c r="N12" s="3" t="str">
        <f t="shared" si="2"/>
        <v>No</v>
      </c>
      <c r="O12" s="3" t="str">
        <f>IF(COUNTIF($B:$B,B12)=1,"New Customer",
IF(COUNTIF($B:$B,B12)&lt;=3,"Returning Customer","Loyal Customer"))</f>
        <v>New Customer</v>
      </c>
      <c r="P12" s="3" t="str">
        <f>IF(cf_cl[[#This Row],[referred_claim]]="Yes","Referred","Not Referred")</f>
        <v>Not Referred</v>
      </c>
    </row>
    <row r="13" spans="1:16" x14ac:dyDescent="0.3">
      <c r="A13" t="s">
        <v>38</v>
      </c>
      <c r="B13" t="s">
        <v>39</v>
      </c>
      <c r="C13" s="1">
        <v>45252</v>
      </c>
      <c r="D13" t="s">
        <v>9</v>
      </c>
      <c r="E13">
        <v>1</v>
      </c>
      <c r="F13" s="3" t="s">
        <v>10</v>
      </c>
      <c r="G13" s="3" t="s">
        <v>13</v>
      </c>
      <c r="H13" s="3" t="str">
        <f>IF(cf_cl[[#This Row],[satisfaction_score]]&gt;=4,"Happy",IF(cf_cl[[#This Row],[satisfaction_score]]=3,"Neutral","Negative"))</f>
        <v>Negative</v>
      </c>
      <c r="I13" s="3" t="str">
        <f>IF(cf_cl[[#This Row],[satisfaction_score]]&lt;=2,"Low",IF(cf_cl[[#This Row],[satisfaction_score]]=3,"Medium","High"))</f>
        <v>Low</v>
      </c>
      <c r="J13">
        <f>YEAR(cf_cl[[#This Row],[date_submitted]])</f>
        <v>2023</v>
      </c>
      <c r="K13" s="3" t="str">
        <f>TEXT(cf_cl[[#This Row],[date_submitted]],"mmm")</f>
        <v>Nov</v>
      </c>
      <c r="L13" s="3" t="str">
        <f t="shared" si="0"/>
        <v>Q4</v>
      </c>
      <c r="M13" s="3" t="str">
        <f t="shared" si="1"/>
        <v>Wednesday</v>
      </c>
      <c r="N13" s="3" t="str">
        <f t="shared" si="2"/>
        <v>Yes</v>
      </c>
      <c r="O13" s="3" t="str">
        <f>IF(COUNTIF($B:$B,B13)=1,"New Customer",
IF(COUNTIF($B:$B,B13)&lt;=3,"Returning Customer","Loyal Customer"))</f>
        <v>New Customer</v>
      </c>
      <c r="P13" s="3" t="str">
        <f>IF(cf_cl[[#This Row],[referred_claim]]="Yes","Referred","Not Referred")</f>
        <v>Not Referred</v>
      </c>
    </row>
    <row r="14" spans="1:16" x14ac:dyDescent="0.3">
      <c r="A14" t="s">
        <v>40</v>
      </c>
      <c r="B14" t="s">
        <v>41</v>
      </c>
      <c r="C14" s="1">
        <v>43960</v>
      </c>
      <c r="D14" t="s">
        <v>19</v>
      </c>
      <c r="E14">
        <v>3</v>
      </c>
      <c r="F14" s="3" t="s">
        <v>13</v>
      </c>
      <c r="G14" s="3" t="s">
        <v>13</v>
      </c>
      <c r="H14" s="3" t="str">
        <f>IF(cf_cl[[#This Row],[satisfaction_score]]&gt;=4,"Happy",IF(cf_cl[[#This Row],[satisfaction_score]]=3,"Neutral","Negative"))</f>
        <v>Neutral</v>
      </c>
      <c r="I14" s="3" t="str">
        <f>IF(cf_cl[[#This Row],[satisfaction_score]]&lt;=2,"Low",IF(cf_cl[[#This Row],[satisfaction_score]]=3,"Medium","High"))</f>
        <v>Medium</v>
      </c>
      <c r="J14">
        <f>YEAR(cf_cl[[#This Row],[date_submitted]])</f>
        <v>2020</v>
      </c>
      <c r="K14" s="3" t="str">
        <f>TEXT(cf_cl[[#This Row],[date_submitted]],"mmm")</f>
        <v>May</v>
      </c>
      <c r="L14" s="3" t="str">
        <f t="shared" si="0"/>
        <v>Q2</v>
      </c>
      <c r="M14" s="3" t="str">
        <f t="shared" si="1"/>
        <v>Saturday</v>
      </c>
      <c r="N14" s="3" t="str">
        <f t="shared" si="2"/>
        <v>No</v>
      </c>
      <c r="O14" s="3" t="str">
        <f>IF(COUNTIF($B:$B,B14)=1,"New Customer",
IF(COUNTIF($B:$B,B14)&lt;=3,"Returning Customer","Loyal Customer"))</f>
        <v>New Customer</v>
      </c>
      <c r="P14" s="3" t="str">
        <f>IF(cf_cl[[#This Row],[referred_claim]]="Yes","Referred","Not Referred")</f>
        <v>Not Referred</v>
      </c>
    </row>
    <row r="15" spans="1:16" x14ac:dyDescent="0.3">
      <c r="A15" t="s">
        <v>42</v>
      </c>
      <c r="B15" t="s">
        <v>43</v>
      </c>
      <c r="C15" s="1">
        <v>45210</v>
      </c>
      <c r="D15" t="s">
        <v>22</v>
      </c>
      <c r="E15">
        <v>4</v>
      </c>
      <c r="F15" s="3" t="s">
        <v>10</v>
      </c>
      <c r="G15" s="3" t="s">
        <v>13</v>
      </c>
      <c r="H15" s="3" t="str">
        <f>IF(cf_cl[[#This Row],[satisfaction_score]]&gt;=4,"Happy",IF(cf_cl[[#This Row],[satisfaction_score]]=3,"Neutral","Negative"))</f>
        <v>Happy</v>
      </c>
      <c r="I15" s="3" t="str">
        <f>IF(cf_cl[[#This Row],[satisfaction_score]]&lt;=2,"Low",IF(cf_cl[[#This Row],[satisfaction_score]]=3,"Medium","High"))</f>
        <v>High</v>
      </c>
      <c r="J15">
        <f>YEAR(cf_cl[[#This Row],[date_submitted]])</f>
        <v>2023</v>
      </c>
      <c r="K15" s="3" t="str">
        <f>TEXT(cf_cl[[#This Row],[date_submitted]],"mmm")</f>
        <v>Oct</v>
      </c>
      <c r="L15" s="3" t="str">
        <f t="shared" si="0"/>
        <v>Q4</v>
      </c>
      <c r="M15" s="3" t="str">
        <f t="shared" si="1"/>
        <v>Wednesday</v>
      </c>
      <c r="N15" s="3" t="str">
        <f t="shared" si="2"/>
        <v>No</v>
      </c>
      <c r="O15" s="3" t="str">
        <f>IF(COUNTIF($B:$B,B15)=1,"New Customer",
IF(COUNTIF($B:$B,B15)&lt;=3,"Returning Customer","Loyal Customer"))</f>
        <v>New Customer</v>
      </c>
      <c r="P15" s="3" t="str">
        <f>IF(cf_cl[[#This Row],[referred_claim]]="Yes","Referred","Not Referred")</f>
        <v>Not Referred</v>
      </c>
    </row>
    <row r="16" spans="1:16" x14ac:dyDescent="0.3">
      <c r="A16" t="s">
        <v>44</v>
      </c>
      <c r="B16" t="s">
        <v>45</v>
      </c>
      <c r="C16" s="1">
        <v>44583</v>
      </c>
      <c r="D16" t="s">
        <v>31</v>
      </c>
      <c r="E16">
        <v>2</v>
      </c>
      <c r="F16" s="3" t="s">
        <v>10</v>
      </c>
      <c r="G16" s="3" t="s">
        <v>13</v>
      </c>
      <c r="H16" s="3" t="str">
        <f>IF(cf_cl[[#This Row],[satisfaction_score]]&gt;=4,"Happy",IF(cf_cl[[#This Row],[satisfaction_score]]=3,"Neutral","Negative"))</f>
        <v>Negative</v>
      </c>
      <c r="I16" s="3" t="str">
        <f>IF(cf_cl[[#This Row],[satisfaction_score]]&lt;=2,"Low",IF(cf_cl[[#This Row],[satisfaction_score]]=3,"Medium","High"))</f>
        <v>Low</v>
      </c>
      <c r="J16">
        <f>YEAR(cf_cl[[#This Row],[date_submitted]])</f>
        <v>2022</v>
      </c>
      <c r="K16" s="3" t="str">
        <f>TEXT(cf_cl[[#This Row],[date_submitted]],"mmm")</f>
        <v>Jan</v>
      </c>
      <c r="L16" s="3" t="str">
        <f t="shared" si="0"/>
        <v>Q1</v>
      </c>
      <c r="M16" s="3" t="str">
        <f t="shared" si="1"/>
        <v>Saturday</v>
      </c>
      <c r="N16" s="3" t="str">
        <f t="shared" si="2"/>
        <v>Yes</v>
      </c>
      <c r="O16" s="3" t="str">
        <f>IF(COUNTIF($B:$B,B16)=1,"New Customer",
IF(COUNTIF($B:$B,B16)&lt;=3,"Returning Customer","Loyal Customer"))</f>
        <v>Returning Customer</v>
      </c>
      <c r="P16" s="3" t="str">
        <f>IF(cf_cl[[#This Row],[referred_claim]]="Yes","Referred","Not Referred")</f>
        <v>Not Referred</v>
      </c>
    </row>
    <row r="17" spans="1:16" x14ac:dyDescent="0.3">
      <c r="A17" t="s">
        <v>46</v>
      </c>
      <c r="B17" t="s">
        <v>47</v>
      </c>
      <c r="C17" s="1">
        <v>44876</v>
      </c>
      <c r="D17" t="s">
        <v>31</v>
      </c>
      <c r="E17">
        <v>2</v>
      </c>
      <c r="F17" s="3" t="s">
        <v>10</v>
      </c>
      <c r="G17" s="3" t="s">
        <v>13</v>
      </c>
      <c r="H17" s="3" t="str">
        <f>IF(cf_cl[[#This Row],[satisfaction_score]]&gt;=4,"Happy",IF(cf_cl[[#This Row],[satisfaction_score]]=3,"Neutral","Negative"))</f>
        <v>Negative</v>
      </c>
      <c r="I17" s="3" t="str">
        <f>IF(cf_cl[[#This Row],[satisfaction_score]]&lt;=2,"Low",IF(cf_cl[[#This Row],[satisfaction_score]]=3,"Medium","High"))</f>
        <v>Low</v>
      </c>
      <c r="J17">
        <f>YEAR(cf_cl[[#This Row],[date_submitted]])</f>
        <v>2022</v>
      </c>
      <c r="K17" s="3" t="str">
        <f>TEXT(cf_cl[[#This Row],[date_submitted]],"mmm")</f>
        <v>Nov</v>
      </c>
      <c r="L17" s="3" t="str">
        <f t="shared" si="0"/>
        <v>Q4</v>
      </c>
      <c r="M17" s="3" t="str">
        <f t="shared" si="1"/>
        <v>Friday</v>
      </c>
      <c r="N17" s="3" t="str">
        <f t="shared" si="2"/>
        <v>Yes</v>
      </c>
      <c r="O17" s="3" t="str">
        <f>IF(COUNTIF($B:$B,B17)=1,"New Customer",
IF(COUNTIF($B:$B,B17)&lt;=3,"Returning Customer","Loyal Customer"))</f>
        <v>Returning Customer</v>
      </c>
      <c r="P17" s="3" t="str">
        <f>IF(cf_cl[[#This Row],[referred_claim]]="Yes","Referred","Not Referred")</f>
        <v>Not Referred</v>
      </c>
    </row>
    <row r="18" spans="1:16" x14ac:dyDescent="0.3">
      <c r="A18" t="s">
        <v>48</v>
      </c>
      <c r="B18" t="s">
        <v>49</v>
      </c>
      <c r="C18" s="1">
        <v>44600</v>
      </c>
      <c r="D18" t="s">
        <v>37</v>
      </c>
      <c r="E18">
        <v>5</v>
      </c>
      <c r="F18" s="3" t="s">
        <v>10</v>
      </c>
      <c r="G18" s="3" t="s">
        <v>10</v>
      </c>
      <c r="H18" s="3" t="str">
        <f>IF(cf_cl[[#This Row],[satisfaction_score]]&gt;=4,"Happy",IF(cf_cl[[#This Row],[satisfaction_score]]=3,"Neutral","Negative"))</f>
        <v>Happy</v>
      </c>
      <c r="I18" s="3" t="str">
        <f>IF(cf_cl[[#This Row],[satisfaction_score]]&lt;=2,"Low",IF(cf_cl[[#This Row],[satisfaction_score]]=3,"Medium","High"))</f>
        <v>High</v>
      </c>
      <c r="J18">
        <f>YEAR(cf_cl[[#This Row],[date_submitted]])</f>
        <v>2022</v>
      </c>
      <c r="K18" s="3" t="str">
        <f>TEXT(cf_cl[[#This Row],[date_submitted]],"mmm")</f>
        <v>Feb</v>
      </c>
      <c r="L18" s="3" t="str">
        <f t="shared" si="0"/>
        <v>Q1</v>
      </c>
      <c r="M18" s="3" t="str">
        <f t="shared" si="1"/>
        <v>Tuesday</v>
      </c>
      <c r="N18" s="3" t="str">
        <f t="shared" si="2"/>
        <v>No</v>
      </c>
      <c r="O18" s="3" t="str">
        <f>IF(COUNTIF($B:$B,B18)=1,"New Customer",
IF(COUNTIF($B:$B,B18)&lt;=3,"Returning Customer","Loyal Customer"))</f>
        <v>New Customer</v>
      </c>
      <c r="P18" s="3" t="str">
        <f>IF(cf_cl[[#This Row],[referred_claim]]="Yes","Referred","Not Referred")</f>
        <v>Referred</v>
      </c>
    </row>
    <row r="19" spans="1:16" x14ac:dyDescent="0.3">
      <c r="A19" t="s">
        <v>50</v>
      </c>
      <c r="B19" t="s">
        <v>51</v>
      </c>
      <c r="C19" s="1">
        <v>44528</v>
      </c>
      <c r="D19" t="s">
        <v>9</v>
      </c>
      <c r="E19">
        <v>3</v>
      </c>
      <c r="F19" s="3" t="s">
        <v>13</v>
      </c>
      <c r="G19" s="3" t="s">
        <v>10</v>
      </c>
      <c r="H19" s="3" t="str">
        <f>IF(cf_cl[[#This Row],[satisfaction_score]]&gt;=4,"Happy",IF(cf_cl[[#This Row],[satisfaction_score]]=3,"Neutral","Negative"))</f>
        <v>Neutral</v>
      </c>
      <c r="I19" s="3" t="str">
        <f>IF(cf_cl[[#This Row],[satisfaction_score]]&lt;=2,"Low",IF(cf_cl[[#This Row],[satisfaction_score]]=3,"Medium","High"))</f>
        <v>Medium</v>
      </c>
      <c r="J19">
        <f>YEAR(cf_cl[[#This Row],[date_submitted]])</f>
        <v>2021</v>
      </c>
      <c r="K19" s="3" t="str">
        <f>TEXT(cf_cl[[#This Row],[date_submitted]],"mmm")</f>
        <v>Nov</v>
      </c>
      <c r="L19" s="3" t="str">
        <f t="shared" si="0"/>
        <v>Q4</v>
      </c>
      <c r="M19" s="3" t="str">
        <f t="shared" si="1"/>
        <v>Sunday</v>
      </c>
      <c r="N19" s="3" t="str">
        <f t="shared" si="2"/>
        <v>No</v>
      </c>
      <c r="O19" s="3" t="str">
        <f>IF(COUNTIF($B:$B,B19)=1,"New Customer",
IF(COUNTIF($B:$B,B19)&lt;=3,"Returning Customer","Loyal Customer"))</f>
        <v>New Customer</v>
      </c>
      <c r="P19" s="3" t="str">
        <f>IF(cf_cl[[#This Row],[referred_claim]]="Yes","Referred","Not Referred")</f>
        <v>Referred</v>
      </c>
    </row>
    <row r="20" spans="1:16" x14ac:dyDescent="0.3">
      <c r="A20" t="s">
        <v>52</v>
      </c>
      <c r="B20" t="s">
        <v>53</v>
      </c>
      <c r="C20" s="1">
        <v>44812</v>
      </c>
      <c r="D20" t="s">
        <v>31</v>
      </c>
      <c r="E20">
        <v>1</v>
      </c>
      <c r="F20" s="3" t="s">
        <v>10</v>
      </c>
      <c r="G20" s="3" t="s">
        <v>10</v>
      </c>
      <c r="H20" s="3" t="str">
        <f>IF(cf_cl[[#This Row],[satisfaction_score]]&gt;=4,"Happy",IF(cf_cl[[#This Row],[satisfaction_score]]=3,"Neutral","Negative"))</f>
        <v>Negative</v>
      </c>
      <c r="I20" s="3" t="str">
        <f>IF(cf_cl[[#This Row],[satisfaction_score]]&lt;=2,"Low",IF(cf_cl[[#This Row],[satisfaction_score]]=3,"Medium","High"))</f>
        <v>Low</v>
      </c>
      <c r="J20">
        <f>YEAR(cf_cl[[#This Row],[date_submitted]])</f>
        <v>2022</v>
      </c>
      <c r="K20" s="3" t="str">
        <f>TEXT(cf_cl[[#This Row],[date_submitted]],"mmm")</f>
        <v>Sep</v>
      </c>
      <c r="L20" s="3" t="str">
        <f t="shared" si="0"/>
        <v>Q3</v>
      </c>
      <c r="M20" s="3" t="str">
        <f t="shared" si="1"/>
        <v>Thursday</v>
      </c>
      <c r="N20" s="3" t="str">
        <f t="shared" si="2"/>
        <v>Yes</v>
      </c>
      <c r="O20" s="3" t="str">
        <f>IF(COUNTIF($B:$B,B20)=1,"New Customer",
IF(COUNTIF($B:$B,B20)&lt;=3,"Returning Customer","Loyal Customer"))</f>
        <v>Returning Customer</v>
      </c>
      <c r="P20" s="3" t="str">
        <f>IF(cf_cl[[#This Row],[referred_claim]]="Yes","Referred","Not Referred")</f>
        <v>Referred</v>
      </c>
    </row>
    <row r="21" spans="1:16" x14ac:dyDescent="0.3">
      <c r="A21" t="s">
        <v>54</v>
      </c>
      <c r="B21" t="s">
        <v>55</v>
      </c>
      <c r="C21" s="1">
        <v>44816</v>
      </c>
      <c r="D21" t="s">
        <v>19</v>
      </c>
      <c r="E21">
        <v>2</v>
      </c>
      <c r="F21" s="3" t="s">
        <v>10</v>
      </c>
      <c r="G21" s="3" t="s">
        <v>13</v>
      </c>
      <c r="H21" s="3" t="str">
        <f>IF(cf_cl[[#This Row],[satisfaction_score]]&gt;=4,"Happy",IF(cf_cl[[#This Row],[satisfaction_score]]=3,"Neutral","Negative"))</f>
        <v>Negative</v>
      </c>
      <c r="I21" s="3" t="str">
        <f>IF(cf_cl[[#This Row],[satisfaction_score]]&lt;=2,"Low",IF(cf_cl[[#This Row],[satisfaction_score]]=3,"Medium","High"))</f>
        <v>Low</v>
      </c>
      <c r="J21">
        <f>YEAR(cf_cl[[#This Row],[date_submitted]])</f>
        <v>2022</v>
      </c>
      <c r="K21" s="3" t="str">
        <f>TEXT(cf_cl[[#This Row],[date_submitted]],"mmm")</f>
        <v>Sep</v>
      </c>
      <c r="L21" s="3" t="str">
        <f t="shared" si="0"/>
        <v>Q3</v>
      </c>
      <c r="M21" s="3" t="str">
        <f t="shared" si="1"/>
        <v>Monday</v>
      </c>
      <c r="N21" s="3" t="str">
        <f t="shared" si="2"/>
        <v>Yes</v>
      </c>
      <c r="O21" s="3" t="str">
        <f>IF(COUNTIF($B:$B,B21)=1,"New Customer",
IF(COUNTIF($B:$B,B21)&lt;=3,"Returning Customer","Loyal Customer"))</f>
        <v>New Customer</v>
      </c>
      <c r="P21" s="3" t="str">
        <f>IF(cf_cl[[#This Row],[referred_claim]]="Yes","Referred","Not Referred")</f>
        <v>Not Referred</v>
      </c>
    </row>
    <row r="22" spans="1:16" x14ac:dyDescent="0.3">
      <c r="A22" t="s">
        <v>56</v>
      </c>
      <c r="B22" t="s">
        <v>57</v>
      </c>
      <c r="C22" s="1">
        <v>44622</v>
      </c>
      <c r="D22" t="s">
        <v>37</v>
      </c>
      <c r="E22">
        <v>4</v>
      </c>
      <c r="F22" s="3" t="s">
        <v>10</v>
      </c>
      <c r="G22" s="3" t="s">
        <v>13</v>
      </c>
      <c r="H22" s="3" t="str">
        <f>IF(cf_cl[[#This Row],[satisfaction_score]]&gt;=4,"Happy",IF(cf_cl[[#This Row],[satisfaction_score]]=3,"Neutral","Negative"))</f>
        <v>Happy</v>
      </c>
      <c r="I22" s="3" t="str">
        <f>IF(cf_cl[[#This Row],[satisfaction_score]]&lt;=2,"Low",IF(cf_cl[[#This Row],[satisfaction_score]]=3,"Medium","High"))</f>
        <v>High</v>
      </c>
      <c r="J22">
        <f>YEAR(cf_cl[[#This Row],[date_submitted]])</f>
        <v>2022</v>
      </c>
      <c r="K22" s="3" t="str">
        <f>TEXT(cf_cl[[#This Row],[date_submitted]],"mmm")</f>
        <v>Mar</v>
      </c>
      <c r="L22" s="3" t="str">
        <f t="shared" si="0"/>
        <v>Q1</v>
      </c>
      <c r="M22" s="3" t="str">
        <f t="shared" si="1"/>
        <v>Wednesday</v>
      </c>
      <c r="N22" s="3" t="str">
        <f t="shared" si="2"/>
        <v>No</v>
      </c>
      <c r="O22" s="3" t="str">
        <f>IF(COUNTIF($B:$B,B22)=1,"New Customer",
IF(COUNTIF($B:$B,B22)&lt;=3,"Returning Customer","Loyal Customer"))</f>
        <v>New Customer</v>
      </c>
      <c r="P22" s="3" t="str">
        <f>IF(cf_cl[[#This Row],[referred_claim]]="Yes","Referred","Not Referred")</f>
        <v>Not Referred</v>
      </c>
    </row>
    <row r="23" spans="1:16" x14ac:dyDescent="0.3">
      <c r="A23" t="s">
        <v>58</v>
      </c>
      <c r="B23" t="s">
        <v>59</v>
      </c>
      <c r="C23" s="1">
        <v>44736</v>
      </c>
      <c r="D23" t="s">
        <v>28</v>
      </c>
      <c r="E23">
        <v>5</v>
      </c>
      <c r="F23" s="3" t="s">
        <v>10</v>
      </c>
      <c r="G23" s="3" t="s">
        <v>10</v>
      </c>
      <c r="H23" s="3" t="str">
        <f>IF(cf_cl[[#This Row],[satisfaction_score]]&gt;=4,"Happy",IF(cf_cl[[#This Row],[satisfaction_score]]=3,"Neutral","Negative"))</f>
        <v>Happy</v>
      </c>
      <c r="I23" s="3" t="str">
        <f>IF(cf_cl[[#This Row],[satisfaction_score]]&lt;=2,"Low",IF(cf_cl[[#This Row],[satisfaction_score]]=3,"Medium","High"))</f>
        <v>High</v>
      </c>
      <c r="J23">
        <f>YEAR(cf_cl[[#This Row],[date_submitted]])</f>
        <v>2022</v>
      </c>
      <c r="K23" s="3" t="str">
        <f>TEXT(cf_cl[[#This Row],[date_submitted]],"mmm")</f>
        <v>Jun</v>
      </c>
      <c r="L23" s="3" t="str">
        <f t="shared" si="0"/>
        <v>Q2</v>
      </c>
      <c r="M23" s="3" t="str">
        <f t="shared" si="1"/>
        <v>Friday</v>
      </c>
      <c r="N23" s="3" t="str">
        <f t="shared" si="2"/>
        <v>No</v>
      </c>
      <c r="O23" s="3" t="str">
        <f>IF(COUNTIF($B:$B,B23)=1,"New Customer",
IF(COUNTIF($B:$B,B23)&lt;=3,"Returning Customer","Loyal Customer"))</f>
        <v>Returning Customer</v>
      </c>
      <c r="P23" s="3" t="str">
        <f>IF(cf_cl[[#This Row],[referred_claim]]="Yes","Referred","Not Referred")</f>
        <v>Referred</v>
      </c>
    </row>
    <row r="24" spans="1:16" x14ac:dyDescent="0.3">
      <c r="A24" t="s">
        <v>60</v>
      </c>
      <c r="B24" t="s">
        <v>61</v>
      </c>
      <c r="C24" s="1">
        <v>44659</v>
      </c>
      <c r="D24" t="s">
        <v>9</v>
      </c>
      <c r="E24">
        <v>3</v>
      </c>
      <c r="F24" s="3" t="s">
        <v>10</v>
      </c>
      <c r="G24" s="3" t="s">
        <v>13</v>
      </c>
      <c r="H24" s="3" t="str">
        <f>IF(cf_cl[[#This Row],[satisfaction_score]]&gt;=4,"Happy",IF(cf_cl[[#This Row],[satisfaction_score]]=3,"Neutral","Negative"))</f>
        <v>Neutral</v>
      </c>
      <c r="I24" s="3" t="str">
        <f>IF(cf_cl[[#This Row],[satisfaction_score]]&lt;=2,"Low",IF(cf_cl[[#This Row],[satisfaction_score]]=3,"Medium","High"))</f>
        <v>Medium</v>
      </c>
      <c r="J24">
        <f>YEAR(cf_cl[[#This Row],[date_submitted]])</f>
        <v>2022</v>
      </c>
      <c r="K24" s="3" t="str">
        <f>TEXT(cf_cl[[#This Row],[date_submitted]],"mmm")</f>
        <v>Apr</v>
      </c>
      <c r="L24" s="3" t="str">
        <f t="shared" si="0"/>
        <v>Q2</v>
      </c>
      <c r="M24" s="3" t="str">
        <f t="shared" si="1"/>
        <v>Friday</v>
      </c>
      <c r="N24" s="3" t="str">
        <f t="shared" si="2"/>
        <v>No</v>
      </c>
      <c r="O24" s="3" t="str">
        <f>IF(COUNTIF($B:$B,B24)=1,"New Customer",
IF(COUNTIF($B:$B,B24)&lt;=3,"Returning Customer","Loyal Customer"))</f>
        <v>New Customer</v>
      </c>
      <c r="P24" s="3" t="str">
        <f>IF(cf_cl[[#This Row],[referred_claim]]="Yes","Referred","Not Referred")</f>
        <v>Not Referred</v>
      </c>
    </row>
    <row r="25" spans="1:16" x14ac:dyDescent="0.3">
      <c r="A25" t="s">
        <v>62</v>
      </c>
      <c r="B25" t="s">
        <v>63</v>
      </c>
      <c r="C25" s="1">
        <v>44946</v>
      </c>
      <c r="D25" t="s">
        <v>9</v>
      </c>
      <c r="E25">
        <v>1</v>
      </c>
      <c r="F25" s="3" t="s">
        <v>13</v>
      </c>
      <c r="G25" s="3" t="s">
        <v>13</v>
      </c>
      <c r="H25" s="3" t="str">
        <f>IF(cf_cl[[#This Row],[satisfaction_score]]&gt;=4,"Happy",IF(cf_cl[[#This Row],[satisfaction_score]]=3,"Neutral","Negative"))</f>
        <v>Negative</v>
      </c>
      <c r="I25" s="3" t="str">
        <f>IF(cf_cl[[#This Row],[satisfaction_score]]&lt;=2,"Low",IF(cf_cl[[#This Row],[satisfaction_score]]=3,"Medium","High"))</f>
        <v>Low</v>
      </c>
      <c r="J25">
        <f>YEAR(cf_cl[[#This Row],[date_submitted]])</f>
        <v>2023</v>
      </c>
      <c r="K25" s="3" t="str">
        <f>TEXT(cf_cl[[#This Row],[date_submitted]],"mmm")</f>
        <v>Jan</v>
      </c>
      <c r="L25" s="3" t="str">
        <f t="shared" si="0"/>
        <v>Q1</v>
      </c>
      <c r="M25" s="3" t="str">
        <f t="shared" si="1"/>
        <v>Friday</v>
      </c>
      <c r="N25" s="3" t="str">
        <f t="shared" si="2"/>
        <v>Yes</v>
      </c>
      <c r="O25" s="3" t="str">
        <f>IF(COUNTIF($B:$B,B25)=1,"New Customer",
IF(COUNTIF($B:$B,B25)&lt;=3,"Returning Customer","Loyal Customer"))</f>
        <v>New Customer</v>
      </c>
      <c r="P25" s="3" t="str">
        <f>IF(cf_cl[[#This Row],[referred_claim]]="Yes","Referred","Not Referred")</f>
        <v>Not Referred</v>
      </c>
    </row>
    <row r="26" spans="1:16" x14ac:dyDescent="0.3">
      <c r="A26" t="s">
        <v>64</v>
      </c>
      <c r="B26" t="s">
        <v>65</v>
      </c>
      <c r="C26" s="1">
        <v>43878</v>
      </c>
      <c r="D26" t="s">
        <v>16</v>
      </c>
      <c r="E26">
        <v>5</v>
      </c>
      <c r="F26" s="3" t="s">
        <v>10</v>
      </c>
      <c r="G26" s="3" t="s">
        <v>10</v>
      </c>
      <c r="H26" s="3" t="str">
        <f>IF(cf_cl[[#This Row],[satisfaction_score]]&gt;=4,"Happy",IF(cf_cl[[#This Row],[satisfaction_score]]=3,"Neutral","Negative"))</f>
        <v>Happy</v>
      </c>
      <c r="I26" s="3" t="str">
        <f>IF(cf_cl[[#This Row],[satisfaction_score]]&lt;=2,"Low",IF(cf_cl[[#This Row],[satisfaction_score]]=3,"Medium","High"))</f>
        <v>High</v>
      </c>
      <c r="J26">
        <f>YEAR(cf_cl[[#This Row],[date_submitted]])</f>
        <v>2020</v>
      </c>
      <c r="K26" s="3" t="str">
        <f>TEXT(cf_cl[[#This Row],[date_submitted]],"mmm")</f>
        <v>Feb</v>
      </c>
      <c r="L26" s="3" t="str">
        <f t="shared" si="0"/>
        <v>Q1</v>
      </c>
      <c r="M26" s="3" t="str">
        <f t="shared" si="1"/>
        <v>Monday</v>
      </c>
      <c r="N26" s="3" t="str">
        <f t="shared" si="2"/>
        <v>No</v>
      </c>
      <c r="O26" s="3" t="str">
        <f>IF(COUNTIF($B:$B,B26)=1,"New Customer",
IF(COUNTIF($B:$B,B26)&lt;=3,"Returning Customer","Loyal Customer"))</f>
        <v>New Customer</v>
      </c>
      <c r="P26" s="3" t="str">
        <f>IF(cf_cl[[#This Row],[referred_claim]]="Yes","Referred","Not Referred")</f>
        <v>Referred</v>
      </c>
    </row>
    <row r="27" spans="1:16" x14ac:dyDescent="0.3">
      <c r="A27" t="s">
        <v>66</v>
      </c>
      <c r="B27" t="s">
        <v>67</v>
      </c>
      <c r="C27" s="1">
        <v>44419</v>
      </c>
      <c r="D27" t="s">
        <v>68</v>
      </c>
      <c r="E27">
        <v>1</v>
      </c>
      <c r="F27" s="3" t="s">
        <v>10</v>
      </c>
      <c r="G27" s="3" t="s">
        <v>13</v>
      </c>
      <c r="H27" s="3" t="str">
        <f>IF(cf_cl[[#This Row],[satisfaction_score]]&gt;=4,"Happy",IF(cf_cl[[#This Row],[satisfaction_score]]=3,"Neutral","Negative"))</f>
        <v>Negative</v>
      </c>
      <c r="I27" s="3" t="str">
        <f>IF(cf_cl[[#This Row],[satisfaction_score]]&lt;=2,"Low",IF(cf_cl[[#This Row],[satisfaction_score]]=3,"Medium","High"))</f>
        <v>Low</v>
      </c>
      <c r="J27">
        <f>YEAR(cf_cl[[#This Row],[date_submitted]])</f>
        <v>2021</v>
      </c>
      <c r="K27" s="3" t="str">
        <f>TEXT(cf_cl[[#This Row],[date_submitted]],"mmm")</f>
        <v>Aug</v>
      </c>
      <c r="L27" s="3" t="str">
        <f t="shared" si="0"/>
        <v>Q3</v>
      </c>
      <c r="M27" s="3" t="str">
        <f t="shared" si="1"/>
        <v>Wednesday</v>
      </c>
      <c r="N27" s="3" t="str">
        <f t="shared" si="2"/>
        <v>Yes</v>
      </c>
      <c r="O27" s="3" t="str">
        <f>IF(COUNTIF($B:$B,B27)=1,"New Customer",
IF(COUNTIF($B:$B,B27)&lt;=3,"Returning Customer","Loyal Customer"))</f>
        <v>New Customer</v>
      </c>
      <c r="P27" s="3" t="str">
        <f>IF(cf_cl[[#This Row],[referred_claim]]="Yes","Referred","Not Referred")</f>
        <v>Not Referred</v>
      </c>
    </row>
    <row r="28" spans="1:16" x14ac:dyDescent="0.3">
      <c r="A28" t="s">
        <v>69</v>
      </c>
      <c r="B28" t="s">
        <v>70</v>
      </c>
      <c r="C28" s="1">
        <v>45096</v>
      </c>
      <c r="D28" t="s">
        <v>19</v>
      </c>
      <c r="E28">
        <v>2</v>
      </c>
      <c r="F28" s="3" t="s">
        <v>10</v>
      </c>
      <c r="G28" s="3" t="s">
        <v>13</v>
      </c>
      <c r="H28" s="3" t="str">
        <f>IF(cf_cl[[#This Row],[satisfaction_score]]&gt;=4,"Happy",IF(cf_cl[[#This Row],[satisfaction_score]]=3,"Neutral","Negative"))</f>
        <v>Negative</v>
      </c>
      <c r="I28" s="3" t="str">
        <f>IF(cf_cl[[#This Row],[satisfaction_score]]&lt;=2,"Low",IF(cf_cl[[#This Row],[satisfaction_score]]=3,"Medium","High"))</f>
        <v>Low</v>
      </c>
      <c r="J28">
        <f>YEAR(cf_cl[[#This Row],[date_submitted]])</f>
        <v>2023</v>
      </c>
      <c r="K28" s="3" t="str">
        <f>TEXT(cf_cl[[#This Row],[date_submitted]],"mmm")</f>
        <v>Jun</v>
      </c>
      <c r="L28" s="3" t="str">
        <f t="shared" si="0"/>
        <v>Q2</v>
      </c>
      <c r="M28" s="3" t="str">
        <f t="shared" si="1"/>
        <v>Monday</v>
      </c>
      <c r="N28" s="3" t="str">
        <f t="shared" si="2"/>
        <v>Yes</v>
      </c>
      <c r="O28" s="3" t="str">
        <f>IF(COUNTIF($B:$B,B28)=1,"New Customer",
IF(COUNTIF($B:$B,B28)&lt;=3,"Returning Customer","Loyal Customer"))</f>
        <v>Returning Customer</v>
      </c>
      <c r="P28" s="3" t="str">
        <f>IF(cf_cl[[#This Row],[referred_claim]]="Yes","Referred","Not Referred")</f>
        <v>Not Referred</v>
      </c>
    </row>
    <row r="29" spans="1:16" x14ac:dyDescent="0.3">
      <c r="A29" t="s">
        <v>71</v>
      </c>
      <c r="B29" t="s">
        <v>72</v>
      </c>
      <c r="C29" s="1">
        <v>44179</v>
      </c>
      <c r="D29" t="s">
        <v>68</v>
      </c>
      <c r="E29">
        <v>2</v>
      </c>
      <c r="F29" s="3" t="s">
        <v>10</v>
      </c>
      <c r="G29" s="3" t="s">
        <v>10</v>
      </c>
      <c r="H29" s="3" t="str">
        <f>IF(cf_cl[[#This Row],[satisfaction_score]]&gt;=4,"Happy",IF(cf_cl[[#This Row],[satisfaction_score]]=3,"Neutral","Negative"))</f>
        <v>Negative</v>
      </c>
      <c r="I29" s="3" t="str">
        <f>IF(cf_cl[[#This Row],[satisfaction_score]]&lt;=2,"Low",IF(cf_cl[[#This Row],[satisfaction_score]]=3,"Medium","High"))</f>
        <v>Low</v>
      </c>
      <c r="J29">
        <f>YEAR(cf_cl[[#This Row],[date_submitted]])</f>
        <v>2020</v>
      </c>
      <c r="K29" s="3" t="str">
        <f>TEXT(cf_cl[[#This Row],[date_submitted]],"mmm")</f>
        <v>Dec</v>
      </c>
      <c r="L29" s="3" t="str">
        <f t="shared" si="0"/>
        <v>Q4</v>
      </c>
      <c r="M29" s="3" t="str">
        <f t="shared" si="1"/>
        <v>Monday</v>
      </c>
      <c r="N29" s="3" t="str">
        <f t="shared" si="2"/>
        <v>Yes</v>
      </c>
      <c r="O29" s="3" t="str">
        <f>IF(COUNTIF($B:$B,B29)=1,"New Customer",
IF(COUNTIF($B:$B,B29)&lt;=3,"Returning Customer","Loyal Customer"))</f>
        <v>New Customer</v>
      </c>
      <c r="P29" s="3" t="str">
        <f>IF(cf_cl[[#This Row],[referred_claim]]="Yes","Referred","Not Referred")</f>
        <v>Referred</v>
      </c>
    </row>
    <row r="30" spans="1:16" x14ac:dyDescent="0.3">
      <c r="A30" t="s">
        <v>73</v>
      </c>
      <c r="B30" t="s">
        <v>74</v>
      </c>
      <c r="C30" s="1">
        <v>44584</v>
      </c>
      <c r="D30" t="s">
        <v>31</v>
      </c>
      <c r="E30">
        <v>2</v>
      </c>
      <c r="F30" s="3" t="s">
        <v>13</v>
      </c>
      <c r="G30" s="3" t="s">
        <v>10</v>
      </c>
      <c r="H30" s="3" t="str">
        <f>IF(cf_cl[[#This Row],[satisfaction_score]]&gt;=4,"Happy",IF(cf_cl[[#This Row],[satisfaction_score]]=3,"Neutral","Negative"))</f>
        <v>Negative</v>
      </c>
      <c r="I30" s="3" t="str">
        <f>IF(cf_cl[[#This Row],[satisfaction_score]]&lt;=2,"Low",IF(cf_cl[[#This Row],[satisfaction_score]]=3,"Medium","High"))</f>
        <v>Low</v>
      </c>
      <c r="J30">
        <f>YEAR(cf_cl[[#This Row],[date_submitted]])</f>
        <v>2022</v>
      </c>
      <c r="K30" s="3" t="str">
        <f>TEXT(cf_cl[[#This Row],[date_submitted]],"mmm")</f>
        <v>Jan</v>
      </c>
      <c r="L30" s="3" t="str">
        <f t="shared" si="0"/>
        <v>Q1</v>
      </c>
      <c r="M30" s="3" t="str">
        <f t="shared" si="1"/>
        <v>Sunday</v>
      </c>
      <c r="N30" s="3" t="str">
        <f t="shared" si="2"/>
        <v>Yes</v>
      </c>
      <c r="O30" s="3" t="str">
        <f>IF(COUNTIF($B:$B,B30)=1,"New Customer",
IF(COUNTIF($B:$B,B30)&lt;=3,"Returning Customer","Loyal Customer"))</f>
        <v>New Customer</v>
      </c>
      <c r="P30" s="3" t="str">
        <f>IF(cf_cl[[#This Row],[referred_claim]]="Yes","Referred","Not Referred")</f>
        <v>Referred</v>
      </c>
    </row>
    <row r="31" spans="1:16" x14ac:dyDescent="0.3">
      <c r="A31" t="s">
        <v>75</v>
      </c>
      <c r="B31" t="s">
        <v>76</v>
      </c>
      <c r="C31" s="1">
        <v>44190</v>
      </c>
      <c r="D31" t="s">
        <v>16</v>
      </c>
      <c r="E31">
        <v>4</v>
      </c>
      <c r="F31" s="3" t="s">
        <v>13</v>
      </c>
      <c r="G31" s="3" t="s">
        <v>13</v>
      </c>
      <c r="H31" s="3" t="str">
        <f>IF(cf_cl[[#This Row],[satisfaction_score]]&gt;=4,"Happy",IF(cf_cl[[#This Row],[satisfaction_score]]=3,"Neutral","Negative"))</f>
        <v>Happy</v>
      </c>
      <c r="I31" s="3" t="str">
        <f>IF(cf_cl[[#This Row],[satisfaction_score]]&lt;=2,"Low",IF(cf_cl[[#This Row],[satisfaction_score]]=3,"Medium","High"))</f>
        <v>High</v>
      </c>
      <c r="J31">
        <f>YEAR(cf_cl[[#This Row],[date_submitted]])</f>
        <v>2020</v>
      </c>
      <c r="K31" s="3" t="str">
        <f>TEXT(cf_cl[[#This Row],[date_submitted]],"mmm")</f>
        <v>Dec</v>
      </c>
      <c r="L31" s="3" t="str">
        <f t="shared" si="0"/>
        <v>Q4</v>
      </c>
      <c r="M31" s="3" t="str">
        <f t="shared" si="1"/>
        <v>Friday</v>
      </c>
      <c r="N31" s="3" t="str">
        <f t="shared" si="2"/>
        <v>No</v>
      </c>
      <c r="O31" s="3" t="str">
        <f>IF(COUNTIF($B:$B,B31)=1,"New Customer",
IF(COUNTIF($B:$B,B31)&lt;=3,"Returning Customer","Loyal Customer"))</f>
        <v>Returning Customer</v>
      </c>
      <c r="P31" s="3" t="str">
        <f>IF(cf_cl[[#This Row],[referred_claim]]="Yes","Referred","Not Referred")</f>
        <v>Not Referred</v>
      </c>
    </row>
    <row r="32" spans="1:16" x14ac:dyDescent="0.3">
      <c r="A32" t="s">
        <v>77</v>
      </c>
      <c r="B32" t="s">
        <v>78</v>
      </c>
      <c r="C32" s="1">
        <v>44782</v>
      </c>
      <c r="D32" t="s">
        <v>16</v>
      </c>
      <c r="E32">
        <v>5</v>
      </c>
      <c r="F32" s="3" t="s">
        <v>10</v>
      </c>
      <c r="G32" s="3" t="s">
        <v>13</v>
      </c>
      <c r="H32" s="3" t="str">
        <f>IF(cf_cl[[#This Row],[satisfaction_score]]&gt;=4,"Happy",IF(cf_cl[[#This Row],[satisfaction_score]]=3,"Neutral","Negative"))</f>
        <v>Happy</v>
      </c>
      <c r="I32" s="3" t="str">
        <f>IF(cf_cl[[#This Row],[satisfaction_score]]&lt;=2,"Low",IF(cf_cl[[#This Row],[satisfaction_score]]=3,"Medium","High"))</f>
        <v>High</v>
      </c>
      <c r="J32">
        <f>YEAR(cf_cl[[#This Row],[date_submitted]])</f>
        <v>2022</v>
      </c>
      <c r="K32" s="3" t="str">
        <f>TEXT(cf_cl[[#This Row],[date_submitted]],"mmm")</f>
        <v>Aug</v>
      </c>
      <c r="L32" s="3" t="str">
        <f t="shared" si="0"/>
        <v>Q3</v>
      </c>
      <c r="M32" s="3" t="str">
        <f t="shared" si="1"/>
        <v>Tuesday</v>
      </c>
      <c r="N32" s="3" t="str">
        <f t="shared" si="2"/>
        <v>No</v>
      </c>
      <c r="O32" s="3" t="str">
        <f>IF(COUNTIF($B:$B,B32)=1,"New Customer",
IF(COUNTIF($B:$B,B32)&lt;=3,"Returning Customer","Loyal Customer"))</f>
        <v>New Customer</v>
      </c>
      <c r="P32" s="3" t="str">
        <f>IF(cf_cl[[#This Row],[referred_claim]]="Yes","Referred","Not Referred")</f>
        <v>Not Referred</v>
      </c>
    </row>
    <row r="33" spans="1:16" x14ac:dyDescent="0.3">
      <c r="A33" t="s">
        <v>79</v>
      </c>
      <c r="B33" t="s">
        <v>80</v>
      </c>
      <c r="C33" s="1">
        <v>44252</v>
      </c>
      <c r="D33" t="s">
        <v>16</v>
      </c>
      <c r="E33">
        <v>4</v>
      </c>
      <c r="F33" s="3" t="s">
        <v>10</v>
      </c>
      <c r="G33" s="3" t="s">
        <v>13</v>
      </c>
      <c r="H33" s="3" t="str">
        <f>IF(cf_cl[[#This Row],[satisfaction_score]]&gt;=4,"Happy",IF(cf_cl[[#This Row],[satisfaction_score]]=3,"Neutral","Negative"))</f>
        <v>Happy</v>
      </c>
      <c r="I33" s="3" t="str">
        <f>IF(cf_cl[[#This Row],[satisfaction_score]]&lt;=2,"Low",IF(cf_cl[[#This Row],[satisfaction_score]]=3,"Medium","High"))</f>
        <v>High</v>
      </c>
      <c r="J33">
        <f>YEAR(cf_cl[[#This Row],[date_submitted]])</f>
        <v>2021</v>
      </c>
      <c r="K33" s="3" t="str">
        <f>TEXT(cf_cl[[#This Row],[date_submitted]],"mmm")</f>
        <v>Feb</v>
      </c>
      <c r="L33" s="3" t="str">
        <f t="shared" si="0"/>
        <v>Q1</v>
      </c>
      <c r="M33" s="3" t="str">
        <f t="shared" si="1"/>
        <v>Thursday</v>
      </c>
      <c r="N33" s="3" t="str">
        <f t="shared" si="2"/>
        <v>No</v>
      </c>
      <c r="O33" s="3" t="str">
        <f>IF(COUNTIF($B:$B,B33)=1,"New Customer",
IF(COUNTIF($B:$B,B33)&lt;=3,"Returning Customer","Loyal Customer"))</f>
        <v>New Customer</v>
      </c>
      <c r="P33" s="3" t="str">
        <f>IF(cf_cl[[#This Row],[referred_claim]]="Yes","Referred","Not Referred")</f>
        <v>Not Referred</v>
      </c>
    </row>
    <row r="34" spans="1:16" x14ac:dyDescent="0.3">
      <c r="A34" t="s">
        <v>81</v>
      </c>
      <c r="B34" t="s">
        <v>82</v>
      </c>
      <c r="C34" s="1">
        <v>44155</v>
      </c>
      <c r="D34" t="s">
        <v>83</v>
      </c>
      <c r="E34">
        <v>3</v>
      </c>
      <c r="F34" s="3" t="s">
        <v>10</v>
      </c>
      <c r="G34" s="3" t="s">
        <v>13</v>
      </c>
      <c r="H34" s="3" t="str">
        <f>IF(cf_cl[[#This Row],[satisfaction_score]]&gt;=4,"Happy",IF(cf_cl[[#This Row],[satisfaction_score]]=3,"Neutral","Negative"))</f>
        <v>Neutral</v>
      </c>
      <c r="I34" s="3" t="str">
        <f>IF(cf_cl[[#This Row],[satisfaction_score]]&lt;=2,"Low",IF(cf_cl[[#This Row],[satisfaction_score]]=3,"Medium","High"))</f>
        <v>Medium</v>
      </c>
      <c r="J34">
        <f>YEAR(cf_cl[[#This Row],[date_submitted]])</f>
        <v>2020</v>
      </c>
      <c r="K34" s="3" t="str">
        <f>TEXT(cf_cl[[#This Row],[date_submitted]],"mmm")</f>
        <v>Nov</v>
      </c>
      <c r="L34" s="3" t="str">
        <f t="shared" si="0"/>
        <v>Q4</v>
      </c>
      <c r="M34" s="3" t="str">
        <f t="shared" si="1"/>
        <v>Friday</v>
      </c>
      <c r="N34" s="3" t="str">
        <f t="shared" si="2"/>
        <v>No</v>
      </c>
      <c r="O34" s="3" t="str">
        <f>IF(COUNTIF($B:$B,B34)=1,"New Customer",
IF(COUNTIF($B:$B,B34)&lt;=3,"Returning Customer","Loyal Customer"))</f>
        <v>New Customer</v>
      </c>
      <c r="P34" s="3" t="str">
        <f>IF(cf_cl[[#This Row],[referred_claim]]="Yes","Referred","Not Referred")</f>
        <v>Not Referred</v>
      </c>
    </row>
    <row r="35" spans="1:16" x14ac:dyDescent="0.3">
      <c r="A35" t="s">
        <v>84</v>
      </c>
      <c r="B35" t="s">
        <v>85</v>
      </c>
      <c r="C35" s="1">
        <v>44305</v>
      </c>
      <c r="D35" t="s">
        <v>16</v>
      </c>
      <c r="E35">
        <v>4</v>
      </c>
      <c r="F35" s="3" t="s">
        <v>13</v>
      </c>
      <c r="G35" s="3" t="s">
        <v>10</v>
      </c>
      <c r="H35" s="3" t="str">
        <f>IF(cf_cl[[#This Row],[satisfaction_score]]&gt;=4,"Happy",IF(cf_cl[[#This Row],[satisfaction_score]]=3,"Neutral","Negative"))</f>
        <v>Happy</v>
      </c>
      <c r="I35" s="3" t="str">
        <f>IF(cf_cl[[#This Row],[satisfaction_score]]&lt;=2,"Low",IF(cf_cl[[#This Row],[satisfaction_score]]=3,"Medium","High"))</f>
        <v>High</v>
      </c>
      <c r="J35">
        <f>YEAR(cf_cl[[#This Row],[date_submitted]])</f>
        <v>2021</v>
      </c>
      <c r="K35" s="3" t="str">
        <f>TEXT(cf_cl[[#This Row],[date_submitted]],"mmm")</f>
        <v>Apr</v>
      </c>
      <c r="L35" s="3" t="str">
        <f t="shared" si="0"/>
        <v>Q2</v>
      </c>
      <c r="M35" s="3" t="str">
        <f t="shared" si="1"/>
        <v>Monday</v>
      </c>
      <c r="N35" s="3" t="str">
        <f t="shared" si="2"/>
        <v>No</v>
      </c>
      <c r="O35" s="3" t="str">
        <f>IF(COUNTIF($B:$B,B35)=1,"New Customer",
IF(COUNTIF($B:$B,B35)&lt;=3,"Returning Customer","Loyal Customer"))</f>
        <v>Returning Customer</v>
      </c>
      <c r="P35" s="3" t="str">
        <f>IF(cf_cl[[#This Row],[referred_claim]]="Yes","Referred","Not Referred")</f>
        <v>Referred</v>
      </c>
    </row>
    <row r="36" spans="1:16" x14ac:dyDescent="0.3">
      <c r="A36" t="s">
        <v>86</v>
      </c>
      <c r="B36" t="s">
        <v>87</v>
      </c>
      <c r="C36" s="1">
        <v>44271</v>
      </c>
      <c r="D36" t="s">
        <v>28</v>
      </c>
      <c r="E36">
        <v>5</v>
      </c>
      <c r="F36" s="3" t="s">
        <v>10</v>
      </c>
      <c r="G36" s="3" t="s">
        <v>10</v>
      </c>
      <c r="H36" s="3" t="str">
        <f>IF(cf_cl[[#This Row],[satisfaction_score]]&gt;=4,"Happy",IF(cf_cl[[#This Row],[satisfaction_score]]=3,"Neutral","Negative"))</f>
        <v>Happy</v>
      </c>
      <c r="I36" s="3" t="str">
        <f>IF(cf_cl[[#This Row],[satisfaction_score]]&lt;=2,"Low",IF(cf_cl[[#This Row],[satisfaction_score]]=3,"Medium","High"))</f>
        <v>High</v>
      </c>
      <c r="J36">
        <f>YEAR(cf_cl[[#This Row],[date_submitted]])</f>
        <v>2021</v>
      </c>
      <c r="K36" s="3" t="str">
        <f>TEXT(cf_cl[[#This Row],[date_submitted]],"mmm")</f>
        <v>Mar</v>
      </c>
      <c r="L36" s="3" t="str">
        <f t="shared" si="0"/>
        <v>Q1</v>
      </c>
      <c r="M36" s="3" t="str">
        <f t="shared" si="1"/>
        <v>Tuesday</v>
      </c>
      <c r="N36" s="3" t="str">
        <f t="shared" si="2"/>
        <v>No</v>
      </c>
      <c r="O36" s="3" t="str">
        <f>IF(COUNTIF($B:$B,B36)=1,"New Customer",
IF(COUNTIF($B:$B,B36)&lt;=3,"Returning Customer","Loyal Customer"))</f>
        <v>New Customer</v>
      </c>
      <c r="P36" s="3" t="str">
        <f>IF(cf_cl[[#This Row],[referred_claim]]="Yes","Referred","Not Referred")</f>
        <v>Referred</v>
      </c>
    </row>
    <row r="37" spans="1:16" x14ac:dyDescent="0.3">
      <c r="A37" t="s">
        <v>88</v>
      </c>
      <c r="B37" t="s">
        <v>89</v>
      </c>
      <c r="C37" s="1">
        <v>43885</v>
      </c>
      <c r="D37" t="s">
        <v>19</v>
      </c>
      <c r="E37">
        <v>3</v>
      </c>
      <c r="F37" s="3" t="s">
        <v>13</v>
      </c>
      <c r="G37" s="3" t="s">
        <v>10</v>
      </c>
      <c r="H37" s="3" t="str">
        <f>IF(cf_cl[[#This Row],[satisfaction_score]]&gt;=4,"Happy",IF(cf_cl[[#This Row],[satisfaction_score]]=3,"Neutral","Negative"))</f>
        <v>Neutral</v>
      </c>
      <c r="I37" s="3" t="str">
        <f>IF(cf_cl[[#This Row],[satisfaction_score]]&lt;=2,"Low",IF(cf_cl[[#This Row],[satisfaction_score]]=3,"Medium","High"))</f>
        <v>Medium</v>
      </c>
      <c r="J37">
        <f>YEAR(cf_cl[[#This Row],[date_submitted]])</f>
        <v>2020</v>
      </c>
      <c r="K37" s="3" t="str">
        <f>TEXT(cf_cl[[#This Row],[date_submitted]],"mmm")</f>
        <v>Feb</v>
      </c>
      <c r="L37" s="3" t="str">
        <f t="shared" si="0"/>
        <v>Q1</v>
      </c>
      <c r="M37" s="3" t="str">
        <f t="shared" si="1"/>
        <v>Monday</v>
      </c>
      <c r="N37" s="3" t="str">
        <f t="shared" si="2"/>
        <v>No</v>
      </c>
      <c r="O37" s="3" t="str">
        <f>IF(COUNTIF($B:$B,B37)=1,"New Customer",
IF(COUNTIF($B:$B,B37)&lt;=3,"Returning Customer","Loyal Customer"))</f>
        <v>Returning Customer</v>
      </c>
      <c r="P37" s="3" t="str">
        <f>IF(cf_cl[[#This Row],[referred_claim]]="Yes","Referred","Not Referred")</f>
        <v>Referred</v>
      </c>
    </row>
    <row r="38" spans="1:16" x14ac:dyDescent="0.3">
      <c r="A38" t="s">
        <v>90</v>
      </c>
      <c r="B38" t="s">
        <v>91</v>
      </c>
      <c r="C38" s="1">
        <v>44942</v>
      </c>
      <c r="D38" t="s">
        <v>28</v>
      </c>
      <c r="E38">
        <v>4</v>
      </c>
      <c r="F38" s="3" t="s">
        <v>10</v>
      </c>
      <c r="G38" s="3" t="s">
        <v>10</v>
      </c>
      <c r="H38" s="3" t="str">
        <f>IF(cf_cl[[#This Row],[satisfaction_score]]&gt;=4,"Happy",IF(cf_cl[[#This Row],[satisfaction_score]]=3,"Neutral","Negative"))</f>
        <v>Happy</v>
      </c>
      <c r="I38" s="3" t="str">
        <f>IF(cf_cl[[#This Row],[satisfaction_score]]&lt;=2,"Low",IF(cf_cl[[#This Row],[satisfaction_score]]=3,"Medium","High"))</f>
        <v>High</v>
      </c>
      <c r="J38">
        <f>YEAR(cf_cl[[#This Row],[date_submitted]])</f>
        <v>2023</v>
      </c>
      <c r="K38" s="3" t="str">
        <f>TEXT(cf_cl[[#This Row],[date_submitted]],"mmm")</f>
        <v>Jan</v>
      </c>
      <c r="L38" s="3" t="str">
        <f t="shared" si="0"/>
        <v>Q1</v>
      </c>
      <c r="M38" s="3" t="str">
        <f t="shared" si="1"/>
        <v>Monday</v>
      </c>
      <c r="N38" s="3" t="str">
        <f t="shared" si="2"/>
        <v>No</v>
      </c>
      <c r="O38" s="3" t="str">
        <f>IF(COUNTIF($B:$B,B38)=1,"New Customer",
IF(COUNTIF($B:$B,B38)&lt;=3,"Returning Customer","Loyal Customer"))</f>
        <v>New Customer</v>
      </c>
      <c r="P38" s="3" t="str">
        <f>IF(cf_cl[[#This Row],[referred_claim]]="Yes","Referred","Not Referred")</f>
        <v>Referred</v>
      </c>
    </row>
    <row r="39" spans="1:16" x14ac:dyDescent="0.3">
      <c r="A39" t="s">
        <v>92</v>
      </c>
      <c r="B39" t="s">
        <v>93</v>
      </c>
      <c r="C39" s="1">
        <v>45058</v>
      </c>
      <c r="D39" t="s">
        <v>19</v>
      </c>
      <c r="E39">
        <v>2</v>
      </c>
      <c r="F39" s="3" t="s">
        <v>10</v>
      </c>
      <c r="G39" s="3" t="s">
        <v>13</v>
      </c>
      <c r="H39" s="3" t="str">
        <f>IF(cf_cl[[#This Row],[satisfaction_score]]&gt;=4,"Happy",IF(cf_cl[[#This Row],[satisfaction_score]]=3,"Neutral","Negative"))</f>
        <v>Negative</v>
      </c>
      <c r="I39" s="3" t="str">
        <f>IF(cf_cl[[#This Row],[satisfaction_score]]&lt;=2,"Low",IF(cf_cl[[#This Row],[satisfaction_score]]=3,"Medium","High"))</f>
        <v>Low</v>
      </c>
      <c r="J39">
        <f>YEAR(cf_cl[[#This Row],[date_submitted]])</f>
        <v>2023</v>
      </c>
      <c r="K39" s="3" t="str">
        <f>TEXT(cf_cl[[#This Row],[date_submitted]],"mmm")</f>
        <v>May</v>
      </c>
      <c r="L39" s="3" t="str">
        <f t="shared" si="0"/>
        <v>Q2</v>
      </c>
      <c r="M39" s="3" t="str">
        <f t="shared" si="1"/>
        <v>Friday</v>
      </c>
      <c r="N39" s="3" t="str">
        <f t="shared" si="2"/>
        <v>Yes</v>
      </c>
      <c r="O39" s="3" t="str">
        <f>IF(COUNTIF($B:$B,B39)=1,"New Customer",
IF(COUNTIF($B:$B,B39)&lt;=3,"Returning Customer","Loyal Customer"))</f>
        <v>New Customer</v>
      </c>
      <c r="P39" s="3" t="str">
        <f>IF(cf_cl[[#This Row],[referred_claim]]="Yes","Referred","Not Referred")</f>
        <v>Not Referred</v>
      </c>
    </row>
    <row r="40" spans="1:16" x14ac:dyDescent="0.3">
      <c r="A40" t="s">
        <v>94</v>
      </c>
      <c r="B40" t="s">
        <v>95</v>
      </c>
      <c r="C40" s="1">
        <v>44859</v>
      </c>
      <c r="D40" t="s">
        <v>83</v>
      </c>
      <c r="E40">
        <v>3</v>
      </c>
      <c r="F40" s="3" t="s">
        <v>13</v>
      </c>
      <c r="G40" s="3" t="s">
        <v>13</v>
      </c>
      <c r="H40" s="3" t="str">
        <f>IF(cf_cl[[#This Row],[satisfaction_score]]&gt;=4,"Happy",IF(cf_cl[[#This Row],[satisfaction_score]]=3,"Neutral","Negative"))</f>
        <v>Neutral</v>
      </c>
      <c r="I40" s="3" t="str">
        <f>IF(cf_cl[[#This Row],[satisfaction_score]]&lt;=2,"Low",IF(cf_cl[[#This Row],[satisfaction_score]]=3,"Medium","High"))</f>
        <v>Medium</v>
      </c>
      <c r="J40">
        <f>YEAR(cf_cl[[#This Row],[date_submitted]])</f>
        <v>2022</v>
      </c>
      <c r="K40" s="3" t="str">
        <f>TEXT(cf_cl[[#This Row],[date_submitted]],"mmm")</f>
        <v>Oct</v>
      </c>
      <c r="L40" s="3" t="str">
        <f t="shared" si="0"/>
        <v>Q4</v>
      </c>
      <c r="M40" s="3" t="str">
        <f t="shared" si="1"/>
        <v>Tuesday</v>
      </c>
      <c r="N40" s="3" t="str">
        <f t="shared" si="2"/>
        <v>No</v>
      </c>
      <c r="O40" s="3" t="str">
        <f>IF(COUNTIF($B:$B,B40)=1,"New Customer",
IF(COUNTIF($B:$B,B40)&lt;=3,"Returning Customer","Loyal Customer"))</f>
        <v>New Customer</v>
      </c>
      <c r="P40" s="3" t="str">
        <f>IF(cf_cl[[#This Row],[referred_claim]]="Yes","Referred","Not Referred")</f>
        <v>Not Referred</v>
      </c>
    </row>
    <row r="41" spans="1:16" x14ac:dyDescent="0.3">
      <c r="A41" t="s">
        <v>96</v>
      </c>
      <c r="B41" t="s">
        <v>97</v>
      </c>
      <c r="C41" s="1">
        <v>44568</v>
      </c>
      <c r="D41" t="s">
        <v>31</v>
      </c>
      <c r="E41">
        <v>2</v>
      </c>
      <c r="F41" s="3" t="s">
        <v>13</v>
      </c>
      <c r="G41" s="3" t="s">
        <v>10</v>
      </c>
      <c r="H41" s="3" t="str">
        <f>IF(cf_cl[[#This Row],[satisfaction_score]]&gt;=4,"Happy",IF(cf_cl[[#This Row],[satisfaction_score]]=3,"Neutral","Negative"))</f>
        <v>Negative</v>
      </c>
      <c r="I41" s="3" t="str">
        <f>IF(cf_cl[[#This Row],[satisfaction_score]]&lt;=2,"Low",IF(cf_cl[[#This Row],[satisfaction_score]]=3,"Medium","High"))</f>
        <v>Low</v>
      </c>
      <c r="J41">
        <f>YEAR(cf_cl[[#This Row],[date_submitted]])</f>
        <v>2022</v>
      </c>
      <c r="K41" s="3" t="str">
        <f>TEXT(cf_cl[[#This Row],[date_submitted]],"mmm")</f>
        <v>Jan</v>
      </c>
      <c r="L41" s="3" t="str">
        <f t="shared" si="0"/>
        <v>Q1</v>
      </c>
      <c r="M41" s="3" t="str">
        <f t="shared" si="1"/>
        <v>Friday</v>
      </c>
      <c r="N41" s="3" t="str">
        <f t="shared" si="2"/>
        <v>Yes</v>
      </c>
      <c r="O41" s="3" t="str">
        <f>IF(COUNTIF($B:$B,B41)=1,"New Customer",
IF(COUNTIF($B:$B,B41)&lt;=3,"Returning Customer","Loyal Customer"))</f>
        <v>New Customer</v>
      </c>
      <c r="P41" s="3" t="str">
        <f>IF(cf_cl[[#This Row],[referred_claim]]="Yes","Referred","Not Referred")</f>
        <v>Referred</v>
      </c>
    </row>
    <row r="42" spans="1:16" x14ac:dyDescent="0.3">
      <c r="A42" t="s">
        <v>98</v>
      </c>
      <c r="B42" t="s">
        <v>99</v>
      </c>
      <c r="C42" s="1">
        <v>44080</v>
      </c>
      <c r="D42" t="s">
        <v>9</v>
      </c>
      <c r="E42">
        <v>3</v>
      </c>
      <c r="F42" s="3" t="s">
        <v>13</v>
      </c>
      <c r="G42" s="3" t="s">
        <v>13</v>
      </c>
      <c r="H42" s="3" t="str">
        <f>IF(cf_cl[[#This Row],[satisfaction_score]]&gt;=4,"Happy",IF(cf_cl[[#This Row],[satisfaction_score]]=3,"Neutral","Negative"))</f>
        <v>Neutral</v>
      </c>
      <c r="I42" s="3" t="str">
        <f>IF(cf_cl[[#This Row],[satisfaction_score]]&lt;=2,"Low",IF(cf_cl[[#This Row],[satisfaction_score]]=3,"Medium","High"))</f>
        <v>Medium</v>
      </c>
      <c r="J42">
        <f>YEAR(cf_cl[[#This Row],[date_submitted]])</f>
        <v>2020</v>
      </c>
      <c r="K42" s="3" t="str">
        <f>TEXT(cf_cl[[#This Row],[date_submitted]],"mmm")</f>
        <v>Sep</v>
      </c>
      <c r="L42" s="3" t="str">
        <f t="shared" si="0"/>
        <v>Q3</v>
      </c>
      <c r="M42" s="3" t="str">
        <f t="shared" si="1"/>
        <v>Sunday</v>
      </c>
      <c r="N42" s="3" t="str">
        <f t="shared" si="2"/>
        <v>No</v>
      </c>
      <c r="O42" s="3" t="str">
        <f>IF(COUNTIF($B:$B,B42)=1,"New Customer",
IF(COUNTIF($B:$B,B42)&lt;=3,"Returning Customer","Loyal Customer"))</f>
        <v>Returning Customer</v>
      </c>
      <c r="P42" s="3" t="str">
        <f>IF(cf_cl[[#This Row],[referred_claim]]="Yes","Referred","Not Referred")</f>
        <v>Not Referred</v>
      </c>
    </row>
    <row r="43" spans="1:16" x14ac:dyDescent="0.3">
      <c r="A43" t="s">
        <v>100</v>
      </c>
      <c r="B43" t="s">
        <v>101</v>
      </c>
      <c r="C43" s="1">
        <v>44205</v>
      </c>
      <c r="D43" t="s">
        <v>31</v>
      </c>
      <c r="E43">
        <v>3</v>
      </c>
      <c r="F43" s="3" t="s">
        <v>13</v>
      </c>
      <c r="G43" s="3" t="s">
        <v>13</v>
      </c>
      <c r="H43" s="3" t="str">
        <f>IF(cf_cl[[#This Row],[satisfaction_score]]&gt;=4,"Happy",IF(cf_cl[[#This Row],[satisfaction_score]]=3,"Neutral","Negative"))</f>
        <v>Neutral</v>
      </c>
      <c r="I43" s="3" t="str">
        <f>IF(cf_cl[[#This Row],[satisfaction_score]]&lt;=2,"Low",IF(cf_cl[[#This Row],[satisfaction_score]]=3,"Medium","High"))</f>
        <v>Medium</v>
      </c>
      <c r="J43">
        <f>YEAR(cf_cl[[#This Row],[date_submitted]])</f>
        <v>2021</v>
      </c>
      <c r="K43" s="3" t="str">
        <f>TEXT(cf_cl[[#This Row],[date_submitted]],"mmm")</f>
        <v>Jan</v>
      </c>
      <c r="L43" s="3" t="str">
        <f t="shared" si="0"/>
        <v>Q1</v>
      </c>
      <c r="M43" s="3" t="str">
        <f t="shared" si="1"/>
        <v>Saturday</v>
      </c>
      <c r="N43" s="3" t="str">
        <f t="shared" si="2"/>
        <v>No</v>
      </c>
      <c r="O43" s="3" t="str">
        <f>IF(COUNTIF($B:$B,B43)=1,"New Customer",
IF(COUNTIF($B:$B,B43)&lt;=3,"Returning Customer","Loyal Customer"))</f>
        <v>Returning Customer</v>
      </c>
      <c r="P43" s="3" t="str">
        <f>IF(cf_cl[[#This Row],[referred_claim]]="Yes","Referred","Not Referred")</f>
        <v>Not Referred</v>
      </c>
    </row>
    <row r="44" spans="1:16" x14ac:dyDescent="0.3">
      <c r="A44" t="s">
        <v>102</v>
      </c>
      <c r="B44" t="s">
        <v>103</v>
      </c>
      <c r="C44" s="1">
        <v>45123</v>
      </c>
      <c r="D44" t="s">
        <v>37</v>
      </c>
      <c r="E44">
        <v>3</v>
      </c>
      <c r="F44" s="3" t="s">
        <v>10</v>
      </c>
      <c r="G44" s="3" t="s">
        <v>13</v>
      </c>
      <c r="H44" s="3" t="str">
        <f>IF(cf_cl[[#This Row],[satisfaction_score]]&gt;=4,"Happy",IF(cf_cl[[#This Row],[satisfaction_score]]=3,"Neutral","Negative"))</f>
        <v>Neutral</v>
      </c>
      <c r="I44" s="3" t="str">
        <f>IF(cf_cl[[#This Row],[satisfaction_score]]&lt;=2,"Low",IF(cf_cl[[#This Row],[satisfaction_score]]=3,"Medium","High"))</f>
        <v>Medium</v>
      </c>
      <c r="J44">
        <f>YEAR(cf_cl[[#This Row],[date_submitted]])</f>
        <v>2023</v>
      </c>
      <c r="K44" s="3" t="str">
        <f>TEXT(cf_cl[[#This Row],[date_submitted]],"mmm")</f>
        <v>Jul</v>
      </c>
      <c r="L44" s="3" t="str">
        <f t="shared" si="0"/>
        <v>Q3</v>
      </c>
      <c r="M44" s="3" t="str">
        <f t="shared" si="1"/>
        <v>Sunday</v>
      </c>
      <c r="N44" s="3" t="str">
        <f t="shared" si="2"/>
        <v>No</v>
      </c>
      <c r="O44" s="3" t="str">
        <f>IF(COUNTIF($B:$B,B44)=1,"New Customer",
IF(COUNTIF($B:$B,B44)&lt;=3,"Returning Customer","Loyal Customer"))</f>
        <v>New Customer</v>
      </c>
      <c r="P44" s="3" t="str">
        <f>IF(cf_cl[[#This Row],[referred_claim]]="Yes","Referred","Not Referred")</f>
        <v>Not Referred</v>
      </c>
    </row>
    <row r="45" spans="1:16" x14ac:dyDescent="0.3">
      <c r="A45" t="s">
        <v>104</v>
      </c>
      <c r="B45" t="s">
        <v>105</v>
      </c>
      <c r="C45" s="1">
        <v>44413</v>
      </c>
      <c r="D45" t="s">
        <v>16</v>
      </c>
      <c r="E45">
        <v>5</v>
      </c>
      <c r="F45" s="3" t="s">
        <v>10</v>
      </c>
      <c r="G45" s="3" t="s">
        <v>13</v>
      </c>
      <c r="H45" s="3" t="str">
        <f>IF(cf_cl[[#This Row],[satisfaction_score]]&gt;=4,"Happy",IF(cf_cl[[#This Row],[satisfaction_score]]=3,"Neutral","Negative"))</f>
        <v>Happy</v>
      </c>
      <c r="I45" s="3" t="str">
        <f>IF(cf_cl[[#This Row],[satisfaction_score]]&lt;=2,"Low",IF(cf_cl[[#This Row],[satisfaction_score]]=3,"Medium","High"))</f>
        <v>High</v>
      </c>
      <c r="J45">
        <f>YEAR(cf_cl[[#This Row],[date_submitted]])</f>
        <v>2021</v>
      </c>
      <c r="K45" s="3" t="str">
        <f>TEXT(cf_cl[[#This Row],[date_submitted]],"mmm")</f>
        <v>Aug</v>
      </c>
      <c r="L45" s="3" t="str">
        <f t="shared" si="0"/>
        <v>Q3</v>
      </c>
      <c r="M45" s="3" t="str">
        <f t="shared" si="1"/>
        <v>Thursday</v>
      </c>
      <c r="N45" s="3" t="str">
        <f t="shared" si="2"/>
        <v>No</v>
      </c>
      <c r="O45" s="3" t="str">
        <f>IF(COUNTIF($B:$B,B45)=1,"New Customer",
IF(COUNTIF($B:$B,B45)&lt;=3,"Returning Customer","Loyal Customer"))</f>
        <v>Returning Customer</v>
      </c>
      <c r="P45" s="3" t="str">
        <f>IF(cf_cl[[#This Row],[referred_claim]]="Yes","Referred","Not Referred")</f>
        <v>Not Referred</v>
      </c>
    </row>
    <row r="46" spans="1:16" x14ac:dyDescent="0.3">
      <c r="A46" t="s">
        <v>106</v>
      </c>
      <c r="B46" t="s">
        <v>107</v>
      </c>
      <c r="C46" s="1">
        <v>44990</v>
      </c>
      <c r="D46" t="s">
        <v>83</v>
      </c>
      <c r="E46">
        <v>1</v>
      </c>
      <c r="F46" s="3" t="s">
        <v>13</v>
      </c>
      <c r="G46" s="3" t="s">
        <v>10</v>
      </c>
      <c r="H46" s="3" t="str">
        <f>IF(cf_cl[[#This Row],[satisfaction_score]]&gt;=4,"Happy",IF(cf_cl[[#This Row],[satisfaction_score]]=3,"Neutral","Negative"))</f>
        <v>Negative</v>
      </c>
      <c r="I46" s="3" t="str">
        <f>IF(cf_cl[[#This Row],[satisfaction_score]]&lt;=2,"Low",IF(cf_cl[[#This Row],[satisfaction_score]]=3,"Medium","High"))</f>
        <v>Low</v>
      </c>
      <c r="J46">
        <f>YEAR(cf_cl[[#This Row],[date_submitted]])</f>
        <v>2023</v>
      </c>
      <c r="K46" s="3" t="str">
        <f>TEXT(cf_cl[[#This Row],[date_submitted]],"mmm")</f>
        <v>Mar</v>
      </c>
      <c r="L46" s="3" t="str">
        <f t="shared" si="0"/>
        <v>Q1</v>
      </c>
      <c r="M46" s="3" t="str">
        <f t="shared" si="1"/>
        <v>Sunday</v>
      </c>
      <c r="N46" s="3" t="str">
        <f t="shared" si="2"/>
        <v>Yes</v>
      </c>
      <c r="O46" s="3" t="str">
        <f>IF(COUNTIF($B:$B,B46)=1,"New Customer",
IF(COUNTIF($B:$B,B46)&lt;=3,"Returning Customer","Loyal Customer"))</f>
        <v>Returning Customer</v>
      </c>
      <c r="P46" s="3" t="str">
        <f>IF(cf_cl[[#This Row],[referred_claim]]="Yes","Referred","Not Referred")</f>
        <v>Referred</v>
      </c>
    </row>
    <row r="47" spans="1:16" x14ac:dyDescent="0.3">
      <c r="A47" t="s">
        <v>108</v>
      </c>
      <c r="B47" t="s">
        <v>109</v>
      </c>
      <c r="C47" s="1">
        <v>44057</v>
      </c>
      <c r="D47" t="s">
        <v>22</v>
      </c>
      <c r="E47">
        <v>5</v>
      </c>
      <c r="F47" s="3" t="s">
        <v>10</v>
      </c>
      <c r="G47" s="3" t="s">
        <v>13</v>
      </c>
      <c r="H47" s="3" t="str">
        <f>IF(cf_cl[[#This Row],[satisfaction_score]]&gt;=4,"Happy",IF(cf_cl[[#This Row],[satisfaction_score]]=3,"Neutral","Negative"))</f>
        <v>Happy</v>
      </c>
      <c r="I47" s="3" t="str">
        <f>IF(cf_cl[[#This Row],[satisfaction_score]]&lt;=2,"Low",IF(cf_cl[[#This Row],[satisfaction_score]]=3,"Medium","High"))</f>
        <v>High</v>
      </c>
      <c r="J47">
        <f>YEAR(cf_cl[[#This Row],[date_submitted]])</f>
        <v>2020</v>
      </c>
      <c r="K47" s="3" t="str">
        <f>TEXT(cf_cl[[#This Row],[date_submitted]],"mmm")</f>
        <v>Aug</v>
      </c>
      <c r="L47" s="3" t="str">
        <f t="shared" si="0"/>
        <v>Q3</v>
      </c>
      <c r="M47" s="3" t="str">
        <f t="shared" si="1"/>
        <v>Friday</v>
      </c>
      <c r="N47" s="3" t="str">
        <f t="shared" si="2"/>
        <v>No</v>
      </c>
      <c r="O47" s="3" t="str">
        <f>IF(COUNTIF($B:$B,B47)=1,"New Customer",
IF(COUNTIF($B:$B,B47)&lt;=3,"Returning Customer","Loyal Customer"))</f>
        <v>New Customer</v>
      </c>
      <c r="P47" s="3" t="str">
        <f>IF(cf_cl[[#This Row],[referred_claim]]="Yes","Referred","Not Referred")</f>
        <v>Not Referred</v>
      </c>
    </row>
    <row r="48" spans="1:16" x14ac:dyDescent="0.3">
      <c r="A48" t="s">
        <v>110</v>
      </c>
      <c r="B48" t="s">
        <v>111</v>
      </c>
      <c r="C48" s="1">
        <v>45222</v>
      </c>
      <c r="D48" t="s">
        <v>16</v>
      </c>
      <c r="E48">
        <v>5</v>
      </c>
      <c r="F48" s="3" t="s">
        <v>13</v>
      </c>
      <c r="G48" s="3" t="s">
        <v>13</v>
      </c>
      <c r="H48" s="3" t="str">
        <f>IF(cf_cl[[#This Row],[satisfaction_score]]&gt;=4,"Happy",IF(cf_cl[[#This Row],[satisfaction_score]]=3,"Neutral","Negative"))</f>
        <v>Happy</v>
      </c>
      <c r="I48" s="3" t="str">
        <f>IF(cf_cl[[#This Row],[satisfaction_score]]&lt;=2,"Low",IF(cf_cl[[#This Row],[satisfaction_score]]=3,"Medium","High"))</f>
        <v>High</v>
      </c>
      <c r="J48">
        <f>YEAR(cf_cl[[#This Row],[date_submitted]])</f>
        <v>2023</v>
      </c>
      <c r="K48" s="3" t="str">
        <f>TEXT(cf_cl[[#This Row],[date_submitted]],"mmm")</f>
        <v>Oct</v>
      </c>
      <c r="L48" s="3" t="str">
        <f t="shared" si="0"/>
        <v>Q4</v>
      </c>
      <c r="M48" s="3" t="str">
        <f t="shared" si="1"/>
        <v>Monday</v>
      </c>
      <c r="N48" s="3" t="str">
        <f t="shared" si="2"/>
        <v>No</v>
      </c>
      <c r="O48" s="3" t="str">
        <f>IF(COUNTIF($B:$B,B48)=1,"New Customer",
IF(COUNTIF($B:$B,B48)&lt;=3,"Returning Customer","Loyal Customer"))</f>
        <v>New Customer</v>
      </c>
      <c r="P48" s="3" t="str">
        <f>IF(cf_cl[[#This Row],[referred_claim]]="Yes","Referred","Not Referred")</f>
        <v>Not Referred</v>
      </c>
    </row>
    <row r="49" spans="1:16" x14ac:dyDescent="0.3">
      <c r="A49" t="s">
        <v>112</v>
      </c>
      <c r="B49" t="s">
        <v>113</v>
      </c>
      <c r="C49" s="1">
        <v>44075</v>
      </c>
      <c r="D49" t="s">
        <v>68</v>
      </c>
      <c r="E49">
        <v>1</v>
      </c>
      <c r="F49" s="3" t="s">
        <v>13</v>
      </c>
      <c r="G49" s="3" t="s">
        <v>13</v>
      </c>
      <c r="H49" s="3" t="str">
        <f>IF(cf_cl[[#This Row],[satisfaction_score]]&gt;=4,"Happy",IF(cf_cl[[#This Row],[satisfaction_score]]=3,"Neutral","Negative"))</f>
        <v>Negative</v>
      </c>
      <c r="I49" s="3" t="str">
        <f>IF(cf_cl[[#This Row],[satisfaction_score]]&lt;=2,"Low",IF(cf_cl[[#This Row],[satisfaction_score]]=3,"Medium","High"))</f>
        <v>Low</v>
      </c>
      <c r="J49">
        <f>YEAR(cf_cl[[#This Row],[date_submitted]])</f>
        <v>2020</v>
      </c>
      <c r="K49" s="3" t="str">
        <f>TEXT(cf_cl[[#This Row],[date_submitted]],"mmm")</f>
        <v>Sep</v>
      </c>
      <c r="L49" s="3" t="str">
        <f t="shared" si="0"/>
        <v>Q3</v>
      </c>
      <c r="M49" s="3" t="str">
        <f t="shared" si="1"/>
        <v>Tuesday</v>
      </c>
      <c r="N49" s="3" t="str">
        <f t="shared" si="2"/>
        <v>Yes</v>
      </c>
      <c r="O49" s="3" t="str">
        <f>IF(COUNTIF($B:$B,B49)=1,"New Customer",
IF(COUNTIF($B:$B,B49)&lt;=3,"Returning Customer","Loyal Customer"))</f>
        <v>Returning Customer</v>
      </c>
      <c r="P49" s="3" t="str">
        <f>IF(cf_cl[[#This Row],[referred_claim]]="Yes","Referred","Not Referred")</f>
        <v>Not Referred</v>
      </c>
    </row>
    <row r="50" spans="1:16" x14ac:dyDescent="0.3">
      <c r="A50" t="s">
        <v>114</v>
      </c>
      <c r="B50" t="s">
        <v>115</v>
      </c>
      <c r="C50" s="1">
        <v>44354</v>
      </c>
      <c r="D50" t="s">
        <v>25</v>
      </c>
      <c r="E50">
        <v>4</v>
      </c>
      <c r="F50" s="3" t="s">
        <v>13</v>
      </c>
      <c r="G50" s="3" t="s">
        <v>10</v>
      </c>
      <c r="H50" s="3" t="str">
        <f>IF(cf_cl[[#This Row],[satisfaction_score]]&gt;=4,"Happy",IF(cf_cl[[#This Row],[satisfaction_score]]=3,"Neutral","Negative"))</f>
        <v>Happy</v>
      </c>
      <c r="I50" s="3" t="str">
        <f>IF(cf_cl[[#This Row],[satisfaction_score]]&lt;=2,"Low",IF(cf_cl[[#This Row],[satisfaction_score]]=3,"Medium","High"))</f>
        <v>High</v>
      </c>
      <c r="J50">
        <f>YEAR(cf_cl[[#This Row],[date_submitted]])</f>
        <v>2021</v>
      </c>
      <c r="K50" s="3" t="str">
        <f>TEXT(cf_cl[[#This Row],[date_submitted]],"mmm")</f>
        <v>Jun</v>
      </c>
      <c r="L50" s="3" t="str">
        <f t="shared" si="0"/>
        <v>Q2</v>
      </c>
      <c r="M50" s="3" t="str">
        <f t="shared" si="1"/>
        <v>Monday</v>
      </c>
      <c r="N50" s="3" t="str">
        <f t="shared" si="2"/>
        <v>No</v>
      </c>
      <c r="O50" s="3" t="str">
        <f>IF(COUNTIF($B:$B,B50)=1,"New Customer",
IF(COUNTIF($B:$B,B50)&lt;=3,"Returning Customer","Loyal Customer"))</f>
        <v>New Customer</v>
      </c>
      <c r="P50" s="3" t="str">
        <f>IF(cf_cl[[#This Row],[referred_claim]]="Yes","Referred","Not Referred")</f>
        <v>Referred</v>
      </c>
    </row>
    <row r="51" spans="1:16" x14ac:dyDescent="0.3">
      <c r="A51" t="s">
        <v>116</v>
      </c>
      <c r="B51" t="s">
        <v>117</v>
      </c>
      <c r="C51" s="1">
        <v>44238</v>
      </c>
      <c r="D51" t="s">
        <v>37</v>
      </c>
      <c r="E51">
        <v>3</v>
      </c>
      <c r="F51" s="3" t="s">
        <v>10</v>
      </c>
      <c r="G51" s="3" t="s">
        <v>13</v>
      </c>
      <c r="H51" s="3" t="str">
        <f>IF(cf_cl[[#This Row],[satisfaction_score]]&gt;=4,"Happy",IF(cf_cl[[#This Row],[satisfaction_score]]=3,"Neutral","Negative"))</f>
        <v>Neutral</v>
      </c>
      <c r="I51" s="3" t="str">
        <f>IF(cf_cl[[#This Row],[satisfaction_score]]&lt;=2,"Low",IF(cf_cl[[#This Row],[satisfaction_score]]=3,"Medium","High"))</f>
        <v>Medium</v>
      </c>
      <c r="J51">
        <f>YEAR(cf_cl[[#This Row],[date_submitted]])</f>
        <v>2021</v>
      </c>
      <c r="K51" s="3" t="str">
        <f>TEXT(cf_cl[[#This Row],[date_submitted]],"mmm")</f>
        <v>Feb</v>
      </c>
      <c r="L51" s="3" t="str">
        <f t="shared" si="0"/>
        <v>Q1</v>
      </c>
      <c r="M51" s="3" t="str">
        <f t="shared" si="1"/>
        <v>Thursday</v>
      </c>
      <c r="N51" s="3" t="str">
        <f t="shared" si="2"/>
        <v>No</v>
      </c>
      <c r="O51" s="3" t="str">
        <f>IF(COUNTIF($B:$B,B51)=1,"New Customer",
IF(COUNTIF($B:$B,B51)&lt;=3,"Returning Customer","Loyal Customer"))</f>
        <v>New Customer</v>
      </c>
      <c r="P51" s="3" t="str">
        <f>IF(cf_cl[[#This Row],[referred_claim]]="Yes","Referred","Not Referred")</f>
        <v>Not Referred</v>
      </c>
    </row>
    <row r="52" spans="1:16" x14ac:dyDescent="0.3">
      <c r="A52" t="s">
        <v>118</v>
      </c>
      <c r="B52" t="s">
        <v>119</v>
      </c>
      <c r="C52" s="1">
        <v>45160</v>
      </c>
      <c r="D52" t="s">
        <v>22</v>
      </c>
      <c r="E52">
        <v>5</v>
      </c>
      <c r="F52" s="3" t="s">
        <v>10</v>
      </c>
      <c r="G52" s="3" t="s">
        <v>13</v>
      </c>
      <c r="H52" s="3" t="str">
        <f>IF(cf_cl[[#This Row],[satisfaction_score]]&gt;=4,"Happy",IF(cf_cl[[#This Row],[satisfaction_score]]=3,"Neutral","Negative"))</f>
        <v>Happy</v>
      </c>
      <c r="I52" s="3" t="str">
        <f>IF(cf_cl[[#This Row],[satisfaction_score]]&lt;=2,"Low",IF(cf_cl[[#This Row],[satisfaction_score]]=3,"Medium","High"))</f>
        <v>High</v>
      </c>
      <c r="J52">
        <f>YEAR(cf_cl[[#This Row],[date_submitted]])</f>
        <v>2023</v>
      </c>
      <c r="K52" s="3" t="str">
        <f>TEXT(cf_cl[[#This Row],[date_submitted]],"mmm")</f>
        <v>Aug</v>
      </c>
      <c r="L52" s="3" t="str">
        <f t="shared" si="0"/>
        <v>Q3</v>
      </c>
      <c r="M52" s="3" t="str">
        <f t="shared" si="1"/>
        <v>Tuesday</v>
      </c>
      <c r="N52" s="3" t="str">
        <f t="shared" si="2"/>
        <v>No</v>
      </c>
      <c r="O52" s="3" t="str">
        <f>IF(COUNTIF($B:$B,B52)=1,"New Customer",
IF(COUNTIF($B:$B,B52)&lt;=3,"Returning Customer","Loyal Customer"))</f>
        <v>New Customer</v>
      </c>
      <c r="P52" s="3" t="str">
        <f>IF(cf_cl[[#This Row],[referred_claim]]="Yes","Referred","Not Referred")</f>
        <v>Not Referred</v>
      </c>
    </row>
    <row r="53" spans="1:16" x14ac:dyDescent="0.3">
      <c r="A53" t="s">
        <v>120</v>
      </c>
      <c r="B53" t="s">
        <v>121</v>
      </c>
      <c r="C53" s="1">
        <v>44104</v>
      </c>
      <c r="D53" t="s">
        <v>37</v>
      </c>
      <c r="E53">
        <v>5</v>
      </c>
      <c r="F53" s="3" t="s">
        <v>13</v>
      </c>
      <c r="G53" s="3" t="s">
        <v>13</v>
      </c>
      <c r="H53" s="3" t="str">
        <f>IF(cf_cl[[#This Row],[satisfaction_score]]&gt;=4,"Happy",IF(cf_cl[[#This Row],[satisfaction_score]]=3,"Neutral","Negative"))</f>
        <v>Happy</v>
      </c>
      <c r="I53" s="3" t="str">
        <f>IF(cf_cl[[#This Row],[satisfaction_score]]&lt;=2,"Low",IF(cf_cl[[#This Row],[satisfaction_score]]=3,"Medium","High"))</f>
        <v>High</v>
      </c>
      <c r="J53">
        <f>YEAR(cf_cl[[#This Row],[date_submitted]])</f>
        <v>2020</v>
      </c>
      <c r="K53" s="3" t="str">
        <f>TEXT(cf_cl[[#This Row],[date_submitted]],"mmm")</f>
        <v>Sep</v>
      </c>
      <c r="L53" s="3" t="str">
        <f t="shared" si="0"/>
        <v>Q3</v>
      </c>
      <c r="M53" s="3" t="str">
        <f t="shared" si="1"/>
        <v>Wednesday</v>
      </c>
      <c r="N53" s="3" t="str">
        <f t="shared" si="2"/>
        <v>No</v>
      </c>
      <c r="O53" s="3" t="str">
        <f>IF(COUNTIF($B:$B,B53)=1,"New Customer",
IF(COUNTIF($B:$B,B53)&lt;=3,"Returning Customer","Loyal Customer"))</f>
        <v>New Customer</v>
      </c>
      <c r="P53" s="3" t="str">
        <f>IF(cf_cl[[#This Row],[referred_claim]]="Yes","Referred","Not Referred")</f>
        <v>Not Referred</v>
      </c>
    </row>
    <row r="54" spans="1:16" x14ac:dyDescent="0.3">
      <c r="A54" t="s">
        <v>122</v>
      </c>
      <c r="B54" t="s">
        <v>123</v>
      </c>
      <c r="C54" s="1">
        <v>44071</v>
      </c>
      <c r="D54" t="s">
        <v>68</v>
      </c>
      <c r="E54">
        <v>2</v>
      </c>
      <c r="F54" s="3" t="s">
        <v>10</v>
      </c>
      <c r="G54" s="3" t="s">
        <v>13</v>
      </c>
      <c r="H54" s="3" t="str">
        <f>IF(cf_cl[[#This Row],[satisfaction_score]]&gt;=4,"Happy",IF(cf_cl[[#This Row],[satisfaction_score]]=3,"Neutral","Negative"))</f>
        <v>Negative</v>
      </c>
      <c r="I54" s="3" t="str">
        <f>IF(cf_cl[[#This Row],[satisfaction_score]]&lt;=2,"Low",IF(cf_cl[[#This Row],[satisfaction_score]]=3,"Medium","High"))</f>
        <v>Low</v>
      </c>
      <c r="J54">
        <f>YEAR(cf_cl[[#This Row],[date_submitted]])</f>
        <v>2020</v>
      </c>
      <c r="K54" s="3" t="str">
        <f>TEXT(cf_cl[[#This Row],[date_submitted]],"mmm")</f>
        <v>Aug</v>
      </c>
      <c r="L54" s="3" t="str">
        <f t="shared" si="0"/>
        <v>Q3</v>
      </c>
      <c r="M54" s="3" t="str">
        <f t="shared" si="1"/>
        <v>Friday</v>
      </c>
      <c r="N54" s="3" t="str">
        <f t="shared" si="2"/>
        <v>Yes</v>
      </c>
      <c r="O54" s="3" t="str">
        <f>IF(COUNTIF($B:$B,B54)=1,"New Customer",
IF(COUNTIF($B:$B,B54)&lt;=3,"Returning Customer","Loyal Customer"))</f>
        <v>New Customer</v>
      </c>
      <c r="P54" s="3" t="str">
        <f>IF(cf_cl[[#This Row],[referred_claim]]="Yes","Referred","Not Referred")</f>
        <v>Not Referred</v>
      </c>
    </row>
    <row r="55" spans="1:16" x14ac:dyDescent="0.3">
      <c r="A55" t="s">
        <v>124</v>
      </c>
      <c r="B55" t="s">
        <v>53</v>
      </c>
      <c r="C55" s="1">
        <v>45084</v>
      </c>
      <c r="D55" t="s">
        <v>31</v>
      </c>
      <c r="E55">
        <v>2</v>
      </c>
      <c r="F55" s="3" t="s">
        <v>10</v>
      </c>
      <c r="G55" s="3" t="s">
        <v>10</v>
      </c>
      <c r="H55" s="3" t="str">
        <f>IF(cf_cl[[#This Row],[satisfaction_score]]&gt;=4,"Happy",IF(cf_cl[[#This Row],[satisfaction_score]]=3,"Neutral","Negative"))</f>
        <v>Negative</v>
      </c>
      <c r="I55" s="3" t="str">
        <f>IF(cf_cl[[#This Row],[satisfaction_score]]&lt;=2,"Low",IF(cf_cl[[#This Row],[satisfaction_score]]=3,"Medium","High"))</f>
        <v>Low</v>
      </c>
      <c r="J55">
        <f>YEAR(cf_cl[[#This Row],[date_submitted]])</f>
        <v>2023</v>
      </c>
      <c r="K55" s="3" t="str">
        <f>TEXT(cf_cl[[#This Row],[date_submitted]],"mmm")</f>
        <v>Jun</v>
      </c>
      <c r="L55" s="3" t="str">
        <f t="shared" si="0"/>
        <v>Q2</v>
      </c>
      <c r="M55" s="3" t="str">
        <f t="shared" si="1"/>
        <v>Wednesday</v>
      </c>
      <c r="N55" s="3" t="str">
        <f t="shared" si="2"/>
        <v>Yes</v>
      </c>
      <c r="O55" s="3" t="str">
        <f>IF(COUNTIF($B:$B,B55)=1,"New Customer",
IF(COUNTIF($B:$B,B55)&lt;=3,"Returning Customer","Loyal Customer"))</f>
        <v>Returning Customer</v>
      </c>
      <c r="P55" s="3" t="str">
        <f>IF(cf_cl[[#This Row],[referred_claim]]="Yes","Referred","Not Referred")</f>
        <v>Referred</v>
      </c>
    </row>
    <row r="56" spans="1:16" x14ac:dyDescent="0.3">
      <c r="A56" t="s">
        <v>125</v>
      </c>
      <c r="B56" t="s">
        <v>126</v>
      </c>
      <c r="C56" s="1">
        <v>44988</v>
      </c>
      <c r="D56" t="s">
        <v>37</v>
      </c>
      <c r="E56">
        <v>5</v>
      </c>
      <c r="F56" s="3" t="s">
        <v>13</v>
      </c>
      <c r="G56" s="3" t="s">
        <v>10</v>
      </c>
      <c r="H56" s="3" t="str">
        <f>IF(cf_cl[[#This Row],[satisfaction_score]]&gt;=4,"Happy",IF(cf_cl[[#This Row],[satisfaction_score]]=3,"Neutral","Negative"))</f>
        <v>Happy</v>
      </c>
      <c r="I56" s="3" t="str">
        <f>IF(cf_cl[[#This Row],[satisfaction_score]]&lt;=2,"Low",IF(cf_cl[[#This Row],[satisfaction_score]]=3,"Medium","High"))</f>
        <v>High</v>
      </c>
      <c r="J56">
        <f>YEAR(cf_cl[[#This Row],[date_submitted]])</f>
        <v>2023</v>
      </c>
      <c r="K56" s="3" t="str">
        <f>TEXT(cf_cl[[#This Row],[date_submitted]],"mmm")</f>
        <v>Mar</v>
      </c>
      <c r="L56" s="3" t="str">
        <f t="shared" si="0"/>
        <v>Q1</v>
      </c>
      <c r="M56" s="3" t="str">
        <f t="shared" si="1"/>
        <v>Friday</v>
      </c>
      <c r="N56" s="3" t="str">
        <f t="shared" si="2"/>
        <v>No</v>
      </c>
      <c r="O56" s="3" t="str">
        <f>IF(COUNTIF($B:$B,B56)=1,"New Customer",
IF(COUNTIF($B:$B,B56)&lt;=3,"Returning Customer","Loyal Customer"))</f>
        <v>Returning Customer</v>
      </c>
      <c r="P56" s="3" t="str">
        <f>IF(cf_cl[[#This Row],[referred_claim]]="Yes","Referred","Not Referred")</f>
        <v>Referred</v>
      </c>
    </row>
    <row r="57" spans="1:16" x14ac:dyDescent="0.3">
      <c r="A57" t="s">
        <v>127</v>
      </c>
      <c r="B57" t="s">
        <v>128</v>
      </c>
      <c r="C57" s="1">
        <v>45133</v>
      </c>
      <c r="D57" t="s">
        <v>68</v>
      </c>
      <c r="E57">
        <v>1</v>
      </c>
      <c r="F57" s="3" t="s">
        <v>13</v>
      </c>
      <c r="G57" s="3" t="s">
        <v>13</v>
      </c>
      <c r="H57" s="3" t="str">
        <f>IF(cf_cl[[#This Row],[satisfaction_score]]&gt;=4,"Happy",IF(cf_cl[[#This Row],[satisfaction_score]]=3,"Neutral","Negative"))</f>
        <v>Negative</v>
      </c>
      <c r="I57" s="3" t="str">
        <f>IF(cf_cl[[#This Row],[satisfaction_score]]&lt;=2,"Low",IF(cf_cl[[#This Row],[satisfaction_score]]=3,"Medium","High"))</f>
        <v>Low</v>
      </c>
      <c r="J57">
        <f>YEAR(cf_cl[[#This Row],[date_submitted]])</f>
        <v>2023</v>
      </c>
      <c r="K57" s="3" t="str">
        <f>TEXT(cf_cl[[#This Row],[date_submitted]],"mmm")</f>
        <v>Jul</v>
      </c>
      <c r="L57" s="3" t="str">
        <f t="shared" si="0"/>
        <v>Q3</v>
      </c>
      <c r="M57" s="3" t="str">
        <f t="shared" si="1"/>
        <v>Wednesday</v>
      </c>
      <c r="N57" s="3" t="str">
        <f t="shared" si="2"/>
        <v>Yes</v>
      </c>
      <c r="O57" s="3" t="str">
        <f>IF(COUNTIF($B:$B,B57)=1,"New Customer",
IF(COUNTIF($B:$B,B57)&lt;=3,"Returning Customer","Loyal Customer"))</f>
        <v>Returning Customer</v>
      </c>
      <c r="P57" s="3" t="str">
        <f>IF(cf_cl[[#This Row],[referred_claim]]="Yes","Referred","Not Referred")</f>
        <v>Not Referred</v>
      </c>
    </row>
    <row r="58" spans="1:16" x14ac:dyDescent="0.3">
      <c r="A58" t="s">
        <v>129</v>
      </c>
      <c r="B58" t="s">
        <v>130</v>
      </c>
      <c r="C58" s="1">
        <v>44597</v>
      </c>
      <c r="D58" t="s">
        <v>16</v>
      </c>
      <c r="E58">
        <v>5</v>
      </c>
      <c r="F58" s="3" t="s">
        <v>13</v>
      </c>
      <c r="G58" s="3" t="s">
        <v>10</v>
      </c>
      <c r="H58" s="3" t="str">
        <f>IF(cf_cl[[#This Row],[satisfaction_score]]&gt;=4,"Happy",IF(cf_cl[[#This Row],[satisfaction_score]]=3,"Neutral","Negative"))</f>
        <v>Happy</v>
      </c>
      <c r="I58" s="3" t="str">
        <f>IF(cf_cl[[#This Row],[satisfaction_score]]&lt;=2,"Low",IF(cf_cl[[#This Row],[satisfaction_score]]=3,"Medium","High"))</f>
        <v>High</v>
      </c>
      <c r="J58">
        <f>YEAR(cf_cl[[#This Row],[date_submitted]])</f>
        <v>2022</v>
      </c>
      <c r="K58" s="3" t="str">
        <f>TEXT(cf_cl[[#This Row],[date_submitted]],"mmm")</f>
        <v>Feb</v>
      </c>
      <c r="L58" s="3" t="str">
        <f t="shared" si="0"/>
        <v>Q1</v>
      </c>
      <c r="M58" s="3" t="str">
        <f t="shared" si="1"/>
        <v>Saturday</v>
      </c>
      <c r="N58" s="3" t="str">
        <f t="shared" si="2"/>
        <v>No</v>
      </c>
      <c r="O58" s="3" t="str">
        <f>IF(COUNTIF($B:$B,B58)=1,"New Customer",
IF(COUNTIF($B:$B,B58)&lt;=3,"Returning Customer","Loyal Customer"))</f>
        <v>Returning Customer</v>
      </c>
      <c r="P58" s="3" t="str">
        <f>IF(cf_cl[[#This Row],[referred_claim]]="Yes","Referred","Not Referred")</f>
        <v>Referred</v>
      </c>
    </row>
    <row r="59" spans="1:16" x14ac:dyDescent="0.3">
      <c r="A59" t="s">
        <v>131</v>
      </c>
      <c r="B59" t="s">
        <v>132</v>
      </c>
      <c r="C59" s="1">
        <v>44085</v>
      </c>
      <c r="D59" t="s">
        <v>28</v>
      </c>
      <c r="E59">
        <v>5</v>
      </c>
      <c r="F59" s="3" t="s">
        <v>10</v>
      </c>
      <c r="G59" s="3" t="s">
        <v>13</v>
      </c>
      <c r="H59" s="3" t="str">
        <f>IF(cf_cl[[#This Row],[satisfaction_score]]&gt;=4,"Happy",IF(cf_cl[[#This Row],[satisfaction_score]]=3,"Neutral","Negative"))</f>
        <v>Happy</v>
      </c>
      <c r="I59" s="3" t="str">
        <f>IF(cf_cl[[#This Row],[satisfaction_score]]&lt;=2,"Low",IF(cf_cl[[#This Row],[satisfaction_score]]=3,"Medium","High"))</f>
        <v>High</v>
      </c>
      <c r="J59">
        <f>YEAR(cf_cl[[#This Row],[date_submitted]])</f>
        <v>2020</v>
      </c>
      <c r="K59" s="3" t="str">
        <f>TEXT(cf_cl[[#This Row],[date_submitted]],"mmm")</f>
        <v>Sep</v>
      </c>
      <c r="L59" s="3" t="str">
        <f t="shared" si="0"/>
        <v>Q3</v>
      </c>
      <c r="M59" s="3" t="str">
        <f t="shared" si="1"/>
        <v>Friday</v>
      </c>
      <c r="N59" s="3" t="str">
        <f t="shared" si="2"/>
        <v>No</v>
      </c>
      <c r="O59" s="3" t="str">
        <f>IF(COUNTIF($B:$B,B59)=1,"New Customer",
IF(COUNTIF($B:$B,B59)&lt;=3,"Returning Customer","Loyal Customer"))</f>
        <v>New Customer</v>
      </c>
      <c r="P59" s="3" t="str">
        <f>IF(cf_cl[[#This Row],[referred_claim]]="Yes","Referred","Not Referred")</f>
        <v>Not Referred</v>
      </c>
    </row>
    <row r="60" spans="1:16" x14ac:dyDescent="0.3">
      <c r="A60" t="s">
        <v>133</v>
      </c>
      <c r="B60" t="s">
        <v>134</v>
      </c>
      <c r="C60" s="1">
        <v>44770</v>
      </c>
      <c r="D60" t="s">
        <v>25</v>
      </c>
      <c r="E60">
        <v>5</v>
      </c>
      <c r="F60" s="3" t="s">
        <v>10</v>
      </c>
      <c r="G60" s="3" t="s">
        <v>10</v>
      </c>
      <c r="H60" s="3" t="str">
        <f>IF(cf_cl[[#This Row],[satisfaction_score]]&gt;=4,"Happy",IF(cf_cl[[#This Row],[satisfaction_score]]=3,"Neutral","Negative"))</f>
        <v>Happy</v>
      </c>
      <c r="I60" s="3" t="str">
        <f>IF(cf_cl[[#This Row],[satisfaction_score]]&lt;=2,"Low",IF(cf_cl[[#This Row],[satisfaction_score]]=3,"Medium","High"))</f>
        <v>High</v>
      </c>
      <c r="J60">
        <f>YEAR(cf_cl[[#This Row],[date_submitted]])</f>
        <v>2022</v>
      </c>
      <c r="K60" s="3" t="str">
        <f>TEXT(cf_cl[[#This Row],[date_submitted]],"mmm")</f>
        <v>Jul</v>
      </c>
      <c r="L60" s="3" t="str">
        <f t="shared" si="0"/>
        <v>Q3</v>
      </c>
      <c r="M60" s="3" t="str">
        <f t="shared" si="1"/>
        <v>Thursday</v>
      </c>
      <c r="N60" s="3" t="str">
        <f t="shared" si="2"/>
        <v>No</v>
      </c>
      <c r="O60" s="3" t="str">
        <f>IF(COUNTIF($B:$B,B60)=1,"New Customer",
IF(COUNTIF($B:$B,B60)&lt;=3,"Returning Customer","Loyal Customer"))</f>
        <v>New Customer</v>
      </c>
      <c r="P60" s="3" t="str">
        <f>IF(cf_cl[[#This Row],[referred_claim]]="Yes","Referred","Not Referred")</f>
        <v>Referred</v>
      </c>
    </row>
    <row r="61" spans="1:16" x14ac:dyDescent="0.3">
      <c r="A61" t="s">
        <v>135</v>
      </c>
      <c r="B61" t="s">
        <v>136</v>
      </c>
      <c r="C61" s="1">
        <v>44083</v>
      </c>
      <c r="D61" t="s">
        <v>9</v>
      </c>
      <c r="E61">
        <v>2</v>
      </c>
      <c r="F61" s="3" t="s">
        <v>10</v>
      </c>
      <c r="G61" s="3" t="s">
        <v>13</v>
      </c>
      <c r="H61" s="3" t="str">
        <f>IF(cf_cl[[#This Row],[satisfaction_score]]&gt;=4,"Happy",IF(cf_cl[[#This Row],[satisfaction_score]]=3,"Neutral","Negative"))</f>
        <v>Negative</v>
      </c>
      <c r="I61" s="3" t="str">
        <f>IF(cf_cl[[#This Row],[satisfaction_score]]&lt;=2,"Low",IF(cf_cl[[#This Row],[satisfaction_score]]=3,"Medium","High"))</f>
        <v>Low</v>
      </c>
      <c r="J61">
        <f>YEAR(cf_cl[[#This Row],[date_submitted]])</f>
        <v>2020</v>
      </c>
      <c r="K61" s="3" t="str">
        <f>TEXT(cf_cl[[#This Row],[date_submitted]],"mmm")</f>
        <v>Sep</v>
      </c>
      <c r="L61" s="3" t="str">
        <f t="shared" si="0"/>
        <v>Q3</v>
      </c>
      <c r="M61" s="3" t="str">
        <f t="shared" si="1"/>
        <v>Wednesday</v>
      </c>
      <c r="N61" s="3" t="str">
        <f t="shared" si="2"/>
        <v>Yes</v>
      </c>
      <c r="O61" s="3" t="str">
        <f>IF(COUNTIF($B:$B,B61)=1,"New Customer",
IF(COUNTIF($B:$B,B61)&lt;=3,"Returning Customer","Loyal Customer"))</f>
        <v>New Customer</v>
      </c>
      <c r="P61" s="3" t="str">
        <f>IF(cf_cl[[#This Row],[referred_claim]]="Yes","Referred","Not Referred")</f>
        <v>Not Referred</v>
      </c>
    </row>
    <row r="62" spans="1:16" x14ac:dyDescent="0.3">
      <c r="A62" t="s">
        <v>137</v>
      </c>
      <c r="B62" t="s">
        <v>138</v>
      </c>
      <c r="C62" s="1">
        <v>44874</v>
      </c>
      <c r="D62" t="s">
        <v>25</v>
      </c>
      <c r="E62">
        <v>5</v>
      </c>
      <c r="F62" s="3" t="s">
        <v>10</v>
      </c>
      <c r="G62" s="3" t="s">
        <v>10</v>
      </c>
      <c r="H62" s="3" t="str">
        <f>IF(cf_cl[[#This Row],[satisfaction_score]]&gt;=4,"Happy",IF(cf_cl[[#This Row],[satisfaction_score]]=3,"Neutral","Negative"))</f>
        <v>Happy</v>
      </c>
      <c r="I62" s="3" t="str">
        <f>IF(cf_cl[[#This Row],[satisfaction_score]]&lt;=2,"Low",IF(cf_cl[[#This Row],[satisfaction_score]]=3,"Medium","High"))</f>
        <v>High</v>
      </c>
      <c r="J62">
        <f>YEAR(cf_cl[[#This Row],[date_submitted]])</f>
        <v>2022</v>
      </c>
      <c r="K62" s="3" t="str">
        <f>TEXT(cf_cl[[#This Row],[date_submitted]],"mmm")</f>
        <v>Nov</v>
      </c>
      <c r="L62" s="3" t="str">
        <f t="shared" si="0"/>
        <v>Q4</v>
      </c>
      <c r="M62" s="3" t="str">
        <f t="shared" si="1"/>
        <v>Wednesday</v>
      </c>
      <c r="N62" s="3" t="str">
        <f t="shared" si="2"/>
        <v>No</v>
      </c>
      <c r="O62" s="3" t="str">
        <f>IF(COUNTIF($B:$B,B62)=1,"New Customer",
IF(COUNTIF($B:$B,B62)&lt;=3,"Returning Customer","Loyal Customer"))</f>
        <v>New Customer</v>
      </c>
      <c r="P62" s="3" t="str">
        <f>IF(cf_cl[[#This Row],[referred_claim]]="Yes","Referred","Not Referred")</f>
        <v>Referred</v>
      </c>
    </row>
    <row r="63" spans="1:16" x14ac:dyDescent="0.3">
      <c r="A63" t="s">
        <v>139</v>
      </c>
      <c r="B63" t="s">
        <v>140</v>
      </c>
      <c r="C63" s="1">
        <v>44279</v>
      </c>
      <c r="D63" t="s">
        <v>68</v>
      </c>
      <c r="E63">
        <v>1</v>
      </c>
      <c r="F63" s="3" t="s">
        <v>13</v>
      </c>
      <c r="G63" s="3" t="s">
        <v>10</v>
      </c>
      <c r="H63" s="3" t="str">
        <f>IF(cf_cl[[#This Row],[satisfaction_score]]&gt;=4,"Happy",IF(cf_cl[[#This Row],[satisfaction_score]]=3,"Neutral","Negative"))</f>
        <v>Negative</v>
      </c>
      <c r="I63" s="3" t="str">
        <f>IF(cf_cl[[#This Row],[satisfaction_score]]&lt;=2,"Low",IF(cf_cl[[#This Row],[satisfaction_score]]=3,"Medium","High"))</f>
        <v>Low</v>
      </c>
      <c r="J63">
        <f>YEAR(cf_cl[[#This Row],[date_submitted]])</f>
        <v>2021</v>
      </c>
      <c r="K63" s="3" t="str">
        <f>TEXT(cf_cl[[#This Row],[date_submitted]],"mmm")</f>
        <v>Mar</v>
      </c>
      <c r="L63" s="3" t="str">
        <f t="shared" si="0"/>
        <v>Q1</v>
      </c>
      <c r="M63" s="3" t="str">
        <f t="shared" si="1"/>
        <v>Wednesday</v>
      </c>
      <c r="N63" s="3" t="str">
        <f t="shared" si="2"/>
        <v>Yes</v>
      </c>
      <c r="O63" s="3" t="str">
        <f>IF(COUNTIF($B:$B,B63)=1,"New Customer",
IF(COUNTIF($B:$B,B63)&lt;=3,"Returning Customer","Loyal Customer"))</f>
        <v>New Customer</v>
      </c>
      <c r="P63" s="3" t="str">
        <f>IF(cf_cl[[#This Row],[referred_claim]]="Yes","Referred","Not Referred")</f>
        <v>Referred</v>
      </c>
    </row>
    <row r="64" spans="1:16" x14ac:dyDescent="0.3">
      <c r="A64" t="s">
        <v>141</v>
      </c>
      <c r="B64" t="s">
        <v>142</v>
      </c>
      <c r="C64" s="1">
        <v>45120</v>
      </c>
      <c r="D64" t="s">
        <v>9</v>
      </c>
      <c r="E64">
        <v>3</v>
      </c>
      <c r="F64" s="3" t="s">
        <v>13</v>
      </c>
      <c r="G64" s="3" t="s">
        <v>13</v>
      </c>
      <c r="H64" s="3" t="str">
        <f>IF(cf_cl[[#This Row],[satisfaction_score]]&gt;=4,"Happy",IF(cf_cl[[#This Row],[satisfaction_score]]=3,"Neutral","Negative"))</f>
        <v>Neutral</v>
      </c>
      <c r="I64" s="3" t="str">
        <f>IF(cf_cl[[#This Row],[satisfaction_score]]&lt;=2,"Low",IF(cf_cl[[#This Row],[satisfaction_score]]=3,"Medium","High"))</f>
        <v>Medium</v>
      </c>
      <c r="J64">
        <f>YEAR(cf_cl[[#This Row],[date_submitted]])</f>
        <v>2023</v>
      </c>
      <c r="K64" s="3" t="str">
        <f>TEXT(cf_cl[[#This Row],[date_submitted]],"mmm")</f>
        <v>Jul</v>
      </c>
      <c r="L64" s="3" t="str">
        <f t="shared" si="0"/>
        <v>Q3</v>
      </c>
      <c r="M64" s="3" t="str">
        <f t="shared" si="1"/>
        <v>Thursday</v>
      </c>
      <c r="N64" s="3" t="str">
        <f t="shared" si="2"/>
        <v>No</v>
      </c>
      <c r="O64" s="3" t="str">
        <f>IF(COUNTIF($B:$B,B64)=1,"New Customer",
IF(COUNTIF($B:$B,B64)&lt;=3,"Returning Customer","Loyal Customer"))</f>
        <v>New Customer</v>
      </c>
      <c r="P64" s="3" t="str">
        <f>IF(cf_cl[[#This Row],[referred_claim]]="Yes","Referred","Not Referred")</f>
        <v>Not Referred</v>
      </c>
    </row>
    <row r="65" spans="1:16" x14ac:dyDescent="0.3">
      <c r="A65" t="s">
        <v>143</v>
      </c>
      <c r="B65" t="s">
        <v>144</v>
      </c>
      <c r="C65" s="1">
        <v>45129</v>
      </c>
      <c r="D65" t="s">
        <v>22</v>
      </c>
      <c r="E65">
        <v>5</v>
      </c>
      <c r="F65" s="3" t="s">
        <v>10</v>
      </c>
      <c r="G65" s="3" t="s">
        <v>13</v>
      </c>
      <c r="H65" s="3" t="str">
        <f>IF(cf_cl[[#This Row],[satisfaction_score]]&gt;=4,"Happy",IF(cf_cl[[#This Row],[satisfaction_score]]=3,"Neutral","Negative"))</f>
        <v>Happy</v>
      </c>
      <c r="I65" s="3" t="str">
        <f>IF(cf_cl[[#This Row],[satisfaction_score]]&lt;=2,"Low",IF(cf_cl[[#This Row],[satisfaction_score]]=3,"Medium","High"))</f>
        <v>High</v>
      </c>
      <c r="J65">
        <f>YEAR(cf_cl[[#This Row],[date_submitted]])</f>
        <v>2023</v>
      </c>
      <c r="K65" s="3" t="str">
        <f>TEXT(cf_cl[[#This Row],[date_submitted]],"mmm")</f>
        <v>Jul</v>
      </c>
      <c r="L65" s="3" t="str">
        <f t="shared" si="0"/>
        <v>Q3</v>
      </c>
      <c r="M65" s="3" t="str">
        <f t="shared" si="1"/>
        <v>Saturday</v>
      </c>
      <c r="N65" s="3" t="str">
        <f t="shared" si="2"/>
        <v>No</v>
      </c>
      <c r="O65" s="3" t="str">
        <f>IF(COUNTIF($B:$B,B65)=1,"New Customer",
IF(COUNTIF($B:$B,B65)&lt;=3,"Returning Customer","Loyal Customer"))</f>
        <v>New Customer</v>
      </c>
      <c r="P65" s="3" t="str">
        <f>IF(cf_cl[[#This Row],[referred_claim]]="Yes","Referred","Not Referred")</f>
        <v>Not Referred</v>
      </c>
    </row>
    <row r="66" spans="1:16" x14ac:dyDescent="0.3">
      <c r="A66" t="s">
        <v>145</v>
      </c>
      <c r="B66" t="s">
        <v>146</v>
      </c>
      <c r="C66" s="1">
        <v>44372</v>
      </c>
      <c r="D66" t="s">
        <v>31</v>
      </c>
      <c r="E66">
        <v>1</v>
      </c>
      <c r="F66" s="3" t="s">
        <v>10</v>
      </c>
      <c r="G66" s="3" t="s">
        <v>13</v>
      </c>
      <c r="H66" s="3" t="str">
        <f>IF(cf_cl[[#This Row],[satisfaction_score]]&gt;=4,"Happy",IF(cf_cl[[#This Row],[satisfaction_score]]=3,"Neutral","Negative"))</f>
        <v>Negative</v>
      </c>
      <c r="I66" s="3" t="str">
        <f>IF(cf_cl[[#This Row],[satisfaction_score]]&lt;=2,"Low",IF(cf_cl[[#This Row],[satisfaction_score]]=3,"Medium","High"))</f>
        <v>Low</v>
      </c>
      <c r="J66">
        <f>YEAR(cf_cl[[#This Row],[date_submitted]])</f>
        <v>2021</v>
      </c>
      <c r="K66" s="3" t="str">
        <f>TEXT(cf_cl[[#This Row],[date_submitted]],"mmm")</f>
        <v>Jun</v>
      </c>
      <c r="L66" s="3" t="str">
        <f t="shared" ref="L66:L129" si="3">"Q"&amp;ROUNDUP(MONTH(C66)/3,0)</f>
        <v>Q2</v>
      </c>
      <c r="M66" s="3" t="str">
        <f t="shared" ref="M66:M129" si="4">TEXT(C66,"dddd")</f>
        <v>Friday</v>
      </c>
      <c r="N66" s="3" t="str">
        <f t="shared" ref="N66:N129" si="5">IF(E66&lt;=2,"Yes","No")</f>
        <v>Yes</v>
      </c>
      <c r="O66" s="3" t="str">
        <f>IF(COUNTIF($B:$B,B66)=1,"New Customer",
IF(COUNTIF($B:$B,B66)&lt;=3,"Returning Customer","Loyal Customer"))</f>
        <v>New Customer</v>
      </c>
      <c r="P66" s="3" t="str">
        <f>IF(cf_cl[[#This Row],[referred_claim]]="Yes","Referred","Not Referred")</f>
        <v>Not Referred</v>
      </c>
    </row>
    <row r="67" spans="1:16" x14ac:dyDescent="0.3">
      <c r="A67" t="s">
        <v>147</v>
      </c>
      <c r="B67" t="s">
        <v>148</v>
      </c>
      <c r="C67" s="1">
        <v>44990</v>
      </c>
      <c r="D67" t="s">
        <v>31</v>
      </c>
      <c r="E67">
        <v>3</v>
      </c>
      <c r="F67" s="3" t="s">
        <v>13</v>
      </c>
      <c r="G67" s="3" t="s">
        <v>10</v>
      </c>
      <c r="H67" s="3" t="str">
        <f>IF(cf_cl[[#This Row],[satisfaction_score]]&gt;=4,"Happy",IF(cf_cl[[#This Row],[satisfaction_score]]=3,"Neutral","Negative"))</f>
        <v>Neutral</v>
      </c>
      <c r="I67" s="3" t="str">
        <f>IF(cf_cl[[#This Row],[satisfaction_score]]&lt;=2,"Low",IF(cf_cl[[#This Row],[satisfaction_score]]=3,"Medium","High"))</f>
        <v>Medium</v>
      </c>
      <c r="J67">
        <f>YEAR(cf_cl[[#This Row],[date_submitted]])</f>
        <v>2023</v>
      </c>
      <c r="K67" s="3" t="str">
        <f>TEXT(cf_cl[[#This Row],[date_submitted]],"mmm")</f>
        <v>Mar</v>
      </c>
      <c r="L67" s="3" t="str">
        <f t="shared" si="3"/>
        <v>Q1</v>
      </c>
      <c r="M67" s="3" t="str">
        <f t="shared" si="4"/>
        <v>Sunday</v>
      </c>
      <c r="N67" s="3" t="str">
        <f t="shared" si="5"/>
        <v>No</v>
      </c>
      <c r="O67" s="3" t="str">
        <f>IF(COUNTIF($B:$B,B67)=1,"New Customer",
IF(COUNTIF($B:$B,B67)&lt;=3,"Returning Customer","Loyal Customer"))</f>
        <v>Returning Customer</v>
      </c>
      <c r="P67" s="3" t="str">
        <f>IF(cf_cl[[#This Row],[referred_claim]]="Yes","Referred","Not Referred")</f>
        <v>Referred</v>
      </c>
    </row>
    <row r="68" spans="1:16" x14ac:dyDescent="0.3">
      <c r="A68" t="s">
        <v>149</v>
      </c>
      <c r="B68" t="s">
        <v>150</v>
      </c>
      <c r="C68" s="1">
        <v>45050</v>
      </c>
      <c r="D68" t="s">
        <v>9</v>
      </c>
      <c r="E68">
        <v>2</v>
      </c>
      <c r="F68" s="3" t="s">
        <v>10</v>
      </c>
      <c r="G68" s="3" t="s">
        <v>13</v>
      </c>
      <c r="H68" s="3" t="str">
        <f>IF(cf_cl[[#This Row],[satisfaction_score]]&gt;=4,"Happy",IF(cf_cl[[#This Row],[satisfaction_score]]=3,"Neutral","Negative"))</f>
        <v>Negative</v>
      </c>
      <c r="I68" s="3" t="str">
        <f>IF(cf_cl[[#This Row],[satisfaction_score]]&lt;=2,"Low",IF(cf_cl[[#This Row],[satisfaction_score]]=3,"Medium","High"))</f>
        <v>Low</v>
      </c>
      <c r="J68">
        <f>YEAR(cf_cl[[#This Row],[date_submitted]])</f>
        <v>2023</v>
      </c>
      <c r="K68" s="3" t="str">
        <f>TEXT(cf_cl[[#This Row],[date_submitted]],"mmm")</f>
        <v>May</v>
      </c>
      <c r="L68" s="3" t="str">
        <f t="shared" si="3"/>
        <v>Q2</v>
      </c>
      <c r="M68" s="3" t="str">
        <f t="shared" si="4"/>
        <v>Thursday</v>
      </c>
      <c r="N68" s="3" t="str">
        <f t="shared" si="5"/>
        <v>Yes</v>
      </c>
      <c r="O68" s="3" t="str">
        <f>IF(COUNTIF($B:$B,B68)=1,"New Customer",
IF(COUNTIF($B:$B,B68)&lt;=3,"Returning Customer","Loyal Customer"))</f>
        <v>Returning Customer</v>
      </c>
      <c r="P68" s="3" t="str">
        <f>IF(cf_cl[[#This Row],[referred_claim]]="Yes","Referred","Not Referred")</f>
        <v>Not Referred</v>
      </c>
    </row>
    <row r="69" spans="1:16" x14ac:dyDescent="0.3">
      <c r="A69" t="s">
        <v>151</v>
      </c>
      <c r="B69" t="s">
        <v>152</v>
      </c>
      <c r="C69" s="1">
        <v>44178</v>
      </c>
      <c r="D69" t="s">
        <v>31</v>
      </c>
      <c r="E69">
        <v>1</v>
      </c>
      <c r="F69" s="3" t="s">
        <v>10</v>
      </c>
      <c r="G69" s="3" t="s">
        <v>13</v>
      </c>
      <c r="H69" s="3" t="str">
        <f>IF(cf_cl[[#This Row],[satisfaction_score]]&gt;=4,"Happy",IF(cf_cl[[#This Row],[satisfaction_score]]=3,"Neutral","Negative"))</f>
        <v>Negative</v>
      </c>
      <c r="I69" s="3" t="str">
        <f>IF(cf_cl[[#This Row],[satisfaction_score]]&lt;=2,"Low",IF(cf_cl[[#This Row],[satisfaction_score]]=3,"Medium","High"))</f>
        <v>Low</v>
      </c>
      <c r="J69">
        <f>YEAR(cf_cl[[#This Row],[date_submitted]])</f>
        <v>2020</v>
      </c>
      <c r="K69" s="3" t="str">
        <f>TEXT(cf_cl[[#This Row],[date_submitted]],"mmm")</f>
        <v>Dec</v>
      </c>
      <c r="L69" s="3" t="str">
        <f t="shared" si="3"/>
        <v>Q4</v>
      </c>
      <c r="M69" s="3" t="str">
        <f t="shared" si="4"/>
        <v>Sunday</v>
      </c>
      <c r="N69" s="3" t="str">
        <f t="shared" si="5"/>
        <v>Yes</v>
      </c>
      <c r="O69" s="3" t="str">
        <f>IF(COUNTIF($B:$B,B69)=1,"New Customer",
IF(COUNTIF($B:$B,B69)&lt;=3,"Returning Customer","Loyal Customer"))</f>
        <v>New Customer</v>
      </c>
      <c r="P69" s="3" t="str">
        <f>IF(cf_cl[[#This Row],[referred_claim]]="Yes","Referred","Not Referred")</f>
        <v>Not Referred</v>
      </c>
    </row>
    <row r="70" spans="1:16" x14ac:dyDescent="0.3">
      <c r="A70" t="s">
        <v>153</v>
      </c>
      <c r="B70" t="s">
        <v>154</v>
      </c>
      <c r="C70" s="1">
        <v>44203</v>
      </c>
      <c r="D70" t="s">
        <v>83</v>
      </c>
      <c r="E70">
        <v>1</v>
      </c>
      <c r="F70" s="3" t="s">
        <v>13</v>
      </c>
      <c r="G70" s="3" t="s">
        <v>13</v>
      </c>
      <c r="H70" s="3" t="str">
        <f>IF(cf_cl[[#This Row],[satisfaction_score]]&gt;=4,"Happy",IF(cf_cl[[#This Row],[satisfaction_score]]=3,"Neutral","Negative"))</f>
        <v>Negative</v>
      </c>
      <c r="I70" s="3" t="str">
        <f>IF(cf_cl[[#This Row],[satisfaction_score]]&lt;=2,"Low",IF(cf_cl[[#This Row],[satisfaction_score]]=3,"Medium","High"))</f>
        <v>Low</v>
      </c>
      <c r="J70">
        <f>YEAR(cf_cl[[#This Row],[date_submitted]])</f>
        <v>2021</v>
      </c>
      <c r="K70" s="3" t="str">
        <f>TEXT(cf_cl[[#This Row],[date_submitted]],"mmm")</f>
        <v>Jan</v>
      </c>
      <c r="L70" s="3" t="str">
        <f t="shared" si="3"/>
        <v>Q1</v>
      </c>
      <c r="M70" s="3" t="str">
        <f t="shared" si="4"/>
        <v>Thursday</v>
      </c>
      <c r="N70" s="3" t="str">
        <f t="shared" si="5"/>
        <v>Yes</v>
      </c>
      <c r="O70" s="3" t="str">
        <f>IF(COUNTIF($B:$B,B70)=1,"New Customer",
IF(COUNTIF($B:$B,B70)&lt;=3,"Returning Customer","Loyal Customer"))</f>
        <v>New Customer</v>
      </c>
      <c r="P70" s="3" t="str">
        <f>IF(cf_cl[[#This Row],[referred_claim]]="Yes","Referred","Not Referred")</f>
        <v>Not Referred</v>
      </c>
    </row>
    <row r="71" spans="1:16" x14ac:dyDescent="0.3">
      <c r="A71" t="s">
        <v>155</v>
      </c>
      <c r="B71" t="s">
        <v>156</v>
      </c>
      <c r="C71" s="1">
        <v>44485</v>
      </c>
      <c r="D71" t="s">
        <v>31</v>
      </c>
      <c r="E71">
        <v>3</v>
      </c>
      <c r="F71" s="3" t="s">
        <v>13</v>
      </c>
      <c r="G71" s="3" t="s">
        <v>13</v>
      </c>
      <c r="H71" s="3" t="str">
        <f>IF(cf_cl[[#This Row],[satisfaction_score]]&gt;=4,"Happy",IF(cf_cl[[#This Row],[satisfaction_score]]=3,"Neutral","Negative"))</f>
        <v>Neutral</v>
      </c>
      <c r="I71" s="3" t="str">
        <f>IF(cf_cl[[#This Row],[satisfaction_score]]&lt;=2,"Low",IF(cf_cl[[#This Row],[satisfaction_score]]=3,"Medium","High"))</f>
        <v>Medium</v>
      </c>
      <c r="J71">
        <f>YEAR(cf_cl[[#This Row],[date_submitted]])</f>
        <v>2021</v>
      </c>
      <c r="K71" s="3" t="str">
        <f>TEXT(cf_cl[[#This Row],[date_submitted]],"mmm")</f>
        <v>Oct</v>
      </c>
      <c r="L71" s="3" t="str">
        <f t="shared" si="3"/>
        <v>Q4</v>
      </c>
      <c r="M71" s="3" t="str">
        <f t="shared" si="4"/>
        <v>Saturday</v>
      </c>
      <c r="N71" s="3" t="str">
        <f t="shared" si="5"/>
        <v>No</v>
      </c>
      <c r="O71" s="3" t="str">
        <f>IF(COUNTIF($B:$B,B71)=1,"New Customer",
IF(COUNTIF($B:$B,B71)&lt;=3,"Returning Customer","Loyal Customer"))</f>
        <v>New Customer</v>
      </c>
      <c r="P71" s="3" t="str">
        <f>IF(cf_cl[[#This Row],[referred_claim]]="Yes","Referred","Not Referred")</f>
        <v>Not Referred</v>
      </c>
    </row>
    <row r="72" spans="1:16" x14ac:dyDescent="0.3">
      <c r="A72" t="s">
        <v>157</v>
      </c>
      <c r="B72" t="s">
        <v>158</v>
      </c>
      <c r="C72" s="1">
        <v>43908</v>
      </c>
      <c r="D72" t="s">
        <v>68</v>
      </c>
      <c r="E72">
        <v>1</v>
      </c>
      <c r="F72" s="3" t="s">
        <v>13</v>
      </c>
      <c r="G72" s="3" t="s">
        <v>13</v>
      </c>
      <c r="H72" s="3" t="str">
        <f>IF(cf_cl[[#This Row],[satisfaction_score]]&gt;=4,"Happy",IF(cf_cl[[#This Row],[satisfaction_score]]=3,"Neutral","Negative"))</f>
        <v>Negative</v>
      </c>
      <c r="I72" s="3" t="str">
        <f>IF(cf_cl[[#This Row],[satisfaction_score]]&lt;=2,"Low",IF(cf_cl[[#This Row],[satisfaction_score]]=3,"Medium","High"))</f>
        <v>Low</v>
      </c>
      <c r="J72">
        <f>YEAR(cf_cl[[#This Row],[date_submitted]])</f>
        <v>2020</v>
      </c>
      <c r="K72" s="3" t="str">
        <f>TEXT(cf_cl[[#This Row],[date_submitted]],"mmm")</f>
        <v>Mar</v>
      </c>
      <c r="L72" s="3" t="str">
        <f t="shared" si="3"/>
        <v>Q1</v>
      </c>
      <c r="M72" s="3" t="str">
        <f t="shared" si="4"/>
        <v>Wednesday</v>
      </c>
      <c r="N72" s="3" t="str">
        <f t="shared" si="5"/>
        <v>Yes</v>
      </c>
      <c r="O72" s="3" t="str">
        <f>IF(COUNTIF($B:$B,B72)=1,"New Customer",
IF(COUNTIF($B:$B,B72)&lt;=3,"Returning Customer","Loyal Customer"))</f>
        <v>Returning Customer</v>
      </c>
      <c r="P72" s="3" t="str">
        <f>IF(cf_cl[[#This Row],[referred_claim]]="Yes","Referred","Not Referred")</f>
        <v>Not Referred</v>
      </c>
    </row>
    <row r="73" spans="1:16" x14ac:dyDescent="0.3">
      <c r="A73" t="s">
        <v>159</v>
      </c>
      <c r="B73" t="s">
        <v>160</v>
      </c>
      <c r="C73" s="1">
        <v>44757</v>
      </c>
      <c r="D73" t="s">
        <v>37</v>
      </c>
      <c r="E73">
        <v>5</v>
      </c>
      <c r="F73" s="3" t="s">
        <v>10</v>
      </c>
      <c r="G73" s="3" t="s">
        <v>10</v>
      </c>
      <c r="H73" s="3" t="str">
        <f>IF(cf_cl[[#This Row],[satisfaction_score]]&gt;=4,"Happy",IF(cf_cl[[#This Row],[satisfaction_score]]=3,"Neutral","Negative"))</f>
        <v>Happy</v>
      </c>
      <c r="I73" s="3" t="str">
        <f>IF(cf_cl[[#This Row],[satisfaction_score]]&lt;=2,"Low",IF(cf_cl[[#This Row],[satisfaction_score]]=3,"Medium","High"))</f>
        <v>High</v>
      </c>
      <c r="J73">
        <f>YEAR(cf_cl[[#This Row],[date_submitted]])</f>
        <v>2022</v>
      </c>
      <c r="K73" s="3" t="str">
        <f>TEXT(cf_cl[[#This Row],[date_submitted]],"mmm")</f>
        <v>Jul</v>
      </c>
      <c r="L73" s="3" t="str">
        <f t="shared" si="3"/>
        <v>Q3</v>
      </c>
      <c r="M73" s="3" t="str">
        <f t="shared" si="4"/>
        <v>Friday</v>
      </c>
      <c r="N73" s="3" t="str">
        <f t="shared" si="5"/>
        <v>No</v>
      </c>
      <c r="O73" s="3" t="str">
        <f>IF(COUNTIF($B:$B,B73)=1,"New Customer",
IF(COUNTIF($B:$B,B73)&lt;=3,"Returning Customer","Loyal Customer"))</f>
        <v>New Customer</v>
      </c>
      <c r="P73" s="3" t="str">
        <f>IF(cf_cl[[#This Row],[referred_claim]]="Yes","Referred","Not Referred")</f>
        <v>Referred</v>
      </c>
    </row>
    <row r="74" spans="1:16" x14ac:dyDescent="0.3">
      <c r="A74" t="s">
        <v>161</v>
      </c>
      <c r="B74" t="s">
        <v>162</v>
      </c>
      <c r="C74" s="1">
        <v>44748</v>
      </c>
      <c r="D74" t="s">
        <v>68</v>
      </c>
      <c r="E74">
        <v>2</v>
      </c>
      <c r="F74" s="3" t="s">
        <v>10</v>
      </c>
      <c r="G74" s="3" t="s">
        <v>10</v>
      </c>
      <c r="H74" s="3" t="str">
        <f>IF(cf_cl[[#This Row],[satisfaction_score]]&gt;=4,"Happy",IF(cf_cl[[#This Row],[satisfaction_score]]=3,"Neutral","Negative"))</f>
        <v>Negative</v>
      </c>
      <c r="I74" s="3" t="str">
        <f>IF(cf_cl[[#This Row],[satisfaction_score]]&lt;=2,"Low",IF(cf_cl[[#This Row],[satisfaction_score]]=3,"Medium","High"))</f>
        <v>Low</v>
      </c>
      <c r="J74">
        <f>YEAR(cf_cl[[#This Row],[date_submitted]])</f>
        <v>2022</v>
      </c>
      <c r="K74" s="3" t="str">
        <f>TEXT(cf_cl[[#This Row],[date_submitted]],"mmm")</f>
        <v>Jul</v>
      </c>
      <c r="L74" s="3" t="str">
        <f t="shared" si="3"/>
        <v>Q3</v>
      </c>
      <c r="M74" s="3" t="str">
        <f t="shared" si="4"/>
        <v>Wednesday</v>
      </c>
      <c r="N74" s="3" t="str">
        <f t="shared" si="5"/>
        <v>Yes</v>
      </c>
      <c r="O74" s="3" t="str">
        <f>IF(COUNTIF($B:$B,B74)=1,"New Customer",
IF(COUNTIF($B:$B,B74)&lt;=3,"Returning Customer","Loyal Customer"))</f>
        <v>New Customer</v>
      </c>
      <c r="P74" s="3" t="str">
        <f>IF(cf_cl[[#This Row],[referred_claim]]="Yes","Referred","Not Referred")</f>
        <v>Referred</v>
      </c>
    </row>
    <row r="75" spans="1:16" x14ac:dyDescent="0.3">
      <c r="A75" t="s">
        <v>163</v>
      </c>
      <c r="B75" t="s">
        <v>164</v>
      </c>
      <c r="C75" s="1">
        <v>45237</v>
      </c>
      <c r="D75" t="s">
        <v>31</v>
      </c>
      <c r="E75">
        <v>3</v>
      </c>
      <c r="F75" s="3" t="s">
        <v>10</v>
      </c>
      <c r="G75" s="3" t="s">
        <v>13</v>
      </c>
      <c r="H75" s="3" t="str">
        <f>IF(cf_cl[[#This Row],[satisfaction_score]]&gt;=4,"Happy",IF(cf_cl[[#This Row],[satisfaction_score]]=3,"Neutral","Negative"))</f>
        <v>Neutral</v>
      </c>
      <c r="I75" s="3" t="str">
        <f>IF(cf_cl[[#This Row],[satisfaction_score]]&lt;=2,"Low",IF(cf_cl[[#This Row],[satisfaction_score]]=3,"Medium","High"))</f>
        <v>Medium</v>
      </c>
      <c r="J75">
        <f>YEAR(cf_cl[[#This Row],[date_submitted]])</f>
        <v>2023</v>
      </c>
      <c r="K75" s="3" t="str">
        <f>TEXT(cf_cl[[#This Row],[date_submitted]],"mmm")</f>
        <v>Nov</v>
      </c>
      <c r="L75" s="3" t="str">
        <f t="shared" si="3"/>
        <v>Q4</v>
      </c>
      <c r="M75" s="3" t="str">
        <f t="shared" si="4"/>
        <v>Tuesday</v>
      </c>
      <c r="N75" s="3" t="str">
        <f t="shared" si="5"/>
        <v>No</v>
      </c>
      <c r="O75" s="3" t="str">
        <f>IF(COUNTIF($B:$B,B75)=1,"New Customer",
IF(COUNTIF($B:$B,B75)&lt;=3,"Returning Customer","Loyal Customer"))</f>
        <v>Returning Customer</v>
      </c>
      <c r="P75" s="3" t="str">
        <f>IF(cf_cl[[#This Row],[referred_claim]]="Yes","Referred","Not Referred")</f>
        <v>Not Referred</v>
      </c>
    </row>
    <row r="76" spans="1:16" x14ac:dyDescent="0.3">
      <c r="A76" t="s">
        <v>165</v>
      </c>
      <c r="B76" t="s">
        <v>166</v>
      </c>
      <c r="C76" s="1">
        <v>44272</v>
      </c>
      <c r="D76" t="s">
        <v>25</v>
      </c>
      <c r="E76">
        <v>5</v>
      </c>
      <c r="F76" s="3" t="s">
        <v>10</v>
      </c>
      <c r="G76" s="3" t="s">
        <v>10</v>
      </c>
      <c r="H76" s="3" t="str">
        <f>IF(cf_cl[[#This Row],[satisfaction_score]]&gt;=4,"Happy",IF(cf_cl[[#This Row],[satisfaction_score]]=3,"Neutral","Negative"))</f>
        <v>Happy</v>
      </c>
      <c r="I76" s="3" t="str">
        <f>IF(cf_cl[[#This Row],[satisfaction_score]]&lt;=2,"Low",IF(cf_cl[[#This Row],[satisfaction_score]]=3,"Medium","High"))</f>
        <v>High</v>
      </c>
      <c r="J76">
        <f>YEAR(cf_cl[[#This Row],[date_submitted]])</f>
        <v>2021</v>
      </c>
      <c r="K76" s="3" t="str">
        <f>TEXT(cf_cl[[#This Row],[date_submitted]],"mmm")</f>
        <v>Mar</v>
      </c>
      <c r="L76" s="3" t="str">
        <f t="shared" si="3"/>
        <v>Q1</v>
      </c>
      <c r="M76" s="3" t="str">
        <f t="shared" si="4"/>
        <v>Wednesday</v>
      </c>
      <c r="N76" s="3" t="str">
        <f t="shared" si="5"/>
        <v>No</v>
      </c>
      <c r="O76" s="3" t="str">
        <f>IF(COUNTIF($B:$B,B76)=1,"New Customer",
IF(COUNTIF($B:$B,B76)&lt;=3,"Returning Customer","Loyal Customer"))</f>
        <v>New Customer</v>
      </c>
      <c r="P76" s="3" t="str">
        <f>IF(cf_cl[[#This Row],[referred_claim]]="Yes","Referred","Not Referred")</f>
        <v>Referred</v>
      </c>
    </row>
    <row r="77" spans="1:16" x14ac:dyDescent="0.3">
      <c r="A77" t="s">
        <v>167</v>
      </c>
      <c r="B77" t="s">
        <v>168</v>
      </c>
      <c r="C77" s="1">
        <v>45113</v>
      </c>
      <c r="D77" t="s">
        <v>25</v>
      </c>
      <c r="E77">
        <v>4</v>
      </c>
      <c r="F77" s="3" t="s">
        <v>10</v>
      </c>
      <c r="G77" s="3" t="s">
        <v>13</v>
      </c>
      <c r="H77" s="3" t="str">
        <f>IF(cf_cl[[#This Row],[satisfaction_score]]&gt;=4,"Happy",IF(cf_cl[[#This Row],[satisfaction_score]]=3,"Neutral","Negative"))</f>
        <v>Happy</v>
      </c>
      <c r="I77" s="3" t="str">
        <f>IF(cf_cl[[#This Row],[satisfaction_score]]&lt;=2,"Low",IF(cf_cl[[#This Row],[satisfaction_score]]=3,"Medium","High"))</f>
        <v>High</v>
      </c>
      <c r="J77">
        <f>YEAR(cf_cl[[#This Row],[date_submitted]])</f>
        <v>2023</v>
      </c>
      <c r="K77" s="3" t="str">
        <f>TEXT(cf_cl[[#This Row],[date_submitted]],"mmm")</f>
        <v>Jul</v>
      </c>
      <c r="L77" s="3" t="str">
        <f t="shared" si="3"/>
        <v>Q3</v>
      </c>
      <c r="M77" s="3" t="str">
        <f t="shared" si="4"/>
        <v>Thursday</v>
      </c>
      <c r="N77" s="3" t="str">
        <f t="shared" si="5"/>
        <v>No</v>
      </c>
      <c r="O77" s="3" t="str">
        <f>IF(COUNTIF($B:$B,B77)=1,"New Customer",
IF(COUNTIF($B:$B,B77)&lt;=3,"Returning Customer","Loyal Customer"))</f>
        <v>New Customer</v>
      </c>
      <c r="P77" s="3" t="str">
        <f>IF(cf_cl[[#This Row],[referred_claim]]="Yes","Referred","Not Referred")</f>
        <v>Not Referred</v>
      </c>
    </row>
    <row r="78" spans="1:16" x14ac:dyDescent="0.3">
      <c r="A78" t="s">
        <v>169</v>
      </c>
      <c r="B78" t="s">
        <v>170</v>
      </c>
      <c r="C78" s="1">
        <v>44560</v>
      </c>
      <c r="D78" t="s">
        <v>22</v>
      </c>
      <c r="E78">
        <v>5</v>
      </c>
      <c r="F78" s="3" t="s">
        <v>13</v>
      </c>
      <c r="G78" s="3" t="s">
        <v>13</v>
      </c>
      <c r="H78" s="3" t="str">
        <f>IF(cf_cl[[#This Row],[satisfaction_score]]&gt;=4,"Happy",IF(cf_cl[[#This Row],[satisfaction_score]]=3,"Neutral","Negative"))</f>
        <v>Happy</v>
      </c>
      <c r="I78" s="3" t="str">
        <f>IF(cf_cl[[#This Row],[satisfaction_score]]&lt;=2,"Low",IF(cf_cl[[#This Row],[satisfaction_score]]=3,"Medium","High"))</f>
        <v>High</v>
      </c>
      <c r="J78">
        <f>YEAR(cf_cl[[#This Row],[date_submitted]])</f>
        <v>2021</v>
      </c>
      <c r="K78" s="3" t="str">
        <f>TEXT(cf_cl[[#This Row],[date_submitted]],"mmm")</f>
        <v>Dec</v>
      </c>
      <c r="L78" s="3" t="str">
        <f t="shared" si="3"/>
        <v>Q4</v>
      </c>
      <c r="M78" s="3" t="str">
        <f t="shared" si="4"/>
        <v>Thursday</v>
      </c>
      <c r="N78" s="3" t="str">
        <f t="shared" si="5"/>
        <v>No</v>
      </c>
      <c r="O78" s="3" t="str">
        <f>IF(COUNTIF($B:$B,B78)=1,"New Customer",
IF(COUNTIF($B:$B,B78)&lt;=3,"Returning Customer","Loyal Customer"))</f>
        <v>New Customer</v>
      </c>
      <c r="P78" s="3" t="str">
        <f>IF(cf_cl[[#This Row],[referred_claim]]="Yes","Referred","Not Referred")</f>
        <v>Not Referred</v>
      </c>
    </row>
    <row r="79" spans="1:16" x14ac:dyDescent="0.3">
      <c r="A79" t="s">
        <v>171</v>
      </c>
      <c r="B79" t="s">
        <v>172</v>
      </c>
      <c r="C79" s="1">
        <v>45050</v>
      </c>
      <c r="D79" t="s">
        <v>9</v>
      </c>
      <c r="E79">
        <v>1</v>
      </c>
      <c r="F79" s="3" t="s">
        <v>13</v>
      </c>
      <c r="G79" s="3" t="s">
        <v>10</v>
      </c>
      <c r="H79" s="3" t="str">
        <f>IF(cf_cl[[#This Row],[satisfaction_score]]&gt;=4,"Happy",IF(cf_cl[[#This Row],[satisfaction_score]]=3,"Neutral","Negative"))</f>
        <v>Negative</v>
      </c>
      <c r="I79" s="3" t="str">
        <f>IF(cf_cl[[#This Row],[satisfaction_score]]&lt;=2,"Low",IF(cf_cl[[#This Row],[satisfaction_score]]=3,"Medium","High"))</f>
        <v>Low</v>
      </c>
      <c r="J79">
        <f>YEAR(cf_cl[[#This Row],[date_submitted]])</f>
        <v>2023</v>
      </c>
      <c r="K79" s="3" t="str">
        <f>TEXT(cf_cl[[#This Row],[date_submitted]],"mmm")</f>
        <v>May</v>
      </c>
      <c r="L79" s="3" t="str">
        <f t="shared" si="3"/>
        <v>Q2</v>
      </c>
      <c r="M79" s="3" t="str">
        <f t="shared" si="4"/>
        <v>Thursday</v>
      </c>
      <c r="N79" s="3" t="str">
        <f t="shared" si="5"/>
        <v>Yes</v>
      </c>
      <c r="O79" s="3" t="str">
        <f>IF(COUNTIF($B:$B,B79)=1,"New Customer",
IF(COUNTIF($B:$B,B79)&lt;=3,"Returning Customer","Loyal Customer"))</f>
        <v>Returning Customer</v>
      </c>
      <c r="P79" s="3" t="str">
        <f>IF(cf_cl[[#This Row],[referred_claim]]="Yes","Referred","Not Referred")</f>
        <v>Referred</v>
      </c>
    </row>
    <row r="80" spans="1:16" x14ac:dyDescent="0.3">
      <c r="A80" t="s">
        <v>173</v>
      </c>
      <c r="B80" t="s">
        <v>174</v>
      </c>
      <c r="C80" s="1">
        <v>44089</v>
      </c>
      <c r="D80" t="s">
        <v>28</v>
      </c>
      <c r="E80">
        <v>5</v>
      </c>
      <c r="F80" s="3" t="s">
        <v>10</v>
      </c>
      <c r="G80" s="3" t="s">
        <v>13</v>
      </c>
      <c r="H80" s="3" t="str">
        <f>IF(cf_cl[[#This Row],[satisfaction_score]]&gt;=4,"Happy",IF(cf_cl[[#This Row],[satisfaction_score]]=3,"Neutral","Negative"))</f>
        <v>Happy</v>
      </c>
      <c r="I80" s="3" t="str">
        <f>IF(cf_cl[[#This Row],[satisfaction_score]]&lt;=2,"Low",IF(cf_cl[[#This Row],[satisfaction_score]]=3,"Medium","High"))</f>
        <v>High</v>
      </c>
      <c r="J80">
        <f>YEAR(cf_cl[[#This Row],[date_submitted]])</f>
        <v>2020</v>
      </c>
      <c r="K80" s="3" t="str">
        <f>TEXT(cf_cl[[#This Row],[date_submitted]],"mmm")</f>
        <v>Sep</v>
      </c>
      <c r="L80" s="3" t="str">
        <f t="shared" si="3"/>
        <v>Q3</v>
      </c>
      <c r="M80" s="3" t="str">
        <f t="shared" si="4"/>
        <v>Tuesday</v>
      </c>
      <c r="N80" s="3" t="str">
        <f t="shared" si="5"/>
        <v>No</v>
      </c>
      <c r="O80" s="3" t="str">
        <f>IF(COUNTIF($B:$B,B80)=1,"New Customer",
IF(COUNTIF($B:$B,B80)&lt;=3,"Returning Customer","Loyal Customer"))</f>
        <v>New Customer</v>
      </c>
      <c r="P80" s="3" t="str">
        <f>IF(cf_cl[[#This Row],[referred_claim]]="Yes","Referred","Not Referred")</f>
        <v>Not Referred</v>
      </c>
    </row>
    <row r="81" spans="1:16" x14ac:dyDescent="0.3">
      <c r="A81" t="s">
        <v>175</v>
      </c>
      <c r="B81" t="s">
        <v>176</v>
      </c>
      <c r="C81" s="1">
        <v>44383</v>
      </c>
      <c r="D81" t="s">
        <v>28</v>
      </c>
      <c r="E81">
        <v>5</v>
      </c>
      <c r="F81" s="3" t="s">
        <v>13</v>
      </c>
      <c r="G81" s="3" t="s">
        <v>10</v>
      </c>
      <c r="H81" s="3" t="str">
        <f>IF(cf_cl[[#This Row],[satisfaction_score]]&gt;=4,"Happy",IF(cf_cl[[#This Row],[satisfaction_score]]=3,"Neutral","Negative"))</f>
        <v>Happy</v>
      </c>
      <c r="I81" s="3" t="str">
        <f>IF(cf_cl[[#This Row],[satisfaction_score]]&lt;=2,"Low",IF(cf_cl[[#This Row],[satisfaction_score]]=3,"Medium","High"))</f>
        <v>High</v>
      </c>
      <c r="J81">
        <f>YEAR(cf_cl[[#This Row],[date_submitted]])</f>
        <v>2021</v>
      </c>
      <c r="K81" s="3" t="str">
        <f>TEXT(cf_cl[[#This Row],[date_submitted]],"mmm")</f>
        <v>Jul</v>
      </c>
      <c r="L81" s="3" t="str">
        <f t="shared" si="3"/>
        <v>Q3</v>
      </c>
      <c r="M81" s="3" t="str">
        <f t="shared" si="4"/>
        <v>Tuesday</v>
      </c>
      <c r="N81" s="3" t="str">
        <f t="shared" si="5"/>
        <v>No</v>
      </c>
      <c r="O81" s="3" t="str">
        <f>IF(COUNTIF($B:$B,B81)=1,"New Customer",
IF(COUNTIF($B:$B,B81)&lt;=3,"Returning Customer","Loyal Customer"))</f>
        <v>New Customer</v>
      </c>
      <c r="P81" s="3" t="str">
        <f>IF(cf_cl[[#This Row],[referred_claim]]="Yes","Referred","Not Referred")</f>
        <v>Referred</v>
      </c>
    </row>
    <row r="82" spans="1:16" x14ac:dyDescent="0.3">
      <c r="A82" t="s">
        <v>177</v>
      </c>
      <c r="B82" t="s">
        <v>178</v>
      </c>
      <c r="C82" s="1">
        <v>44837</v>
      </c>
      <c r="D82" t="s">
        <v>83</v>
      </c>
      <c r="E82">
        <v>2</v>
      </c>
      <c r="F82" s="3" t="s">
        <v>10</v>
      </c>
      <c r="G82" s="3" t="s">
        <v>10</v>
      </c>
      <c r="H82" s="3" t="str">
        <f>IF(cf_cl[[#This Row],[satisfaction_score]]&gt;=4,"Happy",IF(cf_cl[[#This Row],[satisfaction_score]]=3,"Neutral","Negative"))</f>
        <v>Negative</v>
      </c>
      <c r="I82" s="3" t="str">
        <f>IF(cf_cl[[#This Row],[satisfaction_score]]&lt;=2,"Low",IF(cf_cl[[#This Row],[satisfaction_score]]=3,"Medium","High"))</f>
        <v>Low</v>
      </c>
      <c r="J82">
        <f>YEAR(cf_cl[[#This Row],[date_submitted]])</f>
        <v>2022</v>
      </c>
      <c r="K82" s="3" t="str">
        <f>TEXT(cf_cl[[#This Row],[date_submitted]],"mmm")</f>
        <v>Oct</v>
      </c>
      <c r="L82" s="3" t="str">
        <f t="shared" si="3"/>
        <v>Q4</v>
      </c>
      <c r="M82" s="3" t="str">
        <f t="shared" si="4"/>
        <v>Monday</v>
      </c>
      <c r="N82" s="3" t="str">
        <f t="shared" si="5"/>
        <v>Yes</v>
      </c>
      <c r="O82" s="3" t="str">
        <f>IF(COUNTIF($B:$B,B82)=1,"New Customer",
IF(COUNTIF($B:$B,B82)&lt;=3,"Returning Customer","Loyal Customer"))</f>
        <v>Returning Customer</v>
      </c>
      <c r="P82" s="3" t="str">
        <f>IF(cf_cl[[#This Row],[referred_claim]]="Yes","Referred","Not Referred")</f>
        <v>Referred</v>
      </c>
    </row>
    <row r="83" spans="1:16" x14ac:dyDescent="0.3">
      <c r="A83" t="s">
        <v>179</v>
      </c>
      <c r="B83" t="s">
        <v>180</v>
      </c>
      <c r="C83" s="1">
        <v>44678</v>
      </c>
      <c r="D83" t="s">
        <v>25</v>
      </c>
      <c r="E83">
        <v>4</v>
      </c>
      <c r="F83" s="3" t="s">
        <v>13</v>
      </c>
      <c r="G83" s="3" t="s">
        <v>10</v>
      </c>
      <c r="H83" s="3" t="str">
        <f>IF(cf_cl[[#This Row],[satisfaction_score]]&gt;=4,"Happy",IF(cf_cl[[#This Row],[satisfaction_score]]=3,"Neutral","Negative"))</f>
        <v>Happy</v>
      </c>
      <c r="I83" s="3" t="str">
        <f>IF(cf_cl[[#This Row],[satisfaction_score]]&lt;=2,"Low",IF(cf_cl[[#This Row],[satisfaction_score]]=3,"Medium","High"))</f>
        <v>High</v>
      </c>
      <c r="J83">
        <f>YEAR(cf_cl[[#This Row],[date_submitted]])</f>
        <v>2022</v>
      </c>
      <c r="K83" s="3" t="str">
        <f>TEXT(cf_cl[[#This Row],[date_submitted]],"mmm")</f>
        <v>Apr</v>
      </c>
      <c r="L83" s="3" t="str">
        <f t="shared" si="3"/>
        <v>Q2</v>
      </c>
      <c r="M83" s="3" t="str">
        <f t="shared" si="4"/>
        <v>Wednesday</v>
      </c>
      <c r="N83" s="3" t="str">
        <f t="shared" si="5"/>
        <v>No</v>
      </c>
      <c r="O83" s="3" t="str">
        <f>IF(COUNTIF($B:$B,B83)=1,"New Customer",
IF(COUNTIF($B:$B,B83)&lt;=3,"Returning Customer","Loyal Customer"))</f>
        <v>New Customer</v>
      </c>
      <c r="P83" s="3" t="str">
        <f>IF(cf_cl[[#This Row],[referred_claim]]="Yes","Referred","Not Referred")</f>
        <v>Referred</v>
      </c>
    </row>
    <row r="84" spans="1:16" x14ac:dyDescent="0.3">
      <c r="A84" t="s">
        <v>181</v>
      </c>
      <c r="B84" t="s">
        <v>182</v>
      </c>
      <c r="C84" s="1">
        <v>45198</v>
      </c>
      <c r="D84" t="s">
        <v>37</v>
      </c>
      <c r="E84">
        <v>4</v>
      </c>
      <c r="F84" s="3" t="s">
        <v>10</v>
      </c>
      <c r="G84" s="3" t="s">
        <v>10</v>
      </c>
      <c r="H84" s="3" t="str">
        <f>IF(cf_cl[[#This Row],[satisfaction_score]]&gt;=4,"Happy",IF(cf_cl[[#This Row],[satisfaction_score]]=3,"Neutral","Negative"))</f>
        <v>Happy</v>
      </c>
      <c r="I84" s="3" t="str">
        <f>IF(cf_cl[[#This Row],[satisfaction_score]]&lt;=2,"Low",IF(cf_cl[[#This Row],[satisfaction_score]]=3,"Medium","High"))</f>
        <v>High</v>
      </c>
      <c r="J84">
        <f>YEAR(cf_cl[[#This Row],[date_submitted]])</f>
        <v>2023</v>
      </c>
      <c r="K84" s="3" t="str">
        <f>TEXT(cf_cl[[#This Row],[date_submitted]],"mmm")</f>
        <v>Sep</v>
      </c>
      <c r="L84" s="3" t="str">
        <f t="shared" si="3"/>
        <v>Q3</v>
      </c>
      <c r="M84" s="3" t="str">
        <f t="shared" si="4"/>
        <v>Friday</v>
      </c>
      <c r="N84" s="3" t="str">
        <f t="shared" si="5"/>
        <v>No</v>
      </c>
      <c r="O84" s="3" t="str">
        <f>IF(COUNTIF($B:$B,B84)=1,"New Customer",
IF(COUNTIF($B:$B,B84)&lt;=3,"Returning Customer","Loyal Customer"))</f>
        <v>Returning Customer</v>
      </c>
      <c r="P84" s="3" t="str">
        <f>IF(cf_cl[[#This Row],[referred_claim]]="Yes","Referred","Not Referred")</f>
        <v>Referred</v>
      </c>
    </row>
    <row r="85" spans="1:16" x14ac:dyDescent="0.3">
      <c r="A85" t="s">
        <v>183</v>
      </c>
      <c r="B85" t="s">
        <v>184</v>
      </c>
      <c r="C85" s="1">
        <v>44069</v>
      </c>
      <c r="D85" t="s">
        <v>28</v>
      </c>
      <c r="E85">
        <v>5</v>
      </c>
      <c r="F85" s="3" t="s">
        <v>13</v>
      </c>
      <c r="G85" s="3" t="s">
        <v>13</v>
      </c>
      <c r="H85" s="3" t="str">
        <f>IF(cf_cl[[#This Row],[satisfaction_score]]&gt;=4,"Happy",IF(cf_cl[[#This Row],[satisfaction_score]]=3,"Neutral","Negative"))</f>
        <v>Happy</v>
      </c>
      <c r="I85" s="3" t="str">
        <f>IF(cf_cl[[#This Row],[satisfaction_score]]&lt;=2,"Low",IF(cf_cl[[#This Row],[satisfaction_score]]=3,"Medium","High"))</f>
        <v>High</v>
      </c>
      <c r="J85">
        <f>YEAR(cf_cl[[#This Row],[date_submitted]])</f>
        <v>2020</v>
      </c>
      <c r="K85" s="3" t="str">
        <f>TEXT(cf_cl[[#This Row],[date_submitted]],"mmm")</f>
        <v>Aug</v>
      </c>
      <c r="L85" s="3" t="str">
        <f t="shared" si="3"/>
        <v>Q3</v>
      </c>
      <c r="M85" s="3" t="str">
        <f t="shared" si="4"/>
        <v>Wednesday</v>
      </c>
      <c r="N85" s="3" t="str">
        <f t="shared" si="5"/>
        <v>No</v>
      </c>
      <c r="O85" s="3" t="str">
        <f>IF(COUNTIF($B:$B,B85)=1,"New Customer",
IF(COUNTIF($B:$B,B85)&lt;=3,"Returning Customer","Loyal Customer"))</f>
        <v>New Customer</v>
      </c>
      <c r="P85" s="3" t="str">
        <f>IF(cf_cl[[#This Row],[referred_claim]]="Yes","Referred","Not Referred")</f>
        <v>Not Referred</v>
      </c>
    </row>
    <row r="86" spans="1:16" x14ac:dyDescent="0.3">
      <c r="A86" t="s">
        <v>185</v>
      </c>
      <c r="B86" t="s">
        <v>186</v>
      </c>
      <c r="C86" s="1">
        <v>43871</v>
      </c>
      <c r="D86" t="s">
        <v>37</v>
      </c>
      <c r="E86">
        <v>4</v>
      </c>
      <c r="F86" s="3" t="s">
        <v>13</v>
      </c>
      <c r="G86" s="3" t="s">
        <v>10</v>
      </c>
      <c r="H86" s="3" t="str">
        <f>IF(cf_cl[[#This Row],[satisfaction_score]]&gt;=4,"Happy",IF(cf_cl[[#This Row],[satisfaction_score]]=3,"Neutral","Negative"))</f>
        <v>Happy</v>
      </c>
      <c r="I86" s="3" t="str">
        <f>IF(cf_cl[[#This Row],[satisfaction_score]]&lt;=2,"Low",IF(cf_cl[[#This Row],[satisfaction_score]]=3,"Medium","High"))</f>
        <v>High</v>
      </c>
      <c r="J86">
        <f>YEAR(cf_cl[[#This Row],[date_submitted]])</f>
        <v>2020</v>
      </c>
      <c r="K86" s="3" t="str">
        <f>TEXT(cf_cl[[#This Row],[date_submitted]],"mmm")</f>
        <v>Feb</v>
      </c>
      <c r="L86" s="3" t="str">
        <f t="shared" si="3"/>
        <v>Q1</v>
      </c>
      <c r="M86" s="3" t="str">
        <f t="shared" si="4"/>
        <v>Monday</v>
      </c>
      <c r="N86" s="3" t="str">
        <f t="shared" si="5"/>
        <v>No</v>
      </c>
      <c r="O86" s="3" t="str">
        <f>IF(COUNTIF($B:$B,B86)=1,"New Customer",
IF(COUNTIF($B:$B,B86)&lt;=3,"Returning Customer","Loyal Customer"))</f>
        <v>New Customer</v>
      </c>
      <c r="P86" s="3" t="str">
        <f>IF(cf_cl[[#This Row],[referred_claim]]="Yes","Referred","Not Referred")</f>
        <v>Referred</v>
      </c>
    </row>
    <row r="87" spans="1:16" x14ac:dyDescent="0.3">
      <c r="A87" t="s">
        <v>187</v>
      </c>
      <c r="B87" t="s">
        <v>188</v>
      </c>
      <c r="C87" s="1">
        <v>44510</v>
      </c>
      <c r="D87" t="s">
        <v>22</v>
      </c>
      <c r="E87">
        <v>5</v>
      </c>
      <c r="F87" s="3" t="s">
        <v>13</v>
      </c>
      <c r="G87" s="3" t="s">
        <v>10</v>
      </c>
      <c r="H87" s="3" t="str">
        <f>IF(cf_cl[[#This Row],[satisfaction_score]]&gt;=4,"Happy",IF(cf_cl[[#This Row],[satisfaction_score]]=3,"Neutral","Negative"))</f>
        <v>Happy</v>
      </c>
      <c r="I87" s="3" t="str">
        <f>IF(cf_cl[[#This Row],[satisfaction_score]]&lt;=2,"Low",IF(cf_cl[[#This Row],[satisfaction_score]]=3,"Medium","High"))</f>
        <v>High</v>
      </c>
      <c r="J87">
        <f>YEAR(cf_cl[[#This Row],[date_submitted]])</f>
        <v>2021</v>
      </c>
      <c r="K87" s="3" t="str">
        <f>TEXT(cf_cl[[#This Row],[date_submitted]],"mmm")</f>
        <v>Nov</v>
      </c>
      <c r="L87" s="3" t="str">
        <f t="shared" si="3"/>
        <v>Q4</v>
      </c>
      <c r="M87" s="3" t="str">
        <f t="shared" si="4"/>
        <v>Wednesday</v>
      </c>
      <c r="N87" s="3" t="str">
        <f t="shared" si="5"/>
        <v>No</v>
      </c>
      <c r="O87" s="3" t="str">
        <f>IF(COUNTIF($B:$B,B87)=1,"New Customer",
IF(COUNTIF($B:$B,B87)&lt;=3,"Returning Customer","Loyal Customer"))</f>
        <v>New Customer</v>
      </c>
      <c r="P87" s="3" t="str">
        <f>IF(cf_cl[[#This Row],[referred_claim]]="Yes","Referred","Not Referred")</f>
        <v>Referred</v>
      </c>
    </row>
    <row r="88" spans="1:16" x14ac:dyDescent="0.3">
      <c r="A88" t="s">
        <v>189</v>
      </c>
      <c r="B88" t="s">
        <v>190</v>
      </c>
      <c r="C88" s="1">
        <v>44630</v>
      </c>
      <c r="D88" t="s">
        <v>68</v>
      </c>
      <c r="E88">
        <v>2</v>
      </c>
      <c r="F88" s="3" t="s">
        <v>10</v>
      </c>
      <c r="G88" s="3" t="s">
        <v>13</v>
      </c>
      <c r="H88" s="3" t="str">
        <f>IF(cf_cl[[#This Row],[satisfaction_score]]&gt;=4,"Happy",IF(cf_cl[[#This Row],[satisfaction_score]]=3,"Neutral","Negative"))</f>
        <v>Negative</v>
      </c>
      <c r="I88" s="3" t="str">
        <f>IF(cf_cl[[#This Row],[satisfaction_score]]&lt;=2,"Low",IF(cf_cl[[#This Row],[satisfaction_score]]=3,"Medium","High"))</f>
        <v>Low</v>
      </c>
      <c r="J88">
        <f>YEAR(cf_cl[[#This Row],[date_submitted]])</f>
        <v>2022</v>
      </c>
      <c r="K88" s="3" t="str">
        <f>TEXT(cf_cl[[#This Row],[date_submitted]],"mmm")</f>
        <v>Mar</v>
      </c>
      <c r="L88" s="3" t="str">
        <f t="shared" si="3"/>
        <v>Q1</v>
      </c>
      <c r="M88" s="3" t="str">
        <f t="shared" si="4"/>
        <v>Thursday</v>
      </c>
      <c r="N88" s="3" t="str">
        <f t="shared" si="5"/>
        <v>Yes</v>
      </c>
      <c r="O88" s="3" t="str">
        <f>IF(COUNTIF($B:$B,B88)=1,"New Customer",
IF(COUNTIF($B:$B,B88)&lt;=3,"Returning Customer","Loyal Customer"))</f>
        <v>New Customer</v>
      </c>
      <c r="P88" s="3" t="str">
        <f>IF(cf_cl[[#This Row],[referred_claim]]="Yes","Referred","Not Referred")</f>
        <v>Not Referred</v>
      </c>
    </row>
    <row r="89" spans="1:16" x14ac:dyDescent="0.3">
      <c r="A89" t="s">
        <v>191</v>
      </c>
      <c r="B89" t="s">
        <v>192</v>
      </c>
      <c r="C89" s="1">
        <v>44389</v>
      </c>
      <c r="D89" t="s">
        <v>68</v>
      </c>
      <c r="E89">
        <v>2</v>
      </c>
      <c r="F89" s="3" t="s">
        <v>13</v>
      </c>
      <c r="G89" s="3" t="s">
        <v>10</v>
      </c>
      <c r="H89" s="3" t="str">
        <f>IF(cf_cl[[#This Row],[satisfaction_score]]&gt;=4,"Happy",IF(cf_cl[[#This Row],[satisfaction_score]]=3,"Neutral","Negative"))</f>
        <v>Negative</v>
      </c>
      <c r="I89" s="3" t="str">
        <f>IF(cf_cl[[#This Row],[satisfaction_score]]&lt;=2,"Low",IF(cf_cl[[#This Row],[satisfaction_score]]=3,"Medium","High"))</f>
        <v>Low</v>
      </c>
      <c r="J89">
        <f>YEAR(cf_cl[[#This Row],[date_submitted]])</f>
        <v>2021</v>
      </c>
      <c r="K89" s="3" t="str">
        <f>TEXT(cf_cl[[#This Row],[date_submitted]],"mmm")</f>
        <v>Jul</v>
      </c>
      <c r="L89" s="3" t="str">
        <f t="shared" si="3"/>
        <v>Q3</v>
      </c>
      <c r="M89" s="3" t="str">
        <f t="shared" si="4"/>
        <v>Monday</v>
      </c>
      <c r="N89" s="3" t="str">
        <f t="shared" si="5"/>
        <v>Yes</v>
      </c>
      <c r="O89" s="3" t="str">
        <f>IF(COUNTIF($B:$B,B89)=1,"New Customer",
IF(COUNTIF($B:$B,B89)&lt;=3,"Returning Customer","Loyal Customer"))</f>
        <v>New Customer</v>
      </c>
      <c r="P89" s="3" t="str">
        <f>IF(cf_cl[[#This Row],[referred_claim]]="Yes","Referred","Not Referred")</f>
        <v>Referred</v>
      </c>
    </row>
    <row r="90" spans="1:16" x14ac:dyDescent="0.3">
      <c r="A90" t="s">
        <v>193</v>
      </c>
      <c r="B90" t="s">
        <v>194</v>
      </c>
      <c r="C90" s="1">
        <v>44433</v>
      </c>
      <c r="D90" t="s">
        <v>25</v>
      </c>
      <c r="E90">
        <v>4</v>
      </c>
      <c r="F90" s="3" t="s">
        <v>10</v>
      </c>
      <c r="G90" s="3" t="s">
        <v>10</v>
      </c>
      <c r="H90" s="3" t="str">
        <f>IF(cf_cl[[#This Row],[satisfaction_score]]&gt;=4,"Happy",IF(cf_cl[[#This Row],[satisfaction_score]]=3,"Neutral","Negative"))</f>
        <v>Happy</v>
      </c>
      <c r="I90" s="3" t="str">
        <f>IF(cf_cl[[#This Row],[satisfaction_score]]&lt;=2,"Low",IF(cf_cl[[#This Row],[satisfaction_score]]=3,"Medium","High"))</f>
        <v>High</v>
      </c>
      <c r="J90">
        <f>YEAR(cf_cl[[#This Row],[date_submitted]])</f>
        <v>2021</v>
      </c>
      <c r="K90" s="3" t="str">
        <f>TEXT(cf_cl[[#This Row],[date_submitted]],"mmm")</f>
        <v>Aug</v>
      </c>
      <c r="L90" s="3" t="str">
        <f t="shared" si="3"/>
        <v>Q3</v>
      </c>
      <c r="M90" s="3" t="str">
        <f t="shared" si="4"/>
        <v>Wednesday</v>
      </c>
      <c r="N90" s="3" t="str">
        <f t="shared" si="5"/>
        <v>No</v>
      </c>
      <c r="O90" s="3" t="str">
        <f>IF(COUNTIF($B:$B,B90)=1,"New Customer",
IF(COUNTIF($B:$B,B90)&lt;=3,"Returning Customer","Loyal Customer"))</f>
        <v>Returning Customer</v>
      </c>
      <c r="P90" s="3" t="str">
        <f>IF(cf_cl[[#This Row],[referred_claim]]="Yes","Referred","Not Referred")</f>
        <v>Referred</v>
      </c>
    </row>
    <row r="91" spans="1:16" x14ac:dyDescent="0.3">
      <c r="A91" t="s">
        <v>195</v>
      </c>
      <c r="B91" t="s">
        <v>196</v>
      </c>
      <c r="C91" s="1">
        <v>44971</v>
      </c>
      <c r="D91" t="s">
        <v>31</v>
      </c>
      <c r="E91">
        <v>3</v>
      </c>
      <c r="F91" s="3" t="s">
        <v>10</v>
      </c>
      <c r="G91" s="3" t="s">
        <v>13</v>
      </c>
      <c r="H91" s="3" t="str">
        <f>IF(cf_cl[[#This Row],[satisfaction_score]]&gt;=4,"Happy",IF(cf_cl[[#This Row],[satisfaction_score]]=3,"Neutral","Negative"))</f>
        <v>Neutral</v>
      </c>
      <c r="I91" s="3" t="str">
        <f>IF(cf_cl[[#This Row],[satisfaction_score]]&lt;=2,"Low",IF(cf_cl[[#This Row],[satisfaction_score]]=3,"Medium","High"))</f>
        <v>Medium</v>
      </c>
      <c r="J91">
        <f>YEAR(cf_cl[[#This Row],[date_submitted]])</f>
        <v>2023</v>
      </c>
      <c r="K91" s="3" t="str">
        <f>TEXT(cf_cl[[#This Row],[date_submitted]],"mmm")</f>
        <v>Feb</v>
      </c>
      <c r="L91" s="3" t="str">
        <f t="shared" si="3"/>
        <v>Q1</v>
      </c>
      <c r="M91" s="3" t="str">
        <f t="shared" si="4"/>
        <v>Tuesday</v>
      </c>
      <c r="N91" s="3" t="str">
        <f t="shared" si="5"/>
        <v>No</v>
      </c>
      <c r="O91" s="3" t="str">
        <f>IF(COUNTIF($B:$B,B91)=1,"New Customer",
IF(COUNTIF($B:$B,B91)&lt;=3,"Returning Customer","Loyal Customer"))</f>
        <v>New Customer</v>
      </c>
      <c r="P91" s="3" t="str">
        <f>IF(cf_cl[[#This Row],[referred_claim]]="Yes","Referred","Not Referred")</f>
        <v>Not Referred</v>
      </c>
    </row>
    <row r="92" spans="1:16" x14ac:dyDescent="0.3">
      <c r="A92" t="s">
        <v>197</v>
      </c>
      <c r="B92" t="s">
        <v>198</v>
      </c>
      <c r="C92" s="1">
        <v>44594</v>
      </c>
      <c r="D92" t="s">
        <v>25</v>
      </c>
      <c r="E92">
        <v>4</v>
      </c>
      <c r="F92" s="3" t="s">
        <v>10</v>
      </c>
      <c r="G92" s="3" t="s">
        <v>13</v>
      </c>
      <c r="H92" s="3" t="str">
        <f>IF(cf_cl[[#This Row],[satisfaction_score]]&gt;=4,"Happy",IF(cf_cl[[#This Row],[satisfaction_score]]=3,"Neutral","Negative"))</f>
        <v>Happy</v>
      </c>
      <c r="I92" s="3" t="str">
        <f>IF(cf_cl[[#This Row],[satisfaction_score]]&lt;=2,"Low",IF(cf_cl[[#This Row],[satisfaction_score]]=3,"Medium","High"))</f>
        <v>High</v>
      </c>
      <c r="J92">
        <f>YEAR(cf_cl[[#This Row],[date_submitted]])</f>
        <v>2022</v>
      </c>
      <c r="K92" s="3" t="str">
        <f>TEXT(cf_cl[[#This Row],[date_submitted]],"mmm")</f>
        <v>Feb</v>
      </c>
      <c r="L92" s="3" t="str">
        <f t="shared" si="3"/>
        <v>Q1</v>
      </c>
      <c r="M92" s="3" t="str">
        <f t="shared" si="4"/>
        <v>Wednesday</v>
      </c>
      <c r="N92" s="3" t="str">
        <f t="shared" si="5"/>
        <v>No</v>
      </c>
      <c r="O92" s="3" t="str">
        <f>IF(COUNTIF($B:$B,B92)=1,"New Customer",
IF(COUNTIF($B:$B,B92)&lt;=3,"Returning Customer","Loyal Customer"))</f>
        <v>New Customer</v>
      </c>
      <c r="P92" s="3" t="str">
        <f>IF(cf_cl[[#This Row],[referred_claim]]="Yes","Referred","Not Referred")</f>
        <v>Not Referred</v>
      </c>
    </row>
    <row r="93" spans="1:16" x14ac:dyDescent="0.3">
      <c r="A93" t="s">
        <v>199</v>
      </c>
      <c r="B93" t="s">
        <v>200</v>
      </c>
      <c r="C93" s="1">
        <v>45206</v>
      </c>
      <c r="D93" t="s">
        <v>22</v>
      </c>
      <c r="E93">
        <v>5</v>
      </c>
      <c r="F93" s="3" t="s">
        <v>13</v>
      </c>
      <c r="G93" s="3" t="s">
        <v>13</v>
      </c>
      <c r="H93" s="3" t="str">
        <f>IF(cf_cl[[#This Row],[satisfaction_score]]&gt;=4,"Happy",IF(cf_cl[[#This Row],[satisfaction_score]]=3,"Neutral","Negative"))</f>
        <v>Happy</v>
      </c>
      <c r="I93" s="3" t="str">
        <f>IF(cf_cl[[#This Row],[satisfaction_score]]&lt;=2,"Low",IF(cf_cl[[#This Row],[satisfaction_score]]=3,"Medium","High"))</f>
        <v>High</v>
      </c>
      <c r="J93">
        <f>YEAR(cf_cl[[#This Row],[date_submitted]])</f>
        <v>2023</v>
      </c>
      <c r="K93" s="3" t="str">
        <f>TEXT(cf_cl[[#This Row],[date_submitted]],"mmm")</f>
        <v>Oct</v>
      </c>
      <c r="L93" s="3" t="str">
        <f t="shared" si="3"/>
        <v>Q4</v>
      </c>
      <c r="M93" s="3" t="str">
        <f t="shared" si="4"/>
        <v>Saturday</v>
      </c>
      <c r="N93" s="3" t="str">
        <f t="shared" si="5"/>
        <v>No</v>
      </c>
      <c r="O93" s="3" t="str">
        <f>IF(COUNTIF($B:$B,B93)=1,"New Customer",
IF(COUNTIF($B:$B,B93)&lt;=3,"Returning Customer","Loyal Customer"))</f>
        <v>New Customer</v>
      </c>
      <c r="P93" s="3" t="str">
        <f>IF(cf_cl[[#This Row],[referred_claim]]="Yes","Referred","Not Referred")</f>
        <v>Not Referred</v>
      </c>
    </row>
    <row r="94" spans="1:16" x14ac:dyDescent="0.3">
      <c r="A94" t="s">
        <v>201</v>
      </c>
      <c r="B94" t="s">
        <v>202</v>
      </c>
      <c r="C94" s="1">
        <v>43872</v>
      </c>
      <c r="D94" t="s">
        <v>31</v>
      </c>
      <c r="E94">
        <v>1</v>
      </c>
      <c r="F94" s="3" t="s">
        <v>13</v>
      </c>
      <c r="G94" s="3" t="s">
        <v>10</v>
      </c>
      <c r="H94" s="3" t="str">
        <f>IF(cf_cl[[#This Row],[satisfaction_score]]&gt;=4,"Happy",IF(cf_cl[[#This Row],[satisfaction_score]]=3,"Neutral","Negative"))</f>
        <v>Negative</v>
      </c>
      <c r="I94" s="3" t="str">
        <f>IF(cf_cl[[#This Row],[satisfaction_score]]&lt;=2,"Low",IF(cf_cl[[#This Row],[satisfaction_score]]=3,"Medium","High"))</f>
        <v>Low</v>
      </c>
      <c r="J94">
        <f>YEAR(cf_cl[[#This Row],[date_submitted]])</f>
        <v>2020</v>
      </c>
      <c r="K94" s="3" t="str">
        <f>TEXT(cf_cl[[#This Row],[date_submitted]],"mmm")</f>
        <v>Feb</v>
      </c>
      <c r="L94" s="3" t="str">
        <f t="shared" si="3"/>
        <v>Q1</v>
      </c>
      <c r="M94" s="3" t="str">
        <f t="shared" si="4"/>
        <v>Tuesday</v>
      </c>
      <c r="N94" s="3" t="str">
        <f t="shared" si="5"/>
        <v>Yes</v>
      </c>
      <c r="O94" s="3" t="str">
        <f>IF(COUNTIF($B:$B,B94)=1,"New Customer",
IF(COUNTIF($B:$B,B94)&lt;=3,"Returning Customer","Loyal Customer"))</f>
        <v>Returning Customer</v>
      </c>
      <c r="P94" s="3" t="str">
        <f>IF(cf_cl[[#This Row],[referred_claim]]="Yes","Referred","Not Referred")</f>
        <v>Referred</v>
      </c>
    </row>
    <row r="95" spans="1:16" x14ac:dyDescent="0.3">
      <c r="A95" t="s">
        <v>203</v>
      </c>
      <c r="B95" t="s">
        <v>204</v>
      </c>
      <c r="C95" s="1">
        <v>45184</v>
      </c>
      <c r="D95" t="s">
        <v>28</v>
      </c>
      <c r="E95">
        <v>5</v>
      </c>
      <c r="F95" s="3" t="s">
        <v>13</v>
      </c>
      <c r="G95" s="3" t="s">
        <v>10</v>
      </c>
      <c r="H95" s="3" t="str">
        <f>IF(cf_cl[[#This Row],[satisfaction_score]]&gt;=4,"Happy",IF(cf_cl[[#This Row],[satisfaction_score]]=3,"Neutral","Negative"))</f>
        <v>Happy</v>
      </c>
      <c r="I95" s="3" t="str">
        <f>IF(cf_cl[[#This Row],[satisfaction_score]]&lt;=2,"Low",IF(cf_cl[[#This Row],[satisfaction_score]]=3,"Medium","High"))</f>
        <v>High</v>
      </c>
      <c r="J95">
        <f>YEAR(cf_cl[[#This Row],[date_submitted]])</f>
        <v>2023</v>
      </c>
      <c r="K95" s="3" t="str">
        <f>TEXT(cf_cl[[#This Row],[date_submitted]],"mmm")</f>
        <v>Sep</v>
      </c>
      <c r="L95" s="3" t="str">
        <f t="shared" si="3"/>
        <v>Q3</v>
      </c>
      <c r="M95" s="3" t="str">
        <f t="shared" si="4"/>
        <v>Friday</v>
      </c>
      <c r="N95" s="3" t="str">
        <f t="shared" si="5"/>
        <v>No</v>
      </c>
      <c r="O95" s="3" t="str">
        <f>IF(COUNTIF($B:$B,B95)=1,"New Customer",
IF(COUNTIF($B:$B,B95)&lt;=3,"Returning Customer","Loyal Customer"))</f>
        <v>New Customer</v>
      </c>
      <c r="P95" s="3" t="str">
        <f>IF(cf_cl[[#This Row],[referred_claim]]="Yes","Referred","Not Referred")</f>
        <v>Referred</v>
      </c>
    </row>
    <row r="96" spans="1:16" x14ac:dyDescent="0.3">
      <c r="A96" t="s">
        <v>205</v>
      </c>
      <c r="B96" t="s">
        <v>206</v>
      </c>
      <c r="C96" s="1">
        <v>43978</v>
      </c>
      <c r="D96" t="s">
        <v>83</v>
      </c>
      <c r="E96">
        <v>3</v>
      </c>
      <c r="F96" s="3" t="s">
        <v>10</v>
      </c>
      <c r="G96" s="3" t="s">
        <v>13</v>
      </c>
      <c r="H96" s="3" t="str">
        <f>IF(cf_cl[[#This Row],[satisfaction_score]]&gt;=4,"Happy",IF(cf_cl[[#This Row],[satisfaction_score]]=3,"Neutral","Negative"))</f>
        <v>Neutral</v>
      </c>
      <c r="I96" s="3" t="str">
        <f>IF(cf_cl[[#This Row],[satisfaction_score]]&lt;=2,"Low",IF(cf_cl[[#This Row],[satisfaction_score]]=3,"Medium","High"))</f>
        <v>Medium</v>
      </c>
      <c r="J96">
        <f>YEAR(cf_cl[[#This Row],[date_submitted]])</f>
        <v>2020</v>
      </c>
      <c r="K96" s="3" t="str">
        <f>TEXT(cf_cl[[#This Row],[date_submitted]],"mmm")</f>
        <v>May</v>
      </c>
      <c r="L96" s="3" t="str">
        <f t="shared" si="3"/>
        <v>Q2</v>
      </c>
      <c r="M96" s="3" t="str">
        <f t="shared" si="4"/>
        <v>Wednesday</v>
      </c>
      <c r="N96" s="3" t="str">
        <f t="shared" si="5"/>
        <v>No</v>
      </c>
      <c r="O96" s="3" t="str">
        <f>IF(COUNTIF($B:$B,B96)=1,"New Customer",
IF(COUNTIF($B:$B,B96)&lt;=3,"Returning Customer","Loyal Customer"))</f>
        <v>New Customer</v>
      </c>
      <c r="P96" s="3" t="str">
        <f>IF(cf_cl[[#This Row],[referred_claim]]="Yes","Referred","Not Referred")</f>
        <v>Not Referred</v>
      </c>
    </row>
    <row r="97" spans="1:16" x14ac:dyDescent="0.3">
      <c r="A97" t="s">
        <v>207</v>
      </c>
      <c r="B97" t="s">
        <v>208</v>
      </c>
      <c r="C97" s="1">
        <v>44687</v>
      </c>
      <c r="D97" t="s">
        <v>9</v>
      </c>
      <c r="E97">
        <v>2</v>
      </c>
      <c r="F97" s="3" t="s">
        <v>10</v>
      </c>
      <c r="G97" s="3" t="s">
        <v>10</v>
      </c>
      <c r="H97" s="3" t="str">
        <f>IF(cf_cl[[#This Row],[satisfaction_score]]&gt;=4,"Happy",IF(cf_cl[[#This Row],[satisfaction_score]]=3,"Neutral","Negative"))</f>
        <v>Negative</v>
      </c>
      <c r="I97" s="3" t="str">
        <f>IF(cf_cl[[#This Row],[satisfaction_score]]&lt;=2,"Low",IF(cf_cl[[#This Row],[satisfaction_score]]=3,"Medium","High"))</f>
        <v>Low</v>
      </c>
      <c r="J97">
        <f>YEAR(cf_cl[[#This Row],[date_submitted]])</f>
        <v>2022</v>
      </c>
      <c r="K97" s="3" t="str">
        <f>TEXT(cf_cl[[#This Row],[date_submitted]],"mmm")</f>
        <v>May</v>
      </c>
      <c r="L97" s="3" t="str">
        <f t="shared" si="3"/>
        <v>Q2</v>
      </c>
      <c r="M97" s="3" t="str">
        <f t="shared" si="4"/>
        <v>Friday</v>
      </c>
      <c r="N97" s="3" t="str">
        <f t="shared" si="5"/>
        <v>Yes</v>
      </c>
      <c r="O97" s="3" t="str">
        <f>IF(COUNTIF($B:$B,B97)=1,"New Customer",
IF(COUNTIF($B:$B,B97)&lt;=3,"Returning Customer","Loyal Customer"))</f>
        <v>New Customer</v>
      </c>
      <c r="P97" s="3" t="str">
        <f>IF(cf_cl[[#This Row],[referred_claim]]="Yes","Referred","Not Referred")</f>
        <v>Referred</v>
      </c>
    </row>
    <row r="98" spans="1:16" x14ac:dyDescent="0.3">
      <c r="A98" t="s">
        <v>209</v>
      </c>
      <c r="B98" t="s">
        <v>210</v>
      </c>
      <c r="C98" s="1">
        <v>45112</v>
      </c>
      <c r="D98" t="s">
        <v>31</v>
      </c>
      <c r="E98">
        <v>2</v>
      </c>
      <c r="F98" s="3" t="s">
        <v>13</v>
      </c>
      <c r="G98" s="3" t="s">
        <v>10</v>
      </c>
      <c r="H98" s="3" t="str">
        <f>IF(cf_cl[[#This Row],[satisfaction_score]]&gt;=4,"Happy",IF(cf_cl[[#This Row],[satisfaction_score]]=3,"Neutral","Negative"))</f>
        <v>Negative</v>
      </c>
      <c r="I98" s="3" t="str">
        <f>IF(cf_cl[[#This Row],[satisfaction_score]]&lt;=2,"Low",IF(cf_cl[[#This Row],[satisfaction_score]]=3,"Medium","High"))</f>
        <v>Low</v>
      </c>
      <c r="J98">
        <f>YEAR(cf_cl[[#This Row],[date_submitted]])</f>
        <v>2023</v>
      </c>
      <c r="K98" s="3" t="str">
        <f>TEXT(cf_cl[[#This Row],[date_submitted]],"mmm")</f>
        <v>Jul</v>
      </c>
      <c r="L98" s="3" t="str">
        <f t="shared" si="3"/>
        <v>Q3</v>
      </c>
      <c r="M98" s="3" t="str">
        <f t="shared" si="4"/>
        <v>Wednesday</v>
      </c>
      <c r="N98" s="3" t="str">
        <f t="shared" si="5"/>
        <v>Yes</v>
      </c>
      <c r="O98" s="3" t="str">
        <f>IF(COUNTIF($B:$B,B98)=1,"New Customer",
IF(COUNTIF($B:$B,B98)&lt;=3,"Returning Customer","Loyal Customer"))</f>
        <v>New Customer</v>
      </c>
      <c r="P98" s="3" t="str">
        <f>IF(cf_cl[[#This Row],[referred_claim]]="Yes","Referred","Not Referred")</f>
        <v>Referred</v>
      </c>
    </row>
    <row r="99" spans="1:16" x14ac:dyDescent="0.3">
      <c r="A99" t="s">
        <v>211</v>
      </c>
      <c r="B99" t="s">
        <v>212</v>
      </c>
      <c r="C99" s="1">
        <v>44112</v>
      </c>
      <c r="D99" t="s">
        <v>16</v>
      </c>
      <c r="E99">
        <v>4</v>
      </c>
      <c r="F99" s="3" t="s">
        <v>13</v>
      </c>
      <c r="G99" s="3" t="s">
        <v>10</v>
      </c>
      <c r="H99" s="3" t="str">
        <f>IF(cf_cl[[#This Row],[satisfaction_score]]&gt;=4,"Happy",IF(cf_cl[[#This Row],[satisfaction_score]]=3,"Neutral","Negative"))</f>
        <v>Happy</v>
      </c>
      <c r="I99" s="3" t="str">
        <f>IF(cf_cl[[#This Row],[satisfaction_score]]&lt;=2,"Low",IF(cf_cl[[#This Row],[satisfaction_score]]=3,"Medium","High"))</f>
        <v>High</v>
      </c>
      <c r="J99">
        <f>YEAR(cf_cl[[#This Row],[date_submitted]])</f>
        <v>2020</v>
      </c>
      <c r="K99" s="3" t="str">
        <f>TEXT(cf_cl[[#This Row],[date_submitted]],"mmm")</f>
        <v>Oct</v>
      </c>
      <c r="L99" s="3" t="str">
        <f t="shared" si="3"/>
        <v>Q4</v>
      </c>
      <c r="M99" s="3" t="str">
        <f t="shared" si="4"/>
        <v>Thursday</v>
      </c>
      <c r="N99" s="3" t="str">
        <f t="shared" si="5"/>
        <v>No</v>
      </c>
      <c r="O99" s="3" t="str">
        <f>IF(COUNTIF($B:$B,B99)=1,"New Customer",
IF(COUNTIF($B:$B,B99)&lt;=3,"Returning Customer","Loyal Customer"))</f>
        <v>New Customer</v>
      </c>
      <c r="P99" s="3" t="str">
        <f>IF(cf_cl[[#This Row],[referred_claim]]="Yes","Referred","Not Referred")</f>
        <v>Referred</v>
      </c>
    </row>
    <row r="100" spans="1:16" x14ac:dyDescent="0.3">
      <c r="A100" t="s">
        <v>213</v>
      </c>
      <c r="B100" t="s">
        <v>214</v>
      </c>
      <c r="C100" s="1">
        <v>44572</v>
      </c>
      <c r="D100" t="s">
        <v>25</v>
      </c>
      <c r="E100">
        <v>4</v>
      </c>
      <c r="F100" s="3" t="s">
        <v>10</v>
      </c>
      <c r="G100" s="3" t="s">
        <v>10</v>
      </c>
      <c r="H100" s="3" t="str">
        <f>IF(cf_cl[[#This Row],[satisfaction_score]]&gt;=4,"Happy",IF(cf_cl[[#This Row],[satisfaction_score]]=3,"Neutral","Negative"))</f>
        <v>Happy</v>
      </c>
      <c r="I100" s="3" t="str">
        <f>IF(cf_cl[[#This Row],[satisfaction_score]]&lt;=2,"Low",IF(cf_cl[[#This Row],[satisfaction_score]]=3,"Medium","High"))</f>
        <v>High</v>
      </c>
      <c r="J100">
        <f>YEAR(cf_cl[[#This Row],[date_submitted]])</f>
        <v>2022</v>
      </c>
      <c r="K100" s="3" t="str">
        <f>TEXT(cf_cl[[#This Row],[date_submitted]],"mmm")</f>
        <v>Jan</v>
      </c>
      <c r="L100" s="3" t="str">
        <f t="shared" si="3"/>
        <v>Q1</v>
      </c>
      <c r="M100" s="3" t="str">
        <f t="shared" si="4"/>
        <v>Tuesday</v>
      </c>
      <c r="N100" s="3" t="str">
        <f t="shared" si="5"/>
        <v>No</v>
      </c>
      <c r="O100" s="3" t="str">
        <f>IF(COUNTIF($B:$B,B100)=1,"New Customer",
IF(COUNTIF($B:$B,B100)&lt;=3,"Returning Customer","Loyal Customer"))</f>
        <v>New Customer</v>
      </c>
      <c r="P100" s="3" t="str">
        <f>IF(cf_cl[[#This Row],[referred_claim]]="Yes","Referred","Not Referred")</f>
        <v>Referred</v>
      </c>
    </row>
    <row r="101" spans="1:16" x14ac:dyDescent="0.3">
      <c r="A101" t="s">
        <v>215</v>
      </c>
      <c r="B101" t="s">
        <v>216</v>
      </c>
      <c r="C101" s="1">
        <v>44883</v>
      </c>
      <c r="D101" t="s">
        <v>9</v>
      </c>
      <c r="E101">
        <v>1</v>
      </c>
      <c r="F101" s="3" t="s">
        <v>10</v>
      </c>
      <c r="G101" s="3" t="s">
        <v>13</v>
      </c>
      <c r="H101" s="3" t="str">
        <f>IF(cf_cl[[#This Row],[satisfaction_score]]&gt;=4,"Happy",IF(cf_cl[[#This Row],[satisfaction_score]]=3,"Neutral","Negative"))</f>
        <v>Negative</v>
      </c>
      <c r="I101" s="3" t="str">
        <f>IF(cf_cl[[#This Row],[satisfaction_score]]&lt;=2,"Low",IF(cf_cl[[#This Row],[satisfaction_score]]=3,"Medium","High"))</f>
        <v>Low</v>
      </c>
      <c r="J101">
        <f>YEAR(cf_cl[[#This Row],[date_submitted]])</f>
        <v>2022</v>
      </c>
      <c r="K101" s="3" t="str">
        <f>TEXT(cf_cl[[#This Row],[date_submitted]],"mmm")</f>
        <v>Nov</v>
      </c>
      <c r="L101" s="3" t="str">
        <f t="shared" si="3"/>
        <v>Q4</v>
      </c>
      <c r="M101" s="3" t="str">
        <f t="shared" si="4"/>
        <v>Friday</v>
      </c>
      <c r="N101" s="3" t="str">
        <f t="shared" si="5"/>
        <v>Yes</v>
      </c>
      <c r="O101" s="3" t="str">
        <f>IF(COUNTIF($B:$B,B101)=1,"New Customer",
IF(COUNTIF($B:$B,B101)&lt;=3,"Returning Customer","Loyal Customer"))</f>
        <v>New Customer</v>
      </c>
      <c r="P101" s="3" t="str">
        <f>IF(cf_cl[[#This Row],[referred_claim]]="Yes","Referred","Not Referred")</f>
        <v>Not Referred</v>
      </c>
    </row>
    <row r="102" spans="1:16" x14ac:dyDescent="0.3">
      <c r="A102" t="s">
        <v>217</v>
      </c>
      <c r="B102" t="s">
        <v>218</v>
      </c>
      <c r="C102" s="1">
        <v>43983</v>
      </c>
      <c r="D102" t="s">
        <v>9</v>
      </c>
      <c r="E102">
        <v>1</v>
      </c>
      <c r="F102" s="3" t="s">
        <v>13</v>
      </c>
      <c r="G102" s="3" t="s">
        <v>13</v>
      </c>
      <c r="H102" s="3" t="str">
        <f>IF(cf_cl[[#This Row],[satisfaction_score]]&gt;=4,"Happy",IF(cf_cl[[#This Row],[satisfaction_score]]=3,"Neutral","Negative"))</f>
        <v>Negative</v>
      </c>
      <c r="I102" s="3" t="str">
        <f>IF(cf_cl[[#This Row],[satisfaction_score]]&lt;=2,"Low",IF(cf_cl[[#This Row],[satisfaction_score]]=3,"Medium","High"))</f>
        <v>Low</v>
      </c>
      <c r="J102">
        <f>YEAR(cf_cl[[#This Row],[date_submitted]])</f>
        <v>2020</v>
      </c>
      <c r="K102" s="3" t="str">
        <f>TEXT(cf_cl[[#This Row],[date_submitted]],"mmm")</f>
        <v>Jun</v>
      </c>
      <c r="L102" s="3" t="str">
        <f t="shared" si="3"/>
        <v>Q2</v>
      </c>
      <c r="M102" s="3" t="str">
        <f t="shared" si="4"/>
        <v>Monday</v>
      </c>
      <c r="N102" s="3" t="str">
        <f t="shared" si="5"/>
        <v>Yes</v>
      </c>
      <c r="O102" s="3" t="str">
        <f>IF(COUNTIF($B:$B,B102)=1,"New Customer",
IF(COUNTIF($B:$B,B102)&lt;=3,"Returning Customer","Loyal Customer"))</f>
        <v>New Customer</v>
      </c>
      <c r="P102" s="3" t="str">
        <f>IF(cf_cl[[#This Row],[referred_claim]]="Yes","Referred","Not Referred")</f>
        <v>Not Referred</v>
      </c>
    </row>
    <row r="103" spans="1:16" x14ac:dyDescent="0.3">
      <c r="A103" t="s">
        <v>219</v>
      </c>
      <c r="B103" t="s">
        <v>220</v>
      </c>
      <c r="C103" s="1">
        <v>44091</v>
      </c>
      <c r="D103" t="s">
        <v>22</v>
      </c>
      <c r="E103">
        <v>5</v>
      </c>
      <c r="F103" s="3" t="s">
        <v>10</v>
      </c>
      <c r="G103" s="3" t="s">
        <v>10</v>
      </c>
      <c r="H103" s="3" t="str">
        <f>IF(cf_cl[[#This Row],[satisfaction_score]]&gt;=4,"Happy",IF(cf_cl[[#This Row],[satisfaction_score]]=3,"Neutral","Negative"))</f>
        <v>Happy</v>
      </c>
      <c r="I103" s="3" t="str">
        <f>IF(cf_cl[[#This Row],[satisfaction_score]]&lt;=2,"Low",IF(cf_cl[[#This Row],[satisfaction_score]]=3,"Medium","High"))</f>
        <v>High</v>
      </c>
      <c r="J103">
        <f>YEAR(cf_cl[[#This Row],[date_submitted]])</f>
        <v>2020</v>
      </c>
      <c r="K103" s="3" t="str">
        <f>TEXT(cf_cl[[#This Row],[date_submitted]],"mmm")</f>
        <v>Sep</v>
      </c>
      <c r="L103" s="3" t="str">
        <f t="shared" si="3"/>
        <v>Q3</v>
      </c>
      <c r="M103" s="3" t="str">
        <f t="shared" si="4"/>
        <v>Thursday</v>
      </c>
      <c r="N103" s="3" t="str">
        <f t="shared" si="5"/>
        <v>No</v>
      </c>
      <c r="O103" s="3" t="str">
        <f>IF(COUNTIF($B:$B,B103)=1,"New Customer",
IF(COUNTIF($B:$B,B103)&lt;=3,"Returning Customer","Loyal Customer"))</f>
        <v>New Customer</v>
      </c>
      <c r="P103" s="3" t="str">
        <f>IF(cf_cl[[#This Row],[referred_claim]]="Yes","Referred","Not Referred")</f>
        <v>Referred</v>
      </c>
    </row>
    <row r="104" spans="1:16" x14ac:dyDescent="0.3">
      <c r="A104" t="s">
        <v>221</v>
      </c>
      <c r="B104" t="s">
        <v>222</v>
      </c>
      <c r="C104" s="1">
        <v>43943</v>
      </c>
      <c r="D104" t="s">
        <v>16</v>
      </c>
      <c r="E104">
        <v>5</v>
      </c>
      <c r="F104" s="3" t="s">
        <v>13</v>
      </c>
      <c r="G104" s="3" t="s">
        <v>10</v>
      </c>
      <c r="H104" s="3" t="str">
        <f>IF(cf_cl[[#This Row],[satisfaction_score]]&gt;=4,"Happy",IF(cf_cl[[#This Row],[satisfaction_score]]=3,"Neutral","Negative"))</f>
        <v>Happy</v>
      </c>
      <c r="I104" s="3" t="str">
        <f>IF(cf_cl[[#This Row],[satisfaction_score]]&lt;=2,"Low",IF(cf_cl[[#This Row],[satisfaction_score]]=3,"Medium","High"))</f>
        <v>High</v>
      </c>
      <c r="J104">
        <f>YEAR(cf_cl[[#This Row],[date_submitted]])</f>
        <v>2020</v>
      </c>
      <c r="K104" s="3" t="str">
        <f>TEXT(cf_cl[[#This Row],[date_submitted]],"mmm")</f>
        <v>Apr</v>
      </c>
      <c r="L104" s="3" t="str">
        <f t="shared" si="3"/>
        <v>Q2</v>
      </c>
      <c r="M104" s="3" t="str">
        <f t="shared" si="4"/>
        <v>Wednesday</v>
      </c>
      <c r="N104" s="3" t="str">
        <f t="shared" si="5"/>
        <v>No</v>
      </c>
      <c r="O104" s="3" t="str">
        <f>IF(COUNTIF($B:$B,B104)=1,"New Customer",
IF(COUNTIF($B:$B,B104)&lt;=3,"Returning Customer","Loyal Customer"))</f>
        <v>New Customer</v>
      </c>
      <c r="P104" s="3" t="str">
        <f>IF(cf_cl[[#This Row],[referred_claim]]="Yes","Referred","Not Referred")</f>
        <v>Referred</v>
      </c>
    </row>
    <row r="105" spans="1:16" x14ac:dyDescent="0.3">
      <c r="A105" t="s">
        <v>223</v>
      </c>
      <c r="B105" t="s">
        <v>224</v>
      </c>
      <c r="C105" s="1">
        <v>44275</v>
      </c>
      <c r="D105" t="s">
        <v>83</v>
      </c>
      <c r="E105">
        <v>1</v>
      </c>
      <c r="F105" s="3" t="s">
        <v>13</v>
      </c>
      <c r="G105" s="3" t="s">
        <v>13</v>
      </c>
      <c r="H105" s="3" t="str">
        <f>IF(cf_cl[[#This Row],[satisfaction_score]]&gt;=4,"Happy",IF(cf_cl[[#This Row],[satisfaction_score]]=3,"Neutral","Negative"))</f>
        <v>Negative</v>
      </c>
      <c r="I105" s="3" t="str">
        <f>IF(cf_cl[[#This Row],[satisfaction_score]]&lt;=2,"Low",IF(cf_cl[[#This Row],[satisfaction_score]]=3,"Medium","High"))</f>
        <v>Low</v>
      </c>
      <c r="J105">
        <f>YEAR(cf_cl[[#This Row],[date_submitted]])</f>
        <v>2021</v>
      </c>
      <c r="K105" s="3" t="str">
        <f>TEXT(cf_cl[[#This Row],[date_submitted]],"mmm")</f>
        <v>Mar</v>
      </c>
      <c r="L105" s="3" t="str">
        <f t="shared" si="3"/>
        <v>Q1</v>
      </c>
      <c r="M105" s="3" t="str">
        <f t="shared" si="4"/>
        <v>Saturday</v>
      </c>
      <c r="N105" s="3" t="str">
        <f t="shared" si="5"/>
        <v>Yes</v>
      </c>
      <c r="O105" s="3" t="str">
        <f>IF(COUNTIF($B:$B,B105)=1,"New Customer",
IF(COUNTIF($B:$B,B105)&lt;=3,"Returning Customer","Loyal Customer"))</f>
        <v>New Customer</v>
      </c>
      <c r="P105" s="3" t="str">
        <f>IF(cf_cl[[#This Row],[referred_claim]]="Yes","Referred","Not Referred")</f>
        <v>Not Referred</v>
      </c>
    </row>
    <row r="106" spans="1:16" x14ac:dyDescent="0.3">
      <c r="A106" t="s">
        <v>225</v>
      </c>
      <c r="B106" t="s">
        <v>226</v>
      </c>
      <c r="C106" s="1">
        <v>43855</v>
      </c>
      <c r="D106" t="s">
        <v>28</v>
      </c>
      <c r="E106">
        <v>5</v>
      </c>
      <c r="F106" s="3" t="s">
        <v>10</v>
      </c>
      <c r="G106" s="3" t="s">
        <v>13</v>
      </c>
      <c r="H106" s="3" t="str">
        <f>IF(cf_cl[[#This Row],[satisfaction_score]]&gt;=4,"Happy",IF(cf_cl[[#This Row],[satisfaction_score]]=3,"Neutral","Negative"))</f>
        <v>Happy</v>
      </c>
      <c r="I106" s="3" t="str">
        <f>IF(cf_cl[[#This Row],[satisfaction_score]]&lt;=2,"Low",IF(cf_cl[[#This Row],[satisfaction_score]]=3,"Medium","High"))</f>
        <v>High</v>
      </c>
      <c r="J106">
        <f>YEAR(cf_cl[[#This Row],[date_submitted]])</f>
        <v>2020</v>
      </c>
      <c r="K106" s="3" t="str">
        <f>TEXT(cf_cl[[#This Row],[date_submitted]],"mmm")</f>
        <v>Jan</v>
      </c>
      <c r="L106" s="3" t="str">
        <f t="shared" si="3"/>
        <v>Q1</v>
      </c>
      <c r="M106" s="3" t="str">
        <f t="shared" si="4"/>
        <v>Saturday</v>
      </c>
      <c r="N106" s="3" t="str">
        <f t="shared" si="5"/>
        <v>No</v>
      </c>
      <c r="O106" s="3" t="str">
        <f>IF(COUNTIF($B:$B,B106)=1,"New Customer",
IF(COUNTIF($B:$B,B106)&lt;=3,"Returning Customer","Loyal Customer"))</f>
        <v>New Customer</v>
      </c>
      <c r="P106" s="3" t="str">
        <f>IF(cf_cl[[#This Row],[referred_claim]]="Yes","Referred","Not Referred")</f>
        <v>Not Referred</v>
      </c>
    </row>
    <row r="107" spans="1:16" x14ac:dyDescent="0.3">
      <c r="A107" t="s">
        <v>227</v>
      </c>
      <c r="B107" t="s">
        <v>228</v>
      </c>
      <c r="C107" s="1">
        <v>43939</v>
      </c>
      <c r="D107" t="s">
        <v>25</v>
      </c>
      <c r="E107">
        <v>5</v>
      </c>
      <c r="F107" s="3" t="s">
        <v>13</v>
      </c>
      <c r="G107" s="3" t="s">
        <v>10</v>
      </c>
      <c r="H107" s="3" t="str">
        <f>IF(cf_cl[[#This Row],[satisfaction_score]]&gt;=4,"Happy",IF(cf_cl[[#This Row],[satisfaction_score]]=3,"Neutral","Negative"))</f>
        <v>Happy</v>
      </c>
      <c r="I107" s="3" t="str">
        <f>IF(cf_cl[[#This Row],[satisfaction_score]]&lt;=2,"Low",IF(cf_cl[[#This Row],[satisfaction_score]]=3,"Medium","High"))</f>
        <v>High</v>
      </c>
      <c r="J107">
        <f>YEAR(cf_cl[[#This Row],[date_submitted]])</f>
        <v>2020</v>
      </c>
      <c r="K107" s="3" t="str">
        <f>TEXT(cf_cl[[#This Row],[date_submitted]],"mmm")</f>
        <v>Apr</v>
      </c>
      <c r="L107" s="3" t="str">
        <f t="shared" si="3"/>
        <v>Q2</v>
      </c>
      <c r="M107" s="3" t="str">
        <f t="shared" si="4"/>
        <v>Saturday</v>
      </c>
      <c r="N107" s="3" t="str">
        <f t="shared" si="5"/>
        <v>No</v>
      </c>
      <c r="O107" s="3" t="str">
        <f>IF(COUNTIF($B:$B,B107)=1,"New Customer",
IF(COUNTIF($B:$B,B107)&lt;=3,"Returning Customer","Loyal Customer"))</f>
        <v>New Customer</v>
      </c>
      <c r="P107" s="3" t="str">
        <f>IF(cf_cl[[#This Row],[referred_claim]]="Yes","Referred","Not Referred")</f>
        <v>Referred</v>
      </c>
    </row>
    <row r="108" spans="1:16" x14ac:dyDescent="0.3">
      <c r="A108" t="s">
        <v>229</v>
      </c>
      <c r="B108" t="s">
        <v>230</v>
      </c>
      <c r="C108" s="1">
        <v>43888</v>
      </c>
      <c r="D108" t="s">
        <v>28</v>
      </c>
      <c r="E108">
        <v>5</v>
      </c>
      <c r="F108" s="3" t="s">
        <v>13</v>
      </c>
      <c r="G108" s="3" t="s">
        <v>10</v>
      </c>
      <c r="H108" s="3" t="str">
        <f>IF(cf_cl[[#This Row],[satisfaction_score]]&gt;=4,"Happy",IF(cf_cl[[#This Row],[satisfaction_score]]=3,"Neutral","Negative"))</f>
        <v>Happy</v>
      </c>
      <c r="I108" s="3" t="str">
        <f>IF(cf_cl[[#This Row],[satisfaction_score]]&lt;=2,"Low",IF(cf_cl[[#This Row],[satisfaction_score]]=3,"Medium","High"))</f>
        <v>High</v>
      </c>
      <c r="J108">
        <f>YEAR(cf_cl[[#This Row],[date_submitted]])</f>
        <v>2020</v>
      </c>
      <c r="K108" s="3" t="str">
        <f>TEXT(cf_cl[[#This Row],[date_submitted]],"mmm")</f>
        <v>Feb</v>
      </c>
      <c r="L108" s="3" t="str">
        <f t="shared" si="3"/>
        <v>Q1</v>
      </c>
      <c r="M108" s="3" t="str">
        <f t="shared" si="4"/>
        <v>Thursday</v>
      </c>
      <c r="N108" s="3" t="str">
        <f t="shared" si="5"/>
        <v>No</v>
      </c>
      <c r="O108" s="3" t="str">
        <f>IF(COUNTIF($B:$B,B108)=1,"New Customer",
IF(COUNTIF($B:$B,B108)&lt;=3,"Returning Customer","Loyal Customer"))</f>
        <v>New Customer</v>
      </c>
      <c r="P108" s="3" t="str">
        <f>IF(cf_cl[[#This Row],[referred_claim]]="Yes","Referred","Not Referred")</f>
        <v>Referred</v>
      </c>
    </row>
    <row r="109" spans="1:16" x14ac:dyDescent="0.3">
      <c r="A109" t="s">
        <v>231</v>
      </c>
      <c r="B109" t="s">
        <v>232</v>
      </c>
      <c r="C109" s="1">
        <v>44195</v>
      </c>
      <c r="D109" t="s">
        <v>22</v>
      </c>
      <c r="E109">
        <v>4</v>
      </c>
      <c r="F109" s="3" t="s">
        <v>13</v>
      </c>
      <c r="G109" s="3" t="s">
        <v>10</v>
      </c>
      <c r="H109" s="3" t="str">
        <f>IF(cf_cl[[#This Row],[satisfaction_score]]&gt;=4,"Happy",IF(cf_cl[[#This Row],[satisfaction_score]]=3,"Neutral","Negative"))</f>
        <v>Happy</v>
      </c>
      <c r="I109" s="3" t="str">
        <f>IF(cf_cl[[#This Row],[satisfaction_score]]&lt;=2,"Low",IF(cf_cl[[#This Row],[satisfaction_score]]=3,"Medium","High"))</f>
        <v>High</v>
      </c>
      <c r="J109">
        <f>YEAR(cf_cl[[#This Row],[date_submitted]])</f>
        <v>2020</v>
      </c>
      <c r="K109" s="3" t="str">
        <f>TEXT(cf_cl[[#This Row],[date_submitted]],"mmm")</f>
        <v>Dec</v>
      </c>
      <c r="L109" s="3" t="str">
        <f t="shared" si="3"/>
        <v>Q4</v>
      </c>
      <c r="M109" s="3" t="str">
        <f t="shared" si="4"/>
        <v>Wednesday</v>
      </c>
      <c r="N109" s="3" t="str">
        <f t="shared" si="5"/>
        <v>No</v>
      </c>
      <c r="O109" s="3" t="str">
        <f>IF(COUNTIF($B:$B,B109)=1,"New Customer",
IF(COUNTIF($B:$B,B109)&lt;=3,"Returning Customer","Loyal Customer"))</f>
        <v>Returning Customer</v>
      </c>
      <c r="P109" s="3" t="str">
        <f>IF(cf_cl[[#This Row],[referred_claim]]="Yes","Referred","Not Referred")</f>
        <v>Referred</v>
      </c>
    </row>
    <row r="110" spans="1:16" x14ac:dyDescent="0.3">
      <c r="A110" t="s">
        <v>233</v>
      </c>
      <c r="B110" t="s">
        <v>234</v>
      </c>
      <c r="C110" s="1">
        <v>44405</v>
      </c>
      <c r="D110" t="s">
        <v>22</v>
      </c>
      <c r="E110">
        <v>5</v>
      </c>
      <c r="F110" s="3" t="s">
        <v>10</v>
      </c>
      <c r="G110" s="3" t="s">
        <v>13</v>
      </c>
      <c r="H110" s="3" t="str">
        <f>IF(cf_cl[[#This Row],[satisfaction_score]]&gt;=4,"Happy",IF(cf_cl[[#This Row],[satisfaction_score]]=3,"Neutral","Negative"))</f>
        <v>Happy</v>
      </c>
      <c r="I110" s="3" t="str">
        <f>IF(cf_cl[[#This Row],[satisfaction_score]]&lt;=2,"Low",IF(cf_cl[[#This Row],[satisfaction_score]]=3,"Medium","High"))</f>
        <v>High</v>
      </c>
      <c r="J110">
        <f>YEAR(cf_cl[[#This Row],[date_submitted]])</f>
        <v>2021</v>
      </c>
      <c r="K110" s="3" t="str">
        <f>TEXT(cf_cl[[#This Row],[date_submitted]],"mmm")</f>
        <v>Jul</v>
      </c>
      <c r="L110" s="3" t="str">
        <f t="shared" si="3"/>
        <v>Q3</v>
      </c>
      <c r="M110" s="3" t="str">
        <f t="shared" si="4"/>
        <v>Wednesday</v>
      </c>
      <c r="N110" s="3" t="str">
        <f t="shared" si="5"/>
        <v>No</v>
      </c>
      <c r="O110" s="3" t="str">
        <f>IF(COUNTIF($B:$B,B110)=1,"New Customer",
IF(COUNTIF($B:$B,B110)&lt;=3,"Returning Customer","Loyal Customer"))</f>
        <v>Returning Customer</v>
      </c>
      <c r="P110" s="3" t="str">
        <f>IF(cf_cl[[#This Row],[referred_claim]]="Yes","Referred","Not Referred")</f>
        <v>Not Referred</v>
      </c>
    </row>
    <row r="111" spans="1:16" x14ac:dyDescent="0.3">
      <c r="A111" t="s">
        <v>235</v>
      </c>
      <c r="B111" t="s">
        <v>236</v>
      </c>
      <c r="C111" s="1">
        <v>44390</v>
      </c>
      <c r="D111" t="s">
        <v>19</v>
      </c>
      <c r="E111">
        <v>2</v>
      </c>
      <c r="F111" s="3" t="s">
        <v>10</v>
      </c>
      <c r="G111" s="3" t="s">
        <v>10</v>
      </c>
      <c r="H111" s="3" t="str">
        <f>IF(cf_cl[[#This Row],[satisfaction_score]]&gt;=4,"Happy",IF(cf_cl[[#This Row],[satisfaction_score]]=3,"Neutral","Negative"))</f>
        <v>Negative</v>
      </c>
      <c r="I111" s="3" t="str">
        <f>IF(cf_cl[[#This Row],[satisfaction_score]]&lt;=2,"Low",IF(cf_cl[[#This Row],[satisfaction_score]]=3,"Medium","High"))</f>
        <v>Low</v>
      </c>
      <c r="J111">
        <f>YEAR(cf_cl[[#This Row],[date_submitted]])</f>
        <v>2021</v>
      </c>
      <c r="K111" s="3" t="str">
        <f>TEXT(cf_cl[[#This Row],[date_submitted]],"mmm")</f>
        <v>Jul</v>
      </c>
      <c r="L111" s="3" t="str">
        <f t="shared" si="3"/>
        <v>Q3</v>
      </c>
      <c r="M111" s="3" t="str">
        <f t="shared" si="4"/>
        <v>Tuesday</v>
      </c>
      <c r="N111" s="3" t="str">
        <f t="shared" si="5"/>
        <v>Yes</v>
      </c>
      <c r="O111" s="3" t="str">
        <f>IF(COUNTIF($B:$B,B111)=1,"New Customer",
IF(COUNTIF($B:$B,B111)&lt;=3,"Returning Customer","Loyal Customer"))</f>
        <v>New Customer</v>
      </c>
      <c r="P111" s="3" t="str">
        <f>IF(cf_cl[[#This Row],[referred_claim]]="Yes","Referred","Not Referred")</f>
        <v>Referred</v>
      </c>
    </row>
    <row r="112" spans="1:16" x14ac:dyDescent="0.3">
      <c r="A112" t="s">
        <v>237</v>
      </c>
      <c r="B112" t="s">
        <v>238</v>
      </c>
      <c r="C112" s="1">
        <v>44038</v>
      </c>
      <c r="D112" t="s">
        <v>31</v>
      </c>
      <c r="E112">
        <v>1</v>
      </c>
      <c r="F112" s="3" t="s">
        <v>13</v>
      </c>
      <c r="G112" s="3" t="s">
        <v>10</v>
      </c>
      <c r="H112" s="3" t="str">
        <f>IF(cf_cl[[#This Row],[satisfaction_score]]&gt;=4,"Happy",IF(cf_cl[[#This Row],[satisfaction_score]]=3,"Neutral","Negative"))</f>
        <v>Negative</v>
      </c>
      <c r="I112" s="3" t="str">
        <f>IF(cf_cl[[#This Row],[satisfaction_score]]&lt;=2,"Low",IF(cf_cl[[#This Row],[satisfaction_score]]=3,"Medium","High"))</f>
        <v>Low</v>
      </c>
      <c r="J112">
        <f>YEAR(cf_cl[[#This Row],[date_submitted]])</f>
        <v>2020</v>
      </c>
      <c r="K112" s="3" t="str">
        <f>TEXT(cf_cl[[#This Row],[date_submitted]],"mmm")</f>
        <v>Jul</v>
      </c>
      <c r="L112" s="3" t="str">
        <f t="shared" si="3"/>
        <v>Q3</v>
      </c>
      <c r="M112" s="3" t="str">
        <f t="shared" si="4"/>
        <v>Sunday</v>
      </c>
      <c r="N112" s="3" t="str">
        <f t="shared" si="5"/>
        <v>Yes</v>
      </c>
      <c r="O112" s="3" t="str">
        <f>IF(COUNTIF($B:$B,B112)=1,"New Customer",
IF(COUNTIF($B:$B,B112)&lt;=3,"Returning Customer","Loyal Customer"))</f>
        <v>New Customer</v>
      </c>
      <c r="P112" s="3" t="str">
        <f>IF(cf_cl[[#This Row],[referred_claim]]="Yes","Referred","Not Referred")</f>
        <v>Referred</v>
      </c>
    </row>
    <row r="113" spans="1:16" x14ac:dyDescent="0.3">
      <c r="A113" t="s">
        <v>239</v>
      </c>
      <c r="B113" t="s">
        <v>240</v>
      </c>
      <c r="C113" s="1">
        <v>44718</v>
      </c>
      <c r="D113" t="s">
        <v>68</v>
      </c>
      <c r="E113">
        <v>2</v>
      </c>
      <c r="F113" s="3" t="s">
        <v>10</v>
      </c>
      <c r="G113" s="3" t="s">
        <v>13</v>
      </c>
      <c r="H113" s="3" t="str">
        <f>IF(cf_cl[[#This Row],[satisfaction_score]]&gt;=4,"Happy",IF(cf_cl[[#This Row],[satisfaction_score]]=3,"Neutral","Negative"))</f>
        <v>Negative</v>
      </c>
      <c r="I113" s="3" t="str">
        <f>IF(cf_cl[[#This Row],[satisfaction_score]]&lt;=2,"Low",IF(cf_cl[[#This Row],[satisfaction_score]]=3,"Medium","High"))</f>
        <v>Low</v>
      </c>
      <c r="J113">
        <f>YEAR(cf_cl[[#This Row],[date_submitted]])</f>
        <v>2022</v>
      </c>
      <c r="K113" s="3" t="str">
        <f>TEXT(cf_cl[[#This Row],[date_submitted]],"mmm")</f>
        <v>Jun</v>
      </c>
      <c r="L113" s="3" t="str">
        <f t="shared" si="3"/>
        <v>Q2</v>
      </c>
      <c r="M113" s="3" t="str">
        <f t="shared" si="4"/>
        <v>Monday</v>
      </c>
      <c r="N113" s="3" t="str">
        <f t="shared" si="5"/>
        <v>Yes</v>
      </c>
      <c r="O113" s="3" t="str">
        <f>IF(COUNTIF($B:$B,B113)=1,"New Customer",
IF(COUNTIF($B:$B,B113)&lt;=3,"Returning Customer","Loyal Customer"))</f>
        <v>New Customer</v>
      </c>
      <c r="P113" s="3" t="str">
        <f>IF(cf_cl[[#This Row],[referred_claim]]="Yes","Referred","Not Referred")</f>
        <v>Not Referred</v>
      </c>
    </row>
    <row r="114" spans="1:16" x14ac:dyDescent="0.3">
      <c r="A114" t="s">
        <v>241</v>
      </c>
      <c r="B114" t="s">
        <v>242</v>
      </c>
      <c r="C114" s="1">
        <v>44148</v>
      </c>
      <c r="D114" t="s">
        <v>31</v>
      </c>
      <c r="E114">
        <v>1</v>
      </c>
      <c r="F114" s="3" t="s">
        <v>13</v>
      </c>
      <c r="G114" s="3" t="s">
        <v>10</v>
      </c>
      <c r="H114" s="3" t="str">
        <f>IF(cf_cl[[#This Row],[satisfaction_score]]&gt;=4,"Happy",IF(cf_cl[[#This Row],[satisfaction_score]]=3,"Neutral","Negative"))</f>
        <v>Negative</v>
      </c>
      <c r="I114" s="3" t="str">
        <f>IF(cf_cl[[#This Row],[satisfaction_score]]&lt;=2,"Low",IF(cf_cl[[#This Row],[satisfaction_score]]=3,"Medium","High"))</f>
        <v>Low</v>
      </c>
      <c r="J114">
        <f>YEAR(cf_cl[[#This Row],[date_submitted]])</f>
        <v>2020</v>
      </c>
      <c r="K114" s="3" t="str">
        <f>TEXT(cf_cl[[#This Row],[date_submitted]],"mmm")</f>
        <v>Nov</v>
      </c>
      <c r="L114" s="3" t="str">
        <f t="shared" si="3"/>
        <v>Q4</v>
      </c>
      <c r="M114" s="3" t="str">
        <f t="shared" si="4"/>
        <v>Friday</v>
      </c>
      <c r="N114" s="3" t="str">
        <f t="shared" si="5"/>
        <v>Yes</v>
      </c>
      <c r="O114" s="3" t="str">
        <f>IF(COUNTIF($B:$B,B114)=1,"New Customer",
IF(COUNTIF($B:$B,B114)&lt;=3,"Returning Customer","Loyal Customer"))</f>
        <v>New Customer</v>
      </c>
      <c r="P114" s="3" t="str">
        <f>IF(cf_cl[[#This Row],[referred_claim]]="Yes","Referred","Not Referred")</f>
        <v>Referred</v>
      </c>
    </row>
    <row r="115" spans="1:16" x14ac:dyDescent="0.3">
      <c r="A115" t="s">
        <v>243</v>
      </c>
      <c r="B115" t="s">
        <v>244</v>
      </c>
      <c r="C115" s="1">
        <v>44364</v>
      </c>
      <c r="D115" t="s">
        <v>22</v>
      </c>
      <c r="E115">
        <v>4</v>
      </c>
      <c r="F115" s="3" t="s">
        <v>10</v>
      </c>
      <c r="G115" s="3" t="s">
        <v>13</v>
      </c>
      <c r="H115" s="3" t="str">
        <f>IF(cf_cl[[#This Row],[satisfaction_score]]&gt;=4,"Happy",IF(cf_cl[[#This Row],[satisfaction_score]]=3,"Neutral","Negative"))</f>
        <v>Happy</v>
      </c>
      <c r="I115" s="3" t="str">
        <f>IF(cf_cl[[#This Row],[satisfaction_score]]&lt;=2,"Low",IF(cf_cl[[#This Row],[satisfaction_score]]=3,"Medium","High"))</f>
        <v>High</v>
      </c>
      <c r="J115">
        <f>YEAR(cf_cl[[#This Row],[date_submitted]])</f>
        <v>2021</v>
      </c>
      <c r="K115" s="3" t="str">
        <f>TEXT(cf_cl[[#This Row],[date_submitted]],"mmm")</f>
        <v>Jun</v>
      </c>
      <c r="L115" s="3" t="str">
        <f t="shared" si="3"/>
        <v>Q2</v>
      </c>
      <c r="M115" s="3" t="str">
        <f t="shared" si="4"/>
        <v>Thursday</v>
      </c>
      <c r="N115" s="3" t="str">
        <f t="shared" si="5"/>
        <v>No</v>
      </c>
      <c r="O115" s="3" t="str">
        <f>IF(COUNTIF($B:$B,B115)=1,"New Customer",
IF(COUNTIF($B:$B,B115)&lt;=3,"Returning Customer","Loyal Customer"))</f>
        <v>Returning Customer</v>
      </c>
      <c r="P115" s="3" t="str">
        <f>IF(cf_cl[[#This Row],[referred_claim]]="Yes","Referred","Not Referred")</f>
        <v>Not Referred</v>
      </c>
    </row>
    <row r="116" spans="1:16" x14ac:dyDescent="0.3">
      <c r="A116" t="s">
        <v>245</v>
      </c>
      <c r="B116" t="s">
        <v>246</v>
      </c>
      <c r="C116" s="1">
        <v>44114</v>
      </c>
      <c r="D116" t="s">
        <v>37</v>
      </c>
      <c r="E116">
        <v>3</v>
      </c>
      <c r="F116" s="3" t="s">
        <v>13</v>
      </c>
      <c r="G116" s="3" t="s">
        <v>10</v>
      </c>
      <c r="H116" s="3" t="str">
        <f>IF(cf_cl[[#This Row],[satisfaction_score]]&gt;=4,"Happy",IF(cf_cl[[#This Row],[satisfaction_score]]=3,"Neutral","Negative"))</f>
        <v>Neutral</v>
      </c>
      <c r="I116" s="3" t="str">
        <f>IF(cf_cl[[#This Row],[satisfaction_score]]&lt;=2,"Low",IF(cf_cl[[#This Row],[satisfaction_score]]=3,"Medium","High"))</f>
        <v>Medium</v>
      </c>
      <c r="J116">
        <f>YEAR(cf_cl[[#This Row],[date_submitted]])</f>
        <v>2020</v>
      </c>
      <c r="K116" s="3" t="str">
        <f>TEXT(cf_cl[[#This Row],[date_submitted]],"mmm")</f>
        <v>Oct</v>
      </c>
      <c r="L116" s="3" t="str">
        <f t="shared" si="3"/>
        <v>Q4</v>
      </c>
      <c r="M116" s="3" t="str">
        <f t="shared" si="4"/>
        <v>Saturday</v>
      </c>
      <c r="N116" s="3" t="str">
        <f t="shared" si="5"/>
        <v>No</v>
      </c>
      <c r="O116" s="3" t="str">
        <f>IF(COUNTIF($B:$B,B116)=1,"New Customer",
IF(COUNTIF($B:$B,B116)&lt;=3,"Returning Customer","Loyal Customer"))</f>
        <v>New Customer</v>
      </c>
      <c r="P116" s="3" t="str">
        <f>IF(cf_cl[[#This Row],[referred_claim]]="Yes","Referred","Not Referred")</f>
        <v>Referred</v>
      </c>
    </row>
    <row r="117" spans="1:16" x14ac:dyDescent="0.3">
      <c r="A117" t="s">
        <v>247</v>
      </c>
      <c r="B117" t="s">
        <v>248</v>
      </c>
      <c r="C117" s="1">
        <v>44935</v>
      </c>
      <c r="D117" t="s">
        <v>28</v>
      </c>
      <c r="E117">
        <v>5</v>
      </c>
      <c r="F117" s="3" t="s">
        <v>10</v>
      </c>
      <c r="G117" s="3" t="s">
        <v>13</v>
      </c>
      <c r="H117" s="3" t="str">
        <f>IF(cf_cl[[#This Row],[satisfaction_score]]&gt;=4,"Happy",IF(cf_cl[[#This Row],[satisfaction_score]]=3,"Neutral","Negative"))</f>
        <v>Happy</v>
      </c>
      <c r="I117" s="3" t="str">
        <f>IF(cf_cl[[#This Row],[satisfaction_score]]&lt;=2,"Low",IF(cf_cl[[#This Row],[satisfaction_score]]=3,"Medium","High"))</f>
        <v>High</v>
      </c>
      <c r="J117">
        <f>YEAR(cf_cl[[#This Row],[date_submitted]])</f>
        <v>2023</v>
      </c>
      <c r="K117" s="3" t="str">
        <f>TEXT(cf_cl[[#This Row],[date_submitted]],"mmm")</f>
        <v>Jan</v>
      </c>
      <c r="L117" s="3" t="str">
        <f t="shared" si="3"/>
        <v>Q1</v>
      </c>
      <c r="M117" s="3" t="str">
        <f t="shared" si="4"/>
        <v>Monday</v>
      </c>
      <c r="N117" s="3" t="str">
        <f t="shared" si="5"/>
        <v>No</v>
      </c>
      <c r="O117" s="3" t="str">
        <f>IF(COUNTIF($B:$B,B117)=1,"New Customer",
IF(COUNTIF($B:$B,B117)&lt;=3,"Returning Customer","Loyal Customer"))</f>
        <v>New Customer</v>
      </c>
      <c r="P117" s="3" t="str">
        <f>IF(cf_cl[[#This Row],[referred_claim]]="Yes","Referred","Not Referred")</f>
        <v>Not Referred</v>
      </c>
    </row>
    <row r="118" spans="1:16" x14ac:dyDescent="0.3">
      <c r="A118" t="s">
        <v>249</v>
      </c>
      <c r="B118" t="s">
        <v>250</v>
      </c>
      <c r="C118" s="1">
        <v>44322</v>
      </c>
      <c r="D118" t="s">
        <v>68</v>
      </c>
      <c r="E118">
        <v>2</v>
      </c>
      <c r="F118" s="3" t="s">
        <v>10</v>
      </c>
      <c r="G118" s="3" t="s">
        <v>13</v>
      </c>
      <c r="H118" s="3" t="str">
        <f>IF(cf_cl[[#This Row],[satisfaction_score]]&gt;=4,"Happy",IF(cf_cl[[#This Row],[satisfaction_score]]=3,"Neutral","Negative"))</f>
        <v>Negative</v>
      </c>
      <c r="I118" s="3" t="str">
        <f>IF(cf_cl[[#This Row],[satisfaction_score]]&lt;=2,"Low",IF(cf_cl[[#This Row],[satisfaction_score]]=3,"Medium","High"))</f>
        <v>Low</v>
      </c>
      <c r="J118">
        <f>YEAR(cf_cl[[#This Row],[date_submitted]])</f>
        <v>2021</v>
      </c>
      <c r="K118" s="3" t="str">
        <f>TEXT(cf_cl[[#This Row],[date_submitted]],"mmm")</f>
        <v>May</v>
      </c>
      <c r="L118" s="3" t="str">
        <f t="shared" si="3"/>
        <v>Q2</v>
      </c>
      <c r="M118" s="3" t="str">
        <f t="shared" si="4"/>
        <v>Thursday</v>
      </c>
      <c r="N118" s="3" t="str">
        <f t="shared" si="5"/>
        <v>Yes</v>
      </c>
      <c r="O118" s="3" t="str">
        <f>IF(COUNTIF($B:$B,B118)=1,"New Customer",
IF(COUNTIF($B:$B,B118)&lt;=3,"Returning Customer","Loyal Customer"))</f>
        <v>New Customer</v>
      </c>
      <c r="P118" s="3" t="str">
        <f>IF(cf_cl[[#This Row],[referred_claim]]="Yes","Referred","Not Referred")</f>
        <v>Not Referred</v>
      </c>
    </row>
    <row r="119" spans="1:16" x14ac:dyDescent="0.3">
      <c r="A119" t="s">
        <v>251</v>
      </c>
      <c r="B119" t="s">
        <v>252</v>
      </c>
      <c r="C119" s="1">
        <v>44494</v>
      </c>
      <c r="D119" t="s">
        <v>37</v>
      </c>
      <c r="E119">
        <v>5</v>
      </c>
      <c r="F119" s="3" t="s">
        <v>13</v>
      </c>
      <c r="G119" s="3" t="s">
        <v>10</v>
      </c>
      <c r="H119" s="3" t="str">
        <f>IF(cf_cl[[#This Row],[satisfaction_score]]&gt;=4,"Happy",IF(cf_cl[[#This Row],[satisfaction_score]]=3,"Neutral","Negative"))</f>
        <v>Happy</v>
      </c>
      <c r="I119" s="3" t="str">
        <f>IF(cf_cl[[#This Row],[satisfaction_score]]&lt;=2,"Low",IF(cf_cl[[#This Row],[satisfaction_score]]=3,"Medium","High"))</f>
        <v>High</v>
      </c>
      <c r="J119">
        <f>YEAR(cf_cl[[#This Row],[date_submitted]])</f>
        <v>2021</v>
      </c>
      <c r="K119" s="3" t="str">
        <f>TEXT(cf_cl[[#This Row],[date_submitted]],"mmm")</f>
        <v>Oct</v>
      </c>
      <c r="L119" s="3" t="str">
        <f t="shared" si="3"/>
        <v>Q4</v>
      </c>
      <c r="M119" s="3" t="str">
        <f t="shared" si="4"/>
        <v>Monday</v>
      </c>
      <c r="N119" s="3" t="str">
        <f t="shared" si="5"/>
        <v>No</v>
      </c>
      <c r="O119" s="3" t="str">
        <f>IF(COUNTIF($B:$B,B119)=1,"New Customer",
IF(COUNTIF($B:$B,B119)&lt;=3,"Returning Customer","Loyal Customer"))</f>
        <v>Returning Customer</v>
      </c>
      <c r="P119" s="3" t="str">
        <f>IF(cf_cl[[#This Row],[referred_claim]]="Yes","Referred","Not Referred")</f>
        <v>Referred</v>
      </c>
    </row>
    <row r="120" spans="1:16" x14ac:dyDescent="0.3">
      <c r="A120" t="s">
        <v>253</v>
      </c>
      <c r="B120" t="s">
        <v>254</v>
      </c>
      <c r="C120" s="1">
        <v>44496</v>
      </c>
      <c r="D120" t="s">
        <v>28</v>
      </c>
      <c r="E120">
        <v>5</v>
      </c>
      <c r="F120" s="3" t="s">
        <v>13</v>
      </c>
      <c r="G120" s="3" t="s">
        <v>13</v>
      </c>
      <c r="H120" s="3" t="str">
        <f>IF(cf_cl[[#This Row],[satisfaction_score]]&gt;=4,"Happy",IF(cf_cl[[#This Row],[satisfaction_score]]=3,"Neutral","Negative"))</f>
        <v>Happy</v>
      </c>
      <c r="I120" s="3" t="str">
        <f>IF(cf_cl[[#This Row],[satisfaction_score]]&lt;=2,"Low",IF(cf_cl[[#This Row],[satisfaction_score]]=3,"Medium","High"))</f>
        <v>High</v>
      </c>
      <c r="J120">
        <f>YEAR(cf_cl[[#This Row],[date_submitted]])</f>
        <v>2021</v>
      </c>
      <c r="K120" s="3" t="str">
        <f>TEXT(cf_cl[[#This Row],[date_submitted]],"mmm")</f>
        <v>Oct</v>
      </c>
      <c r="L120" s="3" t="str">
        <f t="shared" si="3"/>
        <v>Q4</v>
      </c>
      <c r="M120" s="3" t="str">
        <f t="shared" si="4"/>
        <v>Wednesday</v>
      </c>
      <c r="N120" s="3" t="str">
        <f t="shared" si="5"/>
        <v>No</v>
      </c>
      <c r="O120" s="3" t="str">
        <f>IF(COUNTIF($B:$B,B120)=1,"New Customer",
IF(COUNTIF($B:$B,B120)&lt;=3,"Returning Customer","Loyal Customer"))</f>
        <v>Returning Customer</v>
      </c>
      <c r="P120" s="3" t="str">
        <f>IF(cf_cl[[#This Row],[referred_claim]]="Yes","Referred","Not Referred")</f>
        <v>Not Referred</v>
      </c>
    </row>
    <row r="121" spans="1:16" x14ac:dyDescent="0.3">
      <c r="A121" t="s">
        <v>255</v>
      </c>
      <c r="B121" t="s">
        <v>256</v>
      </c>
      <c r="C121" s="1">
        <v>45074</v>
      </c>
      <c r="D121" t="s">
        <v>83</v>
      </c>
      <c r="E121">
        <v>1</v>
      </c>
      <c r="F121" s="3" t="s">
        <v>10</v>
      </c>
      <c r="G121" s="3" t="s">
        <v>10</v>
      </c>
      <c r="H121" s="3" t="str">
        <f>IF(cf_cl[[#This Row],[satisfaction_score]]&gt;=4,"Happy",IF(cf_cl[[#This Row],[satisfaction_score]]=3,"Neutral","Negative"))</f>
        <v>Negative</v>
      </c>
      <c r="I121" s="3" t="str">
        <f>IF(cf_cl[[#This Row],[satisfaction_score]]&lt;=2,"Low",IF(cf_cl[[#This Row],[satisfaction_score]]=3,"Medium","High"))</f>
        <v>Low</v>
      </c>
      <c r="J121">
        <f>YEAR(cf_cl[[#This Row],[date_submitted]])</f>
        <v>2023</v>
      </c>
      <c r="K121" s="3" t="str">
        <f>TEXT(cf_cl[[#This Row],[date_submitted]],"mmm")</f>
        <v>May</v>
      </c>
      <c r="L121" s="3" t="str">
        <f t="shared" si="3"/>
        <v>Q2</v>
      </c>
      <c r="M121" s="3" t="str">
        <f t="shared" si="4"/>
        <v>Sunday</v>
      </c>
      <c r="N121" s="3" t="str">
        <f t="shared" si="5"/>
        <v>Yes</v>
      </c>
      <c r="O121" s="3" t="str">
        <f>IF(COUNTIF($B:$B,B121)=1,"New Customer",
IF(COUNTIF($B:$B,B121)&lt;=3,"Returning Customer","Loyal Customer"))</f>
        <v>New Customer</v>
      </c>
      <c r="P121" s="3" t="str">
        <f>IF(cf_cl[[#This Row],[referred_claim]]="Yes","Referred","Not Referred")</f>
        <v>Referred</v>
      </c>
    </row>
    <row r="122" spans="1:16" x14ac:dyDescent="0.3">
      <c r="A122" t="s">
        <v>257</v>
      </c>
      <c r="B122" t="s">
        <v>258</v>
      </c>
      <c r="C122" s="1">
        <v>44837</v>
      </c>
      <c r="D122" t="s">
        <v>19</v>
      </c>
      <c r="E122">
        <v>3</v>
      </c>
      <c r="F122" s="3" t="s">
        <v>13</v>
      </c>
      <c r="G122" s="3" t="s">
        <v>13</v>
      </c>
      <c r="H122" s="3" t="str">
        <f>IF(cf_cl[[#This Row],[satisfaction_score]]&gt;=4,"Happy",IF(cf_cl[[#This Row],[satisfaction_score]]=3,"Neutral","Negative"))</f>
        <v>Neutral</v>
      </c>
      <c r="I122" s="3" t="str">
        <f>IF(cf_cl[[#This Row],[satisfaction_score]]&lt;=2,"Low",IF(cf_cl[[#This Row],[satisfaction_score]]=3,"Medium","High"))</f>
        <v>Medium</v>
      </c>
      <c r="J122">
        <f>YEAR(cf_cl[[#This Row],[date_submitted]])</f>
        <v>2022</v>
      </c>
      <c r="K122" s="3" t="str">
        <f>TEXT(cf_cl[[#This Row],[date_submitted]],"mmm")</f>
        <v>Oct</v>
      </c>
      <c r="L122" s="3" t="str">
        <f t="shared" si="3"/>
        <v>Q4</v>
      </c>
      <c r="M122" s="3" t="str">
        <f t="shared" si="4"/>
        <v>Monday</v>
      </c>
      <c r="N122" s="3" t="str">
        <f t="shared" si="5"/>
        <v>No</v>
      </c>
      <c r="O122" s="3" t="str">
        <f>IF(COUNTIF($B:$B,B122)=1,"New Customer",
IF(COUNTIF($B:$B,B122)&lt;=3,"Returning Customer","Loyal Customer"))</f>
        <v>New Customer</v>
      </c>
      <c r="P122" s="3" t="str">
        <f>IF(cf_cl[[#This Row],[referred_claim]]="Yes","Referred","Not Referred")</f>
        <v>Not Referred</v>
      </c>
    </row>
    <row r="123" spans="1:16" x14ac:dyDescent="0.3">
      <c r="A123" t="s">
        <v>259</v>
      </c>
      <c r="B123" t="s">
        <v>260</v>
      </c>
      <c r="C123" s="1">
        <v>44200</v>
      </c>
      <c r="D123" t="s">
        <v>19</v>
      </c>
      <c r="E123">
        <v>2</v>
      </c>
      <c r="F123" s="3" t="s">
        <v>10</v>
      </c>
      <c r="G123" s="3" t="s">
        <v>13</v>
      </c>
      <c r="H123" s="3" t="str">
        <f>IF(cf_cl[[#This Row],[satisfaction_score]]&gt;=4,"Happy",IF(cf_cl[[#This Row],[satisfaction_score]]=3,"Neutral","Negative"))</f>
        <v>Negative</v>
      </c>
      <c r="I123" s="3" t="str">
        <f>IF(cf_cl[[#This Row],[satisfaction_score]]&lt;=2,"Low",IF(cf_cl[[#This Row],[satisfaction_score]]=3,"Medium","High"))</f>
        <v>Low</v>
      </c>
      <c r="J123">
        <f>YEAR(cf_cl[[#This Row],[date_submitted]])</f>
        <v>2021</v>
      </c>
      <c r="K123" s="3" t="str">
        <f>TEXT(cf_cl[[#This Row],[date_submitted]],"mmm")</f>
        <v>Jan</v>
      </c>
      <c r="L123" s="3" t="str">
        <f t="shared" si="3"/>
        <v>Q1</v>
      </c>
      <c r="M123" s="3" t="str">
        <f t="shared" si="4"/>
        <v>Monday</v>
      </c>
      <c r="N123" s="3" t="str">
        <f t="shared" si="5"/>
        <v>Yes</v>
      </c>
      <c r="O123" s="3" t="str">
        <f>IF(COUNTIF($B:$B,B123)=1,"New Customer",
IF(COUNTIF($B:$B,B123)&lt;=3,"Returning Customer","Loyal Customer"))</f>
        <v>New Customer</v>
      </c>
      <c r="P123" s="3" t="str">
        <f>IF(cf_cl[[#This Row],[referred_claim]]="Yes","Referred","Not Referred")</f>
        <v>Not Referred</v>
      </c>
    </row>
    <row r="124" spans="1:16" x14ac:dyDescent="0.3">
      <c r="A124" t="s">
        <v>261</v>
      </c>
      <c r="B124" t="s">
        <v>262</v>
      </c>
      <c r="C124" s="1">
        <v>45094</v>
      </c>
      <c r="D124" t="s">
        <v>16</v>
      </c>
      <c r="E124">
        <v>5</v>
      </c>
      <c r="F124" s="3" t="s">
        <v>10</v>
      </c>
      <c r="G124" s="3" t="s">
        <v>10</v>
      </c>
      <c r="H124" s="3" t="str">
        <f>IF(cf_cl[[#This Row],[satisfaction_score]]&gt;=4,"Happy",IF(cf_cl[[#This Row],[satisfaction_score]]=3,"Neutral","Negative"))</f>
        <v>Happy</v>
      </c>
      <c r="I124" s="3" t="str">
        <f>IF(cf_cl[[#This Row],[satisfaction_score]]&lt;=2,"Low",IF(cf_cl[[#This Row],[satisfaction_score]]=3,"Medium","High"))</f>
        <v>High</v>
      </c>
      <c r="J124">
        <f>YEAR(cf_cl[[#This Row],[date_submitted]])</f>
        <v>2023</v>
      </c>
      <c r="K124" s="3" t="str">
        <f>TEXT(cf_cl[[#This Row],[date_submitted]],"mmm")</f>
        <v>Jun</v>
      </c>
      <c r="L124" s="3" t="str">
        <f t="shared" si="3"/>
        <v>Q2</v>
      </c>
      <c r="M124" s="3" t="str">
        <f t="shared" si="4"/>
        <v>Saturday</v>
      </c>
      <c r="N124" s="3" t="str">
        <f t="shared" si="5"/>
        <v>No</v>
      </c>
      <c r="O124" s="3" t="str">
        <f>IF(COUNTIF($B:$B,B124)=1,"New Customer",
IF(COUNTIF($B:$B,B124)&lt;=3,"Returning Customer","Loyal Customer"))</f>
        <v>Returning Customer</v>
      </c>
      <c r="P124" s="3" t="str">
        <f>IF(cf_cl[[#This Row],[referred_claim]]="Yes","Referred","Not Referred")</f>
        <v>Referred</v>
      </c>
    </row>
    <row r="125" spans="1:16" x14ac:dyDescent="0.3">
      <c r="A125" t="s">
        <v>263</v>
      </c>
      <c r="B125" t="s">
        <v>264</v>
      </c>
      <c r="C125" s="1">
        <v>45254</v>
      </c>
      <c r="D125" t="s">
        <v>83</v>
      </c>
      <c r="E125">
        <v>3</v>
      </c>
      <c r="F125" s="3" t="s">
        <v>13</v>
      </c>
      <c r="G125" s="3" t="s">
        <v>13</v>
      </c>
      <c r="H125" s="3" t="str">
        <f>IF(cf_cl[[#This Row],[satisfaction_score]]&gt;=4,"Happy",IF(cf_cl[[#This Row],[satisfaction_score]]=3,"Neutral","Negative"))</f>
        <v>Neutral</v>
      </c>
      <c r="I125" s="3" t="str">
        <f>IF(cf_cl[[#This Row],[satisfaction_score]]&lt;=2,"Low",IF(cf_cl[[#This Row],[satisfaction_score]]=3,"Medium","High"))</f>
        <v>Medium</v>
      </c>
      <c r="J125">
        <f>YEAR(cf_cl[[#This Row],[date_submitted]])</f>
        <v>2023</v>
      </c>
      <c r="K125" s="3" t="str">
        <f>TEXT(cf_cl[[#This Row],[date_submitted]],"mmm")</f>
        <v>Nov</v>
      </c>
      <c r="L125" s="3" t="str">
        <f t="shared" si="3"/>
        <v>Q4</v>
      </c>
      <c r="M125" s="3" t="str">
        <f t="shared" si="4"/>
        <v>Friday</v>
      </c>
      <c r="N125" s="3" t="str">
        <f t="shared" si="5"/>
        <v>No</v>
      </c>
      <c r="O125" s="3" t="str">
        <f>IF(COUNTIF($B:$B,B125)=1,"New Customer",
IF(COUNTIF($B:$B,B125)&lt;=3,"Returning Customer","Loyal Customer"))</f>
        <v>New Customer</v>
      </c>
      <c r="P125" s="3" t="str">
        <f>IF(cf_cl[[#This Row],[referred_claim]]="Yes","Referred","Not Referred")</f>
        <v>Not Referred</v>
      </c>
    </row>
    <row r="126" spans="1:16" x14ac:dyDescent="0.3">
      <c r="A126" t="s">
        <v>265</v>
      </c>
      <c r="B126" t="s">
        <v>266</v>
      </c>
      <c r="C126" s="1">
        <v>44368</v>
      </c>
      <c r="D126" t="s">
        <v>83</v>
      </c>
      <c r="E126">
        <v>3</v>
      </c>
      <c r="F126" s="3" t="s">
        <v>13</v>
      </c>
      <c r="G126" s="3" t="s">
        <v>10</v>
      </c>
      <c r="H126" s="3" t="str">
        <f>IF(cf_cl[[#This Row],[satisfaction_score]]&gt;=4,"Happy",IF(cf_cl[[#This Row],[satisfaction_score]]=3,"Neutral","Negative"))</f>
        <v>Neutral</v>
      </c>
      <c r="I126" s="3" t="str">
        <f>IF(cf_cl[[#This Row],[satisfaction_score]]&lt;=2,"Low",IF(cf_cl[[#This Row],[satisfaction_score]]=3,"Medium","High"))</f>
        <v>Medium</v>
      </c>
      <c r="J126">
        <f>YEAR(cf_cl[[#This Row],[date_submitted]])</f>
        <v>2021</v>
      </c>
      <c r="K126" s="3" t="str">
        <f>TEXT(cf_cl[[#This Row],[date_submitted]],"mmm")</f>
        <v>Jun</v>
      </c>
      <c r="L126" s="3" t="str">
        <f t="shared" si="3"/>
        <v>Q2</v>
      </c>
      <c r="M126" s="3" t="str">
        <f t="shared" si="4"/>
        <v>Monday</v>
      </c>
      <c r="N126" s="3" t="str">
        <f t="shared" si="5"/>
        <v>No</v>
      </c>
      <c r="O126" s="3" t="str">
        <f>IF(COUNTIF($B:$B,B126)=1,"New Customer",
IF(COUNTIF($B:$B,B126)&lt;=3,"Returning Customer","Loyal Customer"))</f>
        <v>Returning Customer</v>
      </c>
      <c r="P126" s="3" t="str">
        <f>IF(cf_cl[[#This Row],[referred_claim]]="Yes","Referred","Not Referred")</f>
        <v>Referred</v>
      </c>
    </row>
    <row r="127" spans="1:16" x14ac:dyDescent="0.3">
      <c r="A127" t="s">
        <v>267</v>
      </c>
      <c r="B127" t="s">
        <v>268</v>
      </c>
      <c r="C127" s="1">
        <v>43950</v>
      </c>
      <c r="D127" t="s">
        <v>68</v>
      </c>
      <c r="E127">
        <v>1</v>
      </c>
      <c r="F127" s="3" t="s">
        <v>13</v>
      </c>
      <c r="G127" s="3" t="s">
        <v>13</v>
      </c>
      <c r="H127" s="3" t="str">
        <f>IF(cf_cl[[#This Row],[satisfaction_score]]&gt;=4,"Happy",IF(cf_cl[[#This Row],[satisfaction_score]]=3,"Neutral","Negative"))</f>
        <v>Negative</v>
      </c>
      <c r="I127" s="3" t="str">
        <f>IF(cf_cl[[#This Row],[satisfaction_score]]&lt;=2,"Low",IF(cf_cl[[#This Row],[satisfaction_score]]=3,"Medium","High"))</f>
        <v>Low</v>
      </c>
      <c r="J127">
        <f>YEAR(cf_cl[[#This Row],[date_submitted]])</f>
        <v>2020</v>
      </c>
      <c r="K127" s="3" t="str">
        <f>TEXT(cf_cl[[#This Row],[date_submitted]],"mmm")</f>
        <v>Apr</v>
      </c>
      <c r="L127" s="3" t="str">
        <f t="shared" si="3"/>
        <v>Q2</v>
      </c>
      <c r="M127" s="3" t="str">
        <f t="shared" si="4"/>
        <v>Wednesday</v>
      </c>
      <c r="N127" s="3" t="str">
        <f t="shared" si="5"/>
        <v>Yes</v>
      </c>
      <c r="O127" s="3" t="str">
        <f>IF(COUNTIF($B:$B,B127)=1,"New Customer",
IF(COUNTIF($B:$B,B127)&lt;=3,"Returning Customer","Loyal Customer"))</f>
        <v>New Customer</v>
      </c>
      <c r="P127" s="3" t="str">
        <f>IF(cf_cl[[#This Row],[referred_claim]]="Yes","Referred","Not Referred")</f>
        <v>Not Referred</v>
      </c>
    </row>
    <row r="128" spans="1:16" x14ac:dyDescent="0.3">
      <c r="A128" t="s">
        <v>269</v>
      </c>
      <c r="B128" t="s">
        <v>70</v>
      </c>
      <c r="C128" s="1">
        <v>45173</v>
      </c>
      <c r="D128" t="s">
        <v>22</v>
      </c>
      <c r="E128">
        <v>5</v>
      </c>
      <c r="F128" s="3" t="s">
        <v>13</v>
      </c>
      <c r="G128" s="3" t="s">
        <v>13</v>
      </c>
      <c r="H128" s="3" t="str">
        <f>IF(cf_cl[[#This Row],[satisfaction_score]]&gt;=4,"Happy",IF(cf_cl[[#This Row],[satisfaction_score]]=3,"Neutral","Negative"))</f>
        <v>Happy</v>
      </c>
      <c r="I128" s="3" t="str">
        <f>IF(cf_cl[[#This Row],[satisfaction_score]]&lt;=2,"Low",IF(cf_cl[[#This Row],[satisfaction_score]]=3,"Medium","High"))</f>
        <v>High</v>
      </c>
      <c r="J128">
        <f>YEAR(cf_cl[[#This Row],[date_submitted]])</f>
        <v>2023</v>
      </c>
      <c r="K128" s="3" t="str">
        <f>TEXT(cf_cl[[#This Row],[date_submitted]],"mmm")</f>
        <v>Sep</v>
      </c>
      <c r="L128" s="3" t="str">
        <f t="shared" si="3"/>
        <v>Q3</v>
      </c>
      <c r="M128" s="3" t="str">
        <f t="shared" si="4"/>
        <v>Monday</v>
      </c>
      <c r="N128" s="3" t="str">
        <f t="shared" si="5"/>
        <v>No</v>
      </c>
      <c r="O128" s="3" t="str">
        <f>IF(COUNTIF($B:$B,B128)=1,"New Customer",
IF(COUNTIF($B:$B,B128)&lt;=3,"Returning Customer","Loyal Customer"))</f>
        <v>Returning Customer</v>
      </c>
      <c r="P128" s="3" t="str">
        <f>IF(cf_cl[[#This Row],[referred_claim]]="Yes","Referred","Not Referred")</f>
        <v>Not Referred</v>
      </c>
    </row>
    <row r="129" spans="1:16" x14ac:dyDescent="0.3">
      <c r="A129" t="s">
        <v>270</v>
      </c>
      <c r="B129" t="s">
        <v>271</v>
      </c>
      <c r="C129" s="1">
        <v>44970</v>
      </c>
      <c r="D129" t="s">
        <v>25</v>
      </c>
      <c r="E129">
        <v>4</v>
      </c>
      <c r="F129" s="3" t="s">
        <v>13</v>
      </c>
      <c r="G129" s="3" t="s">
        <v>10</v>
      </c>
      <c r="H129" s="3" t="str">
        <f>IF(cf_cl[[#This Row],[satisfaction_score]]&gt;=4,"Happy",IF(cf_cl[[#This Row],[satisfaction_score]]=3,"Neutral","Negative"))</f>
        <v>Happy</v>
      </c>
      <c r="I129" s="3" t="str">
        <f>IF(cf_cl[[#This Row],[satisfaction_score]]&lt;=2,"Low",IF(cf_cl[[#This Row],[satisfaction_score]]=3,"Medium","High"))</f>
        <v>High</v>
      </c>
      <c r="J129">
        <f>YEAR(cf_cl[[#This Row],[date_submitted]])</f>
        <v>2023</v>
      </c>
      <c r="K129" s="3" t="str">
        <f>TEXT(cf_cl[[#This Row],[date_submitted]],"mmm")</f>
        <v>Feb</v>
      </c>
      <c r="L129" s="3" t="str">
        <f t="shared" si="3"/>
        <v>Q1</v>
      </c>
      <c r="M129" s="3" t="str">
        <f t="shared" si="4"/>
        <v>Monday</v>
      </c>
      <c r="N129" s="3" t="str">
        <f t="shared" si="5"/>
        <v>No</v>
      </c>
      <c r="O129" s="3" t="str">
        <f>IF(COUNTIF($B:$B,B129)=1,"New Customer",
IF(COUNTIF($B:$B,B129)&lt;=3,"Returning Customer","Loyal Customer"))</f>
        <v>New Customer</v>
      </c>
      <c r="P129" s="3" t="str">
        <f>IF(cf_cl[[#This Row],[referred_claim]]="Yes","Referred","Not Referred")</f>
        <v>Referred</v>
      </c>
    </row>
    <row r="130" spans="1:16" x14ac:dyDescent="0.3">
      <c r="A130" t="s">
        <v>272</v>
      </c>
      <c r="B130" t="s">
        <v>273</v>
      </c>
      <c r="C130" s="1">
        <v>44870</v>
      </c>
      <c r="D130" t="s">
        <v>22</v>
      </c>
      <c r="E130">
        <v>4</v>
      </c>
      <c r="F130" s="3" t="s">
        <v>10</v>
      </c>
      <c r="G130" s="3" t="s">
        <v>13</v>
      </c>
      <c r="H130" s="3" t="str">
        <f>IF(cf_cl[[#This Row],[satisfaction_score]]&gt;=4,"Happy",IF(cf_cl[[#This Row],[satisfaction_score]]=3,"Neutral","Negative"))</f>
        <v>Happy</v>
      </c>
      <c r="I130" s="3" t="str">
        <f>IF(cf_cl[[#This Row],[satisfaction_score]]&lt;=2,"Low",IF(cf_cl[[#This Row],[satisfaction_score]]=3,"Medium","High"))</f>
        <v>High</v>
      </c>
      <c r="J130">
        <f>YEAR(cf_cl[[#This Row],[date_submitted]])</f>
        <v>2022</v>
      </c>
      <c r="K130" s="3" t="str">
        <f>TEXT(cf_cl[[#This Row],[date_submitted]],"mmm")</f>
        <v>Nov</v>
      </c>
      <c r="L130" s="3" t="str">
        <f t="shared" ref="L130:L193" si="6">"Q"&amp;ROUNDUP(MONTH(C130)/3,0)</f>
        <v>Q4</v>
      </c>
      <c r="M130" s="3" t="str">
        <f t="shared" ref="M130:M193" si="7">TEXT(C130,"dddd")</f>
        <v>Saturday</v>
      </c>
      <c r="N130" s="3" t="str">
        <f t="shared" ref="N130:N193" si="8">IF(E130&lt;=2,"Yes","No")</f>
        <v>No</v>
      </c>
      <c r="O130" s="3" t="str">
        <f>IF(COUNTIF($B:$B,B130)=1,"New Customer",
IF(COUNTIF($B:$B,B130)&lt;=3,"Returning Customer","Loyal Customer"))</f>
        <v>New Customer</v>
      </c>
      <c r="P130" s="3" t="str">
        <f>IF(cf_cl[[#This Row],[referred_claim]]="Yes","Referred","Not Referred")</f>
        <v>Not Referred</v>
      </c>
    </row>
    <row r="131" spans="1:16" x14ac:dyDescent="0.3">
      <c r="A131" t="s">
        <v>274</v>
      </c>
      <c r="B131" t="s">
        <v>275</v>
      </c>
      <c r="C131" s="1">
        <v>43895</v>
      </c>
      <c r="D131" t="s">
        <v>28</v>
      </c>
      <c r="E131">
        <v>4</v>
      </c>
      <c r="F131" s="3" t="s">
        <v>10</v>
      </c>
      <c r="G131" s="3" t="s">
        <v>10</v>
      </c>
      <c r="H131" s="3" t="str">
        <f>IF(cf_cl[[#This Row],[satisfaction_score]]&gt;=4,"Happy",IF(cf_cl[[#This Row],[satisfaction_score]]=3,"Neutral","Negative"))</f>
        <v>Happy</v>
      </c>
      <c r="I131" s="3" t="str">
        <f>IF(cf_cl[[#This Row],[satisfaction_score]]&lt;=2,"Low",IF(cf_cl[[#This Row],[satisfaction_score]]=3,"Medium","High"))</f>
        <v>High</v>
      </c>
      <c r="J131">
        <f>YEAR(cf_cl[[#This Row],[date_submitted]])</f>
        <v>2020</v>
      </c>
      <c r="K131" s="3" t="str">
        <f>TEXT(cf_cl[[#This Row],[date_submitted]],"mmm")</f>
        <v>Mar</v>
      </c>
      <c r="L131" s="3" t="str">
        <f t="shared" si="6"/>
        <v>Q1</v>
      </c>
      <c r="M131" s="3" t="str">
        <f t="shared" si="7"/>
        <v>Thursday</v>
      </c>
      <c r="N131" s="3" t="str">
        <f t="shared" si="8"/>
        <v>No</v>
      </c>
      <c r="O131" s="3" t="str">
        <f>IF(COUNTIF($B:$B,B131)=1,"New Customer",
IF(COUNTIF($B:$B,B131)&lt;=3,"Returning Customer","Loyal Customer"))</f>
        <v>New Customer</v>
      </c>
      <c r="P131" s="3" t="str">
        <f>IF(cf_cl[[#This Row],[referred_claim]]="Yes","Referred","Not Referred")</f>
        <v>Referred</v>
      </c>
    </row>
    <row r="132" spans="1:16" x14ac:dyDescent="0.3">
      <c r="A132" t="s">
        <v>276</v>
      </c>
      <c r="B132" t="s">
        <v>277</v>
      </c>
      <c r="C132" s="1">
        <v>44912</v>
      </c>
      <c r="D132" t="s">
        <v>9</v>
      </c>
      <c r="E132">
        <v>2</v>
      </c>
      <c r="F132" s="3" t="s">
        <v>10</v>
      </c>
      <c r="G132" s="3" t="s">
        <v>10</v>
      </c>
      <c r="H132" s="3" t="str">
        <f>IF(cf_cl[[#This Row],[satisfaction_score]]&gt;=4,"Happy",IF(cf_cl[[#This Row],[satisfaction_score]]=3,"Neutral","Negative"))</f>
        <v>Negative</v>
      </c>
      <c r="I132" s="3" t="str">
        <f>IF(cf_cl[[#This Row],[satisfaction_score]]&lt;=2,"Low",IF(cf_cl[[#This Row],[satisfaction_score]]=3,"Medium","High"))</f>
        <v>Low</v>
      </c>
      <c r="J132">
        <f>YEAR(cf_cl[[#This Row],[date_submitted]])</f>
        <v>2022</v>
      </c>
      <c r="K132" s="3" t="str">
        <f>TEXT(cf_cl[[#This Row],[date_submitted]],"mmm")</f>
        <v>Dec</v>
      </c>
      <c r="L132" s="3" t="str">
        <f t="shared" si="6"/>
        <v>Q4</v>
      </c>
      <c r="M132" s="3" t="str">
        <f t="shared" si="7"/>
        <v>Saturday</v>
      </c>
      <c r="N132" s="3" t="str">
        <f t="shared" si="8"/>
        <v>Yes</v>
      </c>
      <c r="O132" s="3" t="str">
        <f>IF(COUNTIF($B:$B,B132)=1,"New Customer",
IF(COUNTIF($B:$B,B132)&lt;=3,"Returning Customer","Loyal Customer"))</f>
        <v>New Customer</v>
      </c>
      <c r="P132" s="3" t="str">
        <f>IF(cf_cl[[#This Row],[referred_claim]]="Yes","Referred","Not Referred")</f>
        <v>Referred</v>
      </c>
    </row>
    <row r="133" spans="1:16" x14ac:dyDescent="0.3">
      <c r="A133" t="s">
        <v>278</v>
      </c>
      <c r="B133" t="s">
        <v>279</v>
      </c>
      <c r="C133" s="1">
        <v>44414</v>
      </c>
      <c r="D133" t="s">
        <v>22</v>
      </c>
      <c r="E133">
        <v>4</v>
      </c>
      <c r="F133" s="3" t="s">
        <v>13</v>
      </c>
      <c r="G133" s="3" t="s">
        <v>10</v>
      </c>
      <c r="H133" s="3" t="str">
        <f>IF(cf_cl[[#This Row],[satisfaction_score]]&gt;=4,"Happy",IF(cf_cl[[#This Row],[satisfaction_score]]=3,"Neutral","Negative"))</f>
        <v>Happy</v>
      </c>
      <c r="I133" s="3" t="str">
        <f>IF(cf_cl[[#This Row],[satisfaction_score]]&lt;=2,"Low",IF(cf_cl[[#This Row],[satisfaction_score]]=3,"Medium","High"))</f>
        <v>High</v>
      </c>
      <c r="J133">
        <f>YEAR(cf_cl[[#This Row],[date_submitted]])</f>
        <v>2021</v>
      </c>
      <c r="K133" s="3" t="str">
        <f>TEXT(cf_cl[[#This Row],[date_submitted]],"mmm")</f>
        <v>Aug</v>
      </c>
      <c r="L133" s="3" t="str">
        <f t="shared" si="6"/>
        <v>Q3</v>
      </c>
      <c r="M133" s="3" t="str">
        <f t="shared" si="7"/>
        <v>Friday</v>
      </c>
      <c r="N133" s="3" t="str">
        <f t="shared" si="8"/>
        <v>No</v>
      </c>
      <c r="O133" s="3" t="str">
        <f>IF(COUNTIF($B:$B,B133)=1,"New Customer",
IF(COUNTIF($B:$B,B133)&lt;=3,"Returning Customer","Loyal Customer"))</f>
        <v>New Customer</v>
      </c>
      <c r="P133" s="3" t="str">
        <f>IF(cf_cl[[#This Row],[referred_claim]]="Yes","Referred","Not Referred")</f>
        <v>Referred</v>
      </c>
    </row>
    <row r="134" spans="1:16" x14ac:dyDescent="0.3">
      <c r="A134" t="s">
        <v>280</v>
      </c>
      <c r="B134" t="s">
        <v>281</v>
      </c>
      <c r="C134" s="1">
        <v>45148</v>
      </c>
      <c r="D134" t="s">
        <v>37</v>
      </c>
      <c r="E134">
        <v>5</v>
      </c>
      <c r="F134" s="3" t="s">
        <v>13</v>
      </c>
      <c r="G134" s="3" t="s">
        <v>13</v>
      </c>
      <c r="H134" s="3" t="str">
        <f>IF(cf_cl[[#This Row],[satisfaction_score]]&gt;=4,"Happy",IF(cf_cl[[#This Row],[satisfaction_score]]=3,"Neutral","Negative"))</f>
        <v>Happy</v>
      </c>
      <c r="I134" s="3" t="str">
        <f>IF(cf_cl[[#This Row],[satisfaction_score]]&lt;=2,"Low",IF(cf_cl[[#This Row],[satisfaction_score]]=3,"Medium","High"))</f>
        <v>High</v>
      </c>
      <c r="J134">
        <f>YEAR(cf_cl[[#This Row],[date_submitted]])</f>
        <v>2023</v>
      </c>
      <c r="K134" s="3" t="str">
        <f>TEXT(cf_cl[[#This Row],[date_submitted]],"mmm")</f>
        <v>Aug</v>
      </c>
      <c r="L134" s="3" t="str">
        <f t="shared" si="6"/>
        <v>Q3</v>
      </c>
      <c r="M134" s="3" t="str">
        <f t="shared" si="7"/>
        <v>Thursday</v>
      </c>
      <c r="N134" s="3" t="str">
        <f t="shared" si="8"/>
        <v>No</v>
      </c>
      <c r="O134" s="3" t="str">
        <f>IF(COUNTIF($B:$B,B134)=1,"New Customer",
IF(COUNTIF($B:$B,B134)&lt;=3,"Returning Customer","Loyal Customer"))</f>
        <v>New Customer</v>
      </c>
      <c r="P134" s="3" t="str">
        <f>IF(cf_cl[[#This Row],[referred_claim]]="Yes","Referred","Not Referred")</f>
        <v>Not Referred</v>
      </c>
    </row>
    <row r="135" spans="1:16" x14ac:dyDescent="0.3">
      <c r="A135" t="s">
        <v>282</v>
      </c>
      <c r="B135" t="s">
        <v>283</v>
      </c>
      <c r="C135" s="1">
        <v>44478</v>
      </c>
      <c r="D135" t="s">
        <v>16</v>
      </c>
      <c r="E135">
        <v>5</v>
      </c>
      <c r="F135" s="3" t="s">
        <v>10</v>
      </c>
      <c r="G135" s="3" t="s">
        <v>10</v>
      </c>
      <c r="H135" s="3" t="str">
        <f>IF(cf_cl[[#This Row],[satisfaction_score]]&gt;=4,"Happy",IF(cf_cl[[#This Row],[satisfaction_score]]=3,"Neutral","Negative"))</f>
        <v>Happy</v>
      </c>
      <c r="I135" s="3" t="str">
        <f>IF(cf_cl[[#This Row],[satisfaction_score]]&lt;=2,"Low",IF(cf_cl[[#This Row],[satisfaction_score]]=3,"Medium","High"))</f>
        <v>High</v>
      </c>
      <c r="J135">
        <f>YEAR(cf_cl[[#This Row],[date_submitted]])</f>
        <v>2021</v>
      </c>
      <c r="K135" s="3" t="str">
        <f>TEXT(cf_cl[[#This Row],[date_submitted]],"mmm")</f>
        <v>Oct</v>
      </c>
      <c r="L135" s="3" t="str">
        <f t="shared" si="6"/>
        <v>Q4</v>
      </c>
      <c r="M135" s="3" t="str">
        <f t="shared" si="7"/>
        <v>Saturday</v>
      </c>
      <c r="N135" s="3" t="str">
        <f t="shared" si="8"/>
        <v>No</v>
      </c>
      <c r="O135" s="3" t="str">
        <f>IF(COUNTIF($B:$B,B135)=1,"New Customer",
IF(COUNTIF($B:$B,B135)&lt;=3,"Returning Customer","Loyal Customer"))</f>
        <v>New Customer</v>
      </c>
      <c r="P135" s="3" t="str">
        <f>IF(cf_cl[[#This Row],[referred_claim]]="Yes","Referred","Not Referred")</f>
        <v>Referred</v>
      </c>
    </row>
    <row r="136" spans="1:16" x14ac:dyDescent="0.3">
      <c r="A136" t="s">
        <v>284</v>
      </c>
      <c r="B136" t="s">
        <v>285</v>
      </c>
      <c r="C136" s="1">
        <v>44793</v>
      </c>
      <c r="D136" t="s">
        <v>31</v>
      </c>
      <c r="E136">
        <v>2</v>
      </c>
      <c r="F136" s="3" t="s">
        <v>10</v>
      </c>
      <c r="G136" s="3" t="s">
        <v>10</v>
      </c>
      <c r="H136" s="3" t="str">
        <f>IF(cf_cl[[#This Row],[satisfaction_score]]&gt;=4,"Happy",IF(cf_cl[[#This Row],[satisfaction_score]]=3,"Neutral","Negative"))</f>
        <v>Negative</v>
      </c>
      <c r="I136" s="3" t="str">
        <f>IF(cf_cl[[#This Row],[satisfaction_score]]&lt;=2,"Low",IF(cf_cl[[#This Row],[satisfaction_score]]=3,"Medium","High"))</f>
        <v>Low</v>
      </c>
      <c r="J136">
        <f>YEAR(cf_cl[[#This Row],[date_submitted]])</f>
        <v>2022</v>
      </c>
      <c r="K136" s="3" t="str">
        <f>TEXT(cf_cl[[#This Row],[date_submitted]],"mmm")</f>
        <v>Aug</v>
      </c>
      <c r="L136" s="3" t="str">
        <f t="shared" si="6"/>
        <v>Q3</v>
      </c>
      <c r="M136" s="3" t="str">
        <f t="shared" si="7"/>
        <v>Saturday</v>
      </c>
      <c r="N136" s="3" t="str">
        <f t="shared" si="8"/>
        <v>Yes</v>
      </c>
      <c r="O136" s="3" t="str">
        <f>IF(COUNTIF($B:$B,B136)=1,"New Customer",
IF(COUNTIF($B:$B,B136)&lt;=3,"Returning Customer","Loyal Customer"))</f>
        <v>Returning Customer</v>
      </c>
      <c r="P136" s="3" t="str">
        <f>IF(cf_cl[[#This Row],[referred_claim]]="Yes","Referred","Not Referred")</f>
        <v>Referred</v>
      </c>
    </row>
    <row r="137" spans="1:16" x14ac:dyDescent="0.3">
      <c r="A137" t="s">
        <v>286</v>
      </c>
      <c r="B137" t="s">
        <v>287</v>
      </c>
      <c r="C137" s="1">
        <v>43986</v>
      </c>
      <c r="D137" t="s">
        <v>22</v>
      </c>
      <c r="E137">
        <v>5</v>
      </c>
      <c r="F137" s="3" t="s">
        <v>10</v>
      </c>
      <c r="G137" s="3" t="s">
        <v>10</v>
      </c>
      <c r="H137" s="3" t="str">
        <f>IF(cf_cl[[#This Row],[satisfaction_score]]&gt;=4,"Happy",IF(cf_cl[[#This Row],[satisfaction_score]]=3,"Neutral","Negative"))</f>
        <v>Happy</v>
      </c>
      <c r="I137" s="3" t="str">
        <f>IF(cf_cl[[#This Row],[satisfaction_score]]&lt;=2,"Low",IF(cf_cl[[#This Row],[satisfaction_score]]=3,"Medium","High"))</f>
        <v>High</v>
      </c>
      <c r="J137">
        <f>YEAR(cf_cl[[#This Row],[date_submitted]])</f>
        <v>2020</v>
      </c>
      <c r="K137" s="3" t="str">
        <f>TEXT(cf_cl[[#This Row],[date_submitted]],"mmm")</f>
        <v>Jun</v>
      </c>
      <c r="L137" s="3" t="str">
        <f t="shared" si="6"/>
        <v>Q2</v>
      </c>
      <c r="M137" s="3" t="str">
        <f t="shared" si="7"/>
        <v>Thursday</v>
      </c>
      <c r="N137" s="3" t="str">
        <f t="shared" si="8"/>
        <v>No</v>
      </c>
      <c r="O137" s="3" t="str">
        <f>IF(COUNTIF($B:$B,B137)=1,"New Customer",
IF(COUNTIF($B:$B,B137)&lt;=3,"Returning Customer","Loyal Customer"))</f>
        <v>New Customer</v>
      </c>
      <c r="P137" s="3" t="str">
        <f>IF(cf_cl[[#This Row],[referred_claim]]="Yes","Referred","Not Referred")</f>
        <v>Referred</v>
      </c>
    </row>
    <row r="138" spans="1:16" x14ac:dyDescent="0.3">
      <c r="A138" t="s">
        <v>288</v>
      </c>
      <c r="B138" t="s">
        <v>289</v>
      </c>
      <c r="C138" s="1">
        <v>44572</v>
      </c>
      <c r="D138" t="s">
        <v>19</v>
      </c>
      <c r="E138">
        <v>3</v>
      </c>
      <c r="F138" s="3" t="s">
        <v>10</v>
      </c>
      <c r="G138" s="3" t="s">
        <v>13</v>
      </c>
      <c r="H138" s="3" t="str">
        <f>IF(cf_cl[[#This Row],[satisfaction_score]]&gt;=4,"Happy",IF(cf_cl[[#This Row],[satisfaction_score]]=3,"Neutral","Negative"))</f>
        <v>Neutral</v>
      </c>
      <c r="I138" s="3" t="str">
        <f>IF(cf_cl[[#This Row],[satisfaction_score]]&lt;=2,"Low",IF(cf_cl[[#This Row],[satisfaction_score]]=3,"Medium","High"))</f>
        <v>Medium</v>
      </c>
      <c r="J138">
        <f>YEAR(cf_cl[[#This Row],[date_submitted]])</f>
        <v>2022</v>
      </c>
      <c r="K138" s="3" t="str">
        <f>TEXT(cf_cl[[#This Row],[date_submitted]],"mmm")</f>
        <v>Jan</v>
      </c>
      <c r="L138" s="3" t="str">
        <f t="shared" si="6"/>
        <v>Q1</v>
      </c>
      <c r="M138" s="3" t="str">
        <f t="shared" si="7"/>
        <v>Tuesday</v>
      </c>
      <c r="N138" s="3" t="str">
        <f t="shared" si="8"/>
        <v>No</v>
      </c>
      <c r="O138" s="3" t="str">
        <f>IF(COUNTIF($B:$B,B138)=1,"New Customer",
IF(COUNTIF($B:$B,B138)&lt;=3,"Returning Customer","Loyal Customer"))</f>
        <v>Returning Customer</v>
      </c>
      <c r="P138" s="3" t="str">
        <f>IF(cf_cl[[#This Row],[referred_claim]]="Yes","Referred","Not Referred")</f>
        <v>Not Referred</v>
      </c>
    </row>
    <row r="139" spans="1:16" x14ac:dyDescent="0.3">
      <c r="A139" t="s">
        <v>290</v>
      </c>
      <c r="B139" t="s">
        <v>291</v>
      </c>
      <c r="C139" s="1">
        <v>45141</v>
      </c>
      <c r="D139" t="s">
        <v>31</v>
      </c>
      <c r="E139">
        <v>3</v>
      </c>
      <c r="F139" s="3" t="s">
        <v>10</v>
      </c>
      <c r="G139" s="3" t="s">
        <v>10</v>
      </c>
      <c r="H139" s="3" t="str">
        <f>IF(cf_cl[[#This Row],[satisfaction_score]]&gt;=4,"Happy",IF(cf_cl[[#This Row],[satisfaction_score]]=3,"Neutral","Negative"))</f>
        <v>Neutral</v>
      </c>
      <c r="I139" s="3" t="str">
        <f>IF(cf_cl[[#This Row],[satisfaction_score]]&lt;=2,"Low",IF(cf_cl[[#This Row],[satisfaction_score]]=3,"Medium","High"))</f>
        <v>Medium</v>
      </c>
      <c r="J139">
        <f>YEAR(cf_cl[[#This Row],[date_submitted]])</f>
        <v>2023</v>
      </c>
      <c r="K139" s="3" t="str">
        <f>TEXT(cf_cl[[#This Row],[date_submitted]],"mmm")</f>
        <v>Aug</v>
      </c>
      <c r="L139" s="3" t="str">
        <f t="shared" si="6"/>
        <v>Q3</v>
      </c>
      <c r="M139" s="3" t="str">
        <f t="shared" si="7"/>
        <v>Thursday</v>
      </c>
      <c r="N139" s="3" t="str">
        <f t="shared" si="8"/>
        <v>No</v>
      </c>
      <c r="O139" s="3" t="str">
        <f>IF(COUNTIF($B:$B,B139)=1,"New Customer",
IF(COUNTIF($B:$B,B139)&lt;=3,"Returning Customer","Loyal Customer"))</f>
        <v>New Customer</v>
      </c>
      <c r="P139" s="3" t="str">
        <f>IF(cf_cl[[#This Row],[referred_claim]]="Yes","Referred","Not Referred")</f>
        <v>Referred</v>
      </c>
    </row>
    <row r="140" spans="1:16" x14ac:dyDescent="0.3">
      <c r="A140" t="s">
        <v>292</v>
      </c>
      <c r="B140" t="s">
        <v>293</v>
      </c>
      <c r="C140" s="1">
        <v>44561</v>
      </c>
      <c r="D140" t="s">
        <v>28</v>
      </c>
      <c r="E140">
        <v>5</v>
      </c>
      <c r="F140" s="3" t="s">
        <v>10</v>
      </c>
      <c r="G140" s="3" t="s">
        <v>13</v>
      </c>
      <c r="H140" s="3" t="str">
        <f>IF(cf_cl[[#This Row],[satisfaction_score]]&gt;=4,"Happy",IF(cf_cl[[#This Row],[satisfaction_score]]=3,"Neutral","Negative"))</f>
        <v>Happy</v>
      </c>
      <c r="I140" s="3" t="str">
        <f>IF(cf_cl[[#This Row],[satisfaction_score]]&lt;=2,"Low",IF(cf_cl[[#This Row],[satisfaction_score]]=3,"Medium","High"))</f>
        <v>High</v>
      </c>
      <c r="J140">
        <f>YEAR(cf_cl[[#This Row],[date_submitted]])</f>
        <v>2021</v>
      </c>
      <c r="K140" s="3" t="str">
        <f>TEXT(cf_cl[[#This Row],[date_submitted]],"mmm")</f>
        <v>Dec</v>
      </c>
      <c r="L140" s="3" t="str">
        <f t="shared" si="6"/>
        <v>Q4</v>
      </c>
      <c r="M140" s="3" t="str">
        <f t="shared" si="7"/>
        <v>Friday</v>
      </c>
      <c r="N140" s="3" t="str">
        <f t="shared" si="8"/>
        <v>No</v>
      </c>
      <c r="O140" s="3" t="str">
        <f>IF(COUNTIF($B:$B,B140)=1,"New Customer",
IF(COUNTIF($B:$B,B140)&lt;=3,"Returning Customer","Loyal Customer"))</f>
        <v>Loyal Customer</v>
      </c>
      <c r="P140" s="3" t="str">
        <f>IF(cf_cl[[#This Row],[referred_claim]]="Yes","Referred","Not Referred")</f>
        <v>Not Referred</v>
      </c>
    </row>
    <row r="141" spans="1:16" x14ac:dyDescent="0.3">
      <c r="A141" t="s">
        <v>294</v>
      </c>
      <c r="B141" t="s">
        <v>266</v>
      </c>
      <c r="C141" s="1">
        <v>45224</v>
      </c>
      <c r="D141" t="s">
        <v>28</v>
      </c>
      <c r="E141">
        <v>4</v>
      </c>
      <c r="F141" s="3" t="s">
        <v>10</v>
      </c>
      <c r="G141" s="3" t="s">
        <v>10</v>
      </c>
      <c r="H141" s="3" t="str">
        <f>IF(cf_cl[[#This Row],[satisfaction_score]]&gt;=4,"Happy",IF(cf_cl[[#This Row],[satisfaction_score]]=3,"Neutral","Negative"))</f>
        <v>Happy</v>
      </c>
      <c r="I141" s="3" t="str">
        <f>IF(cf_cl[[#This Row],[satisfaction_score]]&lt;=2,"Low",IF(cf_cl[[#This Row],[satisfaction_score]]=3,"Medium","High"))</f>
        <v>High</v>
      </c>
      <c r="J141">
        <f>YEAR(cf_cl[[#This Row],[date_submitted]])</f>
        <v>2023</v>
      </c>
      <c r="K141" s="3" t="str">
        <f>TEXT(cf_cl[[#This Row],[date_submitted]],"mmm")</f>
        <v>Oct</v>
      </c>
      <c r="L141" s="3" t="str">
        <f t="shared" si="6"/>
        <v>Q4</v>
      </c>
      <c r="M141" s="3" t="str">
        <f t="shared" si="7"/>
        <v>Wednesday</v>
      </c>
      <c r="N141" s="3" t="str">
        <f t="shared" si="8"/>
        <v>No</v>
      </c>
      <c r="O141" s="3" t="str">
        <f>IF(COUNTIF($B:$B,B141)=1,"New Customer",
IF(COUNTIF($B:$B,B141)&lt;=3,"Returning Customer","Loyal Customer"))</f>
        <v>Returning Customer</v>
      </c>
      <c r="P141" s="3" t="str">
        <f>IF(cf_cl[[#This Row],[referred_claim]]="Yes","Referred","Not Referred")</f>
        <v>Referred</v>
      </c>
    </row>
    <row r="142" spans="1:16" x14ac:dyDescent="0.3">
      <c r="A142" t="s">
        <v>295</v>
      </c>
      <c r="B142" t="s">
        <v>296</v>
      </c>
      <c r="C142" s="1">
        <v>45146</v>
      </c>
      <c r="D142" t="s">
        <v>25</v>
      </c>
      <c r="E142">
        <v>5</v>
      </c>
      <c r="F142" s="3" t="s">
        <v>13</v>
      </c>
      <c r="G142" s="3" t="s">
        <v>13</v>
      </c>
      <c r="H142" s="3" t="str">
        <f>IF(cf_cl[[#This Row],[satisfaction_score]]&gt;=4,"Happy",IF(cf_cl[[#This Row],[satisfaction_score]]=3,"Neutral","Negative"))</f>
        <v>Happy</v>
      </c>
      <c r="I142" s="3" t="str">
        <f>IF(cf_cl[[#This Row],[satisfaction_score]]&lt;=2,"Low",IF(cf_cl[[#This Row],[satisfaction_score]]=3,"Medium","High"))</f>
        <v>High</v>
      </c>
      <c r="J142">
        <f>YEAR(cf_cl[[#This Row],[date_submitted]])</f>
        <v>2023</v>
      </c>
      <c r="K142" s="3" t="str">
        <f>TEXT(cf_cl[[#This Row],[date_submitted]],"mmm")</f>
        <v>Aug</v>
      </c>
      <c r="L142" s="3" t="str">
        <f t="shared" si="6"/>
        <v>Q3</v>
      </c>
      <c r="M142" s="3" t="str">
        <f t="shared" si="7"/>
        <v>Tuesday</v>
      </c>
      <c r="N142" s="3" t="str">
        <f t="shared" si="8"/>
        <v>No</v>
      </c>
      <c r="O142" s="3" t="str">
        <f>IF(COUNTIF($B:$B,B142)=1,"New Customer",
IF(COUNTIF($B:$B,B142)&lt;=3,"Returning Customer","Loyal Customer"))</f>
        <v>New Customer</v>
      </c>
      <c r="P142" s="3" t="str">
        <f>IF(cf_cl[[#This Row],[referred_claim]]="Yes","Referred","Not Referred")</f>
        <v>Not Referred</v>
      </c>
    </row>
    <row r="143" spans="1:16" x14ac:dyDescent="0.3">
      <c r="A143" t="s">
        <v>297</v>
      </c>
      <c r="B143" t="s">
        <v>298</v>
      </c>
      <c r="C143" s="1">
        <v>44322</v>
      </c>
      <c r="D143" t="s">
        <v>22</v>
      </c>
      <c r="E143">
        <v>5</v>
      </c>
      <c r="F143" s="3" t="s">
        <v>13</v>
      </c>
      <c r="G143" s="3" t="s">
        <v>13</v>
      </c>
      <c r="H143" s="3" t="str">
        <f>IF(cf_cl[[#This Row],[satisfaction_score]]&gt;=4,"Happy",IF(cf_cl[[#This Row],[satisfaction_score]]=3,"Neutral","Negative"))</f>
        <v>Happy</v>
      </c>
      <c r="I143" s="3" t="str">
        <f>IF(cf_cl[[#This Row],[satisfaction_score]]&lt;=2,"Low",IF(cf_cl[[#This Row],[satisfaction_score]]=3,"Medium","High"))</f>
        <v>High</v>
      </c>
      <c r="J143">
        <f>YEAR(cf_cl[[#This Row],[date_submitted]])</f>
        <v>2021</v>
      </c>
      <c r="K143" s="3" t="str">
        <f>TEXT(cf_cl[[#This Row],[date_submitted]],"mmm")</f>
        <v>May</v>
      </c>
      <c r="L143" s="3" t="str">
        <f t="shared" si="6"/>
        <v>Q2</v>
      </c>
      <c r="M143" s="3" t="str">
        <f t="shared" si="7"/>
        <v>Thursday</v>
      </c>
      <c r="N143" s="3" t="str">
        <f t="shared" si="8"/>
        <v>No</v>
      </c>
      <c r="O143" s="3" t="str">
        <f>IF(COUNTIF($B:$B,B143)=1,"New Customer",
IF(COUNTIF($B:$B,B143)&lt;=3,"Returning Customer","Loyal Customer"))</f>
        <v>New Customer</v>
      </c>
      <c r="P143" s="3" t="str">
        <f>IF(cf_cl[[#This Row],[referred_claim]]="Yes","Referred","Not Referred")</f>
        <v>Not Referred</v>
      </c>
    </row>
    <row r="144" spans="1:16" x14ac:dyDescent="0.3">
      <c r="A144" t="s">
        <v>299</v>
      </c>
      <c r="B144" t="s">
        <v>300</v>
      </c>
      <c r="C144" s="1">
        <v>44197</v>
      </c>
      <c r="D144" t="s">
        <v>68</v>
      </c>
      <c r="E144">
        <v>1</v>
      </c>
      <c r="F144" s="3" t="s">
        <v>13</v>
      </c>
      <c r="G144" s="3" t="s">
        <v>13</v>
      </c>
      <c r="H144" s="3" t="str">
        <f>IF(cf_cl[[#This Row],[satisfaction_score]]&gt;=4,"Happy",IF(cf_cl[[#This Row],[satisfaction_score]]=3,"Neutral","Negative"))</f>
        <v>Negative</v>
      </c>
      <c r="I144" s="3" t="str">
        <f>IF(cf_cl[[#This Row],[satisfaction_score]]&lt;=2,"Low",IF(cf_cl[[#This Row],[satisfaction_score]]=3,"Medium","High"))</f>
        <v>Low</v>
      </c>
      <c r="J144">
        <f>YEAR(cf_cl[[#This Row],[date_submitted]])</f>
        <v>2021</v>
      </c>
      <c r="K144" s="3" t="str">
        <f>TEXT(cf_cl[[#This Row],[date_submitted]],"mmm")</f>
        <v>Jan</v>
      </c>
      <c r="L144" s="3" t="str">
        <f t="shared" si="6"/>
        <v>Q1</v>
      </c>
      <c r="M144" s="3" t="str">
        <f t="shared" si="7"/>
        <v>Friday</v>
      </c>
      <c r="N144" s="3" t="str">
        <f t="shared" si="8"/>
        <v>Yes</v>
      </c>
      <c r="O144" s="3" t="str">
        <f>IF(COUNTIF($B:$B,B144)=1,"New Customer",
IF(COUNTIF($B:$B,B144)&lt;=3,"Returning Customer","Loyal Customer"))</f>
        <v>New Customer</v>
      </c>
      <c r="P144" s="3" t="str">
        <f>IF(cf_cl[[#This Row],[referred_claim]]="Yes","Referred","Not Referred")</f>
        <v>Not Referred</v>
      </c>
    </row>
    <row r="145" spans="1:16" x14ac:dyDescent="0.3">
      <c r="A145" t="s">
        <v>301</v>
      </c>
      <c r="B145" t="s">
        <v>302</v>
      </c>
      <c r="C145" s="1">
        <v>43991</v>
      </c>
      <c r="D145" t="s">
        <v>28</v>
      </c>
      <c r="E145">
        <v>4</v>
      </c>
      <c r="F145" s="3" t="s">
        <v>13</v>
      </c>
      <c r="G145" s="3" t="s">
        <v>10</v>
      </c>
      <c r="H145" s="3" t="str">
        <f>IF(cf_cl[[#This Row],[satisfaction_score]]&gt;=4,"Happy",IF(cf_cl[[#This Row],[satisfaction_score]]=3,"Neutral","Negative"))</f>
        <v>Happy</v>
      </c>
      <c r="I145" s="3" t="str">
        <f>IF(cf_cl[[#This Row],[satisfaction_score]]&lt;=2,"Low",IF(cf_cl[[#This Row],[satisfaction_score]]=3,"Medium","High"))</f>
        <v>High</v>
      </c>
      <c r="J145">
        <f>YEAR(cf_cl[[#This Row],[date_submitted]])</f>
        <v>2020</v>
      </c>
      <c r="K145" s="3" t="str">
        <f>TEXT(cf_cl[[#This Row],[date_submitted]],"mmm")</f>
        <v>Jun</v>
      </c>
      <c r="L145" s="3" t="str">
        <f t="shared" si="6"/>
        <v>Q2</v>
      </c>
      <c r="M145" s="3" t="str">
        <f t="shared" si="7"/>
        <v>Tuesday</v>
      </c>
      <c r="N145" s="3" t="str">
        <f t="shared" si="8"/>
        <v>No</v>
      </c>
      <c r="O145" s="3" t="str">
        <f>IF(COUNTIF($B:$B,B145)=1,"New Customer",
IF(COUNTIF($B:$B,B145)&lt;=3,"Returning Customer","Loyal Customer"))</f>
        <v>Returning Customer</v>
      </c>
      <c r="P145" s="3" t="str">
        <f>IF(cf_cl[[#This Row],[referred_claim]]="Yes","Referred","Not Referred")</f>
        <v>Referred</v>
      </c>
    </row>
    <row r="146" spans="1:16" x14ac:dyDescent="0.3">
      <c r="A146" t="s">
        <v>303</v>
      </c>
      <c r="B146" t="s">
        <v>304</v>
      </c>
      <c r="C146" s="1">
        <v>44929</v>
      </c>
      <c r="D146" t="s">
        <v>31</v>
      </c>
      <c r="E146">
        <v>2</v>
      </c>
      <c r="F146" s="3" t="s">
        <v>10</v>
      </c>
      <c r="G146" s="3" t="s">
        <v>10</v>
      </c>
      <c r="H146" s="3" t="str">
        <f>IF(cf_cl[[#This Row],[satisfaction_score]]&gt;=4,"Happy",IF(cf_cl[[#This Row],[satisfaction_score]]=3,"Neutral","Negative"))</f>
        <v>Negative</v>
      </c>
      <c r="I146" s="3" t="str">
        <f>IF(cf_cl[[#This Row],[satisfaction_score]]&lt;=2,"Low",IF(cf_cl[[#This Row],[satisfaction_score]]=3,"Medium","High"))</f>
        <v>Low</v>
      </c>
      <c r="J146">
        <f>YEAR(cf_cl[[#This Row],[date_submitted]])</f>
        <v>2023</v>
      </c>
      <c r="K146" s="3" t="str">
        <f>TEXT(cf_cl[[#This Row],[date_submitted]],"mmm")</f>
        <v>Jan</v>
      </c>
      <c r="L146" s="3" t="str">
        <f t="shared" si="6"/>
        <v>Q1</v>
      </c>
      <c r="M146" s="3" t="str">
        <f t="shared" si="7"/>
        <v>Tuesday</v>
      </c>
      <c r="N146" s="3" t="str">
        <f t="shared" si="8"/>
        <v>Yes</v>
      </c>
      <c r="O146" s="3" t="str">
        <f>IF(COUNTIF($B:$B,B146)=1,"New Customer",
IF(COUNTIF($B:$B,B146)&lt;=3,"Returning Customer","Loyal Customer"))</f>
        <v>Returning Customer</v>
      </c>
      <c r="P146" s="3" t="str">
        <f>IF(cf_cl[[#This Row],[referred_claim]]="Yes","Referred","Not Referred")</f>
        <v>Referred</v>
      </c>
    </row>
    <row r="147" spans="1:16" x14ac:dyDescent="0.3">
      <c r="A147" t="s">
        <v>305</v>
      </c>
      <c r="B147" t="s">
        <v>306</v>
      </c>
      <c r="C147" s="1">
        <v>44124</v>
      </c>
      <c r="D147" t="s">
        <v>83</v>
      </c>
      <c r="E147">
        <v>1</v>
      </c>
      <c r="F147" s="3" t="s">
        <v>13</v>
      </c>
      <c r="G147" s="3" t="s">
        <v>13</v>
      </c>
      <c r="H147" s="3" t="str">
        <f>IF(cf_cl[[#This Row],[satisfaction_score]]&gt;=4,"Happy",IF(cf_cl[[#This Row],[satisfaction_score]]=3,"Neutral","Negative"))</f>
        <v>Negative</v>
      </c>
      <c r="I147" s="3" t="str">
        <f>IF(cf_cl[[#This Row],[satisfaction_score]]&lt;=2,"Low",IF(cf_cl[[#This Row],[satisfaction_score]]=3,"Medium","High"))</f>
        <v>Low</v>
      </c>
      <c r="J147">
        <f>YEAR(cf_cl[[#This Row],[date_submitted]])</f>
        <v>2020</v>
      </c>
      <c r="K147" s="3" t="str">
        <f>TEXT(cf_cl[[#This Row],[date_submitted]],"mmm")</f>
        <v>Oct</v>
      </c>
      <c r="L147" s="3" t="str">
        <f t="shared" si="6"/>
        <v>Q4</v>
      </c>
      <c r="M147" s="3" t="str">
        <f t="shared" si="7"/>
        <v>Tuesday</v>
      </c>
      <c r="N147" s="3" t="str">
        <f t="shared" si="8"/>
        <v>Yes</v>
      </c>
      <c r="O147" s="3" t="str">
        <f>IF(COUNTIF($B:$B,B147)=1,"New Customer",
IF(COUNTIF($B:$B,B147)&lt;=3,"Returning Customer","Loyal Customer"))</f>
        <v>New Customer</v>
      </c>
      <c r="P147" s="3" t="str">
        <f>IF(cf_cl[[#This Row],[referred_claim]]="Yes","Referred","Not Referred")</f>
        <v>Not Referred</v>
      </c>
    </row>
    <row r="148" spans="1:16" x14ac:dyDescent="0.3">
      <c r="A148" t="s">
        <v>307</v>
      </c>
      <c r="B148" t="s">
        <v>308</v>
      </c>
      <c r="C148" s="1">
        <v>44316</v>
      </c>
      <c r="D148" t="s">
        <v>22</v>
      </c>
      <c r="E148">
        <v>4</v>
      </c>
      <c r="F148" s="3" t="s">
        <v>13</v>
      </c>
      <c r="G148" s="3" t="s">
        <v>13</v>
      </c>
      <c r="H148" s="3" t="str">
        <f>IF(cf_cl[[#This Row],[satisfaction_score]]&gt;=4,"Happy",IF(cf_cl[[#This Row],[satisfaction_score]]=3,"Neutral","Negative"))</f>
        <v>Happy</v>
      </c>
      <c r="I148" s="3" t="str">
        <f>IF(cf_cl[[#This Row],[satisfaction_score]]&lt;=2,"Low",IF(cf_cl[[#This Row],[satisfaction_score]]=3,"Medium","High"))</f>
        <v>High</v>
      </c>
      <c r="J148">
        <f>YEAR(cf_cl[[#This Row],[date_submitted]])</f>
        <v>2021</v>
      </c>
      <c r="K148" s="3" t="str">
        <f>TEXT(cf_cl[[#This Row],[date_submitted]],"mmm")</f>
        <v>Apr</v>
      </c>
      <c r="L148" s="3" t="str">
        <f t="shared" si="6"/>
        <v>Q2</v>
      </c>
      <c r="M148" s="3" t="str">
        <f t="shared" si="7"/>
        <v>Friday</v>
      </c>
      <c r="N148" s="3" t="str">
        <f t="shared" si="8"/>
        <v>No</v>
      </c>
      <c r="O148" s="3" t="str">
        <f>IF(COUNTIF($B:$B,B148)=1,"New Customer",
IF(COUNTIF($B:$B,B148)&lt;=3,"Returning Customer","Loyal Customer"))</f>
        <v>New Customer</v>
      </c>
      <c r="P148" s="3" t="str">
        <f>IF(cf_cl[[#This Row],[referred_claim]]="Yes","Referred","Not Referred")</f>
        <v>Not Referred</v>
      </c>
    </row>
    <row r="149" spans="1:16" x14ac:dyDescent="0.3">
      <c r="A149" t="s">
        <v>309</v>
      </c>
      <c r="B149" t="s">
        <v>101</v>
      </c>
      <c r="C149" s="1">
        <v>44012</v>
      </c>
      <c r="D149" t="s">
        <v>83</v>
      </c>
      <c r="E149">
        <v>1</v>
      </c>
      <c r="F149" s="3" t="s">
        <v>10</v>
      </c>
      <c r="G149" s="3" t="s">
        <v>10</v>
      </c>
      <c r="H149" s="3" t="str">
        <f>IF(cf_cl[[#This Row],[satisfaction_score]]&gt;=4,"Happy",IF(cf_cl[[#This Row],[satisfaction_score]]=3,"Neutral","Negative"))</f>
        <v>Negative</v>
      </c>
      <c r="I149" s="3" t="str">
        <f>IF(cf_cl[[#This Row],[satisfaction_score]]&lt;=2,"Low",IF(cf_cl[[#This Row],[satisfaction_score]]=3,"Medium","High"))</f>
        <v>Low</v>
      </c>
      <c r="J149">
        <f>YEAR(cf_cl[[#This Row],[date_submitted]])</f>
        <v>2020</v>
      </c>
      <c r="K149" s="3" t="str">
        <f>TEXT(cf_cl[[#This Row],[date_submitted]],"mmm")</f>
        <v>Jun</v>
      </c>
      <c r="L149" s="3" t="str">
        <f t="shared" si="6"/>
        <v>Q2</v>
      </c>
      <c r="M149" s="3" t="str">
        <f t="shared" si="7"/>
        <v>Tuesday</v>
      </c>
      <c r="N149" s="3" t="str">
        <f t="shared" si="8"/>
        <v>Yes</v>
      </c>
      <c r="O149" s="3" t="str">
        <f>IF(COUNTIF($B:$B,B149)=1,"New Customer",
IF(COUNTIF($B:$B,B149)&lt;=3,"Returning Customer","Loyal Customer"))</f>
        <v>Returning Customer</v>
      </c>
      <c r="P149" s="3" t="str">
        <f>IF(cf_cl[[#This Row],[referred_claim]]="Yes","Referred","Not Referred")</f>
        <v>Referred</v>
      </c>
    </row>
    <row r="150" spans="1:16" x14ac:dyDescent="0.3">
      <c r="A150" t="s">
        <v>310</v>
      </c>
      <c r="B150" t="s">
        <v>311</v>
      </c>
      <c r="C150" s="1">
        <v>45244</v>
      </c>
      <c r="D150" t="s">
        <v>68</v>
      </c>
      <c r="E150">
        <v>2</v>
      </c>
      <c r="F150" s="3" t="s">
        <v>10</v>
      </c>
      <c r="G150" s="3" t="s">
        <v>13</v>
      </c>
      <c r="H150" s="3" t="str">
        <f>IF(cf_cl[[#This Row],[satisfaction_score]]&gt;=4,"Happy",IF(cf_cl[[#This Row],[satisfaction_score]]=3,"Neutral","Negative"))</f>
        <v>Negative</v>
      </c>
      <c r="I150" s="3" t="str">
        <f>IF(cf_cl[[#This Row],[satisfaction_score]]&lt;=2,"Low",IF(cf_cl[[#This Row],[satisfaction_score]]=3,"Medium","High"))</f>
        <v>Low</v>
      </c>
      <c r="J150">
        <f>YEAR(cf_cl[[#This Row],[date_submitted]])</f>
        <v>2023</v>
      </c>
      <c r="K150" s="3" t="str">
        <f>TEXT(cf_cl[[#This Row],[date_submitted]],"mmm")</f>
        <v>Nov</v>
      </c>
      <c r="L150" s="3" t="str">
        <f t="shared" si="6"/>
        <v>Q4</v>
      </c>
      <c r="M150" s="3" t="str">
        <f t="shared" si="7"/>
        <v>Tuesday</v>
      </c>
      <c r="N150" s="3" t="str">
        <f t="shared" si="8"/>
        <v>Yes</v>
      </c>
      <c r="O150" s="3" t="str">
        <f>IF(COUNTIF($B:$B,B150)=1,"New Customer",
IF(COUNTIF($B:$B,B150)&lt;=3,"Returning Customer","Loyal Customer"))</f>
        <v>Returning Customer</v>
      </c>
      <c r="P150" s="3" t="str">
        <f>IF(cf_cl[[#This Row],[referred_claim]]="Yes","Referred","Not Referred")</f>
        <v>Not Referred</v>
      </c>
    </row>
    <row r="151" spans="1:16" x14ac:dyDescent="0.3">
      <c r="A151" t="s">
        <v>312</v>
      </c>
      <c r="B151" t="s">
        <v>313</v>
      </c>
      <c r="C151" s="1">
        <v>44280</v>
      </c>
      <c r="D151" t="s">
        <v>31</v>
      </c>
      <c r="E151">
        <v>3</v>
      </c>
      <c r="F151" s="3" t="s">
        <v>10</v>
      </c>
      <c r="G151" s="3" t="s">
        <v>13</v>
      </c>
      <c r="H151" s="3" t="str">
        <f>IF(cf_cl[[#This Row],[satisfaction_score]]&gt;=4,"Happy",IF(cf_cl[[#This Row],[satisfaction_score]]=3,"Neutral","Negative"))</f>
        <v>Neutral</v>
      </c>
      <c r="I151" s="3" t="str">
        <f>IF(cf_cl[[#This Row],[satisfaction_score]]&lt;=2,"Low",IF(cf_cl[[#This Row],[satisfaction_score]]=3,"Medium","High"))</f>
        <v>Medium</v>
      </c>
      <c r="J151">
        <f>YEAR(cf_cl[[#This Row],[date_submitted]])</f>
        <v>2021</v>
      </c>
      <c r="K151" s="3" t="str">
        <f>TEXT(cf_cl[[#This Row],[date_submitted]],"mmm")</f>
        <v>Mar</v>
      </c>
      <c r="L151" s="3" t="str">
        <f t="shared" si="6"/>
        <v>Q1</v>
      </c>
      <c r="M151" s="3" t="str">
        <f t="shared" si="7"/>
        <v>Thursday</v>
      </c>
      <c r="N151" s="3" t="str">
        <f t="shared" si="8"/>
        <v>No</v>
      </c>
      <c r="O151" s="3" t="str">
        <f>IF(COUNTIF($B:$B,B151)=1,"New Customer",
IF(COUNTIF($B:$B,B151)&lt;=3,"Returning Customer","Loyal Customer"))</f>
        <v>Returning Customer</v>
      </c>
      <c r="P151" s="3" t="str">
        <f>IF(cf_cl[[#This Row],[referred_claim]]="Yes","Referred","Not Referred")</f>
        <v>Not Referred</v>
      </c>
    </row>
    <row r="152" spans="1:16" x14ac:dyDescent="0.3">
      <c r="A152" t="s">
        <v>314</v>
      </c>
      <c r="B152" t="s">
        <v>315</v>
      </c>
      <c r="C152" s="1">
        <v>44065</v>
      </c>
      <c r="D152" t="s">
        <v>37</v>
      </c>
      <c r="E152">
        <v>4</v>
      </c>
      <c r="F152" s="3" t="s">
        <v>13</v>
      </c>
      <c r="G152" s="3" t="s">
        <v>10</v>
      </c>
      <c r="H152" s="3" t="str">
        <f>IF(cf_cl[[#This Row],[satisfaction_score]]&gt;=4,"Happy",IF(cf_cl[[#This Row],[satisfaction_score]]=3,"Neutral","Negative"))</f>
        <v>Happy</v>
      </c>
      <c r="I152" s="3" t="str">
        <f>IF(cf_cl[[#This Row],[satisfaction_score]]&lt;=2,"Low",IF(cf_cl[[#This Row],[satisfaction_score]]=3,"Medium","High"))</f>
        <v>High</v>
      </c>
      <c r="J152">
        <f>YEAR(cf_cl[[#This Row],[date_submitted]])</f>
        <v>2020</v>
      </c>
      <c r="K152" s="3" t="str">
        <f>TEXT(cf_cl[[#This Row],[date_submitted]],"mmm")</f>
        <v>Aug</v>
      </c>
      <c r="L152" s="3" t="str">
        <f t="shared" si="6"/>
        <v>Q3</v>
      </c>
      <c r="M152" s="3" t="str">
        <f t="shared" si="7"/>
        <v>Saturday</v>
      </c>
      <c r="N152" s="3" t="str">
        <f t="shared" si="8"/>
        <v>No</v>
      </c>
      <c r="O152" s="3" t="str">
        <f>IF(COUNTIF($B:$B,B152)=1,"New Customer",
IF(COUNTIF($B:$B,B152)&lt;=3,"Returning Customer","Loyal Customer"))</f>
        <v>New Customer</v>
      </c>
      <c r="P152" s="3" t="str">
        <f>IF(cf_cl[[#This Row],[referred_claim]]="Yes","Referred","Not Referred")</f>
        <v>Referred</v>
      </c>
    </row>
    <row r="153" spans="1:16" x14ac:dyDescent="0.3">
      <c r="A153" t="s">
        <v>316</v>
      </c>
      <c r="B153" t="s">
        <v>317</v>
      </c>
      <c r="C153" s="1">
        <v>43911</v>
      </c>
      <c r="D153" t="s">
        <v>16</v>
      </c>
      <c r="E153">
        <v>5</v>
      </c>
      <c r="F153" s="3" t="s">
        <v>10</v>
      </c>
      <c r="G153" s="3" t="s">
        <v>13</v>
      </c>
      <c r="H153" s="3" t="str">
        <f>IF(cf_cl[[#This Row],[satisfaction_score]]&gt;=4,"Happy",IF(cf_cl[[#This Row],[satisfaction_score]]=3,"Neutral","Negative"))</f>
        <v>Happy</v>
      </c>
      <c r="I153" s="3" t="str">
        <f>IF(cf_cl[[#This Row],[satisfaction_score]]&lt;=2,"Low",IF(cf_cl[[#This Row],[satisfaction_score]]=3,"Medium","High"))</f>
        <v>High</v>
      </c>
      <c r="J153">
        <f>YEAR(cf_cl[[#This Row],[date_submitted]])</f>
        <v>2020</v>
      </c>
      <c r="K153" s="3" t="str">
        <f>TEXT(cf_cl[[#This Row],[date_submitted]],"mmm")</f>
        <v>Mar</v>
      </c>
      <c r="L153" s="3" t="str">
        <f t="shared" si="6"/>
        <v>Q1</v>
      </c>
      <c r="M153" s="3" t="str">
        <f t="shared" si="7"/>
        <v>Saturday</v>
      </c>
      <c r="N153" s="3" t="str">
        <f t="shared" si="8"/>
        <v>No</v>
      </c>
      <c r="O153" s="3" t="str">
        <f>IF(COUNTIF($B:$B,B153)=1,"New Customer",
IF(COUNTIF($B:$B,B153)&lt;=3,"Returning Customer","Loyal Customer"))</f>
        <v>New Customer</v>
      </c>
      <c r="P153" s="3" t="str">
        <f>IF(cf_cl[[#This Row],[referred_claim]]="Yes","Referred","Not Referred")</f>
        <v>Not Referred</v>
      </c>
    </row>
    <row r="154" spans="1:16" x14ac:dyDescent="0.3">
      <c r="A154" t="s">
        <v>318</v>
      </c>
      <c r="B154" t="s">
        <v>178</v>
      </c>
      <c r="C154" s="1">
        <v>44799</v>
      </c>
      <c r="D154" t="s">
        <v>16</v>
      </c>
      <c r="E154">
        <v>5</v>
      </c>
      <c r="F154" s="3" t="s">
        <v>10</v>
      </c>
      <c r="G154" s="3" t="s">
        <v>10</v>
      </c>
      <c r="H154" s="3" t="str">
        <f>IF(cf_cl[[#This Row],[satisfaction_score]]&gt;=4,"Happy",IF(cf_cl[[#This Row],[satisfaction_score]]=3,"Neutral","Negative"))</f>
        <v>Happy</v>
      </c>
      <c r="I154" s="3" t="str">
        <f>IF(cf_cl[[#This Row],[satisfaction_score]]&lt;=2,"Low",IF(cf_cl[[#This Row],[satisfaction_score]]=3,"Medium","High"))</f>
        <v>High</v>
      </c>
      <c r="J154">
        <f>YEAR(cf_cl[[#This Row],[date_submitted]])</f>
        <v>2022</v>
      </c>
      <c r="K154" s="3" t="str">
        <f>TEXT(cf_cl[[#This Row],[date_submitted]],"mmm")</f>
        <v>Aug</v>
      </c>
      <c r="L154" s="3" t="str">
        <f t="shared" si="6"/>
        <v>Q3</v>
      </c>
      <c r="M154" s="3" t="str">
        <f t="shared" si="7"/>
        <v>Friday</v>
      </c>
      <c r="N154" s="3" t="str">
        <f t="shared" si="8"/>
        <v>No</v>
      </c>
      <c r="O154" s="3" t="str">
        <f>IF(COUNTIF($B:$B,B154)=1,"New Customer",
IF(COUNTIF($B:$B,B154)&lt;=3,"Returning Customer","Loyal Customer"))</f>
        <v>Returning Customer</v>
      </c>
      <c r="P154" s="3" t="str">
        <f>IF(cf_cl[[#This Row],[referred_claim]]="Yes","Referred","Not Referred")</f>
        <v>Referred</v>
      </c>
    </row>
    <row r="155" spans="1:16" x14ac:dyDescent="0.3">
      <c r="A155" t="s">
        <v>319</v>
      </c>
      <c r="B155" t="s">
        <v>320</v>
      </c>
      <c r="C155" s="1">
        <v>45106</v>
      </c>
      <c r="D155" t="s">
        <v>19</v>
      </c>
      <c r="E155">
        <v>3</v>
      </c>
      <c r="F155" s="3" t="s">
        <v>10</v>
      </c>
      <c r="G155" s="3" t="s">
        <v>10</v>
      </c>
      <c r="H155" s="3" t="str">
        <f>IF(cf_cl[[#This Row],[satisfaction_score]]&gt;=4,"Happy",IF(cf_cl[[#This Row],[satisfaction_score]]=3,"Neutral","Negative"))</f>
        <v>Neutral</v>
      </c>
      <c r="I155" s="3" t="str">
        <f>IF(cf_cl[[#This Row],[satisfaction_score]]&lt;=2,"Low",IF(cf_cl[[#This Row],[satisfaction_score]]=3,"Medium","High"))</f>
        <v>Medium</v>
      </c>
      <c r="J155">
        <f>YEAR(cf_cl[[#This Row],[date_submitted]])</f>
        <v>2023</v>
      </c>
      <c r="K155" s="3" t="str">
        <f>TEXT(cf_cl[[#This Row],[date_submitted]],"mmm")</f>
        <v>Jun</v>
      </c>
      <c r="L155" s="3" t="str">
        <f t="shared" si="6"/>
        <v>Q2</v>
      </c>
      <c r="M155" s="3" t="str">
        <f t="shared" si="7"/>
        <v>Thursday</v>
      </c>
      <c r="N155" s="3" t="str">
        <f t="shared" si="8"/>
        <v>No</v>
      </c>
      <c r="O155" s="3" t="str">
        <f>IF(COUNTIF($B:$B,B155)=1,"New Customer",
IF(COUNTIF($B:$B,B155)&lt;=3,"Returning Customer","Loyal Customer"))</f>
        <v>New Customer</v>
      </c>
      <c r="P155" s="3" t="str">
        <f>IF(cf_cl[[#This Row],[referred_claim]]="Yes","Referred","Not Referred")</f>
        <v>Referred</v>
      </c>
    </row>
    <row r="156" spans="1:16" x14ac:dyDescent="0.3">
      <c r="A156" t="s">
        <v>321</v>
      </c>
      <c r="B156" t="s">
        <v>322</v>
      </c>
      <c r="C156" s="1">
        <v>44126</v>
      </c>
      <c r="D156" t="s">
        <v>37</v>
      </c>
      <c r="E156">
        <v>5</v>
      </c>
      <c r="F156" s="3" t="s">
        <v>10</v>
      </c>
      <c r="G156" s="3" t="s">
        <v>10</v>
      </c>
      <c r="H156" s="3" t="str">
        <f>IF(cf_cl[[#This Row],[satisfaction_score]]&gt;=4,"Happy",IF(cf_cl[[#This Row],[satisfaction_score]]=3,"Neutral","Negative"))</f>
        <v>Happy</v>
      </c>
      <c r="I156" s="3" t="str">
        <f>IF(cf_cl[[#This Row],[satisfaction_score]]&lt;=2,"Low",IF(cf_cl[[#This Row],[satisfaction_score]]=3,"Medium","High"))</f>
        <v>High</v>
      </c>
      <c r="J156">
        <f>YEAR(cf_cl[[#This Row],[date_submitted]])</f>
        <v>2020</v>
      </c>
      <c r="K156" s="3" t="str">
        <f>TEXT(cf_cl[[#This Row],[date_submitted]],"mmm")</f>
        <v>Oct</v>
      </c>
      <c r="L156" s="3" t="str">
        <f t="shared" si="6"/>
        <v>Q4</v>
      </c>
      <c r="M156" s="3" t="str">
        <f t="shared" si="7"/>
        <v>Thursday</v>
      </c>
      <c r="N156" s="3" t="str">
        <f t="shared" si="8"/>
        <v>No</v>
      </c>
      <c r="O156" s="3" t="str">
        <f>IF(COUNTIF($B:$B,B156)=1,"New Customer",
IF(COUNTIF($B:$B,B156)&lt;=3,"Returning Customer","Loyal Customer"))</f>
        <v>New Customer</v>
      </c>
      <c r="P156" s="3" t="str">
        <f>IF(cf_cl[[#This Row],[referred_claim]]="Yes","Referred","Not Referred")</f>
        <v>Referred</v>
      </c>
    </row>
    <row r="157" spans="1:16" x14ac:dyDescent="0.3">
      <c r="A157" t="s">
        <v>323</v>
      </c>
      <c r="B157" t="s">
        <v>324</v>
      </c>
      <c r="C157" s="1">
        <v>45227</v>
      </c>
      <c r="D157" t="s">
        <v>83</v>
      </c>
      <c r="E157">
        <v>2</v>
      </c>
      <c r="F157" s="3" t="s">
        <v>10</v>
      </c>
      <c r="G157" s="3" t="s">
        <v>13</v>
      </c>
      <c r="H157" s="3" t="str">
        <f>IF(cf_cl[[#This Row],[satisfaction_score]]&gt;=4,"Happy",IF(cf_cl[[#This Row],[satisfaction_score]]=3,"Neutral","Negative"))</f>
        <v>Negative</v>
      </c>
      <c r="I157" s="3" t="str">
        <f>IF(cf_cl[[#This Row],[satisfaction_score]]&lt;=2,"Low",IF(cf_cl[[#This Row],[satisfaction_score]]=3,"Medium","High"))</f>
        <v>Low</v>
      </c>
      <c r="J157">
        <f>YEAR(cf_cl[[#This Row],[date_submitted]])</f>
        <v>2023</v>
      </c>
      <c r="K157" s="3" t="str">
        <f>TEXT(cf_cl[[#This Row],[date_submitted]],"mmm")</f>
        <v>Oct</v>
      </c>
      <c r="L157" s="3" t="str">
        <f t="shared" si="6"/>
        <v>Q4</v>
      </c>
      <c r="M157" s="3" t="str">
        <f t="shared" si="7"/>
        <v>Saturday</v>
      </c>
      <c r="N157" s="3" t="str">
        <f t="shared" si="8"/>
        <v>Yes</v>
      </c>
      <c r="O157" s="3" t="str">
        <f>IF(COUNTIF($B:$B,B157)=1,"New Customer",
IF(COUNTIF($B:$B,B157)&lt;=3,"Returning Customer","Loyal Customer"))</f>
        <v>New Customer</v>
      </c>
      <c r="P157" s="3" t="str">
        <f>IF(cf_cl[[#This Row],[referred_claim]]="Yes","Referred","Not Referred")</f>
        <v>Not Referred</v>
      </c>
    </row>
    <row r="158" spans="1:16" x14ac:dyDescent="0.3">
      <c r="A158" t="s">
        <v>325</v>
      </c>
      <c r="B158" t="s">
        <v>326</v>
      </c>
      <c r="C158" s="1">
        <v>44482</v>
      </c>
      <c r="D158" t="s">
        <v>19</v>
      </c>
      <c r="E158">
        <v>3</v>
      </c>
      <c r="F158" s="3" t="s">
        <v>13</v>
      </c>
      <c r="G158" s="3" t="s">
        <v>10</v>
      </c>
      <c r="H158" s="3" t="str">
        <f>IF(cf_cl[[#This Row],[satisfaction_score]]&gt;=4,"Happy",IF(cf_cl[[#This Row],[satisfaction_score]]=3,"Neutral","Negative"))</f>
        <v>Neutral</v>
      </c>
      <c r="I158" s="3" t="str">
        <f>IF(cf_cl[[#This Row],[satisfaction_score]]&lt;=2,"Low",IF(cf_cl[[#This Row],[satisfaction_score]]=3,"Medium","High"))</f>
        <v>Medium</v>
      </c>
      <c r="J158">
        <f>YEAR(cf_cl[[#This Row],[date_submitted]])</f>
        <v>2021</v>
      </c>
      <c r="K158" s="3" t="str">
        <f>TEXT(cf_cl[[#This Row],[date_submitted]],"mmm")</f>
        <v>Oct</v>
      </c>
      <c r="L158" s="3" t="str">
        <f t="shared" si="6"/>
        <v>Q4</v>
      </c>
      <c r="M158" s="3" t="str">
        <f t="shared" si="7"/>
        <v>Wednesday</v>
      </c>
      <c r="N158" s="3" t="str">
        <f t="shared" si="8"/>
        <v>No</v>
      </c>
      <c r="O158" s="3" t="str">
        <f>IF(COUNTIF($B:$B,B158)=1,"New Customer",
IF(COUNTIF($B:$B,B158)&lt;=3,"Returning Customer","Loyal Customer"))</f>
        <v>New Customer</v>
      </c>
      <c r="P158" s="3" t="str">
        <f>IF(cf_cl[[#This Row],[referred_claim]]="Yes","Referred","Not Referred")</f>
        <v>Referred</v>
      </c>
    </row>
    <row r="159" spans="1:16" x14ac:dyDescent="0.3">
      <c r="A159" t="s">
        <v>327</v>
      </c>
      <c r="B159" t="s">
        <v>328</v>
      </c>
      <c r="C159" s="1">
        <v>44585</v>
      </c>
      <c r="D159" t="s">
        <v>16</v>
      </c>
      <c r="E159">
        <v>4</v>
      </c>
      <c r="F159" s="3" t="s">
        <v>10</v>
      </c>
      <c r="G159" s="3" t="s">
        <v>13</v>
      </c>
      <c r="H159" s="3" t="str">
        <f>IF(cf_cl[[#This Row],[satisfaction_score]]&gt;=4,"Happy",IF(cf_cl[[#This Row],[satisfaction_score]]=3,"Neutral","Negative"))</f>
        <v>Happy</v>
      </c>
      <c r="I159" s="3" t="str">
        <f>IF(cf_cl[[#This Row],[satisfaction_score]]&lt;=2,"Low",IF(cf_cl[[#This Row],[satisfaction_score]]=3,"Medium","High"))</f>
        <v>High</v>
      </c>
      <c r="J159">
        <f>YEAR(cf_cl[[#This Row],[date_submitted]])</f>
        <v>2022</v>
      </c>
      <c r="K159" s="3" t="str">
        <f>TEXT(cf_cl[[#This Row],[date_submitted]],"mmm")</f>
        <v>Jan</v>
      </c>
      <c r="L159" s="3" t="str">
        <f t="shared" si="6"/>
        <v>Q1</v>
      </c>
      <c r="M159" s="3" t="str">
        <f t="shared" si="7"/>
        <v>Monday</v>
      </c>
      <c r="N159" s="3" t="str">
        <f t="shared" si="8"/>
        <v>No</v>
      </c>
      <c r="O159" s="3" t="str">
        <f>IF(COUNTIF($B:$B,B159)=1,"New Customer",
IF(COUNTIF($B:$B,B159)&lt;=3,"Returning Customer","Loyal Customer"))</f>
        <v>New Customer</v>
      </c>
      <c r="P159" s="3" t="str">
        <f>IF(cf_cl[[#This Row],[referred_claim]]="Yes","Referred","Not Referred")</f>
        <v>Not Referred</v>
      </c>
    </row>
    <row r="160" spans="1:16" x14ac:dyDescent="0.3">
      <c r="A160" t="s">
        <v>329</v>
      </c>
      <c r="B160" t="s">
        <v>330</v>
      </c>
      <c r="C160" s="1">
        <v>45045</v>
      </c>
      <c r="D160" t="s">
        <v>83</v>
      </c>
      <c r="E160">
        <v>2</v>
      </c>
      <c r="F160" s="3" t="s">
        <v>13</v>
      </c>
      <c r="G160" s="3" t="s">
        <v>13</v>
      </c>
      <c r="H160" s="3" t="str">
        <f>IF(cf_cl[[#This Row],[satisfaction_score]]&gt;=4,"Happy",IF(cf_cl[[#This Row],[satisfaction_score]]=3,"Neutral","Negative"))</f>
        <v>Negative</v>
      </c>
      <c r="I160" s="3" t="str">
        <f>IF(cf_cl[[#This Row],[satisfaction_score]]&lt;=2,"Low",IF(cf_cl[[#This Row],[satisfaction_score]]=3,"Medium","High"))</f>
        <v>Low</v>
      </c>
      <c r="J160">
        <f>YEAR(cf_cl[[#This Row],[date_submitted]])</f>
        <v>2023</v>
      </c>
      <c r="K160" s="3" t="str">
        <f>TEXT(cf_cl[[#This Row],[date_submitted]],"mmm")</f>
        <v>Apr</v>
      </c>
      <c r="L160" s="3" t="str">
        <f t="shared" si="6"/>
        <v>Q2</v>
      </c>
      <c r="M160" s="3" t="str">
        <f t="shared" si="7"/>
        <v>Saturday</v>
      </c>
      <c r="N160" s="3" t="str">
        <f t="shared" si="8"/>
        <v>Yes</v>
      </c>
      <c r="O160" s="3" t="str">
        <f>IF(COUNTIF($B:$B,B160)=1,"New Customer",
IF(COUNTIF($B:$B,B160)&lt;=3,"Returning Customer","Loyal Customer"))</f>
        <v>New Customer</v>
      </c>
      <c r="P160" s="3" t="str">
        <f>IF(cf_cl[[#This Row],[referred_claim]]="Yes","Referred","Not Referred")</f>
        <v>Not Referred</v>
      </c>
    </row>
    <row r="161" spans="1:16" x14ac:dyDescent="0.3">
      <c r="A161" t="s">
        <v>331</v>
      </c>
      <c r="B161" t="s">
        <v>332</v>
      </c>
      <c r="C161" s="1">
        <v>44595</v>
      </c>
      <c r="D161" t="s">
        <v>9</v>
      </c>
      <c r="E161">
        <v>1</v>
      </c>
      <c r="F161" s="3" t="s">
        <v>13</v>
      </c>
      <c r="G161" s="3" t="s">
        <v>13</v>
      </c>
      <c r="H161" s="3" t="str">
        <f>IF(cf_cl[[#This Row],[satisfaction_score]]&gt;=4,"Happy",IF(cf_cl[[#This Row],[satisfaction_score]]=3,"Neutral","Negative"))</f>
        <v>Negative</v>
      </c>
      <c r="I161" s="3" t="str">
        <f>IF(cf_cl[[#This Row],[satisfaction_score]]&lt;=2,"Low",IF(cf_cl[[#This Row],[satisfaction_score]]=3,"Medium","High"))</f>
        <v>Low</v>
      </c>
      <c r="J161">
        <f>YEAR(cf_cl[[#This Row],[date_submitted]])</f>
        <v>2022</v>
      </c>
      <c r="K161" s="3" t="str">
        <f>TEXT(cf_cl[[#This Row],[date_submitted]],"mmm")</f>
        <v>Feb</v>
      </c>
      <c r="L161" s="3" t="str">
        <f t="shared" si="6"/>
        <v>Q1</v>
      </c>
      <c r="M161" s="3" t="str">
        <f t="shared" si="7"/>
        <v>Thursday</v>
      </c>
      <c r="N161" s="3" t="str">
        <f t="shared" si="8"/>
        <v>Yes</v>
      </c>
      <c r="O161" s="3" t="str">
        <f>IF(COUNTIF($B:$B,B161)=1,"New Customer",
IF(COUNTIF($B:$B,B161)&lt;=3,"Returning Customer","Loyal Customer"))</f>
        <v>New Customer</v>
      </c>
      <c r="P161" s="3" t="str">
        <f>IF(cf_cl[[#This Row],[referred_claim]]="Yes","Referred","Not Referred")</f>
        <v>Not Referred</v>
      </c>
    </row>
    <row r="162" spans="1:16" x14ac:dyDescent="0.3">
      <c r="A162" t="s">
        <v>333</v>
      </c>
      <c r="B162" t="s">
        <v>334</v>
      </c>
      <c r="C162" s="1">
        <v>44826</v>
      </c>
      <c r="D162" t="s">
        <v>28</v>
      </c>
      <c r="E162">
        <v>4</v>
      </c>
      <c r="F162" s="3" t="s">
        <v>10</v>
      </c>
      <c r="G162" s="3" t="s">
        <v>10</v>
      </c>
      <c r="H162" s="3" t="str">
        <f>IF(cf_cl[[#This Row],[satisfaction_score]]&gt;=4,"Happy",IF(cf_cl[[#This Row],[satisfaction_score]]=3,"Neutral","Negative"))</f>
        <v>Happy</v>
      </c>
      <c r="I162" s="3" t="str">
        <f>IF(cf_cl[[#This Row],[satisfaction_score]]&lt;=2,"Low",IF(cf_cl[[#This Row],[satisfaction_score]]=3,"Medium","High"))</f>
        <v>High</v>
      </c>
      <c r="J162">
        <f>YEAR(cf_cl[[#This Row],[date_submitted]])</f>
        <v>2022</v>
      </c>
      <c r="K162" s="3" t="str">
        <f>TEXT(cf_cl[[#This Row],[date_submitted]],"mmm")</f>
        <v>Sep</v>
      </c>
      <c r="L162" s="3" t="str">
        <f t="shared" si="6"/>
        <v>Q3</v>
      </c>
      <c r="M162" s="3" t="str">
        <f t="shared" si="7"/>
        <v>Thursday</v>
      </c>
      <c r="N162" s="3" t="str">
        <f t="shared" si="8"/>
        <v>No</v>
      </c>
      <c r="O162" s="3" t="str">
        <f>IF(COUNTIF($B:$B,B162)=1,"New Customer",
IF(COUNTIF($B:$B,B162)&lt;=3,"Returning Customer","Loyal Customer"))</f>
        <v>New Customer</v>
      </c>
      <c r="P162" s="3" t="str">
        <f>IF(cf_cl[[#This Row],[referred_claim]]="Yes","Referred","Not Referred")</f>
        <v>Referred</v>
      </c>
    </row>
    <row r="163" spans="1:16" x14ac:dyDescent="0.3">
      <c r="A163" t="s">
        <v>335</v>
      </c>
      <c r="B163" t="s">
        <v>336</v>
      </c>
      <c r="C163" s="1">
        <v>44792</v>
      </c>
      <c r="D163" t="s">
        <v>37</v>
      </c>
      <c r="E163">
        <v>5</v>
      </c>
      <c r="F163" s="3" t="s">
        <v>10</v>
      </c>
      <c r="G163" s="3" t="s">
        <v>13</v>
      </c>
      <c r="H163" s="3" t="str">
        <f>IF(cf_cl[[#This Row],[satisfaction_score]]&gt;=4,"Happy",IF(cf_cl[[#This Row],[satisfaction_score]]=3,"Neutral","Negative"))</f>
        <v>Happy</v>
      </c>
      <c r="I163" s="3" t="str">
        <f>IF(cf_cl[[#This Row],[satisfaction_score]]&lt;=2,"Low",IF(cf_cl[[#This Row],[satisfaction_score]]=3,"Medium","High"))</f>
        <v>High</v>
      </c>
      <c r="J163">
        <f>YEAR(cf_cl[[#This Row],[date_submitted]])</f>
        <v>2022</v>
      </c>
      <c r="K163" s="3" t="str">
        <f>TEXT(cf_cl[[#This Row],[date_submitted]],"mmm")</f>
        <v>Aug</v>
      </c>
      <c r="L163" s="3" t="str">
        <f t="shared" si="6"/>
        <v>Q3</v>
      </c>
      <c r="M163" s="3" t="str">
        <f t="shared" si="7"/>
        <v>Friday</v>
      </c>
      <c r="N163" s="3" t="str">
        <f t="shared" si="8"/>
        <v>No</v>
      </c>
      <c r="O163" s="3" t="str">
        <f>IF(COUNTIF($B:$B,B163)=1,"New Customer",
IF(COUNTIF($B:$B,B163)&lt;=3,"Returning Customer","Loyal Customer"))</f>
        <v>New Customer</v>
      </c>
      <c r="P163" s="3" t="str">
        <f>IF(cf_cl[[#This Row],[referred_claim]]="Yes","Referred","Not Referred")</f>
        <v>Not Referred</v>
      </c>
    </row>
    <row r="164" spans="1:16" x14ac:dyDescent="0.3">
      <c r="A164" t="s">
        <v>337</v>
      </c>
      <c r="B164" t="s">
        <v>126</v>
      </c>
      <c r="C164" s="1">
        <v>44957</v>
      </c>
      <c r="D164" t="s">
        <v>68</v>
      </c>
      <c r="E164">
        <v>1</v>
      </c>
      <c r="F164" s="3" t="s">
        <v>10</v>
      </c>
      <c r="G164" s="3" t="s">
        <v>13</v>
      </c>
      <c r="H164" s="3" t="str">
        <f>IF(cf_cl[[#This Row],[satisfaction_score]]&gt;=4,"Happy",IF(cf_cl[[#This Row],[satisfaction_score]]=3,"Neutral","Negative"))</f>
        <v>Negative</v>
      </c>
      <c r="I164" s="3" t="str">
        <f>IF(cf_cl[[#This Row],[satisfaction_score]]&lt;=2,"Low",IF(cf_cl[[#This Row],[satisfaction_score]]=3,"Medium","High"))</f>
        <v>Low</v>
      </c>
      <c r="J164">
        <f>YEAR(cf_cl[[#This Row],[date_submitted]])</f>
        <v>2023</v>
      </c>
      <c r="K164" s="3" t="str">
        <f>TEXT(cf_cl[[#This Row],[date_submitted]],"mmm")</f>
        <v>Jan</v>
      </c>
      <c r="L164" s="3" t="str">
        <f t="shared" si="6"/>
        <v>Q1</v>
      </c>
      <c r="M164" s="3" t="str">
        <f t="shared" si="7"/>
        <v>Tuesday</v>
      </c>
      <c r="N164" s="3" t="str">
        <f t="shared" si="8"/>
        <v>Yes</v>
      </c>
      <c r="O164" s="3" t="str">
        <f>IF(COUNTIF($B:$B,B164)=1,"New Customer",
IF(COUNTIF($B:$B,B164)&lt;=3,"Returning Customer","Loyal Customer"))</f>
        <v>Returning Customer</v>
      </c>
      <c r="P164" s="3" t="str">
        <f>IF(cf_cl[[#This Row],[referred_claim]]="Yes","Referred","Not Referred")</f>
        <v>Not Referred</v>
      </c>
    </row>
    <row r="165" spans="1:16" x14ac:dyDescent="0.3">
      <c r="A165" t="s">
        <v>338</v>
      </c>
      <c r="B165" t="s">
        <v>339</v>
      </c>
      <c r="C165" s="1">
        <v>44150</v>
      </c>
      <c r="D165" t="s">
        <v>83</v>
      </c>
      <c r="E165">
        <v>1</v>
      </c>
      <c r="F165" s="3" t="s">
        <v>10</v>
      </c>
      <c r="G165" s="3" t="s">
        <v>13</v>
      </c>
      <c r="H165" s="3" t="str">
        <f>IF(cf_cl[[#This Row],[satisfaction_score]]&gt;=4,"Happy",IF(cf_cl[[#This Row],[satisfaction_score]]=3,"Neutral","Negative"))</f>
        <v>Negative</v>
      </c>
      <c r="I165" s="3" t="str">
        <f>IF(cf_cl[[#This Row],[satisfaction_score]]&lt;=2,"Low",IF(cf_cl[[#This Row],[satisfaction_score]]=3,"Medium","High"))</f>
        <v>Low</v>
      </c>
      <c r="J165">
        <f>YEAR(cf_cl[[#This Row],[date_submitted]])</f>
        <v>2020</v>
      </c>
      <c r="K165" s="3" t="str">
        <f>TEXT(cf_cl[[#This Row],[date_submitted]],"mmm")</f>
        <v>Nov</v>
      </c>
      <c r="L165" s="3" t="str">
        <f t="shared" si="6"/>
        <v>Q4</v>
      </c>
      <c r="M165" s="3" t="str">
        <f t="shared" si="7"/>
        <v>Sunday</v>
      </c>
      <c r="N165" s="3" t="str">
        <f t="shared" si="8"/>
        <v>Yes</v>
      </c>
      <c r="O165" s="3" t="str">
        <f>IF(COUNTIF($B:$B,B165)=1,"New Customer",
IF(COUNTIF($B:$B,B165)&lt;=3,"Returning Customer","Loyal Customer"))</f>
        <v>Returning Customer</v>
      </c>
      <c r="P165" s="3" t="str">
        <f>IF(cf_cl[[#This Row],[referred_claim]]="Yes","Referred","Not Referred")</f>
        <v>Not Referred</v>
      </c>
    </row>
    <row r="166" spans="1:16" x14ac:dyDescent="0.3">
      <c r="A166" t="s">
        <v>340</v>
      </c>
      <c r="B166" t="s">
        <v>341</v>
      </c>
      <c r="C166" s="1">
        <v>45065</v>
      </c>
      <c r="D166" t="s">
        <v>28</v>
      </c>
      <c r="E166">
        <v>4</v>
      </c>
      <c r="F166" s="3" t="s">
        <v>13</v>
      </c>
      <c r="G166" s="3" t="s">
        <v>13</v>
      </c>
      <c r="H166" s="3" t="str">
        <f>IF(cf_cl[[#This Row],[satisfaction_score]]&gt;=4,"Happy",IF(cf_cl[[#This Row],[satisfaction_score]]=3,"Neutral","Negative"))</f>
        <v>Happy</v>
      </c>
      <c r="I166" s="3" t="str">
        <f>IF(cf_cl[[#This Row],[satisfaction_score]]&lt;=2,"Low",IF(cf_cl[[#This Row],[satisfaction_score]]=3,"Medium","High"))</f>
        <v>High</v>
      </c>
      <c r="J166">
        <f>YEAR(cf_cl[[#This Row],[date_submitted]])</f>
        <v>2023</v>
      </c>
      <c r="K166" s="3" t="str">
        <f>TEXT(cf_cl[[#This Row],[date_submitted]],"mmm")</f>
        <v>May</v>
      </c>
      <c r="L166" s="3" t="str">
        <f t="shared" si="6"/>
        <v>Q2</v>
      </c>
      <c r="M166" s="3" t="str">
        <f t="shared" si="7"/>
        <v>Friday</v>
      </c>
      <c r="N166" s="3" t="str">
        <f t="shared" si="8"/>
        <v>No</v>
      </c>
      <c r="O166" s="3" t="str">
        <f>IF(COUNTIF($B:$B,B166)=1,"New Customer",
IF(COUNTIF($B:$B,B166)&lt;=3,"Returning Customer","Loyal Customer"))</f>
        <v>Returning Customer</v>
      </c>
      <c r="P166" s="3" t="str">
        <f>IF(cf_cl[[#This Row],[referred_claim]]="Yes","Referred","Not Referred")</f>
        <v>Not Referred</v>
      </c>
    </row>
    <row r="167" spans="1:16" x14ac:dyDescent="0.3">
      <c r="A167" t="s">
        <v>342</v>
      </c>
      <c r="B167" t="s">
        <v>343</v>
      </c>
      <c r="C167" s="1">
        <v>45240</v>
      </c>
      <c r="D167" t="s">
        <v>37</v>
      </c>
      <c r="E167">
        <v>5</v>
      </c>
      <c r="F167" s="3" t="s">
        <v>10</v>
      </c>
      <c r="G167" s="3" t="s">
        <v>13</v>
      </c>
      <c r="H167" s="3" t="str">
        <f>IF(cf_cl[[#This Row],[satisfaction_score]]&gt;=4,"Happy",IF(cf_cl[[#This Row],[satisfaction_score]]=3,"Neutral","Negative"))</f>
        <v>Happy</v>
      </c>
      <c r="I167" s="3" t="str">
        <f>IF(cf_cl[[#This Row],[satisfaction_score]]&lt;=2,"Low",IF(cf_cl[[#This Row],[satisfaction_score]]=3,"Medium","High"))</f>
        <v>High</v>
      </c>
      <c r="J167">
        <f>YEAR(cf_cl[[#This Row],[date_submitted]])</f>
        <v>2023</v>
      </c>
      <c r="K167" s="3" t="str">
        <f>TEXT(cf_cl[[#This Row],[date_submitted]],"mmm")</f>
        <v>Nov</v>
      </c>
      <c r="L167" s="3" t="str">
        <f t="shared" si="6"/>
        <v>Q4</v>
      </c>
      <c r="M167" s="3" t="str">
        <f t="shared" si="7"/>
        <v>Friday</v>
      </c>
      <c r="N167" s="3" t="str">
        <f t="shared" si="8"/>
        <v>No</v>
      </c>
      <c r="O167" s="3" t="str">
        <f>IF(COUNTIF($B:$B,B167)=1,"New Customer",
IF(COUNTIF($B:$B,B167)&lt;=3,"Returning Customer","Loyal Customer"))</f>
        <v>New Customer</v>
      </c>
      <c r="P167" s="3" t="str">
        <f>IF(cf_cl[[#This Row],[referred_claim]]="Yes","Referred","Not Referred")</f>
        <v>Not Referred</v>
      </c>
    </row>
    <row r="168" spans="1:16" x14ac:dyDescent="0.3">
      <c r="A168" t="s">
        <v>344</v>
      </c>
      <c r="B168" t="s">
        <v>345</v>
      </c>
      <c r="C168" s="1">
        <v>44177</v>
      </c>
      <c r="D168" t="s">
        <v>9</v>
      </c>
      <c r="E168">
        <v>2</v>
      </c>
      <c r="F168" s="3" t="s">
        <v>10</v>
      </c>
      <c r="G168" s="3" t="s">
        <v>13</v>
      </c>
      <c r="H168" s="3" t="str">
        <f>IF(cf_cl[[#This Row],[satisfaction_score]]&gt;=4,"Happy",IF(cf_cl[[#This Row],[satisfaction_score]]=3,"Neutral","Negative"))</f>
        <v>Negative</v>
      </c>
      <c r="I168" s="3" t="str">
        <f>IF(cf_cl[[#This Row],[satisfaction_score]]&lt;=2,"Low",IF(cf_cl[[#This Row],[satisfaction_score]]=3,"Medium","High"))</f>
        <v>Low</v>
      </c>
      <c r="J168">
        <f>YEAR(cf_cl[[#This Row],[date_submitted]])</f>
        <v>2020</v>
      </c>
      <c r="K168" s="3" t="str">
        <f>TEXT(cf_cl[[#This Row],[date_submitted]],"mmm")</f>
        <v>Dec</v>
      </c>
      <c r="L168" s="3" t="str">
        <f t="shared" si="6"/>
        <v>Q4</v>
      </c>
      <c r="M168" s="3" t="str">
        <f t="shared" si="7"/>
        <v>Saturday</v>
      </c>
      <c r="N168" s="3" t="str">
        <f t="shared" si="8"/>
        <v>Yes</v>
      </c>
      <c r="O168" s="3" t="str">
        <f>IF(COUNTIF($B:$B,B168)=1,"New Customer",
IF(COUNTIF($B:$B,B168)&lt;=3,"Returning Customer","Loyal Customer"))</f>
        <v>New Customer</v>
      </c>
      <c r="P168" s="3" t="str">
        <f>IF(cf_cl[[#This Row],[referred_claim]]="Yes","Referred","Not Referred")</f>
        <v>Not Referred</v>
      </c>
    </row>
    <row r="169" spans="1:16" x14ac:dyDescent="0.3">
      <c r="A169" t="s">
        <v>346</v>
      </c>
      <c r="B169" t="s">
        <v>347</v>
      </c>
      <c r="C169" s="1">
        <v>44941</v>
      </c>
      <c r="D169" t="s">
        <v>68</v>
      </c>
      <c r="E169">
        <v>2</v>
      </c>
      <c r="F169" s="3" t="s">
        <v>13</v>
      </c>
      <c r="G169" s="3" t="s">
        <v>13</v>
      </c>
      <c r="H169" s="3" t="str">
        <f>IF(cf_cl[[#This Row],[satisfaction_score]]&gt;=4,"Happy",IF(cf_cl[[#This Row],[satisfaction_score]]=3,"Neutral","Negative"))</f>
        <v>Negative</v>
      </c>
      <c r="I169" s="3" t="str">
        <f>IF(cf_cl[[#This Row],[satisfaction_score]]&lt;=2,"Low",IF(cf_cl[[#This Row],[satisfaction_score]]=3,"Medium","High"))</f>
        <v>Low</v>
      </c>
      <c r="J169">
        <f>YEAR(cf_cl[[#This Row],[date_submitted]])</f>
        <v>2023</v>
      </c>
      <c r="K169" s="3" t="str">
        <f>TEXT(cf_cl[[#This Row],[date_submitted]],"mmm")</f>
        <v>Jan</v>
      </c>
      <c r="L169" s="3" t="str">
        <f t="shared" si="6"/>
        <v>Q1</v>
      </c>
      <c r="M169" s="3" t="str">
        <f t="shared" si="7"/>
        <v>Sunday</v>
      </c>
      <c r="N169" s="3" t="str">
        <f t="shared" si="8"/>
        <v>Yes</v>
      </c>
      <c r="O169" s="3" t="str">
        <f>IF(COUNTIF($B:$B,B169)=1,"New Customer",
IF(COUNTIF($B:$B,B169)&lt;=3,"Returning Customer","Loyal Customer"))</f>
        <v>Returning Customer</v>
      </c>
      <c r="P169" s="3" t="str">
        <f>IF(cf_cl[[#This Row],[referred_claim]]="Yes","Referred","Not Referred")</f>
        <v>Not Referred</v>
      </c>
    </row>
    <row r="170" spans="1:16" x14ac:dyDescent="0.3">
      <c r="A170" t="s">
        <v>348</v>
      </c>
      <c r="B170" t="s">
        <v>347</v>
      </c>
      <c r="C170" s="1">
        <v>43837</v>
      </c>
      <c r="D170" t="s">
        <v>16</v>
      </c>
      <c r="E170">
        <v>5</v>
      </c>
      <c r="F170" s="3" t="s">
        <v>13</v>
      </c>
      <c r="G170" s="3" t="s">
        <v>13</v>
      </c>
      <c r="H170" s="3" t="str">
        <f>IF(cf_cl[[#This Row],[satisfaction_score]]&gt;=4,"Happy",IF(cf_cl[[#This Row],[satisfaction_score]]=3,"Neutral","Negative"))</f>
        <v>Happy</v>
      </c>
      <c r="I170" s="3" t="str">
        <f>IF(cf_cl[[#This Row],[satisfaction_score]]&lt;=2,"Low",IF(cf_cl[[#This Row],[satisfaction_score]]=3,"Medium","High"))</f>
        <v>High</v>
      </c>
      <c r="J170">
        <f>YEAR(cf_cl[[#This Row],[date_submitted]])</f>
        <v>2020</v>
      </c>
      <c r="K170" s="3" t="str">
        <f>TEXT(cf_cl[[#This Row],[date_submitted]],"mmm")</f>
        <v>Jan</v>
      </c>
      <c r="L170" s="3" t="str">
        <f t="shared" si="6"/>
        <v>Q1</v>
      </c>
      <c r="M170" s="3" t="str">
        <f t="shared" si="7"/>
        <v>Tuesday</v>
      </c>
      <c r="N170" s="3" t="str">
        <f t="shared" si="8"/>
        <v>No</v>
      </c>
      <c r="O170" s="3" t="str">
        <f>IF(COUNTIF($B:$B,B170)=1,"New Customer",
IF(COUNTIF($B:$B,B170)&lt;=3,"Returning Customer","Loyal Customer"))</f>
        <v>Returning Customer</v>
      </c>
      <c r="P170" s="3" t="str">
        <f>IF(cf_cl[[#This Row],[referred_claim]]="Yes","Referred","Not Referred")</f>
        <v>Not Referred</v>
      </c>
    </row>
    <row r="171" spans="1:16" x14ac:dyDescent="0.3">
      <c r="A171" t="s">
        <v>349</v>
      </c>
      <c r="B171" t="s">
        <v>350</v>
      </c>
      <c r="C171" s="1">
        <v>45077</v>
      </c>
      <c r="D171" t="s">
        <v>37</v>
      </c>
      <c r="E171">
        <v>5</v>
      </c>
      <c r="F171" s="3" t="s">
        <v>10</v>
      </c>
      <c r="G171" s="3" t="s">
        <v>10</v>
      </c>
      <c r="H171" s="3" t="str">
        <f>IF(cf_cl[[#This Row],[satisfaction_score]]&gt;=4,"Happy",IF(cf_cl[[#This Row],[satisfaction_score]]=3,"Neutral","Negative"))</f>
        <v>Happy</v>
      </c>
      <c r="I171" s="3" t="str">
        <f>IF(cf_cl[[#This Row],[satisfaction_score]]&lt;=2,"Low",IF(cf_cl[[#This Row],[satisfaction_score]]=3,"Medium","High"))</f>
        <v>High</v>
      </c>
      <c r="J171">
        <f>YEAR(cf_cl[[#This Row],[date_submitted]])</f>
        <v>2023</v>
      </c>
      <c r="K171" s="3" t="str">
        <f>TEXT(cf_cl[[#This Row],[date_submitted]],"mmm")</f>
        <v>May</v>
      </c>
      <c r="L171" s="3" t="str">
        <f t="shared" si="6"/>
        <v>Q2</v>
      </c>
      <c r="M171" s="3" t="str">
        <f t="shared" si="7"/>
        <v>Wednesday</v>
      </c>
      <c r="N171" s="3" t="str">
        <f t="shared" si="8"/>
        <v>No</v>
      </c>
      <c r="O171" s="3" t="str">
        <f>IF(COUNTIF($B:$B,B171)=1,"New Customer",
IF(COUNTIF($B:$B,B171)&lt;=3,"Returning Customer","Loyal Customer"))</f>
        <v>New Customer</v>
      </c>
      <c r="P171" s="3" t="str">
        <f>IF(cf_cl[[#This Row],[referred_claim]]="Yes","Referred","Not Referred")</f>
        <v>Referred</v>
      </c>
    </row>
    <row r="172" spans="1:16" x14ac:dyDescent="0.3">
      <c r="A172" t="s">
        <v>351</v>
      </c>
      <c r="B172" t="s">
        <v>352</v>
      </c>
      <c r="C172" s="1">
        <v>45205</v>
      </c>
      <c r="D172" t="s">
        <v>22</v>
      </c>
      <c r="E172">
        <v>4</v>
      </c>
      <c r="F172" s="3" t="s">
        <v>10</v>
      </c>
      <c r="G172" s="3" t="s">
        <v>10</v>
      </c>
      <c r="H172" s="3" t="str">
        <f>IF(cf_cl[[#This Row],[satisfaction_score]]&gt;=4,"Happy",IF(cf_cl[[#This Row],[satisfaction_score]]=3,"Neutral","Negative"))</f>
        <v>Happy</v>
      </c>
      <c r="I172" s="3" t="str">
        <f>IF(cf_cl[[#This Row],[satisfaction_score]]&lt;=2,"Low",IF(cf_cl[[#This Row],[satisfaction_score]]=3,"Medium","High"))</f>
        <v>High</v>
      </c>
      <c r="J172">
        <f>YEAR(cf_cl[[#This Row],[date_submitted]])</f>
        <v>2023</v>
      </c>
      <c r="K172" s="3" t="str">
        <f>TEXT(cf_cl[[#This Row],[date_submitted]],"mmm")</f>
        <v>Oct</v>
      </c>
      <c r="L172" s="3" t="str">
        <f t="shared" si="6"/>
        <v>Q4</v>
      </c>
      <c r="M172" s="3" t="str">
        <f t="shared" si="7"/>
        <v>Friday</v>
      </c>
      <c r="N172" s="3" t="str">
        <f t="shared" si="8"/>
        <v>No</v>
      </c>
      <c r="O172" s="3" t="str">
        <f>IF(COUNTIF($B:$B,B172)=1,"New Customer",
IF(COUNTIF($B:$B,B172)&lt;=3,"Returning Customer","Loyal Customer"))</f>
        <v>New Customer</v>
      </c>
      <c r="P172" s="3" t="str">
        <f>IF(cf_cl[[#This Row],[referred_claim]]="Yes","Referred","Not Referred")</f>
        <v>Referred</v>
      </c>
    </row>
    <row r="173" spans="1:16" x14ac:dyDescent="0.3">
      <c r="A173" t="s">
        <v>353</v>
      </c>
      <c r="B173" t="s">
        <v>354</v>
      </c>
      <c r="C173" s="1">
        <v>44439</v>
      </c>
      <c r="D173" t="s">
        <v>25</v>
      </c>
      <c r="E173">
        <v>5</v>
      </c>
      <c r="F173" s="3" t="s">
        <v>10</v>
      </c>
      <c r="G173" s="3" t="s">
        <v>10</v>
      </c>
      <c r="H173" s="3" t="str">
        <f>IF(cf_cl[[#This Row],[satisfaction_score]]&gt;=4,"Happy",IF(cf_cl[[#This Row],[satisfaction_score]]=3,"Neutral","Negative"))</f>
        <v>Happy</v>
      </c>
      <c r="I173" s="3" t="str">
        <f>IF(cf_cl[[#This Row],[satisfaction_score]]&lt;=2,"Low",IF(cf_cl[[#This Row],[satisfaction_score]]=3,"Medium","High"))</f>
        <v>High</v>
      </c>
      <c r="J173">
        <f>YEAR(cf_cl[[#This Row],[date_submitted]])</f>
        <v>2021</v>
      </c>
      <c r="K173" s="3" t="str">
        <f>TEXT(cf_cl[[#This Row],[date_submitted]],"mmm")</f>
        <v>Aug</v>
      </c>
      <c r="L173" s="3" t="str">
        <f t="shared" si="6"/>
        <v>Q3</v>
      </c>
      <c r="M173" s="3" t="str">
        <f t="shared" si="7"/>
        <v>Tuesday</v>
      </c>
      <c r="N173" s="3" t="str">
        <f t="shared" si="8"/>
        <v>No</v>
      </c>
      <c r="O173" s="3" t="str">
        <f>IF(COUNTIF($B:$B,B173)=1,"New Customer",
IF(COUNTIF($B:$B,B173)&lt;=3,"Returning Customer","Loyal Customer"))</f>
        <v>New Customer</v>
      </c>
      <c r="P173" s="3" t="str">
        <f>IF(cf_cl[[#This Row],[referred_claim]]="Yes","Referred","Not Referred")</f>
        <v>Referred</v>
      </c>
    </row>
    <row r="174" spans="1:16" x14ac:dyDescent="0.3">
      <c r="A174" t="s">
        <v>355</v>
      </c>
      <c r="B174" t="s">
        <v>356</v>
      </c>
      <c r="C174" s="1">
        <v>44497</v>
      </c>
      <c r="D174" t="s">
        <v>83</v>
      </c>
      <c r="E174">
        <v>3</v>
      </c>
      <c r="F174" s="3" t="s">
        <v>10</v>
      </c>
      <c r="G174" s="3" t="s">
        <v>13</v>
      </c>
      <c r="H174" s="3" t="str">
        <f>IF(cf_cl[[#This Row],[satisfaction_score]]&gt;=4,"Happy",IF(cf_cl[[#This Row],[satisfaction_score]]=3,"Neutral","Negative"))</f>
        <v>Neutral</v>
      </c>
      <c r="I174" s="3" t="str">
        <f>IF(cf_cl[[#This Row],[satisfaction_score]]&lt;=2,"Low",IF(cf_cl[[#This Row],[satisfaction_score]]=3,"Medium","High"))</f>
        <v>Medium</v>
      </c>
      <c r="J174">
        <f>YEAR(cf_cl[[#This Row],[date_submitted]])</f>
        <v>2021</v>
      </c>
      <c r="K174" s="3" t="str">
        <f>TEXT(cf_cl[[#This Row],[date_submitted]],"mmm")</f>
        <v>Oct</v>
      </c>
      <c r="L174" s="3" t="str">
        <f t="shared" si="6"/>
        <v>Q4</v>
      </c>
      <c r="M174" s="3" t="str">
        <f t="shared" si="7"/>
        <v>Thursday</v>
      </c>
      <c r="N174" s="3" t="str">
        <f t="shared" si="8"/>
        <v>No</v>
      </c>
      <c r="O174" s="3" t="str">
        <f>IF(COUNTIF($B:$B,B174)=1,"New Customer",
IF(COUNTIF($B:$B,B174)&lt;=3,"Returning Customer","Loyal Customer"))</f>
        <v>New Customer</v>
      </c>
      <c r="P174" s="3" t="str">
        <f>IF(cf_cl[[#This Row],[referred_claim]]="Yes","Referred","Not Referred")</f>
        <v>Not Referred</v>
      </c>
    </row>
    <row r="175" spans="1:16" x14ac:dyDescent="0.3">
      <c r="A175" t="s">
        <v>357</v>
      </c>
      <c r="B175" t="s">
        <v>358</v>
      </c>
      <c r="C175" s="1">
        <v>44683</v>
      </c>
      <c r="D175" t="s">
        <v>37</v>
      </c>
      <c r="E175">
        <v>4</v>
      </c>
      <c r="F175" s="3" t="s">
        <v>13</v>
      </c>
      <c r="G175" s="3" t="s">
        <v>13</v>
      </c>
      <c r="H175" s="3" t="str">
        <f>IF(cf_cl[[#This Row],[satisfaction_score]]&gt;=4,"Happy",IF(cf_cl[[#This Row],[satisfaction_score]]=3,"Neutral","Negative"))</f>
        <v>Happy</v>
      </c>
      <c r="I175" s="3" t="str">
        <f>IF(cf_cl[[#This Row],[satisfaction_score]]&lt;=2,"Low",IF(cf_cl[[#This Row],[satisfaction_score]]=3,"Medium","High"))</f>
        <v>High</v>
      </c>
      <c r="J175">
        <f>YEAR(cf_cl[[#This Row],[date_submitted]])</f>
        <v>2022</v>
      </c>
      <c r="K175" s="3" t="str">
        <f>TEXT(cf_cl[[#This Row],[date_submitted]],"mmm")</f>
        <v>May</v>
      </c>
      <c r="L175" s="3" t="str">
        <f t="shared" si="6"/>
        <v>Q2</v>
      </c>
      <c r="M175" s="3" t="str">
        <f t="shared" si="7"/>
        <v>Monday</v>
      </c>
      <c r="N175" s="3" t="str">
        <f t="shared" si="8"/>
        <v>No</v>
      </c>
      <c r="O175" s="3" t="str">
        <f>IF(COUNTIF($B:$B,B175)=1,"New Customer",
IF(COUNTIF($B:$B,B175)&lt;=3,"Returning Customer","Loyal Customer"))</f>
        <v>New Customer</v>
      </c>
      <c r="P175" s="3" t="str">
        <f>IF(cf_cl[[#This Row],[referred_claim]]="Yes","Referred","Not Referred")</f>
        <v>Not Referred</v>
      </c>
    </row>
    <row r="176" spans="1:16" x14ac:dyDescent="0.3">
      <c r="A176" t="s">
        <v>359</v>
      </c>
      <c r="B176" t="s">
        <v>360</v>
      </c>
      <c r="C176" s="1">
        <v>44470</v>
      </c>
      <c r="D176" t="s">
        <v>25</v>
      </c>
      <c r="E176">
        <v>5</v>
      </c>
      <c r="F176" s="3" t="s">
        <v>13</v>
      </c>
      <c r="G176" s="3" t="s">
        <v>10</v>
      </c>
      <c r="H176" s="3" t="str">
        <f>IF(cf_cl[[#This Row],[satisfaction_score]]&gt;=4,"Happy",IF(cf_cl[[#This Row],[satisfaction_score]]=3,"Neutral","Negative"))</f>
        <v>Happy</v>
      </c>
      <c r="I176" s="3" t="str">
        <f>IF(cf_cl[[#This Row],[satisfaction_score]]&lt;=2,"Low",IF(cf_cl[[#This Row],[satisfaction_score]]=3,"Medium","High"))</f>
        <v>High</v>
      </c>
      <c r="J176">
        <f>YEAR(cf_cl[[#This Row],[date_submitted]])</f>
        <v>2021</v>
      </c>
      <c r="K176" s="3" t="str">
        <f>TEXT(cf_cl[[#This Row],[date_submitted]],"mmm")</f>
        <v>Oct</v>
      </c>
      <c r="L176" s="3" t="str">
        <f t="shared" si="6"/>
        <v>Q4</v>
      </c>
      <c r="M176" s="3" t="str">
        <f t="shared" si="7"/>
        <v>Friday</v>
      </c>
      <c r="N176" s="3" t="str">
        <f t="shared" si="8"/>
        <v>No</v>
      </c>
      <c r="O176" s="3" t="str">
        <f>IF(COUNTIF($B:$B,B176)=1,"New Customer",
IF(COUNTIF($B:$B,B176)&lt;=3,"Returning Customer","Loyal Customer"))</f>
        <v>New Customer</v>
      </c>
      <c r="P176" s="3" t="str">
        <f>IF(cf_cl[[#This Row],[referred_claim]]="Yes","Referred","Not Referred")</f>
        <v>Referred</v>
      </c>
    </row>
    <row r="177" spans="1:16" x14ac:dyDescent="0.3">
      <c r="A177" t="s">
        <v>361</v>
      </c>
      <c r="B177" t="s">
        <v>362</v>
      </c>
      <c r="C177" s="1">
        <v>44464</v>
      </c>
      <c r="D177" t="s">
        <v>16</v>
      </c>
      <c r="E177">
        <v>4</v>
      </c>
      <c r="F177" s="3" t="s">
        <v>13</v>
      </c>
      <c r="G177" s="3" t="s">
        <v>10</v>
      </c>
      <c r="H177" s="3" t="str">
        <f>IF(cf_cl[[#This Row],[satisfaction_score]]&gt;=4,"Happy",IF(cf_cl[[#This Row],[satisfaction_score]]=3,"Neutral","Negative"))</f>
        <v>Happy</v>
      </c>
      <c r="I177" s="3" t="str">
        <f>IF(cf_cl[[#This Row],[satisfaction_score]]&lt;=2,"Low",IF(cf_cl[[#This Row],[satisfaction_score]]=3,"Medium","High"))</f>
        <v>High</v>
      </c>
      <c r="J177">
        <f>YEAR(cf_cl[[#This Row],[date_submitted]])</f>
        <v>2021</v>
      </c>
      <c r="K177" s="3" t="str">
        <f>TEXT(cf_cl[[#This Row],[date_submitted]],"mmm")</f>
        <v>Sep</v>
      </c>
      <c r="L177" s="3" t="str">
        <f t="shared" si="6"/>
        <v>Q3</v>
      </c>
      <c r="M177" s="3" t="str">
        <f t="shared" si="7"/>
        <v>Saturday</v>
      </c>
      <c r="N177" s="3" t="str">
        <f t="shared" si="8"/>
        <v>No</v>
      </c>
      <c r="O177" s="3" t="str">
        <f>IF(COUNTIF($B:$B,B177)=1,"New Customer",
IF(COUNTIF($B:$B,B177)&lt;=3,"Returning Customer","Loyal Customer"))</f>
        <v>New Customer</v>
      </c>
      <c r="P177" s="3" t="str">
        <f>IF(cf_cl[[#This Row],[referred_claim]]="Yes","Referred","Not Referred")</f>
        <v>Referred</v>
      </c>
    </row>
    <row r="178" spans="1:16" x14ac:dyDescent="0.3">
      <c r="A178" t="s">
        <v>363</v>
      </c>
      <c r="B178" t="s">
        <v>364</v>
      </c>
      <c r="C178" s="1">
        <v>44018</v>
      </c>
      <c r="D178" t="s">
        <v>28</v>
      </c>
      <c r="E178">
        <v>4</v>
      </c>
      <c r="F178" s="3" t="s">
        <v>13</v>
      </c>
      <c r="G178" s="3" t="s">
        <v>13</v>
      </c>
      <c r="H178" s="3" t="str">
        <f>IF(cf_cl[[#This Row],[satisfaction_score]]&gt;=4,"Happy",IF(cf_cl[[#This Row],[satisfaction_score]]=3,"Neutral","Negative"))</f>
        <v>Happy</v>
      </c>
      <c r="I178" s="3" t="str">
        <f>IF(cf_cl[[#This Row],[satisfaction_score]]&lt;=2,"Low",IF(cf_cl[[#This Row],[satisfaction_score]]=3,"Medium","High"))</f>
        <v>High</v>
      </c>
      <c r="J178">
        <f>YEAR(cf_cl[[#This Row],[date_submitted]])</f>
        <v>2020</v>
      </c>
      <c r="K178" s="3" t="str">
        <f>TEXT(cf_cl[[#This Row],[date_submitted]],"mmm")</f>
        <v>Jul</v>
      </c>
      <c r="L178" s="3" t="str">
        <f t="shared" si="6"/>
        <v>Q3</v>
      </c>
      <c r="M178" s="3" t="str">
        <f t="shared" si="7"/>
        <v>Monday</v>
      </c>
      <c r="N178" s="3" t="str">
        <f t="shared" si="8"/>
        <v>No</v>
      </c>
      <c r="O178" s="3" t="str">
        <f>IF(COUNTIF($B:$B,B178)=1,"New Customer",
IF(COUNTIF($B:$B,B178)&lt;=3,"Returning Customer","Loyal Customer"))</f>
        <v>Returning Customer</v>
      </c>
      <c r="P178" s="3" t="str">
        <f>IF(cf_cl[[#This Row],[referred_claim]]="Yes","Referred","Not Referred")</f>
        <v>Not Referred</v>
      </c>
    </row>
    <row r="179" spans="1:16" x14ac:dyDescent="0.3">
      <c r="A179" t="s">
        <v>365</v>
      </c>
      <c r="B179" t="s">
        <v>366</v>
      </c>
      <c r="C179" s="1">
        <v>44828</v>
      </c>
      <c r="D179" t="s">
        <v>16</v>
      </c>
      <c r="E179">
        <v>4</v>
      </c>
      <c r="F179" s="3" t="s">
        <v>10</v>
      </c>
      <c r="G179" s="3" t="s">
        <v>10</v>
      </c>
      <c r="H179" s="3" t="str">
        <f>IF(cf_cl[[#This Row],[satisfaction_score]]&gt;=4,"Happy",IF(cf_cl[[#This Row],[satisfaction_score]]=3,"Neutral","Negative"))</f>
        <v>Happy</v>
      </c>
      <c r="I179" s="3" t="str">
        <f>IF(cf_cl[[#This Row],[satisfaction_score]]&lt;=2,"Low",IF(cf_cl[[#This Row],[satisfaction_score]]=3,"Medium","High"))</f>
        <v>High</v>
      </c>
      <c r="J179">
        <f>YEAR(cf_cl[[#This Row],[date_submitted]])</f>
        <v>2022</v>
      </c>
      <c r="K179" s="3" t="str">
        <f>TEXT(cf_cl[[#This Row],[date_submitted]],"mmm")</f>
        <v>Sep</v>
      </c>
      <c r="L179" s="3" t="str">
        <f t="shared" si="6"/>
        <v>Q3</v>
      </c>
      <c r="M179" s="3" t="str">
        <f t="shared" si="7"/>
        <v>Saturday</v>
      </c>
      <c r="N179" s="3" t="str">
        <f t="shared" si="8"/>
        <v>No</v>
      </c>
      <c r="O179" s="3" t="str">
        <f>IF(COUNTIF($B:$B,B179)=1,"New Customer",
IF(COUNTIF($B:$B,B179)&lt;=3,"Returning Customer","Loyal Customer"))</f>
        <v>New Customer</v>
      </c>
      <c r="P179" s="3" t="str">
        <f>IF(cf_cl[[#This Row],[referred_claim]]="Yes","Referred","Not Referred")</f>
        <v>Referred</v>
      </c>
    </row>
    <row r="180" spans="1:16" x14ac:dyDescent="0.3">
      <c r="A180" t="s">
        <v>367</v>
      </c>
      <c r="B180" t="s">
        <v>368</v>
      </c>
      <c r="C180" s="1">
        <v>44279</v>
      </c>
      <c r="D180" t="s">
        <v>25</v>
      </c>
      <c r="E180">
        <v>4</v>
      </c>
      <c r="F180" s="3" t="s">
        <v>13</v>
      </c>
      <c r="G180" s="3" t="s">
        <v>10</v>
      </c>
      <c r="H180" s="3" t="str">
        <f>IF(cf_cl[[#This Row],[satisfaction_score]]&gt;=4,"Happy",IF(cf_cl[[#This Row],[satisfaction_score]]=3,"Neutral","Negative"))</f>
        <v>Happy</v>
      </c>
      <c r="I180" s="3" t="str">
        <f>IF(cf_cl[[#This Row],[satisfaction_score]]&lt;=2,"Low",IF(cf_cl[[#This Row],[satisfaction_score]]=3,"Medium","High"))</f>
        <v>High</v>
      </c>
      <c r="J180">
        <f>YEAR(cf_cl[[#This Row],[date_submitted]])</f>
        <v>2021</v>
      </c>
      <c r="K180" s="3" t="str">
        <f>TEXT(cf_cl[[#This Row],[date_submitted]],"mmm")</f>
        <v>Mar</v>
      </c>
      <c r="L180" s="3" t="str">
        <f t="shared" si="6"/>
        <v>Q1</v>
      </c>
      <c r="M180" s="3" t="str">
        <f t="shared" si="7"/>
        <v>Wednesday</v>
      </c>
      <c r="N180" s="3" t="str">
        <f t="shared" si="8"/>
        <v>No</v>
      </c>
      <c r="O180" s="3" t="str">
        <f>IF(COUNTIF($B:$B,B180)=1,"New Customer",
IF(COUNTIF($B:$B,B180)&lt;=3,"Returning Customer","Loyal Customer"))</f>
        <v>New Customer</v>
      </c>
      <c r="P180" s="3" t="str">
        <f>IF(cf_cl[[#This Row],[referred_claim]]="Yes","Referred","Not Referred")</f>
        <v>Referred</v>
      </c>
    </row>
    <row r="181" spans="1:16" x14ac:dyDescent="0.3">
      <c r="A181" t="s">
        <v>369</v>
      </c>
      <c r="B181" t="s">
        <v>370</v>
      </c>
      <c r="C181" s="1">
        <v>44375</v>
      </c>
      <c r="D181" t="s">
        <v>16</v>
      </c>
      <c r="E181">
        <v>5</v>
      </c>
      <c r="F181" s="3" t="s">
        <v>10</v>
      </c>
      <c r="G181" s="3" t="s">
        <v>10</v>
      </c>
      <c r="H181" s="3" t="str">
        <f>IF(cf_cl[[#This Row],[satisfaction_score]]&gt;=4,"Happy",IF(cf_cl[[#This Row],[satisfaction_score]]=3,"Neutral","Negative"))</f>
        <v>Happy</v>
      </c>
      <c r="I181" s="3" t="str">
        <f>IF(cf_cl[[#This Row],[satisfaction_score]]&lt;=2,"Low",IF(cf_cl[[#This Row],[satisfaction_score]]=3,"Medium","High"))</f>
        <v>High</v>
      </c>
      <c r="J181">
        <f>YEAR(cf_cl[[#This Row],[date_submitted]])</f>
        <v>2021</v>
      </c>
      <c r="K181" s="3" t="str">
        <f>TEXT(cf_cl[[#This Row],[date_submitted]],"mmm")</f>
        <v>Jun</v>
      </c>
      <c r="L181" s="3" t="str">
        <f t="shared" si="6"/>
        <v>Q2</v>
      </c>
      <c r="M181" s="3" t="str">
        <f t="shared" si="7"/>
        <v>Monday</v>
      </c>
      <c r="N181" s="3" t="str">
        <f t="shared" si="8"/>
        <v>No</v>
      </c>
      <c r="O181" s="3" t="str">
        <f>IF(COUNTIF($B:$B,B181)=1,"New Customer",
IF(COUNTIF($B:$B,B181)&lt;=3,"Returning Customer","Loyal Customer"))</f>
        <v>New Customer</v>
      </c>
      <c r="P181" s="3" t="str">
        <f>IF(cf_cl[[#This Row],[referred_claim]]="Yes","Referred","Not Referred")</f>
        <v>Referred</v>
      </c>
    </row>
    <row r="182" spans="1:16" x14ac:dyDescent="0.3">
      <c r="A182" t="s">
        <v>371</v>
      </c>
      <c r="B182" t="s">
        <v>372</v>
      </c>
      <c r="C182" s="1">
        <v>44702</v>
      </c>
      <c r="D182" t="s">
        <v>68</v>
      </c>
      <c r="E182">
        <v>1</v>
      </c>
      <c r="F182" s="3" t="s">
        <v>13</v>
      </c>
      <c r="G182" s="3" t="s">
        <v>10</v>
      </c>
      <c r="H182" s="3" t="str">
        <f>IF(cf_cl[[#This Row],[satisfaction_score]]&gt;=4,"Happy",IF(cf_cl[[#This Row],[satisfaction_score]]=3,"Neutral","Negative"))</f>
        <v>Negative</v>
      </c>
      <c r="I182" s="3" t="str">
        <f>IF(cf_cl[[#This Row],[satisfaction_score]]&lt;=2,"Low",IF(cf_cl[[#This Row],[satisfaction_score]]=3,"Medium","High"))</f>
        <v>Low</v>
      </c>
      <c r="J182">
        <f>YEAR(cf_cl[[#This Row],[date_submitted]])</f>
        <v>2022</v>
      </c>
      <c r="K182" s="3" t="str">
        <f>TEXT(cf_cl[[#This Row],[date_submitted]],"mmm")</f>
        <v>May</v>
      </c>
      <c r="L182" s="3" t="str">
        <f t="shared" si="6"/>
        <v>Q2</v>
      </c>
      <c r="M182" s="3" t="str">
        <f t="shared" si="7"/>
        <v>Saturday</v>
      </c>
      <c r="N182" s="3" t="str">
        <f t="shared" si="8"/>
        <v>Yes</v>
      </c>
      <c r="O182" s="3" t="str">
        <f>IF(COUNTIF($B:$B,B182)=1,"New Customer",
IF(COUNTIF($B:$B,B182)&lt;=3,"Returning Customer","Loyal Customer"))</f>
        <v>New Customer</v>
      </c>
      <c r="P182" s="3" t="str">
        <f>IF(cf_cl[[#This Row],[referred_claim]]="Yes","Referred","Not Referred")</f>
        <v>Referred</v>
      </c>
    </row>
    <row r="183" spans="1:16" x14ac:dyDescent="0.3">
      <c r="A183" t="s">
        <v>373</v>
      </c>
      <c r="B183" t="s">
        <v>374</v>
      </c>
      <c r="C183" s="1">
        <v>44856</v>
      </c>
      <c r="D183" t="s">
        <v>31</v>
      </c>
      <c r="E183">
        <v>3</v>
      </c>
      <c r="F183" s="3" t="s">
        <v>10</v>
      </c>
      <c r="G183" s="3" t="s">
        <v>13</v>
      </c>
      <c r="H183" s="3" t="str">
        <f>IF(cf_cl[[#This Row],[satisfaction_score]]&gt;=4,"Happy",IF(cf_cl[[#This Row],[satisfaction_score]]=3,"Neutral","Negative"))</f>
        <v>Neutral</v>
      </c>
      <c r="I183" s="3" t="str">
        <f>IF(cf_cl[[#This Row],[satisfaction_score]]&lt;=2,"Low",IF(cf_cl[[#This Row],[satisfaction_score]]=3,"Medium","High"))</f>
        <v>Medium</v>
      </c>
      <c r="J183">
        <f>YEAR(cf_cl[[#This Row],[date_submitted]])</f>
        <v>2022</v>
      </c>
      <c r="K183" s="3" t="str">
        <f>TEXT(cf_cl[[#This Row],[date_submitted]],"mmm")</f>
        <v>Oct</v>
      </c>
      <c r="L183" s="3" t="str">
        <f t="shared" si="6"/>
        <v>Q4</v>
      </c>
      <c r="M183" s="3" t="str">
        <f t="shared" si="7"/>
        <v>Saturday</v>
      </c>
      <c r="N183" s="3" t="str">
        <f t="shared" si="8"/>
        <v>No</v>
      </c>
      <c r="O183" s="3" t="str">
        <f>IF(COUNTIF($B:$B,B183)=1,"New Customer",
IF(COUNTIF($B:$B,B183)&lt;=3,"Returning Customer","Loyal Customer"))</f>
        <v>New Customer</v>
      </c>
      <c r="P183" s="3" t="str">
        <f>IF(cf_cl[[#This Row],[referred_claim]]="Yes","Referred","Not Referred")</f>
        <v>Not Referred</v>
      </c>
    </row>
    <row r="184" spans="1:16" x14ac:dyDescent="0.3">
      <c r="A184" t="s">
        <v>375</v>
      </c>
      <c r="B184" t="s">
        <v>376</v>
      </c>
      <c r="C184" s="1">
        <v>44100</v>
      </c>
      <c r="D184" t="s">
        <v>28</v>
      </c>
      <c r="E184">
        <v>4</v>
      </c>
      <c r="F184" s="3" t="s">
        <v>10</v>
      </c>
      <c r="G184" s="3" t="s">
        <v>13</v>
      </c>
      <c r="H184" s="3" t="str">
        <f>IF(cf_cl[[#This Row],[satisfaction_score]]&gt;=4,"Happy",IF(cf_cl[[#This Row],[satisfaction_score]]=3,"Neutral","Negative"))</f>
        <v>Happy</v>
      </c>
      <c r="I184" s="3" t="str">
        <f>IF(cf_cl[[#This Row],[satisfaction_score]]&lt;=2,"Low",IF(cf_cl[[#This Row],[satisfaction_score]]=3,"Medium","High"))</f>
        <v>High</v>
      </c>
      <c r="J184">
        <f>YEAR(cf_cl[[#This Row],[date_submitted]])</f>
        <v>2020</v>
      </c>
      <c r="K184" s="3" t="str">
        <f>TEXT(cf_cl[[#This Row],[date_submitted]],"mmm")</f>
        <v>Sep</v>
      </c>
      <c r="L184" s="3" t="str">
        <f t="shared" si="6"/>
        <v>Q3</v>
      </c>
      <c r="M184" s="3" t="str">
        <f t="shared" si="7"/>
        <v>Saturday</v>
      </c>
      <c r="N184" s="3" t="str">
        <f t="shared" si="8"/>
        <v>No</v>
      </c>
      <c r="O184" s="3" t="str">
        <f>IF(COUNTIF($B:$B,B184)=1,"New Customer",
IF(COUNTIF($B:$B,B184)&lt;=3,"Returning Customer","Loyal Customer"))</f>
        <v>New Customer</v>
      </c>
      <c r="P184" s="3" t="str">
        <f>IF(cf_cl[[#This Row],[referred_claim]]="Yes","Referred","Not Referred")</f>
        <v>Not Referred</v>
      </c>
    </row>
    <row r="185" spans="1:16" x14ac:dyDescent="0.3">
      <c r="A185" t="s">
        <v>377</v>
      </c>
      <c r="B185" t="s">
        <v>378</v>
      </c>
      <c r="C185" s="1">
        <v>44729</v>
      </c>
      <c r="D185" t="s">
        <v>25</v>
      </c>
      <c r="E185">
        <v>4</v>
      </c>
      <c r="F185" s="3" t="s">
        <v>10</v>
      </c>
      <c r="G185" s="3" t="s">
        <v>13</v>
      </c>
      <c r="H185" s="3" t="str">
        <f>IF(cf_cl[[#This Row],[satisfaction_score]]&gt;=4,"Happy",IF(cf_cl[[#This Row],[satisfaction_score]]=3,"Neutral","Negative"))</f>
        <v>Happy</v>
      </c>
      <c r="I185" s="3" t="str">
        <f>IF(cf_cl[[#This Row],[satisfaction_score]]&lt;=2,"Low",IF(cf_cl[[#This Row],[satisfaction_score]]=3,"Medium","High"))</f>
        <v>High</v>
      </c>
      <c r="J185">
        <f>YEAR(cf_cl[[#This Row],[date_submitted]])</f>
        <v>2022</v>
      </c>
      <c r="K185" s="3" t="str">
        <f>TEXT(cf_cl[[#This Row],[date_submitted]],"mmm")</f>
        <v>Jun</v>
      </c>
      <c r="L185" s="3" t="str">
        <f t="shared" si="6"/>
        <v>Q2</v>
      </c>
      <c r="M185" s="3" t="str">
        <f t="shared" si="7"/>
        <v>Friday</v>
      </c>
      <c r="N185" s="3" t="str">
        <f t="shared" si="8"/>
        <v>No</v>
      </c>
      <c r="O185" s="3" t="str">
        <f>IF(COUNTIF($B:$B,B185)=1,"New Customer",
IF(COUNTIF($B:$B,B185)&lt;=3,"Returning Customer","Loyal Customer"))</f>
        <v>New Customer</v>
      </c>
      <c r="P185" s="3" t="str">
        <f>IF(cf_cl[[#This Row],[referred_claim]]="Yes","Referred","Not Referred")</f>
        <v>Not Referred</v>
      </c>
    </row>
    <row r="186" spans="1:16" x14ac:dyDescent="0.3">
      <c r="A186" t="s">
        <v>379</v>
      </c>
      <c r="B186" t="s">
        <v>380</v>
      </c>
      <c r="C186" s="1">
        <v>44808</v>
      </c>
      <c r="D186" t="s">
        <v>68</v>
      </c>
      <c r="E186">
        <v>1</v>
      </c>
      <c r="F186" s="3" t="s">
        <v>13</v>
      </c>
      <c r="G186" s="3" t="s">
        <v>10</v>
      </c>
      <c r="H186" s="3" t="str">
        <f>IF(cf_cl[[#This Row],[satisfaction_score]]&gt;=4,"Happy",IF(cf_cl[[#This Row],[satisfaction_score]]=3,"Neutral","Negative"))</f>
        <v>Negative</v>
      </c>
      <c r="I186" s="3" t="str">
        <f>IF(cf_cl[[#This Row],[satisfaction_score]]&lt;=2,"Low",IF(cf_cl[[#This Row],[satisfaction_score]]=3,"Medium","High"))</f>
        <v>Low</v>
      </c>
      <c r="J186">
        <f>YEAR(cf_cl[[#This Row],[date_submitted]])</f>
        <v>2022</v>
      </c>
      <c r="K186" s="3" t="str">
        <f>TEXT(cf_cl[[#This Row],[date_submitted]],"mmm")</f>
        <v>Sep</v>
      </c>
      <c r="L186" s="3" t="str">
        <f t="shared" si="6"/>
        <v>Q3</v>
      </c>
      <c r="M186" s="3" t="str">
        <f t="shared" si="7"/>
        <v>Sunday</v>
      </c>
      <c r="N186" s="3" t="str">
        <f t="shared" si="8"/>
        <v>Yes</v>
      </c>
      <c r="O186" s="3" t="str">
        <f>IF(COUNTIF($B:$B,B186)=1,"New Customer",
IF(COUNTIF($B:$B,B186)&lt;=3,"Returning Customer","Loyal Customer"))</f>
        <v>New Customer</v>
      </c>
      <c r="P186" s="3" t="str">
        <f>IF(cf_cl[[#This Row],[referred_claim]]="Yes","Referred","Not Referred")</f>
        <v>Referred</v>
      </c>
    </row>
    <row r="187" spans="1:16" x14ac:dyDescent="0.3">
      <c r="A187" t="s">
        <v>381</v>
      </c>
      <c r="B187" t="s">
        <v>85</v>
      </c>
      <c r="C187" s="1">
        <v>44777</v>
      </c>
      <c r="D187" t="s">
        <v>25</v>
      </c>
      <c r="E187">
        <v>5</v>
      </c>
      <c r="F187" s="3" t="s">
        <v>10</v>
      </c>
      <c r="G187" s="3" t="s">
        <v>10</v>
      </c>
      <c r="H187" s="3" t="str">
        <f>IF(cf_cl[[#This Row],[satisfaction_score]]&gt;=4,"Happy",IF(cf_cl[[#This Row],[satisfaction_score]]=3,"Neutral","Negative"))</f>
        <v>Happy</v>
      </c>
      <c r="I187" s="3" t="str">
        <f>IF(cf_cl[[#This Row],[satisfaction_score]]&lt;=2,"Low",IF(cf_cl[[#This Row],[satisfaction_score]]=3,"Medium","High"))</f>
        <v>High</v>
      </c>
      <c r="J187">
        <f>YEAR(cf_cl[[#This Row],[date_submitted]])</f>
        <v>2022</v>
      </c>
      <c r="K187" s="3" t="str">
        <f>TEXT(cf_cl[[#This Row],[date_submitted]],"mmm")</f>
        <v>Aug</v>
      </c>
      <c r="L187" s="3" t="str">
        <f t="shared" si="6"/>
        <v>Q3</v>
      </c>
      <c r="M187" s="3" t="str">
        <f t="shared" si="7"/>
        <v>Thursday</v>
      </c>
      <c r="N187" s="3" t="str">
        <f t="shared" si="8"/>
        <v>No</v>
      </c>
      <c r="O187" s="3" t="str">
        <f>IF(COUNTIF($B:$B,B187)=1,"New Customer",
IF(COUNTIF($B:$B,B187)&lt;=3,"Returning Customer","Loyal Customer"))</f>
        <v>Returning Customer</v>
      </c>
      <c r="P187" s="3" t="str">
        <f>IF(cf_cl[[#This Row],[referred_claim]]="Yes","Referred","Not Referred")</f>
        <v>Referred</v>
      </c>
    </row>
    <row r="188" spans="1:16" x14ac:dyDescent="0.3">
      <c r="A188" t="s">
        <v>382</v>
      </c>
      <c r="B188" t="s">
        <v>383</v>
      </c>
      <c r="C188" s="1">
        <v>44632</v>
      </c>
      <c r="D188" t="s">
        <v>28</v>
      </c>
      <c r="E188">
        <v>5</v>
      </c>
      <c r="F188" s="3" t="s">
        <v>13</v>
      </c>
      <c r="G188" s="3" t="s">
        <v>10</v>
      </c>
      <c r="H188" s="3" t="str">
        <f>IF(cf_cl[[#This Row],[satisfaction_score]]&gt;=4,"Happy",IF(cf_cl[[#This Row],[satisfaction_score]]=3,"Neutral","Negative"))</f>
        <v>Happy</v>
      </c>
      <c r="I188" s="3" t="str">
        <f>IF(cf_cl[[#This Row],[satisfaction_score]]&lt;=2,"Low",IF(cf_cl[[#This Row],[satisfaction_score]]=3,"Medium","High"))</f>
        <v>High</v>
      </c>
      <c r="J188">
        <f>YEAR(cf_cl[[#This Row],[date_submitted]])</f>
        <v>2022</v>
      </c>
      <c r="K188" s="3" t="str">
        <f>TEXT(cf_cl[[#This Row],[date_submitted]],"mmm")</f>
        <v>Mar</v>
      </c>
      <c r="L188" s="3" t="str">
        <f t="shared" si="6"/>
        <v>Q1</v>
      </c>
      <c r="M188" s="3" t="str">
        <f t="shared" si="7"/>
        <v>Saturday</v>
      </c>
      <c r="N188" s="3" t="str">
        <f t="shared" si="8"/>
        <v>No</v>
      </c>
      <c r="O188" s="3" t="str">
        <f>IF(COUNTIF($B:$B,B188)=1,"New Customer",
IF(COUNTIF($B:$B,B188)&lt;=3,"Returning Customer","Loyal Customer"))</f>
        <v>New Customer</v>
      </c>
      <c r="P188" s="3" t="str">
        <f>IF(cf_cl[[#This Row],[referred_claim]]="Yes","Referred","Not Referred")</f>
        <v>Referred</v>
      </c>
    </row>
    <row r="189" spans="1:16" x14ac:dyDescent="0.3">
      <c r="A189" t="s">
        <v>384</v>
      </c>
      <c r="B189" t="s">
        <v>385</v>
      </c>
      <c r="C189" s="1">
        <v>44900</v>
      </c>
      <c r="D189" t="s">
        <v>16</v>
      </c>
      <c r="E189">
        <v>5</v>
      </c>
      <c r="F189" s="3" t="s">
        <v>13</v>
      </c>
      <c r="G189" s="3" t="s">
        <v>10</v>
      </c>
      <c r="H189" s="3" t="str">
        <f>IF(cf_cl[[#This Row],[satisfaction_score]]&gt;=4,"Happy",IF(cf_cl[[#This Row],[satisfaction_score]]=3,"Neutral","Negative"))</f>
        <v>Happy</v>
      </c>
      <c r="I189" s="3" t="str">
        <f>IF(cf_cl[[#This Row],[satisfaction_score]]&lt;=2,"Low",IF(cf_cl[[#This Row],[satisfaction_score]]=3,"Medium","High"))</f>
        <v>High</v>
      </c>
      <c r="J189">
        <f>YEAR(cf_cl[[#This Row],[date_submitted]])</f>
        <v>2022</v>
      </c>
      <c r="K189" s="3" t="str">
        <f>TEXT(cf_cl[[#This Row],[date_submitted]],"mmm")</f>
        <v>Dec</v>
      </c>
      <c r="L189" s="3" t="str">
        <f t="shared" si="6"/>
        <v>Q4</v>
      </c>
      <c r="M189" s="3" t="str">
        <f t="shared" si="7"/>
        <v>Monday</v>
      </c>
      <c r="N189" s="3" t="str">
        <f t="shared" si="8"/>
        <v>No</v>
      </c>
      <c r="O189" s="3" t="str">
        <f>IF(COUNTIF($B:$B,B189)=1,"New Customer",
IF(COUNTIF($B:$B,B189)&lt;=3,"Returning Customer","Loyal Customer"))</f>
        <v>New Customer</v>
      </c>
      <c r="P189" s="3" t="str">
        <f>IF(cf_cl[[#This Row],[referred_claim]]="Yes","Referred","Not Referred")</f>
        <v>Referred</v>
      </c>
    </row>
    <row r="190" spans="1:16" x14ac:dyDescent="0.3">
      <c r="A190" t="s">
        <v>386</v>
      </c>
      <c r="B190" t="s">
        <v>387</v>
      </c>
      <c r="C190" s="1">
        <v>43904</v>
      </c>
      <c r="D190" t="s">
        <v>22</v>
      </c>
      <c r="E190">
        <v>5</v>
      </c>
      <c r="F190" s="3" t="s">
        <v>10</v>
      </c>
      <c r="G190" s="3" t="s">
        <v>13</v>
      </c>
      <c r="H190" s="3" t="str">
        <f>IF(cf_cl[[#This Row],[satisfaction_score]]&gt;=4,"Happy",IF(cf_cl[[#This Row],[satisfaction_score]]=3,"Neutral","Negative"))</f>
        <v>Happy</v>
      </c>
      <c r="I190" s="3" t="str">
        <f>IF(cf_cl[[#This Row],[satisfaction_score]]&lt;=2,"Low",IF(cf_cl[[#This Row],[satisfaction_score]]=3,"Medium","High"))</f>
        <v>High</v>
      </c>
      <c r="J190">
        <f>YEAR(cf_cl[[#This Row],[date_submitted]])</f>
        <v>2020</v>
      </c>
      <c r="K190" s="3" t="str">
        <f>TEXT(cf_cl[[#This Row],[date_submitted]],"mmm")</f>
        <v>Mar</v>
      </c>
      <c r="L190" s="3" t="str">
        <f t="shared" si="6"/>
        <v>Q1</v>
      </c>
      <c r="M190" s="3" t="str">
        <f t="shared" si="7"/>
        <v>Saturday</v>
      </c>
      <c r="N190" s="3" t="str">
        <f t="shared" si="8"/>
        <v>No</v>
      </c>
      <c r="O190" s="3" t="str">
        <f>IF(COUNTIF($B:$B,B190)=1,"New Customer",
IF(COUNTIF($B:$B,B190)&lt;=3,"Returning Customer","Loyal Customer"))</f>
        <v>New Customer</v>
      </c>
      <c r="P190" s="3" t="str">
        <f>IF(cf_cl[[#This Row],[referred_claim]]="Yes","Referred","Not Referred")</f>
        <v>Not Referred</v>
      </c>
    </row>
    <row r="191" spans="1:16" x14ac:dyDescent="0.3">
      <c r="A191" t="s">
        <v>388</v>
      </c>
      <c r="B191" t="s">
        <v>389</v>
      </c>
      <c r="C191" s="1">
        <v>44386</v>
      </c>
      <c r="D191" t="s">
        <v>37</v>
      </c>
      <c r="E191">
        <v>4</v>
      </c>
      <c r="F191" s="3" t="s">
        <v>10</v>
      </c>
      <c r="G191" s="3" t="s">
        <v>13</v>
      </c>
      <c r="H191" s="3" t="str">
        <f>IF(cf_cl[[#This Row],[satisfaction_score]]&gt;=4,"Happy",IF(cf_cl[[#This Row],[satisfaction_score]]=3,"Neutral","Negative"))</f>
        <v>Happy</v>
      </c>
      <c r="I191" s="3" t="str">
        <f>IF(cf_cl[[#This Row],[satisfaction_score]]&lt;=2,"Low",IF(cf_cl[[#This Row],[satisfaction_score]]=3,"Medium","High"))</f>
        <v>High</v>
      </c>
      <c r="J191">
        <f>YEAR(cf_cl[[#This Row],[date_submitted]])</f>
        <v>2021</v>
      </c>
      <c r="K191" s="3" t="str">
        <f>TEXT(cf_cl[[#This Row],[date_submitted]],"mmm")</f>
        <v>Jul</v>
      </c>
      <c r="L191" s="3" t="str">
        <f t="shared" si="6"/>
        <v>Q3</v>
      </c>
      <c r="M191" s="3" t="str">
        <f t="shared" si="7"/>
        <v>Friday</v>
      </c>
      <c r="N191" s="3" t="str">
        <f t="shared" si="8"/>
        <v>No</v>
      </c>
      <c r="O191" s="3" t="str">
        <f>IF(COUNTIF($B:$B,B191)=1,"New Customer",
IF(COUNTIF($B:$B,B191)&lt;=3,"Returning Customer","Loyal Customer"))</f>
        <v>New Customer</v>
      </c>
      <c r="P191" s="3" t="str">
        <f>IF(cf_cl[[#This Row],[referred_claim]]="Yes","Referred","Not Referred")</f>
        <v>Not Referred</v>
      </c>
    </row>
    <row r="192" spans="1:16" x14ac:dyDescent="0.3">
      <c r="A192" t="s">
        <v>390</v>
      </c>
      <c r="B192" t="s">
        <v>391</v>
      </c>
      <c r="C192" s="1">
        <v>43969</v>
      </c>
      <c r="D192" t="s">
        <v>28</v>
      </c>
      <c r="E192">
        <v>5</v>
      </c>
      <c r="F192" s="3" t="s">
        <v>13</v>
      </c>
      <c r="G192" s="3" t="s">
        <v>13</v>
      </c>
      <c r="H192" s="3" t="str">
        <f>IF(cf_cl[[#This Row],[satisfaction_score]]&gt;=4,"Happy",IF(cf_cl[[#This Row],[satisfaction_score]]=3,"Neutral","Negative"))</f>
        <v>Happy</v>
      </c>
      <c r="I192" s="3" t="str">
        <f>IF(cf_cl[[#This Row],[satisfaction_score]]&lt;=2,"Low",IF(cf_cl[[#This Row],[satisfaction_score]]=3,"Medium","High"))</f>
        <v>High</v>
      </c>
      <c r="J192">
        <f>YEAR(cf_cl[[#This Row],[date_submitted]])</f>
        <v>2020</v>
      </c>
      <c r="K192" s="3" t="str">
        <f>TEXT(cf_cl[[#This Row],[date_submitted]],"mmm")</f>
        <v>May</v>
      </c>
      <c r="L192" s="3" t="str">
        <f t="shared" si="6"/>
        <v>Q2</v>
      </c>
      <c r="M192" s="3" t="str">
        <f t="shared" si="7"/>
        <v>Monday</v>
      </c>
      <c r="N192" s="3" t="str">
        <f t="shared" si="8"/>
        <v>No</v>
      </c>
      <c r="O192" s="3" t="str">
        <f>IF(COUNTIF($B:$B,B192)=1,"New Customer",
IF(COUNTIF($B:$B,B192)&lt;=3,"Returning Customer","Loyal Customer"))</f>
        <v>Returning Customer</v>
      </c>
      <c r="P192" s="3" t="str">
        <f>IF(cf_cl[[#This Row],[referred_claim]]="Yes","Referred","Not Referred")</f>
        <v>Not Referred</v>
      </c>
    </row>
    <row r="193" spans="1:16" x14ac:dyDescent="0.3">
      <c r="A193" t="s">
        <v>392</v>
      </c>
      <c r="B193" t="s">
        <v>393</v>
      </c>
      <c r="C193" s="1">
        <v>44057</v>
      </c>
      <c r="D193" t="s">
        <v>19</v>
      </c>
      <c r="E193">
        <v>2</v>
      </c>
      <c r="F193" s="3" t="s">
        <v>10</v>
      </c>
      <c r="G193" s="3" t="s">
        <v>13</v>
      </c>
      <c r="H193" s="3" t="str">
        <f>IF(cf_cl[[#This Row],[satisfaction_score]]&gt;=4,"Happy",IF(cf_cl[[#This Row],[satisfaction_score]]=3,"Neutral","Negative"))</f>
        <v>Negative</v>
      </c>
      <c r="I193" s="3" t="str">
        <f>IF(cf_cl[[#This Row],[satisfaction_score]]&lt;=2,"Low",IF(cf_cl[[#This Row],[satisfaction_score]]=3,"Medium","High"))</f>
        <v>Low</v>
      </c>
      <c r="J193">
        <f>YEAR(cf_cl[[#This Row],[date_submitted]])</f>
        <v>2020</v>
      </c>
      <c r="K193" s="3" t="str">
        <f>TEXT(cf_cl[[#This Row],[date_submitted]],"mmm")</f>
        <v>Aug</v>
      </c>
      <c r="L193" s="3" t="str">
        <f t="shared" si="6"/>
        <v>Q3</v>
      </c>
      <c r="M193" s="3" t="str">
        <f t="shared" si="7"/>
        <v>Friday</v>
      </c>
      <c r="N193" s="3" t="str">
        <f t="shared" si="8"/>
        <v>Yes</v>
      </c>
      <c r="O193" s="3" t="str">
        <f>IF(COUNTIF($B:$B,B193)=1,"New Customer",
IF(COUNTIF($B:$B,B193)&lt;=3,"Returning Customer","Loyal Customer"))</f>
        <v>Returning Customer</v>
      </c>
      <c r="P193" s="3" t="str">
        <f>IF(cf_cl[[#This Row],[referred_claim]]="Yes","Referred","Not Referred")</f>
        <v>Not Referred</v>
      </c>
    </row>
    <row r="194" spans="1:16" x14ac:dyDescent="0.3">
      <c r="A194" t="s">
        <v>394</v>
      </c>
      <c r="B194" t="s">
        <v>395</v>
      </c>
      <c r="C194" s="1">
        <v>44121</v>
      </c>
      <c r="D194" t="s">
        <v>22</v>
      </c>
      <c r="E194">
        <v>5</v>
      </c>
      <c r="F194" s="3" t="s">
        <v>13</v>
      </c>
      <c r="G194" s="3" t="s">
        <v>10</v>
      </c>
      <c r="H194" s="3" t="str">
        <f>IF(cf_cl[[#This Row],[satisfaction_score]]&gt;=4,"Happy",IF(cf_cl[[#This Row],[satisfaction_score]]=3,"Neutral","Negative"))</f>
        <v>Happy</v>
      </c>
      <c r="I194" s="3" t="str">
        <f>IF(cf_cl[[#This Row],[satisfaction_score]]&lt;=2,"Low",IF(cf_cl[[#This Row],[satisfaction_score]]=3,"Medium","High"))</f>
        <v>High</v>
      </c>
      <c r="J194">
        <f>YEAR(cf_cl[[#This Row],[date_submitted]])</f>
        <v>2020</v>
      </c>
      <c r="K194" s="3" t="str">
        <f>TEXT(cf_cl[[#This Row],[date_submitted]],"mmm")</f>
        <v>Oct</v>
      </c>
      <c r="L194" s="3" t="str">
        <f t="shared" ref="L194:L257" si="9">"Q"&amp;ROUNDUP(MONTH(C194)/3,0)</f>
        <v>Q4</v>
      </c>
      <c r="M194" s="3" t="str">
        <f t="shared" ref="M194:M257" si="10">TEXT(C194,"dddd")</f>
        <v>Saturday</v>
      </c>
      <c r="N194" s="3" t="str">
        <f t="shared" ref="N194:N257" si="11">IF(E194&lt;=2,"Yes","No")</f>
        <v>No</v>
      </c>
      <c r="O194" s="3" t="str">
        <f>IF(COUNTIF($B:$B,B194)=1,"New Customer",
IF(COUNTIF($B:$B,B194)&lt;=3,"Returning Customer","Loyal Customer"))</f>
        <v>New Customer</v>
      </c>
      <c r="P194" s="3" t="str">
        <f>IF(cf_cl[[#This Row],[referred_claim]]="Yes","Referred","Not Referred")</f>
        <v>Referred</v>
      </c>
    </row>
    <row r="195" spans="1:16" x14ac:dyDescent="0.3">
      <c r="A195" t="s">
        <v>396</v>
      </c>
      <c r="B195" t="s">
        <v>397</v>
      </c>
      <c r="C195" s="1">
        <v>44882</v>
      </c>
      <c r="D195" t="s">
        <v>83</v>
      </c>
      <c r="E195">
        <v>1</v>
      </c>
      <c r="F195" s="3" t="s">
        <v>13</v>
      </c>
      <c r="G195" s="3" t="s">
        <v>13</v>
      </c>
      <c r="H195" s="3" t="str">
        <f>IF(cf_cl[[#This Row],[satisfaction_score]]&gt;=4,"Happy",IF(cf_cl[[#This Row],[satisfaction_score]]=3,"Neutral","Negative"))</f>
        <v>Negative</v>
      </c>
      <c r="I195" s="3" t="str">
        <f>IF(cf_cl[[#This Row],[satisfaction_score]]&lt;=2,"Low",IF(cf_cl[[#This Row],[satisfaction_score]]=3,"Medium","High"))</f>
        <v>Low</v>
      </c>
      <c r="J195">
        <f>YEAR(cf_cl[[#This Row],[date_submitted]])</f>
        <v>2022</v>
      </c>
      <c r="K195" s="3" t="str">
        <f>TEXT(cf_cl[[#This Row],[date_submitted]],"mmm")</f>
        <v>Nov</v>
      </c>
      <c r="L195" s="3" t="str">
        <f t="shared" si="9"/>
        <v>Q4</v>
      </c>
      <c r="M195" s="3" t="str">
        <f t="shared" si="10"/>
        <v>Thursday</v>
      </c>
      <c r="N195" s="3" t="str">
        <f t="shared" si="11"/>
        <v>Yes</v>
      </c>
      <c r="O195" s="3" t="str">
        <f>IF(COUNTIF($B:$B,B195)=1,"New Customer",
IF(COUNTIF($B:$B,B195)&lt;=3,"Returning Customer","Loyal Customer"))</f>
        <v>New Customer</v>
      </c>
      <c r="P195" s="3" t="str">
        <f>IF(cf_cl[[#This Row],[referred_claim]]="Yes","Referred","Not Referred")</f>
        <v>Not Referred</v>
      </c>
    </row>
    <row r="196" spans="1:16" x14ac:dyDescent="0.3">
      <c r="A196" t="s">
        <v>398</v>
      </c>
      <c r="B196" t="s">
        <v>399</v>
      </c>
      <c r="C196" s="1">
        <v>44865</v>
      </c>
      <c r="D196" t="s">
        <v>25</v>
      </c>
      <c r="E196">
        <v>5</v>
      </c>
      <c r="F196" s="3" t="s">
        <v>10</v>
      </c>
      <c r="G196" s="3" t="s">
        <v>13</v>
      </c>
      <c r="H196" s="3" t="str">
        <f>IF(cf_cl[[#This Row],[satisfaction_score]]&gt;=4,"Happy",IF(cf_cl[[#This Row],[satisfaction_score]]=3,"Neutral","Negative"))</f>
        <v>Happy</v>
      </c>
      <c r="I196" s="3" t="str">
        <f>IF(cf_cl[[#This Row],[satisfaction_score]]&lt;=2,"Low",IF(cf_cl[[#This Row],[satisfaction_score]]=3,"Medium","High"))</f>
        <v>High</v>
      </c>
      <c r="J196">
        <f>YEAR(cf_cl[[#This Row],[date_submitted]])</f>
        <v>2022</v>
      </c>
      <c r="K196" s="3" t="str">
        <f>TEXT(cf_cl[[#This Row],[date_submitted]],"mmm")</f>
        <v>Oct</v>
      </c>
      <c r="L196" s="3" t="str">
        <f t="shared" si="9"/>
        <v>Q4</v>
      </c>
      <c r="M196" s="3" t="str">
        <f t="shared" si="10"/>
        <v>Monday</v>
      </c>
      <c r="N196" s="3" t="str">
        <f t="shared" si="11"/>
        <v>No</v>
      </c>
      <c r="O196" s="3" t="str">
        <f>IF(COUNTIF($B:$B,B196)=1,"New Customer",
IF(COUNTIF($B:$B,B196)&lt;=3,"Returning Customer","Loyal Customer"))</f>
        <v>New Customer</v>
      </c>
      <c r="P196" s="3" t="str">
        <f>IF(cf_cl[[#This Row],[referred_claim]]="Yes","Referred","Not Referred")</f>
        <v>Not Referred</v>
      </c>
    </row>
    <row r="197" spans="1:16" x14ac:dyDescent="0.3">
      <c r="A197" t="s">
        <v>400</v>
      </c>
      <c r="B197" t="s">
        <v>401</v>
      </c>
      <c r="C197" s="1">
        <v>43969</v>
      </c>
      <c r="D197" t="s">
        <v>68</v>
      </c>
      <c r="E197">
        <v>1</v>
      </c>
      <c r="F197" s="3" t="s">
        <v>13</v>
      </c>
      <c r="G197" s="3" t="s">
        <v>13</v>
      </c>
      <c r="H197" s="3" t="str">
        <f>IF(cf_cl[[#This Row],[satisfaction_score]]&gt;=4,"Happy",IF(cf_cl[[#This Row],[satisfaction_score]]=3,"Neutral","Negative"))</f>
        <v>Negative</v>
      </c>
      <c r="I197" s="3" t="str">
        <f>IF(cf_cl[[#This Row],[satisfaction_score]]&lt;=2,"Low",IF(cf_cl[[#This Row],[satisfaction_score]]=3,"Medium","High"))</f>
        <v>Low</v>
      </c>
      <c r="J197">
        <f>YEAR(cf_cl[[#This Row],[date_submitted]])</f>
        <v>2020</v>
      </c>
      <c r="K197" s="3" t="str">
        <f>TEXT(cf_cl[[#This Row],[date_submitted]],"mmm")</f>
        <v>May</v>
      </c>
      <c r="L197" s="3" t="str">
        <f t="shared" si="9"/>
        <v>Q2</v>
      </c>
      <c r="M197" s="3" t="str">
        <f t="shared" si="10"/>
        <v>Monday</v>
      </c>
      <c r="N197" s="3" t="str">
        <f t="shared" si="11"/>
        <v>Yes</v>
      </c>
      <c r="O197" s="3" t="str">
        <f>IF(COUNTIF($B:$B,B197)=1,"New Customer",
IF(COUNTIF($B:$B,B197)&lt;=3,"Returning Customer","Loyal Customer"))</f>
        <v>New Customer</v>
      </c>
      <c r="P197" s="3" t="str">
        <f>IF(cf_cl[[#This Row],[referred_claim]]="Yes","Referred","Not Referred")</f>
        <v>Not Referred</v>
      </c>
    </row>
    <row r="198" spans="1:16" x14ac:dyDescent="0.3">
      <c r="A198" t="s">
        <v>402</v>
      </c>
      <c r="B198" t="s">
        <v>403</v>
      </c>
      <c r="C198" s="1">
        <v>44476</v>
      </c>
      <c r="D198" t="s">
        <v>37</v>
      </c>
      <c r="E198">
        <v>5</v>
      </c>
      <c r="F198" s="3" t="s">
        <v>13</v>
      </c>
      <c r="G198" s="3" t="s">
        <v>13</v>
      </c>
      <c r="H198" s="3" t="str">
        <f>IF(cf_cl[[#This Row],[satisfaction_score]]&gt;=4,"Happy",IF(cf_cl[[#This Row],[satisfaction_score]]=3,"Neutral","Negative"))</f>
        <v>Happy</v>
      </c>
      <c r="I198" s="3" t="str">
        <f>IF(cf_cl[[#This Row],[satisfaction_score]]&lt;=2,"Low",IF(cf_cl[[#This Row],[satisfaction_score]]=3,"Medium","High"))</f>
        <v>High</v>
      </c>
      <c r="J198">
        <f>YEAR(cf_cl[[#This Row],[date_submitted]])</f>
        <v>2021</v>
      </c>
      <c r="K198" s="3" t="str">
        <f>TEXT(cf_cl[[#This Row],[date_submitted]],"mmm")</f>
        <v>Oct</v>
      </c>
      <c r="L198" s="3" t="str">
        <f t="shared" si="9"/>
        <v>Q4</v>
      </c>
      <c r="M198" s="3" t="str">
        <f t="shared" si="10"/>
        <v>Thursday</v>
      </c>
      <c r="N198" s="3" t="str">
        <f t="shared" si="11"/>
        <v>No</v>
      </c>
      <c r="O198" s="3" t="str">
        <f>IF(COUNTIF($B:$B,B198)=1,"New Customer",
IF(COUNTIF($B:$B,B198)&lt;=3,"Returning Customer","Loyal Customer"))</f>
        <v>New Customer</v>
      </c>
      <c r="P198" s="3" t="str">
        <f>IF(cf_cl[[#This Row],[referred_claim]]="Yes","Referred","Not Referred")</f>
        <v>Not Referred</v>
      </c>
    </row>
    <row r="199" spans="1:16" x14ac:dyDescent="0.3">
      <c r="A199" t="s">
        <v>404</v>
      </c>
      <c r="B199" t="s">
        <v>405</v>
      </c>
      <c r="C199" s="1">
        <v>44279</v>
      </c>
      <c r="D199" t="s">
        <v>22</v>
      </c>
      <c r="E199">
        <v>4</v>
      </c>
      <c r="F199" s="3" t="s">
        <v>10</v>
      </c>
      <c r="G199" s="3" t="s">
        <v>13</v>
      </c>
      <c r="H199" s="3" t="str">
        <f>IF(cf_cl[[#This Row],[satisfaction_score]]&gt;=4,"Happy",IF(cf_cl[[#This Row],[satisfaction_score]]=3,"Neutral","Negative"))</f>
        <v>Happy</v>
      </c>
      <c r="I199" s="3" t="str">
        <f>IF(cf_cl[[#This Row],[satisfaction_score]]&lt;=2,"Low",IF(cf_cl[[#This Row],[satisfaction_score]]=3,"Medium","High"))</f>
        <v>High</v>
      </c>
      <c r="J199">
        <f>YEAR(cf_cl[[#This Row],[date_submitted]])</f>
        <v>2021</v>
      </c>
      <c r="K199" s="3" t="str">
        <f>TEXT(cf_cl[[#This Row],[date_submitted]],"mmm")</f>
        <v>Mar</v>
      </c>
      <c r="L199" s="3" t="str">
        <f t="shared" si="9"/>
        <v>Q1</v>
      </c>
      <c r="M199" s="3" t="str">
        <f t="shared" si="10"/>
        <v>Wednesday</v>
      </c>
      <c r="N199" s="3" t="str">
        <f t="shared" si="11"/>
        <v>No</v>
      </c>
      <c r="O199" s="3" t="str">
        <f>IF(COUNTIF($B:$B,B199)=1,"New Customer",
IF(COUNTIF($B:$B,B199)&lt;=3,"Returning Customer","Loyal Customer"))</f>
        <v>Returning Customer</v>
      </c>
      <c r="P199" s="3" t="str">
        <f>IF(cf_cl[[#This Row],[referred_claim]]="Yes","Referred","Not Referred")</f>
        <v>Not Referred</v>
      </c>
    </row>
    <row r="200" spans="1:16" x14ac:dyDescent="0.3">
      <c r="A200" t="s">
        <v>406</v>
      </c>
      <c r="B200" t="s">
        <v>407</v>
      </c>
      <c r="C200" s="1">
        <v>45266</v>
      </c>
      <c r="D200" t="s">
        <v>37</v>
      </c>
      <c r="E200">
        <v>3</v>
      </c>
      <c r="F200" s="3" t="s">
        <v>13</v>
      </c>
      <c r="G200" s="3" t="s">
        <v>10</v>
      </c>
      <c r="H200" s="3" t="str">
        <f>IF(cf_cl[[#This Row],[satisfaction_score]]&gt;=4,"Happy",IF(cf_cl[[#This Row],[satisfaction_score]]=3,"Neutral","Negative"))</f>
        <v>Neutral</v>
      </c>
      <c r="I200" s="3" t="str">
        <f>IF(cf_cl[[#This Row],[satisfaction_score]]&lt;=2,"Low",IF(cf_cl[[#This Row],[satisfaction_score]]=3,"Medium","High"))</f>
        <v>Medium</v>
      </c>
      <c r="J200">
        <f>YEAR(cf_cl[[#This Row],[date_submitted]])</f>
        <v>2023</v>
      </c>
      <c r="K200" s="3" t="str">
        <f>TEXT(cf_cl[[#This Row],[date_submitted]],"mmm")</f>
        <v>Dec</v>
      </c>
      <c r="L200" s="3" t="str">
        <f t="shared" si="9"/>
        <v>Q4</v>
      </c>
      <c r="M200" s="3" t="str">
        <f t="shared" si="10"/>
        <v>Wednesday</v>
      </c>
      <c r="N200" s="3" t="str">
        <f t="shared" si="11"/>
        <v>No</v>
      </c>
      <c r="O200" s="3" t="str">
        <f>IF(COUNTIF($B:$B,B200)=1,"New Customer",
IF(COUNTIF($B:$B,B200)&lt;=3,"Returning Customer","Loyal Customer"))</f>
        <v>New Customer</v>
      </c>
      <c r="P200" s="3" t="str">
        <f>IF(cf_cl[[#This Row],[referred_claim]]="Yes","Referred","Not Referred")</f>
        <v>Referred</v>
      </c>
    </row>
    <row r="201" spans="1:16" x14ac:dyDescent="0.3">
      <c r="A201" t="s">
        <v>408</v>
      </c>
      <c r="B201" t="s">
        <v>409</v>
      </c>
      <c r="C201" s="1">
        <v>44298</v>
      </c>
      <c r="D201" t="s">
        <v>16</v>
      </c>
      <c r="E201">
        <v>4</v>
      </c>
      <c r="F201" s="3" t="s">
        <v>10</v>
      </c>
      <c r="G201" s="3" t="s">
        <v>10</v>
      </c>
      <c r="H201" s="3" t="str">
        <f>IF(cf_cl[[#This Row],[satisfaction_score]]&gt;=4,"Happy",IF(cf_cl[[#This Row],[satisfaction_score]]=3,"Neutral","Negative"))</f>
        <v>Happy</v>
      </c>
      <c r="I201" s="3" t="str">
        <f>IF(cf_cl[[#This Row],[satisfaction_score]]&lt;=2,"Low",IF(cf_cl[[#This Row],[satisfaction_score]]=3,"Medium","High"))</f>
        <v>High</v>
      </c>
      <c r="J201">
        <f>YEAR(cf_cl[[#This Row],[date_submitted]])</f>
        <v>2021</v>
      </c>
      <c r="K201" s="3" t="str">
        <f>TEXT(cf_cl[[#This Row],[date_submitted]],"mmm")</f>
        <v>Apr</v>
      </c>
      <c r="L201" s="3" t="str">
        <f t="shared" si="9"/>
        <v>Q2</v>
      </c>
      <c r="M201" s="3" t="str">
        <f t="shared" si="10"/>
        <v>Monday</v>
      </c>
      <c r="N201" s="3" t="str">
        <f t="shared" si="11"/>
        <v>No</v>
      </c>
      <c r="O201" s="3" t="str">
        <f>IF(COUNTIF($B:$B,B201)=1,"New Customer",
IF(COUNTIF($B:$B,B201)&lt;=3,"Returning Customer","Loyal Customer"))</f>
        <v>New Customer</v>
      </c>
      <c r="P201" s="3" t="str">
        <f>IF(cf_cl[[#This Row],[referred_claim]]="Yes","Referred","Not Referred")</f>
        <v>Referred</v>
      </c>
    </row>
    <row r="202" spans="1:16" x14ac:dyDescent="0.3">
      <c r="A202" t="s">
        <v>410</v>
      </c>
      <c r="B202" t="s">
        <v>411</v>
      </c>
      <c r="C202" s="1">
        <v>44617</v>
      </c>
      <c r="D202" t="s">
        <v>16</v>
      </c>
      <c r="E202">
        <v>4</v>
      </c>
      <c r="F202" s="3" t="s">
        <v>10</v>
      </c>
      <c r="G202" s="3" t="s">
        <v>13</v>
      </c>
      <c r="H202" s="3" t="str">
        <f>IF(cf_cl[[#This Row],[satisfaction_score]]&gt;=4,"Happy",IF(cf_cl[[#This Row],[satisfaction_score]]=3,"Neutral","Negative"))</f>
        <v>Happy</v>
      </c>
      <c r="I202" s="3" t="str">
        <f>IF(cf_cl[[#This Row],[satisfaction_score]]&lt;=2,"Low",IF(cf_cl[[#This Row],[satisfaction_score]]=3,"Medium","High"))</f>
        <v>High</v>
      </c>
      <c r="J202">
        <f>YEAR(cf_cl[[#This Row],[date_submitted]])</f>
        <v>2022</v>
      </c>
      <c r="K202" s="3" t="str">
        <f>TEXT(cf_cl[[#This Row],[date_submitted]],"mmm")</f>
        <v>Feb</v>
      </c>
      <c r="L202" s="3" t="str">
        <f t="shared" si="9"/>
        <v>Q1</v>
      </c>
      <c r="M202" s="3" t="str">
        <f t="shared" si="10"/>
        <v>Friday</v>
      </c>
      <c r="N202" s="3" t="str">
        <f t="shared" si="11"/>
        <v>No</v>
      </c>
      <c r="O202" s="3" t="str">
        <f>IF(COUNTIF($B:$B,B202)=1,"New Customer",
IF(COUNTIF($B:$B,B202)&lt;=3,"Returning Customer","Loyal Customer"))</f>
        <v>New Customer</v>
      </c>
      <c r="P202" s="3" t="str">
        <f>IF(cf_cl[[#This Row],[referred_claim]]="Yes","Referred","Not Referred")</f>
        <v>Not Referred</v>
      </c>
    </row>
    <row r="203" spans="1:16" x14ac:dyDescent="0.3">
      <c r="A203" t="s">
        <v>412</v>
      </c>
      <c r="B203" t="s">
        <v>413</v>
      </c>
      <c r="C203" s="1">
        <v>45199</v>
      </c>
      <c r="D203" t="s">
        <v>28</v>
      </c>
      <c r="E203">
        <v>4</v>
      </c>
      <c r="F203" s="3" t="s">
        <v>13</v>
      </c>
      <c r="G203" s="3" t="s">
        <v>10</v>
      </c>
      <c r="H203" s="3" t="str">
        <f>IF(cf_cl[[#This Row],[satisfaction_score]]&gt;=4,"Happy",IF(cf_cl[[#This Row],[satisfaction_score]]=3,"Neutral","Negative"))</f>
        <v>Happy</v>
      </c>
      <c r="I203" s="3" t="str">
        <f>IF(cf_cl[[#This Row],[satisfaction_score]]&lt;=2,"Low",IF(cf_cl[[#This Row],[satisfaction_score]]=3,"Medium","High"))</f>
        <v>High</v>
      </c>
      <c r="J203">
        <f>YEAR(cf_cl[[#This Row],[date_submitted]])</f>
        <v>2023</v>
      </c>
      <c r="K203" s="3" t="str">
        <f>TEXT(cf_cl[[#This Row],[date_submitted]],"mmm")</f>
        <v>Sep</v>
      </c>
      <c r="L203" s="3" t="str">
        <f t="shared" si="9"/>
        <v>Q3</v>
      </c>
      <c r="M203" s="3" t="str">
        <f t="shared" si="10"/>
        <v>Saturday</v>
      </c>
      <c r="N203" s="3" t="str">
        <f t="shared" si="11"/>
        <v>No</v>
      </c>
      <c r="O203" s="3" t="str">
        <f>IF(COUNTIF($B:$B,B203)=1,"New Customer",
IF(COUNTIF($B:$B,B203)&lt;=3,"Returning Customer","Loyal Customer"))</f>
        <v>New Customer</v>
      </c>
      <c r="P203" s="3" t="str">
        <f>IF(cf_cl[[#This Row],[referred_claim]]="Yes","Referred","Not Referred")</f>
        <v>Referred</v>
      </c>
    </row>
    <row r="204" spans="1:16" x14ac:dyDescent="0.3">
      <c r="A204" t="s">
        <v>414</v>
      </c>
      <c r="B204" t="s">
        <v>415</v>
      </c>
      <c r="C204" s="1">
        <v>43846</v>
      </c>
      <c r="D204" t="s">
        <v>19</v>
      </c>
      <c r="E204">
        <v>2</v>
      </c>
      <c r="F204" s="3" t="s">
        <v>13</v>
      </c>
      <c r="G204" s="3" t="s">
        <v>10</v>
      </c>
      <c r="H204" s="3" t="str">
        <f>IF(cf_cl[[#This Row],[satisfaction_score]]&gt;=4,"Happy",IF(cf_cl[[#This Row],[satisfaction_score]]=3,"Neutral","Negative"))</f>
        <v>Negative</v>
      </c>
      <c r="I204" s="3" t="str">
        <f>IF(cf_cl[[#This Row],[satisfaction_score]]&lt;=2,"Low",IF(cf_cl[[#This Row],[satisfaction_score]]=3,"Medium","High"))</f>
        <v>Low</v>
      </c>
      <c r="J204">
        <f>YEAR(cf_cl[[#This Row],[date_submitted]])</f>
        <v>2020</v>
      </c>
      <c r="K204" s="3" t="str">
        <f>TEXT(cf_cl[[#This Row],[date_submitted]],"mmm")</f>
        <v>Jan</v>
      </c>
      <c r="L204" s="3" t="str">
        <f t="shared" si="9"/>
        <v>Q1</v>
      </c>
      <c r="M204" s="3" t="str">
        <f t="shared" si="10"/>
        <v>Thursday</v>
      </c>
      <c r="N204" s="3" t="str">
        <f t="shared" si="11"/>
        <v>Yes</v>
      </c>
      <c r="O204" s="3" t="str">
        <f>IF(COUNTIF($B:$B,B204)=1,"New Customer",
IF(COUNTIF($B:$B,B204)&lt;=3,"Returning Customer","Loyal Customer"))</f>
        <v>Returning Customer</v>
      </c>
      <c r="P204" s="3" t="str">
        <f>IF(cf_cl[[#This Row],[referred_claim]]="Yes","Referred","Not Referred")</f>
        <v>Referred</v>
      </c>
    </row>
    <row r="205" spans="1:16" x14ac:dyDescent="0.3">
      <c r="A205" t="s">
        <v>416</v>
      </c>
      <c r="B205" t="s">
        <v>417</v>
      </c>
      <c r="C205" s="1">
        <v>45250</v>
      </c>
      <c r="D205" t="s">
        <v>37</v>
      </c>
      <c r="E205">
        <v>4</v>
      </c>
      <c r="F205" s="3" t="s">
        <v>13</v>
      </c>
      <c r="G205" s="3" t="s">
        <v>10</v>
      </c>
      <c r="H205" s="3" t="str">
        <f>IF(cf_cl[[#This Row],[satisfaction_score]]&gt;=4,"Happy",IF(cf_cl[[#This Row],[satisfaction_score]]=3,"Neutral","Negative"))</f>
        <v>Happy</v>
      </c>
      <c r="I205" s="3" t="str">
        <f>IF(cf_cl[[#This Row],[satisfaction_score]]&lt;=2,"Low",IF(cf_cl[[#This Row],[satisfaction_score]]=3,"Medium","High"))</f>
        <v>High</v>
      </c>
      <c r="J205">
        <f>YEAR(cf_cl[[#This Row],[date_submitted]])</f>
        <v>2023</v>
      </c>
      <c r="K205" s="3" t="str">
        <f>TEXT(cf_cl[[#This Row],[date_submitted]],"mmm")</f>
        <v>Nov</v>
      </c>
      <c r="L205" s="3" t="str">
        <f t="shared" si="9"/>
        <v>Q4</v>
      </c>
      <c r="M205" s="3" t="str">
        <f t="shared" si="10"/>
        <v>Monday</v>
      </c>
      <c r="N205" s="3" t="str">
        <f t="shared" si="11"/>
        <v>No</v>
      </c>
      <c r="O205" s="3" t="str">
        <f>IF(COUNTIF($B:$B,B205)=1,"New Customer",
IF(COUNTIF($B:$B,B205)&lt;=3,"Returning Customer","Loyal Customer"))</f>
        <v>Returning Customer</v>
      </c>
      <c r="P205" s="3" t="str">
        <f>IF(cf_cl[[#This Row],[referred_claim]]="Yes","Referred","Not Referred")</f>
        <v>Referred</v>
      </c>
    </row>
    <row r="206" spans="1:16" x14ac:dyDescent="0.3">
      <c r="A206" t="s">
        <v>418</v>
      </c>
      <c r="B206" t="s">
        <v>419</v>
      </c>
      <c r="C206" s="1">
        <v>44405</v>
      </c>
      <c r="D206" t="s">
        <v>16</v>
      </c>
      <c r="E206">
        <v>4</v>
      </c>
      <c r="F206" s="3" t="s">
        <v>13</v>
      </c>
      <c r="G206" s="3" t="s">
        <v>13</v>
      </c>
      <c r="H206" s="3" t="str">
        <f>IF(cf_cl[[#This Row],[satisfaction_score]]&gt;=4,"Happy",IF(cf_cl[[#This Row],[satisfaction_score]]=3,"Neutral","Negative"))</f>
        <v>Happy</v>
      </c>
      <c r="I206" s="3" t="str">
        <f>IF(cf_cl[[#This Row],[satisfaction_score]]&lt;=2,"Low",IF(cf_cl[[#This Row],[satisfaction_score]]=3,"Medium","High"))</f>
        <v>High</v>
      </c>
      <c r="J206">
        <f>YEAR(cf_cl[[#This Row],[date_submitted]])</f>
        <v>2021</v>
      </c>
      <c r="K206" s="3" t="str">
        <f>TEXT(cf_cl[[#This Row],[date_submitted]],"mmm")</f>
        <v>Jul</v>
      </c>
      <c r="L206" s="3" t="str">
        <f t="shared" si="9"/>
        <v>Q3</v>
      </c>
      <c r="M206" s="3" t="str">
        <f t="shared" si="10"/>
        <v>Wednesday</v>
      </c>
      <c r="N206" s="3" t="str">
        <f t="shared" si="11"/>
        <v>No</v>
      </c>
      <c r="O206" s="3" t="str">
        <f>IF(COUNTIF($B:$B,B206)=1,"New Customer",
IF(COUNTIF($B:$B,B206)&lt;=3,"Returning Customer","Loyal Customer"))</f>
        <v>New Customer</v>
      </c>
      <c r="P206" s="3" t="str">
        <f>IF(cf_cl[[#This Row],[referred_claim]]="Yes","Referred","Not Referred")</f>
        <v>Not Referred</v>
      </c>
    </row>
    <row r="207" spans="1:16" x14ac:dyDescent="0.3">
      <c r="A207" t="s">
        <v>420</v>
      </c>
      <c r="B207" t="s">
        <v>421</v>
      </c>
      <c r="C207" s="1">
        <v>43961</v>
      </c>
      <c r="D207" t="s">
        <v>22</v>
      </c>
      <c r="E207">
        <v>4</v>
      </c>
      <c r="F207" s="3" t="s">
        <v>10</v>
      </c>
      <c r="G207" s="3" t="s">
        <v>13</v>
      </c>
      <c r="H207" s="3" t="str">
        <f>IF(cf_cl[[#This Row],[satisfaction_score]]&gt;=4,"Happy",IF(cf_cl[[#This Row],[satisfaction_score]]=3,"Neutral","Negative"))</f>
        <v>Happy</v>
      </c>
      <c r="I207" s="3" t="str">
        <f>IF(cf_cl[[#This Row],[satisfaction_score]]&lt;=2,"Low",IF(cf_cl[[#This Row],[satisfaction_score]]=3,"Medium","High"))</f>
        <v>High</v>
      </c>
      <c r="J207">
        <f>YEAR(cf_cl[[#This Row],[date_submitted]])</f>
        <v>2020</v>
      </c>
      <c r="K207" s="3" t="str">
        <f>TEXT(cf_cl[[#This Row],[date_submitted]],"mmm")</f>
        <v>May</v>
      </c>
      <c r="L207" s="3" t="str">
        <f t="shared" si="9"/>
        <v>Q2</v>
      </c>
      <c r="M207" s="3" t="str">
        <f t="shared" si="10"/>
        <v>Sunday</v>
      </c>
      <c r="N207" s="3" t="str">
        <f t="shared" si="11"/>
        <v>No</v>
      </c>
      <c r="O207" s="3" t="str">
        <f>IF(COUNTIF($B:$B,B207)=1,"New Customer",
IF(COUNTIF($B:$B,B207)&lt;=3,"Returning Customer","Loyal Customer"))</f>
        <v>New Customer</v>
      </c>
      <c r="P207" s="3" t="str">
        <f>IF(cf_cl[[#This Row],[referred_claim]]="Yes","Referred","Not Referred")</f>
        <v>Not Referred</v>
      </c>
    </row>
    <row r="208" spans="1:16" x14ac:dyDescent="0.3">
      <c r="A208" t="s">
        <v>422</v>
      </c>
      <c r="B208" t="s">
        <v>423</v>
      </c>
      <c r="C208" s="1">
        <v>44870</v>
      </c>
      <c r="D208" t="s">
        <v>22</v>
      </c>
      <c r="E208">
        <v>5</v>
      </c>
      <c r="F208" s="3" t="s">
        <v>10</v>
      </c>
      <c r="G208" s="3" t="s">
        <v>13</v>
      </c>
      <c r="H208" s="3" t="str">
        <f>IF(cf_cl[[#This Row],[satisfaction_score]]&gt;=4,"Happy",IF(cf_cl[[#This Row],[satisfaction_score]]=3,"Neutral","Negative"))</f>
        <v>Happy</v>
      </c>
      <c r="I208" s="3" t="str">
        <f>IF(cf_cl[[#This Row],[satisfaction_score]]&lt;=2,"Low",IF(cf_cl[[#This Row],[satisfaction_score]]=3,"Medium","High"))</f>
        <v>High</v>
      </c>
      <c r="J208">
        <f>YEAR(cf_cl[[#This Row],[date_submitted]])</f>
        <v>2022</v>
      </c>
      <c r="K208" s="3" t="str">
        <f>TEXT(cf_cl[[#This Row],[date_submitted]],"mmm")</f>
        <v>Nov</v>
      </c>
      <c r="L208" s="3" t="str">
        <f t="shared" si="9"/>
        <v>Q4</v>
      </c>
      <c r="M208" s="3" t="str">
        <f t="shared" si="10"/>
        <v>Saturday</v>
      </c>
      <c r="N208" s="3" t="str">
        <f t="shared" si="11"/>
        <v>No</v>
      </c>
      <c r="O208" s="3" t="str">
        <f>IF(COUNTIF($B:$B,B208)=1,"New Customer",
IF(COUNTIF($B:$B,B208)&lt;=3,"Returning Customer","Loyal Customer"))</f>
        <v>New Customer</v>
      </c>
      <c r="P208" s="3" t="str">
        <f>IF(cf_cl[[#This Row],[referred_claim]]="Yes","Referred","Not Referred")</f>
        <v>Not Referred</v>
      </c>
    </row>
    <row r="209" spans="1:16" x14ac:dyDescent="0.3">
      <c r="A209" t="s">
        <v>424</v>
      </c>
      <c r="B209" t="s">
        <v>425</v>
      </c>
      <c r="C209" s="1">
        <v>44135</v>
      </c>
      <c r="D209" t="s">
        <v>22</v>
      </c>
      <c r="E209">
        <v>4</v>
      </c>
      <c r="F209" s="3" t="s">
        <v>13</v>
      </c>
      <c r="G209" s="3" t="s">
        <v>13</v>
      </c>
      <c r="H209" s="3" t="str">
        <f>IF(cf_cl[[#This Row],[satisfaction_score]]&gt;=4,"Happy",IF(cf_cl[[#This Row],[satisfaction_score]]=3,"Neutral","Negative"))</f>
        <v>Happy</v>
      </c>
      <c r="I209" s="3" t="str">
        <f>IF(cf_cl[[#This Row],[satisfaction_score]]&lt;=2,"Low",IF(cf_cl[[#This Row],[satisfaction_score]]=3,"Medium","High"))</f>
        <v>High</v>
      </c>
      <c r="J209">
        <f>YEAR(cf_cl[[#This Row],[date_submitted]])</f>
        <v>2020</v>
      </c>
      <c r="K209" s="3" t="str">
        <f>TEXT(cf_cl[[#This Row],[date_submitted]],"mmm")</f>
        <v>Oct</v>
      </c>
      <c r="L209" s="3" t="str">
        <f t="shared" si="9"/>
        <v>Q4</v>
      </c>
      <c r="M209" s="3" t="str">
        <f t="shared" si="10"/>
        <v>Saturday</v>
      </c>
      <c r="N209" s="3" t="str">
        <f t="shared" si="11"/>
        <v>No</v>
      </c>
      <c r="O209" s="3" t="str">
        <f>IF(COUNTIF($B:$B,B209)=1,"New Customer",
IF(COUNTIF($B:$B,B209)&lt;=3,"Returning Customer","Loyal Customer"))</f>
        <v>New Customer</v>
      </c>
      <c r="P209" s="3" t="str">
        <f>IF(cf_cl[[#This Row],[referred_claim]]="Yes","Referred","Not Referred")</f>
        <v>Not Referred</v>
      </c>
    </row>
    <row r="210" spans="1:16" x14ac:dyDescent="0.3">
      <c r="A210" t="s">
        <v>426</v>
      </c>
      <c r="B210" t="s">
        <v>427</v>
      </c>
      <c r="C210" s="1">
        <v>44619</v>
      </c>
      <c r="D210" t="s">
        <v>9</v>
      </c>
      <c r="E210">
        <v>2</v>
      </c>
      <c r="F210" s="3" t="s">
        <v>10</v>
      </c>
      <c r="G210" s="3" t="s">
        <v>13</v>
      </c>
      <c r="H210" s="3" t="str">
        <f>IF(cf_cl[[#This Row],[satisfaction_score]]&gt;=4,"Happy",IF(cf_cl[[#This Row],[satisfaction_score]]=3,"Neutral","Negative"))</f>
        <v>Negative</v>
      </c>
      <c r="I210" s="3" t="str">
        <f>IF(cf_cl[[#This Row],[satisfaction_score]]&lt;=2,"Low",IF(cf_cl[[#This Row],[satisfaction_score]]=3,"Medium","High"))</f>
        <v>Low</v>
      </c>
      <c r="J210">
        <f>YEAR(cf_cl[[#This Row],[date_submitted]])</f>
        <v>2022</v>
      </c>
      <c r="K210" s="3" t="str">
        <f>TEXT(cf_cl[[#This Row],[date_submitted]],"mmm")</f>
        <v>Feb</v>
      </c>
      <c r="L210" s="3" t="str">
        <f t="shared" si="9"/>
        <v>Q1</v>
      </c>
      <c r="M210" s="3" t="str">
        <f t="shared" si="10"/>
        <v>Sunday</v>
      </c>
      <c r="N210" s="3" t="str">
        <f t="shared" si="11"/>
        <v>Yes</v>
      </c>
      <c r="O210" s="3" t="str">
        <f>IF(COUNTIF($B:$B,B210)=1,"New Customer",
IF(COUNTIF($B:$B,B210)&lt;=3,"Returning Customer","Loyal Customer"))</f>
        <v>New Customer</v>
      </c>
      <c r="P210" s="3" t="str">
        <f>IF(cf_cl[[#This Row],[referred_claim]]="Yes","Referred","Not Referred")</f>
        <v>Not Referred</v>
      </c>
    </row>
    <row r="211" spans="1:16" x14ac:dyDescent="0.3">
      <c r="A211" t="s">
        <v>428</v>
      </c>
      <c r="B211" t="s">
        <v>429</v>
      </c>
      <c r="C211" s="1">
        <v>45203</v>
      </c>
      <c r="D211" t="s">
        <v>31</v>
      </c>
      <c r="E211">
        <v>1</v>
      </c>
      <c r="F211" s="3" t="s">
        <v>10</v>
      </c>
      <c r="G211" s="3" t="s">
        <v>10</v>
      </c>
      <c r="H211" s="3" t="str">
        <f>IF(cf_cl[[#This Row],[satisfaction_score]]&gt;=4,"Happy",IF(cf_cl[[#This Row],[satisfaction_score]]=3,"Neutral","Negative"))</f>
        <v>Negative</v>
      </c>
      <c r="I211" s="3" t="str">
        <f>IF(cf_cl[[#This Row],[satisfaction_score]]&lt;=2,"Low",IF(cf_cl[[#This Row],[satisfaction_score]]=3,"Medium","High"))</f>
        <v>Low</v>
      </c>
      <c r="J211">
        <f>YEAR(cf_cl[[#This Row],[date_submitted]])</f>
        <v>2023</v>
      </c>
      <c r="K211" s="3" t="str">
        <f>TEXT(cf_cl[[#This Row],[date_submitted]],"mmm")</f>
        <v>Oct</v>
      </c>
      <c r="L211" s="3" t="str">
        <f t="shared" si="9"/>
        <v>Q4</v>
      </c>
      <c r="M211" s="3" t="str">
        <f t="shared" si="10"/>
        <v>Wednesday</v>
      </c>
      <c r="N211" s="3" t="str">
        <f t="shared" si="11"/>
        <v>Yes</v>
      </c>
      <c r="O211" s="3" t="str">
        <f>IF(COUNTIF($B:$B,B211)=1,"New Customer",
IF(COUNTIF($B:$B,B211)&lt;=3,"Returning Customer","Loyal Customer"))</f>
        <v>New Customer</v>
      </c>
      <c r="P211" s="3" t="str">
        <f>IF(cf_cl[[#This Row],[referred_claim]]="Yes","Referred","Not Referred")</f>
        <v>Referred</v>
      </c>
    </row>
    <row r="212" spans="1:16" x14ac:dyDescent="0.3">
      <c r="A212" t="s">
        <v>430</v>
      </c>
      <c r="B212" t="s">
        <v>431</v>
      </c>
      <c r="C212" s="1">
        <v>44976</v>
      </c>
      <c r="D212" t="s">
        <v>37</v>
      </c>
      <c r="E212">
        <v>4</v>
      </c>
      <c r="F212" s="3" t="s">
        <v>13</v>
      </c>
      <c r="G212" s="3" t="s">
        <v>10</v>
      </c>
      <c r="H212" s="3" t="str">
        <f>IF(cf_cl[[#This Row],[satisfaction_score]]&gt;=4,"Happy",IF(cf_cl[[#This Row],[satisfaction_score]]=3,"Neutral","Negative"))</f>
        <v>Happy</v>
      </c>
      <c r="I212" s="3" t="str">
        <f>IF(cf_cl[[#This Row],[satisfaction_score]]&lt;=2,"Low",IF(cf_cl[[#This Row],[satisfaction_score]]=3,"Medium","High"))</f>
        <v>High</v>
      </c>
      <c r="J212">
        <f>YEAR(cf_cl[[#This Row],[date_submitted]])</f>
        <v>2023</v>
      </c>
      <c r="K212" s="3" t="str">
        <f>TEXT(cf_cl[[#This Row],[date_submitted]],"mmm")</f>
        <v>Feb</v>
      </c>
      <c r="L212" s="3" t="str">
        <f t="shared" si="9"/>
        <v>Q1</v>
      </c>
      <c r="M212" s="3" t="str">
        <f t="shared" si="10"/>
        <v>Sunday</v>
      </c>
      <c r="N212" s="3" t="str">
        <f t="shared" si="11"/>
        <v>No</v>
      </c>
      <c r="O212" s="3" t="str">
        <f>IF(COUNTIF($B:$B,B212)=1,"New Customer",
IF(COUNTIF($B:$B,B212)&lt;=3,"Returning Customer","Loyal Customer"))</f>
        <v>New Customer</v>
      </c>
      <c r="P212" s="3" t="str">
        <f>IF(cf_cl[[#This Row],[referred_claim]]="Yes","Referred","Not Referred")</f>
        <v>Referred</v>
      </c>
    </row>
    <row r="213" spans="1:16" x14ac:dyDescent="0.3">
      <c r="A213" t="s">
        <v>432</v>
      </c>
      <c r="B213" t="s">
        <v>433</v>
      </c>
      <c r="C213" s="1">
        <v>44447</v>
      </c>
      <c r="D213" t="s">
        <v>9</v>
      </c>
      <c r="E213">
        <v>2</v>
      </c>
      <c r="F213" s="3" t="s">
        <v>10</v>
      </c>
      <c r="G213" s="3" t="s">
        <v>13</v>
      </c>
      <c r="H213" s="3" t="str">
        <f>IF(cf_cl[[#This Row],[satisfaction_score]]&gt;=4,"Happy",IF(cf_cl[[#This Row],[satisfaction_score]]=3,"Neutral","Negative"))</f>
        <v>Negative</v>
      </c>
      <c r="I213" s="3" t="str">
        <f>IF(cf_cl[[#This Row],[satisfaction_score]]&lt;=2,"Low",IF(cf_cl[[#This Row],[satisfaction_score]]=3,"Medium","High"))</f>
        <v>Low</v>
      </c>
      <c r="J213">
        <f>YEAR(cf_cl[[#This Row],[date_submitted]])</f>
        <v>2021</v>
      </c>
      <c r="K213" s="3" t="str">
        <f>TEXT(cf_cl[[#This Row],[date_submitted]],"mmm")</f>
        <v>Sep</v>
      </c>
      <c r="L213" s="3" t="str">
        <f t="shared" si="9"/>
        <v>Q3</v>
      </c>
      <c r="M213" s="3" t="str">
        <f t="shared" si="10"/>
        <v>Wednesday</v>
      </c>
      <c r="N213" s="3" t="str">
        <f t="shared" si="11"/>
        <v>Yes</v>
      </c>
      <c r="O213" s="3" t="str">
        <f>IF(COUNTIF($B:$B,B213)=1,"New Customer",
IF(COUNTIF($B:$B,B213)&lt;=3,"Returning Customer","Loyal Customer"))</f>
        <v>New Customer</v>
      </c>
      <c r="P213" s="3" t="str">
        <f>IF(cf_cl[[#This Row],[referred_claim]]="Yes","Referred","Not Referred")</f>
        <v>Not Referred</v>
      </c>
    </row>
    <row r="214" spans="1:16" x14ac:dyDescent="0.3">
      <c r="A214" t="s">
        <v>434</v>
      </c>
      <c r="B214" t="s">
        <v>435</v>
      </c>
      <c r="C214" s="1">
        <v>44526</v>
      </c>
      <c r="D214" t="s">
        <v>22</v>
      </c>
      <c r="E214">
        <v>4</v>
      </c>
      <c r="F214" s="3" t="s">
        <v>10</v>
      </c>
      <c r="G214" s="3" t="s">
        <v>13</v>
      </c>
      <c r="H214" s="3" t="str">
        <f>IF(cf_cl[[#This Row],[satisfaction_score]]&gt;=4,"Happy",IF(cf_cl[[#This Row],[satisfaction_score]]=3,"Neutral","Negative"))</f>
        <v>Happy</v>
      </c>
      <c r="I214" s="3" t="str">
        <f>IF(cf_cl[[#This Row],[satisfaction_score]]&lt;=2,"Low",IF(cf_cl[[#This Row],[satisfaction_score]]=3,"Medium","High"))</f>
        <v>High</v>
      </c>
      <c r="J214">
        <f>YEAR(cf_cl[[#This Row],[date_submitted]])</f>
        <v>2021</v>
      </c>
      <c r="K214" s="3" t="str">
        <f>TEXT(cf_cl[[#This Row],[date_submitted]],"mmm")</f>
        <v>Nov</v>
      </c>
      <c r="L214" s="3" t="str">
        <f t="shared" si="9"/>
        <v>Q4</v>
      </c>
      <c r="M214" s="3" t="str">
        <f t="shared" si="10"/>
        <v>Friday</v>
      </c>
      <c r="N214" s="3" t="str">
        <f t="shared" si="11"/>
        <v>No</v>
      </c>
      <c r="O214" s="3" t="str">
        <f>IF(COUNTIF($B:$B,B214)=1,"New Customer",
IF(COUNTIF($B:$B,B214)&lt;=3,"Returning Customer","Loyal Customer"))</f>
        <v>Returning Customer</v>
      </c>
      <c r="P214" s="3" t="str">
        <f>IF(cf_cl[[#This Row],[referred_claim]]="Yes","Referred","Not Referred")</f>
        <v>Not Referred</v>
      </c>
    </row>
    <row r="215" spans="1:16" x14ac:dyDescent="0.3">
      <c r="A215" t="s">
        <v>436</v>
      </c>
      <c r="B215" t="s">
        <v>437</v>
      </c>
      <c r="C215" s="1">
        <v>44030</v>
      </c>
      <c r="D215" t="s">
        <v>68</v>
      </c>
      <c r="E215">
        <v>2</v>
      </c>
      <c r="F215" s="3" t="s">
        <v>10</v>
      </c>
      <c r="G215" s="3" t="s">
        <v>10</v>
      </c>
      <c r="H215" s="3" t="str">
        <f>IF(cf_cl[[#This Row],[satisfaction_score]]&gt;=4,"Happy",IF(cf_cl[[#This Row],[satisfaction_score]]=3,"Neutral","Negative"))</f>
        <v>Negative</v>
      </c>
      <c r="I215" s="3" t="str">
        <f>IF(cf_cl[[#This Row],[satisfaction_score]]&lt;=2,"Low",IF(cf_cl[[#This Row],[satisfaction_score]]=3,"Medium","High"))</f>
        <v>Low</v>
      </c>
      <c r="J215">
        <f>YEAR(cf_cl[[#This Row],[date_submitted]])</f>
        <v>2020</v>
      </c>
      <c r="K215" s="3" t="str">
        <f>TEXT(cf_cl[[#This Row],[date_submitted]],"mmm")</f>
        <v>Jul</v>
      </c>
      <c r="L215" s="3" t="str">
        <f t="shared" si="9"/>
        <v>Q3</v>
      </c>
      <c r="M215" s="3" t="str">
        <f t="shared" si="10"/>
        <v>Saturday</v>
      </c>
      <c r="N215" s="3" t="str">
        <f t="shared" si="11"/>
        <v>Yes</v>
      </c>
      <c r="O215" s="3" t="str">
        <f>IF(COUNTIF($B:$B,B215)=1,"New Customer",
IF(COUNTIF($B:$B,B215)&lt;=3,"Returning Customer","Loyal Customer"))</f>
        <v>Returning Customer</v>
      </c>
      <c r="P215" s="3" t="str">
        <f>IF(cf_cl[[#This Row],[referred_claim]]="Yes","Referred","Not Referred")</f>
        <v>Referred</v>
      </c>
    </row>
    <row r="216" spans="1:16" x14ac:dyDescent="0.3">
      <c r="A216" t="s">
        <v>438</v>
      </c>
      <c r="B216" t="s">
        <v>439</v>
      </c>
      <c r="C216" s="1">
        <v>44502</v>
      </c>
      <c r="D216" t="s">
        <v>16</v>
      </c>
      <c r="E216">
        <v>4</v>
      </c>
      <c r="F216" s="3" t="s">
        <v>10</v>
      </c>
      <c r="G216" s="3" t="s">
        <v>10</v>
      </c>
      <c r="H216" s="3" t="str">
        <f>IF(cf_cl[[#This Row],[satisfaction_score]]&gt;=4,"Happy",IF(cf_cl[[#This Row],[satisfaction_score]]=3,"Neutral","Negative"))</f>
        <v>Happy</v>
      </c>
      <c r="I216" s="3" t="str">
        <f>IF(cf_cl[[#This Row],[satisfaction_score]]&lt;=2,"Low",IF(cf_cl[[#This Row],[satisfaction_score]]=3,"Medium","High"))</f>
        <v>High</v>
      </c>
      <c r="J216">
        <f>YEAR(cf_cl[[#This Row],[date_submitted]])</f>
        <v>2021</v>
      </c>
      <c r="K216" s="3" t="str">
        <f>TEXT(cf_cl[[#This Row],[date_submitted]],"mmm")</f>
        <v>Nov</v>
      </c>
      <c r="L216" s="3" t="str">
        <f t="shared" si="9"/>
        <v>Q4</v>
      </c>
      <c r="M216" s="3" t="str">
        <f t="shared" si="10"/>
        <v>Tuesday</v>
      </c>
      <c r="N216" s="3" t="str">
        <f t="shared" si="11"/>
        <v>No</v>
      </c>
      <c r="O216" s="3" t="str">
        <f>IF(COUNTIF($B:$B,B216)=1,"New Customer",
IF(COUNTIF($B:$B,B216)&lt;=3,"Returning Customer","Loyal Customer"))</f>
        <v>New Customer</v>
      </c>
      <c r="P216" s="3" t="str">
        <f>IF(cf_cl[[#This Row],[referred_claim]]="Yes","Referred","Not Referred")</f>
        <v>Referred</v>
      </c>
    </row>
    <row r="217" spans="1:16" x14ac:dyDescent="0.3">
      <c r="A217" t="s">
        <v>440</v>
      </c>
      <c r="B217" t="s">
        <v>441</v>
      </c>
      <c r="C217" s="1">
        <v>45167</v>
      </c>
      <c r="D217" t="s">
        <v>68</v>
      </c>
      <c r="E217">
        <v>1</v>
      </c>
      <c r="F217" s="3" t="s">
        <v>10</v>
      </c>
      <c r="G217" s="3" t="s">
        <v>10</v>
      </c>
      <c r="H217" s="3" t="str">
        <f>IF(cf_cl[[#This Row],[satisfaction_score]]&gt;=4,"Happy",IF(cf_cl[[#This Row],[satisfaction_score]]=3,"Neutral","Negative"))</f>
        <v>Negative</v>
      </c>
      <c r="I217" s="3" t="str">
        <f>IF(cf_cl[[#This Row],[satisfaction_score]]&lt;=2,"Low",IF(cf_cl[[#This Row],[satisfaction_score]]=3,"Medium","High"))</f>
        <v>Low</v>
      </c>
      <c r="J217">
        <f>YEAR(cf_cl[[#This Row],[date_submitted]])</f>
        <v>2023</v>
      </c>
      <c r="K217" s="3" t="str">
        <f>TEXT(cf_cl[[#This Row],[date_submitted]],"mmm")</f>
        <v>Aug</v>
      </c>
      <c r="L217" s="3" t="str">
        <f t="shared" si="9"/>
        <v>Q3</v>
      </c>
      <c r="M217" s="3" t="str">
        <f t="shared" si="10"/>
        <v>Tuesday</v>
      </c>
      <c r="N217" s="3" t="str">
        <f t="shared" si="11"/>
        <v>Yes</v>
      </c>
      <c r="O217" s="3" t="str">
        <f>IF(COUNTIF($B:$B,B217)=1,"New Customer",
IF(COUNTIF($B:$B,B217)&lt;=3,"Returning Customer","Loyal Customer"))</f>
        <v>New Customer</v>
      </c>
      <c r="P217" s="3" t="str">
        <f>IF(cf_cl[[#This Row],[referred_claim]]="Yes","Referred","Not Referred")</f>
        <v>Referred</v>
      </c>
    </row>
    <row r="218" spans="1:16" x14ac:dyDescent="0.3">
      <c r="A218" t="s">
        <v>442</v>
      </c>
      <c r="B218" t="s">
        <v>443</v>
      </c>
      <c r="C218" s="1">
        <v>44254</v>
      </c>
      <c r="D218" t="s">
        <v>37</v>
      </c>
      <c r="E218">
        <v>4</v>
      </c>
      <c r="F218" s="3" t="s">
        <v>10</v>
      </c>
      <c r="G218" s="3" t="s">
        <v>10</v>
      </c>
      <c r="H218" s="3" t="str">
        <f>IF(cf_cl[[#This Row],[satisfaction_score]]&gt;=4,"Happy",IF(cf_cl[[#This Row],[satisfaction_score]]=3,"Neutral","Negative"))</f>
        <v>Happy</v>
      </c>
      <c r="I218" s="3" t="str">
        <f>IF(cf_cl[[#This Row],[satisfaction_score]]&lt;=2,"Low",IF(cf_cl[[#This Row],[satisfaction_score]]=3,"Medium","High"))</f>
        <v>High</v>
      </c>
      <c r="J218">
        <f>YEAR(cf_cl[[#This Row],[date_submitted]])</f>
        <v>2021</v>
      </c>
      <c r="K218" s="3" t="str">
        <f>TEXT(cf_cl[[#This Row],[date_submitted]],"mmm")</f>
        <v>Feb</v>
      </c>
      <c r="L218" s="3" t="str">
        <f t="shared" si="9"/>
        <v>Q1</v>
      </c>
      <c r="M218" s="3" t="str">
        <f t="shared" si="10"/>
        <v>Saturday</v>
      </c>
      <c r="N218" s="3" t="str">
        <f t="shared" si="11"/>
        <v>No</v>
      </c>
      <c r="O218" s="3" t="str">
        <f>IF(COUNTIF($B:$B,B218)=1,"New Customer",
IF(COUNTIF($B:$B,B218)&lt;=3,"Returning Customer","Loyal Customer"))</f>
        <v>New Customer</v>
      </c>
      <c r="P218" s="3" t="str">
        <f>IF(cf_cl[[#This Row],[referred_claim]]="Yes","Referred","Not Referred")</f>
        <v>Referred</v>
      </c>
    </row>
    <row r="219" spans="1:16" x14ac:dyDescent="0.3">
      <c r="A219" t="s">
        <v>444</v>
      </c>
      <c r="B219" t="s">
        <v>445</v>
      </c>
      <c r="C219" s="1">
        <v>44312</v>
      </c>
      <c r="D219" t="s">
        <v>28</v>
      </c>
      <c r="E219">
        <v>4</v>
      </c>
      <c r="F219" s="3" t="s">
        <v>10</v>
      </c>
      <c r="G219" s="3" t="s">
        <v>13</v>
      </c>
      <c r="H219" s="3" t="str">
        <f>IF(cf_cl[[#This Row],[satisfaction_score]]&gt;=4,"Happy",IF(cf_cl[[#This Row],[satisfaction_score]]=3,"Neutral","Negative"))</f>
        <v>Happy</v>
      </c>
      <c r="I219" s="3" t="str">
        <f>IF(cf_cl[[#This Row],[satisfaction_score]]&lt;=2,"Low",IF(cf_cl[[#This Row],[satisfaction_score]]=3,"Medium","High"))</f>
        <v>High</v>
      </c>
      <c r="J219">
        <f>YEAR(cf_cl[[#This Row],[date_submitted]])</f>
        <v>2021</v>
      </c>
      <c r="K219" s="3" t="str">
        <f>TEXT(cf_cl[[#This Row],[date_submitted]],"mmm")</f>
        <v>Apr</v>
      </c>
      <c r="L219" s="3" t="str">
        <f t="shared" si="9"/>
        <v>Q2</v>
      </c>
      <c r="M219" s="3" t="str">
        <f t="shared" si="10"/>
        <v>Monday</v>
      </c>
      <c r="N219" s="3" t="str">
        <f t="shared" si="11"/>
        <v>No</v>
      </c>
      <c r="O219" s="3" t="str">
        <f>IF(COUNTIF($B:$B,B219)=1,"New Customer",
IF(COUNTIF($B:$B,B219)&lt;=3,"Returning Customer","Loyal Customer"))</f>
        <v>Returning Customer</v>
      </c>
      <c r="P219" s="3" t="str">
        <f>IF(cf_cl[[#This Row],[referred_claim]]="Yes","Referred","Not Referred")</f>
        <v>Not Referred</v>
      </c>
    </row>
    <row r="220" spans="1:16" x14ac:dyDescent="0.3">
      <c r="A220" t="s">
        <v>446</v>
      </c>
      <c r="B220" t="s">
        <v>447</v>
      </c>
      <c r="C220" s="1">
        <v>44775</v>
      </c>
      <c r="D220" t="s">
        <v>19</v>
      </c>
      <c r="E220">
        <v>3</v>
      </c>
      <c r="F220" s="3" t="s">
        <v>10</v>
      </c>
      <c r="G220" s="3" t="s">
        <v>13</v>
      </c>
      <c r="H220" s="3" t="str">
        <f>IF(cf_cl[[#This Row],[satisfaction_score]]&gt;=4,"Happy",IF(cf_cl[[#This Row],[satisfaction_score]]=3,"Neutral","Negative"))</f>
        <v>Neutral</v>
      </c>
      <c r="I220" s="3" t="str">
        <f>IF(cf_cl[[#This Row],[satisfaction_score]]&lt;=2,"Low",IF(cf_cl[[#This Row],[satisfaction_score]]=3,"Medium","High"))</f>
        <v>Medium</v>
      </c>
      <c r="J220">
        <f>YEAR(cf_cl[[#This Row],[date_submitted]])</f>
        <v>2022</v>
      </c>
      <c r="K220" s="3" t="str">
        <f>TEXT(cf_cl[[#This Row],[date_submitted]],"mmm")</f>
        <v>Aug</v>
      </c>
      <c r="L220" s="3" t="str">
        <f t="shared" si="9"/>
        <v>Q3</v>
      </c>
      <c r="M220" s="3" t="str">
        <f t="shared" si="10"/>
        <v>Tuesday</v>
      </c>
      <c r="N220" s="3" t="str">
        <f t="shared" si="11"/>
        <v>No</v>
      </c>
      <c r="O220" s="3" t="str">
        <f>IF(COUNTIF($B:$B,B220)=1,"New Customer",
IF(COUNTIF($B:$B,B220)&lt;=3,"Returning Customer","Loyal Customer"))</f>
        <v>New Customer</v>
      </c>
      <c r="P220" s="3" t="str">
        <f>IF(cf_cl[[#This Row],[referred_claim]]="Yes","Referred","Not Referred")</f>
        <v>Not Referred</v>
      </c>
    </row>
    <row r="221" spans="1:16" x14ac:dyDescent="0.3">
      <c r="A221" t="s">
        <v>448</v>
      </c>
      <c r="B221" t="s">
        <v>449</v>
      </c>
      <c r="C221" s="1">
        <v>44723</v>
      </c>
      <c r="D221" t="s">
        <v>83</v>
      </c>
      <c r="E221">
        <v>2</v>
      </c>
      <c r="F221" s="3" t="s">
        <v>13</v>
      </c>
      <c r="G221" s="3" t="s">
        <v>10</v>
      </c>
      <c r="H221" s="3" t="str">
        <f>IF(cf_cl[[#This Row],[satisfaction_score]]&gt;=4,"Happy",IF(cf_cl[[#This Row],[satisfaction_score]]=3,"Neutral","Negative"))</f>
        <v>Negative</v>
      </c>
      <c r="I221" s="3" t="str">
        <f>IF(cf_cl[[#This Row],[satisfaction_score]]&lt;=2,"Low",IF(cf_cl[[#This Row],[satisfaction_score]]=3,"Medium","High"))</f>
        <v>Low</v>
      </c>
      <c r="J221">
        <f>YEAR(cf_cl[[#This Row],[date_submitted]])</f>
        <v>2022</v>
      </c>
      <c r="K221" s="3" t="str">
        <f>TEXT(cf_cl[[#This Row],[date_submitted]],"mmm")</f>
        <v>Jun</v>
      </c>
      <c r="L221" s="3" t="str">
        <f t="shared" si="9"/>
        <v>Q2</v>
      </c>
      <c r="M221" s="3" t="str">
        <f t="shared" si="10"/>
        <v>Saturday</v>
      </c>
      <c r="N221" s="3" t="str">
        <f t="shared" si="11"/>
        <v>Yes</v>
      </c>
      <c r="O221" s="3" t="str">
        <f>IF(COUNTIF($B:$B,B221)=1,"New Customer",
IF(COUNTIF($B:$B,B221)&lt;=3,"Returning Customer","Loyal Customer"))</f>
        <v>Returning Customer</v>
      </c>
      <c r="P221" s="3" t="str">
        <f>IF(cf_cl[[#This Row],[referred_claim]]="Yes","Referred","Not Referred")</f>
        <v>Referred</v>
      </c>
    </row>
    <row r="222" spans="1:16" x14ac:dyDescent="0.3">
      <c r="A222" t="s">
        <v>450</v>
      </c>
      <c r="B222" t="s">
        <v>451</v>
      </c>
      <c r="C222" s="1">
        <v>44588</v>
      </c>
      <c r="D222" t="s">
        <v>25</v>
      </c>
      <c r="E222">
        <v>5</v>
      </c>
      <c r="F222" s="3" t="s">
        <v>10</v>
      </c>
      <c r="G222" s="3" t="s">
        <v>10</v>
      </c>
      <c r="H222" s="3" t="str">
        <f>IF(cf_cl[[#This Row],[satisfaction_score]]&gt;=4,"Happy",IF(cf_cl[[#This Row],[satisfaction_score]]=3,"Neutral","Negative"))</f>
        <v>Happy</v>
      </c>
      <c r="I222" s="3" t="str">
        <f>IF(cf_cl[[#This Row],[satisfaction_score]]&lt;=2,"Low",IF(cf_cl[[#This Row],[satisfaction_score]]=3,"Medium","High"))</f>
        <v>High</v>
      </c>
      <c r="J222">
        <f>YEAR(cf_cl[[#This Row],[date_submitted]])</f>
        <v>2022</v>
      </c>
      <c r="K222" s="3" t="str">
        <f>TEXT(cf_cl[[#This Row],[date_submitted]],"mmm")</f>
        <v>Jan</v>
      </c>
      <c r="L222" s="3" t="str">
        <f t="shared" si="9"/>
        <v>Q1</v>
      </c>
      <c r="M222" s="3" t="str">
        <f t="shared" si="10"/>
        <v>Thursday</v>
      </c>
      <c r="N222" s="3" t="str">
        <f t="shared" si="11"/>
        <v>No</v>
      </c>
      <c r="O222" s="3" t="str">
        <f>IF(COUNTIF($B:$B,B222)=1,"New Customer",
IF(COUNTIF($B:$B,B222)&lt;=3,"Returning Customer","Loyal Customer"))</f>
        <v>New Customer</v>
      </c>
      <c r="P222" s="3" t="str">
        <f>IF(cf_cl[[#This Row],[referred_claim]]="Yes","Referred","Not Referred")</f>
        <v>Referred</v>
      </c>
    </row>
    <row r="223" spans="1:16" x14ac:dyDescent="0.3">
      <c r="A223" t="s">
        <v>452</v>
      </c>
      <c r="B223" t="s">
        <v>453</v>
      </c>
      <c r="C223" s="1">
        <v>44522</v>
      </c>
      <c r="D223" t="s">
        <v>83</v>
      </c>
      <c r="E223">
        <v>1</v>
      </c>
      <c r="F223" s="3" t="s">
        <v>13</v>
      </c>
      <c r="G223" s="3" t="s">
        <v>10</v>
      </c>
      <c r="H223" s="3" t="str">
        <f>IF(cf_cl[[#This Row],[satisfaction_score]]&gt;=4,"Happy",IF(cf_cl[[#This Row],[satisfaction_score]]=3,"Neutral","Negative"))</f>
        <v>Negative</v>
      </c>
      <c r="I223" s="3" t="str">
        <f>IF(cf_cl[[#This Row],[satisfaction_score]]&lt;=2,"Low",IF(cf_cl[[#This Row],[satisfaction_score]]=3,"Medium","High"))</f>
        <v>Low</v>
      </c>
      <c r="J223">
        <f>YEAR(cf_cl[[#This Row],[date_submitted]])</f>
        <v>2021</v>
      </c>
      <c r="K223" s="3" t="str">
        <f>TEXT(cf_cl[[#This Row],[date_submitted]],"mmm")</f>
        <v>Nov</v>
      </c>
      <c r="L223" s="3" t="str">
        <f t="shared" si="9"/>
        <v>Q4</v>
      </c>
      <c r="M223" s="3" t="str">
        <f t="shared" si="10"/>
        <v>Monday</v>
      </c>
      <c r="N223" s="3" t="str">
        <f t="shared" si="11"/>
        <v>Yes</v>
      </c>
      <c r="O223" s="3" t="str">
        <f>IF(COUNTIF($B:$B,B223)=1,"New Customer",
IF(COUNTIF($B:$B,B223)&lt;=3,"Returning Customer","Loyal Customer"))</f>
        <v>New Customer</v>
      </c>
      <c r="P223" s="3" t="str">
        <f>IF(cf_cl[[#This Row],[referred_claim]]="Yes","Referred","Not Referred")</f>
        <v>Referred</v>
      </c>
    </row>
    <row r="224" spans="1:16" x14ac:dyDescent="0.3">
      <c r="A224" t="s">
        <v>454</v>
      </c>
      <c r="B224" t="s">
        <v>455</v>
      </c>
      <c r="C224" s="1">
        <v>44620</v>
      </c>
      <c r="D224" t="s">
        <v>9</v>
      </c>
      <c r="E224">
        <v>2</v>
      </c>
      <c r="F224" s="3" t="s">
        <v>13</v>
      </c>
      <c r="G224" s="3" t="s">
        <v>13</v>
      </c>
      <c r="H224" s="3" t="str">
        <f>IF(cf_cl[[#This Row],[satisfaction_score]]&gt;=4,"Happy",IF(cf_cl[[#This Row],[satisfaction_score]]=3,"Neutral","Negative"))</f>
        <v>Negative</v>
      </c>
      <c r="I224" s="3" t="str">
        <f>IF(cf_cl[[#This Row],[satisfaction_score]]&lt;=2,"Low",IF(cf_cl[[#This Row],[satisfaction_score]]=3,"Medium","High"))</f>
        <v>Low</v>
      </c>
      <c r="J224">
        <f>YEAR(cf_cl[[#This Row],[date_submitted]])</f>
        <v>2022</v>
      </c>
      <c r="K224" s="3" t="str">
        <f>TEXT(cf_cl[[#This Row],[date_submitted]],"mmm")</f>
        <v>Feb</v>
      </c>
      <c r="L224" s="3" t="str">
        <f t="shared" si="9"/>
        <v>Q1</v>
      </c>
      <c r="M224" s="3" t="str">
        <f t="shared" si="10"/>
        <v>Monday</v>
      </c>
      <c r="N224" s="3" t="str">
        <f t="shared" si="11"/>
        <v>Yes</v>
      </c>
      <c r="O224" s="3" t="str">
        <f>IF(COUNTIF($B:$B,B224)=1,"New Customer",
IF(COUNTIF($B:$B,B224)&lt;=3,"Returning Customer","Loyal Customer"))</f>
        <v>New Customer</v>
      </c>
      <c r="P224" s="3" t="str">
        <f>IF(cf_cl[[#This Row],[referred_claim]]="Yes","Referred","Not Referred")</f>
        <v>Not Referred</v>
      </c>
    </row>
    <row r="225" spans="1:16" x14ac:dyDescent="0.3">
      <c r="A225" t="s">
        <v>456</v>
      </c>
      <c r="B225" t="s">
        <v>457</v>
      </c>
      <c r="C225" s="1">
        <v>44315</v>
      </c>
      <c r="D225" t="s">
        <v>22</v>
      </c>
      <c r="E225">
        <v>4</v>
      </c>
      <c r="F225" s="3" t="s">
        <v>10</v>
      </c>
      <c r="G225" s="3" t="s">
        <v>13</v>
      </c>
      <c r="H225" s="3" t="str">
        <f>IF(cf_cl[[#This Row],[satisfaction_score]]&gt;=4,"Happy",IF(cf_cl[[#This Row],[satisfaction_score]]=3,"Neutral","Negative"))</f>
        <v>Happy</v>
      </c>
      <c r="I225" s="3" t="str">
        <f>IF(cf_cl[[#This Row],[satisfaction_score]]&lt;=2,"Low",IF(cf_cl[[#This Row],[satisfaction_score]]=3,"Medium","High"))</f>
        <v>High</v>
      </c>
      <c r="J225">
        <f>YEAR(cf_cl[[#This Row],[date_submitted]])</f>
        <v>2021</v>
      </c>
      <c r="K225" s="3" t="str">
        <f>TEXT(cf_cl[[#This Row],[date_submitted]],"mmm")</f>
        <v>Apr</v>
      </c>
      <c r="L225" s="3" t="str">
        <f t="shared" si="9"/>
        <v>Q2</v>
      </c>
      <c r="M225" s="3" t="str">
        <f t="shared" si="10"/>
        <v>Thursday</v>
      </c>
      <c r="N225" s="3" t="str">
        <f t="shared" si="11"/>
        <v>No</v>
      </c>
      <c r="O225" s="3" t="str">
        <f>IF(COUNTIF($B:$B,B225)=1,"New Customer",
IF(COUNTIF($B:$B,B225)&lt;=3,"Returning Customer","Loyal Customer"))</f>
        <v>New Customer</v>
      </c>
      <c r="P225" s="3" t="str">
        <f>IF(cf_cl[[#This Row],[referred_claim]]="Yes","Referred","Not Referred")</f>
        <v>Not Referred</v>
      </c>
    </row>
    <row r="226" spans="1:16" x14ac:dyDescent="0.3">
      <c r="A226" t="s">
        <v>458</v>
      </c>
      <c r="B226" t="s">
        <v>459</v>
      </c>
      <c r="C226" s="1">
        <v>44150</v>
      </c>
      <c r="D226" t="s">
        <v>31</v>
      </c>
      <c r="E226">
        <v>2</v>
      </c>
      <c r="F226" s="3" t="s">
        <v>10</v>
      </c>
      <c r="G226" s="3" t="s">
        <v>13</v>
      </c>
      <c r="H226" s="3" t="str">
        <f>IF(cf_cl[[#This Row],[satisfaction_score]]&gt;=4,"Happy",IF(cf_cl[[#This Row],[satisfaction_score]]=3,"Neutral","Negative"))</f>
        <v>Negative</v>
      </c>
      <c r="I226" s="3" t="str">
        <f>IF(cf_cl[[#This Row],[satisfaction_score]]&lt;=2,"Low",IF(cf_cl[[#This Row],[satisfaction_score]]=3,"Medium","High"))</f>
        <v>Low</v>
      </c>
      <c r="J226">
        <f>YEAR(cf_cl[[#This Row],[date_submitted]])</f>
        <v>2020</v>
      </c>
      <c r="K226" s="3" t="str">
        <f>TEXT(cf_cl[[#This Row],[date_submitted]],"mmm")</f>
        <v>Nov</v>
      </c>
      <c r="L226" s="3" t="str">
        <f t="shared" si="9"/>
        <v>Q4</v>
      </c>
      <c r="M226" s="3" t="str">
        <f t="shared" si="10"/>
        <v>Sunday</v>
      </c>
      <c r="N226" s="3" t="str">
        <f t="shared" si="11"/>
        <v>Yes</v>
      </c>
      <c r="O226" s="3" t="str">
        <f>IF(COUNTIF($B:$B,B226)=1,"New Customer",
IF(COUNTIF($B:$B,B226)&lt;=3,"Returning Customer","Loyal Customer"))</f>
        <v>New Customer</v>
      </c>
      <c r="P226" s="3" t="str">
        <f>IF(cf_cl[[#This Row],[referred_claim]]="Yes","Referred","Not Referred")</f>
        <v>Not Referred</v>
      </c>
    </row>
    <row r="227" spans="1:16" x14ac:dyDescent="0.3">
      <c r="A227" t="s">
        <v>460</v>
      </c>
      <c r="B227" t="s">
        <v>461</v>
      </c>
      <c r="C227" s="1">
        <v>45104</v>
      </c>
      <c r="D227" t="s">
        <v>31</v>
      </c>
      <c r="E227">
        <v>2</v>
      </c>
      <c r="F227" s="3" t="s">
        <v>13</v>
      </c>
      <c r="G227" s="3" t="s">
        <v>10</v>
      </c>
      <c r="H227" s="3" t="str">
        <f>IF(cf_cl[[#This Row],[satisfaction_score]]&gt;=4,"Happy",IF(cf_cl[[#This Row],[satisfaction_score]]=3,"Neutral","Negative"))</f>
        <v>Negative</v>
      </c>
      <c r="I227" s="3" t="str">
        <f>IF(cf_cl[[#This Row],[satisfaction_score]]&lt;=2,"Low",IF(cf_cl[[#This Row],[satisfaction_score]]=3,"Medium","High"))</f>
        <v>Low</v>
      </c>
      <c r="J227">
        <f>YEAR(cf_cl[[#This Row],[date_submitted]])</f>
        <v>2023</v>
      </c>
      <c r="K227" s="3" t="str">
        <f>TEXT(cf_cl[[#This Row],[date_submitted]],"mmm")</f>
        <v>Jun</v>
      </c>
      <c r="L227" s="3" t="str">
        <f t="shared" si="9"/>
        <v>Q2</v>
      </c>
      <c r="M227" s="3" t="str">
        <f t="shared" si="10"/>
        <v>Tuesday</v>
      </c>
      <c r="N227" s="3" t="str">
        <f t="shared" si="11"/>
        <v>Yes</v>
      </c>
      <c r="O227" s="3" t="str">
        <f>IF(COUNTIF($B:$B,B227)=1,"New Customer",
IF(COUNTIF($B:$B,B227)&lt;=3,"Returning Customer","Loyal Customer"))</f>
        <v>New Customer</v>
      </c>
      <c r="P227" s="3" t="str">
        <f>IF(cf_cl[[#This Row],[referred_claim]]="Yes","Referred","Not Referred")</f>
        <v>Referred</v>
      </c>
    </row>
    <row r="228" spans="1:16" x14ac:dyDescent="0.3">
      <c r="A228" t="s">
        <v>462</v>
      </c>
      <c r="B228" t="s">
        <v>463</v>
      </c>
      <c r="C228" s="1">
        <v>43976</v>
      </c>
      <c r="D228" t="s">
        <v>68</v>
      </c>
      <c r="E228">
        <v>2</v>
      </c>
      <c r="F228" s="3" t="s">
        <v>13</v>
      </c>
      <c r="G228" s="3" t="s">
        <v>10</v>
      </c>
      <c r="H228" s="3" t="str">
        <f>IF(cf_cl[[#This Row],[satisfaction_score]]&gt;=4,"Happy",IF(cf_cl[[#This Row],[satisfaction_score]]=3,"Neutral","Negative"))</f>
        <v>Negative</v>
      </c>
      <c r="I228" s="3" t="str">
        <f>IF(cf_cl[[#This Row],[satisfaction_score]]&lt;=2,"Low",IF(cf_cl[[#This Row],[satisfaction_score]]=3,"Medium","High"))</f>
        <v>Low</v>
      </c>
      <c r="J228">
        <f>YEAR(cf_cl[[#This Row],[date_submitted]])</f>
        <v>2020</v>
      </c>
      <c r="K228" s="3" t="str">
        <f>TEXT(cf_cl[[#This Row],[date_submitted]],"mmm")</f>
        <v>May</v>
      </c>
      <c r="L228" s="3" t="str">
        <f t="shared" si="9"/>
        <v>Q2</v>
      </c>
      <c r="M228" s="3" t="str">
        <f t="shared" si="10"/>
        <v>Monday</v>
      </c>
      <c r="N228" s="3" t="str">
        <f t="shared" si="11"/>
        <v>Yes</v>
      </c>
      <c r="O228" s="3" t="str">
        <f>IF(COUNTIF($B:$B,B228)=1,"New Customer",
IF(COUNTIF($B:$B,B228)&lt;=3,"Returning Customer","Loyal Customer"))</f>
        <v>New Customer</v>
      </c>
      <c r="P228" s="3" t="str">
        <f>IF(cf_cl[[#This Row],[referred_claim]]="Yes","Referred","Not Referred")</f>
        <v>Referred</v>
      </c>
    </row>
    <row r="229" spans="1:16" x14ac:dyDescent="0.3">
      <c r="A229" t="s">
        <v>464</v>
      </c>
      <c r="B229" t="s">
        <v>465</v>
      </c>
      <c r="C229" s="1">
        <v>44246</v>
      </c>
      <c r="D229" t="s">
        <v>9</v>
      </c>
      <c r="E229">
        <v>2</v>
      </c>
      <c r="F229" s="3" t="s">
        <v>10</v>
      </c>
      <c r="G229" s="3" t="s">
        <v>13</v>
      </c>
      <c r="H229" s="3" t="str">
        <f>IF(cf_cl[[#This Row],[satisfaction_score]]&gt;=4,"Happy",IF(cf_cl[[#This Row],[satisfaction_score]]=3,"Neutral","Negative"))</f>
        <v>Negative</v>
      </c>
      <c r="I229" s="3" t="str">
        <f>IF(cf_cl[[#This Row],[satisfaction_score]]&lt;=2,"Low",IF(cf_cl[[#This Row],[satisfaction_score]]=3,"Medium","High"))</f>
        <v>Low</v>
      </c>
      <c r="J229">
        <f>YEAR(cf_cl[[#This Row],[date_submitted]])</f>
        <v>2021</v>
      </c>
      <c r="K229" s="3" t="str">
        <f>TEXT(cf_cl[[#This Row],[date_submitted]],"mmm")</f>
        <v>Feb</v>
      </c>
      <c r="L229" s="3" t="str">
        <f t="shared" si="9"/>
        <v>Q1</v>
      </c>
      <c r="M229" s="3" t="str">
        <f t="shared" si="10"/>
        <v>Friday</v>
      </c>
      <c r="N229" s="3" t="str">
        <f t="shared" si="11"/>
        <v>Yes</v>
      </c>
      <c r="O229" s="3" t="str">
        <f>IF(COUNTIF($B:$B,B229)=1,"New Customer",
IF(COUNTIF($B:$B,B229)&lt;=3,"Returning Customer","Loyal Customer"))</f>
        <v>New Customer</v>
      </c>
      <c r="P229" s="3" t="str">
        <f>IF(cf_cl[[#This Row],[referred_claim]]="Yes","Referred","Not Referred")</f>
        <v>Not Referred</v>
      </c>
    </row>
    <row r="230" spans="1:16" x14ac:dyDescent="0.3">
      <c r="A230" t="s">
        <v>466</v>
      </c>
      <c r="B230" t="s">
        <v>467</v>
      </c>
      <c r="C230" s="1">
        <v>44714</v>
      </c>
      <c r="D230" t="s">
        <v>31</v>
      </c>
      <c r="E230">
        <v>3</v>
      </c>
      <c r="F230" s="3" t="s">
        <v>10</v>
      </c>
      <c r="G230" s="3" t="s">
        <v>10</v>
      </c>
      <c r="H230" s="3" t="str">
        <f>IF(cf_cl[[#This Row],[satisfaction_score]]&gt;=4,"Happy",IF(cf_cl[[#This Row],[satisfaction_score]]=3,"Neutral","Negative"))</f>
        <v>Neutral</v>
      </c>
      <c r="I230" s="3" t="str">
        <f>IF(cf_cl[[#This Row],[satisfaction_score]]&lt;=2,"Low",IF(cf_cl[[#This Row],[satisfaction_score]]=3,"Medium","High"))</f>
        <v>Medium</v>
      </c>
      <c r="J230">
        <f>YEAR(cf_cl[[#This Row],[date_submitted]])</f>
        <v>2022</v>
      </c>
      <c r="K230" s="3" t="str">
        <f>TEXT(cf_cl[[#This Row],[date_submitted]],"mmm")</f>
        <v>Jun</v>
      </c>
      <c r="L230" s="3" t="str">
        <f t="shared" si="9"/>
        <v>Q2</v>
      </c>
      <c r="M230" s="3" t="str">
        <f t="shared" si="10"/>
        <v>Thursday</v>
      </c>
      <c r="N230" s="3" t="str">
        <f t="shared" si="11"/>
        <v>No</v>
      </c>
      <c r="O230" s="3" t="str">
        <f>IF(COUNTIF($B:$B,B230)=1,"New Customer",
IF(COUNTIF($B:$B,B230)&lt;=3,"Returning Customer","Loyal Customer"))</f>
        <v>New Customer</v>
      </c>
      <c r="P230" s="3" t="str">
        <f>IF(cf_cl[[#This Row],[referred_claim]]="Yes","Referred","Not Referred")</f>
        <v>Referred</v>
      </c>
    </row>
    <row r="231" spans="1:16" x14ac:dyDescent="0.3">
      <c r="A231" t="s">
        <v>468</v>
      </c>
      <c r="B231" t="s">
        <v>469</v>
      </c>
      <c r="C231" s="1">
        <v>44219</v>
      </c>
      <c r="D231" t="s">
        <v>9</v>
      </c>
      <c r="E231">
        <v>3</v>
      </c>
      <c r="F231" s="3" t="s">
        <v>10</v>
      </c>
      <c r="G231" s="3" t="s">
        <v>10</v>
      </c>
      <c r="H231" s="3" t="str">
        <f>IF(cf_cl[[#This Row],[satisfaction_score]]&gt;=4,"Happy",IF(cf_cl[[#This Row],[satisfaction_score]]=3,"Neutral","Negative"))</f>
        <v>Neutral</v>
      </c>
      <c r="I231" s="3" t="str">
        <f>IF(cf_cl[[#This Row],[satisfaction_score]]&lt;=2,"Low",IF(cf_cl[[#This Row],[satisfaction_score]]=3,"Medium","High"))</f>
        <v>Medium</v>
      </c>
      <c r="J231">
        <f>YEAR(cf_cl[[#This Row],[date_submitted]])</f>
        <v>2021</v>
      </c>
      <c r="K231" s="3" t="str">
        <f>TEXT(cf_cl[[#This Row],[date_submitted]],"mmm")</f>
        <v>Jan</v>
      </c>
      <c r="L231" s="3" t="str">
        <f t="shared" si="9"/>
        <v>Q1</v>
      </c>
      <c r="M231" s="3" t="str">
        <f t="shared" si="10"/>
        <v>Saturday</v>
      </c>
      <c r="N231" s="3" t="str">
        <f t="shared" si="11"/>
        <v>No</v>
      </c>
      <c r="O231" s="3" t="str">
        <f>IF(COUNTIF($B:$B,B231)=1,"New Customer",
IF(COUNTIF($B:$B,B231)&lt;=3,"Returning Customer","Loyal Customer"))</f>
        <v>New Customer</v>
      </c>
      <c r="P231" s="3" t="str">
        <f>IF(cf_cl[[#This Row],[referred_claim]]="Yes","Referred","Not Referred")</f>
        <v>Referred</v>
      </c>
    </row>
    <row r="232" spans="1:16" x14ac:dyDescent="0.3">
      <c r="A232" t="s">
        <v>470</v>
      </c>
      <c r="B232" t="s">
        <v>471</v>
      </c>
      <c r="C232" s="1">
        <v>44034</v>
      </c>
      <c r="D232" t="s">
        <v>31</v>
      </c>
      <c r="E232">
        <v>2</v>
      </c>
      <c r="F232" s="3" t="s">
        <v>10</v>
      </c>
      <c r="G232" s="3" t="s">
        <v>10</v>
      </c>
      <c r="H232" s="3" t="str">
        <f>IF(cf_cl[[#This Row],[satisfaction_score]]&gt;=4,"Happy",IF(cf_cl[[#This Row],[satisfaction_score]]=3,"Neutral","Negative"))</f>
        <v>Negative</v>
      </c>
      <c r="I232" s="3" t="str">
        <f>IF(cf_cl[[#This Row],[satisfaction_score]]&lt;=2,"Low",IF(cf_cl[[#This Row],[satisfaction_score]]=3,"Medium","High"))</f>
        <v>Low</v>
      </c>
      <c r="J232">
        <f>YEAR(cf_cl[[#This Row],[date_submitted]])</f>
        <v>2020</v>
      </c>
      <c r="K232" s="3" t="str">
        <f>TEXT(cf_cl[[#This Row],[date_submitted]],"mmm")</f>
        <v>Jul</v>
      </c>
      <c r="L232" s="3" t="str">
        <f t="shared" si="9"/>
        <v>Q3</v>
      </c>
      <c r="M232" s="3" t="str">
        <f t="shared" si="10"/>
        <v>Wednesday</v>
      </c>
      <c r="N232" s="3" t="str">
        <f t="shared" si="11"/>
        <v>Yes</v>
      </c>
      <c r="O232" s="3" t="str">
        <f>IF(COUNTIF($B:$B,B232)=1,"New Customer",
IF(COUNTIF($B:$B,B232)&lt;=3,"Returning Customer","Loyal Customer"))</f>
        <v>Returning Customer</v>
      </c>
      <c r="P232" s="3" t="str">
        <f>IF(cf_cl[[#This Row],[referred_claim]]="Yes","Referred","Not Referred")</f>
        <v>Referred</v>
      </c>
    </row>
    <row r="233" spans="1:16" x14ac:dyDescent="0.3">
      <c r="A233" t="s">
        <v>472</v>
      </c>
      <c r="B233" t="s">
        <v>473</v>
      </c>
      <c r="C233" s="1">
        <v>45205</v>
      </c>
      <c r="D233" t="s">
        <v>22</v>
      </c>
      <c r="E233">
        <v>4</v>
      </c>
      <c r="F233" s="3" t="s">
        <v>10</v>
      </c>
      <c r="G233" s="3" t="s">
        <v>13</v>
      </c>
      <c r="H233" s="3" t="str">
        <f>IF(cf_cl[[#This Row],[satisfaction_score]]&gt;=4,"Happy",IF(cf_cl[[#This Row],[satisfaction_score]]=3,"Neutral","Negative"))</f>
        <v>Happy</v>
      </c>
      <c r="I233" s="3" t="str">
        <f>IF(cf_cl[[#This Row],[satisfaction_score]]&lt;=2,"Low",IF(cf_cl[[#This Row],[satisfaction_score]]=3,"Medium","High"))</f>
        <v>High</v>
      </c>
      <c r="J233">
        <f>YEAR(cf_cl[[#This Row],[date_submitted]])</f>
        <v>2023</v>
      </c>
      <c r="K233" s="3" t="str">
        <f>TEXT(cf_cl[[#This Row],[date_submitted]],"mmm")</f>
        <v>Oct</v>
      </c>
      <c r="L233" s="3" t="str">
        <f t="shared" si="9"/>
        <v>Q4</v>
      </c>
      <c r="M233" s="3" t="str">
        <f t="shared" si="10"/>
        <v>Friday</v>
      </c>
      <c r="N233" s="3" t="str">
        <f t="shared" si="11"/>
        <v>No</v>
      </c>
      <c r="O233" s="3" t="str">
        <f>IF(COUNTIF($B:$B,B233)=1,"New Customer",
IF(COUNTIF($B:$B,B233)&lt;=3,"Returning Customer","Loyal Customer"))</f>
        <v>New Customer</v>
      </c>
      <c r="P233" s="3" t="str">
        <f>IF(cf_cl[[#This Row],[referred_claim]]="Yes","Referred","Not Referred")</f>
        <v>Not Referred</v>
      </c>
    </row>
    <row r="234" spans="1:16" x14ac:dyDescent="0.3">
      <c r="A234" t="s">
        <v>474</v>
      </c>
      <c r="B234" t="s">
        <v>475</v>
      </c>
      <c r="C234" s="1">
        <v>45257</v>
      </c>
      <c r="D234" t="s">
        <v>68</v>
      </c>
      <c r="E234">
        <v>1</v>
      </c>
      <c r="F234" s="3" t="s">
        <v>13</v>
      </c>
      <c r="G234" s="3" t="s">
        <v>13</v>
      </c>
      <c r="H234" s="3" t="str">
        <f>IF(cf_cl[[#This Row],[satisfaction_score]]&gt;=4,"Happy",IF(cf_cl[[#This Row],[satisfaction_score]]=3,"Neutral","Negative"))</f>
        <v>Negative</v>
      </c>
      <c r="I234" s="3" t="str">
        <f>IF(cf_cl[[#This Row],[satisfaction_score]]&lt;=2,"Low",IF(cf_cl[[#This Row],[satisfaction_score]]=3,"Medium","High"))</f>
        <v>Low</v>
      </c>
      <c r="J234">
        <f>YEAR(cf_cl[[#This Row],[date_submitted]])</f>
        <v>2023</v>
      </c>
      <c r="K234" s="3" t="str">
        <f>TEXT(cf_cl[[#This Row],[date_submitted]],"mmm")</f>
        <v>Nov</v>
      </c>
      <c r="L234" s="3" t="str">
        <f t="shared" si="9"/>
        <v>Q4</v>
      </c>
      <c r="M234" s="3" t="str">
        <f t="shared" si="10"/>
        <v>Monday</v>
      </c>
      <c r="N234" s="3" t="str">
        <f t="shared" si="11"/>
        <v>Yes</v>
      </c>
      <c r="O234" s="3" t="str">
        <f>IF(COUNTIF($B:$B,B234)=1,"New Customer",
IF(COUNTIF($B:$B,B234)&lt;=3,"Returning Customer","Loyal Customer"))</f>
        <v>Returning Customer</v>
      </c>
      <c r="P234" s="3" t="str">
        <f>IF(cf_cl[[#This Row],[referred_claim]]="Yes","Referred","Not Referred")</f>
        <v>Not Referred</v>
      </c>
    </row>
    <row r="235" spans="1:16" x14ac:dyDescent="0.3">
      <c r="A235" t="s">
        <v>476</v>
      </c>
      <c r="B235" t="s">
        <v>477</v>
      </c>
      <c r="C235" s="1">
        <v>44878</v>
      </c>
      <c r="D235" t="s">
        <v>19</v>
      </c>
      <c r="E235">
        <v>2</v>
      </c>
      <c r="F235" s="3" t="s">
        <v>10</v>
      </c>
      <c r="G235" s="3" t="s">
        <v>10</v>
      </c>
      <c r="H235" s="3" t="str">
        <f>IF(cf_cl[[#This Row],[satisfaction_score]]&gt;=4,"Happy",IF(cf_cl[[#This Row],[satisfaction_score]]=3,"Neutral","Negative"))</f>
        <v>Negative</v>
      </c>
      <c r="I235" s="3" t="str">
        <f>IF(cf_cl[[#This Row],[satisfaction_score]]&lt;=2,"Low",IF(cf_cl[[#This Row],[satisfaction_score]]=3,"Medium","High"))</f>
        <v>Low</v>
      </c>
      <c r="J235">
        <f>YEAR(cf_cl[[#This Row],[date_submitted]])</f>
        <v>2022</v>
      </c>
      <c r="K235" s="3" t="str">
        <f>TEXT(cf_cl[[#This Row],[date_submitted]],"mmm")</f>
        <v>Nov</v>
      </c>
      <c r="L235" s="3" t="str">
        <f t="shared" si="9"/>
        <v>Q4</v>
      </c>
      <c r="M235" s="3" t="str">
        <f t="shared" si="10"/>
        <v>Sunday</v>
      </c>
      <c r="N235" s="3" t="str">
        <f t="shared" si="11"/>
        <v>Yes</v>
      </c>
      <c r="O235" s="3" t="str">
        <f>IF(COUNTIF($B:$B,B235)=1,"New Customer",
IF(COUNTIF($B:$B,B235)&lt;=3,"Returning Customer","Loyal Customer"))</f>
        <v>New Customer</v>
      </c>
      <c r="P235" s="3" t="str">
        <f>IF(cf_cl[[#This Row],[referred_claim]]="Yes","Referred","Not Referred")</f>
        <v>Referred</v>
      </c>
    </row>
    <row r="236" spans="1:16" x14ac:dyDescent="0.3">
      <c r="A236" t="s">
        <v>478</v>
      </c>
      <c r="B236" t="s">
        <v>479</v>
      </c>
      <c r="C236" s="1">
        <v>44589</v>
      </c>
      <c r="D236" t="s">
        <v>9</v>
      </c>
      <c r="E236">
        <v>3</v>
      </c>
      <c r="F236" s="3" t="s">
        <v>10</v>
      </c>
      <c r="G236" s="3" t="s">
        <v>10</v>
      </c>
      <c r="H236" s="3" t="str">
        <f>IF(cf_cl[[#This Row],[satisfaction_score]]&gt;=4,"Happy",IF(cf_cl[[#This Row],[satisfaction_score]]=3,"Neutral","Negative"))</f>
        <v>Neutral</v>
      </c>
      <c r="I236" s="3" t="str">
        <f>IF(cf_cl[[#This Row],[satisfaction_score]]&lt;=2,"Low",IF(cf_cl[[#This Row],[satisfaction_score]]=3,"Medium","High"))</f>
        <v>Medium</v>
      </c>
      <c r="J236">
        <f>YEAR(cf_cl[[#This Row],[date_submitted]])</f>
        <v>2022</v>
      </c>
      <c r="K236" s="3" t="str">
        <f>TEXT(cf_cl[[#This Row],[date_submitted]],"mmm")</f>
        <v>Jan</v>
      </c>
      <c r="L236" s="3" t="str">
        <f t="shared" si="9"/>
        <v>Q1</v>
      </c>
      <c r="M236" s="3" t="str">
        <f t="shared" si="10"/>
        <v>Friday</v>
      </c>
      <c r="N236" s="3" t="str">
        <f t="shared" si="11"/>
        <v>No</v>
      </c>
      <c r="O236" s="3" t="str">
        <f>IF(COUNTIF($B:$B,B236)=1,"New Customer",
IF(COUNTIF($B:$B,B236)&lt;=3,"Returning Customer","Loyal Customer"))</f>
        <v>New Customer</v>
      </c>
      <c r="P236" s="3" t="str">
        <f>IF(cf_cl[[#This Row],[referred_claim]]="Yes","Referred","Not Referred")</f>
        <v>Referred</v>
      </c>
    </row>
    <row r="237" spans="1:16" x14ac:dyDescent="0.3">
      <c r="A237" t="s">
        <v>480</v>
      </c>
      <c r="B237" t="s">
        <v>481</v>
      </c>
      <c r="C237" s="1">
        <v>43987</v>
      </c>
      <c r="D237" t="s">
        <v>22</v>
      </c>
      <c r="E237">
        <v>4</v>
      </c>
      <c r="F237" s="3" t="s">
        <v>10</v>
      </c>
      <c r="G237" s="3" t="s">
        <v>10</v>
      </c>
      <c r="H237" s="3" t="str">
        <f>IF(cf_cl[[#This Row],[satisfaction_score]]&gt;=4,"Happy",IF(cf_cl[[#This Row],[satisfaction_score]]=3,"Neutral","Negative"))</f>
        <v>Happy</v>
      </c>
      <c r="I237" s="3" t="str">
        <f>IF(cf_cl[[#This Row],[satisfaction_score]]&lt;=2,"Low",IF(cf_cl[[#This Row],[satisfaction_score]]=3,"Medium","High"))</f>
        <v>High</v>
      </c>
      <c r="J237">
        <f>YEAR(cf_cl[[#This Row],[date_submitted]])</f>
        <v>2020</v>
      </c>
      <c r="K237" s="3" t="str">
        <f>TEXT(cf_cl[[#This Row],[date_submitted]],"mmm")</f>
        <v>Jun</v>
      </c>
      <c r="L237" s="3" t="str">
        <f t="shared" si="9"/>
        <v>Q2</v>
      </c>
      <c r="M237" s="3" t="str">
        <f t="shared" si="10"/>
        <v>Friday</v>
      </c>
      <c r="N237" s="3" t="str">
        <f t="shared" si="11"/>
        <v>No</v>
      </c>
      <c r="O237" s="3" t="str">
        <f>IF(COUNTIF($B:$B,B237)=1,"New Customer",
IF(COUNTIF($B:$B,B237)&lt;=3,"Returning Customer","Loyal Customer"))</f>
        <v>New Customer</v>
      </c>
      <c r="P237" s="3" t="str">
        <f>IF(cf_cl[[#This Row],[referred_claim]]="Yes","Referred","Not Referred")</f>
        <v>Referred</v>
      </c>
    </row>
    <row r="238" spans="1:16" x14ac:dyDescent="0.3">
      <c r="A238" t="s">
        <v>482</v>
      </c>
      <c r="B238" t="s">
        <v>99</v>
      </c>
      <c r="C238" s="1">
        <v>45188</v>
      </c>
      <c r="D238" t="s">
        <v>19</v>
      </c>
      <c r="E238">
        <v>2</v>
      </c>
      <c r="F238" s="3" t="s">
        <v>10</v>
      </c>
      <c r="G238" s="3" t="s">
        <v>13</v>
      </c>
      <c r="H238" s="3" t="str">
        <f>IF(cf_cl[[#This Row],[satisfaction_score]]&gt;=4,"Happy",IF(cf_cl[[#This Row],[satisfaction_score]]=3,"Neutral","Negative"))</f>
        <v>Negative</v>
      </c>
      <c r="I238" s="3" t="str">
        <f>IF(cf_cl[[#This Row],[satisfaction_score]]&lt;=2,"Low",IF(cf_cl[[#This Row],[satisfaction_score]]=3,"Medium","High"))</f>
        <v>Low</v>
      </c>
      <c r="J238">
        <f>YEAR(cf_cl[[#This Row],[date_submitted]])</f>
        <v>2023</v>
      </c>
      <c r="K238" s="3" t="str">
        <f>TEXT(cf_cl[[#This Row],[date_submitted]],"mmm")</f>
        <v>Sep</v>
      </c>
      <c r="L238" s="3" t="str">
        <f t="shared" si="9"/>
        <v>Q3</v>
      </c>
      <c r="M238" s="3" t="str">
        <f t="shared" si="10"/>
        <v>Tuesday</v>
      </c>
      <c r="N238" s="3" t="str">
        <f t="shared" si="11"/>
        <v>Yes</v>
      </c>
      <c r="O238" s="3" t="str">
        <f>IF(COUNTIF($B:$B,B238)=1,"New Customer",
IF(COUNTIF($B:$B,B238)&lt;=3,"Returning Customer","Loyal Customer"))</f>
        <v>Returning Customer</v>
      </c>
      <c r="P238" s="3" t="str">
        <f>IF(cf_cl[[#This Row],[referred_claim]]="Yes","Referred","Not Referred")</f>
        <v>Not Referred</v>
      </c>
    </row>
    <row r="239" spans="1:16" x14ac:dyDescent="0.3">
      <c r="A239" t="s">
        <v>483</v>
      </c>
      <c r="B239" t="s">
        <v>484</v>
      </c>
      <c r="C239" s="1">
        <v>44279</v>
      </c>
      <c r="D239" t="s">
        <v>19</v>
      </c>
      <c r="E239">
        <v>2</v>
      </c>
      <c r="F239" s="3" t="s">
        <v>10</v>
      </c>
      <c r="G239" s="3" t="s">
        <v>10</v>
      </c>
      <c r="H239" s="3" t="str">
        <f>IF(cf_cl[[#This Row],[satisfaction_score]]&gt;=4,"Happy",IF(cf_cl[[#This Row],[satisfaction_score]]=3,"Neutral","Negative"))</f>
        <v>Negative</v>
      </c>
      <c r="I239" s="3" t="str">
        <f>IF(cf_cl[[#This Row],[satisfaction_score]]&lt;=2,"Low",IF(cf_cl[[#This Row],[satisfaction_score]]=3,"Medium","High"))</f>
        <v>Low</v>
      </c>
      <c r="J239">
        <f>YEAR(cf_cl[[#This Row],[date_submitted]])</f>
        <v>2021</v>
      </c>
      <c r="K239" s="3" t="str">
        <f>TEXT(cf_cl[[#This Row],[date_submitted]],"mmm")</f>
        <v>Mar</v>
      </c>
      <c r="L239" s="3" t="str">
        <f t="shared" si="9"/>
        <v>Q1</v>
      </c>
      <c r="M239" s="3" t="str">
        <f t="shared" si="10"/>
        <v>Wednesday</v>
      </c>
      <c r="N239" s="3" t="str">
        <f t="shared" si="11"/>
        <v>Yes</v>
      </c>
      <c r="O239" s="3" t="str">
        <f>IF(COUNTIF($B:$B,B239)=1,"New Customer",
IF(COUNTIF($B:$B,B239)&lt;=3,"Returning Customer","Loyal Customer"))</f>
        <v>Returning Customer</v>
      </c>
      <c r="P239" s="3" t="str">
        <f>IF(cf_cl[[#This Row],[referred_claim]]="Yes","Referred","Not Referred")</f>
        <v>Referred</v>
      </c>
    </row>
    <row r="240" spans="1:16" x14ac:dyDescent="0.3">
      <c r="A240" t="s">
        <v>485</v>
      </c>
      <c r="B240" t="s">
        <v>486</v>
      </c>
      <c r="C240" s="1">
        <v>44216</v>
      </c>
      <c r="D240" t="s">
        <v>19</v>
      </c>
      <c r="E240">
        <v>2</v>
      </c>
      <c r="F240" s="3" t="s">
        <v>10</v>
      </c>
      <c r="G240" s="3" t="s">
        <v>13</v>
      </c>
      <c r="H240" s="3" t="str">
        <f>IF(cf_cl[[#This Row],[satisfaction_score]]&gt;=4,"Happy",IF(cf_cl[[#This Row],[satisfaction_score]]=3,"Neutral","Negative"))</f>
        <v>Negative</v>
      </c>
      <c r="I240" s="3" t="str">
        <f>IF(cf_cl[[#This Row],[satisfaction_score]]&lt;=2,"Low",IF(cf_cl[[#This Row],[satisfaction_score]]=3,"Medium","High"))</f>
        <v>Low</v>
      </c>
      <c r="J240">
        <f>YEAR(cf_cl[[#This Row],[date_submitted]])</f>
        <v>2021</v>
      </c>
      <c r="K240" s="3" t="str">
        <f>TEXT(cf_cl[[#This Row],[date_submitted]],"mmm")</f>
        <v>Jan</v>
      </c>
      <c r="L240" s="3" t="str">
        <f t="shared" si="9"/>
        <v>Q1</v>
      </c>
      <c r="M240" s="3" t="str">
        <f t="shared" si="10"/>
        <v>Wednesday</v>
      </c>
      <c r="N240" s="3" t="str">
        <f t="shared" si="11"/>
        <v>Yes</v>
      </c>
      <c r="O240" s="3" t="str">
        <f>IF(COUNTIF($B:$B,B240)=1,"New Customer",
IF(COUNTIF($B:$B,B240)&lt;=3,"Returning Customer","Loyal Customer"))</f>
        <v>New Customer</v>
      </c>
      <c r="P240" s="3" t="str">
        <f>IF(cf_cl[[#This Row],[referred_claim]]="Yes","Referred","Not Referred")</f>
        <v>Not Referred</v>
      </c>
    </row>
    <row r="241" spans="1:16" x14ac:dyDescent="0.3">
      <c r="A241" t="s">
        <v>487</v>
      </c>
      <c r="B241" t="s">
        <v>488</v>
      </c>
      <c r="C241" s="1">
        <v>43867</v>
      </c>
      <c r="D241" t="s">
        <v>25</v>
      </c>
      <c r="E241">
        <v>4</v>
      </c>
      <c r="F241" s="3" t="s">
        <v>10</v>
      </c>
      <c r="G241" s="3" t="s">
        <v>13</v>
      </c>
      <c r="H241" s="3" t="str">
        <f>IF(cf_cl[[#This Row],[satisfaction_score]]&gt;=4,"Happy",IF(cf_cl[[#This Row],[satisfaction_score]]=3,"Neutral","Negative"))</f>
        <v>Happy</v>
      </c>
      <c r="I241" s="3" t="str">
        <f>IF(cf_cl[[#This Row],[satisfaction_score]]&lt;=2,"Low",IF(cf_cl[[#This Row],[satisfaction_score]]=3,"Medium","High"))</f>
        <v>High</v>
      </c>
      <c r="J241">
        <f>YEAR(cf_cl[[#This Row],[date_submitted]])</f>
        <v>2020</v>
      </c>
      <c r="K241" s="3" t="str">
        <f>TEXT(cf_cl[[#This Row],[date_submitted]],"mmm")</f>
        <v>Feb</v>
      </c>
      <c r="L241" s="3" t="str">
        <f t="shared" si="9"/>
        <v>Q1</v>
      </c>
      <c r="M241" s="3" t="str">
        <f t="shared" si="10"/>
        <v>Thursday</v>
      </c>
      <c r="N241" s="3" t="str">
        <f t="shared" si="11"/>
        <v>No</v>
      </c>
      <c r="O241" s="3" t="str">
        <f>IF(COUNTIF($B:$B,B241)=1,"New Customer",
IF(COUNTIF($B:$B,B241)&lt;=3,"Returning Customer","Loyal Customer"))</f>
        <v>New Customer</v>
      </c>
      <c r="P241" s="3" t="str">
        <f>IF(cf_cl[[#This Row],[referred_claim]]="Yes","Referred","Not Referred")</f>
        <v>Not Referred</v>
      </c>
    </row>
    <row r="242" spans="1:16" x14ac:dyDescent="0.3">
      <c r="A242" t="s">
        <v>489</v>
      </c>
      <c r="B242" t="s">
        <v>490</v>
      </c>
      <c r="C242" s="1">
        <v>44073</v>
      </c>
      <c r="D242" t="s">
        <v>37</v>
      </c>
      <c r="E242">
        <v>5</v>
      </c>
      <c r="F242" s="3" t="s">
        <v>10</v>
      </c>
      <c r="G242" s="3" t="s">
        <v>13</v>
      </c>
      <c r="H242" s="3" t="str">
        <f>IF(cf_cl[[#This Row],[satisfaction_score]]&gt;=4,"Happy",IF(cf_cl[[#This Row],[satisfaction_score]]=3,"Neutral","Negative"))</f>
        <v>Happy</v>
      </c>
      <c r="I242" s="3" t="str">
        <f>IF(cf_cl[[#This Row],[satisfaction_score]]&lt;=2,"Low",IF(cf_cl[[#This Row],[satisfaction_score]]=3,"Medium","High"))</f>
        <v>High</v>
      </c>
      <c r="J242">
        <f>YEAR(cf_cl[[#This Row],[date_submitted]])</f>
        <v>2020</v>
      </c>
      <c r="K242" s="3" t="str">
        <f>TEXT(cf_cl[[#This Row],[date_submitted]],"mmm")</f>
        <v>Aug</v>
      </c>
      <c r="L242" s="3" t="str">
        <f t="shared" si="9"/>
        <v>Q3</v>
      </c>
      <c r="M242" s="3" t="str">
        <f t="shared" si="10"/>
        <v>Sunday</v>
      </c>
      <c r="N242" s="3" t="str">
        <f t="shared" si="11"/>
        <v>No</v>
      </c>
      <c r="O242" s="3" t="str">
        <f>IF(COUNTIF($B:$B,B242)=1,"New Customer",
IF(COUNTIF($B:$B,B242)&lt;=3,"Returning Customer","Loyal Customer"))</f>
        <v>New Customer</v>
      </c>
      <c r="P242" s="3" t="str">
        <f>IF(cf_cl[[#This Row],[referred_claim]]="Yes","Referred","Not Referred")</f>
        <v>Not Referred</v>
      </c>
    </row>
    <row r="243" spans="1:16" x14ac:dyDescent="0.3">
      <c r="A243" t="s">
        <v>491</v>
      </c>
      <c r="B243" t="s">
        <v>492</v>
      </c>
      <c r="C243" s="1">
        <v>44481</v>
      </c>
      <c r="D243" t="s">
        <v>9</v>
      </c>
      <c r="E243">
        <v>1</v>
      </c>
      <c r="F243" s="3" t="s">
        <v>13</v>
      </c>
      <c r="G243" s="3" t="s">
        <v>10</v>
      </c>
      <c r="H243" s="3" t="str">
        <f>IF(cf_cl[[#This Row],[satisfaction_score]]&gt;=4,"Happy",IF(cf_cl[[#This Row],[satisfaction_score]]=3,"Neutral","Negative"))</f>
        <v>Negative</v>
      </c>
      <c r="I243" s="3" t="str">
        <f>IF(cf_cl[[#This Row],[satisfaction_score]]&lt;=2,"Low",IF(cf_cl[[#This Row],[satisfaction_score]]=3,"Medium","High"))</f>
        <v>Low</v>
      </c>
      <c r="J243">
        <f>YEAR(cf_cl[[#This Row],[date_submitted]])</f>
        <v>2021</v>
      </c>
      <c r="K243" s="3" t="str">
        <f>TEXT(cf_cl[[#This Row],[date_submitted]],"mmm")</f>
        <v>Oct</v>
      </c>
      <c r="L243" s="3" t="str">
        <f t="shared" si="9"/>
        <v>Q4</v>
      </c>
      <c r="M243" s="3" t="str">
        <f t="shared" si="10"/>
        <v>Tuesday</v>
      </c>
      <c r="N243" s="3" t="str">
        <f t="shared" si="11"/>
        <v>Yes</v>
      </c>
      <c r="O243" s="3" t="str">
        <f>IF(COUNTIF($B:$B,B243)=1,"New Customer",
IF(COUNTIF($B:$B,B243)&lt;=3,"Returning Customer","Loyal Customer"))</f>
        <v>New Customer</v>
      </c>
      <c r="P243" s="3" t="str">
        <f>IF(cf_cl[[#This Row],[referred_claim]]="Yes","Referred","Not Referred")</f>
        <v>Referred</v>
      </c>
    </row>
    <row r="244" spans="1:16" x14ac:dyDescent="0.3">
      <c r="A244" t="s">
        <v>493</v>
      </c>
      <c r="B244" t="s">
        <v>417</v>
      </c>
      <c r="C244" s="1">
        <v>44587</v>
      </c>
      <c r="D244" t="s">
        <v>37</v>
      </c>
      <c r="E244">
        <v>3</v>
      </c>
      <c r="F244" s="3" t="s">
        <v>10</v>
      </c>
      <c r="G244" s="3" t="s">
        <v>13</v>
      </c>
      <c r="H244" s="3" t="str">
        <f>IF(cf_cl[[#This Row],[satisfaction_score]]&gt;=4,"Happy",IF(cf_cl[[#This Row],[satisfaction_score]]=3,"Neutral","Negative"))</f>
        <v>Neutral</v>
      </c>
      <c r="I244" s="3" t="str">
        <f>IF(cf_cl[[#This Row],[satisfaction_score]]&lt;=2,"Low",IF(cf_cl[[#This Row],[satisfaction_score]]=3,"Medium","High"))</f>
        <v>Medium</v>
      </c>
      <c r="J244">
        <f>YEAR(cf_cl[[#This Row],[date_submitted]])</f>
        <v>2022</v>
      </c>
      <c r="K244" s="3" t="str">
        <f>TEXT(cf_cl[[#This Row],[date_submitted]],"mmm")</f>
        <v>Jan</v>
      </c>
      <c r="L244" s="3" t="str">
        <f t="shared" si="9"/>
        <v>Q1</v>
      </c>
      <c r="M244" s="3" t="str">
        <f t="shared" si="10"/>
        <v>Wednesday</v>
      </c>
      <c r="N244" s="3" t="str">
        <f t="shared" si="11"/>
        <v>No</v>
      </c>
      <c r="O244" s="3" t="str">
        <f>IF(COUNTIF($B:$B,B244)=1,"New Customer",
IF(COUNTIF($B:$B,B244)&lt;=3,"Returning Customer","Loyal Customer"))</f>
        <v>Returning Customer</v>
      </c>
      <c r="P244" s="3" t="str">
        <f>IF(cf_cl[[#This Row],[referred_claim]]="Yes","Referred","Not Referred")</f>
        <v>Not Referred</v>
      </c>
    </row>
    <row r="245" spans="1:16" x14ac:dyDescent="0.3">
      <c r="A245" t="s">
        <v>494</v>
      </c>
      <c r="B245" t="s">
        <v>495</v>
      </c>
      <c r="C245" s="1">
        <v>44756</v>
      </c>
      <c r="D245" t="s">
        <v>37</v>
      </c>
      <c r="E245">
        <v>5</v>
      </c>
      <c r="F245" s="3" t="s">
        <v>13</v>
      </c>
      <c r="G245" s="3" t="s">
        <v>13</v>
      </c>
      <c r="H245" s="3" t="str">
        <f>IF(cf_cl[[#This Row],[satisfaction_score]]&gt;=4,"Happy",IF(cf_cl[[#This Row],[satisfaction_score]]=3,"Neutral","Negative"))</f>
        <v>Happy</v>
      </c>
      <c r="I245" s="3" t="str">
        <f>IF(cf_cl[[#This Row],[satisfaction_score]]&lt;=2,"Low",IF(cf_cl[[#This Row],[satisfaction_score]]=3,"Medium","High"))</f>
        <v>High</v>
      </c>
      <c r="J245">
        <f>YEAR(cf_cl[[#This Row],[date_submitted]])</f>
        <v>2022</v>
      </c>
      <c r="K245" s="3" t="str">
        <f>TEXT(cf_cl[[#This Row],[date_submitted]],"mmm")</f>
        <v>Jul</v>
      </c>
      <c r="L245" s="3" t="str">
        <f t="shared" si="9"/>
        <v>Q3</v>
      </c>
      <c r="M245" s="3" t="str">
        <f t="shared" si="10"/>
        <v>Thursday</v>
      </c>
      <c r="N245" s="3" t="str">
        <f t="shared" si="11"/>
        <v>No</v>
      </c>
      <c r="O245" s="3" t="str">
        <f>IF(COUNTIF($B:$B,B245)=1,"New Customer",
IF(COUNTIF($B:$B,B245)&lt;=3,"Returning Customer","Loyal Customer"))</f>
        <v>Returning Customer</v>
      </c>
      <c r="P245" s="3" t="str">
        <f>IF(cf_cl[[#This Row],[referred_claim]]="Yes","Referred","Not Referred")</f>
        <v>Not Referred</v>
      </c>
    </row>
    <row r="246" spans="1:16" x14ac:dyDescent="0.3">
      <c r="A246" t="s">
        <v>496</v>
      </c>
      <c r="B246" t="s">
        <v>497</v>
      </c>
      <c r="C246" s="1">
        <v>44767</v>
      </c>
      <c r="D246" t="s">
        <v>37</v>
      </c>
      <c r="E246">
        <v>3</v>
      </c>
      <c r="F246" s="3" t="s">
        <v>13</v>
      </c>
      <c r="G246" s="3" t="s">
        <v>13</v>
      </c>
      <c r="H246" s="3" t="str">
        <f>IF(cf_cl[[#This Row],[satisfaction_score]]&gt;=4,"Happy",IF(cf_cl[[#This Row],[satisfaction_score]]=3,"Neutral","Negative"))</f>
        <v>Neutral</v>
      </c>
      <c r="I246" s="3" t="str">
        <f>IF(cf_cl[[#This Row],[satisfaction_score]]&lt;=2,"Low",IF(cf_cl[[#This Row],[satisfaction_score]]=3,"Medium","High"))</f>
        <v>Medium</v>
      </c>
      <c r="J246">
        <f>YEAR(cf_cl[[#This Row],[date_submitted]])</f>
        <v>2022</v>
      </c>
      <c r="K246" s="3" t="str">
        <f>TEXT(cf_cl[[#This Row],[date_submitted]],"mmm")</f>
        <v>Jul</v>
      </c>
      <c r="L246" s="3" t="str">
        <f t="shared" si="9"/>
        <v>Q3</v>
      </c>
      <c r="M246" s="3" t="str">
        <f t="shared" si="10"/>
        <v>Monday</v>
      </c>
      <c r="N246" s="3" t="str">
        <f t="shared" si="11"/>
        <v>No</v>
      </c>
      <c r="O246" s="3" t="str">
        <f>IF(COUNTIF($B:$B,B246)=1,"New Customer",
IF(COUNTIF($B:$B,B246)&lt;=3,"Returning Customer","Loyal Customer"))</f>
        <v>New Customer</v>
      </c>
      <c r="P246" s="3" t="str">
        <f>IF(cf_cl[[#This Row],[referred_claim]]="Yes","Referred","Not Referred")</f>
        <v>Not Referred</v>
      </c>
    </row>
    <row r="247" spans="1:16" x14ac:dyDescent="0.3">
      <c r="A247" t="s">
        <v>498</v>
      </c>
      <c r="B247" t="s">
        <v>499</v>
      </c>
      <c r="C247" s="1">
        <v>44196</v>
      </c>
      <c r="D247" t="s">
        <v>19</v>
      </c>
      <c r="E247">
        <v>2</v>
      </c>
      <c r="F247" s="3" t="s">
        <v>13</v>
      </c>
      <c r="G247" s="3" t="s">
        <v>13</v>
      </c>
      <c r="H247" s="3" t="str">
        <f>IF(cf_cl[[#This Row],[satisfaction_score]]&gt;=4,"Happy",IF(cf_cl[[#This Row],[satisfaction_score]]=3,"Neutral","Negative"))</f>
        <v>Negative</v>
      </c>
      <c r="I247" s="3" t="str">
        <f>IF(cf_cl[[#This Row],[satisfaction_score]]&lt;=2,"Low",IF(cf_cl[[#This Row],[satisfaction_score]]=3,"Medium","High"))</f>
        <v>Low</v>
      </c>
      <c r="J247">
        <f>YEAR(cf_cl[[#This Row],[date_submitted]])</f>
        <v>2020</v>
      </c>
      <c r="K247" s="3" t="str">
        <f>TEXT(cf_cl[[#This Row],[date_submitted]],"mmm")</f>
        <v>Dec</v>
      </c>
      <c r="L247" s="3" t="str">
        <f t="shared" si="9"/>
        <v>Q4</v>
      </c>
      <c r="M247" s="3" t="str">
        <f t="shared" si="10"/>
        <v>Thursday</v>
      </c>
      <c r="N247" s="3" t="str">
        <f t="shared" si="11"/>
        <v>Yes</v>
      </c>
      <c r="O247" s="3" t="str">
        <f>IF(COUNTIF($B:$B,B247)=1,"New Customer",
IF(COUNTIF($B:$B,B247)&lt;=3,"Returning Customer","Loyal Customer"))</f>
        <v>Returning Customer</v>
      </c>
      <c r="P247" s="3" t="str">
        <f>IF(cf_cl[[#This Row],[referred_claim]]="Yes","Referred","Not Referred")</f>
        <v>Not Referred</v>
      </c>
    </row>
    <row r="248" spans="1:16" x14ac:dyDescent="0.3">
      <c r="A248" t="s">
        <v>500</v>
      </c>
      <c r="B248" t="s">
        <v>501</v>
      </c>
      <c r="C248" s="1">
        <v>44390</v>
      </c>
      <c r="D248" t="s">
        <v>28</v>
      </c>
      <c r="E248">
        <v>5</v>
      </c>
      <c r="F248" s="3" t="s">
        <v>10</v>
      </c>
      <c r="G248" s="3" t="s">
        <v>10</v>
      </c>
      <c r="H248" s="3" t="str">
        <f>IF(cf_cl[[#This Row],[satisfaction_score]]&gt;=4,"Happy",IF(cf_cl[[#This Row],[satisfaction_score]]=3,"Neutral","Negative"))</f>
        <v>Happy</v>
      </c>
      <c r="I248" s="3" t="str">
        <f>IF(cf_cl[[#This Row],[satisfaction_score]]&lt;=2,"Low",IF(cf_cl[[#This Row],[satisfaction_score]]=3,"Medium","High"))</f>
        <v>High</v>
      </c>
      <c r="J248">
        <f>YEAR(cf_cl[[#This Row],[date_submitted]])</f>
        <v>2021</v>
      </c>
      <c r="K248" s="3" t="str">
        <f>TEXT(cf_cl[[#This Row],[date_submitted]],"mmm")</f>
        <v>Jul</v>
      </c>
      <c r="L248" s="3" t="str">
        <f t="shared" si="9"/>
        <v>Q3</v>
      </c>
      <c r="M248" s="3" t="str">
        <f t="shared" si="10"/>
        <v>Tuesday</v>
      </c>
      <c r="N248" s="3" t="str">
        <f t="shared" si="11"/>
        <v>No</v>
      </c>
      <c r="O248" s="3" t="str">
        <f>IF(COUNTIF($B:$B,B248)=1,"New Customer",
IF(COUNTIF($B:$B,B248)&lt;=3,"Returning Customer","Loyal Customer"))</f>
        <v>New Customer</v>
      </c>
      <c r="P248" s="3" t="str">
        <f>IF(cf_cl[[#This Row],[referred_claim]]="Yes","Referred","Not Referred")</f>
        <v>Referred</v>
      </c>
    </row>
    <row r="249" spans="1:16" x14ac:dyDescent="0.3">
      <c r="A249" t="s">
        <v>502</v>
      </c>
      <c r="B249" t="s">
        <v>503</v>
      </c>
      <c r="C249" s="1">
        <v>44915</v>
      </c>
      <c r="D249" t="s">
        <v>31</v>
      </c>
      <c r="E249">
        <v>3</v>
      </c>
      <c r="F249" s="3" t="s">
        <v>13</v>
      </c>
      <c r="G249" s="3" t="s">
        <v>13</v>
      </c>
      <c r="H249" s="3" t="str">
        <f>IF(cf_cl[[#This Row],[satisfaction_score]]&gt;=4,"Happy",IF(cf_cl[[#This Row],[satisfaction_score]]=3,"Neutral","Negative"))</f>
        <v>Neutral</v>
      </c>
      <c r="I249" s="3" t="str">
        <f>IF(cf_cl[[#This Row],[satisfaction_score]]&lt;=2,"Low",IF(cf_cl[[#This Row],[satisfaction_score]]=3,"Medium","High"))</f>
        <v>Medium</v>
      </c>
      <c r="J249">
        <f>YEAR(cf_cl[[#This Row],[date_submitted]])</f>
        <v>2022</v>
      </c>
      <c r="K249" s="3" t="str">
        <f>TEXT(cf_cl[[#This Row],[date_submitted]],"mmm")</f>
        <v>Dec</v>
      </c>
      <c r="L249" s="3" t="str">
        <f t="shared" si="9"/>
        <v>Q4</v>
      </c>
      <c r="M249" s="3" t="str">
        <f t="shared" si="10"/>
        <v>Tuesday</v>
      </c>
      <c r="N249" s="3" t="str">
        <f t="shared" si="11"/>
        <v>No</v>
      </c>
      <c r="O249" s="3" t="str">
        <f>IF(COUNTIF($B:$B,B249)=1,"New Customer",
IF(COUNTIF($B:$B,B249)&lt;=3,"Returning Customer","Loyal Customer"))</f>
        <v>New Customer</v>
      </c>
      <c r="P249" s="3" t="str">
        <f>IF(cf_cl[[#This Row],[referred_claim]]="Yes","Referred","Not Referred")</f>
        <v>Not Referred</v>
      </c>
    </row>
    <row r="250" spans="1:16" x14ac:dyDescent="0.3">
      <c r="A250" t="s">
        <v>504</v>
      </c>
      <c r="B250" t="s">
        <v>505</v>
      </c>
      <c r="C250" s="1">
        <v>43888</v>
      </c>
      <c r="D250" t="s">
        <v>37</v>
      </c>
      <c r="E250">
        <v>4</v>
      </c>
      <c r="F250" s="3" t="s">
        <v>10</v>
      </c>
      <c r="G250" s="3" t="s">
        <v>13</v>
      </c>
      <c r="H250" s="3" t="str">
        <f>IF(cf_cl[[#This Row],[satisfaction_score]]&gt;=4,"Happy",IF(cf_cl[[#This Row],[satisfaction_score]]=3,"Neutral","Negative"))</f>
        <v>Happy</v>
      </c>
      <c r="I250" s="3" t="str">
        <f>IF(cf_cl[[#This Row],[satisfaction_score]]&lt;=2,"Low",IF(cf_cl[[#This Row],[satisfaction_score]]=3,"Medium","High"))</f>
        <v>High</v>
      </c>
      <c r="J250">
        <f>YEAR(cf_cl[[#This Row],[date_submitted]])</f>
        <v>2020</v>
      </c>
      <c r="K250" s="3" t="str">
        <f>TEXT(cf_cl[[#This Row],[date_submitted]],"mmm")</f>
        <v>Feb</v>
      </c>
      <c r="L250" s="3" t="str">
        <f t="shared" si="9"/>
        <v>Q1</v>
      </c>
      <c r="M250" s="3" t="str">
        <f t="shared" si="10"/>
        <v>Thursday</v>
      </c>
      <c r="N250" s="3" t="str">
        <f t="shared" si="11"/>
        <v>No</v>
      </c>
      <c r="O250" s="3" t="str">
        <f>IF(COUNTIF($B:$B,B250)=1,"New Customer",
IF(COUNTIF($B:$B,B250)&lt;=3,"Returning Customer","Loyal Customer"))</f>
        <v>New Customer</v>
      </c>
      <c r="P250" s="3" t="str">
        <f>IF(cf_cl[[#This Row],[referred_claim]]="Yes","Referred","Not Referred")</f>
        <v>Not Referred</v>
      </c>
    </row>
    <row r="251" spans="1:16" x14ac:dyDescent="0.3">
      <c r="A251" t="s">
        <v>506</v>
      </c>
      <c r="B251" t="s">
        <v>507</v>
      </c>
      <c r="C251" s="1">
        <v>45012</v>
      </c>
      <c r="D251" t="s">
        <v>25</v>
      </c>
      <c r="E251">
        <v>4</v>
      </c>
      <c r="F251" s="3" t="s">
        <v>10</v>
      </c>
      <c r="G251" s="3" t="s">
        <v>13</v>
      </c>
      <c r="H251" s="3" t="str">
        <f>IF(cf_cl[[#This Row],[satisfaction_score]]&gt;=4,"Happy",IF(cf_cl[[#This Row],[satisfaction_score]]=3,"Neutral","Negative"))</f>
        <v>Happy</v>
      </c>
      <c r="I251" s="3" t="str">
        <f>IF(cf_cl[[#This Row],[satisfaction_score]]&lt;=2,"Low",IF(cf_cl[[#This Row],[satisfaction_score]]=3,"Medium","High"))</f>
        <v>High</v>
      </c>
      <c r="J251">
        <f>YEAR(cf_cl[[#This Row],[date_submitted]])</f>
        <v>2023</v>
      </c>
      <c r="K251" s="3" t="str">
        <f>TEXT(cf_cl[[#This Row],[date_submitted]],"mmm")</f>
        <v>Mar</v>
      </c>
      <c r="L251" s="3" t="str">
        <f t="shared" si="9"/>
        <v>Q1</v>
      </c>
      <c r="M251" s="3" t="str">
        <f t="shared" si="10"/>
        <v>Monday</v>
      </c>
      <c r="N251" s="3" t="str">
        <f t="shared" si="11"/>
        <v>No</v>
      </c>
      <c r="O251" s="3" t="str">
        <f>IF(COUNTIF($B:$B,B251)=1,"New Customer",
IF(COUNTIF($B:$B,B251)&lt;=3,"Returning Customer","Loyal Customer"))</f>
        <v>New Customer</v>
      </c>
      <c r="P251" s="3" t="str">
        <f>IF(cf_cl[[#This Row],[referred_claim]]="Yes","Referred","Not Referred")</f>
        <v>Not Referred</v>
      </c>
    </row>
    <row r="252" spans="1:16" x14ac:dyDescent="0.3">
      <c r="A252" t="s">
        <v>508</v>
      </c>
      <c r="B252" t="s">
        <v>509</v>
      </c>
      <c r="C252" s="1">
        <v>44127</v>
      </c>
      <c r="D252" t="s">
        <v>31</v>
      </c>
      <c r="E252">
        <v>2</v>
      </c>
      <c r="F252" s="3" t="s">
        <v>10</v>
      </c>
      <c r="G252" s="3" t="s">
        <v>13</v>
      </c>
      <c r="H252" s="3" t="str">
        <f>IF(cf_cl[[#This Row],[satisfaction_score]]&gt;=4,"Happy",IF(cf_cl[[#This Row],[satisfaction_score]]=3,"Neutral","Negative"))</f>
        <v>Negative</v>
      </c>
      <c r="I252" s="3" t="str">
        <f>IF(cf_cl[[#This Row],[satisfaction_score]]&lt;=2,"Low",IF(cf_cl[[#This Row],[satisfaction_score]]=3,"Medium","High"))</f>
        <v>Low</v>
      </c>
      <c r="J252">
        <f>YEAR(cf_cl[[#This Row],[date_submitted]])</f>
        <v>2020</v>
      </c>
      <c r="K252" s="3" t="str">
        <f>TEXT(cf_cl[[#This Row],[date_submitted]],"mmm")</f>
        <v>Oct</v>
      </c>
      <c r="L252" s="3" t="str">
        <f t="shared" si="9"/>
        <v>Q4</v>
      </c>
      <c r="M252" s="3" t="str">
        <f t="shared" si="10"/>
        <v>Friday</v>
      </c>
      <c r="N252" s="3" t="str">
        <f t="shared" si="11"/>
        <v>Yes</v>
      </c>
      <c r="O252" s="3" t="str">
        <f>IF(COUNTIF($B:$B,B252)=1,"New Customer",
IF(COUNTIF($B:$B,B252)&lt;=3,"Returning Customer","Loyal Customer"))</f>
        <v>New Customer</v>
      </c>
      <c r="P252" s="3" t="str">
        <f>IF(cf_cl[[#This Row],[referred_claim]]="Yes","Referred","Not Referred")</f>
        <v>Not Referred</v>
      </c>
    </row>
    <row r="253" spans="1:16" x14ac:dyDescent="0.3">
      <c r="A253" t="s">
        <v>510</v>
      </c>
      <c r="B253" t="s">
        <v>511</v>
      </c>
      <c r="C253" s="1">
        <v>44962</v>
      </c>
      <c r="D253" t="s">
        <v>37</v>
      </c>
      <c r="E253">
        <v>5</v>
      </c>
      <c r="F253" s="3" t="s">
        <v>10</v>
      </c>
      <c r="G253" s="3" t="s">
        <v>10</v>
      </c>
      <c r="H253" s="3" t="str">
        <f>IF(cf_cl[[#This Row],[satisfaction_score]]&gt;=4,"Happy",IF(cf_cl[[#This Row],[satisfaction_score]]=3,"Neutral","Negative"))</f>
        <v>Happy</v>
      </c>
      <c r="I253" s="3" t="str">
        <f>IF(cf_cl[[#This Row],[satisfaction_score]]&lt;=2,"Low",IF(cf_cl[[#This Row],[satisfaction_score]]=3,"Medium","High"))</f>
        <v>High</v>
      </c>
      <c r="J253">
        <f>YEAR(cf_cl[[#This Row],[date_submitted]])</f>
        <v>2023</v>
      </c>
      <c r="K253" s="3" t="str">
        <f>TEXT(cf_cl[[#This Row],[date_submitted]],"mmm")</f>
        <v>Feb</v>
      </c>
      <c r="L253" s="3" t="str">
        <f t="shared" si="9"/>
        <v>Q1</v>
      </c>
      <c r="M253" s="3" t="str">
        <f t="shared" si="10"/>
        <v>Sunday</v>
      </c>
      <c r="N253" s="3" t="str">
        <f t="shared" si="11"/>
        <v>No</v>
      </c>
      <c r="O253" s="3" t="str">
        <f>IF(COUNTIF($B:$B,B253)=1,"New Customer",
IF(COUNTIF($B:$B,B253)&lt;=3,"Returning Customer","Loyal Customer"))</f>
        <v>New Customer</v>
      </c>
      <c r="P253" s="3" t="str">
        <f>IF(cf_cl[[#This Row],[referred_claim]]="Yes","Referred","Not Referred")</f>
        <v>Referred</v>
      </c>
    </row>
    <row r="254" spans="1:16" x14ac:dyDescent="0.3">
      <c r="A254" t="s">
        <v>512</v>
      </c>
      <c r="B254" t="s">
        <v>513</v>
      </c>
      <c r="C254" s="1">
        <v>44623</v>
      </c>
      <c r="D254" t="s">
        <v>16</v>
      </c>
      <c r="E254">
        <v>5</v>
      </c>
      <c r="F254" s="3" t="s">
        <v>10</v>
      </c>
      <c r="G254" s="3" t="s">
        <v>13</v>
      </c>
      <c r="H254" s="3" t="str">
        <f>IF(cf_cl[[#This Row],[satisfaction_score]]&gt;=4,"Happy",IF(cf_cl[[#This Row],[satisfaction_score]]=3,"Neutral","Negative"))</f>
        <v>Happy</v>
      </c>
      <c r="I254" s="3" t="str">
        <f>IF(cf_cl[[#This Row],[satisfaction_score]]&lt;=2,"Low",IF(cf_cl[[#This Row],[satisfaction_score]]=3,"Medium","High"))</f>
        <v>High</v>
      </c>
      <c r="J254">
        <f>YEAR(cf_cl[[#This Row],[date_submitted]])</f>
        <v>2022</v>
      </c>
      <c r="K254" s="3" t="str">
        <f>TEXT(cf_cl[[#This Row],[date_submitted]],"mmm")</f>
        <v>Mar</v>
      </c>
      <c r="L254" s="3" t="str">
        <f t="shared" si="9"/>
        <v>Q1</v>
      </c>
      <c r="M254" s="3" t="str">
        <f t="shared" si="10"/>
        <v>Thursday</v>
      </c>
      <c r="N254" s="3" t="str">
        <f t="shared" si="11"/>
        <v>No</v>
      </c>
      <c r="O254" s="3" t="str">
        <f>IF(COUNTIF($B:$B,B254)=1,"New Customer",
IF(COUNTIF($B:$B,B254)&lt;=3,"Returning Customer","Loyal Customer"))</f>
        <v>Returning Customer</v>
      </c>
      <c r="P254" s="3" t="str">
        <f>IF(cf_cl[[#This Row],[referred_claim]]="Yes","Referred","Not Referred")</f>
        <v>Not Referred</v>
      </c>
    </row>
    <row r="255" spans="1:16" x14ac:dyDescent="0.3">
      <c r="A255" t="s">
        <v>514</v>
      </c>
      <c r="B255" t="s">
        <v>515</v>
      </c>
      <c r="C255" s="1">
        <v>45209</v>
      </c>
      <c r="D255" t="s">
        <v>9</v>
      </c>
      <c r="E255">
        <v>3</v>
      </c>
      <c r="F255" s="3" t="s">
        <v>10</v>
      </c>
      <c r="G255" s="3" t="s">
        <v>13</v>
      </c>
      <c r="H255" s="3" t="str">
        <f>IF(cf_cl[[#This Row],[satisfaction_score]]&gt;=4,"Happy",IF(cf_cl[[#This Row],[satisfaction_score]]=3,"Neutral","Negative"))</f>
        <v>Neutral</v>
      </c>
      <c r="I255" s="3" t="str">
        <f>IF(cf_cl[[#This Row],[satisfaction_score]]&lt;=2,"Low",IF(cf_cl[[#This Row],[satisfaction_score]]=3,"Medium","High"))</f>
        <v>Medium</v>
      </c>
      <c r="J255">
        <f>YEAR(cf_cl[[#This Row],[date_submitted]])</f>
        <v>2023</v>
      </c>
      <c r="K255" s="3" t="str">
        <f>TEXT(cf_cl[[#This Row],[date_submitted]],"mmm")</f>
        <v>Oct</v>
      </c>
      <c r="L255" s="3" t="str">
        <f t="shared" si="9"/>
        <v>Q4</v>
      </c>
      <c r="M255" s="3" t="str">
        <f t="shared" si="10"/>
        <v>Tuesday</v>
      </c>
      <c r="N255" s="3" t="str">
        <f t="shared" si="11"/>
        <v>No</v>
      </c>
      <c r="O255" s="3" t="str">
        <f>IF(COUNTIF($B:$B,B255)=1,"New Customer",
IF(COUNTIF($B:$B,B255)&lt;=3,"Returning Customer","Loyal Customer"))</f>
        <v>Returning Customer</v>
      </c>
      <c r="P255" s="3" t="str">
        <f>IF(cf_cl[[#This Row],[referred_claim]]="Yes","Referred","Not Referred")</f>
        <v>Not Referred</v>
      </c>
    </row>
    <row r="256" spans="1:16" x14ac:dyDescent="0.3">
      <c r="A256" t="s">
        <v>516</v>
      </c>
      <c r="B256" t="s">
        <v>517</v>
      </c>
      <c r="C256" s="1">
        <v>44562</v>
      </c>
      <c r="D256" t="s">
        <v>19</v>
      </c>
      <c r="E256">
        <v>3</v>
      </c>
      <c r="F256" s="3" t="s">
        <v>13</v>
      </c>
      <c r="G256" s="3" t="s">
        <v>13</v>
      </c>
      <c r="H256" s="3" t="str">
        <f>IF(cf_cl[[#This Row],[satisfaction_score]]&gt;=4,"Happy",IF(cf_cl[[#This Row],[satisfaction_score]]=3,"Neutral","Negative"))</f>
        <v>Neutral</v>
      </c>
      <c r="I256" s="3" t="str">
        <f>IF(cf_cl[[#This Row],[satisfaction_score]]&lt;=2,"Low",IF(cf_cl[[#This Row],[satisfaction_score]]=3,"Medium","High"))</f>
        <v>Medium</v>
      </c>
      <c r="J256">
        <f>YEAR(cf_cl[[#This Row],[date_submitted]])</f>
        <v>2022</v>
      </c>
      <c r="K256" s="3" t="str">
        <f>TEXT(cf_cl[[#This Row],[date_submitted]],"mmm")</f>
        <v>Jan</v>
      </c>
      <c r="L256" s="3" t="str">
        <f t="shared" si="9"/>
        <v>Q1</v>
      </c>
      <c r="M256" s="3" t="str">
        <f t="shared" si="10"/>
        <v>Saturday</v>
      </c>
      <c r="N256" s="3" t="str">
        <f t="shared" si="11"/>
        <v>No</v>
      </c>
      <c r="O256" s="3" t="str">
        <f>IF(COUNTIF($B:$B,B256)=1,"New Customer",
IF(COUNTIF($B:$B,B256)&lt;=3,"Returning Customer","Loyal Customer"))</f>
        <v>Returning Customer</v>
      </c>
      <c r="P256" s="3" t="str">
        <f>IF(cf_cl[[#This Row],[referred_claim]]="Yes","Referred","Not Referred")</f>
        <v>Not Referred</v>
      </c>
    </row>
    <row r="257" spans="1:16" x14ac:dyDescent="0.3">
      <c r="A257" t="s">
        <v>518</v>
      </c>
      <c r="B257" t="s">
        <v>519</v>
      </c>
      <c r="C257" s="1">
        <v>44049</v>
      </c>
      <c r="D257" t="s">
        <v>37</v>
      </c>
      <c r="E257">
        <v>5</v>
      </c>
      <c r="F257" s="3" t="s">
        <v>13</v>
      </c>
      <c r="G257" s="3" t="s">
        <v>10</v>
      </c>
      <c r="H257" s="3" t="str">
        <f>IF(cf_cl[[#This Row],[satisfaction_score]]&gt;=4,"Happy",IF(cf_cl[[#This Row],[satisfaction_score]]=3,"Neutral","Negative"))</f>
        <v>Happy</v>
      </c>
      <c r="I257" s="3" t="str">
        <f>IF(cf_cl[[#This Row],[satisfaction_score]]&lt;=2,"Low",IF(cf_cl[[#This Row],[satisfaction_score]]=3,"Medium","High"))</f>
        <v>High</v>
      </c>
      <c r="J257">
        <f>YEAR(cf_cl[[#This Row],[date_submitted]])</f>
        <v>2020</v>
      </c>
      <c r="K257" s="3" t="str">
        <f>TEXT(cf_cl[[#This Row],[date_submitted]],"mmm")</f>
        <v>Aug</v>
      </c>
      <c r="L257" s="3" t="str">
        <f t="shared" si="9"/>
        <v>Q3</v>
      </c>
      <c r="M257" s="3" t="str">
        <f t="shared" si="10"/>
        <v>Thursday</v>
      </c>
      <c r="N257" s="3" t="str">
        <f t="shared" si="11"/>
        <v>No</v>
      </c>
      <c r="O257" s="3" t="str">
        <f>IF(COUNTIF($B:$B,B257)=1,"New Customer",
IF(COUNTIF($B:$B,B257)&lt;=3,"Returning Customer","Loyal Customer"))</f>
        <v>New Customer</v>
      </c>
      <c r="P257" s="3" t="str">
        <f>IF(cf_cl[[#This Row],[referred_claim]]="Yes","Referred","Not Referred")</f>
        <v>Referred</v>
      </c>
    </row>
    <row r="258" spans="1:16" x14ac:dyDescent="0.3">
      <c r="A258" t="s">
        <v>520</v>
      </c>
      <c r="B258" t="s">
        <v>521</v>
      </c>
      <c r="C258" s="1">
        <v>44934</v>
      </c>
      <c r="D258" t="s">
        <v>9</v>
      </c>
      <c r="E258">
        <v>2</v>
      </c>
      <c r="F258" s="3" t="s">
        <v>13</v>
      </c>
      <c r="G258" s="3" t="s">
        <v>13</v>
      </c>
      <c r="H258" s="3" t="str">
        <f>IF(cf_cl[[#This Row],[satisfaction_score]]&gt;=4,"Happy",IF(cf_cl[[#This Row],[satisfaction_score]]=3,"Neutral","Negative"))</f>
        <v>Negative</v>
      </c>
      <c r="I258" s="3" t="str">
        <f>IF(cf_cl[[#This Row],[satisfaction_score]]&lt;=2,"Low",IF(cf_cl[[#This Row],[satisfaction_score]]=3,"Medium","High"))</f>
        <v>Low</v>
      </c>
      <c r="J258">
        <f>YEAR(cf_cl[[#This Row],[date_submitted]])</f>
        <v>2023</v>
      </c>
      <c r="K258" s="3" t="str">
        <f>TEXT(cf_cl[[#This Row],[date_submitted]],"mmm")</f>
        <v>Jan</v>
      </c>
      <c r="L258" s="3" t="str">
        <f t="shared" ref="L258:L321" si="12">"Q"&amp;ROUNDUP(MONTH(C258)/3,0)</f>
        <v>Q1</v>
      </c>
      <c r="M258" s="3" t="str">
        <f t="shared" ref="M258:M321" si="13">TEXT(C258,"dddd")</f>
        <v>Sunday</v>
      </c>
      <c r="N258" s="3" t="str">
        <f t="shared" ref="N258:N321" si="14">IF(E258&lt;=2,"Yes","No")</f>
        <v>Yes</v>
      </c>
      <c r="O258" s="3" t="str">
        <f>IF(COUNTIF($B:$B,B258)=1,"New Customer",
IF(COUNTIF($B:$B,B258)&lt;=3,"Returning Customer","Loyal Customer"))</f>
        <v>New Customer</v>
      </c>
      <c r="P258" s="3" t="str">
        <f>IF(cf_cl[[#This Row],[referred_claim]]="Yes","Referred","Not Referred")</f>
        <v>Not Referred</v>
      </c>
    </row>
    <row r="259" spans="1:16" x14ac:dyDescent="0.3">
      <c r="A259" t="s">
        <v>522</v>
      </c>
      <c r="B259" t="s">
        <v>523</v>
      </c>
      <c r="C259" s="1">
        <v>44325</v>
      </c>
      <c r="D259" t="s">
        <v>16</v>
      </c>
      <c r="E259">
        <v>5</v>
      </c>
      <c r="F259" s="3" t="s">
        <v>13</v>
      </c>
      <c r="G259" s="3" t="s">
        <v>13</v>
      </c>
      <c r="H259" s="3" t="str">
        <f>IF(cf_cl[[#This Row],[satisfaction_score]]&gt;=4,"Happy",IF(cf_cl[[#This Row],[satisfaction_score]]=3,"Neutral","Negative"))</f>
        <v>Happy</v>
      </c>
      <c r="I259" s="3" t="str">
        <f>IF(cf_cl[[#This Row],[satisfaction_score]]&lt;=2,"Low",IF(cf_cl[[#This Row],[satisfaction_score]]=3,"Medium","High"))</f>
        <v>High</v>
      </c>
      <c r="J259">
        <f>YEAR(cf_cl[[#This Row],[date_submitted]])</f>
        <v>2021</v>
      </c>
      <c r="K259" s="3" t="str">
        <f>TEXT(cf_cl[[#This Row],[date_submitted]],"mmm")</f>
        <v>May</v>
      </c>
      <c r="L259" s="3" t="str">
        <f t="shared" si="12"/>
        <v>Q2</v>
      </c>
      <c r="M259" s="3" t="str">
        <f t="shared" si="13"/>
        <v>Sunday</v>
      </c>
      <c r="N259" s="3" t="str">
        <f t="shared" si="14"/>
        <v>No</v>
      </c>
      <c r="O259" s="3" t="str">
        <f>IF(COUNTIF($B:$B,B259)=1,"New Customer",
IF(COUNTIF($B:$B,B259)&lt;=3,"Returning Customer","Loyal Customer"))</f>
        <v>New Customer</v>
      </c>
      <c r="P259" s="3" t="str">
        <f>IF(cf_cl[[#This Row],[referred_claim]]="Yes","Referred","Not Referred")</f>
        <v>Not Referred</v>
      </c>
    </row>
    <row r="260" spans="1:16" x14ac:dyDescent="0.3">
      <c r="A260" t="s">
        <v>524</v>
      </c>
      <c r="B260" t="s">
        <v>525</v>
      </c>
      <c r="C260" s="1">
        <v>45166</v>
      </c>
      <c r="D260" t="s">
        <v>19</v>
      </c>
      <c r="E260">
        <v>2</v>
      </c>
      <c r="F260" s="3" t="s">
        <v>10</v>
      </c>
      <c r="G260" s="3" t="s">
        <v>13</v>
      </c>
      <c r="H260" s="3" t="str">
        <f>IF(cf_cl[[#This Row],[satisfaction_score]]&gt;=4,"Happy",IF(cf_cl[[#This Row],[satisfaction_score]]=3,"Neutral","Negative"))</f>
        <v>Negative</v>
      </c>
      <c r="I260" s="3" t="str">
        <f>IF(cf_cl[[#This Row],[satisfaction_score]]&lt;=2,"Low",IF(cf_cl[[#This Row],[satisfaction_score]]=3,"Medium","High"))</f>
        <v>Low</v>
      </c>
      <c r="J260">
        <f>YEAR(cf_cl[[#This Row],[date_submitted]])</f>
        <v>2023</v>
      </c>
      <c r="K260" s="3" t="str">
        <f>TEXT(cf_cl[[#This Row],[date_submitted]],"mmm")</f>
        <v>Aug</v>
      </c>
      <c r="L260" s="3" t="str">
        <f t="shared" si="12"/>
        <v>Q3</v>
      </c>
      <c r="M260" s="3" t="str">
        <f t="shared" si="13"/>
        <v>Monday</v>
      </c>
      <c r="N260" s="3" t="str">
        <f t="shared" si="14"/>
        <v>Yes</v>
      </c>
      <c r="O260" s="3" t="str">
        <f>IF(COUNTIF($B:$B,B260)=1,"New Customer",
IF(COUNTIF($B:$B,B260)&lt;=3,"Returning Customer","Loyal Customer"))</f>
        <v>Returning Customer</v>
      </c>
      <c r="P260" s="3" t="str">
        <f>IF(cf_cl[[#This Row],[referred_claim]]="Yes","Referred","Not Referred")</f>
        <v>Not Referred</v>
      </c>
    </row>
    <row r="261" spans="1:16" x14ac:dyDescent="0.3">
      <c r="A261" t="s">
        <v>526</v>
      </c>
      <c r="B261" t="s">
        <v>475</v>
      </c>
      <c r="C261" s="1">
        <v>44364</v>
      </c>
      <c r="D261" t="s">
        <v>9</v>
      </c>
      <c r="E261">
        <v>1</v>
      </c>
      <c r="F261" s="3" t="s">
        <v>13</v>
      </c>
      <c r="G261" s="3" t="s">
        <v>13</v>
      </c>
      <c r="H261" s="3" t="str">
        <f>IF(cf_cl[[#This Row],[satisfaction_score]]&gt;=4,"Happy",IF(cf_cl[[#This Row],[satisfaction_score]]=3,"Neutral","Negative"))</f>
        <v>Negative</v>
      </c>
      <c r="I261" s="3" t="str">
        <f>IF(cf_cl[[#This Row],[satisfaction_score]]&lt;=2,"Low",IF(cf_cl[[#This Row],[satisfaction_score]]=3,"Medium","High"))</f>
        <v>Low</v>
      </c>
      <c r="J261">
        <f>YEAR(cf_cl[[#This Row],[date_submitted]])</f>
        <v>2021</v>
      </c>
      <c r="K261" s="3" t="str">
        <f>TEXT(cf_cl[[#This Row],[date_submitted]],"mmm")</f>
        <v>Jun</v>
      </c>
      <c r="L261" s="3" t="str">
        <f t="shared" si="12"/>
        <v>Q2</v>
      </c>
      <c r="M261" s="3" t="str">
        <f t="shared" si="13"/>
        <v>Thursday</v>
      </c>
      <c r="N261" s="3" t="str">
        <f t="shared" si="14"/>
        <v>Yes</v>
      </c>
      <c r="O261" s="3" t="str">
        <f>IF(COUNTIF($B:$B,B261)=1,"New Customer",
IF(COUNTIF($B:$B,B261)&lt;=3,"Returning Customer","Loyal Customer"))</f>
        <v>Returning Customer</v>
      </c>
      <c r="P261" s="3" t="str">
        <f>IF(cf_cl[[#This Row],[referred_claim]]="Yes","Referred","Not Referred")</f>
        <v>Not Referred</v>
      </c>
    </row>
    <row r="262" spans="1:16" x14ac:dyDescent="0.3">
      <c r="A262" t="s">
        <v>527</v>
      </c>
      <c r="B262" t="s">
        <v>528</v>
      </c>
      <c r="C262" s="1">
        <v>43977</v>
      </c>
      <c r="D262" t="s">
        <v>25</v>
      </c>
      <c r="E262">
        <v>4</v>
      </c>
      <c r="F262" s="3" t="s">
        <v>13</v>
      </c>
      <c r="G262" s="3" t="s">
        <v>13</v>
      </c>
      <c r="H262" s="3" t="str">
        <f>IF(cf_cl[[#This Row],[satisfaction_score]]&gt;=4,"Happy",IF(cf_cl[[#This Row],[satisfaction_score]]=3,"Neutral","Negative"))</f>
        <v>Happy</v>
      </c>
      <c r="I262" s="3" t="str">
        <f>IF(cf_cl[[#This Row],[satisfaction_score]]&lt;=2,"Low",IF(cf_cl[[#This Row],[satisfaction_score]]=3,"Medium","High"))</f>
        <v>High</v>
      </c>
      <c r="J262">
        <f>YEAR(cf_cl[[#This Row],[date_submitted]])</f>
        <v>2020</v>
      </c>
      <c r="K262" s="3" t="str">
        <f>TEXT(cf_cl[[#This Row],[date_submitted]],"mmm")</f>
        <v>May</v>
      </c>
      <c r="L262" s="3" t="str">
        <f t="shared" si="12"/>
        <v>Q2</v>
      </c>
      <c r="M262" s="3" t="str">
        <f t="shared" si="13"/>
        <v>Tuesday</v>
      </c>
      <c r="N262" s="3" t="str">
        <f t="shared" si="14"/>
        <v>No</v>
      </c>
      <c r="O262" s="3" t="str">
        <f>IF(COUNTIF($B:$B,B262)=1,"New Customer",
IF(COUNTIF($B:$B,B262)&lt;=3,"Returning Customer","Loyal Customer"))</f>
        <v>Returning Customer</v>
      </c>
      <c r="P262" s="3" t="str">
        <f>IF(cf_cl[[#This Row],[referred_claim]]="Yes","Referred","Not Referred")</f>
        <v>Not Referred</v>
      </c>
    </row>
    <row r="263" spans="1:16" x14ac:dyDescent="0.3">
      <c r="A263" t="s">
        <v>529</v>
      </c>
      <c r="B263" t="s">
        <v>530</v>
      </c>
      <c r="C263" s="1">
        <v>44666</v>
      </c>
      <c r="D263" t="s">
        <v>19</v>
      </c>
      <c r="E263">
        <v>3</v>
      </c>
      <c r="F263" s="3" t="s">
        <v>10</v>
      </c>
      <c r="G263" s="3" t="s">
        <v>13</v>
      </c>
      <c r="H263" s="3" t="str">
        <f>IF(cf_cl[[#This Row],[satisfaction_score]]&gt;=4,"Happy",IF(cf_cl[[#This Row],[satisfaction_score]]=3,"Neutral","Negative"))</f>
        <v>Neutral</v>
      </c>
      <c r="I263" s="3" t="str">
        <f>IF(cf_cl[[#This Row],[satisfaction_score]]&lt;=2,"Low",IF(cf_cl[[#This Row],[satisfaction_score]]=3,"Medium","High"))</f>
        <v>Medium</v>
      </c>
      <c r="J263">
        <f>YEAR(cf_cl[[#This Row],[date_submitted]])</f>
        <v>2022</v>
      </c>
      <c r="K263" s="3" t="str">
        <f>TEXT(cf_cl[[#This Row],[date_submitted]],"mmm")</f>
        <v>Apr</v>
      </c>
      <c r="L263" s="3" t="str">
        <f t="shared" si="12"/>
        <v>Q2</v>
      </c>
      <c r="M263" s="3" t="str">
        <f t="shared" si="13"/>
        <v>Friday</v>
      </c>
      <c r="N263" s="3" t="str">
        <f t="shared" si="14"/>
        <v>No</v>
      </c>
      <c r="O263" s="3" t="str">
        <f>IF(COUNTIF($B:$B,B263)=1,"New Customer",
IF(COUNTIF($B:$B,B263)&lt;=3,"Returning Customer","Loyal Customer"))</f>
        <v>New Customer</v>
      </c>
      <c r="P263" s="3" t="str">
        <f>IF(cf_cl[[#This Row],[referred_claim]]="Yes","Referred","Not Referred")</f>
        <v>Not Referred</v>
      </c>
    </row>
    <row r="264" spans="1:16" x14ac:dyDescent="0.3">
      <c r="A264" t="s">
        <v>531</v>
      </c>
      <c r="B264" t="s">
        <v>532</v>
      </c>
      <c r="C264" s="1">
        <v>44627</v>
      </c>
      <c r="D264" t="s">
        <v>16</v>
      </c>
      <c r="E264">
        <v>5</v>
      </c>
      <c r="F264" s="3" t="s">
        <v>13</v>
      </c>
      <c r="G264" s="3" t="s">
        <v>13</v>
      </c>
      <c r="H264" s="3" t="str">
        <f>IF(cf_cl[[#This Row],[satisfaction_score]]&gt;=4,"Happy",IF(cf_cl[[#This Row],[satisfaction_score]]=3,"Neutral","Negative"))</f>
        <v>Happy</v>
      </c>
      <c r="I264" s="3" t="str">
        <f>IF(cf_cl[[#This Row],[satisfaction_score]]&lt;=2,"Low",IF(cf_cl[[#This Row],[satisfaction_score]]=3,"Medium","High"))</f>
        <v>High</v>
      </c>
      <c r="J264">
        <f>YEAR(cf_cl[[#This Row],[date_submitted]])</f>
        <v>2022</v>
      </c>
      <c r="K264" s="3" t="str">
        <f>TEXT(cf_cl[[#This Row],[date_submitted]],"mmm")</f>
        <v>Mar</v>
      </c>
      <c r="L264" s="3" t="str">
        <f t="shared" si="12"/>
        <v>Q1</v>
      </c>
      <c r="M264" s="3" t="str">
        <f t="shared" si="13"/>
        <v>Monday</v>
      </c>
      <c r="N264" s="3" t="str">
        <f t="shared" si="14"/>
        <v>No</v>
      </c>
      <c r="O264" s="3" t="str">
        <f>IF(COUNTIF($B:$B,B264)=1,"New Customer",
IF(COUNTIF($B:$B,B264)&lt;=3,"Returning Customer","Loyal Customer"))</f>
        <v>New Customer</v>
      </c>
      <c r="P264" s="3" t="str">
        <f>IF(cf_cl[[#This Row],[referred_claim]]="Yes","Referred","Not Referred")</f>
        <v>Not Referred</v>
      </c>
    </row>
    <row r="265" spans="1:16" x14ac:dyDescent="0.3">
      <c r="A265" t="s">
        <v>533</v>
      </c>
      <c r="B265" t="s">
        <v>534</v>
      </c>
      <c r="C265" s="1">
        <v>44905</v>
      </c>
      <c r="D265" t="s">
        <v>19</v>
      </c>
      <c r="E265">
        <v>2</v>
      </c>
      <c r="F265" s="3" t="s">
        <v>13</v>
      </c>
      <c r="G265" s="3" t="s">
        <v>13</v>
      </c>
      <c r="H265" s="3" t="str">
        <f>IF(cf_cl[[#This Row],[satisfaction_score]]&gt;=4,"Happy",IF(cf_cl[[#This Row],[satisfaction_score]]=3,"Neutral","Negative"))</f>
        <v>Negative</v>
      </c>
      <c r="I265" s="3" t="str">
        <f>IF(cf_cl[[#This Row],[satisfaction_score]]&lt;=2,"Low",IF(cf_cl[[#This Row],[satisfaction_score]]=3,"Medium","High"))</f>
        <v>Low</v>
      </c>
      <c r="J265">
        <f>YEAR(cf_cl[[#This Row],[date_submitted]])</f>
        <v>2022</v>
      </c>
      <c r="K265" s="3" t="str">
        <f>TEXT(cf_cl[[#This Row],[date_submitted]],"mmm")</f>
        <v>Dec</v>
      </c>
      <c r="L265" s="3" t="str">
        <f t="shared" si="12"/>
        <v>Q4</v>
      </c>
      <c r="M265" s="3" t="str">
        <f t="shared" si="13"/>
        <v>Saturday</v>
      </c>
      <c r="N265" s="3" t="str">
        <f t="shared" si="14"/>
        <v>Yes</v>
      </c>
      <c r="O265" s="3" t="str">
        <f>IF(COUNTIF($B:$B,B265)=1,"New Customer",
IF(COUNTIF($B:$B,B265)&lt;=3,"Returning Customer","Loyal Customer"))</f>
        <v>New Customer</v>
      </c>
      <c r="P265" s="3" t="str">
        <f>IF(cf_cl[[#This Row],[referred_claim]]="Yes","Referred","Not Referred")</f>
        <v>Not Referred</v>
      </c>
    </row>
    <row r="266" spans="1:16" x14ac:dyDescent="0.3">
      <c r="A266" t="s">
        <v>535</v>
      </c>
      <c r="B266" t="s">
        <v>528</v>
      </c>
      <c r="C266" s="1">
        <v>44820</v>
      </c>
      <c r="D266" t="s">
        <v>22</v>
      </c>
      <c r="E266">
        <v>4</v>
      </c>
      <c r="F266" s="3" t="s">
        <v>10</v>
      </c>
      <c r="G266" s="3" t="s">
        <v>13</v>
      </c>
      <c r="H266" s="3" t="str">
        <f>IF(cf_cl[[#This Row],[satisfaction_score]]&gt;=4,"Happy",IF(cf_cl[[#This Row],[satisfaction_score]]=3,"Neutral","Negative"))</f>
        <v>Happy</v>
      </c>
      <c r="I266" s="3" t="str">
        <f>IF(cf_cl[[#This Row],[satisfaction_score]]&lt;=2,"Low",IF(cf_cl[[#This Row],[satisfaction_score]]=3,"Medium","High"))</f>
        <v>High</v>
      </c>
      <c r="J266">
        <f>YEAR(cf_cl[[#This Row],[date_submitted]])</f>
        <v>2022</v>
      </c>
      <c r="K266" s="3" t="str">
        <f>TEXT(cf_cl[[#This Row],[date_submitted]],"mmm")</f>
        <v>Sep</v>
      </c>
      <c r="L266" s="3" t="str">
        <f t="shared" si="12"/>
        <v>Q3</v>
      </c>
      <c r="M266" s="3" t="str">
        <f t="shared" si="13"/>
        <v>Friday</v>
      </c>
      <c r="N266" s="3" t="str">
        <f t="shared" si="14"/>
        <v>No</v>
      </c>
      <c r="O266" s="3" t="str">
        <f>IF(COUNTIF($B:$B,B266)=1,"New Customer",
IF(COUNTIF($B:$B,B266)&lt;=3,"Returning Customer","Loyal Customer"))</f>
        <v>Returning Customer</v>
      </c>
      <c r="P266" s="3" t="str">
        <f>IF(cf_cl[[#This Row],[referred_claim]]="Yes","Referred","Not Referred")</f>
        <v>Not Referred</v>
      </c>
    </row>
    <row r="267" spans="1:16" x14ac:dyDescent="0.3">
      <c r="A267" t="s">
        <v>536</v>
      </c>
      <c r="B267" t="s">
        <v>537</v>
      </c>
      <c r="C267" s="1">
        <v>44356</v>
      </c>
      <c r="D267" t="s">
        <v>22</v>
      </c>
      <c r="E267">
        <v>4</v>
      </c>
      <c r="F267" s="3" t="s">
        <v>10</v>
      </c>
      <c r="G267" s="3" t="s">
        <v>10</v>
      </c>
      <c r="H267" s="3" t="str">
        <f>IF(cf_cl[[#This Row],[satisfaction_score]]&gt;=4,"Happy",IF(cf_cl[[#This Row],[satisfaction_score]]=3,"Neutral","Negative"))</f>
        <v>Happy</v>
      </c>
      <c r="I267" s="3" t="str">
        <f>IF(cf_cl[[#This Row],[satisfaction_score]]&lt;=2,"Low",IF(cf_cl[[#This Row],[satisfaction_score]]=3,"Medium","High"))</f>
        <v>High</v>
      </c>
      <c r="J267">
        <f>YEAR(cf_cl[[#This Row],[date_submitted]])</f>
        <v>2021</v>
      </c>
      <c r="K267" s="3" t="str">
        <f>TEXT(cf_cl[[#This Row],[date_submitted]],"mmm")</f>
        <v>Jun</v>
      </c>
      <c r="L267" s="3" t="str">
        <f t="shared" si="12"/>
        <v>Q2</v>
      </c>
      <c r="M267" s="3" t="str">
        <f t="shared" si="13"/>
        <v>Wednesday</v>
      </c>
      <c r="N267" s="3" t="str">
        <f t="shared" si="14"/>
        <v>No</v>
      </c>
      <c r="O267" s="3" t="str">
        <f>IF(COUNTIF($B:$B,B267)=1,"New Customer",
IF(COUNTIF($B:$B,B267)&lt;=3,"Returning Customer","Loyal Customer"))</f>
        <v>New Customer</v>
      </c>
      <c r="P267" s="3" t="str">
        <f>IF(cf_cl[[#This Row],[referred_claim]]="Yes","Referred","Not Referred")</f>
        <v>Referred</v>
      </c>
    </row>
    <row r="268" spans="1:16" x14ac:dyDescent="0.3">
      <c r="A268" t="s">
        <v>538</v>
      </c>
      <c r="B268" t="s">
        <v>393</v>
      </c>
      <c r="C268" s="1">
        <v>45142</v>
      </c>
      <c r="D268" t="s">
        <v>68</v>
      </c>
      <c r="E268">
        <v>1</v>
      </c>
      <c r="F268" s="3" t="s">
        <v>13</v>
      </c>
      <c r="G268" s="3" t="s">
        <v>13</v>
      </c>
      <c r="H268" s="3" t="str">
        <f>IF(cf_cl[[#This Row],[satisfaction_score]]&gt;=4,"Happy",IF(cf_cl[[#This Row],[satisfaction_score]]=3,"Neutral","Negative"))</f>
        <v>Negative</v>
      </c>
      <c r="I268" s="3" t="str">
        <f>IF(cf_cl[[#This Row],[satisfaction_score]]&lt;=2,"Low",IF(cf_cl[[#This Row],[satisfaction_score]]=3,"Medium","High"))</f>
        <v>Low</v>
      </c>
      <c r="J268">
        <f>YEAR(cf_cl[[#This Row],[date_submitted]])</f>
        <v>2023</v>
      </c>
      <c r="K268" s="3" t="str">
        <f>TEXT(cf_cl[[#This Row],[date_submitted]],"mmm")</f>
        <v>Aug</v>
      </c>
      <c r="L268" s="3" t="str">
        <f t="shared" si="12"/>
        <v>Q3</v>
      </c>
      <c r="M268" s="3" t="str">
        <f t="shared" si="13"/>
        <v>Friday</v>
      </c>
      <c r="N268" s="3" t="str">
        <f t="shared" si="14"/>
        <v>Yes</v>
      </c>
      <c r="O268" s="3" t="str">
        <f>IF(COUNTIF($B:$B,B268)=1,"New Customer",
IF(COUNTIF($B:$B,B268)&lt;=3,"Returning Customer","Loyal Customer"))</f>
        <v>Returning Customer</v>
      </c>
      <c r="P268" s="3" t="str">
        <f>IF(cf_cl[[#This Row],[referred_claim]]="Yes","Referred","Not Referred")</f>
        <v>Not Referred</v>
      </c>
    </row>
    <row r="269" spans="1:16" x14ac:dyDescent="0.3">
      <c r="A269" t="s">
        <v>539</v>
      </c>
      <c r="B269" t="s">
        <v>540</v>
      </c>
      <c r="C269" s="1">
        <v>44549</v>
      </c>
      <c r="D269" t="s">
        <v>25</v>
      </c>
      <c r="E269">
        <v>5</v>
      </c>
      <c r="F269" s="3" t="s">
        <v>13</v>
      </c>
      <c r="G269" s="3" t="s">
        <v>13</v>
      </c>
      <c r="H269" s="3" t="str">
        <f>IF(cf_cl[[#This Row],[satisfaction_score]]&gt;=4,"Happy",IF(cf_cl[[#This Row],[satisfaction_score]]=3,"Neutral","Negative"))</f>
        <v>Happy</v>
      </c>
      <c r="I269" s="3" t="str">
        <f>IF(cf_cl[[#This Row],[satisfaction_score]]&lt;=2,"Low",IF(cf_cl[[#This Row],[satisfaction_score]]=3,"Medium","High"))</f>
        <v>High</v>
      </c>
      <c r="J269">
        <f>YEAR(cf_cl[[#This Row],[date_submitted]])</f>
        <v>2021</v>
      </c>
      <c r="K269" s="3" t="str">
        <f>TEXT(cf_cl[[#This Row],[date_submitted]],"mmm")</f>
        <v>Dec</v>
      </c>
      <c r="L269" s="3" t="str">
        <f t="shared" si="12"/>
        <v>Q4</v>
      </c>
      <c r="M269" s="3" t="str">
        <f t="shared" si="13"/>
        <v>Sunday</v>
      </c>
      <c r="N269" s="3" t="str">
        <f t="shared" si="14"/>
        <v>No</v>
      </c>
      <c r="O269" s="3" t="str">
        <f>IF(COUNTIF($B:$B,B269)=1,"New Customer",
IF(COUNTIF($B:$B,B269)&lt;=3,"Returning Customer","Loyal Customer"))</f>
        <v>New Customer</v>
      </c>
      <c r="P269" s="3" t="str">
        <f>IF(cf_cl[[#This Row],[referred_claim]]="Yes","Referred","Not Referred")</f>
        <v>Not Referred</v>
      </c>
    </row>
    <row r="270" spans="1:16" x14ac:dyDescent="0.3">
      <c r="A270" t="s">
        <v>541</v>
      </c>
      <c r="B270" t="s">
        <v>542</v>
      </c>
      <c r="C270" s="1">
        <v>45033</v>
      </c>
      <c r="D270" t="s">
        <v>68</v>
      </c>
      <c r="E270">
        <v>1</v>
      </c>
      <c r="F270" s="3" t="s">
        <v>13</v>
      </c>
      <c r="G270" s="3" t="s">
        <v>10</v>
      </c>
      <c r="H270" s="3" t="str">
        <f>IF(cf_cl[[#This Row],[satisfaction_score]]&gt;=4,"Happy",IF(cf_cl[[#This Row],[satisfaction_score]]=3,"Neutral","Negative"))</f>
        <v>Negative</v>
      </c>
      <c r="I270" s="3" t="str">
        <f>IF(cf_cl[[#This Row],[satisfaction_score]]&lt;=2,"Low",IF(cf_cl[[#This Row],[satisfaction_score]]=3,"Medium","High"))</f>
        <v>Low</v>
      </c>
      <c r="J270">
        <f>YEAR(cf_cl[[#This Row],[date_submitted]])</f>
        <v>2023</v>
      </c>
      <c r="K270" s="3" t="str">
        <f>TEXT(cf_cl[[#This Row],[date_submitted]],"mmm")</f>
        <v>Apr</v>
      </c>
      <c r="L270" s="3" t="str">
        <f t="shared" si="12"/>
        <v>Q2</v>
      </c>
      <c r="M270" s="3" t="str">
        <f t="shared" si="13"/>
        <v>Monday</v>
      </c>
      <c r="N270" s="3" t="str">
        <f t="shared" si="14"/>
        <v>Yes</v>
      </c>
      <c r="O270" s="3" t="str">
        <f>IF(COUNTIF($B:$B,B270)=1,"New Customer",
IF(COUNTIF($B:$B,B270)&lt;=3,"Returning Customer","Loyal Customer"))</f>
        <v>New Customer</v>
      </c>
      <c r="P270" s="3" t="str">
        <f>IF(cf_cl[[#This Row],[referred_claim]]="Yes","Referred","Not Referred")</f>
        <v>Referred</v>
      </c>
    </row>
    <row r="271" spans="1:16" x14ac:dyDescent="0.3">
      <c r="A271" t="s">
        <v>543</v>
      </c>
      <c r="B271" t="s">
        <v>234</v>
      </c>
      <c r="C271" s="1">
        <v>44422</v>
      </c>
      <c r="D271" t="s">
        <v>19</v>
      </c>
      <c r="E271">
        <v>3</v>
      </c>
      <c r="F271" s="3" t="s">
        <v>10</v>
      </c>
      <c r="G271" s="3" t="s">
        <v>13</v>
      </c>
      <c r="H271" s="3" t="str">
        <f>IF(cf_cl[[#This Row],[satisfaction_score]]&gt;=4,"Happy",IF(cf_cl[[#This Row],[satisfaction_score]]=3,"Neutral","Negative"))</f>
        <v>Neutral</v>
      </c>
      <c r="I271" s="3" t="str">
        <f>IF(cf_cl[[#This Row],[satisfaction_score]]&lt;=2,"Low",IF(cf_cl[[#This Row],[satisfaction_score]]=3,"Medium","High"))</f>
        <v>Medium</v>
      </c>
      <c r="J271">
        <f>YEAR(cf_cl[[#This Row],[date_submitted]])</f>
        <v>2021</v>
      </c>
      <c r="K271" s="3" t="str">
        <f>TEXT(cf_cl[[#This Row],[date_submitted]],"mmm")</f>
        <v>Aug</v>
      </c>
      <c r="L271" s="3" t="str">
        <f t="shared" si="12"/>
        <v>Q3</v>
      </c>
      <c r="M271" s="3" t="str">
        <f t="shared" si="13"/>
        <v>Saturday</v>
      </c>
      <c r="N271" s="3" t="str">
        <f t="shared" si="14"/>
        <v>No</v>
      </c>
      <c r="O271" s="3" t="str">
        <f>IF(COUNTIF($B:$B,B271)=1,"New Customer",
IF(COUNTIF($B:$B,B271)&lt;=3,"Returning Customer","Loyal Customer"))</f>
        <v>Returning Customer</v>
      </c>
      <c r="P271" s="3" t="str">
        <f>IF(cf_cl[[#This Row],[referred_claim]]="Yes","Referred","Not Referred")</f>
        <v>Not Referred</v>
      </c>
    </row>
    <row r="272" spans="1:16" x14ac:dyDescent="0.3">
      <c r="A272" t="s">
        <v>544</v>
      </c>
      <c r="B272" t="s">
        <v>545</v>
      </c>
      <c r="C272" s="1">
        <v>44924</v>
      </c>
      <c r="D272" t="s">
        <v>25</v>
      </c>
      <c r="E272">
        <v>5</v>
      </c>
      <c r="F272" s="3" t="s">
        <v>13</v>
      </c>
      <c r="G272" s="3" t="s">
        <v>13</v>
      </c>
      <c r="H272" s="3" t="str">
        <f>IF(cf_cl[[#This Row],[satisfaction_score]]&gt;=4,"Happy",IF(cf_cl[[#This Row],[satisfaction_score]]=3,"Neutral","Negative"))</f>
        <v>Happy</v>
      </c>
      <c r="I272" s="3" t="str">
        <f>IF(cf_cl[[#This Row],[satisfaction_score]]&lt;=2,"Low",IF(cf_cl[[#This Row],[satisfaction_score]]=3,"Medium","High"))</f>
        <v>High</v>
      </c>
      <c r="J272">
        <f>YEAR(cf_cl[[#This Row],[date_submitted]])</f>
        <v>2022</v>
      </c>
      <c r="K272" s="3" t="str">
        <f>TEXT(cf_cl[[#This Row],[date_submitted]],"mmm")</f>
        <v>Dec</v>
      </c>
      <c r="L272" s="3" t="str">
        <f t="shared" si="12"/>
        <v>Q4</v>
      </c>
      <c r="M272" s="3" t="str">
        <f t="shared" si="13"/>
        <v>Thursday</v>
      </c>
      <c r="N272" s="3" t="str">
        <f t="shared" si="14"/>
        <v>No</v>
      </c>
      <c r="O272" s="3" t="str">
        <f>IF(COUNTIF($B:$B,B272)=1,"New Customer",
IF(COUNTIF($B:$B,B272)&lt;=3,"Returning Customer","Loyal Customer"))</f>
        <v>New Customer</v>
      </c>
      <c r="P272" s="3" t="str">
        <f>IF(cf_cl[[#This Row],[referred_claim]]="Yes","Referred","Not Referred")</f>
        <v>Not Referred</v>
      </c>
    </row>
    <row r="273" spans="1:16" x14ac:dyDescent="0.3">
      <c r="A273" t="s">
        <v>546</v>
      </c>
      <c r="B273" t="s">
        <v>547</v>
      </c>
      <c r="C273" s="1">
        <v>44846</v>
      </c>
      <c r="D273" t="s">
        <v>22</v>
      </c>
      <c r="E273">
        <v>4</v>
      </c>
      <c r="F273" s="3" t="s">
        <v>13</v>
      </c>
      <c r="G273" s="3" t="s">
        <v>13</v>
      </c>
      <c r="H273" s="3" t="str">
        <f>IF(cf_cl[[#This Row],[satisfaction_score]]&gt;=4,"Happy",IF(cf_cl[[#This Row],[satisfaction_score]]=3,"Neutral","Negative"))</f>
        <v>Happy</v>
      </c>
      <c r="I273" s="3" t="str">
        <f>IF(cf_cl[[#This Row],[satisfaction_score]]&lt;=2,"Low",IF(cf_cl[[#This Row],[satisfaction_score]]=3,"Medium","High"))</f>
        <v>High</v>
      </c>
      <c r="J273">
        <f>YEAR(cf_cl[[#This Row],[date_submitted]])</f>
        <v>2022</v>
      </c>
      <c r="K273" s="3" t="str">
        <f>TEXT(cf_cl[[#This Row],[date_submitted]],"mmm")</f>
        <v>Oct</v>
      </c>
      <c r="L273" s="3" t="str">
        <f t="shared" si="12"/>
        <v>Q4</v>
      </c>
      <c r="M273" s="3" t="str">
        <f t="shared" si="13"/>
        <v>Wednesday</v>
      </c>
      <c r="N273" s="3" t="str">
        <f t="shared" si="14"/>
        <v>No</v>
      </c>
      <c r="O273" s="3" t="str">
        <f>IF(COUNTIF($B:$B,B273)=1,"New Customer",
IF(COUNTIF($B:$B,B273)&lt;=3,"Returning Customer","Loyal Customer"))</f>
        <v>New Customer</v>
      </c>
      <c r="P273" s="3" t="str">
        <f>IF(cf_cl[[#This Row],[referred_claim]]="Yes","Referred","Not Referred")</f>
        <v>Not Referred</v>
      </c>
    </row>
    <row r="274" spans="1:16" x14ac:dyDescent="0.3">
      <c r="A274" t="s">
        <v>548</v>
      </c>
      <c r="B274" t="s">
        <v>549</v>
      </c>
      <c r="C274" s="1">
        <v>44478</v>
      </c>
      <c r="D274" t="s">
        <v>83</v>
      </c>
      <c r="E274">
        <v>3</v>
      </c>
      <c r="F274" s="3" t="s">
        <v>13</v>
      </c>
      <c r="G274" s="3" t="s">
        <v>13</v>
      </c>
      <c r="H274" s="3" t="str">
        <f>IF(cf_cl[[#This Row],[satisfaction_score]]&gt;=4,"Happy",IF(cf_cl[[#This Row],[satisfaction_score]]=3,"Neutral","Negative"))</f>
        <v>Neutral</v>
      </c>
      <c r="I274" s="3" t="str">
        <f>IF(cf_cl[[#This Row],[satisfaction_score]]&lt;=2,"Low",IF(cf_cl[[#This Row],[satisfaction_score]]=3,"Medium","High"))</f>
        <v>Medium</v>
      </c>
      <c r="J274">
        <f>YEAR(cf_cl[[#This Row],[date_submitted]])</f>
        <v>2021</v>
      </c>
      <c r="K274" s="3" t="str">
        <f>TEXT(cf_cl[[#This Row],[date_submitted]],"mmm")</f>
        <v>Oct</v>
      </c>
      <c r="L274" s="3" t="str">
        <f t="shared" si="12"/>
        <v>Q4</v>
      </c>
      <c r="M274" s="3" t="str">
        <f t="shared" si="13"/>
        <v>Saturday</v>
      </c>
      <c r="N274" s="3" t="str">
        <f t="shared" si="14"/>
        <v>No</v>
      </c>
      <c r="O274" s="3" t="str">
        <f>IF(COUNTIF($B:$B,B274)=1,"New Customer",
IF(COUNTIF($B:$B,B274)&lt;=3,"Returning Customer","Loyal Customer"))</f>
        <v>New Customer</v>
      </c>
      <c r="P274" s="3" t="str">
        <f>IF(cf_cl[[#This Row],[referred_claim]]="Yes","Referred","Not Referred")</f>
        <v>Not Referred</v>
      </c>
    </row>
    <row r="275" spans="1:16" x14ac:dyDescent="0.3">
      <c r="A275" t="s">
        <v>550</v>
      </c>
      <c r="B275" t="s">
        <v>551</v>
      </c>
      <c r="C275" s="1">
        <v>44716</v>
      </c>
      <c r="D275" t="s">
        <v>37</v>
      </c>
      <c r="E275">
        <v>3</v>
      </c>
      <c r="F275" s="3" t="s">
        <v>10</v>
      </c>
      <c r="G275" s="3" t="s">
        <v>13</v>
      </c>
      <c r="H275" s="3" t="str">
        <f>IF(cf_cl[[#This Row],[satisfaction_score]]&gt;=4,"Happy",IF(cf_cl[[#This Row],[satisfaction_score]]=3,"Neutral","Negative"))</f>
        <v>Neutral</v>
      </c>
      <c r="I275" s="3" t="str">
        <f>IF(cf_cl[[#This Row],[satisfaction_score]]&lt;=2,"Low",IF(cf_cl[[#This Row],[satisfaction_score]]=3,"Medium","High"))</f>
        <v>Medium</v>
      </c>
      <c r="J275">
        <f>YEAR(cf_cl[[#This Row],[date_submitted]])</f>
        <v>2022</v>
      </c>
      <c r="K275" s="3" t="str">
        <f>TEXT(cf_cl[[#This Row],[date_submitted]],"mmm")</f>
        <v>Jun</v>
      </c>
      <c r="L275" s="3" t="str">
        <f t="shared" si="12"/>
        <v>Q2</v>
      </c>
      <c r="M275" s="3" t="str">
        <f t="shared" si="13"/>
        <v>Saturday</v>
      </c>
      <c r="N275" s="3" t="str">
        <f t="shared" si="14"/>
        <v>No</v>
      </c>
      <c r="O275" s="3" t="str">
        <f>IF(COUNTIF($B:$B,B275)=1,"New Customer",
IF(COUNTIF($B:$B,B275)&lt;=3,"Returning Customer","Loyal Customer"))</f>
        <v>Returning Customer</v>
      </c>
      <c r="P275" s="3" t="str">
        <f>IF(cf_cl[[#This Row],[referred_claim]]="Yes","Referred","Not Referred")</f>
        <v>Not Referred</v>
      </c>
    </row>
    <row r="276" spans="1:16" x14ac:dyDescent="0.3">
      <c r="A276" t="s">
        <v>552</v>
      </c>
      <c r="B276" t="s">
        <v>553</v>
      </c>
      <c r="C276" s="1">
        <v>45132</v>
      </c>
      <c r="D276" t="s">
        <v>19</v>
      </c>
      <c r="E276">
        <v>2</v>
      </c>
      <c r="F276" s="3" t="s">
        <v>10</v>
      </c>
      <c r="G276" s="3" t="s">
        <v>13</v>
      </c>
      <c r="H276" s="3" t="str">
        <f>IF(cf_cl[[#This Row],[satisfaction_score]]&gt;=4,"Happy",IF(cf_cl[[#This Row],[satisfaction_score]]=3,"Neutral","Negative"))</f>
        <v>Negative</v>
      </c>
      <c r="I276" s="3" t="str">
        <f>IF(cf_cl[[#This Row],[satisfaction_score]]&lt;=2,"Low",IF(cf_cl[[#This Row],[satisfaction_score]]=3,"Medium","High"))</f>
        <v>Low</v>
      </c>
      <c r="J276">
        <f>YEAR(cf_cl[[#This Row],[date_submitted]])</f>
        <v>2023</v>
      </c>
      <c r="K276" s="3" t="str">
        <f>TEXT(cf_cl[[#This Row],[date_submitted]],"mmm")</f>
        <v>Jul</v>
      </c>
      <c r="L276" s="3" t="str">
        <f t="shared" si="12"/>
        <v>Q3</v>
      </c>
      <c r="M276" s="3" t="str">
        <f t="shared" si="13"/>
        <v>Tuesday</v>
      </c>
      <c r="N276" s="3" t="str">
        <f t="shared" si="14"/>
        <v>Yes</v>
      </c>
      <c r="O276" s="3" t="str">
        <f>IF(COUNTIF($B:$B,B276)=1,"New Customer",
IF(COUNTIF($B:$B,B276)&lt;=3,"Returning Customer","Loyal Customer"))</f>
        <v>New Customer</v>
      </c>
      <c r="P276" s="3" t="str">
        <f>IF(cf_cl[[#This Row],[referred_claim]]="Yes","Referred","Not Referred")</f>
        <v>Not Referred</v>
      </c>
    </row>
    <row r="277" spans="1:16" x14ac:dyDescent="0.3">
      <c r="A277" t="s">
        <v>554</v>
      </c>
      <c r="B277" t="s">
        <v>555</v>
      </c>
      <c r="C277" s="1">
        <v>43927</v>
      </c>
      <c r="D277" t="s">
        <v>9</v>
      </c>
      <c r="E277">
        <v>3</v>
      </c>
      <c r="F277" s="3" t="s">
        <v>10</v>
      </c>
      <c r="G277" s="3" t="s">
        <v>13</v>
      </c>
      <c r="H277" s="3" t="str">
        <f>IF(cf_cl[[#This Row],[satisfaction_score]]&gt;=4,"Happy",IF(cf_cl[[#This Row],[satisfaction_score]]=3,"Neutral","Negative"))</f>
        <v>Neutral</v>
      </c>
      <c r="I277" s="3" t="str">
        <f>IF(cf_cl[[#This Row],[satisfaction_score]]&lt;=2,"Low",IF(cf_cl[[#This Row],[satisfaction_score]]=3,"Medium","High"))</f>
        <v>Medium</v>
      </c>
      <c r="J277">
        <f>YEAR(cf_cl[[#This Row],[date_submitted]])</f>
        <v>2020</v>
      </c>
      <c r="K277" s="3" t="str">
        <f>TEXT(cf_cl[[#This Row],[date_submitted]],"mmm")</f>
        <v>Apr</v>
      </c>
      <c r="L277" s="3" t="str">
        <f t="shared" si="12"/>
        <v>Q2</v>
      </c>
      <c r="M277" s="3" t="str">
        <f t="shared" si="13"/>
        <v>Monday</v>
      </c>
      <c r="N277" s="3" t="str">
        <f t="shared" si="14"/>
        <v>No</v>
      </c>
      <c r="O277" s="3" t="str">
        <f>IF(COUNTIF($B:$B,B277)=1,"New Customer",
IF(COUNTIF($B:$B,B277)&lt;=3,"Returning Customer","Loyal Customer"))</f>
        <v>New Customer</v>
      </c>
      <c r="P277" s="3" t="str">
        <f>IF(cf_cl[[#This Row],[referred_claim]]="Yes","Referred","Not Referred")</f>
        <v>Not Referred</v>
      </c>
    </row>
    <row r="278" spans="1:16" x14ac:dyDescent="0.3">
      <c r="A278" t="s">
        <v>556</v>
      </c>
      <c r="B278" t="s">
        <v>557</v>
      </c>
      <c r="C278" s="1">
        <v>45264</v>
      </c>
      <c r="D278" t="s">
        <v>31</v>
      </c>
      <c r="E278">
        <v>3</v>
      </c>
      <c r="F278" s="3" t="s">
        <v>10</v>
      </c>
      <c r="G278" s="3" t="s">
        <v>13</v>
      </c>
      <c r="H278" s="3" t="str">
        <f>IF(cf_cl[[#This Row],[satisfaction_score]]&gt;=4,"Happy",IF(cf_cl[[#This Row],[satisfaction_score]]=3,"Neutral","Negative"))</f>
        <v>Neutral</v>
      </c>
      <c r="I278" s="3" t="str">
        <f>IF(cf_cl[[#This Row],[satisfaction_score]]&lt;=2,"Low",IF(cf_cl[[#This Row],[satisfaction_score]]=3,"Medium","High"))</f>
        <v>Medium</v>
      </c>
      <c r="J278">
        <f>YEAR(cf_cl[[#This Row],[date_submitted]])</f>
        <v>2023</v>
      </c>
      <c r="K278" s="3" t="str">
        <f>TEXT(cf_cl[[#This Row],[date_submitted]],"mmm")</f>
        <v>Dec</v>
      </c>
      <c r="L278" s="3" t="str">
        <f t="shared" si="12"/>
        <v>Q4</v>
      </c>
      <c r="M278" s="3" t="str">
        <f t="shared" si="13"/>
        <v>Monday</v>
      </c>
      <c r="N278" s="3" t="str">
        <f t="shared" si="14"/>
        <v>No</v>
      </c>
      <c r="O278" s="3" t="str">
        <f>IF(COUNTIF($B:$B,B278)=1,"New Customer",
IF(COUNTIF($B:$B,B278)&lt;=3,"Returning Customer","Loyal Customer"))</f>
        <v>New Customer</v>
      </c>
      <c r="P278" s="3" t="str">
        <f>IF(cf_cl[[#This Row],[referred_claim]]="Yes","Referred","Not Referred")</f>
        <v>Not Referred</v>
      </c>
    </row>
    <row r="279" spans="1:16" x14ac:dyDescent="0.3">
      <c r="A279" t="s">
        <v>558</v>
      </c>
      <c r="B279" t="s">
        <v>559</v>
      </c>
      <c r="C279" s="1">
        <v>44698</v>
      </c>
      <c r="D279" t="s">
        <v>83</v>
      </c>
      <c r="E279">
        <v>2</v>
      </c>
      <c r="F279" s="3" t="s">
        <v>13</v>
      </c>
      <c r="G279" s="3" t="s">
        <v>13</v>
      </c>
      <c r="H279" s="3" t="str">
        <f>IF(cf_cl[[#This Row],[satisfaction_score]]&gt;=4,"Happy",IF(cf_cl[[#This Row],[satisfaction_score]]=3,"Neutral","Negative"))</f>
        <v>Negative</v>
      </c>
      <c r="I279" s="3" t="str">
        <f>IF(cf_cl[[#This Row],[satisfaction_score]]&lt;=2,"Low",IF(cf_cl[[#This Row],[satisfaction_score]]=3,"Medium","High"))</f>
        <v>Low</v>
      </c>
      <c r="J279">
        <f>YEAR(cf_cl[[#This Row],[date_submitted]])</f>
        <v>2022</v>
      </c>
      <c r="K279" s="3" t="str">
        <f>TEXT(cf_cl[[#This Row],[date_submitted]],"mmm")</f>
        <v>May</v>
      </c>
      <c r="L279" s="3" t="str">
        <f t="shared" si="12"/>
        <v>Q2</v>
      </c>
      <c r="M279" s="3" t="str">
        <f t="shared" si="13"/>
        <v>Tuesday</v>
      </c>
      <c r="N279" s="3" t="str">
        <f t="shared" si="14"/>
        <v>Yes</v>
      </c>
      <c r="O279" s="3" t="str">
        <f>IF(COUNTIF($B:$B,B279)=1,"New Customer",
IF(COUNTIF($B:$B,B279)&lt;=3,"Returning Customer","Loyal Customer"))</f>
        <v>New Customer</v>
      </c>
      <c r="P279" s="3" t="str">
        <f>IF(cf_cl[[#This Row],[referred_claim]]="Yes","Referred","Not Referred")</f>
        <v>Not Referred</v>
      </c>
    </row>
    <row r="280" spans="1:16" x14ac:dyDescent="0.3">
      <c r="A280" t="s">
        <v>560</v>
      </c>
      <c r="B280" t="s">
        <v>364</v>
      </c>
      <c r="C280" s="1">
        <v>44440</v>
      </c>
      <c r="D280" t="s">
        <v>9</v>
      </c>
      <c r="E280">
        <v>1</v>
      </c>
      <c r="F280" s="3" t="s">
        <v>10</v>
      </c>
      <c r="G280" s="3" t="s">
        <v>13</v>
      </c>
      <c r="H280" s="3" t="str">
        <f>IF(cf_cl[[#This Row],[satisfaction_score]]&gt;=4,"Happy",IF(cf_cl[[#This Row],[satisfaction_score]]=3,"Neutral","Negative"))</f>
        <v>Negative</v>
      </c>
      <c r="I280" s="3" t="str">
        <f>IF(cf_cl[[#This Row],[satisfaction_score]]&lt;=2,"Low",IF(cf_cl[[#This Row],[satisfaction_score]]=3,"Medium","High"))</f>
        <v>Low</v>
      </c>
      <c r="J280">
        <f>YEAR(cf_cl[[#This Row],[date_submitted]])</f>
        <v>2021</v>
      </c>
      <c r="K280" s="3" t="str">
        <f>TEXT(cf_cl[[#This Row],[date_submitted]],"mmm")</f>
        <v>Sep</v>
      </c>
      <c r="L280" s="3" t="str">
        <f t="shared" si="12"/>
        <v>Q3</v>
      </c>
      <c r="M280" s="3" t="str">
        <f t="shared" si="13"/>
        <v>Wednesday</v>
      </c>
      <c r="N280" s="3" t="str">
        <f t="shared" si="14"/>
        <v>Yes</v>
      </c>
      <c r="O280" s="3" t="str">
        <f>IF(COUNTIF($B:$B,B280)=1,"New Customer",
IF(COUNTIF($B:$B,B280)&lt;=3,"Returning Customer","Loyal Customer"))</f>
        <v>Returning Customer</v>
      </c>
      <c r="P280" s="3" t="str">
        <f>IF(cf_cl[[#This Row],[referred_claim]]="Yes","Referred","Not Referred")</f>
        <v>Not Referred</v>
      </c>
    </row>
    <row r="281" spans="1:16" x14ac:dyDescent="0.3">
      <c r="A281" t="s">
        <v>561</v>
      </c>
      <c r="B281" t="s">
        <v>562</v>
      </c>
      <c r="C281" s="1">
        <v>44523</v>
      </c>
      <c r="D281" t="s">
        <v>25</v>
      </c>
      <c r="E281">
        <v>5</v>
      </c>
      <c r="F281" s="3" t="s">
        <v>13</v>
      </c>
      <c r="G281" s="3" t="s">
        <v>10</v>
      </c>
      <c r="H281" s="3" t="str">
        <f>IF(cf_cl[[#This Row],[satisfaction_score]]&gt;=4,"Happy",IF(cf_cl[[#This Row],[satisfaction_score]]=3,"Neutral","Negative"))</f>
        <v>Happy</v>
      </c>
      <c r="I281" s="3" t="str">
        <f>IF(cf_cl[[#This Row],[satisfaction_score]]&lt;=2,"Low",IF(cf_cl[[#This Row],[satisfaction_score]]=3,"Medium","High"))</f>
        <v>High</v>
      </c>
      <c r="J281">
        <f>YEAR(cf_cl[[#This Row],[date_submitted]])</f>
        <v>2021</v>
      </c>
      <c r="K281" s="3" t="str">
        <f>TEXT(cf_cl[[#This Row],[date_submitted]],"mmm")</f>
        <v>Nov</v>
      </c>
      <c r="L281" s="3" t="str">
        <f t="shared" si="12"/>
        <v>Q4</v>
      </c>
      <c r="M281" s="3" t="str">
        <f t="shared" si="13"/>
        <v>Tuesday</v>
      </c>
      <c r="N281" s="3" t="str">
        <f t="shared" si="14"/>
        <v>No</v>
      </c>
      <c r="O281" s="3" t="str">
        <f>IF(COUNTIF($B:$B,B281)=1,"New Customer",
IF(COUNTIF($B:$B,B281)&lt;=3,"Returning Customer","Loyal Customer"))</f>
        <v>New Customer</v>
      </c>
      <c r="P281" s="3" t="str">
        <f>IF(cf_cl[[#This Row],[referred_claim]]="Yes","Referred","Not Referred")</f>
        <v>Referred</v>
      </c>
    </row>
    <row r="282" spans="1:16" x14ac:dyDescent="0.3">
      <c r="A282" t="s">
        <v>563</v>
      </c>
      <c r="B282" t="s">
        <v>564</v>
      </c>
      <c r="C282" s="1">
        <v>44254</v>
      </c>
      <c r="D282" t="s">
        <v>22</v>
      </c>
      <c r="E282">
        <v>4</v>
      </c>
      <c r="F282" s="3" t="s">
        <v>10</v>
      </c>
      <c r="G282" s="3" t="s">
        <v>13</v>
      </c>
      <c r="H282" s="3" t="str">
        <f>IF(cf_cl[[#This Row],[satisfaction_score]]&gt;=4,"Happy",IF(cf_cl[[#This Row],[satisfaction_score]]=3,"Neutral","Negative"))</f>
        <v>Happy</v>
      </c>
      <c r="I282" s="3" t="str">
        <f>IF(cf_cl[[#This Row],[satisfaction_score]]&lt;=2,"Low",IF(cf_cl[[#This Row],[satisfaction_score]]=3,"Medium","High"))</f>
        <v>High</v>
      </c>
      <c r="J282">
        <f>YEAR(cf_cl[[#This Row],[date_submitted]])</f>
        <v>2021</v>
      </c>
      <c r="K282" s="3" t="str">
        <f>TEXT(cf_cl[[#This Row],[date_submitted]],"mmm")</f>
        <v>Feb</v>
      </c>
      <c r="L282" s="3" t="str">
        <f t="shared" si="12"/>
        <v>Q1</v>
      </c>
      <c r="M282" s="3" t="str">
        <f t="shared" si="13"/>
        <v>Saturday</v>
      </c>
      <c r="N282" s="3" t="str">
        <f t="shared" si="14"/>
        <v>No</v>
      </c>
      <c r="O282" s="3" t="str">
        <f>IF(COUNTIF($B:$B,B282)=1,"New Customer",
IF(COUNTIF($B:$B,B282)&lt;=3,"Returning Customer","Loyal Customer"))</f>
        <v>Returning Customer</v>
      </c>
      <c r="P282" s="3" t="str">
        <f>IF(cf_cl[[#This Row],[referred_claim]]="Yes","Referred","Not Referred")</f>
        <v>Not Referred</v>
      </c>
    </row>
    <row r="283" spans="1:16" x14ac:dyDescent="0.3">
      <c r="A283" t="s">
        <v>565</v>
      </c>
      <c r="B283" t="s">
        <v>517</v>
      </c>
      <c r="C283" s="1">
        <v>44013</v>
      </c>
      <c r="D283" t="s">
        <v>9</v>
      </c>
      <c r="E283">
        <v>3</v>
      </c>
      <c r="F283" s="3" t="s">
        <v>13</v>
      </c>
      <c r="G283" s="3" t="s">
        <v>10</v>
      </c>
      <c r="H283" s="3" t="str">
        <f>IF(cf_cl[[#This Row],[satisfaction_score]]&gt;=4,"Happy",IF(cf_cl[[#This Row],[satisfaction_score]]=3,"Neutral","Negative"))</f>
        <v>Neutral</v>
      </c>
      <c r="I283" s="3" t="str">
        <f>IF(cf_cl[[#This Row],[satisfaction_score]]&lt;=2,"Low",IF(cf_cl[[#This Row],[satisfaction_score]]=3,"Medium","High"))</f>
        <v>Medium</v>
      </c>
      <c r="J283">
        <f>YEAR(cf_cl[[#This Row],[date_submitted]])</f>
        <v>2020</v>
      </c>
      <c r="K283" s="3" t="str">
        <f>TEXT(cf_cl[[#This Row],[date_submitted]],"mmm")</f>
        <v>Jul</v>
      </c>
      <c r="L283" s="3" t="str">
        <f t="shared" si="12"/>
        <v>Q3</v>
      </c>
      <c r="M283" s="3" t="str">
        <f t="shared" si="13"/>
        <v>Wednesday</v>
      </c>
      <c r="N283" s="3" t="str">
        <f t="shared" si="14"/>
        <v>No</v>
      </c>
      <c r="O283" s="3" t="str">
        <f>IF(COUNTIF($B:$B,B283)=1,"New Customer",
IF(COUNTIF($B:$B,B283)&lt;=3,"Returning Customer","Loyal Customer"))</f>
        <v>Returning Customer</v>
      </c>
      <c r="P283" s="3" t="str">
        <f>IF(cf_cl[[#This Row],[referred_claim]]="Yes","Referred","Not Referred")</f>
        <v>Referred</v>
      </c>
    </row>
    <row r="284" spans="1:16" x14ac:dyDescent="0.3">
      <c r="A284" t="s">
        <v>566</v>
      </c>
      <c r="B284" t="s">
        <v>567</v>
      </c>
      <c r="C284" s="1">
        <v>44422</v>
      </c>
      <c r="D284" t="s">
        <v>83</v>
      </c>
      <c r="E284">
        <v>3</v>
      </c>
      <c r="F284" s="3" t="s">
        <v>13</v>
      </c>
      <c r="G284" s="3" t="s">
        <v>10</v>
      </c>
      <c r="H284" s="3" t="str">
        <f>IF(cf_cl[[#This Row],[satisfaction_score]]&gt;=4,"Happy",IF(cf_cl[[#This Row],[satisfaction_score]]=3,"Neutral","Negative"))</f>
        <v>Neutral</v>
      </c>
      <c r="I284" s="3" t="str">
        <f>IF(cf_cl[[#This Row],[satisfaction_score]]&lt;=2,"Low",IF(cf_cl[[#This Row],[satisfaction_score]]=3,"Medium","High"))</f>
        <v>Medium</v>
      </c>
      <c r="J284">
        <f>YEAR(cf_cl[[#This Row],[date_submitted]])</f>
        <v>2021</v>
      </c>
      <c r="K284" s="3" t="str">
        <f>TEXT(cf_cl[[#This Row],[date_submitted]],"mmm")</f>
        <v>Aug</v>
      </c>
      <c r="L284" s="3" t="str">
        <f t="shared" si="12"/>
        <v>Q3</v>
      </c>
      <c r="M284" s="3" t="str">
        <f t="shared" si="13"/>
        <v>Saturday</v>
      </c>
      <c r="N284" s="3" t="str">
        <f t="shared" si="14"/>
        <v>No</v>
      </c>
      <c r="O284" s="3" t="str">
        <f>IF(COUNTIF($B:$B,B284)=1,"New Customer",
IF(COUNTIF($B:$B,B284)&lt;=3,"Returning Customer","Loyal Customer"))</f>
        <v>New Customer</v>
      </c>
      <c r="P284" s="3" t="str">
        <f>IF(cf_cl[[#This Row],[referred_claim]]="Yes","Referred","Not Referred")</f>
        <v>Referred</v>
      </c>
    </row>
    <row r="285" spans="1:16" x14ac:dyDescent="0.3">
      <c r="A285" t="s">
        <v>568</v>
      </c>
      <c r="B285" t="s">
        <v>569</v>
      </c>
      <c r="C285" s="1">
        <v>44311</v>
      </c>
      <c r="D285" t="s">
        <v>22</v>
      </c>
      <c r="E285">
        <v>5</v>
      </c>
      <c r="F285" s="3" t="s">
        <v>13</v>
      </c>
      <c r="G285" s="3" t="s">
        <v>10</v>
      </c>
      <c r="H285" s="3" t="str">
        <f>IF(cf_cl[[#This Row],[satisfaction_score]]&gt;=4,"Happy",IF(cf_cl[[#This Row],[satisfaction_score]]=3,"Neutral","Negative"))</f>
        <v>Happy</v>
      </c>
      <c r="I285" s="3" t="str">
        <f>IF(cf_cl[[#This Row],[satisfaction_score]]&lt;=2,"Low",IF(cf_cl[[#This Row],[satisfaction_score]]=3,"Medium","High"))</f>
        <v>High</v>
      </c>
      <c r="J285">
        <f>YEAR(cf_cl[[#This Row],[date_submitted]])</f>
        <v>2021</v>
      </c>
      <c r="K285" s="3" t="str">
        <f>TEXT(cf_cl[[#This Row],[date_submitted]],"mmm")</f>
        <v>Apr</v>
      </c>
      <c r="L285" s="3" t="str">
        <f t="shared" si="12"/>
        <v>Q2</v>
      </c>
      <c r="M285" s="3" t="str">
        <f t="shared" si="13"/>
        <v>Sunday</v>
      </c>
      <c r="N285" s="3" t="str">
        <f t="shared" si="14"/>
        <v>No</v>
      </c>
      <c r="O285" s="3" t="str">
        <f>IF(COUNTIF($B:$B,B285)=1,"New Customer",
IF(COUNTIF($B:$B,B285)&lt;=3,"Returning Customer","Loyal Customer"))</f>
        <v>New Customer</v>
      </c>
      <c r="P285" s="3" t="str">
        <f>IF(cf_cl[[#This Row],[referred_claim]]="Yes","Referred","Not Referred")</f>
        <v>Referred</v>
      </c>
    </row>
    <row r="286" spans="1:16" x14ac:dyDescent="0.3">
      <c r="A286" t="s">
        <v>570</v>
      </c>
      <c r="B286" t="s">
        <v>571</v>
      </c>
      <c r="C286" s="1">
        <v>44085</v>
      </c>
      <c r="D286" t="s">
        <v>68</v>
      </c>
      <c r="E286">
        <v>2</v>
      </c>
      <c r="F286" s="3" t="s">
        <v>10</v>
      </c>
      <c r="G286" s="3" t="s">
        <v>10</v>
      </c>
      <c r="H286" s="3" t="str">
        <f>IF(cf_cl[[#This Row],[satisfaction_score]]&gt;=4,"Happy",IF(cf_cl[[#This Row],[satisfaction_score]]=3,"Neutral","Negative"))</f>
        <v>Negative</v>
      </c>
      <c r="I286" s="3" t="str">
        <f>IF(cf_cl[[#This Row],[satisfaction_score]]&lt;=2,"Low",IF(cf_cl[[#This Row],[satisfaction_score]]=3,"Medium","High"))</f>
        <v>Low</v>
      </c>
      <c r="J286">
        <f>YEAR(cf_cl[[#This Row],[date_submitted]])</f>
        <v>2020</v>
      </c>
      <c r="K286" s="3" t="str">
        <f>TEXT(cf_cl[[#This Row],[date_submitted]],"mmm")</f>
        <v>Sep</v>
      </c>
      <c r="L286" s="3" t="str">
        <f t="shared" si="12"/>
        <v>Q3</v>
      </c>
      <c r="M286" s="3" t="str">
        <f t="shared" si="13"/>
        <v>Friday</v>
      </c>
      <c r="N286" s="3" t="str">
        <f t="shared" si="14"/>
        <v>Yes</v>
      </c>
      <c r="O286" s="3" t="str">
        <f>IF(COUNTIF($B:$B,B286)=1,"New Customer",
IF(COUNTIF($B:$B,B286)&lt;=3,"Returning Customer","Loyal Customer"))</f>
        <v>Returning Customer</v>
      </c>
      <c r="P286" s="3" t="str">
        <f>IF(cf_cl[[#This Row],[referred_claim]]="Yes","Referred","Not Referred")</f>
        <v>Referred</v>
      </c>
    </row>
    <row r="287" spans="1:16" x14ac:dyDescent="0.3">
      <c r="A287" t="s">
        <v>572</v>
      </c>
      <c r="B287" t="s">
        <v>551</v>
      </c>
      <c r="C287" s="1">
        <v>44897</v>
      </c>
      <c r="D287" t="s">
        <v>31</v>
      </c>
      <c r="E287">
        <v>3</v>
      </c>
      <c r="F287" s="3" t="s">
        <v>13</v>
      </c>
      <c r="G287" s="3" t="s">
        <v>10</v>
      </c>
      <c r="H287" s="3" t="str">
        <f>IF(cf_cl[[#This Row],[satisfaction_score]]&gt;=4,"Happy",IF(cf_cl[[#This Row],[satisfaction_score]]=3,"Neutral","Negative"))</f>
        <v>Neutral</v>
      </c>
      <c r="I287" s="3" t="str">
        <f>IF(cf_cl[[#This Row],[satisfaction_score]]&lt;=2,"Low",IF(cf_cl[[#This Row],[satisfaction_score]]=3,"Medium","High"))</f>
        <v>Medium</v>
      </c>
      <c r="J287">
        <f>YEAR(cf_cl[[#This Row],[date_submitted]])</f>
        <v>2022</v>
      </c>
      <c r="K287" s="3" t="str">
        <f>TEXT(cf_cl[[#This Row],[date_submitted]],"mmm")</f>
        <v>Dec</v>
      </c>
      <c r="L287" s="3" t="str">
        <f t="shared" si="12"/>
        <v>Q4</v>
      </c>
      <c r="M287" s="3" t="str">
        <f t="shared" si="13"/>
        <v>Friday</v>
      </c>
      <c r="N287" s="3" t="str">
        <f t="shared" si="14"/>
        <v>No</v>
      </c>
      <c r="O287" s="3" t="str">
        <f>IF(COUNTIF($B:$B,B287)=1,"New Customer",
IF(COUNTIF($B:$B,B287)&lt;=3,"Returning Customer","Loyal Customer"))</f>
        <v>Returning Customer</v>
      </c>
      <c r="P287" s="3" t="str">
        <f>IF(cf_cl[[#This Row],[referred_claim]]="Yes","Referred","Not Referred")</f>
        <v>Referred</v>
      </c>
    </row>
    <row r="288" spans="1:16" x14ac:dyDescent="0.3">
      <c r="A288" t="s">
        <v>573</v>
      </c>
      <c r="B288" t="s">
        <v>574</v>
      </c>
      <c r="C288" s="1">
        <v>44177</v>
      </c>
      <c r="D288" t="s">
        <v>28</v>
      </c>
      <c r="E288">
        <v>4</v>
      </c>
      <c r="F288" s="3" t="s">
        <v>10</v>
      </c>
      <c r="G288" s="3" t="s">
        <v>10</v>
      </c>
      <c r="H288" s="3" t="str">
        <f>IF(cf_cl[[#This Row],[satisfaction_score]]&gt;=4,"Happy",IF(cf_cl[[#This Row],[satisfaction_score]]=3,"Neutral","Negative"))</f>
        <v>Happy</v>
      </c>
      <c r="I288" s="3" t="str">
        <f>IF(cf_cl[[#This Row],[satisfaction_score]]&lt;=2,"Low",IF(cf_cl[[#This Row],[satisfaction_score]]=3,"Medium","High"))</f>
        <v>High</v>
      </c>
      <c r="J288">
        <f>YEAR(cf_cl[[#This Row],[date_submitted]])</f>
        <v>2020</v>
      </c>
      <c r="K288" s="3" t="str">
        <f>TEXT(cf_cl[[#This Row],[date_submitted]],"mmm")</f>
        <v>Dec</v>
      </c>
      <c r="L288" s="3" t="str">
        <f t="shared" si="12"/>
        <v>Q4</v>
      </c>
      <c r="M288" s="3" t="str">
        <f t="shared" si="13"/>
        <v>Saturday</v>
      </c>
      <c r="N288" s="3" t="str">
        <f t="shared" si="14"/>
        <v>No</v>
      </c>
      <c r="O288" s="3" t="str">
        <f>IF(COUNTIF($B:$B,B288)=1,"New Customer",
IF(COUNTIF($B:$B,B288)&lt;=3,"Returning Customer","Loyal Customer"))</f>
        <v>New Customer</v>
      </c>
      <c r="P288" s="3" t="str">
        <f>IF(cf_cl[[#This Row],[referred_claim]]="Yes","Referred","Not Referred")</f>
        <v>Referred</v>
      </c>
    </row>
    <row r="289" spans="1:16" x14ac:dyDescent="0.3">
      <c r="A289" t="s">
        <v>575</v>
      </c>
      <c r="B289" t="s">
        <v>576</v>
      </c>
      <c r="C289" s="1">
        <v>45270</v>
      </c>
      <c r="D289" t="s">
        <v>25</v>
      </c>
      <c r="E289">
        <v>5</v>
      </c>
      <c r="F289" s="3" t="s">
        <v>13</v>
      </c>
      <c r="G289" s="3" t="s">
        <v>13</v>
      </c>
      <c r="H289" s="3" t="str">
        <f>IF(cf_cl[[#This Row],[satisfaction_score]]&gt;=4,"Happy",IF(cf_cl[[#This Row],[satisfaction_score]]=3,"Neutral","Negative"))</f>
        <v>Happy</v>
      </c>
      <c r="I289" s="3" t="str">
        <f>IF(cf_cl[[#This Row],[satisfaction_score]]&lt;=2,"Low",IF(cf_cl[[#This Row],[satisfaction_score]]=3,"Medium","High"))</f>
        <v>High</v>
      </c>
      <c r="J289">
        <f>YEAR(cf_cl[[#This Row],[date_submitted]])</f>
        <v>2023</v>
      </c>
      <c r="K289" s="3" t="str">
        <f>TEXT(cf_cl[[#This Row],[date_submitted]],"mmm")</f>
        <v>Dec</v>
      </c>
      <c r="L289" s="3" t="str">
        <f t="shared" si="12"/>
        <v>Q4</v>
      </c>
      <c r="M289" s="3" t="str">
        <f t="shared" si="13"/>
        <v>Sunday</v>
      </c>
      <c r="N289" s="3" t="str">
        <f t="shared" si="14"/>
        <v>No</v>
      </c>
      <c r="O289" s="3" t="str">
        <f>IF(COUNTIF($B:$B,B289)=1,"New Customer",
IF(COUNTIF($B:$B,B289)&lt;=3,"Returning Customer","Loyal Customer"))</f>
        <v>New Customer</v>
      </c>
      <c r="P289" s="3" t="str">
        <f>IF(cf_cl[[#This Row],[referred_claim]]="Yes","Referred","Not Referred")</f>
        <v>Not Referred</v>
      </c>
    </row>
    <row r="290" spans="1:16" x14ac:dyDescent="0.3">
      <c r="A290" t="s">
        <v>577</v>
      </c>
      <c r="B290" t="s">
        <v>578</v>
      </c>
      <c r="C290" s="1">
        <v>45239</v>
      </c>
      <c r="D290" t="s">
        <v>83</v>
      </c>
      <c r="E290">
        <v>3</v>
      </c>
      <c r="F290" s="3" t="s">
        <v>13</v>
      </c>
      <c r="G290" s="3" t="s">
        <v>13</v>
      </c>
      <c r="H290" s="3" t="str">
        <f>IF(cf_cl[[#This Row],[satisfaction_score]]&gt;=4,"Happy",IF(cf_cl[[#This Row],[satisfaction_score]]=3,"Neutral","Negative"))</f>
        <v>Neutral</v>
      </c>
      <c r="I290" s="3" t="str">
        <f>IF(cf_cl[[#This Row],[satisfaction_score]]&lt;=2,"Low",IF(cf_cl[[#This Row],[satisfaction_score]]=3,"Medium","High"))</f>
        <v>Medium</v>
      </c>
      <c r="J290">
        <f>YEAR(cf_cl[[#This Row],[date_submitted]])</f>
        <v>2023</v>
      </c>
      <c r="K290" s="3" t="str">
        <f>TEXT(cf_cl[[#This Row],[date_submitted]],"mmm")</f>
        <v>Nov</v>
      </c>
      <c r="L290" s="3" t="str">
        <f t="shared" si="12"/>
        <v>Q4</v>
      </c>
      <c r="M290" s="3" t="str">
        <f t="shared" si="13"/>
        <v>Thursday</v>
      </c>
      <c r="N290" s="3" t="str">
        <f t="shared" si="14"/>
        <v>No</v>
      </c>
      <c r="O290" s="3" t="str">
        <f>IF(COUNTIF($B:$B,B290)=1,"New Customer",
IF(COUNTIF($B:$B,B290)&lt;=3,"Returning Customer","Loyal Customer"))</f>
        <v>Returning Customer</v>
      </c>
      <c r="P290" s="3" t="str">
        <f>IF(cf_cl[[#This Row],[referred_claim]]="Yes","Referred","Not Referred")</f>
        <v>Not Referred</v>
      </c>
    </row>
    <row r="291" spans="1:16" x14ac:dyDescent="0.3">
      <c r="A291" t="s">
        <v>579</v>
      </c>
      <c r="B291" t="s">
        <v>580</v>
      </c>
      <c r="C291" s="1">
        <v>44592</v>
      </c>
      <c r="D291" t="s">
        <v>68</v>
      </c>
      <c r="E291">
        <v>1</v>
      </c>
      <c r="F291" s="3" t="s">
        <v>13</v>
      </c>
      <c r="G291" s="3" t="s">
        <v>10</v>
      </c>
      <c r="H291" s="3" t="str">
        <f>IF(cf_cl[[#This Row],[satisfaction_score]]&gt;=4,"Happy",IF(cf_cl[[#This Row],[satisfaction_score]]=3,"Neutral","Negative"))</f>
        <v>Negative</v>
      </c>
      <c r="I291" s="3" t="str">
        <f>IF(cf_cl[[#This Row],[satisfaction_score]]&lt;=2,"Low",IF(cf_cl[[#This Row],[satisfaction_score]]=3,"Medium","High"))</f>
        <v>Low</v>
      </c>
      <c r="J291">
        <f>YEAR(cf_cl[[#This Row],[date_submitted]])</f>
        <v>2022</v>
      </c>
      <c r="K291" s="3" t="str">
        <f>TEXT(cf_cl[[#This Row],[date_submitted]],"mmm")</f>
        <v>Jan</v>
      </c>
      <c r="L291" s="3" t="str">
        <f t="shared" si="12"/>
        <v>Q1</v>
      </c>
      <c r="M291" s="3" t="str">
        <f t="shared" si="13"/>
        <v>Monday</v>
      </c>
      <c r="N291" s="3" t="str">
        <f t="shared" si="14"/>
        <v>Yes</v>
      </c>
      <c r="O291" s="3" t="str">
        <f>IF(COUNTIF($B:$B,B291)=1,"New Customer",
IF(COUNTIF($B:$B,B291)&lt;=3,"Returning Customer","Loyal Customer"))</f>
        <v>Returning Customer</v>
      </c>
      <c r="P291" s="3" t="str">
        <f>IF(cf_cl[[#This Row],[referred_claim]]="Yes","Referred","Not Referred")</f>
        <v>Referred</v>
      </c>
    </row>
    <row r="292" spans="1:16" x14ac:dyDescent="0.3">
      <c r="A292" t="s">
        <v>581</v>
      </c>
      <c r="B292" t="s">
        <v>582</v>
      </c>
      <c r="C292" s="1">
        <v>44015</v>
      </c>
      <c r="D292" t="s">
        <v>25</v>
      </c>
      <c r="E292">
        <v>4</v>
      </c>
      <c r="F292" s="3" t="s">
        <v>13</v>
      </c>
      <c r="G292" s="3" t="s">
        <v>13</v>
      </c>
      <c r="H292" s="3" t="str">
        <f>IF(cf_cl[[#This Row],[satisfaction_score]]&gt;=4,"Happy",IF(cf_cl[[#This Row],[satisfaction_score]]=3,"Neutral","Negative"))</f>
        <v>Happy</v>
      </c>
      <c r="I292" s="3" t="str">
        <f>IF(cf_cl[[#This Row],[satisfaction_score]]&lt;=2,"Low",IF(cf_cl[[#This Row],[satisfaction_score]]=3,"Medium","High"))</f>
        <v>High</v>
      </c>
      <c r="J292">
        <f>YEAR(cf_cl[[#This Row],[date_submitted]])</f>
        <v>2020</v>
      </c>
      <c r="K292" s="3" t="str">
        <f>TEXT(cf_cl[[#This Row],[date_submitted]],"mmm")</f>
        <v>Jul</v>
      </c>
      <c r="L292" s="3" t="str">
        <f t="shared" si="12"/>
        <v>Q3</v>
      </c>
      <c r="M292" s="3" t="str">
        <f t="shared" si="13"/>
        <v>Friday</v>
      </c>
      <c r="N292" s="3" t="str">
        <f t="shared" si="14"/>
        <v>No</v>
      </c>
      <c r="O292" s="3" t="str">
        <f>IF(COUNTIF($B:$B,B292)=1,"New Customer",
IF(COUNTIF($B:$B,B292)&lt;=3,"Returning Customer","Loyal Customer"))</f>
        <v>New Customer</v>
      </c>
      <c r="P292" s="3" t="str">
        <f>IF(cf_cl[[#This Row],[referred_claim]]="Yes","Referred","Not Referred")</f>
        <v>Not Referred</v>
      </c>
    </row>
    <row r="293" spans="1:16" x14ac:dyDescent="0.3">
      <c r="A293" t="s">
        <v>583</v>
      </c>
      <c r="B293" t="s">
        <v>584</v>
      </c>
      <c r="C293" s="1">
        <v>44793</v>
      </c>
      <c r="D293" t="s">
        <v>37</v>
      </c>
      <c r="E293">
        <v>3</v>
      </c>
      <c r="F293" s="3" t="s">
        <v>10</v>
      </c>
      <c r="G293" s="3" t="s">
        <v>13</v>
      </c>
      <c r="H293" s="3" t="str">
        <f>IF(cf_cl[[#This Row],[satisfaction_score]]&gt;=4,"Happy",IF(cf_cl[[#This Row],[satisfaction_score]]=3,"Neutral","Negative"))</f>
        <v>Neutral</v>
      </c>
      <c r="I293" s="3" t="str">
        <f>IF(cf_cl[[#This Row],[satisfaction_score]]&lt;=2,"Low",IF(cf_cl[[#This Row],[satisfaction_score]]=3,"Medium","High"))</f>
        <v>Medium</v>
      </c>
      <c r="J293">
        <f>YEAR(cf_cl[[#This Row],[date_submitted]])</f>
        <v>2022</v>
      </c>
      <c r="K293" s="3" t="str">
        <f>TEXT(cf_cl[[#This Row],[date_submitted]],"mmm")</f>
        <v>Aug</v>
      </c>
      <c r="L293" s="3" t="str">
        <f t="shared" si="12"/>
        <v>Q3</v>
      </c>
      <c r="M293" s="3" t="str">
        <f t="shared" si="13"/>
        <v>Saturday</v>
      </c>
      <c r="N293" s="3" t="str">
        <f t="shared" si="14"/>
        <v>No</v>
      </c>
      <c r="O293" s="3" t="str">
        <f>IF(COUNTIF($B:$B,B293)=1,"New Customer",
IF(COUNTIF($B:$B,B293)&lt;=3,"Returning Customer","Loyal Customer"))</f>
        <v>New Customer</v>
      </c>
      <c r="P293" s="3" t="str">
        <f>IF(cf_cl[[#This Row],[referred_claim]]="Yes","Referred","Not Referred")</f>
        <v>Not Referred</v>
      </c>
    </row>
    <row r="294" spans="1:16" x14ac:dyDescent="0.3">
      <c r="A294" t="s">
        <v>585</v>
      </c>
      <c r="B294" t="s">
        <v>586</v>
      </c>
      <c r="C294" s="1">
        <v>44452</v>
      </c>
      <c r="D294" t="s">
        <v>9</v>
      </c>
      <c r="E294">
        <v>3</v>
      </c>
      <c r="F294" s="3" t="s">
        <v>10</v>
      </c>
      <c r="G294" s="3" t="s">
        <v>10</v>
      </c>
      <c r="H294" s="3" t="str">
        <f>IF(cf_cl[[#This Row],[satisfaction_score]]&gt;=4,"Happy",IF(cf_cl[[#This Row],[satisfaction_score]]=3,"Neutral","Negative"))</f>
        <v>Neutral</v>
      </c>
      <c r="I294" s="3" t="str">
        <f>IF(cf_cl[[#This Row],[satisfaction_score]]&lt;=2,"Low",IF(cf_cl[[#This Row],[satisfaction_score]]=3,"Medium","High"))</f>
        <v>Medium</v>
      </c>
      <c r="J294">
        <f>YEAR(cf_cl[[#This Row],[date_submitted]])</f>
        <v>2021</v>
      </c>
      <c r="K294" s="3" t="str">
        <f>TEXT(cf_cl[[#This Row],[date_submitted]],"mmm")</f>
        <v>Sep</v>
      </c>
      <c r="L294" s="3" t="str">
        <f t="shared" si="12"/>
        <v>Q3</v>
      </c>
      <c r="M294" s="3" t="str">
        <f t="shared" si="13"/>
        <v>Monday</v>
      </c>
      <c r="N294" s="3" t="str">
        <f t="shared" si="14"/>
        <v>No</v>
      </c>
      <c r="O294" s="3" t="str">
        <f>IF(COUNTIF($B:$B,B294)=1,"New Customer",
IF(COUNTIF($B:$B,B294)&lt;=3,"Returning Customer","Loyal Customer"))</f>
        <v>New Customer</v>
      </c>
      <c r="P294" s="3" t="str">
        <f>IF(cf_cl[[#This Row],[referred_claim]]="Yes","Referred","Not Referred")</f>
        <v>Referred</v>
      </c>
    </row>
    <row r="295" spans="1:16" x14ac:dyDescent="0.3">
      <c r="A295" t="s">
        <v>587</v>
      </c>
      <c r="B295" t="s">
        <v>588</v>
      </c>
      <c r="C295" s="1">
        <v>44019</v>
      </c>
      <c r="D295" t="s">
        <v>37</v>
      </c>
      <c r="E295">
        <v>5</v>
      </c>
      <c r="F295" s="3" t="s">
        <v>13</v>
      </c>
      <c r="G295" s="3" t="s">
        <v>13</v>
      </c>
      <c r="H295" s="3" t="str">
        <f>IF(cf_cl[[#This Row],[satisfaction_score]]&gt;=4,"Happy",IF(cf_cl[[#This Row],[satisfaction_score]]=3,"Neutral","Negative"))</f>
        <v>Happy</v>
      </c>
      <c r="I295" s="3" t="str">
        <f>IF(cf_cl[[#This Row],[satisfaction_score]]&lt;=2,"Low",IF(cf_cl[[#This Row],[satisfaction_score]]=3,"Medium","High"))</f>
        <v>High</v>
      </c>
      <c r="J295">
        <f>YEAR(cf_cl[[#This Row],[date_submitted]])</f>
        <v>2020</v>
      </c>
      <c r="K295" s="3" t="str">
        <f>TEXT(cf_cl[[#This Row],[date_submitted]],"mmm")</f>
        <v>Jul</v>
      </c>
      <c r="L295" s="3" t="str">
        <f t="shared" si="12"/>
        <v>Q3</v>
      </c>
      <c r="M295" s="3" t="str">
        <f t="shared" si="13"/>
        <v>Tuesday</v>
      </c>
      <c r="N295" s="3" t="str">
        <f t="shared" si="14"/>
        <v>No</v>
      </c>
      <c r="O295" s="3" t="str">
        <f>IF(COUNTIF($B:$B,B295)=1,"New Customer",
IF(COUNTIF($B:$B,B295)&lt;=3,"Returning Customer","Loyal Customer"))</f>
        <v>Returning Customer</v>
      </c>
      <c r="P295" s="3" t="str">
        <f>IF(cf_cl[[#This Row],[referred_claim]]="Yes","Referred","Not Referred")</f>
        <v>Not Referred</v>
      </c>
    </row>
    <row r="296" spans="1:16" x14ac:dyDescent="0.3">
      <c r="A296" t="s">
        <v>589</v>
      </c>
      <c r="B296" t="s">
        <v>590</v>
      </c>
      <c r="C296" s="1">
        <v>44355</v>
      </c>
      <c r="D296" t="s">
        <v>83</v>
      </c>
      <c r="E296">
        <v>3</v>
      </c>
      <c r="F296" s="3" t="s">
        <v>10</v>
      </c>
      <c r="G296" s="3" t="s">
        <v>10</v>
      </c>
      <c r="H296" s="3" t="str">
        <f>IF(cf_cl[[#This Row],[satisfaction_score]]&gt;=4,"Happy",IF(cf_cl[[#This Row],[satisfaction_score]]=3,"Neutral","Negative"))</f>
        <v>Neutral</v>
      </c>
      <c r="I296" s="3" t="str">
        <f>IF(cf_cl[[#This Row],[satisfaction_score]]&lt;=2,"Low",IF(cf_cl[[#This Row],[satisfaction_score]]=3,"Medium","High"))</f>
        <v>Medium</v>
      </c>
      <c r="J296">
        <f>YEAR(cf_cl[[#This Row],[date_submitted]])</f>
        <v>2021</v>
      </c>
      <c r="K296" s="3" t="str">
        <f>TEXT(cf_cl[[#This Row],[date_submitted]],"mmm")</f>
        <v>Jun</v>
      </c>
      <c r="L296" s="3" t="str">
        <f t="shared" si="12"/>
        <v>Q2</v>
      </c>
      <c r="M296" s="3" t="str">
        <f t="shared" si="13"/>
        <v>Tuesday</v>
      </c>
      <c r="N296" s="3" t="str">
        <f t="shared" si="14"/>
        <v>No</v>
      </c>
      <c r="O296" s="3" t="str">
        <f>IF(COUNTIF($B:$B,B296)=1,"New Customer",
IF(COUNTIF($B:$B,B296)&lt;=3,"Returning Customer","Loyal Customer"))</f>
        <v>Returning Customer</v>
      </c>
      <c r="P296" s="3" t="str">
        <f>IF(cf_cl[[#This Row],[referred_claim]]="Yes","Referred","Not Referred")</f>
        <v>Referred</v>
      </c>
    </row>
    <row r="297" spans="1:16" x14ac:dyDescent="0.3">
      <c r="A297" t="s">
        <v>591</v>
      </c>
      <c r="B297" t="s">
        <v>592</v>
      </c>
      <c r="C297" s="1">
        <v>44089</v>
      </c>
      <c r="D297" t="s">
        <v>37</v>
      </c>
      <c r="E297">
        <v>5</v>
      </c>
      <c r="F297" s="3" t="s">
        <v>13</v>
      </c>
      <c r="G297" s="3" t="s">
        <v>10</v>
      </c>
      <c r="H297" s="3" t="str">
        <f>IF(cf_cl[[#This Row],[satisfaction_score]]&gt;=4,"Happy",IF(cf_cl[[#This Row],[satisfaction_score]]=3,"Neutral","Negative"))</f>
        <v>Happy</v>
      </c>
      <c r="I297" s="3" t="str">
        <f>IF(cf_cl[[#This Row],[satisfaction_score]]&lt;=2,"Low",IF(cf_cl[[#This Row],[satisfaction_score]]=3,"Medium","High"))</f>
        <v>High</v>
      </c>
      <c r="J297">
        <f>YEAR(cf_cl[[#This Row],[date_submitted]])</f>
        <v>2020</v>
      </c>
      <c r="K297" s="3" t="str">
        <f>TEXT(cf_cl[[#This Row],[date_submitted]],"mmm")</f>
        <v>Sep</v>
      </c>
      <c r="L297" s="3" t="str">
        <f t="shared" si="12"/>
        <v>Q3</v>
      </c>
      <c r="M297" s="3" t="str">
        <f t="shared" si="13"/>
        <v>Tuesday</v>
      </c>
      <c r="N297" s="3" t="str">
        <f t="shared" si="14"/>
        <v>No</v>
      </c>
      <c r="O297" s="3" t="str">
        <f>IF(COUNTIF($B:$B,B297)=1,"New Customer",
IF(COUNTIF($B:$B,B297)&lt;=3,"Returning Customer","Loyal Customer"))</f>
        <v>New Customer</v>
      </c>
      <c r="P297" s="3" t="str">
        <f>IF(cf_cl[[#This Row],[referred_claim]]="Yes","Referred","Not Referred")</f>
        <v>Referred</v>
      </c>
    </row>
    <row r="298" spans="1:16" x14ac:dyDescent="0.3">
      <c r="A298" t="s">
        <v>593</v>
      </c>
      <c r="B298" t="s">
        <v>594</v>
      </c>
      <c r="C298" s="1">
        <v>44042</v>
      </c>
      <c r="D298" t="s">
        <v>31</v>
      </c>
      <c r="E298">
        <v>3</v>
      </c>
      <c r="F298" s="3" t="s">
        <v>10</v>
      </c>
      <c r="G298" s="3" t="s">
        <v>10</v>
      </c>
      <c r="H298" s="3" t="str">
        <f>IF(cf_cl[[#This Row],[satisfaction_score]]&gt;=4,"Happy",IF(cf_cl[[#This Row],[satisfaction_score]]=3,"Neutral","Negative"))</f>
        <v>Neutral</v>
      </c>
      <c r="I298" s="3" t="str">
        <f>IF(cf_cl[[#This Row],[satisfaction_score]]&lt;=2,"Low",IF(cf_cl[[#This Row],[satisfaction_score]]=3,"Medium","High"))</f>
        <v>Medium</v>
      </c>
      <c r="J298">
        <f>YEAR(cf_cl[[#This Row],[date_submitted]])</f>
        <v>2020</v>
      </c>
      <c r="K298" s="3" t="str">
        <f>TEXT(cf_cl[[#This Row],[date_submitted]],"mmm")</f>
        <v>Jul</v>
      </c>
      <c r="L298" s="3" t="str">
        <f t="shared" si="12"/>
        <v>Q3</v>
      </c>
      <c r="M298" s="3" t="str">
        <f t="shared" si="13"/>
        <v>Thursday</v>
      </c>
      <c r="N298" s="3" t="str">
        <f t="shared" si="14"/>
        <v>No</v>
      </c>
      <c r="O298" s="3" t="str">
        <f>IF(COUNTIF($B:$B,B298)=1,"New Customer",
IF(COUNTIF($B:$B,B298)&lt;=3,"Returning Customer","Loyal Customer"))</f>
        <v>Returning Customer</v>
      </c>
      <c r="P298" s="3" t="str">
        <f>IF(cf_cl[[#This Row],[referred_claim]]="Yes","Referred","Not Referred")</f>
        <v>Referred</v>
      </c>
    </row>
    <row r="299" spans="1:16" x14ac:dyDescent="0.3">
      <c r="A299" t="s">
        <v>595</v>
      </c>
      <c r="B299" t="s">
        <v>596</v>
      </c>
      <c r="C299" s="1">
        <v>44907</v>
      </c>
      <c r="D299" t="s">
        <v>19</v>
      </c>
      <c r="E299">
        <v>3</v>
      </c>
      <c r="F299" s="3" t="s">
        <v>10</v>
      </c>
      <c r="G299" s="3" t="s">
        <v>10</v>
      </c>
      <c r="H299" s="3" t="str">
        <f>IF(cf_cl[[#This Row],[satisfaction_score]]&gt;=4,"Happy",IF(cf_cl[[#This Row],[satisfaction_score]]=3,"Neutral","Negative"))</f>
        <v>Neutral</v>
      </c>
      <c r="I299" s="3" t="str">
        <f>IF(cf_cl[[#This Row],[satisfaction_score]]&lt;=2,"Low",IF(cf_cl[[#This Row],[satisfaction_score]]=3,"Medium","High"))</f>
        <v>Medium</v>
      </c>
      <c r="J299">
        <f>YEAR(cf_cl[[#This Row],[date_submitted]])</f>
        <v>2022</v>
      </c>
      <c r="K299" s="3" t="str">
        <f>TEXT(cf_cl[[#This Row],[date_submitted]],"mmm")</f>
        <v>Dec</v>
      </c>
      <c r="L299" s="3" t="str">
        <f t="shared" si="12"/>
        <v>Q4</v>
      </c>
      <c r="M299" s="3" t="str">
        <f t="shared" si="13"/>
        <v>Monday</v>
      </c>
      <c r="N299" s="3" t="str">
        <f t="shared" si="14"/>
        <v>No</v>
      </c>
      <c r="O299" s="3" t="str">
        <f>IF(COUNTIF($B:$B,B299)=1,"New Customer",
IF(COUNTIF($B:$B,B299)&lt;=3,"Returning Customer","Loyal Customer"))</f>
        <v>New Customer</v>
      </c>
      <c r="P299" s="3" t="str">
        <f>IF(cf_cl[[#This Row],[referred_claim]]="Yes","Referred","Not Referred")</f>
        <v>Referred</v>
      </c>
    </row>
    <row r="300" spans="1:16" x14ac:dyDescent="0.3">
      <c r="A300" t="s">
        <v>597</v>
      </c>
      <c r="B300" t="s">
        <v>598</v>
      </c>
      <c r="C300" s="1">
        <v>45261</v>
      </c>
      <c r="D300" t="s">
        <v>83</v>
      </c>
      <c r="E300">
        <v>2</v>
      </c>
      <c r="F300" s="3" t="s">
        <v>10</v>
      </c>
      <c r="G300" s="3" t="s">
        <v>13</v>
      </c>
      <c r="H300" s="3" t="str">
        <f>IF(cf_cl[[#This Row],[satisfaction_score]]&gt;=4,"Happy",IF(cf_cl[[#This Row],[satisfaction_score]]=3,"Neutral","Negative"))</f>
        <v>Negative</v>
      </c>
      <c r="I300" s="3" t="str">
        <f>IF(cf_cl[[#This Row],[satisfaction_score]]&lt;=2,"Low",IF(cf_cl[[#This Row],[satisfaction_score]]=3,"Medium","High"))</f>
        <v>Low</v>
      </c>
      <c r="J300">
        <f>YEAR(cf_cl[[#This Row],[date_submitted]])</f>
        <v>2023</v>
      </c>
      <c r="K300" s="3" t="str">
        <f>TEXT(cf_cl[[#This Row],[date_submitted]],"mmm")</f>
        <v>Dec</v>
      </c>
      <c r="L300" s="3" t="str">
        <f t="shared" si="12"/>
        <v>Q4</v>
      </c>
      <c r="M300" s="3" t="str">
        <f t="shared" si="13"/>
        <v>Friday</v>
      </c>
      <c r="N300" s="3" t="str">
        <f t="shared" si="14"/>
        <v>Yes</v>
      </c>
      <c r="O300" s="3" t="str">
        <f>IF(COUNTIF($B:$B,B300)=1,"New Customer",
IF(COUNTIF($B:$B,B300)&lt;=3,"Returning Customer","Loyal Customer"))</f>
        <v>New Customer</v>
      </c>
      <c r="P300" s="3" t="str">
        <f>IF(cf_cl[[#This Row],[referred_claim]]="Yes","Referred","Not Referred")</f>
        <v>Not Referred</v>
      </c>
    </row>
    <row r="301" spans="1:16" x14ac:dyDescent="0.3">
      <c r="A301" t="s">
        <v>599</v>
      </c>
      <c r="B301" t="s">
        <v>600</v>
      </c>
      <c r="C301" s="1">
        <v>44369</v>
      </c>
      <c r="D301" t="s">
        <v>9</v>
      </c>
      <c r="E301">
        <v>3</v>
      </c>
      <c r="F301" s="3" t="s">
        <v>13</v>
      </c>
      <c r="G301" s="3" t="s">
        <v>10</v>
      </c>
      <c r="H301" s="3" t="str">
        <f>IF(cf_cl[[#This Row],[satisfaction_score]]&gt;=4,"Happy",IF(cf_cl[[#This Row],[satisfaction_score]]=3,"Neutral","Negative"))</f>
        <v>Neutral</v>
      </c>
      <c r="I301" s="3" t="str">
        <f>IF(cf_cl[[#This Row],[satisfaction_score]]&lt;=2,"Low",IF(cf_cl[[#This Row],[satisfaction_score]]=3,"Medium","High"))</f>
        <v>Medium</v>
      </c>
      <c r="J301">
        <f>YEAR(cf_cl[[#This Row],[date_submitted]])</f>
        <v>2021</v>
      </c>
      <c r="K301" s="3" t="str">
        <f>TEXT(cf_cl[[#This Row],[date_submitted]],"mmm")</f>
        <v>Jun</v>
      </c>
      <c r="L301" s="3" t="str">
        <f t="shared" si="12"/>
        <v>Q2</v>
      </c>
      <c r="M301" s="3" t="str">
        <f t="shared" si="13"/>
        <v>Tuesday</v>
      </c>
      <c r="N301" s="3" t="str">
        <f t="shared" si="14"/>
        <v>No</v>
      </c>
      <c r="O301" s="3" t="str">
        <f>IF(COUNTIF($B:$B,B301)=1,"New Customer",
IF(COUNTIF($B:$B,B301)&lt;=3,"Returning Customer","Loyal Customer"))</f>
        <v>New Customer</v>
      </c>
      <c r="P301" s="3" t="str">
        <f>IF(cf_cl[[#This Row],[referred_claim]]="Yes","Referred","Not Referred")</f>
        <v>Referred</v>
      </c>
    </row>
    <row r="302" spans="1:16" x14ac:dyDescent="0.3">
      <c r="A302" t="s">
        <v>601</v>
      </c>
      <c r="B302" t="s">
        <v>293</v>
      </c>
      <c r="C302" s="1">
        <v>44044</v>
      </c>
      <c r="D302" t="s">
        <v>31</v>
      </c>
      <c r="E302">
        <v>2</v>
      </c>
      <c r="F302" s="3" t="s">
        <v>13</v>
      </c>
      <c r="G302" s="3" t="s">
        <v>10</v>
      </c>
      <c r="H302" s="3" t="str">
        <f>IF(cf_cl[[#This Row],[satisfaction_score]]&gt;=4,"Happy",IF(cf_cl[[#This Row],[satisfaction_score]]=3,"Neutral","Negative"))</f>
        <v>Negative</v>
      </c>
      <c r="I302" s="3" t="str">
        <f>IF(cf_cl[[#This Row],[satisfaction_score]]&lt;=2,"Low",IF(cf_cl[[#This Row],[satisfaction_score]]=3,"Medium","High"))</f>
        <v>Low</v>
      </c>
      <c r="J302">
        <f>YEAR(cf_cl[[#This Row],[date_submitted]])</f>
        <v>2020</v>
      </c>
      <c r="K302" s="3" t="str">
        <f>TEXT(cf_cl[[#This Row],[date_submitted]],"mmm")</f>
        <v>Aug</v>
      </c>
      <c r="L302" s="3" t="str">
        <f t="shared" si="12"/>
        <v>Q3</v>
      </c>
      <c r="M302" s="3" t="str">
        <f t="shared" si="13"/>
        <v>Saturday</v>
      </c>
      <c r="N302" s="3" t="str">
        <f t="shared" si="14"/>
        <v>Yes</v>
      </c>
      <c r="O302" s="3" t="str">
        <f>IF(COUNTIF($B:$B,B302)=1,"New Customer",
IF(COUNTIF($B:$B,B302)&lt;=3,"Returning Customer","Loyal Customer"))</f>
        <v>Loyal Customer</v>
      </c>
      <c r="P302" s="3" t="str">
        <f>IF(cf_cl[[#This Row],[referred_claim]]="Yes","Referred","Not Referred")</f>
        <v>Referred</v>
      </c>
    </row>
    <row r="303" spans="1:16" x14ac:dyDescent="0.3">
      <c r="A303" t="s">
        <v>602</v>
      </c>
      <c r="B303" t="s">
        <v>603</v>
      </c>
      <c r="C303" s="1">
        <v>44798</v>
      </c>
      <c r="D303" t="s">
        <v>31</v>
      </c>
      <c r="E303">
        <v>2</v>
      </c>
      <c r="F303" s="3" t="s">
        <v>10</v>
      </c>
      <c r="G303" s="3" t="s">
        <v>13</v>
      </c>
      <c r="H303" s="3" t="str">
        <f>IF(cf_cl[[#This Row],[satisfaction_score]]&gt;=4,"Happy",IF(cf_cl[[#This Row],[satisfaction_score]]=3,"Neutral","Negative"))</f>
        <v>Negative</v>
      </c>
      <c r="I303" s="3" t="str">
        <f>IF(cf_cl[[#This Row],[satisfaction_score]]&lt;=2,"Low",IF(cf_cl[[#This Row],[satisfaction_score]]=3,"Medium","High"))</f>
        <v>Low</v>
      </c>
      <c r="J303">
        <f>YEAR(cf_cl[[#This Row],[date_submitted]])</f>
        <v>2022</v>
      </c>
      <c r="K303" s="3" t="str">
        <f>TEXT(cf_cl[[#This Row],[date_submitted]],"mmm")</f>
        <v>Aug</v>
      </c>
      <c r="L303" s="3" t="str">
        <f t="shared" si="12"/>
        <v>Q3</v>
      </c>
      <c r="M303" s="3" t="str">
        <f t="shared" si="13"/>
        <v>Thursday</v>
      </c>
      <c r="N303" s="3" t="str">
        <f t="shared" si="14"/>
        <v>Yes</v>
      </c>
      <c r="O303" s="3" t="str">
        <f>IF(COUNTIF($B:$B,B303)=1,"New Customer",
IF(COUNTIF($B:$B,B303)&lt;=3,"Returning Customer","Loyal Customer"))</f>
        <v>New Customer</v>
      </c>
      <c r="P303" s="3" t="str">
        <f>IF(cf_cl[[#This Row],[referred_claim]]="Yes","Referred","Not Referred")</f>
        <v>Not Referred</v>
      </c>
    </row>
    <row r="304" spans="1:16" x14ac:dyDescent="0.3">
      <c r="A304" t="s">
        <v>604</v>
      </c>
      <c r="B304" t="s">
        <v>605</v>
      </c>
      <c r="C304" s="1">
        <v>44774</v>
      </c>
      <c r="D304" t="s">
        <v>16</v>
      </c>
      <c r="E304">
        <v>5</v>
      </c>
      <c r="F304" s="3" t="s">
        <v>10</v>
      </c>
      <c r="G304" s="3" t="s">
        <v>13</v>
      </c>
      <c r="H304" s="3" t="str">
        <f>IF(cf_cl[[#This Row],[satisfaction_score]]&gt;=4,"Happy",IF(cf_cl[[#This Row],[satisfaction_score]]=3,"Neutral","Negative"))</f>
        <v>Happy</v>
      </c>
      <c r="I304" s="3" t="str">
        <f>IF(cf_cl[[#This Row],[satisfaction_score]]&lt;=2,"Low",IF(cf_cl[[#This Row],[satisfaction_score]]=3,"Medium","High"))</f>
        <v>High</v>
      </c>
      <c r="J304">
        <f>YEAR(cf_cl[[#This Row],[date_submitted]])</f>
        <v>2022</v>
      </c>
      <c r="K304" s="3" t="str">
        <f>TEXT(cf_cl[[#This Row],[date_submitted]],"mmm")</f>
        <v>Aug</v>
      </c>
      <c r="L304" s="3" t="str">
        <f t="shared" si="12"/>
        <v>Q3</v>
      </c>
      <c r="M304" s="3" t="str">
        <f t="shared" si="13"/>
        <v>Monday</v>
      </c>
      <c r="N304" s="3" t="str">
        <f t="shared" si="14"/>
        <v>No</v>
      </c>
      <c r="O304" s="3" t="str">
        <f>IF(COUNTIF($B:$B,B304)=1,"New Customer",
IF(COUNTIF($B:$B,B304)&lt;=3,"Returning Customer","Loyal Customer"))</f>
        <v>New Customer</v>
      </c>
      <c r="P304" s="3" t="str">
        <f>IF(cf_cl[[#This Row],[referred_claim]]="Yes","Referred","Not Referred")</f>
        <v>Not Referred</v>
      </c>
    </row>
    <row r="305" spans="1:16" x14ac:dyDescent="0.3">
      <c r="A305" t="s">
        <v>606</v>
      </c>
      <c r="B305" t="s">
        <v>607</v>
      </c>
      <c r="C305" s="1">
        <v>44749</v>
      </c>
      <c r="D305" t="s">
        <v>83</v>
      </c>
      <c r="E305">
        <v>1</v>
      </c>
      <c r="F305" s="3" t="s">
        <v>13</v>
      </c>
      <c r="G305" s="3" t="s">
        <v>13</v>
      </c>
      <c r="H305" s="3" t="str">
        <f>IF(cf_cl[[#This Row],[satisfaction_score]]&gt;=4,"Happy",IF(cf_cl[[#This Row],[satisfaction_score]]=3,"Neutral","Negative"))</f>
        <v>Negative</v>
      </c>
      <c r="I305" s="3" t="str">
        <f>IF(cf_cl[[#This Row],[satisfaction_score]]&lt;=2,"Low",IF(cf_cl[[#This Row],[satisfaction_score]]=3,"Medium","High"))</f>
        <v>Low</v>
      </c>
      <c r="J305">
        <f>YEAR(cf_cl[[#This Row],[date_submitted]])</f>
        <v>2022</v>
      </c>
      <c r="K305" s="3" t="str">
        <f>TEXT(cf_cl[[#This Row],[date_submitted]],"mmm")</f>
        <v>Jul</v>
      </c>
      <c r="L305" s="3" t="str">
        <f t="shared" si="12"/>
        <v>Q3</v>
      </c>
      <c r="M305" s="3" t="str">
        <f t="shared" si="13"/>
        <v>Thursday</v>
      </c>
      <c r="N305" s="3" t="str">
        <f t="shared" si="14"/>
        <v>Yes</v>
      </c>
      <c r="O305" s="3" t="str">
        <f>IF(COUNTIF($B:$B,B305)=1,"New Customer",
IF(COUNTIF($B:$B,B305)&lt;=3,"Returning Customer","Loyal Customer"))</f>
        <v>New Customer</v>
      </c>
      <c r="P305" s="3" t="str">
        <f>IF(cf_cl[[#This Row],[referred_claim]]="Yes","Referred","Not Referred")</f>
        <v>Not Referred</v>
      </c>
    </row>
    <row r="306" spans="1:16" x14ac:dyDescent="0.3">
      <c r="A306" t="s">
        <v>608</v>
      </c>
      <c r="B306" t="s">
        <v>609</v>
      </c>
      <c r="C306" s="1">
        <v>44084</v>
      </c>
      <c r="D306" t="s">
        <v>19</v>
      </c>
      <c r="E306">
        <v>2</v>
      </c>
      <c r="F306" s="3" t="s">
        <v>10</v>
      </c>
      <c r="G306" s="3" t="s">
        <v>13</v>
      </c>
      <c r="H306" s="3" t="str">
        <f>IF(cf_cl[[#This Row],[satisfaction_score]]&gt;=4,"Happy",IF(cf_cl[[#This Row],[satisfaction_score]]=3,"Neutral","Negative"))</f>
        <v>Negative</v>
      </c>
      <c r="I306" s="3" t="str">
        <f>IF(cf_cl[[#This Row],[satisfaction_score]]&lt;=2,"Low",IF(cf_cl[[#This Row],[satisfaction_score]]=3,"Medium","High"))</f>
        <v>Low</v>
      </c>
      <c r="J306">
        <f>YEAR(cf_cl[[#This Row],[date_submitted]])</f>
        <v>2020</v>
      </c>
      <c r="K306" s="3" t="str">
        <f>TEXT(cf_cl[[#This Row],[date_submitted]],"mmm")</f>
        <v>Sep</v>
      </c>
      <c r="L306" s="3" t="str">
        <f t="shared" si="12"/>
        <v>Q3</v>
      </c>
      <c r="M306" s="3" t="str">
        <f t="shared" si="13"/>
        <v>Thursday</v>
      </c>
      <c r="N306" s="3" t="str">
        <f t="shared" si="14"/>
        <v>Yes</v>
      </c>
      <c r="O306" s="3" t="str">
        <f>IF(COUNTIF($B:$B,B306)=1,"New Customer",
IF(COUNTIF($B:$B,B306)&lt;=3,"Returning Customer","Loyal Customer"))</f>
        <v>New Customer</v>
      </c>
      <c r="P306" s="3" t="str">
        <f>IF(cf_cl[[#This Row],[referred_claim]]="Yes","Referred","Not Referred")</f>
        <v>Not Referred</v>
      </c>
    </row>
    <row r="307" spans="1:16" x14ac:dyDescent="0.3">
      <c r="A307" t="s">
        <v>610</v>
      </c>
      <c r="B307" t="s">
        <v>611</v>
      </c>
      <c r="C307" s="1">
        <v>44338</v>
      </c>
      <c r="D307" t="s">
        <v>22</v>
      </c>
      <c r="E307">
        <v>4</v>
      </c>
      <c r="F307" s="3" t="s">
        <v>10</v>
      </c>
      <c r="G307" s="3" t="s">
        <v>13</v>
      </c>
      <c r="H307" s="3" t="str">
        <f>IF(cf_cl[[#This Row],[satisfaction_score]]&gt;=4,"Happy",IF(cf_cl[[#This Row],[satisfaction_score]]=3,"Neutral","Negative"))</f>
        <v>Happy</v>
      </c>
      <c r="I307" s="3" t="str">
        <f>IF(cf_cl[[#This Row],[satisfaction_score]]&lt;=2,"Low",IF(cf_cl[[#This Row],[satisfaction_score]]=3,"Medium","High"))</f>
        <v>High</v>
      </c>
      <c r="J307">
        <f>YEAR(cf_cl[[#This Row],[date_submitted]])</f>
        <v>2021</v>
      </c>
      <c r="K307" s="3" t="str">
        <f>TEXT(cf_cl[[#This Row],[date_submitted]],"mmm")</f>
        <v>May</v>
      </c>
      <c r="L307" s="3" t="str">
        <f t="shared" si="12"/>
        <v>Q2</v>
      </c>
      <c r="M307" s="3" t="str">
        <f t="shared" si="13"/>
        <v>Saturday</v>
      </c>
      <c r="N307" s="3" t="str">
        <f t="shared" si="14"/>
        <v>No</v>
      </c>
      <c r="O307" s="3" t="str">
        <f>IF(COUNTIF($B:$B,B307)=1,"New Customer",
IF(COUNTIF($B:$B,B307)&lt;=3,"Returning Customer","Loyal Customer"))</f>
        <v>Returning Customer</v>
      </c>
      <c r="P307" s="3" t="str">
        <f>IF(cf_cl[[#This Row],[referred_claim]]="Yes","Referred","Not Referred")</f>
        <v>Not Referred</v>
      </c>
    </row>
    <row r="308" spans="1:16" x14ac:dyDescent="0.3">
      <c r="A308" t="s">
        <v>612</v>
      </c>
      <c r="B308" t="s">
        <v>613</v>
      </c>
      <c r="C308" s="1">
        <v>44042</v>
      </c>
      <c r="D308" t="s">
        <v>83</v>
      </c>
      <c r="E308">
        <v>3</v>
      </c>
      <c r="F308" s="3" t="s">
        <v>10</v>
      </c>
      <c r="G308" s="3" t="s">
        <v>10</v>
      </c>
      <c r="H308" s="3" t="str">
        <f>IF(cf_cl[[#This Row],[satisfaction_score]]&gt;=4,"Happy",IF(cf_cl[[#This Row],[satisfaction_score]]=3,"Neutral","Negative"))</f>
        <v>Neutral</v>
      </c>
      <c r="I308" s="3" t="str">
        <f>IF(cf_cl[[#This Row],[satisfaction_score]]&lt;=2,"Low",IF(cf_cl[[#This Row],[satisfaction_score]]=3,"Medium","High"))</f>
        <v>Medium</v>
      </c>
      <c r="J308">
        <f>YEAR(cf_cl[[#This Row],[date_submitted]])</f>
        <v>2020</v>
      </c>
      <c r="K308" s="3" t="str">
        <f>TEXT(cf_cl[[#This Row],[date_submitted]],"mmm")</f>
        <v>Jul</v>
      </c>
      <c r="L308" s="3" t="str">
        <f t="shared" si="12"/>
        <v>Q3</v>
      </c>
      <c r="M308" s="3" t="str">
        <f t="shared" si="13"/>
        <v>Thursday</v>
      </c>
      <c r="N308" s="3" t="str">
        <f t="shared" si="14"/>
        <v>No</v>
      </c>
      <c r="O308" s="3" t="str">
        <f>IF(COUNTIF($B:$B,B308)=1,"New Customer",
IF(COUNTIF($B:$B,B308)&lt;=3,"Returning Customer","Loyal Customer"))</f>
        <v>New Customer</v>
      </c>
      <c r="P308" s="3" t="str">
        <f>IF(cf_cl[[#This Row],[referred_claim]]="Yes","Referred","Not Referred")</f>
        <v>Referred</v>
      </c>
    </row>
    <row r="309" spans="1:16" x14ac:dyDescent="0.3">
      <c r="A309" t="s">
        <v>614</v>
      </c>
      <c r="B309" t="s">
        <v>615</v>
      </c>
      <c r="C309" s="1">
        <v>44384</v>
      </c>
      <c r="D309" t="s">
        <v>31</v>
      </c>
      <c r="E309">
        <v>2</v>
      </c>
      <c r="F309" s="3" t="s">
        <v>10</v>
      </c>
      <c r="G309" s="3" t="s">
        <v>10</v>
      </c>
      <c r="H309" s="3" t="str">
        <f>IF(cf_cl[[#This Row],[satisfaction_score]]&gt;=4,"Happy",IF(cf_cl[[#This Row],[satisfaction_score]]=3,"Neutral","Negative"))</f>
        <v>Negative</v>
      </c>
      <c r="I309" s="3" t="str">
        <f>IF(cf_cl[[#This Row],[satisfaction_score]]&lt;=2,"Low",IF(cf_cl[[#This Row],[satisfaction_score]]=3,"Medium","High"))</f>
        <v>Low</v>
      </c>
      <c r="J309">
        <f>YEAR(cf_cl[[#This Row],[date_submitted]])</f>
        <v>2021</v>
      </c>
      <c r="K309" s="3" t="str">
        <f>TEXT(cf_cl[[#This Row],[date_submitted]],"mmm")</f>
        <v>Jul</v>
      </c>
      <c r="L309" s="3" t="str">
        <f t="shared" si="12"/>
        <v>Q3</v>
      </c>
      <c r="M309" s="3" t="str">
        <f t="shared" si="13"/>
        <v>Wednesday</v>
      </c>
      <c r="N309" s="3" t="str">
        <f t="shared" si="14"/>
        <v>Yes</v>
      </c>
      <c r="O309" s="3" t="str">
        <f>IF(COUNTIF($B:$B,B309)=1,"New Customer",
IF(COUNTIF($B:$B,B309)&lt;=3,"Returning Customer","Loyal Customer"))</f>
        <v>Returning Customer</v>
      </c>
      <c r="P309" s="3" t="str">
        <f>IF(cf_cl[[#This Row],[referred_claim]]="Yes","Referred","Not Referred")</f>
        <v>Referred</v>
      </c>
    </row>
    <row r="310" spans="1:16" x14ac:dyDescent="0.3">
      <c r="A310" t="s">
        <v>616</v>
      </c>
      <c r="B310" t="s">
        <v>617</v>
      </c>
      <c r="C310" s="1">
        <v>45037</v>
      </c>
      <c r="D310" t="s">
        <v>83</v>
      </c>
      <c r="E310">
        <v>1</v>
      </c>
      <c r="F310" s="3" t="s">
        <v>13</v>
      </c>
      <c r="G310" s="3" t="s">
        <v>13</v>
      </c>
      <c r="H310" s="3" t="str">
        <f>IF(cf_cl[[#This Row],[satisfaction_score]]&gt;=4,"Happy",IF(cf_cl[[#This Row],[satisfaction_score]]=3,"Neutral","Negative"))</f>
        <v>Negative</v>
      </c>
      <c r="I310" s="3" t="str">
        <f>IF(cf_cl[[#This Row],[satisfaction_score]]&lt;=2,"Low",IF(cf_cl[[#This Row],[satisfaction_score]]=3,"Medium","High"))</f>
        <v>Low</v>
      </c>
      <c r="J310">
        <f>YEAR(cf_cl[[#This Row],[date_submitted]])</f>
        <v>2023</v>
      </c>
      <c r="K310" s="3" t="str">
        <f>TEXT(cf_cl[[#This Row],[date_submitted]],"mmm")</f>
        <v>Apr</v>
      </c>
      <c r="L310" s="3" t="str">
        <f t="shared" si="12"/>
        <v>Q2</v>
      </c>
      <c r="M310" s="3" t="str">
        <f t="shared" si="13"/>
        <v>Friday</v>
      </c>
      <c r="N310" s="3" t="str">
        <f t="shared" si="14"/>
        <v>Yes</v>
      </c>
      <c r="O310" s="3" t="str">
        <f>IF(COUNTIF($B:$B,B310)=1,"New Customer",
IF(COUNTIF($B:$B,B310)&lt;=3,"Returning Customer","Loyal Customer"))</f>
        <v>New Customer</v>
      </c>
      <c r="P310" s="3" t="str">
        <f>IF(cf_cl[[#This Row],[referred_claim]]="Yes","Referred","Not Referred")</f>
        <v>Not Referred</v>
      </c>
    </row>
    <row r="311" spans="1:16" x14ac:dyDescent="0.3">
      <c r="A311" t="s">
        <v>618</v>
      </c>
      <c r="B311" t="s">
        <v>619</v>
      </c>
      <c r="C311" s="1">
        <v>45219</v>
      </c>
      <c r="D311" t="s">
        <v>25</v>
      </c>
      <c r="E311">
        <v>5</v>
      </c>
      <c r="F311" s="3" t="s">
        <v>10</v>
      </c>
      <c r="G311" s="3" t="s">
        <v>13</v>
      </c>
      <c r="H311" s="3" t="str">
        <f>IF(cf_cl[[#This Row],[satisfaction_score]]&gt;=4,"Happy",IF(cf_cl[[#This Row],[satisfaction_score]]=3,"Neutral","Negative"))</f>
        <v>Happy</v>
      </c>
      <c r="I311" s="3" t="str">
        <f>IF(cf_cl[[#This Row],[satisfaction_score]]&lt;=2,"Low",IF(cf_cl[[#This Row],[satisfaction_score]]=3,"Medium","High"))</f>
        <v>High</v>
      </c>
      <c r="J311">
        <f>YEAR(cf_cl[[#This Row],[date_submitted]])</f>
        <v>2023</v>
      </c>
      <c r="K311" s="3" t="str">
        <f>TEXT(cf_cl[[#This Row],[date_submitted]],"mmm")</f>
        <v>Oct</v>
      </c>
      <c r="L311" s="3" t="str">
        <f t="shared" si="12"/>
        <v>Q4</v>
      </c>
      <c r="M311" s="3" t="str">
        <f t="shared" si="13"/>
        <v>Friday</v>
      </c>
      <c r="N311" s="3" t="str">
        <f t="shared" si="14"/>
        <v>No</v>
      </c>
      <c r="O311" s="3" t="str">
        <f>IF(COUNTIF($B:$B,B311)=1,"New Customer",
IF(COUNTIF($B:$B,B311)&lt;=3,"Returning Customer","Loyal Customer"))</f>
        <v>New Customer</v>
      </c>
      <c r="P311" s="3" t="str">
        <f>IF(cf_cl[[#This Row],[referred_claim]]="Yes","Referred","Not Referred")</f>
        <v>Not Referred</v>
      </c>
    </row>
    <row r="312" spans="1:16" x14ac:dyDescent="0.3">
      <c r="A312" t="s">
        <v>620</v>
      </c>
      <c r="B312" t="s">
        <v>621</v>
      </c>
      <c r="C312" s="1">
        <v>44923</v>
      </c>
      <c r="D312" t="s">
        <v>31</v>
      </c>
      <c r="E312">
        <v>3</v>
      </c>
      <c r="F312" s="3" t="s">
        <v>13</v>
      </c>
      <c r="G312" s="3" t="s">
        <v>10</v>
      </c>
      <c r="H312" s="3" t="str">
        <f>IF(cf_cl[[#This Row],[satisfaction_score]]&gt;=4,"Happy",IF(cf_cl[[#This Row],[satisfaction_score]]=3,"Neutral","Negative"))</f>
        <v>Neutral</v>
      </c>
      <c r="I312" s="3" t="str">
        <f>IF(cf_cl[[#This Row],[satisfaction_score]]&lt;=2,"Low",IF(cf_cl[[#This Row],[satisfaction_score]]=3,"Medium","High"))</f>
        <v>Medium</v>
      </c>
      <c r="J312">
        <f>YEAR(cf_cl[[#This Row],[date_submitted]])</f>
        <v>2022</v>
      </c>
      <c r="K312" s="3" t="str">
        <f>TEXT(cf_cl[[#This Row],[date_submitted]],"mmm")</f>
        <v>Dec</v>
      </c>
      <c r="L312" s="3" t="str">
        <f t="shared" si="12"/>
        <v>Q4</v>
      </c>
      <c r="M312" s="3" t="str">
        <f t="shared" si="13"/>
        <v>Wednesday</v>
      </c>
      <c r="N312" s="3" t="str">
        <f t="shared" si="14"/>
        <v>No</v>
      </c>
      <c r="O312" s="3" t="str">
        <f>IF(COUNTIF($B:$B,B312)=1,"New Customer",
IF(COUNTIF($B:$B,B312)&lt;=3,"Returning Customer","Loyal Customer"))</f>
        <v>Returning Customer</v>
      </c>
      <c r="P312" s="3" t="str">
        <f>IF(cf_cl[[#This Row],[referred_claim]]="Yes","Referred","Not Referred")</f>
        <v>Referred</v>
      </c>
    </row>
    <row r="313" spans="1:16" x14ac:dyDescent="0.3">
      <c r="A313" t="s">
        <v>622</v>
      </c>
      <c r="B313" t="s">
        <v>623</v>
      </c>
      <c r="C313" s="1">
        <v>44383</v>
      </c>
      <c r="D313" t="s">
        <v>9</v>
      </c>
      <c r="E313">
        <v>2</v>
      </c>
      <c r="F313" s="3" t="s">
        <v>10</v>
      </c>
      <c r="G313" s="3" t="s">
        <v>10</v>
      </c>
      <c r="H313" s="3" t="str">
        <f>IF(cf_cl[[#This Row],[satisfaction_score]]&gt;=4,"Happy",IF(cf_cl[[#This Row],[satisfaction_score]]=3,"Neutral","Negative"))</f>
        <v>Negative</v>
      </c>
      <c r="I313" s="3" t="str">
        <f>IF(cf_cl[[#This Row],[satisfaction_score]]&lt;=2,"Low",IF(cf_cl[[#This Row],[satisfaction_score]]=3,"Medium","High"))</f>
        <v>Low</v>
      </c>
      <c r="J313">
        <f>YEAR(cf_cl[[#This Row],[date_submitted]])</f>
        <v>2021</v>
      </c>
      <c r="K313" s="3" t="str">
        <f>TEXT(cf_cl[[#This Row],[date_submitted]],"mmm")</f>
        <v>Jul</v>
      </c>
      <c r="L313" s="3" t="str">
        <f t="shared" si="12"/>
        <v>Q3</v>
      </c>
      <c r="M313" s="3" t="str">
        <f t="shared" si="13"/>
        <v>Tuesday</v>
      </c>
      <c r="N313" s="3" t="str">
        <f t="shared" si="14"/>
        <v>Yes</v>
      </c>
      <c r="O313" s="3" t="str">
        <f>IF(COUNTIF($B:$B,B313)=1,"New Customer",
IF(COUNTIF($B:$B,B313)&lt;=3,"Returning Customer","Loyal Customer"))</f>
        <v>New Customer</v>
      </c>
      <c r="P313" s="3" t="str">
        <f>IF(cf_cl[[#This Row],[referred_claim]]="Yes","Referred","Not Referred")</f>
        <v>Referred</v>
      </c>
    </row>
    <row r="314" spans="1:16" x14ac:dyDescent="0.3">
      <c r="A314" t="s">
        <v>624</v>
      </c>
      <c r="B314" t="s">
        <v>339</v>
      </c>
      <c r="C314" s="1">
        <v>44985</v>
      </c>
      <c r="D314" t="s">
        <v>9</v>
      </c>
      <c r="E314">
        <v>2</v>
      </c>
      <c r="F314" s="3" t="s">
        <v>10</v>
      </c>
      <c r="G314" s="3" t="s">
        <v>13</v>
      </c>
      <c r="H314" s="3" t="str">
        <f>IF(cf_cl[[#This Row],[satisfaction_score]]&gt;=4,"Happy",IF(cf_cl[[#This Row],[satisfaction_score]]=3,"Neutral","Negative"))</f>
        <v>Negative</v>
      </c>
      <c r="I314" s="3" t="str">
        <f>IF(cf_cl[[#This Row],[satisfaction_score]]&lt;=2,"Low",IF(cf_cl[[#This Row],[satisfaction_score]]=3,"Medium","High"))</f>
        <v>Low</v>
      </c>
      <c r="J314">
        <f>YEAR(cf_cl[[#This Row],[date_submitted]])</f>
        <v>2023</v>
      </c>
      <c r="K314" s="3" t="str">
        <f>TEXT(cf_cl[[#This Row],[date_submitted]],"mmm")</f>
        <v>Feb</v>
      </c>
      <c r="L314" s="3" t="str">
        <f t="shared" si="12"/>
        <v>Q1</v>
      </c>
      <c r="M314" s="3" t="str">
        <f t="shared" si="13"/>
        <v>Tuesday</v>
      </c>
      <c r="N314" s="3" t="str">
        <f t="shared" si="14"/>
        <v>Yes</v>
      </c>
      <c r="O314" s="3" t="str">
        <f>IF(COUNTIF($B:$B,B314)=1,"New Customer",
IF(COUNTIF($B:$B,B314)&lt;=3,"Returning Customer","Loyal Customer"))</f>
        <v>Returning Customer</v>
      </c>
      <c r="P314" s="3" t="str">
        <f>IF(cf_cl[[#This Row],[referred_claim]]="Yes","Referred","Not Referred")</f>
        <v>Not Referred</v>
      </c>
    </row>
    <row r="315" spans="1:16" x14ac:dyDescent="0.3">
      <c r="A315" t="s">
        <v>625</v>
      </c>
      <c r="B315" t="s">
        <v>626</v>
      </c>
      <c r="C315" s="1">
        <v>44866</v>
      </c>
      <c r="D315" t="s">
        <v>9</v>
      </c>
      <c r="E315">
        <v>1</v>
      </c>
      <c r="F315" s="3" t="s">
        <v>13</v>
      </c>
      <c r="G315" s="3" t="s">
        <v>13</v>
      </c>
      <c r="H315" s="3" t="str">
        <f>IF(cf_cl[[#This Row],[satisfaction_score]]&gt;=4,"Happy",IF(cf_cl[[#This Row],[satisfaction_score]]=3,"Neutral","Negative"))</f>
        <v>Negative</v>
      </c>
      <c r="I315" s="3" t="str">
        <f>IF(cf_cl[[#This Row],[satisfaction_score]]&lt;=2,"Low",IF(cf_cl[[#This Row],[satisfaction_score]]=3,"Medium","High"))</f>
        <v>Low</v>
      </c>
      <c r="J315">
        <f>YEAR(cf_cl[[#This Row],[date_submitted]])</f>
        <v>2022</v>
      </c>
      <c r="K315" s="3" t="str">
        <f>TEXT(cf_cl[[#This Row],[date_submitted]],"mmm")</f>
        <v>Nov</v>
      </c>
      <c r="L315" s="3" t="str">
        <f t="shared" si="12"/>
        <v>Q4</v>
      </c>
      <c r="M315" s="3" t="str">
        <f t="shared" si="13"/>
        <v>Tuesday</v>
      </c>
      <c r="N315" s="3" t="str">
        <f t="shared" si="14"/>
        <v>Yes</v>
      </c>
      <c r="O315" s="3" t="str">
        <f>IF(COUNTIF($B:$B,B315)=1,"New Customer",
IF(COUNTIF($B:$B,B315)&lt;=3,"Returning Customer","Loyal Customer"))</f>
        <v>Returning Customer</v>
      </c>
      <c r="P315" s="3" t="str">
        <f>IF(cf_cl[[#This Row],[referred_claim]]="Yes","Referred","Not Referred")</f>
        <v>Not Referred</v>
      </c>
    </row>
    <row r="316" spans="1:16" x14ac:dyDescent="0.3">
      <c r="A316" t="s">
        <v>627</v>
      </c>
      <c r="B316" t="s">
        <v>628</v>
      </c>
      <c r="C316" s="1">
        <v>44363</v>
      </c>
      <c r="D316" t="s">
        <v>31</v>
      </c>
      <c r="E316">
        <v>2</v>
      </c>
      <c r="F316" s="3" t="s">
        <v>13</v>
      </c>
      <c r="G316" s="3" t="s">
        <v>10</v>
      </c>
      <c r="H316" s="3" t="str">
        <f>IF(cf_cl[[#This Row],[satisfaction_score]]&gt;=4,"Happy",IF(cf_cl[[#This Row],[satisfaction_score]]=3,"Neutral","Negative"))</f>
        <v>Negative</v>
      </c>
      <c r="I316" s="3" t="str">
        <f>IF(cf_cl[[#This Row],[satisfaction_score]]&lt;=2,"Low",IF(cf_cl[[#This Row],[satisfaction_score]]=3,"Medium","High"))</f>
        <v>Low</v>
      </c>
      <c r="J316">
        <f>YEAR(cf_cl[[#This Row],[date_submitted]])</f>
        <v>2021</v>
      </c>
      <c r="K316" s="3" t="str">
        <f>TEXT(cf_cl[[#This Row],[date_submitted]],"mmm")</f>
        <v>Jun</v>
      </c>
      <c r="L316" s="3" t="str">
        <f t="shared" si="12"/>
        <v>Q2</v>
      </c>
      <c r="M316" s="3" t="str">
        <f t="shared" si="13"/>
        <v>Wednesday</v>
      </c>
      <c r="N316" s="3" t="str">
        <f t="shared" si="14"/>
        <v>Yes</v>
      </c>
      <c r="O316" s="3" t="str">
        <f>IF(COUNTIF($B:$B,B316)=1,"New Customer",
IF(COUNTIF($B:$B,B316)&lt;=3,"Returning Customer","Loyal Customer"))</f>
        <v>New Customer</v>
      </c>
      <c r="P316" s="3" t="str">
        <f>IF(cf_cl[[#This Row],[referred_claim]]="Yes","Referred","Not Referred")</f>
        <v>Referred</v>
      </c>
    </row>
    <row r="317" spans="1:16" x14ac:dyDescent="0.3">
      <c r="A317" t="s">
        <v>629</v>
      </c>
      <c r="B317" t="s">
        <v>630</v>
      </c>
      <c r="C317" s="1">
        <v>44138</v>
      </c>
      <c r="D317" t="s">
        <v>25</v>
      </c>
      <c r="E317">
        <v>5</v>
      </c>
      <c r="F317" s="3" t="s">
        <v>10</v>
      </c>
      <c r="G317" s="3" t="s">
        <v>10</v>
      </c>
      <c r="H317" s="3" t="str">
        <f>IF(cf_cl[[#This Row],[satisfaction_score]]&gt;=4,"Happy",IF(cf_cl[[#This Row],[satisfaction_score]]=3,"Neutral","Negative"))</f>
        <v>Happy</v>
      </c>
      <c r="I317" s="3" t="str">
        <f>IF(cf_cl[[#This Row],[satisfaction_score]]&lt;=2,"Low",IF(cf_cl[[#This Row],[satisfaction_score]]=3,"Medium","High"))</f>
        <v>High</v>
      </c>
      <c r="J317">
        <f>YEAR(cf_cl[[#This Row],[date_submitted]])</f>
        <v>2020</v>
      </c>
      <c r="K317" s="3" t="str">
        <f>TEXT(cf_cl[[#This Row],[date_submitted]],"mmm")</f>
        <v>Nov</v>
      </c>
      <c r="L317" s="3" t="str">
        <f t="shared" si="12"/>
        <v>Q4</v>
      </c>
      <c r="M317" s="3" t="str">
        <f t="shared" si="13"/>
        <v>Tuesday</v>
      </c>
      <c r="N317" s="3" t="str">
        <f t="shared" si="14"/>
        <v>No</v>
      </c>
      <c r="O317" s="3" t="str">
        <f>IF(COUNTIF($B:$B,B317)=1,"New Customer",
IF(COUNTIF($B:$B,B317)&lt;=3,"Returning Customer","Loyal Customer"))</f>
        <v>New Customer</v>
      </c>
      <c r="P317" s="3" t="str">
        <f>IF(cf_cl[[#This Row],[referred_claim]]="Yes","Referred","Not Referred")</f>
        <v>Referred</v>
      </c>
    </row>
    <row r="318" spans="1:16" x14ac:dyDescent="0.3">
      <c r="A318" t="s">
        <v>631</v>
      </c>
      <c r="B318" t="s">
        <v>150</v>
      </c>
      <c r="C318" s="1">
        <v>45040</v>
      </c>
      <c r="D318" t="s">
        <v>19</v>
      </c>
      <c r="E318">
        <v>3</v>
      </c>
      <c r="F318" s="3" t="s">
        <v>13</v>
      </c>
      <c r="G318" s="3" t="s">
        <v>13</v>
      </c>
      <c r="H318" s="3" t="str">
        <f>IF(cf_cl[[#This Row],[satisfaction_score]]&gt;=4,"Happy",IF(cf_cl[[#This Row],[satisfaction_score]]=3,"Neutral","Negative"))</f>
        <v>Neutral</v>
      </c>
      <c r="I318" s="3" t="str">
        <f>IF(cf_cl[[#This Row],[satisfaction_score]]&lt;=2,"Low",IF(cf_cl[[#This Row],[satisfaction_score]]=3,"Medium","High"))</f>
        <v>Medium</v>
      </c>
      <c r="J318">
        <f>YEAR(cf_cl[[#This Row],[date_submitted]])</f>
        <v>2023</v>
      </c>
      <c r="K318" s="3" t="str">
        <f>TEXT(cf_cl[[#This Row],[date_submitted]],"mmm")</f>
        <v>Apr</v>
      </c>
      <c r="L318" s="3" t="str">
        <f t="shared" si="12"/>
        <v>Q2</v>
      </c>
      <c r="M318" s="3" t="str">
        <f t="shared" si="13"/>
        <v>Monday</v>
      </c>
      <c r="N318" s="3" t="str">
        <f t="shared" si="14"/>
        <v>No</v>
      </c>
      <c r="O318" s="3" t="str">
        <f>IF(COUNTIF($B:$B,B318)=1,"New Customer",
IF(COUNTIF($B:$B,B318)&lt;=3,"Returning Customer","Loyal Customer"))</f>
        <v>Returning Customer</v>
      </c>
      <c r="P318" s="3" t="str">
        <f>IF(cf_cl[[#This Row],[referred_claim]]="Yes","Referred","Not Referred")</f>
        <v>Not Referred</v>
      </c>
    </row>
    <row r="319" spans="1:16" x14ac:dyDescent="0.3">
      <c r="A319" t="s">
        <v>632</v>
      </c>
      <c r="B319" t="s">
        <v>633</v>
      </c>
      <c r="C319" s="1">
        <v>43972</v>
      </c>
      <c r="D319" t="s">
        <v>28</v>
      </c>
      <c r="E319">
        <v>4</v>
      </c>
      <c r="F319" s="3" t="s">
        <v>13</v>
      </c>
      <c r="G319" s="3" t="s">
        <v>13</v>
      </c>
      <c r="H319" s="3" t="str">
        <f>IF(cf_cl[[#This Row],[satisfaction_score]]&gt;=4,"Happy",IF(cf_cl[[#This Row],[satisfaction_score]]=3,"Neutral","Negative"))</f>
        <v>Happy</v>
      </c>
      <c r="I319" s="3" t="str">
        <f>IF(cf_cl[[#This Row],[satisfaction_score]]&lt;=2,"Low",IF(cf_cl[[#This Row],[satisfaction_score]]=3,"Medium","High"))</f>
        <v>High</v>
      </c>
      <c r="J319">
        <f>YEAR(cf_cl[[#This Row],[date_submitted]])</f>
        <v>2020</v>
      </c>
      <c r="K319" s="3" t="str">
        <f>TEXT(cf_cl[[#This Row],[date_submitted]],"mmm")</f>
        <v>May</v>
      </c>
      <c r="L319" s="3" t="str">
        <f t="shared" si="12"/>
        <v>Q2</v>
      </c>
      <c r="M319" s="3" t="str">
        <f t="shared" si="13"/>
        <v>Thursday</v>
      </c>
      <c r="N319" s="3" t="str">
        <f t="shared" si="14"/>
        <v>No</v>
      </c>
      <c r="O319" s="3" t="str">
        <f>IF(COUNTIF($B:$B,B319)=1,"New Customer",
IF(COUNTIF($B:$B,B319)&lt;=3,"Returning Customer","Loyal Customer"))</f>
        <v>New Customer</v>
      </c>
      <c r="P319" s="3" t="str">
        <f>IF(cf_cl[[#This Row],[referred_claim]]="Yes","Referred","Not Referred")</f>
        <v>Not Referred</v>
      </c>
    </row>
    <row r="320" spans="1:16" x14ac:dyDescent="0.3">
      <c r="A320" t="s">
        <v>634</v>
      </c>
      <c r="B320" t="s">
        <v>635</v>
      </c>
      <c r="C320" s="1">
        <v>45003</v>
      </c>
      <c r="D320" t="s">
        <v>28</v>
      </c>
      <c r="E320">
        <v>5</v>
      </c>
      <c r="F320" s="3" t="s">
        <v>10</v>
      </c>
      <c r="G320" s="3" t="s">
        <v>10</v>
      </c>
      <c r="H320" s="3" t="str">
        <f>IF(cf_cl[[#This Row],[satisfaction_score]]&gt;=4,"Happy",IF(cf_cl[[#This Row],[satisfaction_score]]=3,"Neutral","Negative"))</f>
        <v>Happy</v>
      </c>
      <c r="I320" s="3" t="str">
        <f>IF(cf_cl[[#This Row],[satisfaction_score]]&lt;=2,"Low",IF(cf_cl[[#This Row],[satisfaction_score]]=3,"Medium","High"))</f>
        <v>High</v>
      </c>
      <c r="J320">
        <f>YEAR(cf_cl[[#This Row],[date_submitted]])</f>
        <v>2023</v>
      </c>
      <c r="K320" s="3" t="str">
        <f>TEXT(cf_cl[[#This Row],[date_submitted]],"mmm")</f>
        <v>Mar</v>
      </c>
      <c r="L320" s="3" t="str">
        <f t="shared" si="12"/>
        <v>Q1</v>
      </c>
      <c r="M320" s="3" t="str">
        <f t="shared" si="13"/>
        <v>Saturday</v>
      </c>
      <c r="N320" s="3" t="str">
        <f t="shared" si="14"/>
        <v>No</v>
      </c>
      <c r="O320" s="3" t="str">
        <f>IF(COUNTIF($B:$B,B320)=1,"New Customer",
IF(COUNTIF($B:$B,B320)&lt;=3,"Returning Customer","Loyal Customer"))</f>
        <v>Returning Customer</v>
      </c>
      <c r="P320" s="3" t="str">
        <f>IF(cf_cl[[#This Row],[referred_claim]]="Yes","Referred","Not Referred")</f>
        <v>Referred</v>
      </c>
    </row>
    <row r="321" spans="1:16" x14ac:dyDescent="0.3">
      <c r="A321" t="s">
        <v>636</v>
      </c>
      <c r="B321" t="s">
        <v>637</v>
      </c>
      <c r="C321" s="1">
        <v>45209</v>
      </c>
      <c r="D321" t="s">
        <v>83</v>
      </c>
      <c r="E321">
        <v>3</v>
      </c>
      <c r="F321" s="3" t="s">
        <v>10</v>
      </c>
      <c r="G321" s="3" t="s">
        <v>13</v>
      </c>
      <c r="H321" s="3" t="str">
        <f>IF(cf_cl[[#This Row],[satisfaction_score]]&gt;=4,"Happy",IF(cf_cl[[#This Row],[satisfaction_score]]=3,"Neutral","Negative"))</f>
        <v>Neutral</v>
      </c>
      <c r="I321" s="3" t="str">
        <f>IF(cf_cl[[#This Row],[satisfaction_score]]&lt;=2,"Low",IF(cf_cl[[#This Row],[satisfaction_score]]=3,"Medium","High"))</f>
        <v>Medium</v>
      </c>
      <c r="J321">
        <f>YEAR(cf_cl[[#This Row],[date_submitted]])</f>
        <v>2023</v>
      </c>
      <c r="K321" s="3" t="str">
        <f>TEXT(cf_cl[[#This Row],[date_submitted]],"mmm")</f>
        <v>Oct</v>
      </c>
      <c r="L321" s="3" t="str">
        <f t="shared" si="12"/>
        <v>Q4</v>
      </c>
      <c r="M321" s="3" t="str">
        <f t="shared" si="13"/>
        <v>Tuesday</v>
      </c>
      <c r="N321" s="3" t="str">
        <f t="shared" si="14"/>
        <v>No</v>
      </c>
      <c r="O321" s="3" t="str">
        <f>IF(COUNTIF($B:$B,B321)=1,"New Customer",
IF(COUNTIF($B:$B,B321)&lt;=3,"Returning Customer","Loyal Customer"))</f>
        <v>Returning Customer</v>
      </c>
      <c r="P321" s="3" t="str">
        <f>IF(cf_cl[[#This Row],[referred_claim]]="Yes","Referred","Not Referred")</f>
        <v>Not Referred</v>
      </c>
    </row>
    <row r="322" spans="1:16" x14ac:dyDescent="0.3">
      <c r="A322" t="s">
        <v>638</v>
      </c>
      <c r="B322" t="s">
        <v>611</v>
      </c>
      <c r="C322" s="1">
        <v>45022</v>
      </c>
      <c r="D322" t="s">
        <v>25</v>
      </c>
      <c r="E322">
        <v>5</v>
      </c>
      <c r="F322" s="3" t="s">
        <v>10</v>
      </c>
      <c r="G322" s="3" t="s">
        <v>13</v>
      </c>
      <c r="H322" s="3" t="str">
        <f>IF(cf_cl[[#This Row],[satisfaction_score]]&gt;=4,"Happy",IF(cf_cl[[#This Row],[satisfaction_score]]=3,"Neutral","Negative"))</f>
        <v>Happy</v>
      </c>
      <c r="I322" s="3" t="str">
        <f>IF(cf_cl[[#This Row],[satisfaction_score]]&lt;=2,"Low",IF(cf_cl[[#This Row],[satisfaction_score]]=3,"Medium","High"))</f>
        <v>High</v>
      </c>
      <c r="J322">
        <f>YEAR(cf_cl[[#This Row],[date_submitted]])</f>
        <v>2023</v>
      </c>
      <c r="K322" s="3" t="str">
        <f>TEXT(cf_cl[[#This Row],[date_submitted]],"mmm")</f>
        <v>Apr</v>
      </c>
      <c r="L322" s="3" t="str">
        <f t="shared" ref="L322:L385" si="15">"Q"&amp;ROUNDUP(MONTH(C322)/3,0)</f>
        <v>Q2</v>
      </c>
      <c r="M322" s="3" t="str">
        <f t="shared" ref="M322:M385" si="16">TEXT(C322,"dddd")</f>
        <v>Thursday</v>
      </c>
      <c r="N322" s="3" t="str">
        <f t="shared" ref="N322:N385" si="17">IF(E322&lt;=2,"Yes","No")</f>
        <v>No</v>
      </c>
      <c r="O322" s="3" t="str">
        <f>IF(COUNTIF($B:$B,B322)=1,"New Customer",
IF(COUNTIF($B:$B,B322)&lt;=3,"Returning Customer","Loyal Customer"))</f>
        <v>Returning Customer</v>
      </c>
      <c r="P322" s="3" t="str">
        <f>IF(cf_cl[[#This Row],[referred_claim]]="Yes","Referred","Not Referred")</f>
        <v>Not Referred</v>
      </c>
    </row>
    <row r="323" spans="1:16" x14ac:dyDescent="0.3">
      <c r="A323" t="s">
        <v>639</v>
      </c>
      <c r="B323" t="s">
        <v>640</v>
      </c>
      <c r="C323" s="1">
        <v>45119</v>
      </c>
      <c r="D323" t="s">
        <v>37</v>
      </c>
      <c r="E323">
        <v>5</v>
      </c>
      <c r="F323" s="3" t="s">
        <v>10</v>
      </c>
      <c r="G323" s="3" t="s">
        <v>10</v>
      </c>
      <c r="H323" s="3" t="str">
        <f>IF(cf_cl[[#This Row],[satisfaction_score]]&gt;=4,"Happy",IF(cf_cl[[#This Row],[satisfaction_score]]=3,"Neutral","Negative"))</f>
        <v>Happy</v>
      </c>
      <c r="I323" s="3" t="str">
        <f>IF(cf_cl[[#This Row],[satisfaction_score]]&lt;=2,"Low",IF(cf_cl[[#This Row],[satisfaction_score]]=3,"Medium","High"))</f>
        <v>High</v>
      </c>
      <c r="J323">
        <f>YEAR(cf_cl[[#This Row],[date_submitted]])</f>
        <v>2023</v>
      </c>
      <c r="K323" s="3" t="str">
        <f>TEXT(cf_cl[[#This Row],[date_submitted]],"mmm")</f>
        <v>Jul</v>
      </c>
      <c r="L323" s="3" t="str">
        <f t="shared" si="15"/>
        <v>Q3</v>
      </c>
      <c r="M323" s="3" t="str">
        <f t="shared" si="16"/>
        <v>Wednesday</v>
      </c>
      <c r="N323" s="3" t="str">
        <f t="shared" si="17"/>
        <v>No</v>
      </c>
      <c r="O323" s="3" t="str">
        <f>IF(COUNTIF($B:$B,B323)=1,"New Customer",
IF(COUNTIF($B:$B,B323)&lt;=3,"Returning Customer","Loyal Customer"))</f>
        <v>Returning Customer</v>
      </c>
      <c r="P323" s="3" t="str">
        <f>IF(cf_cl[[#This Row],[referred_claim]]="Yes","Referred","Not Referred")</f>
        <v>Referred</v>
      </c>
    </row>
    <row r="324" spans="1:16" x14ac:dyDescent="0.3">
      <c r="A324" t="s">
        <v>641</v>
      </c>
      <c r="B324" t="s">
        <v>642</v>
      </c>
      <c r="C324" s="1">
        <v>45011</v>
      </c>
      <c r="D324" t="s">
        <v>83</v>
      </c>
      <c r="E324">
        <v>3</v>
      </c>
      <c r="F324" s="3" t="s">
        <v>10</v>
      </c>
      <c r="G324" s="3" t="s">
        <v>10</v>
      </c>
      <c r="H324" s="3" t="str">
        <f>IF(cf_cl[[#This Row],[satisfaction_score]]&gt;=4,"Happy",IF(cf_cl[[#This Row],[satisfaction_score]]=3,"Neutral","Negative"))</f>
        <v>Neutral</v>
      </c>
      <c r="I324" s="3" t="str">
        <f>IF(cf_cl[[#This Row],[satisfaction_score]]&lt;=2,"Low",IF(cf_cl[[#This Row],[satisfaction_score]]=3,"Medium","High"))</f>
        <v>Medium</v>
      </c>
      <c r="J324">
        <f>YEAR(cf_cl[[#This Row],[date_submitted]])</f>
        <v>2023</v>
      </c>
      <c r="K324" s="3" t="str">
        <f>TEXT(cf_cl[[#This Row],[date_submitted]],"mmm")</f>
        <v>Mar</v>
      </c>
      <c r="L324" s="3" t="str">
        <f t="shared" si="15"/>
        <v>Q1</v>
      </c>
      <c r="M324" s="3" t="str">
        <f t="shared" si="16"/>
        <v>Sunday</v>
      </c>
      <c r="N324" s="3" t="str">
        <f t="shared" si="17"/>
        <v>No</v>
      </c>
      <c r="O324" s="3" t="str">
        <f>IF(COUNTIF($B:$B,B324)=1,"New Customer",
IF(COUNTIF($B:$B,B324)&lt;=3,"Returning Customer","Loyal Customer"))</f>
        <v>New Customer</v>
      </c>
      <c r="P324" s="3" t="str">
        <f>IF(cf_cl[[#This Row],[referred_claim]]="Yes","Referred","Not Referred")</f>
        <v>Referred</v>
      </c>
    </row>
    <row r="325" spans="1:16" x14ac:dyDescent="0.3">
      <c r="A325" t="s">
        <v>643</v>
      </c>
      <c r="B325" t="s">
        <v>644</v>
      </c>
      <c r="C325" s="1">
        <v>43857</v>
      </c>
      <c r="D325" t="s">
        <v>37</v>
      </c>
      <c r="E325">
        <v>3</v>
      </c>
      <c r="F325" s="3" t="s">
        <v>10</v>
      </c>
      <c r="G325" s="3" t="s">
        <v>10</v>
      </c>
      <c r="H325" s="3" t="str">
        <f>IF(cf_cl[[#This Row],[satisfaction_score]]&gt;=4,"Happy",IF(cf_cl[[#This Row],[satisfaction_score]]=3,"Neutral","Negative"))</f>
        <v>Neutral</v>
      </c>
      <c r="I325" s="3" t="str">
        <f>IF(cf_cl[[#This Row],[satisfaction_score]]&lt;=2,"Low",IF(cf_cl[[#This Row],[satisfaction_score]]=3,"Medium","High"))</f>
        <v>Medium</v>
      </c>
      <c r="J325">
        <f>YEAR(cf_cl[[#This Row],[date_submitted]])</f>
        <v>2020</v>
      </c>
      <c r="K325" s="3" t="str">
        <f>TEXT(cf_cl[[#This Row],[date_submitted]],"mmm")</f>
        <v>Jan</v>
      </c>
      <c r="L325" s="3" t="str">
        <f t="shared" si="15"/>
        <v>Q1</v>
      </c>
      <c r="M325" s="3" t="str">
        <f t="shared" si="16"/>
        <v>Monday</v>
      </c>
      <c r="N325" s="3" t="str">
        <f t="shared" si="17"/>
        <v>No</v>
      </c>
      <c r="O325" s="3" t="str">
        <f>IF(COUNTIF($B:$B,B325)=1,"New Customer",
IF(COUNTIF($B:$B,B325)&lt;=3,"Returning Customer","Loyal Customer"))</f>
        <v>New Customer</v>
      </c>
      <c r="P325" s="3" t="str">
        <f>IF(cf_cl[[#This Row],[referred_claim]]="Yes","Referred","Not Referred")</f>
        <v>Referred</v>
      </c>
    </row>
    <row r="326" spans="1:16" x14ac:dyDescent="0.3">
      <c r="A326" t="s">
        <v>645</v>
      </c>
      <c r="B326" t="s">
        <v>646</v>
      </c>
      <c r="C326" s="1">
        <v>44405</v>
      </c>
      <c r="D326" t="s">
        <v>28</v>
      </c>
      <c r="E326">
        <v>4</v>
      </c>
      <c r="F326" s="3" t="s">
        <v>10</v>
      </c>
      <c r="G326" s="3" t="s">
        <v>10</v>
      </c>
      <c r="H326" s="3" t="str">
        <f>IF(cf_cl[[#This Row],[satisfaction_score]]&gt;=4,"Happy",IF(cf_cl[[#This Row],[satisfaction_score]]=3,"Neutral","Negative"))</f>
        <v>Happy</v>
      </c>
      <c r="I326" s="3" t="str">
        <f>IF(cf_cl[[#This Row],[satisfaction_score]]&lt;=2,"Low",IF(cf_cl[[#This Row],[satisfaction_score]]=3,"Medium","High"))</f>
        <v>High</v>
      </c>
      <c r="J326">
        <f>YEAR(cf_cl[[#This Row],[date_submitted]])</f>
        <v>2021</v>
      </c>
      <c r="K326" s="3" t="str">
        <f>TEXT(cf_cl[[#This Row],[date_submitted]],"mmm")</f>
        <v>Jul</v>
      </c>
      <c r="L326" s="3" t="str">
        <f t="shared" si="15"/>
        <v>Q3</v>
      </c>
      <c r="M326" s="3" t="str">
        <f t="shared" si="16"/>
        <v>Wednesday</v>
      </c>
      <c r="N326" s="3" t="str">
        <f t="shared" si="17"/>
        <v>No</v>
      </c>
      <c r="O326" s="3" t="str">
        <f>IF(COUNTIF($B:$B,B326)=1,"New Customer",
IF(COUNTIF($B:$B,B326)&lt;=3,"Returning Customer","Loyal Customer"))</f>
        <v>New Customer</v>
      </c>
      <c r="P326" s="3" t="str">
        <f>IF(cf_cl[[#This Row],[referred_claim]]="Yes","Referred","Not Referred")</f>
        <v>Referred</v>
      </c>
    </row>
    <row r="327" spans="1:16" x14ac:dyDescent="0.3">
      <c r="A327" t="s">
        <v>647</v>
      </c>
      <c r="B327" t="s">
        <v>648</v>
      </c>
      <c r="C327" s="1">
        <v>45223</v>
      </c>
      <c r="D327" t="s">
        <v>22</v>
      </c>
      <c r="E327">
        <v>5</v>
      </c>
      <c r="F327" s="3" t="s">
        <v>10</v>
      </c>
      <c r="G327" s="3" t="s">
        <v>13</v>
      </c>
      <c r="H327" s="3" t="str">
        <f>IF(cf_cl[[#This Row],[satisfaction_score]]&gt;=4,"Happy",IF(cf_cl[[#This Row],[satisfaction_score]]=3,"Neutral","Negative"))</f>
        <v>Happy</v>
      </c>
      <c r="I327" s="3" t="str">
        <f>IF(cf_cl[[#This Row],[satisfaction_score]]&lt;=2,"Low",IF(cf_cl[[#This Row],[satisfaction_score]]=3,"Medium","High"))</f>
        <v>High</v>
      </c>
      <c r="J327">
        <f>YEAR(cf_cl[[#This Row],[date_submitted]])</f>
        <v>2023</v>
      </c>
      <c r="K327" s="3" t="str">
        <f>TEXT(cf_cl[[#This Row],[date_submitted]],"mmm")</f>
        <v>Oct</v>
      </c>
      <c r="L327" s="3" t="str">
        <f t="shared" si="15"/>
        <v>Q4</v>
      </c>
      <c r="M327" s="3" t="str">
        <f t="shared" si="16"/>
        <v>Tuesday</v>
      </c>
      <c r="N327" s="3" t="str">
        <f t="shared" si="17"/>
        <v>No</v>
      </c>
      <c r="O327" s="3" t="str">
        <f>IF(COUNTIF($B:$B,B327)=1,"New Customer",
IF(COUNTIF($B:$B,B327)&lt;=3,"Returning Customer","Loyal Customer"))</f>
        <v>New Customer</v>
      </c>
      <c r="P327" s="3" t="str">
        <f>IF(cf_cl[[#This Row],[referred_claim]]="Yes","Referred","Not Referred")</f>
        <v>Not Referred</v>
      </c>
    </row>
    <row r="328" spans="1:16" x14ac:dyDescent="0.3">
      <c r="A328" t="s">
        <v>649</v>
      </c>
      <c r="B328" t="s">
        <v>650</v>
      </c>
      <c r="C328" s="1">
        <v>44817</v>
      </c>
      <c r="D328" t="s">
        <v>16</v>
      </c>
      <c r="E328">
        <v>5</v>
      </c>
      <c r="F328" s="3" t="s">
        <v>13</v>
      </c>
      <c r="G328" s="3" t="s">
        <v>13</v>
      </c>
      <c r="H328" s="3" t="str">
        <f>IF(cf_cl[[#This Row],[satisfaction_score]]&gt;=4,"Happy",IF(cf_cl[[#This Row],[satisfaction_score]]=3,"Neutral","Negative"))</f>
        <v>Happy</v>
      </c>
      <c r="I328" s="3" t="str">
        <f>IF(cf_cl[[#This Row],[satisfaction_score]]&lt;=2,"Low",IF(cf_cl[[#This Row],[satisfaction_score]]=3,"Medium","High"))</f>
        <v>High</v>
      </c>
      <c r="J328">
        <f>YEAR(cf_cl[[#This Row],[date_submitted]])</f>
        <v>2022</v>
      </c>
      <c r="K328" s="3" t="str">
        <f>TEXT(cf_cl[[#This Row],[date_submitted]],"mmm")</f>
        <v>Sep</v>
      </c>
      <c r="L328" s="3" t="str">
        <f t="shared" si="15"/>
        <v>Q3</v>
      </c>
      <c r="M328" s="3" t="str">
        <f t="shared" si="16"/>
        <v>Tuesday</v>
      </c>
      <c r="N328" s="3" t="str">
        <f t="shared" si="17"/>
        <v>No</v>
      </c>
      <c r="O328" s="3" t="str">
        <f>IF(COUNTIF($B:$B,B328)=1,"New Customer",
IF(COUNTIF($B:$B,B328)&lt;=3,"Returning Customer","Loyal Customer"))</f>
        <v>Returning Customer</v>
      </c>
      <c r="P328" s="3" t="str">
        <f>IF(cf_cl[[#This Row],[referred_claim]]="Yes","Referred","Not Referred")</f>
        <v>Not Referred</v>
      </c>
    </row>
    <row r="329" spans="1:16" x14ac:dyDescent="0.3">
      <c r="A329" t="s">
        <v>651</v>
      </c>
      <c r="B329" t="s">
        <v>652</v>
      </c>
      <c r="C329" s="1">
        <v>45246</v>
      </c>
      <c r="D329" t="s">
        <v>31</v>
      </c>
      <c r="E329">
        <v>2</v>
      </c>
      <c r="F329" s="3" t="s">
        <v>10</v>
      </c>
      <c r="G329" s="3" t="s">
        <v>10</v>
      </c>
      <c r="H329" s="3" t="str">
        <f>IF(cf_cl[[#This Row],[satisfaction_score]]&gt;=4,"Happy",IF(cf_cl[[#This Row],[satisfaction_score]]=3,"Neutral","Negative"))</f>
        <v>Negative</v>
      </c>
      <c r="I329" s="3" t="str">
        <f>IF(cf_cl[[#This Row],[satisfaction_score]]&lt;=2,"Low",IF(cf_cl[[#This Row],[satisfaction_score]]=3,"Medium","High"))</f>
        <v>Low</v>
      </c>
      <c r="J329">
        <f>YEAR(cf_cl[[#This Row],[date_submitted]])</f>
        <v>2023</v>
      </c>
      <c r="K329" s="3" t="str">
        <f>TEXT(cf_cl[[#This Row],[date_submitted]],"mmm")</f>
        <v>Nov</v>
      </c>
      <c r="L329" s="3" t="str">
        <f t="shared" si="15"/>
        <v>Q4</v>
      </c>
      <c r="M329" s="3" t="str">
        <f t="shared" si="16"/>
        <v>Thursday</v>
      </c>
      <c r="N329" s="3" t="str">
        <f t="shared" si="17"/>
        <v>Yes</v>
      </c>
      <c r="O329" s="3" t="str">
        <f>IF(COUNTIF($B:$B,B329)=1,"New Customer",
IF(COUNTIF($B:$B,B329)&lt;=3,"Returning Customer","Loyal Customer"))</f>
        <v>New Customer</v>
      </c>
      <c r="P329" s="3" t="str">
        <f>IF(cf_cl[[#This Row],[referred_claim]]="Yes","Referred","Not Referred")</f>
        <v>Referred</v>
      </c>
    </row>
    <row r="330" spans="1:16" x14ac:dyDescent="0.3">
      <c r="A330" t="s">
        <v>653</v>
      </c>
      <c r="B330" t="s">
        <v>654</v>
      </c>
      <c r="C330" s="1">
        <v>43877</v>
      </c>
      <c r="D330" t="s">
        <v>68</v>
      </c>
      <c r="E330">
        <v>2</v>
      </c>
      <c r="F330" s="3" t="s">
        <v>13</v>
      </c>
      <c r="G330" s="3" t="s">
        <v>13</v>
      </c>
      <c r="H330" s="3" t="str">
        <f>IF(cf_cl[[#This Row],[satisfaction_score]]&gt;=4,"Happy",IF(cf_cl[[#This Row],[satisfaction_score]]=3,"Neutral","Negative"))</f>
        <v>Negative</v>
      </c>
      <c r="I330" s="3" t="str">
        <f>IF(cf_cl[[#This Row],[satisfaction_score]]&lt;=2,"Low",IF(cf_cl[[#This Row],[satisfaction_score]]=3,"Medium","High"))</f>
        <v>Low</v>
      </c>
      <c r="J330">
        <f>YEAR(cf_cl[[#This Row],[date_submitted]])</f>
        <v>2020</v>
      </c>
      <c r="K330" s="3" t="str">
        <f>TEXT(cf_cl[[#This Row],[date_submitted]],"mmm")</f>
        <v>Feb</v>
      </c>
      <c r="L330" s="3" t="str">
        <f t="shared" si="15"/>
        <v>Q1</v>
      </c>
      <c r="M330" s="3" t="str">
        <f t="shared" si="16"/>
        <v>Sunday</v>
      </c>
      <c r="N330" s="3" t="str">
        <f t="shared" si="17"/>
        <v>Yes</v>
      </c>
      <c r="O330" s="3" t="str">
        <f>IF(COUNTIF($B:$B,B330)=1,"New Customer",
IF(COUNTIF($B:$B,B330)&lt;=3,"Returning Customer","Loyal Customer"))</f>
        <v>Returning Customer</v>
      </c>
      <c r="P330" s="3" t="str">
        <f>IF(cf_cl[[#This Row],[referred_claim]]="Yes","Referred","Not Referred")</f>
        <v>Not Referred</v>
      </c>
    </row>
    <row r="331" spans="1:16" x14ac:dyDescent="0.3">
      <c r="A331" t="s">
        <v>655</v>
      </c>
      <c r="B331" t="s">
        <v>656</v>
      </c>
      <c r="C331" s="1">
        <v>44900</v>
      </c>
      <c r="D331" t="s">
        <v>28</v>
      </c>
      <c r="E331">
        <v>5</v>
      </c>
      <c r="F331" s="3" t="s">
        <v>13</v>
      </c>
      <c r="G331" s="3" t="s">
        <v>10</v>
      </c>
      <c r="H331" s="3" t="str">
        <f>IF(cf_cl[[#This Row],[satisfaction_score]]&gt;=4,"Happy",IF(cf_cl[[#This Row],[satisfaction_score]]=3,"Neutral","Negative"))</f>
        <v>Happy</v>
      </c>
      <c r="I331" s="3" t="str">
        <f>IF(cf_cl[[#This Row],[satisfaction_score]]&lt;=2,"Low",IF(cf_cl[[#This Row],[satisfaction_score]]=3,"Medium","High"))</f>
        <v>High</v>
      </c>
      <c r="J331">
        <f>YEAR(cf_cl[[#This Row],[date_submitted]])</f>
        <v>2022</v>
      </c>
      <c r="K331" s="3" t="str">
        <f>TEXT(cf_cl[[#This Row],[date_submitted]],"mmm")</f>
        <v>Dec</v>
      </c>
      <c r="L331" s="3" t="str">
        <f t="shared" si="15"/>
        <v>Q4</v>
      </c>
      <c r="M331" s="3" t="str">
        <f t="shared" si="16"/>
        <v>Monday</v>
      </c>
      <c r="N331" s="3" t="str">
        <f t="shared" si="17"/>
        <v>No</v>
      </c>
      <c r="O331" s="3" t="str">
        <f>IF(COUNTIF($B:$B,B331)=1,"New Customer",
IF(COUNTIF($B:$B,B331)&lt;=3,"Returning Customer","Loyal Customer"))</f>
        <v>New Customer</v>
      </c>
      <c r="P331" s="3" t="str">
        <f>IF(cf_cl[[#This Row],[referred_claim]]="Yes","Referred","Not Referred")</f>
        <v>Referred</v>
      </c>
    </row>
    <row r="332" spans="1:16" x14ac:dyDescent="0.3">
      <c r="A332" t="s">
        <v>657</v>
      </c>
      <c r="B332" t="s">
        <v>658</v>
      </c>
      <c r="C332" s="1">
        <v>44509</v>
      </c>
      <c r="D332" t="s">
        <v>31</v>
      </c>
      <c r="E332">
        <v>3</v>
      </c>
      <c r="F332" s="3" t="s">
        <v>13</v>
      </c>
      <c r="G332" s="3" t="s">
        <v>13</v>
      </c>
      <c r="H332" s="3" t="str">
        <f>IF(cf_cl[[#This Row],[satisfaction_score]]&gt;=4,"Happy",IF(cf_cl[[#This Row],[satisfaction_score]]=3,"Neutral","Negative"))</f>
        <v>Neutral</v>
      </c>
      <c r="I332" s="3" t="str">
        <f>IF(cf_cl[[#This Row],[satisfaction_score]]&lt;=2,"Low",IF(cf_cl[[#This Row],[satisfaction_score]]=3,"Medium","High"))</f>
        <v>Medium</v>
      </c>
      <c r="J332">
        <f>YEAR(cf_cl[[#This Row],[date_submitted]])</f>
        <v>2021</v>
      </c>
      <c r="K332" s="3" t="str">
        <f>TEXT(cf_cl[[#This Row],[date_submitted]],"mmm")</f>
        <v>Nov</v>
      </c>
      <c r="L332" s="3" t="str">
        <f t="shared" si="15"/>
        <v>Q4</v>
      </c>
      <c r="M332" s="3" t="str">
        <f t="shared" si="16"/>
        <v>Tuesday</v>
      </c>
      <c r="N332" s="3" t="str">
        <f t="shared" si="17"/>
        <v>No</v>
      </c>
      <c r="O332" s="3" t="str">
        <f>IF(COUNTIF($B:$B,B332)=1,"New Customer",
IF(COUNTIF($B:$B,B332)&lt;=3,"Returning Customer","Loyal Customer"))</f>
        <v>New Customer</v>
      </c>
      <c r="P332" s="3" t="str">
        <f>IF(cf_cl[[#This Row],[referred_claim]]="Yes","Referred","Not Referred")</f>
        <v>Not Referred</v>
      </c>
    </row>
    <row r="333" spans="1:16" x14ac:dyDescent="0.3">
      <c r="A333" t="s">
        <v>659</v>
      </c>
      <c r="B333" t="s">
        <v>660</v>
      </c>
      <c r="C333" s="1">
        <v>43846</v>
      </c>
      <c r="D333" t="s">
        <v>16</v>
      </c>
      <c r="E333">
        <v>4</v>
      </c>
      <c r="F333" s="3" t="s">
        <v>10</v>
      </c>
      <c r="G333" s="3" t="s">
        <v>10</v>
      </c>
      <c r="H333" s="3" t="str">
        <f>IF(cf_cl[[#This Row],[satisfaction_score]]&gt;=4,"Happy",IF(cf_cl[[#This Row],[satisfaction_score]]=3,"Neutral","Negative"))</f>
        <v>Happy</v>
      </c>
      <c r="I333" s="3" t="str">
        <f>IF(cf_cl[[#This Row],[satisfaction_score]]&lt;=2,"Low",IF(cf_cl[[#This Row],[satisfaction_score]]=3,"Medium","High"))</f>
        <v>High</v>
      </c>
      <c r="J333">
        <f>YEAR(cf_cl[[#This Row],[date_submitted]])</f>
        <v>2020</v>
      </c>
      <c r="K333" s="3" t="str">
        <f>TEXT(cf_cl[[#This Row],[date_submitted]],"mmm")</f>
        <v>Jan</v>
      </c>
      <c r="L333" s="3" t="str">
        <f t="shared" si="15"/>
        <v>Q1</v>
      </c>
      <c r="M333" s="3" t="str">
        <f t="shared" si="16"/>
        <v>Thursday</v>
      </c>
      <c r="N333" s="3" t="str">
        <f t="shared" si="17"/>
        <v>No</v>
      </c>
      <c r="O333" s="3" t="str">
        <f>IF(COUNTIF($B:$B,B333)=1,"New Customer",
IF(COUNTIF($B:$B,B333)&lt;=3,"Returning Customer","Loyal Customer"))</f>
        <v>New Customer</v>
      </c>
      <c r="P333" s="3" t="str">
        <f>IF(cf_cl[[#This Row],[referred_claim]]="Yes","Referred","Not Referred")</f>
        <v>Referred</v>
      </c>
    </row>
    <row r="334" spans="1:16" x14ac:dyDescent="0.3">
      <c r="A334" t="s">
        <v>661</v>
      </c>
      <c r="B334" t="s">
        <v>662</v>
      </c>
      <c r="C334" s="1">
        <v>44136</v>
      </c>
      <c r="D334" t="s">
        <v>37</v>
      </c>
      <c r="E334">
        <v>5</v>
      </c>
      <c r="F334" s="3" t="s">
        <v>10</v>
      </c>
      <c r="G334" s="3" t="s">
        <v>13</v>
      </c>
      <c r="H334" s="3" t="str">
        <f>IF(cf_cl[[#This Row],[satisfaction_score]]&gt;=4,"Happy",IF(cf_cl[[#This Row],[satisfaction_score]]=3,"Neutral","Negative"))</f>
        <v>Happy</v>
      </c>
      <c r="I334" s="3" t="str">
        <f>IF(cf_cl[[#This Row],[satisfaction_score]]&lt;=2,"Low",IF(cf_cl[[#This Row],[satisfaction_score]]=3,"Medium","High"))</f>
        <v>High</v>
      </c>
      <c r="J334">
        <f>YEAR(cf_cl[[#This Row],[date_submitted]])</f>
        <v>2020</v>
      </c>
      <c r="K334" s="3" t="str">
        <f>TEXT(cf_cl[[#This Row],[date_submitted]],"mmm")</f>
        <v>Nov</v>
      </c>
      <c r="L334" s="3" t="str">
        <f t="shared" si="15"/>
        <v>Q4</v>
      </c>
      <c r="M334" s="3" t="str">
        <f t="shared" si="16"/>
        <v>Sunday</v>
      </c>
      <c r="N334" s="3" t="str">
        <f t="shared" si="17"/>
        <v>No</v>
      </c>
      <c r="O334" s="3" t="str">
        <f>IF(COUNTIF($B:$B,B334)=1,"New Customer",
IF(COUNTIF($B:$B,B334)&lt;=3,"Returning Customer","Loyal Customer"))</f>
        <v>New Customer</v>
      </c>
      <c r="P334" s="3" t="str">
        <f>IF(cf_cl[[#This Row],[referred_claim]]="Yes","Referred","Not Referred")</f>
        <v>Not Referred</v>
      </c>
    </row>
    <row r="335" spans="1:16" x14ac:dyDescent="0.3">
      <c r="A335" t="s">
        <v>663</v>
      </c>
      <c r="B335" t="s">
        <v>664</v>
      </c>
      <c r="C335" s="1">
        <v>44758</v>
      </c>
      <c r="D335" t="s">
        <v>9</v>
      </c>
      <c r="E335">
        <v>3</v>
      </c>
      <c r="F335" s="3" t="s">
        <v>10</v>
      </c>
      <c r="G335" s="3" t="s">
        <v>13</v>
      </c>
      <c r="H335" s="3" t="str">
        <f>IF(cf_cl[[#This Row],[satisfaction_score]]&gt;=4,"Happy",IF(cf_cl[[#This Row],[satisfaction_score]]=3,"Neutral","Negative"))</f>
        <v>Neutral</v>
      </c>
      <c r="I335" s="3" t="str">
        <f>IF(cf_cl[[#This Row],[satisfaction_score]]&lt;=2,"Low",IF(cf_cl[[#This Row],[satisfaction_score]]=3,"Medium","High"))</f>
        <v>Medium</v>
      </c>
      <c r="J335">
        <f>YEAR(cf_cl[[#This Row],[date_submitted]])</f>
        <v>2022</v>
      </c>
      <c r="K335" s="3" t="str">
        <f>TEXT(cf_cl[[#This Row],[date_submitted]],"mmm")</f>
        <v>Jul</v>
      </c>
      <c r="L335" s="3" t="str">
        <f t="shared" si="15"/>
        <v>Q3</v>
      </c>
      <c r="M335" s="3" t="str">
        <f t="shared" si="16"/>
        <v>Saturday</v>
      </c>
      <c r="N335" s="3" t="str">
        <f t="shared" si="17"/>
        <v>No</v>
      </c>
      <c r="O335" s="3" t="str">
        <f>IF(COUNTIF($B:$B,B335)=1,"New Customer",
IF(COUNTIF($B:$B,B335)&lt;=3,"Returning Customer","Loyal Customer"))</f>
        <v>New Customer</v>
      </c>
      <c r="P335" s="3" t="str">
        <f>IF(cf_cl[[#This Row],[referred_claim]]="Yes","Referred","Not Referred")</f>
        <v>Not Referred</v>
      </c>
    </row>
    <row r="336" spans="1:16" x14ac:dyDescent="0.3">
      <c r="A336" t="s">
        <v>665</v>
      </c>
      <c r="B336" t="s">
        <v>666</v>
      </c>
      <c r="C336" s="1">
        <v>44225</v>
      </c>
      <c r="D336" t="s">
        <v>68</v>
      </c>
      <c r="E336">
        <v>2</v>
      </c>
      <c r="F336" s="3" t="s">
        <v>10</v>
      </c>
      <c r="G336" s="3" t="s">
        <v>10</v>
      </c>
      <c r="H336" s="3" t="str">
        <f>IF(cf_cl[[#This Row],[satisfaction_score]]&gt;=4,"Happy",IF(cf_cl[[#This Row],[satisfaction_score]]=3,"Neutral","Negative"))</f>
        <v>Negative</v>
      </c>
      <c r="I336" s="3" t="str">
        <f>IF(cf_cl[[#This Row],[satisfaction_score]]&lt;=2,"Low",IF(cf_cl[[#This Row],[satisfaction_score]]=3,"Medium","High"))</f>
        <v>Low</v>
      </c>
      <c r="J336">
        <f>YEAR(cf_cl[[#This Row],[date_submitted]])</f>
        <v>2021</v>
      </c>
      <c r="K336" s="3" t="str">
        <f>TEXT(cf_cl[[#This Row],[date_submitted]],"mmm")</f>
        <v>Jan</v>
      </c>
      <c r="L336" s="3" t="str">
        <f t="shared" si="15"/>
        <v>Q1</v>
      </c>
      <c r="M336" s="3" t="str">
        <f t="shared" si="16"/>
        <v>Friday</v>
      </c>
      <c r="N336" s="3" t="str">
        <f t="shared" si="17"/>
        <v>Yes</v>
      </c>
      <c r="O336" s="3" t="str">
        <f>IF(COUNTIF($B:$B,B336)=1,"New Customer",
IF(COUNTIF($B:$B,B336)&lt;=3,"Returning Customer","Loyal Customer"))</f>
        <v>Returning Customer</v>
      </c>
      <c r="P336" s="3" t="str">
        <f>IF(cf_cl[[#This Row],[referred_claim]]="Yes","Referred","Not Referred")</f>
        <v>Referred</v>
      </c>
    </row>
    <row r="337" spans="1:16" x14ac:dyDescent="0.3">
      <c r="A337" t="s">
        <v>667</v>
      </c>
      <c r="B337" t="s">
        <v>668</v>
      </c>
      <c r="C337" s="1">
        <v>44775</v>
      </c>
      <c r="D337" t="s">
        <v>9</v>
      </c>
      <c r="E337">
        <v>3</v>
      </c>
      <c r="F337" s="3" t="s">
        <v>10</v>
      </c>
      <c r="G337" s="3" t="s">
        <v>13</v>
      </c>
      <c r="H337" s="3" t="str">
        <f>IF(cf_cl[[#This Row],[satisfaction_score]]&gt;=4,"Happy",IF(cf_cl[[#This Row],[satisfaction_score]]=3,"Neutral","Negative"))</f>
        <v>Neutral</v>
      </c>
      <c r="I337" s="3" t="str">
        <f>IF(cf_cl[[#This Row],[satisfaction_score]]&lt;=2,"Low",IF(cf_cl[[#This Row],[satisfaction_score]]=3,"Medium","High"))</f>
        <v>Medium</v>
      </c>
      <c r="J337">
        <f>YEAR(cf_cl[[#This Row],[date_submitted]])</f>
        <v>2022</v>
      </c>
      <c r="K337" s="3" t="str">
        <f>TEXT(cf_cl[[#This Row],[date_submitted]],"mmm")</f>
        <v>Aug</v>
      </c>
      <c r="L337" s="3" t="str">
        <f t="shared" si="15"/>
        <v>Q3</v>
      </c>
      <c r="M337" s="3" t="str">
        <f t="shared" si="16"/>
        <v>Tuesday</v>
      </c>
      <c r="N337" s="3" t="str">
        <f t="shared" si="17"/>
        <v>No</v>
      </c>
      <c r="O337" s="3" t="str">
        <f>IF(COUNTIF($B:$B,B337)=1,"New Customer",
IF(COUNTIF($B:$B,B337)&lt;=3,"Returning Customer","Loyal Customer"))</f>
        <v>Loyal Customer</v>
      </c>
      <c r="P337" s="3" t="str">
        <f>IF(cf_cl[[#This Row],[referred_claim]]="Yes","Referred","Not Referred")</f>
        <v>Not Referred</v>
      </c>
    </row>
    <row r="338" spans="1:16" x14ac:dyDescent="0.3">
      <c r="A338" t="s">
        <v>669</v>
      </c>
      <c r="B338" t="s">
        <v>670</v>
      </c>
      <c r="C338" s="1">
        <v>44927</v>
      </c>
      <c r="D338" t="s">
        <v>19</v>
      </c>
      <c r="E338">
        <v>2</v>
      </c>
      <c r="F338" s="3" t="s">
        <v>13</v>
      </c>
      <c r="G338" s="3" t="s">
        <v>10</v>
      </c>
      <c r="H338" s="3" t="str">
        <f>IF(cf_cl[[#This Row],[satisfaction_score]]&gt;=4,"Happy",IF(cf_cl[[#This Row],[satisfaction_score]]=3,"Neutral","Negative"))</f>
        <v>Negative</v>
      </c>
      <c r="I338" s="3" t="str">
        <f>IF(cf_cl[[#This Row],[satisfaction_score]]&lt;=2,"Low",IF(cf_cl[[#This Row],[satisfaction_score]]=3,"Medium","High"))</f>
        <v>Low</v>
      </c>
      <c r="J338">
        <f>YEAR(cf_cl[[#This Row],[date_submitted]])</f>
        <v>2023</v>
      </c>
      <c r="K338" s="3" t="str">
        <f>TEXT(cf_cl[[#This Row],[date_submitted]],"mmm")</f>
        <v>Jan</v>
      </c>
      <c r="L338" s="3" t="str">
        <f t="shared" si="15"/>
        <v>Q1</v>
      </c>
      <c r="M338" s="3" t="str">
        <f t="shared" si="16"/>
        <v>Sunday</v>
      </c>
      <c r="N338" s="3" t="str">
        <f t="shared" si="17"/>
        <v>Yes</v>
      </c>
      <c r="O338" s="3" t="str">
        <f>IF(COUNTIF($B:$B,B338)=1,"New Customer",
IF(COUNTIF($B:$B,B338)&lt;=3,"Returning Customer","Loyal Customer"))</f>
        <v>Returning Customer</v>
      </c>
      <c r="P338" s="3" t="str">
        <f>IF(cf_cl[[#This Row],[referred_claim]]="Yes","Referred","Not Referred")</f>
        <v>Referred</v>
      </c>
    </row>
    <row r="339" spans="1:16" x14ac:dyDescent="0.3">
      <c r="A339" t="s">
        <v>671</v>
      </c>
      <c r="B339" t="s">
        <v>672</v>
      </c>
      <c r="C339" s="1">
        <v>45073</v>
      </c>
      <c r="D339" t="s">
        <v>19</v>
      </c>
      <c r="E339">
        <v>3</v>
      </c>
      <c r="F339" s="3" t="s">
        <v>13</v>
      </c>
      <c r="G339" s="3" t="s">
        <v>13</v>
      </c>
      <c r="H339" s="3" t="str">
        <f>IF(cf_cl[[#This Row],[satisfaction_score]]&gt;=4,"Happy",IF(cf_cl[[#This Row],[satisfaction_score]]=3,"Neutral","Negative"))</f>
        <v>Neutral</v>
      </c>
      <c r="I339" s="3" t="str">
        <f>IF(cf_cl[[#This Row],[satisfaction_score]]&lt;=2,"Low",IF(cf_cl[[#This Row],[satisfaction_score]]=3,"Medium","High"))</f>
        <v>Medium</v>
      </c>
      <c r="J339">
        <f>YEAR(cf_cl[[#This Row],[date_submitted]])</f>
        <v>2023</v>
      </c>
      <c r="K339" s="3" t="str">
        <f>TEXT(cf_cl[[#This Row],[date_submitted]],"mmm")</f>
        <v>May</v>
      </c>
      <c r="L339" s="3" t="str">
        <f t="shared" si="15"/>
        <v>Q2</v>
      </c>
      <c r="M339" s="3" t="str">
        <f t="shared" si="16"/>
        <v>Saturday</v>
      </c>
      <c r="N339" s="3" t="str">
        <f t="shared" si="17"/>
        <v>No</v>
      </c>
      <c r="O339" s="3" t="str">
        <f>IF(COUNTIF($B:$B,B339)=1,"New Customer",
IF(COUNTIF($B:$B,B339)&lt;=3,"Returning Customer","Loyal Customer"))</f>
        <v>Returning Customer</v>
      </c>
      <c r="P339" s="3" t="str">
        <f>IF(cf_cl[[#This Row],[referred_claim]]="Yes","Referred","Not Referred")</f>
        <v>Not Referred</v>
      </c>
    </row>
    <row r="340" spans="1:16" x14ac:dyDescent="0.3">
      <c r="A340" t="s">
        <v>673</v>
      </c>
      <c r="B340" t="s">
        <v>674</v>
      </c>
      <c r="C340" s="1">
        <v>44914</v>
      </c>
      <c r="D340" t="s">
        <v>83</v>
      </c>
      <c r="E340">
        <v>1</v>
      </c>
      <c r="F340" s="3" t="s">
        <v>13</v>
      </c>
      <c r="G340" s="3" t="s">
        <v>10</v>
      </c>
      <c r="H340" s="3" t="str">
        <f>IF(cf_cl[[#This Row],[satisfaction_score]]&gt;=4,"Happy",IF(cf_cl[[#This Row],[satisfaction_score]]=3,"Neutral","Negative"))</f>
        <v>Negative</v>
      </c>
      <c r="I340" s="3" t="str">
        <f>IF(cf_cl[[#This Row],[satisfaction_score]]&lt;=2,"Low",IF(cf_cl[[#This Row],[satisfaction_score]]=3,"Medium","High"))</f>
        <v>Low</v>
      </c>
      <c r="J340">
        <f>YEAR(cf_cl[[#This Row],[date_submitted]])</f>
        <v>2022</v>
      </c>
      <c r="K340" s="3" t="str">
        <f>TEXT(cf_cl[[#This Row],[date_submitted]],"mmm")</f>
        <v>Dec</v>
      </c>
      <c r="L340" s="3" t="str">
        <f t="shared" si="15"/>
        <v>Q4</v>
      </c>
      <c r="M340" s="3" t="str">
        <f t="shared" si="16"/>
        <v>Monday</v>
      </c>
      <c r="N340" s="3" t="str">
        <f t="shared" si="17"/>
        <v>Yes</v>
      </c>
      <c r="O340" s="3" t="str">
        <f>IF(COUNTIF($B:$B,B340)=1,"New Customer",
IF(COUNTIF($B:$B,B340)&lt;=3,"Returning Customer","Loyal Customer"))</f>
        <v>New Customer</v>
      </c>
      <c r="P340" s="3" t="str">
        <f>IF(cf_cl[[#This Row],[referred_claim]]="Yes","Referred","Not Referred")</f>
        <v>Referred</v>
      </c>
    </row>
    <row r="341" spans="1:16" x14ac:dyDescent="0.3">
      <c r="A341" t="s">
        <v>675</v>
      </c>
      <c r="B341" t="s">
        <v>676</v>
      </c>
      <c r="C341" s="1">
        <v>44054</v>
      </c>
      <c r="D341" t="s">
        <v>83</v>
      </c>
      <c r="E341">
        <v>2</v>
      </c>
      <c r="F341" s="3" t="s">
        <v>10</v>
      </c>
      <c r="G341" s="3" t="s">
        <v>10</v>
      </c>
      <c r="H341" s="3" t="str">
        <f>IF(cf_cl[[#This Row],[satisfaction_score]]&gt;=4,"Happy",IF(cf_cl[[#This Row],[satisfaction_score]]=3,"Neutral","Negative"))</f>
        <v>Negative</v>
      </c>
      <c r="I341" s="3" t="str">
        <f>IF(cf_cl[[#This Row],[satisfaction_score]]&lt;=2,"Low",IF(cf_cl[[#This Row],[satisfaction_score]]=3,"Medium","High"))</f>
        <v>Low</v>
      </c>
      <c r="J341">
        <f>YEAR(cf_cl[[#This Row],[date_submitted]])</f>
        <v>2020</v>
      </c>
      <c r="K341" s="3" t="str">
        <f>TEXT(cf_cl[[#This Row],[date_submitted]],"mmm")</f>
        <v>Aug</v>
      </c>
      <c r="L341" s="3" t="str">
        <f t="shared" si="15"/>
        <v>Q3</v>
      </c>
      <c r="M341" s="3" t="str">
        <f t="shared" si="16"/>
        <v>Tuesday</v>
      </c>
      <c r="N341" s="3" t="str">
        <f t="shared" si="17"/>
        <v>Yes</v>
      </c>
      <c r="O341" s="3" t="str">
        <f>IF(COUNTIF($B:$B,B341)=1,"New Customer",
IF(COUNTIF($B:$B,B341)&lt;=3,"Returning Customer","Loyal Customer"))</f>
        <v>New Customer</v>
      </c>
      <c r="P341" s="3" t="str">
        <f>IF(cf_cl[[#This Row],[referred_claim]]="Yes","Referred","Not Referred")</f>
        <v>Referred</v>
      </c>
    </row>
    <row r="342" spans="1:16" x14ac:dyDescent="0.3">
      <c r="A342" t="s">
        <v>677</v>
      </c>
      <c r="B342" t="s">
        <v>678</v>
      </c>
      <c r="C342" s="1">
        <v>44111</v>
      </c>
      <c r="D342" t="s">
        <v>25</v>
      </c>
      <c r="E342">
        <v>5</v>
      </c>
      <c r="F342" s="3" t="s">
        <v>10</v>
      </c>
      <c r="G342" s="3" t="s">
        <v>13</v>
      </c>
      <c r="H342" s="3" t="str">
        <f>IF(cf_cl[[#This Row],[satisfaction_score]]&gt;=4,"Happy",IF(cf_cl[[#This Row],[satisfaction_score]]=3,"Neutral","Negative"))</f>
        <v>Happy</v>
      </c>
      <c r="I342" s="3" t="str">
        <f>IF(cf_cl[[#This Row],[satisfaction_score]]&lt;=2,"Low",IF(cf_cl[[#This Row],[satisfaction_score]]=3,"Medium","High"))</f>
        <v>High</v>
      </c>
      <c r="J342">
        <f>YEAR(cf_cl[[#This Row],[date_submitted]])</f>
        <v>2020</v>
      </c>
      <c r="K342" s="3" t="str">
        <f>TEXT(cf_cl[[#This Row],[date_submitted]],"mmm")</f>
        <v>Oct</v>
      </c>
      <c r="L342" s="3" t="str">
        <f t="shared" si="15"/>
        <v>Q4</v>
      </c>
      <c r="M342" s="3" t="str">
        <f t="shared" si="16"/>
        <v>Wednesday</v>
      </c>
      <c r="N342" s="3" t="str">
        <f t="shared" si="17"/>
        <v>No</v>
      </c>
      <c r="O342" s="3" t="str">
        <f>IF(COUNTIF($B:$B,B342)=1,"New Customer",
IF(COUNTIF($B:$B,B342)&lt;=3,"Returning Customer","Loyal Customer"))</f>
        <v>New Customer</v>
      </c>
      <c r="P342" s="3" t="str">
        <f>IF(cf_cl[[#This Row],[referred_claim]]="Yes","Referred","Not Referred")</f>
        <v>Not Referred</v>
      </c>
    </row>
    <row r="343" spans="1:16" x14ac:dyDescent="0.3">
      <c r="A343" t="s">
        <v>679</v>
      </c>
      <c r="B343" t="s">
        <v>680</v>
      </c>
      <c r="C343" s="1">
        <v>44506</v>
      </c>
      <c r="D343" t="s">
        <v>19</v>
      </c>
      <c r="E343">
        <v>2</v>
      </c>
      <c r="F343" s="3" t="s">
        <v>13</v>
      </c>
      <c r="G343" s="3" t="s">
        <v>10</v>
      </c>
      <c r="H343" s="3" t="str">
        <f>IF(cf_cl[[#This Row],[satisfaction_score]]&gt;=4,"Happy",IF(cf_cl[[#This Row],[satisfaction_score]]=3,"Neutral","Negative"))</f>
        <v>Negative</v>
      </c>
      <c r="I343" s="3" t="str">
        <f>IF(cf_cl[[#This Row],[satisfaction_score]]&lt;=2,"Low",IF(cf_cl[[#This Row],[satisfaction_score]]=3,"Medium","High"))</f>
        <v>Low</v>
      </c>
      <c r="J343">
        <f>YEAR(cf_cl[[#This Row],[date_submitted]])</f>
        <v>2021</v>
      </c>
      <c r="K343" s="3" t="str">
        <f>TEXT(cf_cl[[#This Row],[date_submitted]],"mmm")</f>
        <v>Nov</v>
      </c>
      <c r="L343" s="3" t="str">
        <f t="shared" si="15"/>
        <v>Q4</v>
      </c>
      <c r="M343" s="3" t="str">
        <f t="shared" si="16"/>
        <v>Saturday</v>
      </c>
      <c r="N343" s="3" t="str">
        <f t="shared" si="17"/>
        <v>Yes</v>
      </c>
      <c r="O343" s="3" t="str">
        <f>IF(COUNTIF($B:$B,B343)=1,"New Customer",
IF(COUNTIF($B:$B,B343)&lt;=3,"Returning Customer","Loyal Customer"))</f>
        <v>New Customer</v>
      </c>
      <c r="P343" s="3" t="str">
        <f>IF(cf_cl[[#This Row],[referred_claim]]="Yes","Referred","Not Referred")</f>
        <v>Referred</v>
      </c>
    </row>
    <row r="344" spans="1:16" x14ac:dyDescent="0.3">
      <c r="A344" t="s">
        <v>681</v>
      </c>
      <c r="B344" t="s">
        <v>254</v>
      </c>
      <c r="C344" s="1">
        <v>44138</v>
      </c>
      <c r="D344" t="s">
        <v>68</v>
      </c>
      <c r="E344">
        <v>1</v>
      </c>
      <c r="F344" s="3" t="s">
        <v>13</v>
      </c>
      <c r="G344" s="3" t="s">
        <v>13</v>
      </c>
      <c r="H344" s="3" t="str">
        <f>IF(cf_cl[[#This Row],[satisfaction_score]]&gt;=4,"Happy",IF(cf_cl[[#This Row],[satisfaction_score]]=3,"Neutral","Negative"))</f>
        <v>Negative</v>
      </c>
      <c r="I344" s="3" t="str">
        <f>IF(cf_cl[[#This Row],[satisfaction_score]]&lt;=2,"Low",IF(cf_cl[[#This Row],[satisfaction_score]]=3,"Medium","High"))</f>
        <v>Low</v>
      </c>
      <c r="J344">
        <f>YEAR(cf_cl[[#This Row],[date_submitted]])</f>
        <v>2020</v>
      </c>
      <c r="K344" s="3" t="str">
        <f>TEXT(cf_cl[[#This Row],[date_submitted]],"mmm")</f>
        <v>Nov</v>
      </c>
      <c r="L344" s="3" t="str">
        <f t="shared" si="15"/>
        <v>Q4</v>
      </c>
      <c r="M344" s="3" t="str">
        <f t="shared" si="16"/>
        <v>Tuesday</v>
      </c>
      <c r="N344" s="3" t="str">
        <f t="shared" si="17"/>
        <v>Yes</v>
      </c>
      <c r="O344" s="3" t="str">
        <f>IF(COUNTIF($B:$B,B344)=1,"New Customer",
IF(COUNTIF($B:$B,B344)&lt;=3,"Returning Customer","Loyal Customer"))</f>
        <v>Returning Customer</v>
      </c>
      <c r="P344" s="3" t="str">
        <f>IF(cf_cl[[#This Row],[referred_claim]]="Yes","Referred","Not Referred")</f>
        <v>Not Referred</v>
      </c>
    </row>
    <row r="345" spans="1:16" x14ac:dyDescent="0.3">
      <c r="A345" t="s">
        <v>682</v>
      </c>
      <c r="B345" t="s">
        <v>683</v>
      </c>
      <c r="C345" s="1">
        <v>44176</v>
      </c>
      <c r="D345" t="s">
        <v>25</v>
      </c>
      <c r="E345">
        <v>4</v>
      </c>
      <c r="F345" s="3" t="s">
        <v>10</v>
      </c>
      <c r="G345" s="3" t="s">
        <v>10</v>
      </c>
      <c r="H345" s="3" t="str">
        <f>IF(cf_cl[[#This Row],[satisfaction_score]]&gt;=4,"Happy",IF(cf_cl[[#This Row],[satisfaction_score]]=3,"Neutral","Negative"))</f>
        <v>Happy</v>
      </c>
      <c r="I345" s="3" t="str">
        <f>IF(cf_cl[[#This Row],[satisfaction_score]]&lt;=2,"Low",IF(cf_cl[[#This Row],[satisfaction_score]]=3,"Medium","High"))</f>
        <v>High</v>
      </c>
      <c r="J345">
        <f>YEAR(cf_cl[[#This Row],[date_submitted]])</f>
        <v>2020</v>
      </c>
      <c r="K345" s="3" t="str">
        <f>TEXT(cf_cl[[#This Row],[date_submitted]],"mmm")</f>
        <v>Dec</v>
      </c>
      <c r="L345" s="3" t="str">
        <f t="shared" si="15"/>
        <v>Q4</v>
      </c>
      <c r="M345" s="3" t="str">
        <f t="shared" si="16"/>
        <v>Friday</v>
      </c>
      <c r="N345" s="3" t="str">
        <f t="shared" si="17"/>
        <v>No</v>
      </c>
      <c r="O345" s="3" t="str">
        <f>IF(COUNTIF($B:$B,B345)=1,"New Customer",
IF(COUNTIF($B:$B,B345)&lt;=3,"Returning Customer","Loyal Customer"))</f>
        <v>New Customer</v>
      </c>
      <c r="P345" s="3" t="str">
        <f>IF(cf_cl[[#This Row],[referred_claim]]="Yes","Referred","Not Referred")</f>
        <v>Referred</v>
      </c>
    </row>
    <row r="346" spans="1:16" x14ac:dyDescent="0.3">
      <c r="A346" t="s">
        <v>684</v>
      </c>
      <c r="B346" t="s">
        <v>685</v>
      </c>
      <c r="C346" s="1">
        <v>44925</v>
      </c>
      <c r="D346" t="s">
        <v>9</v>
      </c>
      <c r="E346">
        <v>2</v>
      </c>
      <c r="F346" s="3" t="s">
        <v>10</v>
      </c>
      <c r="G346" s="3" t="s">
        <v>10</v>
      </c>
      <c r="H346" s="3" t="str">
        <f>IF(cf_cl[[#This Row],[satisfaction_score]]&gt;=4,"Happy",IF(cf_cl[[#This Row],[satisfaction_score]]=3,"Neutral","Negative"))</f>
        <v>Negative</v>
      </c>
      <c r="I346" s="3" t="str">
        <f>IF(cf_cl[[#This Row],[satisfaction_score]]&lt;=2,"Low",IF(cf_cl[[#This Row],[satisfaction_score]]=3,"Medium","High"))</f>
        <v>Low</v>
      </c>
      <c r="J346">
        <f>YEAR(cf_cl[[#This Row],[date_submitted]])</f>
        <v>2022</v>
      </c>
      <c r="K346" s="3" t="str">
        <f>TEXT(cf_cl[[#This Row],[date_submitted]],"mmm")</f>
        <v>Dec</v>
      </c>
      <c r="L346" s="3" t="str">
        <f t="shared" si="15"/>
        <v>Q4</v>
      </c>
      <c r="M346" s="3" t="str">
        <f t="shared" si="16"/>
        <v>Friday</v>
      </c>
      <c r="N346" s="3" t="str">
        <f t="shared" si="17"/>
        <v>Yes</v>
      </c>
      <c r="O346" s="3" t="str">
        <f>IF(COUNTIF($B:$B,B346)=1,"New Customer",
IF(COUNTIF($B:$B,B346)&lt;=3,"Returning Customer","Loyal Customer"))</f>
        <v>Returning Customer</v>
      </c>
      <c r="P346" s="3" t="str">
        <f>IF(cf_cl[[#This Row],[referred_claim]]="Yes","Referred","Not Referred")</f>
        <v>Referred</v>
      </c>
    </row>
    <row r="347" spans="1:16" x14ac:dyDescent="0.3">
      <c r="A347" t="s">
        <v>686</v>
      </c>
      <c r="B347" t="s">
        <v>687</v>
      </c>
      <c r="C347" s="1">
        <v>43852</v>
      </c>
      <c r="D347" t="s">
        <v>28</v>
      </c>
      <c r="E347">
        <v>5</v>
      </c>
      <c r="F347" s="3" t="s">
        <v>13</v>
      </c>
      <c r="G347" s="3" t="s">
        <v>13</v>
      </c>
      <c r="H347" s="3" t="str">
        <f>IF(cf_cl[[#This Row],[satisfaction_score]]&gt;=4,"Happy",IF(cf_cl[[#This Row],[satisfaction_score]]=3,"Neutral","Negative"))</f>
        <v>Happy</v>
      </c>
      <c r="I347" s="3" t="str">
        <f>IF(cf_cl[[#This Row],[satisfaction_score]]&lt;=2,"Low",IF(cf_cl[[#This Row],[satisfaction_score]]=3,"Medium","High"))</f>
        <v>High</v>
      </c>
      <c r="J347">
        <f>YEAR(cf_cl[[#This Row],[date_submitted]])</f>
        <v>2020</v>
      </c>
      <c r="K347" s="3" t="str">
        <f>TEXT(cf_cl[[#This Row],[date_submitted]],"mmm")</f>
        <v>Jan</v>
      </c>
      <c r="L347" s="3" t="str">
        <f t="shared" si="15"/>
        <v>Q1</v>
      </c>
      <c r="M347" s="3" t="str">
        <f t="shared" si="16"/>
        <v>Wednesday</v>
      </c>
      <c r="N347" s="3" t="str">
        <f t="shared" si="17"/>
        <v>No</v>
      </c>
      <c r="O347" s="3" t="str">
        <f>IF(COUNTIF($B:$B,B347)=1,"New Customer",
IF(COUNTIF($B:$B,B347)&lt;=3,"Returning Customer","Loyal Customer"))</f>
        <v>Returning Customer</v>
      </c>
      <c r="P347" s="3" t="str">
        <f>IF(cf_cl[[#This Row],[referred_claim]]="Yes","Referred","Not Referred")</f>
        <v>Not Referred</v>
      </c>
    </row>
    <row r="348" spans="1:16" x14ac:dyDescent="0.3">
      <c r="A348" t="s">
        <v>688</v>
      </c>
      <c r="B348" t="s">
        <v>689</v>
      </c>
      <c r="C348" s="1">
        <v>44978</v>
      </c>
      <c r="D348" t="s">
        <v>68</v>
      </c>
      <c r="E348">
        <v>1</v>
      </c>
      <c r="F348" s="3" t="s">
        <v>13</v>
      </c>
      <c r="G348" s="3" t="s">
        <v>13</v>
      </c>
      <c r="H348" s="3" t="str">
        <f>IF(cf_cl[[#This Row],[satisfaction_score]]&gt;=4,"Happy",IF(cf_cl[[#This Row],[satisfaction_score]]=3,"Neutral","Negative"))</f>
        <v>Negative</v>
      </c>
      <c r="I348" s="3" t="str">
        <f>IF(cf_cl[[#This Row],[satisfaction_score]]&lt;=2,"Low",IF(cf_cl[[#This Row],[satisfaction_score]]=3,"Medium","High"))</f>
        <v>Low</v>
      </c>
      <c r="J348">
        <f>YEAR(cf_cl[[#This Row],[date_submitted]])</f>
        <v>2023</v>
      </c>
      <c r="K348" s="3" t="str">
        <f>TEXT(cf_cl[[#This Row],[date_submitted]],"mmm")</f>
        <v>Feb</v>
      </c>
      <c r="L348" s="3" t="str">
        <f t="shared" si="15"/>
        <v>Q1</v>
      </c>
      <c r="M348" s="3" t="str">
        <f t="shared" si="16"/>
        <v>Tuesday</v>
      </c>
      <c r="N348" s="3" t="str">
        <f t="shared" si="17"/>
        <v>Yes</v>
      </c>
      <c r="O348" s="3" t="str">
        <f>IF(COUNTIF($B:$B,B348)=1,"New Customer",
IF(COUNTIF($B:$B,B348)&lt;=3,"Returning Customer","Loyal Customer"))</f>
        <v>New Customer</v>
      </c>
      <c r="P348" s="3" t="str">
        <f>IF(cf_cl[[#This Row],[referred_claim]]="Yes","Referred","Not Referred")</f>
        <v>Not Referred</v>
      </c>
    </row>
    <row r="349" spans="1:16" x14ac:dyDescent="0.3">
      <c r="A349" t="s">
        <v>690</v>
      </c>
      <c r="B349" t="s">
        <v>691</v>
      </c>
      <c r="C349" s="1">
        <v>44729</v>
      </c>
      <c r="D349" t="s">
        <v>31</v>
      </c>
      <c r="E349">
        <v>1</v>
      </c>
      <c r="F349" s="3" t="s">
        <v>10</v>
      </c>
      <c r="G349" s="3" t="s">
        <v>10</v>
      </c>
      <c r="H349" s="3" t="str">
        <f>IF(cf_cl[[#This Row],[satisfaction_score]]&gt;=4,"Happy",IF(cf_cl[[#This Row],[satisfaction_score]]=3,"Neutral","Negative"))</f>
        <v>Negative</v>
      </c>
      <c r="I349" s="3" t="str">
        <f>IF(cf_cl[[#This Row],[satisfaction_score]]&lt;=2,"Low",IF(cf_cl[[#This Row],[satisfaction_score]]=3,"Medium","High"))</f>
        <v>Low</v>
      </c>
      <c r="J349">
        <f>YEAR(cf_cl[[#This Row],[date_submitted]])</f>
        <v>2022</v>
      </c>
      <c r="K349" s="3" t="str">
        <f>TEXT(cf_cl[[#This Row],[date_submitted]],"mmm")</f>
        <v>Jun</v>
      </c>
      <c r="L349" s="3" t="str">
        <f t="shared" si="15"/>
        <v>Q2</v>
      </c>
      <c r="M349" s="3" t="str">
        <f t="shared" si="16"/>
        <v>Friday</v>
      </c>
      <c r="N349" s="3" t="str">
        <f t="shared" si="17"/>
        <v>Yes</v>
      </c>
      <c r="O349" s="3" t="str">
        <f>IF(COUNTIF($B:$B,B349)=1,"New Customer",
IF(COUNTIF($B:$B,B349)&lt;=3,"Returning Customer","Loyal Customer"))</f>
        <v>Returning Customer</v>
      </c>
      <c r="P349" s="3" t="str">
        <f>IF(cf_cl[[#This Row],[referred_claim]]="Yes","Referred","Not Referred")</f>
        <v>Referred</v>
      </c>
    </row>
    <row r="350" spans="1:16" x14ac:dyDescent="0.3">
      <c r="A350" t="s">
        <v>692</v>
      </c>
      <c r="B350" t="s">
        <v>693</v>
      </c>
      <c r="C350" s="1">
        <v>45241</v>
      </c>
      <c r="D350" t="s">
        <v>25</v>
      </c>
      <c r="E350">
        <v>4</v>
      </c>
      <c r="F350" s="3" t="s">
        <v>10</v>
      </c>
      <c r="G350" s="3" t="s">
        <v>10</v>
      </c>
      <c r="H350" s="3" t="str">
        <f>IF(cf_cl[[#This Row],[satisfaction_score]]&gt;=4,"Happy",IF(cf_cl[[#This Row],[satisfaction_score]]=3,"Neutral","Negative"))</f>
        <v>Happy</v>
      </c>
      <c r="I350" s="3" t="str">
        <f>IF(cf_cl[[#This Row],[satisfaction_score]]&lt;=2,"Low",IF(cf_cl[[#This Row],[satisfaction_score]]=3,"Medium","High"))</f>
        <v>High</v>
      </c>
      <c r="J350">
        <f>YEAR(cf_cl[[#This Row],[date_submitted]])</f>
        <v>2023</v>
      </c>
      <c r="K350" s="3" t="str">
        <f>TEXT(cf_cl[[#This Row],[date_submitted]],"mmm")</f>
        <v>Nov</v>
      </c>
      <c r="L350" s="3" t="str">
        <f t="shared" si="15"/>
        <v>Q4</v>
      </c>
      <c r="M350" s="3" t="str">
        <f t="shared" si="16"/>
        <v>Saturday</v>
      </c>
      <c r="N350" s="3" t="str">
        <f t="shared" si="17"/>
        <v>No</v>
      </c>
      <c r="O350" s="3" t="str">
        <f>IF(COUNTIF($B:$B,B350)=1,"New Customer",
IF(COUNTIF($B:$B,B350)&lt;=3,"Returning Customer","Loyal Customer"))</f>
        <v>New Customer</v>
      </c>
      <c r="P350" s="3" t="str">
        <f>IF(cf_cl[[#This Row],[referred_claim]]="Yes","Referred","Not Referred")</f>
        <v>Referred</v>
      </c>
    </row>
    <row r="351" spans="1:16" x14ac:dyDescent="0.3">
      <c r="A351" t="s">
        <v>694</v>
      </c>
      <c r="B351" t="s">
        <v>695</v>
      </c>
      <c r="C351" s="1">
        <v>45226</v>
      </c>
      <c r="D351" t="s">
        <v>16</v>
      </c>
      <c r="E351">
        <v>5</v>
      </c>
      <c r="F351" s="3" t="s">
        <v>10</v>
      </c>
      <c r="G351" s="3" t="s">
        <v>10</v>
      </c>
      <c r="H351" s="3" t="str">
        <f>IF(cf_cl[[#This Row],[satisfaction_score]]&gt;=4,"Happy",IF(cf_cl[[#This Row],[satisfaction_score]]=3,"Neutral","Negative"))</f>
        <v>Happy</v>
      </c>
      <c r="I351" s="3" t="str">
        <f>IF(cf_cl[[#This Row],[satisfaction_score]]&lt;=2,"Low",IF(cf_cl[[#This Row],[satisfaction_score]]=3,"Medium","High"))</f>
        <v>High</v>
      </c>
      <c r="J351">
        <f>YEAR(cf_cl[[#This Row],[date_submitted]])</f>
        <v>2023</v>
      </c>
      <c r="K351" s="3" t="str">
        <f>TEXT(cf_cl[[#This Row],[date_submitted]],"mmm")</f>
        <v>Oct</v>
      </c>
      <c r="L351" s="3" t="str">
        <f t="shared" si="15"/>
        <v>Q4</v>
      </c>
      <c r="M351" s="3" t="str">
        <f t="shared" si="16"/>
        <v>Friday</v>
      </c>
      <c r="N351" s="3" t="str">
        <f t="shared" si="17"/>
        <v>No</v>
      </c>
      <c r="O351" s="3" t="str">
        <f>IF(COUNTIF($B:$B,B351)=1,"New Customer",
IF(COUNTIF($B:$B,B351)&lt;=3,"Returning Customer","Loyal Customer"))</f>
        <v>New Customer</v>
      </c>
      <c r="P351" s="3" t="str">
        <f>IF(cf_cl[[#This Row],[referred_claim]]="Yes","Referred","Not Referred")</f>
        <v>Referred</v>
      </c>
    </row>
    <row r="352" spans="1:16" x14ac:dyDescent="0.3">
      <c r="A352" t="s">
        <v>696</v>
      </c>
      <c r="B352" t="s">
        <v>697</v>
      </c>
      <c r="C352" s="1">
        <v>44037</v>
      </c>
      <c r="D352" t="s">
        <v>25</v>
      </c>
      <c r="E352">
        <v>5</v>
      </c>
      <c r="F352" s="3" t="s">
        <v>10</v>
      </c>
      <c r="G352" s="3" t="s">
        <v>13</v>
      </c>
      <c r="H352" s="3" t="str">
        <f>IF(cf_cl[[#This Row],[satisfaction_score]]&gt;=4,"Happy",IF(cf_cl[[#This Row],[satisfaction_score]]=3,"Neutral","Negative"))</f>
        <v>Happy</v>
      </c>
      <c r="I352" s="3" t="str">
        <f>IF(cf_cl[[#This Row],[satisfaction_score]]&lt;=2,"Low",IF(cf_cl[[#This Row],[satisfaction_score]]=3,"Medium","High"))</f>
        <v>High</v>
      </c>
      <c r="J352">
        <f>YEAR(cf_cl[[#This Row],[date_submitted]])</f>
        <v>2020</v>
      </c>
      <c r="K352" s="3" t="str">
        <f>TEXT(cf_cl[[#This Row],[date_submitted]],"mmm")</f>
        <v>Jul</v>
      </c>
      <c r="L352" s="3" t="str">
        <f t="shared" si="15"/>
        <v>Q3</v>
      </c>
      <c r="M352" s="3" t="str">
        <f t="shared" si="16"/>
        <v>Saturday</v>
      </c>
      <c r="N352" s="3" t="str">
        <f t="shared" si="17"/>
        <v>No</v>
      </c>
      <c r="O352" s="3" t="str">
        <f>IF(COUNTIF($B:$B,B352)=1,"New Customer",
IF(COUNTIF($B:$B,B352)&lt;=3,"Returning Customer","Loyal Customer"))</f>
        <v>New Customer</v>
      </c>
      <c r="P352" s="3" t="str">
        <f>IF(cf_cl[[#This Row],[referred_claim]]="Yes","Referred","Not Referred")</f>
        <v>Not Referred</v>
      </c>
    </row>
    <row r="353" spans="1:16" x14ac:dyDescent="0.3">
      <c r="A353" t="s">
        <v>698</v>
      </c>
      <c r="B353" t="s">
        <v>685</v>
      </c>
      <c r="C353" s="1">
        <v>44826</v>
      </c>
      <c r="D353" t="s">
        <v>31</v>
      </c>
      <c r="E353">
        <v>3</v>
      </c>
      <c r="F353" s="3" t="s">
        <v>10</v>
      </c>
      <c r="G353" s="3" t="s">
        <v>13</v>
      </c>
      <c r="H353" s="3" t="str">
        <f>IF(cf_cl[[#This Row],[satisfaction_score]]&gt;=4,"Happy",IF(cf_cl[[#This Row],[satisfaction_score]]=3,"Neutral","Negative"))</f>
        <v>Neutral</v>
      </c>
      <c r="I353" s="3" t="str">
        <f>IF(cf_cl[[#This Row],[satisfaction_score]]&lt;=2,"Low",IF(cf_cl[[#This Row],[satisfaction_score]]=3,"Medium","High"))</f>
        <v>Medium</v>
      </c>
      <c r="J353">
        <f>YEAR(cf_cl[[#This Row],[date_submitted]])</f>
        <v>2022</v>
      </c>
      <c r="K353" s="3" t="str">
        <f>TEXT(cf_cl[[#This Row],[date_submitted]],"mmm")</f>
        <v>Sep</v>
      </c>
      <c r="L353" s="3" t="str">
        <f t="shared" si="15"/>
        <v>Q3</v>
      </c>
      <c r="M353" s="3" t="str">
        <f t="shared" si="16"/>
        <v>Thursday</v>
      </c>
      <c r="N353" s="3" t="str">
        <f t="shared" si="17"/>
        <v>No</v>
      </c>
      <c r="O353" s="3" t="str">
        <f>IF(COUNTIF($B:$B,B353)=1,"New Customer",
IF(COUNTIF($B:$B,B353)&lt;=3,"Returning Customer","Loyal Customer"))</f>
        <v>Returning Customer</v>
      </c>
      <c r="P353" s="3" t="str">
        <f>IF(cf_cl[[#This Row],[referred_claim]]="Yes","Referred","Not Referred")</f>
        <v>Not Referred</v>
      </c>
    </row>
    <row r="354" spans="1:16" x14ac:dyDescent="0.3">
      <c r="A354" t="s">
        <v>699</v>
      </c>
      <c r="B354" t="s">
        <v>700</v>
      </c>
      <c r="C354" s="1">
        <v>44665</v>
      </c>
      <c r="D354" t="s">
        <v>22</v>
      </c>
      <c r="E354">
        <v>4</v>
      </c>
      <c r="F354" s="3" t="s">
        <v>13</v>
      </c>
      <c r="G354" s="3" t="s">
        <v>10</v>
      </c>
      <c r="H354" s="3" t="str">
        <f>IF(cf_cl[[#This Row],[satisfaction_score]]&gt;=4,"Happy",IF(cf_cl[[#This Row],[satisfaction_score]]=3,"Neutral","Negative"))</f>
        <v>Happy</v>
      </c>
      <c r="I354" s="3" t="str">
        <f>IF(cf_cl[[#This Row],[satisfaction_score]]&lt;=2,"Low",IF(cf_cl[[#This Row],[satisfaction_score]]=3,"Medium","High"))</f>
        <v>High</v>
      </c>
      <c r="J354">
        <f>YEAR(cf_cl[[#This Row],[date_submitted]])</f>
        <v>2022</v>
      </c>
      <c r="K354" s="3" t="str">
        <f>TEXT(cf_cl[[#This Row],[date_submitted]],"mmm")</f>
        <v>Apr</v>
      </c>
      <c r="L354" s="3" t="str">
        <f t="shared" si="15"/>
        <v>Q2</v>
      </c>
      <c r="M354" s="3" t="str">
        <f t="shared" si="16"/>
        <v>Thursday</v>
      </c>
      <c r="N354" s="3" t="str">
        <f t="shared" si="17"/>
        <v>No</v>
      </c>
      <c r="O354" s="3" t="str">
        <f>IF(COUNTIF($B:$B,B354)=1,"New Customer",
IF(COUNTIF($B:$B,B354)&lt;=3,"Returning Customer","Loyal Customer"))</f>
        <v>New Customer</v>
      </c>
      <c r="P354" s="3" t="str">
        <f>IF(cf_cl[[#This Row],[referred_claim]]="Yes","Referred","Not Referred")</f>
        <v>Referred</v>
      </c>
    </row>
    <row r="355" spans="1:16" x14ac:dyDescent="0.3">
      <c r="A355" t="s">
        <v>701</v>
      </c>
      <c r="B355" t="s">
        <v>702</v>
      </c>
      <c r="C355" s="1">
        <v>44032</v>
      </c>
      <c r="D355" t="s">
        <v>28</v>
      </c>
      <c r="E355">
        <v>5</v>
      </c>
      <c r="F355" s="3" t="s">
        <v>13</v>
      </c>
      <c r="G355" s="3" t="s">
        <v>10</v>
      </c>
      <c r="H355" s="3" t="str">
        <f>IF(cf_cl[[#This Row],[satisfaction_score]]&gt;=4,"Happy",IF(cf_cl[[#This Row],[satisfaction_score]]=3,"Neutral","Negative"))</f>
        <v>Happy</v>
      </c>
      <c r="I355" s="3" t="str">
        <f>IF(cf_cl[[#This Row],[satisfaction_score]]&lt;=2,"Low",IF(cf_cl[[#This Row],[satisfaction_score]]=3,"Medium","High"))</f>
        <v>High</v>
      </c>
      <c r="J355">
        <f>YEAR(cf_cl[[#This Row],[date_submitted]])</f>
        <v>2020</v>
      </c>
      <c r="K355" s="3" t="str">
        <f>TEXT(cf_cl[[#This Row],[date_submitted]],"mmm")</f>
        <v>Jul</v>
      </c>
      <c r="L355" s="3" t="str">
        <f t="shared" si="15"/>
        <v>Q3</v>
      </c>
      <c r="M355" s="3" t="str">
        <f t="shared" si="16"/>
        <v>Monday</v>
      </c>
      <c r="N355" s="3" t="str">
        <f t="shared" si="17"/>
        <v>No</v>
      </c>
      <c r="O355" s="3" t="str">
        <f>IF(COUNTIF($B:$B,B355)=1,"New Customer",
IF(COUNTIF($B:$B,B355)&lt;=3,"Returning Customer","Loyal Customer"))</f>
        <v>New Customer</v>
      </c>
      <c r="P355" s="3" t="str">
        <f>IF(cf_cl[[#This Row],[referred_claim]]="Yes","Referred","Not Referred")</f>
        <v>Referred</v>
      </c>
    </row>
    <row r="356" spans="1:16" x14ac:dyDescent="0.3">
      <c r="A356" t="s">
        <v>703</v>
      </c>
      <c r="B356" t="s">
        <v>704</v>
      </c>
      <c r="C356" s="1">
        <v>44203</v>
      </c>
      <c r="D356" t="s">
        <v>22</v>
      </c>
      <c r="E356">
        <v>4</v>
      </c>
      <c r="F356" s="3" t="s">
        <v>10</v>
      </c>
      <c r="G356" s="3" t="s">
        <v>13</v>
      </c>
      <c r="H356" s="3" t="str">
        <f>IF(cf_cl[[#This Row],[satisfaction_score]]&gt;=4,"Happy",IF(cf_cl[[#This Row],[satisfaction_score]]=3,"Neutral","Negative"))</f>
        <v>Happy</v>
      </c>
      <c r="I356" s="3" t="str">
        <f>IF(cf_cl[[#This Row],[satisfaction_score]]&lt;=2,"Low",IF(cf_cl[[#This Row],[satisfaction_score]]=3,"Medium","High"))</f>
        <v>High</v>
      </c>
      <c r="J356">
        <f>YEAR(cf_cl[[#This Row],[date_submitted]])</f>
        <v>2021</v>
      </c>
      <c r="K356" s="3" t="str">
        <f>TEXT(cf_cl[[#This Row],[date_submitted]],"mmm")</f>
        <v>Jan</v>
      </c>
      <c r="L356" s="3" t="str">
        <f t="shared" si="15"/>
        <v>Q1</v>
      </c>
      <c r="M356" s="3" t="str">
        <f t="shared" si="16"/>
        <v>Thursday</v>
      </c>
      <c r="N356" s="3" t="str">
        <f t="shared" si="17"/>
        <v>No</v>
      </c>
      <c r="O356" s="3" t="str">
        <f>IF(COUNTIF($B:$B,B356)=1,"New Customer",
IF(COUNTIF($B:$B,B356)&lt;=3,"Returning Customer","Loyal Customer"))</f>
        <v>New Customer</v>
      </c>
      <c r="P356" s="3" t="str">
        <f>IF(cf_cl[[#This Row],[referred_claim]]="Yes","Referred","Not Referred")</f>
        <v>Not Referred</v>
      </c>
    </row>
    <row r="357" spans="1:16" x14ac:dyDescent="0.3">
      <c r="A357" t="s">
        <v>705</v>
      </c>
      <c r="B357" t="s">
        <v>706</v>
      </c>
      <c r="C357" s="1">
        <v>45204</v>
      </c>
      <c r="D357" t="s">
        <v>22</v>
      </c>
      <c r="E357">
        <v>4</v>
      </c>
      <c r="F357" s="3" t="s">
        <v>10</v>
      </c>
      <c r="G357" s="3" t="s">
        <v>13</v>
      </c>
      <c r="H357" s="3" t="str">
        <f>IF(cf_cl[[#This Row],[satisfaction_score]]&gt;=4,"Happy",IF(cf_cl[[#This Row],[satisfaction_score]]=3,"Neutral","Negative"))</f>
        <v>Happy</v>
      </c>
      <c r="I357" s="3" t="str">
        <f>IF(cf_cl[[#This Row],[satisfaction_score]]&lt;=2,"Low",IF(cf_cl[[#This Row],[satisfaction_score]]=3,"Medium","High"))</f>
        <v>High</v>
      </c>
      <c r="J357">
        <f>YEAR(cf_cl[[#This Row],[date_submitted]])</f>
        <v>2023</v>
      </c>
      <c r="K357" s="3" t="str">
        <f>TEXT(cf_cl[[#This Row],[date_submitted]],"mmm")</f>
        <v>Oct</v>
      </c>
      <c r="L357" s="3" t="str">
        <f t="shared" si="15"/>
        <v>Q4</v>
      </c>
      <c r="M357" s="3" t="str">
        <f t="shared" si="16"/>
        <v>Thursday</v>
      </c>
      <c r="N357" s="3" t="str">
        <f t="shared" si="17"/>
        <v>No</v>
      </c>
      <c r="O357" s="3" t="str">
        <f>IF(COUNTIF($B:$B,B357)=1,"New Customer",
IF(COUNTIF($B:$B,B357)&lt;=3,"Returning Customer","Loyal Customer"))</f>
        <v>Returning Customer</v>
      </c>
      <c r="P357" s="3" t="str">
        <f>IF(cf_cl[[#This Row],[referred_claim]]="Yes","Referred","Not Referred")</f>
        <v>Not Referred</v>
      </c>
    </row>
    <row r="358" spans="1:16" x14ac:dyDescent="0.3">
      <c r="A358" t="s">
        <v>707</v>
      </c>
      <c r="B358" t="s">
        <v>708</v>
      </c>
      <c r="C358" s="1">
        <v>43883</v>
      </c>
      <c r="D358" t="s">
        <v>25</v>
      </c>
      <c r="E358">
        <v>4</v>
      </c>
      <c r="F358" s="3" t="s">
        <v>10</v>
      </c>
      <c r="G358" s="3" t="s">
        <v>10</v>
      </c>
      <c r="H358" s="3" t="str">
        <f>IF(cf_cl[[#This Row],[satisfaction_score]]&gt;=4,"Happy",IF(cf_cl[[#This Row],[satisfaction_score]]=3,"Neutral","Negative"))</f>
        <v>Happy</v>
      </c>
      <c r="I358" s="3" t="str">
        <f>IF(cf_cl[[#This Row],[satisfaction_score]]&lt;=2,"Low",IF(cf_cl[[#This Row],[satisfaction_score]]=3,"Medium","High"))</f>
        <v>High</v>
      </c>
      <c r="J358">
        <f>YEAR(cf_cl[[#This Row],[date_submitted]])</f>
        <v>2020</v>
      </c>
      <c r="K358" s="3" t="str">
        <f>TEXT(cf_cl[[#This Row],[date_submitted]],"mmm")</f>
        <v>Feb</v>
      </c>
      <c r="L358" s="3" t="str">
        <f t="shared" si="15"/>
        <v>Q1</v>
      </c>
      <c r="M358" s="3" t="str">
        <f t="shared" si="16"/>
        <v>Saturday</v>
      </c>
      <c r="N358" s="3" t="str">
        <f t="shared" si="17"/>
        <v>No</v>
      </c>
      <c r="O358" s="3" t="str">
        <f>IF(COUNTIF($B:$B,B358)=1,"New Customer",
IF(COUNTIF($B:$B,B358)&lt;=3,"Returning Customer","Loyal Customer"))</f>
        <v>New Customer</v>
      </c>
      <c r="P358" s="3" t="str">
        <f>IF(cf_cl[[#This Row],[referred_claim]]="Yes","Referred","Not Referred")</f>
        <v>Referred</v>
      </c>
    </row>
    <row r="359" spans="1:16" x14ac:dyDescent="0.3">
      <c r="A359" t="s">
        <v>709</v>
      </c>
      <c r="B359" t="s">
        <v>710</v>
      </c>
      <c r="C359" s="1">
        <v>44154</v>
      </c>
      <c r="D359" t="s">
        <v>68</v>
      </c>
      <c r="E359">
        <v>1</v>
      </c>
      <c r="F359" s="3" t="s">
        <v>10</v>
      </c>
      <c r="G359" s="3" t="s">
        <v>10</v>
      </c>
      <c r="H359" s="3" t="str">
        <f>IF(cf_cl[[#This Row],[satisfaction_score]]&gt;=4,"Happy",IF(cf_cl[[#This Row],[satisfaction_score]]=3,"Neutral","Negative"))</f>
        <v>Negative</v>
      </c>
      <c r="I359" s="3" t="str">
        <f>IF(cf_cl[[#This Row],[satisfaction_score]]&lt;=2,"Low",IF(cf_cl[[#This Row],[satisfaction_score]]=3,"Medium","High"))</f>
        <v>Low</v>
      </c>
      <c r="J359">
        <f>YEAR(cf_cl[[#This Row],[date_submitted]])</f>
        <v>2020</v>
      </c>
      <c r="K359" s="3" t="str">
        <f>TEXT(cf_cl[[#This Row],[date_submitted]],"mmm")</f>
        <v>Nov</v>
      </c>
      <c r="L359" s="3" t="str">
        <f t="shared" si="15"/>
        <v>Q4</v>
      </c>
      <c r="M359" s="3" t="str">
        <f t="shared" si="16"/>
        <v>Thursday</v>
      </c>
      <c r="N359" s="3" t="str">
        <f t="shared" si="17"/>
        <v>Yes</v>
      </c>
      <c r="O359" s="3" t="str">
        <f>IF(COUNTIF($B:$B,B359)=1,"New Customer",
IF(COUNTIF($B:$B,B359)&lt;=3,"Returning Customer","Loyal Customer"))</f>
        <v>Returning Customer</v>
      </c>
      <c r="P359" s="3" t="str">
        <f>IF(cf_cl[[#This Row],[referred_claim]]="Yes","Referred","Not Referred")</f>
        <v>Referred</v>
      </c>
    </row>
    <row r="360" spans="1:16" x14ac:dyDescent="0.3">
      <c r="A360" t="s">
        <v>711</v>
      </c>
      <c r="B360" t="s">
        <v>712</v>
      </c>
      <c r="C360" s="1">
        <v>44937</v>
      </c>
      <c r="D360" t="s">
        <v>19</v>
      </c>
      <c r="E360">
        <v>2</v>
      </c>
      <c r="F360" s="3" t="s">
        <v>13</v>
      </c>
      <c r="G360" s="3" t="s">
        <v>10</v>
      </c>
      <c r="H360" s="3" t="str">
        <f>IF(cf_cl[[#This Row],[satisfaction_score]]&gt;=4,"Happy",IF(cf_cl[[#This Row],[satisfaction_score]]=3,"Neutral","Negative"))</f>
        <v>Negative</v>
      </c>
      <c r="I360" s="3" t="str">
        <f>IF(cf_cl[[#This Row],[satisfaction_score]]&lt;=2,"Low",IF(cf_cl[[#This Row],[satisfaction_score]]=3,"Medium","High"))</f>
        <v>Low</v>
      </c>
      <c r="J360">
        <f>YEAR(cf_cl[[#This Row],[date_submitted]])</f>
        <v>2023</v>
      </c>
      <c r="K360" s="3" t="str">
        <f>TEXT(cf_cl[[#This Row],[date_submitted]],"mmm")</f>
        <v>Jan</v>
      </c>
      <c r="L360" s="3" t="str">
        <f t="shared" si="15"/>
        <v>Q1</v>
      </c>
      <c r="M360" s="3" t="str">
        <f t="shared" si="16"/>
        <v>Wednesday</v>
      </c>
      <c r="N360" s="3" t="str">
        <f t="shared" si="17"/>
        <v>Yes</v>
      </c>
      <c r="O360" s="3" t="str">
        <f>IF(COUNTIF($B:$B,B360)=1,"New Customer",
IF(COUNTIF($B:$B,B360)&lt;=3,"Returning Customer","Loyal Customer"))</f>
        <v>Returning Customer</v>
      </c>
      <c r="P360" s="3" t="str">
        <f>IF(cf_cl[[#This Row],[referred_claim]]="Yes","Referred","Not Referred")</f>
        <v>Referred</v>
      </c>
    </row>
    <row r="361" spans="1:16" x14ac:dyDescent="0.3">
      <c r="A361" t="s">
        <v>713</v>
      </c>
      <c r="B361" t="s">
        <v>714</v>
      </c>
      <c r="C361" s="1">
        <v>44844</v>
      </c>
      <c r="D361" t="s">
        <v>16</v>
      </c>
      <c r="E361">
        <v>4</v>
      </c>
      <c r="F361" s="3" t="s">
        <v>10</v>
      </c>
      <c r="G361" s="3" t="s">
        <v>13</v>
      </c>
      <c r="H361" s="3" t="str">
        <f>IF(cf_cl[[#This Row],[satisfaction_score]]&gt;=4,"Happy",IF(cf_cl[[#This Row],[satisfaction_score]]=3,"Neutral","Negative"))</f>
        <v>Happy</v>
      </c>
      <c r="I361" s="3" t="str">
        <f>IF(cf_cl[[#This Row],[satisfaction_score]]&lt;=2,"Low",IF(cf_cl[[#This Row],[satisfaction_score]]=3,"Medium","High"))</f>
        <v>High</v>
      </c>
      <c r="J361">
        <f>YEAR(cf_cl[[#This Row],[date_submitted]])</f>
        <v>2022</v>
      </c>
      <c r="K361" s="3" t="str">
        <f>TEXT(cf_cl[[#This Row],[date_submitted]],"mmm")</f>
        <v>Oct</v>
      </c>
      <c r="L361" s="3" t="str">
        <f t="shared" si="15"/>
        <v>Q4</v>
      </c>
      <c r="M361" s="3" t="str">
        <f t="shared" si="16"/>
        <v>Monday</v>
      </c>
      <c r="N361" s="3" t="str">
        <f t="shared" si="17"/>
        <v>No</v>
      </c>
      <c r="O361" s="3" t="str">
        <f>IF(COUNTIF($B:$B,B361)=1,"New Customer",
IF(COUNTIF($B:$B,B361)&lt;=3,"Returning Customer","Loyal Customer"))</f>
        <v>New Customer</v>
      </c>
      <c r="P361" s="3" t="str">
        <f>IF(cf_cl[[#This Row],[referred_claim]]="Yes","Referred","Not Referred")</f>
        <v>Not Referred</v>
      </c>
    </row>
    <row r="362" spans="1:16" x14ac:dyDescent="0.3">
      <c r="A362" t="s">
        <v>715</v>
      </c>
      <c r="B362" t="s">
        <v>716</v>
      </c>
      <c r="C362" s="1">
        <v>44112</v>
      </c>
      <c r="D362" t="s">
        <v>25</v>
      </c>
      <c r="E362">
        <v>4</v>
      </c>
      <c r="F362" s="3" t="s">
        <v>10</v>
      </c>
      <c r="G362" s="3" t="s">
        <v>13</v>
      </c>
      <c r="H362" s="3" t="str">
        <f>IF(cf_cl[[#This Row],[satisfaction_score]]&gt;=4,"Happy",IF(cf_cl[[#This Row],[satisfaction_score]]=3,"Neutral","Negative"))</f>
        <v>Happy</v>
      </c>
      <c r="I362" s="3" t="str">
        <f>IF(cf_cl[[#This Row],[satisfaction_score]]&lt;=2,"Low",IF(cf_cl[[#This Row],[satisfaction_score]]=3,"Medium","High"))</f>
        <v>High</v>
      </c>
      <c r="J362">
        <f>YEAR(cf_cl[[#This Row],[date_submitted]])</f>
        <v>2020</v>
      </c>
      <c r="K362" s="3" t="str">
        <f>TEXT(cf_cl[[#This Row],[date_submitted]],"mmm")</f>
        <v>Oct</v>
      </c>
      <c r="L362" s="3" t="str">
        <f t="shared" si="15"/>
        <v>Q4</v>
      </c>
      <c r="M362" s="3" t="str">
        <f t="shared" si="16"/>
        <v>Thursday</v>
      </c>
      <c r="N362" s="3" t="str">
        <f t="shared" si="17"/>
        <v>No</v>
      </c>
      <c r="O362" s="3" t="str">
        <f>IF(COUNTIF($B:$B,B362)=1,"New Customer",
IF(COUNTIF($B:$B,B362)&lt;=3,"Returning Customer","Loyal Customer"))</f>
        <v>New Customer</v>
      </c>
      <c r="P362" s="3" t="str">
        <f>IF(cf_cl[[#This Row],[referred_claim]]="Yes","Referred","Not Referred")</f>
        <v>Not Referred</v>
      </c>
    </row>
    <row r="363" spans="1:16" x14ac:dyDescent="0.3">
      <c r="A363" t="s">
        <v>717</v>
      </c>
      <c r="B363" t="s">
        <v>718</v>
      </c>
      <c r="C363" s="1">
        <v>44634</v>
      </c>
      <c r="D363" t="s">
        <v>19</v>
      </c>
      <c r="E363">
        <v>2</v>
      </c>
      <c r="F363" s="3" t="s">
        <v>10</v>
      </c>
      <c r="G363" s="3" t="s">
        <v>10</v>
      </c>
      <c r="H363" s="3" t="str">
        <f>IF(cf_cl[[#This Row],[satisfaction_score]]&gt;=4,"Happy",IF(cf_cl[[#This Row],[satisfaction_score]]=3,"Neutral","Negative"))</f>
        <v>Negative</v>
      </c>
      <c r="I363" s="3" t="str">
        <f>IF(cf_cl[[#This Row],[satisfaction_score]]&lt;=2,"Low",IF(cf_cl[[#This Row],[satisfaction_score]]=3,"Medium","High"))</f>
        <v>Low</v>
      </c>
      <c r="J363">
        <f>YEAR(cf_cl[[#This Row],[date_submitted]])</f>
        <v>2022</v>
      </c>
      <c r="K363" s="3" t="str">
        <f>TEXT(cf_cl[[#This Row],[date_submitted]],"mmm")</f>
        <v>Mar</v>
      </c>
      <c r="L363" s="3" t="str">
        <f t="shared" si="15"/>
        <v>Q1</v>
      </c>
      <c r="M363" s="3" t="str">
        <f t="shared" si="16"/>
        <v>Monday</v>
      </c>
      <c r="N363" s="3" t="str">
        <f t="shared" si="17"/>
        <v>Yes</v>
      </c>
      <c r="O363" s="3" t="str">
        <f>IF(COUNTIF($B:$B,B363)=1,"New Customer",
IF(COUNTIF($B:$B,B363)&lt;=3,"Returning Customer","Loyal Customer"))</f>
        <v>New Customer</v>
      </c>
      <c r="P363" s="3" t="str">
        <f>IF(cf_cl[[#This Row],[referred_claim]]="Yes","Referred","Not Referred")</f>
        <v>Referred</v>
      </c>
    </row>
    <row r="364" spans="1:16" x14ac:dyDescent="0.3">
      <c r="A364" t="s">
        <v>719</v>
      </c>
      <c r="B364" t="s">
        <v>720</v>
      </c>
      <c r="C364" s="1">
        <v>44289</v>
      </c>
      <c r="D364" t="s">
        <v>22</v>
      </c>
      <c r="E364">
        <v>5</v>
      </c>
      <c r="F364" s="3" t="s">
        <v>10</v>
      </c>
      <c r="G364" s="3" t="s">
        <v>10</v>
      </c>
      <c r="H364" s="3" t="str">
        <f>IF(cf_cl[[#This Row],[satisfaction_score]]&gt;=4,"Happy",IF(cf_cl[[#This Row],[satisfaction_score]]=3,"Neutral","Negative"))</f>
        <v>Happy</v>
      </c>
      <c r="I364" s="3" t="str">
        <f>IF(cf_cl[[#This Row],[satisfaction_score]]&lt;=2,"Low",IF(cf_cl[[#This Row],[satisfaction_score]]=3,"Medium","High"))</f>
        <v>High</v>
      </c>
      <c r="J364">
        <f>YEAR(cf_cl[[#This Row],[date_submitted]])</f>
        <v>2021</v>
      </c>
      <c r="K364" s="3" t="str">
        <f>TEXT(cf_cl[[#This Row],[date_submitted]],"mmm")</f>
        <v>Apr</v>
      </c>
      <c r="L364" s="3" t="str">
        <f t="shared" si="15"/>
        <v>Q2</v>
      </c>
      <c r="M364" s="3" t="str">
        <f t="shared" si="16"/>
        <v>Saturday</v>
      </c>
      <c r="N364" s="3" t="str">
        <f t="shared" si="17"/>
        <v>No</v>
      </c>
      <c r="O364" s="3" t="str">
        <f>IF(COUNTIF($B:$B,B364)=1,"New Customer",
IF(COUNTIF($B:$B,B364)&lt;=3,"Returning Customer","Loyal Customer"))</f>
        <v>New Customer</v>
      </c>
      <c r="P364" s="3" t="str">
        <f>IF(cf_cl[[#This Row],[referred_claim]]="Yes","Referred","Not Referred")</f>
        <v>Referred</v>
      </c>
    </row>
    <row r="365" spans="1:16" x14ac:dyDescent="0.3">
      <c r="A365" t="s">
        <v>721</v>
      </c>
      <c r="B365" t="s">
        <v>722</v>
      </c>
      <c r="C365" s="1">
        <v>45081</v>
      </c>
      <c r="D365" t="s">
        <v>25</v>
      </c>
      <c r="E365">
        <v>5</v>
      </c>
      <c r="F365" s="3" t="s">
        <v>13</v>
      </c>
      <c r="G365" s="3" t="s">
        <v>13</v>
      </c>
      <c r="H365" s="3" t="str">
        <f>IF(cf_cl[[#This Row],[satisfaction_score]]&gt;=4,"Happy",IF(cf_cl[[#This Row],[satisfaction_score]]=3,"Neutral","Negative"))</f>
        <v>Happy</v>
      </c>
      <c r="I365" s="3" t="str">
        <f>IF(cf_cl[[#This Row],[satisfaction_score]]&lt;=2,"Low",IF(cf_cl[[#This Row],[satisfaction_score]]=3,"Medium","High"))</f>
        <v>High</v>
      </c>
      <c r="J365">
        <f>YEAR(cf_cl[[#This Row],[date_submitted]])</f>
        <v>2023</v>
      </c>
      <c r="K365" s="3" t="str">
        <f>TEXT(cf_cl[[#This Row],[date_submitted]],"mmm")</f>
        <v>Jun</v>
      </c>
      <c r="L365" s="3" t="str">
        <f t="shared" si="15"/>
        <v>Q2</v>
      </c>
      <c r="M365" s="3" t="str">
        <f t="shared" si="16"/>
        <v>Sunday</v>
      </c>
      <c r="N365" s="3" t="str">
        <f t="shared" si="17"/>
        <v>No</v>
      </c>
      <c r="O365" s="3" t="str">
        <f>IF(COUNTIF($B:$B,B365)=1,"New Customer",
IF(COUNTIF($B:$B,B365)&lt;=3,"Returning Customer","Loyal Customer"))</f>
        <v>New Customer</v>
      </c>
      <c r="P365" s="3" t="str">
        <f>IF(cf_cl[[#This Row],[referred_claim]]="Yes","Referred","Not Referred")</f>
        <v>Not Referred</v>
      </c>
    </row>
    <row r="366" spans="1:16" x14ac:dyDescent="0.3">
      <c r="A366" t="s">
        <v>723</v>
      </c>
      <c r="B366" t="s">
        <v>724</v>
      </c>
      <c r="C366" s="1">
        <v>44431</v>
      </c>
      <c r="D366" t="s">
        <v>68</v>
      </c>
      <c r="E366">
        <v>1</v>
      </c>
      <c r="F366" s="3" t="s">
        <v>10</v>
      </c>
      <c r="G366" s="3" t="s">
        <v>13</v>
      </c>
      <c r="H366" s="3" t="str">
        <f>IF(cf_cl[[#This Row],[satisfaction_score]]&gt;=4,"Happy",IF(cf_cl[[#This Row],[satisfaction_score]]=3,"Neutral","Negative"))</f>
        <v>Negative</v>
      </c>
      <c r="I366" s="3" t="str">
        <f>IF(cf_cl[[#This Row],[satisfaction_score]]&lt;=2,"Low",IF(cf_cl[[#This Row],[satisfaction_score]]=3,"Medium","High"))</f>
        <v>Low</v>
      </c>
      <c r="J366">
        <f>YEAR(cf_cl[[#This Row],[date_submitted]])</f>
        <v>2021</v>
      </c>
      <c r="K366" s="3" t="str">
        <f>TEXT(cf_cl[[#This Row],[date_submitted]],"mmm")</f>
        <v>Aug</v>
      </c>
      <c r="L366" s="3" t="str">
        <f t="shared" si="15"/>
        <v>Q3</v>
      </c>
      <c r="M366" s="3" t="str">
        <f t="shared" si="16"/>
        <v>Monday</v>
      </c>
      <c r="N366" s="3" t="str">
        <f t="shared" si="17"/>
        <v>Yes</v>
      </c>
      <c r="O366" s="3" t="str">
        <f>IF(COUNTIF($B:$B,B366)=1,"New Customer",
IF(COUNTIF($B:$B,B366)&lt;=3,"Returning Customer","Loyal Customer"))</f>
        <v>New Customer</v>
      </c>
      <c r="P366" s="3" t="str">
        <f>IF(cf_cl[[#This Row],[referred_claim]]="Yes","Referred","Not Referred")</f>
        <v>Not Referred</v>
      </c>
    </row>
    <row r="367" spans="1:16" x14ac:dyDescent="0.3">
      <c r="A367" t="s">
        <v>725</v>
      </c>
      <c r="B367" t="s">
        <v>626</v>
      </c>
      <c r="C367" s="1">
        <v>45239</v>
      </c>
      <c r="D367" t="s">
        <v>22</v>
      </c>
      <c r="E367">
        <v>5</v>
      </c>
      <c r="F367" s="3" t="s">
        <v>10</v>
      </c>
      <c r="G367" s="3" t="s">
        <v>13</v>
      </c>
      <c r="H367" s="3" t="str">
        <f>IF(cf_cl[[#This Row],[satisfaction_score]]&gt;=4,"Happy",IF(cf_cl[[#This Row],[satisfaction_score]]=3,"Neutral","Negative"))</f>
        <v>Happy</v>
      </c>
      <c r="I367" s="3" t="str">
        <f>IF(cf_cl[[#This Row],[satisfaction_score]]&lt;=2,"Low",IF(cf_cl[[#This Row],[satisfaction_score]]=3,"Medium","High"))</f>
        <v>High</v>
      </c>
      <c r="J367">
        <f>YEAR(cf_cl[[#This Row],[date_submitted]])</f>
        <v>2023</v>
      </c>
      <c r="K367" s="3" t="str">
        <f>TEXT(cf_cl[[#This Row],[date_submitted]],"mmm")</f>
        <v>Nov</v>
      </c>
      <c r="L367" s="3" t="str">
        <f t="shared" si="15"/>
        <v>Q4</v>
      </c>
      <c r="M367" s="3" t="str">
        <f t="shared" si="16"/>
        <v>Thursday</v>
      </c>
      <c r="N367" s="3" t="str">
        <f t="shared" si="17"/>
        <v>No</v>
      </c>
      <c r="O367" s="3" t="str">
        <f>IF(COUNTIF($B:$B,B367)=1,"New Customer",
IF(COUNTIF($B:$B,B367)&lt;=3,"Returning Customer","Loyal Customer"))</f>
        <v>Returning Customer</v>
      </c>
      <c r="P367" s="3" t="str">
        <f>IF(cf_cl[[#This Row],[referred_claim]]="Yes","Referred","Not Referred")</f>
        <v>Not Referred</v>
      </c>
    </row>
    <row r="368" spans="1:16" x14ac:dyDescent="0.3">
      <c r="A368" t="s">
        <v>726</v>
      </c>
      <c r="B368" t="s">
        <v>727</v>
      </c>
      <c r="C368" s="1">
        <v>44825</v>
      </c>
      <c r="D368" t="s">
        <v>19</v>
      </c>
      <c r="E368">
        <v>2</v>
      </c>
      <c r="F368" s="3" t="s">
        <v>13</v>
      </c>
      <c r="G368" s="3" t="s">
        <v>10</v>
      </c>
      <c r="H368" s="3" t="str">
        <f>IF(cf_cl[[#This Row],[satisfaction_score]]&gt;=4,"Happy",IF(cf_cl[[#This Row],[satisfaction_score]]=3,"Neutral","Negative"))</f>
        <v>Negative</v>
      </c>
      <c r="I368" s="3" t="str">
        <f>IF(cf_cl[[#This Row],[satisfaction_score]]&lt;=2,"Low",IF(cf_cl[[#This Row],[satisfaction_score]]=3,"Medium","High"))</f>
        <v>Low</v>
      </c>
      <c r="J368">
        <f>YEAR(cf_cl[[#This Row],[date_submitted]])</f>
        <v>2022</v>
      </c>
      <c r="K368" s="3" t="str">
        <f>TEXT(cf_cl[[#This Row],[date_submitted]],"mmm")</f>
        <v>Sep</v>
      </c>
      <c r="L368" s="3" t="str">
        <f t="shared" si="15"/>
        <v>Q3</v>
      </c>
      <c r="M368" s="3" t="str">
        <f t="shared" si="16"/>
        <v>Wednesday</v>
      </c>
      <c r="N368" s="3" t="str">
        <f t="shared" si="17"/>
        <v>Yes</v>
      </c>
      <c r="O368" s="3" t="str">
        <f>IF(COUNTIF($B:$B,B368)=1,"New Customer",
IF(COUNTIF($B:$B,B368)&lt;=3,"Returning Customer","Loyal Customer"))</f>
        <v>New Customer</v>
      </c>
      <c r="P368" s="3" t="str">
        <f>IF(cf_cl[[#This Row],[referred_claim]]="Yes","Referred","Not Referred")</f>
        <v>Referred</v>
      </c>
    </row>
    <row r="369" spans="1:16" x14ac:dyDescent="0.3">
      <c r="A369" t="s">
        <v>728</v>
      </c>
      <c r="B369" t="s">
        <v>729</v>
      </c>
      <c r="C369" s="1">
        <v>45048</v>
      </c>
      <c r="D369" t="s">
        <v>25</v>
      </c>
      <c r="E369">
        <v>4</v>
      </c>
      <c r="F369" s="3" t="s">
        <v>10</v>
      </c>
      <c r="G369" s="3" t="s">
        <v>10</v>
      </c>
      <c r="H369" s="3" t="str">
        <f>IF(cf_cl[[#This Row],[satisfaction_score]]&gt;=4,"Happy",IF(cf_cl[[#This Row],[satisfaction_score]]=3,"Neutral","Negative"))</f>
        <v>Happy</v>
      </c>
      <c r="I369" s="3" t="str">
        <f>IF(cf_cl[[#This Row],[satisfaction_score]]&lt;=2,"Low",IF(cf_cl[[#This Row],[satisfaction_score]]=3,"Medium","High"))</f>
        <v>High</v>
      </c>
      <c r="J369">
        <f>YEAR(cf_cl[[#This Row],[date_submitted]])</f>
        <v>2023</v>
      </c>
      <c r="K369" s="3" t="str">
        <f>TEXT(cf_cl[[#This Row],[date_submitted]],"mmm")</f>
        <v>May</v>
      </c>
      <c r="L369" s="3" t="str">
        <f t="shared" si="15"/>
        <v>Q2</v>
      </c>
      <c r="M369" s="3" t="str">
        <f t="shared" si="16"/>
        <v>Tuesday</v>
      </c>
      <c r="N369" s="3" t="str">
        <f t="shared" si="17"/>
        <v>No</v>
      </c>
      <c r="O369" s="3" t="str">
        <f>IF(COUNTIF($B:$B,B369)=1,"New Customer",
IF(COUNTIF($B:$B,B369)&lt;=3,"Returning Customer","Loyal Customer"))</f>
        <v>New Customer</v>
      </c>
      <c r="P369" s="3" t="str">
        <f>IF(cf_cl[[#This Row],[referred_claim]]="Yes","Referred","Not Referred")</f>
        <v>Referred</v>
      </c>
    </row>
    <row r="370" spans="1:16" x14ac:dyDescent="0.3">
      <c r="A370" t="s">
        <v>730</v>
      </c>
      <c r="B370" t="s">
        <v>731</v>
      </c>
      <c r="C370" s="1">
        <v>44259</v>
      </c>
      <c r="D370" t="s">
        <v>31</v>
      </c>
      <c r="E370">
        <v>2</v>
      </c>
      <c r="F370" s="3" t="s">
        <v>10</v>
      </c>
      <c r="G370" s="3" t="s">
        <v>13</v>
      </c>
      <c r="H370" s="3" t="str">
        <f>IF(cf_cl[[#This Row],[satisfaction_score]]&gt;=4,"Happy",IF(cf_cl[[#This Row],[satisfaction_score]]=3,"Neutral","Negative"))</f>
        <v>Negative</v>
      </c>
      <c r="I370" s="3" t="str">
        <f>IF(cf_cl[[#This Row],[satisfaction_score]]&lt;=2,"Low",IF(cf_cl[[#This Row],[satisfaction_score]]=3,"Medium","High"))</f>
        <v>Low</v>
      </c>
      <c r="J370">
        <f>YEAR(cf_cl[[#This Row],[date_submitted]])</f>
        <v>2021</v>
      </c>
      <c r="K370" s="3" t="str">
        <f>TEXT(cf_cl[[#This Row],[date_submitted]],"mmm")</f>
        <v>Mar</v>
      </c>
      <c r="L370" s="3" t="str">
        <f t="shared" si="15"/>
        <v>Q1</v>
      </c>
      <c r="M370" s="3" t="str">
        <f t="shared" si="16"/>
        <v>Thursday</v>
      </c>
      <c r="N370" s="3" t="str">
        <f t="shared" si="17"/>
        <v>Yes</v>
      </c>
      <c r="O370" s="3" t="str">
        <f>IF(COUNTIF($B:$B,B370)=1,"New Customer",
IF(COUNTIF($B:$B,B370)&lt;=3,"Returning Customer","Loyal Customer"))</f>
        <v>New Customer</v>
      </c>
      <c r="P370" s="3" t="str">
        <f>IF(cf_cl[[#This Row],[referred_claim]]="Yes","Referred","Not Referred")</f>
        <v>Not Referred</v>
      </c>
    </row>
    <row r="371" spans="1:16" x14ac:dyDescent="0.3">
      <c r="A371" t="s">
        <v>732</v>
      </c>
      <c r="B371" t="s">
        <v>733</v>
      </c>
      <c r="C371" s="1">
        <v>43991</v>
      </c>
      <c r="D371" t="s">
        <v>83</v>
      </c>
      <c r="E371">
        <v>1</v>
      </c>
      <c r="F371" s="3" t="s">
        <v>13</v>
      </c>
      <c r="G371" s="3" t="s">
        <v>10</v>
      </c>
      <c r="H371" s="3" t="str">
        <f>IF(cf_cl[[#This Row],[satisfaction_score]]&gt;=4,"Happy",IF(cf_cl[[#This Row],[satisfaction_score]]=3,"Neutral","Negative"))</f>
        <v>Negative</v>
      </c>
      <c r="I371" s="3" t="str">
        <f>IF(cf_cl[[#This Row],[satisfaction_score]]&lt;=2,"Low",IF(cf_cl[[#This Row],[satisfaction_score]]=3,"Medium","High"))</f>
        <v>Low</v>
      </c>
      <c r="J371">
        <f>YEAR(cf_cl[[#This Row],[date_submitted]])</f>
        <v>2020</v>
      </c>
      <c r="K371" s="3" t="str">
        <f>TEXT(cf_cl[[#This Row],[date_submitted]],"mmm")</f>
        <v>Jun</v>
      </c>
      <c r="L371" s="3" t="str">
        <f t="shared" si="15"/>
        <v>Q2</v>
      </c>
      <c r="M371" s="3" t="str">
        <f t="shared" si="16"/>
        <v>Tuesday</v>
      </c>
      <c r="N371" s="3" t="str">
        <f t="shared" si="17"/>
        <v>Yes</v>
      </c>
      <c r="O371" s="3" t="str">
        <f>IF(COUNTIF($B:$B,B371)=1,"New Customer",
IF(COUNTIF($B:$B,B371)&lt;=3,"Returning Customer","Loyal Customer"))</f>
        <v>New Customer</v>
      </c>
      <c r="P371" s="3" t="str">
        <f>IF(cf_cl[[#This Row],[referred_claim]]="Yes","Referred","Not Referred")</f>
        <v>Referred</v>
      </c>
    </row>
    <row r="372" spans="1:16" x14ac:dyDescent="0.3">
      <c r="A372" t="s">
        <v>734</v>
      </c>
      <c r="B372" t="s">
        <v>735</v>
      </c>
      <c r="C372" s="1">
        <v>45211</v>
      </c>
      <c r="D372" t="s">
        <v>25</v>
      </c>
      <c r="E372">
        <v>5</v>
      </c>
      <c r="F372" s="3" t="s">
        <v>10</v>
      </c>
      <c r="G372" s="3" t="s">
        <v>10</v>
      </c>
      <c r="H372" s="3" t="str">
        <f>IF(cf_cl[[#This Row],[satisfaction_score]]&gt;=4,"Happy",IF(cf_cl[[#This Row],[satisfaction_score]]=3,"Neutral","Negative"))</f>
        <v>Happy</v>
      </c>
      <c r="I372" s="3" t="str">
        <f>IF(cf_cl[[#This Row],[satisfaction_score]]&lt;=2,"Low",IF(cf_cl[[#This Row],[satisfaction_score]]=3,"Medium","High"))</f>
        <v>High</v>
      </c>
      <c r="J372">
        <f>YEAR(cf_cl[[#This Row],[date_submitted]])</f>
        <v>2023</v>
      </c>
      <c r="K372" s="3" t="str">
        <f>TEXT(cf_cl[[#This Row],[date_submitted]],"mmm")</f>
        <v>Oct</v>
      </c>
      <c r="L372" s="3" t="str">
        <f t="shared" si="15"/>
        <v>Q4</v>
      </c>
      <c r="M372" s="3" t="str">
        <f t="shared" si="16"/>
        <v>Thursday</v>
      </c>
      <c r="N372" s="3" t="str">
        <f t="shared" si="17"/>
        <v>No</v>
      </c>
      <c r="O372" s="3" t="str">
        <f>IF(COUNTIF($B:$B,B372)=1,"New Customer",
IF(COUNTIF($B:$B,B372)&lt;=3,"Returning Customer","Loyal Customer"))</f>
        <v>New Customer</v>
      </c>
      <c r="P372" s="3" t="str">
        <f>IF(cf_cl[[#This Row],[referred_claim]]="Yes","Referred","Not Referred")</f>
        <v>Referred</v>
      </c>
    </row>
    <row r="373" spans="1:16" x14ac:dyDescent="0.3">
      <c r="A373" t="s">
        <v>736</v>
      </c>
      <c r="B373" t="s">
        <v>737</v>
      </c>
      <c r="C373" s="1">
        <v>45191</v>
      </c>
      <c r="D373" t="s">
        <v>28</v>
      </c>
      <c r="E373">
        <v>5</v>
      </c>
      <c r="F373" s="3" t="s">
        <v>13</v>
      </c>
      <c r="G373" s="3" t="s">
        <v>13</v>
      </c>
      <c r="H373" s="3" t="str">
        <f>IF(cf_cl[[#This Row],[satisfaction_score]]&gt;=4,"Happy",IF(cf_cl[[#This Row],[satisfaction_score]]=3,"Neutral","Negative"))</f>
        <v>Happy</v>
      </c>
      <c r="I373" s="3" t="str">
        <f>IF(cf_cl[[#This Row],[satisfaction_score]]&lt;=2,"Low",IF(cf_cl[[#This Row],[satisfaction_score]]=3,"Medium","High"))</f>
        <v>High</v>
      </c>
      <c r="J373">
        <f>YEAR(cf_cl[[#This Row],[date_submitted]])</f>
        <v>2023</v>
      </c>
      <c r="K373" s="3" t="str">
        <f>TEXT(cf_cl[[#This Row],[date_submitted]],"mmm")</f>
        <v>Sep</v>
      </c>
      <c r="L373" s="3" t="str">
        <f t="shared" si="15"/>
        <v>Q3</v>
      </c>
      <c r="M373" s="3" t="str">
        <f t="shared" si="16"/>
        <v>Friday</v>
      </c>
      <c r="N373" s="3" t="str">
        <f t="shared" si="17"/>
        <v>No</v>
      </c>
      <c r="O373" s="3" t="str">
        <f>IF(COUNTIF($B:$B,B373)=1,"New Customer",
IF(COUNTIF($B:$B,B373)&lt;=3,"Returning Customer","Loyal Customer"))</f>
        <v>New Customer</v>
      </c>
      <c r="P373" s="3" t="str">
        <f>IF(cf_cl[[#This Row],[referred_claim]]="Yes","Referred","Not Referred")</f>
        <v>Not Referred</v>
      </c>
    </row>
    <row r="374" spans="1:16" x14ac:dyDescent="0.3">
      <c r="A374" t="s">
        <v>738</v>
      </c>
      <c r="B374" t="s">
        <v>739</v>
      </c>
      <c r="C374" s="1">
        <v>45120</v>
      </c>
      <c r="D374" t="s">
        <v>68</v>
      </c>
      <c r="E374">
        <v>1</v>
      </c>
      <c r="F374" s="3" t="s">
        <v>10</v>
      </c>
      <c r="G374" s="3" t="s">
        <v>10</v>
      </c>
      <c r="H374" s="3" t="str">
        <f>IF(cf_cl[[#This Row],[satisfaction_score]]&gt;=4,"Happy",IF(cf_cl[[#This Row],[satisfaction_score]]=3,"Neutral","Negative"))</f>
        <v>Negative</v>
      </c>
      <c r="I374" s="3" t="str">
        <f>IF(cf_cl[[#This Row],[satisfaction_score]]&lt;=2,"Low",IF(cf_cl[[#This Row],[satisfaction_score]]=3,"Medium","High"))</f>
        <v>Low</v>
      </c>
      <c r="J374">
        <f>YEAR(cf_cl[[#This Row],[date_submitted]])</f>
        <v>2023</v>
      </c>
      <c r="K374" s="3" t="str">
        <f>TEXT(cf_cl[[#This Row],[date_submitted]],"mmm")</f>
        <v>Jul</v>
      </c>
      <c r="L374" s="3" t="str">
        <f t="shared" si="15"/>
        <v>Q3</v>
      </c>
      <c r="M374" s="3" t="str">
        <f t="shared" si="16"/>
        <v>Thursday</v>
      </c>
      <c r="N374" s="3" t="str">
        <f t="shared" si="17"/>
        <v>Yes</v>
      </c>
      <c r="O374" s="3" t="str">
        <f>IF(COUNTIF($B:$B,B374)=1,"New Customer",
IF(COUNTIF($B:$B,B374)&lt;=3,"Returning Customer","Loyal Customer"))</f>
        <v>New Customer</v>
      </c>
      <c r="P374" s="3" t="str">
        <f>IF(cf_cl[[#This Row],[referred_claim]]="Yes","Referred","Not Referred")</f>
        <v>Referred</v>
      </c>
    </row>
    <row r="375" spans="1:16" x14ac:dyDescent="0.3">
      <c r="A375" t="s">
        <v>740</v>
      </c>
      <c r="B375" t="s">
        <v>571</v>
      </c>
      <c r="C375" s="1">
        <v>44221</v>
      </c>
      <c r="D375" t="s">
        <v>68</v>
      </c>
      <c r="E375">
        <v>2</v>
      </c>
      <c r="F375" s="3" t="s">
        <v>13</v>
      </c>
      <c r="G375" s="3" t="s">
        <v>13</v>
      </c>
      <c r="H375" s="3" t="str">
        <f>IF(cf_cl[[#This Row],[satisfaction_score]]&gt;=4,"Happy",IF(cf_cl[[#This Row],[satisfaction_score]]=3,"Neutral","Negative"))</f>
        <v>Negative</v>
      </c>
      <c r="I375" s="3" t="str">
        <f>IF(cf_cl[[#This Row],[satisfaction_score]]&lt;=2,"Low",IF(cf_cl[[#This Row],[satisfaction_score]]=3,"Medium","High"))</f>
        <v>Low</v>
      </c>
      <c r="J375">
        <f>YEAR(cf_cl[[#This Row],[date_submitted]])</f>
        <v>2021</v>
      </c>
      <c r="K375" s="3" t="str">
        <f>TEXT(cf_cl[[#This Row],[date_submitted]],"mmm")</f>
        <v>Jan</v>
      </c>
      <c r="L375" s="3" t="str">
        <f t="shared" si="15"/>
        <v>Q1</v>
      </c>
      <c r="M375" s="3" t="str">
        <f t="shared" si="16"/>
        <v>Monday</v>
      </c>
      <c r="N375" s="3" t="str">
        <f t="shared" si="17"/>
        <v>Yes</v>
      </c>
      <c r="O375" s="3" t="str">
        <f>IF(COUNTIF($B:$B,B375)=1,"New Customer",
IF(COUNTIF($B:$B,B375)&lt;=3,"Returning Customer","Loyal Customer"))</f>
        <v>Returning Customer</v>
      </c>
      <c r="P375" s="3" t="str">
        <f>IF(cf_cl[[#This Row],[referred_claim]]="Yes","Referred","Not Referred")</f>
        <v>Not Referred</v>
      </c>
    </row>
    <row r="376" spans="1:16" x14ac:dyDescent="0.3">
      <c r="A376" t="s">
        <v>741</v>
      </c>
      <c r="B376" t="s">
        <v>99</v>
      </c>
      <c r="C376" s="1">
        <v>45080</v>
      </c>
      <c r="D376" t="s">
        <v>68</v>
      </c>
      <c r="E376">
        <v>1</v>
      </c>
      <c r="F376" s="3" t="s">
        <v>13</v>
      </c>
      <c r="G376" s="3" t="s">
        <v>10</v>
      </c>
      <c r="H376" s="3" t="str">
        <f>IF(cf_cl[[#This Row],[satisfaction_score]]&gt;=4,"Happy",IF(cf_cl[[#This Row],[satisfaction_score]]=3,"Neutral","Negative"))</f>
        <v>Negative</v>
      </c>
      <c r="I376" s="3" t="str">
        <f>IF(cf_cl[[#This Row],[satisfaction_score]]&lt;=2,"Low",IF(cf_cl[[#This Row],[satisfaction_score]]=3,"Medium","High"))</f>
        <v>Low</v>
      </c>
      <c r="J376">
        <f>YEAR(cf_cl[[#This Row],[date_submitted]])</f>
        <v>2023</v>
      </c>
      <c r="K376" s="3" t="str">
        <f>TEXT(cf_cl[[#This Row],[date_submitted]],"mmm")</f>
        <v>Jun</v>
      </c>
      <c r="L376" s="3" t="str">
        <f t="shared" si="15"/>
        <v>Q2</v>
      </c>
      <c r="M376" s="3" t="str">
        <f t="shared" si="16"/>
        <v>Saturday</v>
      </c>
      <c r="N376" s="3" t="str">
        <f t="shared" si="17"/>
        <v>Yes</v>
      </c>
      <c r="O376" s="3" t="str">
        <f>IF(COUNTIF($B:$B,B376)=1,"New Customer",
IF(COUNTIF($B:$B,B376)&lt;=3,"Returning Customer","Loyal Customer"))</f>
        <v>Returning Customer</v>
      </c>
      <c r="P376" s="3" t="str">
        <f>IF(cf_cl[[#This Row],[referred_claim]]="Yes","Referred","Not Referred")</f>
        <v>Referred</v>
      </c>
    </row>
    <row r="377" spans="1:16" x14ac:dyDescent="0.3">
      <c r="A377" t="s">
        <v>742</v>
      </c>
      <c r="B377" t="s">
        <v>743</v>
      </c>
      <c r="C377" s="1">
        <v>45270</v>
      </c>
      <c r="D377" t="s">
        <v>31</v>
      </c>
      <c r="E377">
        <v>3</v>
      </c>
      <c r="F377" s="3" t="s">
        <v>10</v>
      </c>
      <c r="G377" s="3" t="s">
        <v>10</v>
      </c>
      <c r="H377" s="3" t="str">
        <f>IF(cf_cl[[#This Row],[satisfaction_score]]&gt;=4,"Happy",IF(cf_cl[[#This Row],[satisfaction_score]]=3,"Neutral","Negative"))</f>
        <v>Neutral</v>
      </c>
      <c r="I377" s="3" t="str">
        <f>IF(cf_cl[[#This Row],[satisfaction_score]]&lt;=2,"Low",IF(cf_cl[[#This Row],[satisfaction_score]]=3,"Medium","High"))</f>
        <v>Medium</v>
      </c>
      <c r="J377">
        <f>YEAR(cf_cl[[#This Row],[date_submitted]])</f>
        <v>2023</v>
      </c>
      <c r="K377" s="3" t="str">
        <f>TEXT(cf_cl[[#This Row],[date_submitted]],"mmm")</f>
        <v>Dec</v>
      </c>
      <c r="L377" s="3" t="str">
        <f t="shared" si="15"/>
        <v>Q4</v>
      </c>
      <c r="M377" s="3" t="str">
        <f t="shared" si="16"/>
        <v>Sunday</v>
      </c>
      <c r="N377" s="3" t="str">
        <f t="shared" si="17"/>
        <v>No</v>
      </c>
      <c r="O377" s="3" t="str">
        <f>IF(COUNTIF($B:$B,B377)=1,"New Customer",
IF(COUNTIF($B:$B,B377)&lt;=3,"Returning Customer","Loyal Customer"))</f>
        <v>New Customer</v>
      </c>
      <c r="P377" s="3" t="str">
        <f>IF(cf_cl[[#This Row],[referred_claim]]="Yes","Referred","Not Referred")</f>
        <v>Referred</v>
      </c>
    </row>
    <row r="378" spans="1:16" x14ac:dyDescent="0.3">
      <c r="A378" t="s">
        <v>744</v>
      </c>
      <c r="B378" t="s">
        <v>745</v>
      </c>
      <c r="C378" s="1">
        <v>44549</v>
      </c>
      <c r="D378" t="s">
        <v>31</v>
      </c>
      <c r="E378">
        <v>2</v>
      </c>
      <c r="F378" s="3" t="s">
        <v>13</v>
      </c>
      <c r="G378" s="3" t="s">
        <v>13</v>
      </c>
      <c r="H378" s="3" t="str">
        <f>IF(cf_cl[[#This Row],[satisfaction_score]]&gt;=4,"Happy",IF(cf_cl[[#This Row],[satisfaction_score]]=3,"Neutral","Negative"))</f>
        <v>Negative</v>
      </c>
      <c r="I378" s="3" t="str">
        <f>IF(cf_cl[[#This Row],[satisfaction_score]]&lt;=2,"Low",IF(cf_cl[[#This Row],[satisfaction_score]]=3,"Medium","High"))</f>
        <v>Low</v>
      </c>
      <c r="J378">
        <f>YEAR(cf_cl[[#This Row],[date_submitted]])</f>
        <v>2021</v>
      </c>
      <c r="K378" s="3" t="str">
        <f>TEXT(cf_cl[[#This Row],[date_submitted]],"mmm")</f>
        <v>Dec</v>
      </c>
      <c r="L378" s="3" t="str">
        <f t="shared" si="15"/>
        <v>Q4</v>
      </c>
      <c r="M378" s="3" t="str">
        <f t="shared" si="16"/>
        <v>Sunday</v>
      </c>
      <c r="N378" s="3" t="str">
        <f t="shared" si="17"/>
        <v>Yes</v>
      </c>
      <c r="O378" s="3" t="str">
        <f>IF(COUNTIF($B:$B,B378)=1,"New Customer",
IF(COUNTIF($B:$B,B378)&lt;=3,"Returning Customer","Loyal Customer"))</f>
        <v>New Customer</v>
      </c>
      <c r="P378" s="3" t="str">
        <f>IF(cf_cl[[#This Row],[referred_claim]]="Yes","Referred","Not Referred")</f>
        <v>Not Referred</v>
      </c>
    </row>
    <row r="379" spans="1:16" x14ac:dyDescent="0.3">
      <c r="A379" t="s">
        <v>746</v>
      </c>
      <c r="B379" t="s">
        <v>747</v>
      </c>
      <c r="C379" s="1">
        <v>44702</v>
      </c>
      <c r="D379" t="s">
        <v>19</v>
      </c>
      <c r="E379">
        <v>2</v>
      </c>
      <c r="F379" s="3" t="s">
        <v>13</v>
      </c>
      <c r="G379" s="3" t="s">
        <v>10</v>
      </c>
      <c r="H379" s="3" t="str">
        <f>IF(cf_cl[[#This Row],[satisfaction_score]]&gt;=4,"Happy",IF(cf_cl[[#This Row],[satisfaction_score]]=3,"Neutral","Negative"))</f>
        <v>Negative</v>
      </c>
      <c r="I379" s="3" t="str">
        <f>IF(cf_cl[[#This Row],[satisfaction_score]]&lt;=2,"Low",IF(cf_cl[[#This Row],[satisfaction_score]]=3,"Medium","High"))</f>
        <v>Low</v>
      </c>
      <c r="J379">
        <f>YEAR(cf_cl[[#This Row],[date_submitted]])</f>
        <v>2022</v>
      </c>
      <c r="K379" s="3" t="str">
        <f>TEXT(cf_cl[[#This Row],[date_submitted]],"mmm")</f>
        <v>May</v>
      </c>
      <c r="L379" s="3" t="str">
        <f t="shared" si="15"/>
        <v>Q2</v>
      </c>
      <c r="M379" s="3" t="str">
        <f t="shared" si="16"/>
        <v>Saturday</v>
      </c>
      <c r="N379" s="3" t="str">
        <f t="shared" si="17"/>
        <v>Yes</v>
      </c>
      <c r="O379" s="3" t="str">
        <f>IF(COUNTIF($B:$B,B379)=1,"New Customer",
IF(COUNTIF($B:$B,B379)&lt;=3,"Returning Customer","Loyal Customer"))</f>
        <v>Returning Customer</v>
      </c>
      <c r="P379" s="3" t="str">
        <f>IF(cf_cl[[#This Row],[referred_claim]]="Yes","Referred","Not Referred")</f>
        <v>Referred</v>
      </c>
    </row>
    <row r="380" spans="1:16" x14ac:dyDescent="0.3">
      <c r="A380" t="s">
        <v>748</v>
      </c>
      <c r="B380" t="s">
        <v>749</v>
      </c>
      <c r="C380" s="1">
        <v>45093</v>
      </c>
      <c r="D380" t="s">
        <v>68</v>
      </c>
      <c r="E380">
        <v>2</v>
      </c>
      <c r="F380" s="3" t="s">
        <v>13</v>
      </c>
      <c r="G380" s="3" t="s">
        <v>13</v>
      </c>
      <c r="H380" s="3" t="str">
        <f>IF(cf_cl[[#This Row],[satisfaction_score]]&gt;=4,"Happy",IF(cf_cl[[#This Row],[satisfaction_score]]=3,"Neutral","Negative"))</f>
        <v>Negative</v>
      </c>
      <c r="I380" s="3" t="str">
        <f>IF(cf_cl[[#This Row],[satisfaction_score]]&lt;=2,"Low",IF(cf_cl[[#This Row],[satisfaction_score]]=3,"Medium","High"))</f>
        <v>Low</v>
      </c>
      <c r="J380">
        <f>YEAR(cf_cl[[#This Row],[date_submitted]])</f>
        <v>2023</v>
      </c>
      <c r="K380" s="3" t="str">
        <f>TEXT(cf_cl[[#This Row],[date_submitted]],"mmm")</f>
        <v>Jun</v>
      </c>
      <c r="L380" s="3" t="str">
        <f t="shared" si="15"/>
        <v>Q2</v>
      </c>
      <c r="M380" s="3" t="str">
        <f t="shared" si="16"/>
        <v>Friday</v>
      </c>
      <c r="N380" s="3" t="str">
        <f t="shared" si="17"/>
        <v>Yes</v>
      </c>
      <c r="O380" s="3" t="str">
        <f>IF(COUNTIF($B:$B,B380)=1,"New Customer",
IF(COUNTIF($B:$B,B380)&lt;=3,"Returning Customer","Loyal Customer"))</f>
        <v>New Customer</v>
      </c>
      <c r="P380" s="3" t="str">
        <f>IF(cf_cl[[#This Row],[referred_claim]]="Yes","Referred","Not Referred")</f>
        <v>Not Referred</v>
      </c>
    </row>
    <row r="381" spans="1:16" x14ac:dyDescent="0.3">
      <c r="A381" t="s">
        <v>750</v>
      </c>
      <c r="B381" t="s">
        <v>751</v>
      </c>
      <c r="C381" s="1">
        <v>44298</v>
      </c>
      <c r="D381" t="s">
        <v>25</v>
      </c>
      <c r="E381">
        <v>4</v>
      </c>
      <c r="F381" s="3" t="s">
        <v>10</v>
      </c>
      <c r="G381" s="3" t="s">
        <v>13</v>
      </c>
      <c r="H381" s="3" t="str">
        <f>IF(cf_cl[[#This Row],[satisfaction_score]]&gt;=4,"Happy",IF(cf_cl[[#This Row],[satisfaction_score]]=3,"Neutral","Negative"))</f>
        <v>Happy</v>
      </c>
      <c r="I381" s="3" t="str">
        <f>IF(cf_cl[[#This Row],[satisfaction_score]]&lt;=2,"Low",IF(cf_cl[[#This Row],[satisfaction_score]]=3,"Medium","High"))</f>
        <v>High</v>
      </c>
      <c r="J381">
        <f>YEAR(cf_cl[[#This Row],[date_submitted]])</f>
        <v>2021</v>
      </c>
      <c r="K381" s="3" t="str">
        <f>TEXT(cf_cl[[#This Row],[date_submitted]],"mmm")</f>
        <v>Apr</v>
      </c>
      <c r="L381" s="3" t="str">
        <f t="shared" si="15"/>
        <v>Q2</v>
      </c>
      <c r="M381" s="3" t="str">
        <f t="shared" si="16"/>
        <v>Monday</v>
      </c>
      <c r="N381" s="3" t="str">
        <f t="shared" si="17"/>
        <v>No</v>
      </c>
      <c r="O381" s="3" t="str">
        <f>IF(COUNTIF($B:$B,B381)=1,"New Customer",
IF(COUNTIF($B:$B,B381)&lt;=3,"Returning Customer","Loyal Customer"))</f>
        <v>New Customer</v>
      </c>
      <c r="P381" s="3" t="str">
        <f>IF(cf_cl[[#This Row],[referred_claim]]="Yes","Referred","Not Referred")</f>
        <v>Not Referred</v>
      </c>
    </row>
    <row r="382" spans="1:16" x14ac:dyDescent="0.3">
      <c r="A382" t="s">
        <v>752</v>
      </c>
      <c r="B382" t="s">
        <v>471</v>
      </c>
      <c r="C382" s="1">
        <v>44098</v>
      </c>
      <c r="D382" t="s">
        <v>19</v>
      </c>
      <c r="E382">
        <v>3</v>
      </c>
      <c r="F382" s="3" t="s">
        <v>13</v>
      </c>
      <c r="G382" s="3" t="s">
        <v>10</v>
      </c>
      <c r="H382" s="3" t="str">
        <f>IF(cf_cl[[#This Row],[satisfaction_score]]&gt;=4,"Happy",IF(cf_cl[[#This Row],[satisfaction_score]]=3,"Neutral","Negative"))</f>
        <v>Neutral</v>
      </c>
      <c r="I382" s="3" t="str">
        <f>IF(cf_cl[[#This Row],[satisfaction_score]]&lt;=2,"Low",IF(cf_cl[[#This Row],[satisfaction_score]]=3,"Medium","High"))</f>
        <v>Medium</v>
      </c>
      <c r="J382">
        <f>YEAR(cf_cl[[#This Row],[date_submitted]])</f>
        <v>2020</v>
      </c>
      <c r="K382" s="3" t="str">
        <f>TEXT(cf_cl[[#This Row],[date_submitted]],"mmm")</f>
        <v>Sep</v>
      </c>
      <c r="L382" s="3" t="str">
        <f t="shared" si="15"/>
        <v>Q3</v>
      </c>
      <c r="M382" s="3" t="str">
        <f t="shared" si="16"/>
        <v>Thursday</v>
      </c>
      <c r="N382" s="3" t="str">
        <f t="shared" si="17"/>
        <v>No</v>
      </c>
      <c r="O382" s="3" t="str">
        <f>IF(COUNTIF($B:$B,B382)=1,"New Customer",
IF(COUNTIF($B:$B,B382)&lt;=3,"Returning Customer","Loyal Customer"))</f>
        <v>Returning Customer</v>
      </c>
      <c r="P382" s="3" t="str">
        <f>IF(cf_cl[[#This Row],[referred_claim]]="Yes","Referred","Not Referred")</f>
        <v>Referred</v>
      </c>
    </row>
    <row r="383" spans="1:16" x14ac:dyDescent="0.3">
      <c r="A383" t="s">
        <v>753</v>
      </c>
      <c r="B383" t="s">
        <v>754</v>
      </c>
      <c r="C383" s="1">
        <v>44169</v>
      </c>
      <c r="D383" t="s">
        <v>9</v>
      </c>
      <c r="E383">
        <v>3</v>
      </c>
      <c r="F383" s="3" t="s">
        <v>13</v>
      </c>
      <c r="G383" s="3" t="s">
        <v>13</v>
      </c>
      <c r="H383" s="3" t="str">
        <f>IF(cf_cl[[#This Row],[satisfaction_score]]&gt;=4,"Happy",IF(cf_cl[[#This Row],[satisfaction_score]]=3,"Neutral","Negative"))</f>
        <v>Neutral</v>
      </c>
      <c r="I383" s="3" t="str">
        <f>IF(cf_cl[[#This Row],[satisfaction_score]]&lt;=2,"Low",IF(cf_cl[[#This Row],[satisfaction_score]]=3,"Medium","High"))</f>
        <v>Medium</v>
      </c>
      <c r="J383">
        <f>YEAR(cf_cl[[#This Row],[date_submitted]])</f>
        <v>2020</v>
      </c>
      <c r="K383" s="3" t="str">
        <f>TEXT(cf_cl[[#This Row],[date_submitted]],"mmm")</f>
        <v>Dec</v>
      </c>
      <c r="L383" s="3" t="str">
        <f t="shared" si="15"/>
        <v>Q4</v>
      </c>
      <c r="M383" s="3" t="str">
        <f t="shared" si="16"/>
        <v>Friday</v>
      </c>
      <c r="N383" s="3" t="str">
        <f t="shared" si="17"/>
        <v>No</v>
      </c>
      <c r="O383" s="3" t="str">
        <f>IF(COUNTIF($B:$B,B383)=1,"New Customer",
IF(COUNTIF($B:$B,B383)&lt;=3,"Returning Customer","Loyal Customer"))</f>
        <v>New Customer</v>
      </c>
      <c r="P383" s="3" t="str">
        <f>IF(cf_cl[[#This Row],[referred_claim]]="Yes","Referred","Not Referred")</f>
        <v>Not Referred</v>
      </c>
    </row>
    <row r="384" spans="1:16" x14ac:dyDescent="0.3">
      <c r="A384" t="s">
        <v>755</v>
      </c>
      <c r="B384" t="s">
        <v>756</v>
      </c>
      <c r="C384" s="1">
        <v>45198</v>
      </c>
      <c r="D384" t="s">
        <v>25</v>
      </c>
      <c r="E384">
        <v>5</v>
      </c>
      <c r="F384" s="3" t="s">
        <v>10</v>
      </c>
      <c r="G384" s="3" t="s">
        <v>10</v>
      </c>
      <c r="H384" s="3" t="str">
        <f>IF(cf_cl[[#This Row],[satisfaction_score]]&gt;=4,"Happy",IF(cf_cl[[#This Row],[satisfaction_score]]=3,"Neutral","Negative"))</f>
        <v>Happy</v>
      </c>
      <c r="I384" s="3" t="str">
        <f>IF(cf_cl[[#This Row],[satisfaction_score]]&lt;=2,"Low",IF(cf_cl[[#This Row],[satisfaction_score]]=3,"Medium","High"))</f>
        <v>High</v>
      </c>
      <c r="J384">
        <f>YEAR(cf_cl[[#This Row],[date_submitted]])</f>
        <v>2023</v>
      </c>
      <c r="K384" s="3" t="str">
        <f>TEXT(cf_cl[[#This Row],[date_submitted]],"mmm")</f>
        <v>Sep</v>
      </c>
      <c r="L384" s="3" t="str">
        <f t="shared" si="15"/>
        <v>Q3</v>
      </c>
      <c r="M384" s="3" t="str">
        <f t="shared" si="16"/>
        <v>Friday</v>
      </c>
      <c r="N384" s="3" t="str">
        <f t="shared" si="17"/>
        <v>No</v>
      </c>
      <c r="O384" s="3" t="str">
        <f>IF(COUNTIF($B:$B,B384)=1,"New Customer",
IF(COUNTIF($B:$B,B384)&lt;=3,"Returning Customer","Loyal Customer"))</f>
        <v>New Customer</v>
      </c>
      <c r="P384" s="3" t="str">
        <f>IF(cf_cl[[#This Row],[referred_claim]]="Yes","Referred","Not Referred")</f>
        <v>Referred</v>
      </c>
    </row>
    <row r="385" spans="1:16" x14ac:dyDescent="0.3">
      <c r="A385" t="s">
        <v>757</v>
      </c>
      <c r="B385" t="s">
        <v>758</v>
      </c>
      <c r="C385" s="1">
        <v>44953</v>
      </c>
      <c r="D385" t="s">
        <v>28</v>
      </c>
      <c r="E385">
        <v>5</v>
      </c>
      <c r="F385" s="3" t="s">
        <v>13</v>
      </c>
      <c r="G385" s="3" t="s">
        <v>13</v>
      </c>
      <c r="H385" s="3" t="str">
        <f>IF(cf_cl[[#This Row],[satisfaction_score]]&gt;=4,"Happy",IF(cf_cl[[#This Row],[satisfaction_score]]=3,"Neutral","Negative"))</f>
        <v>Happy</v>
      </c>
      <c r="I385" s="3" t="str">
        <f>IF(cf_cl[[#This Row],[satisfaction_score]]&lt;=2,"Low",IF(cf_cl[[#This Row],[satisfaction_score]]=3,"Medium","High"))</f>
        <v>High</v>
      </c>
      <c r="J385">
        <f>YEAR(cf_cl[[#This Row],[date_submitted]])</f>
        <v>2023</v>
      </c>
      <c r="K385" s="3" t="str">
        <f>TEXT(cf_cl[[#This Row],[date_submitted]],"mmm")</f>
        <v>Jan</v>
      </c>
      <c r="L385" s="3" t="str">
        <f t="shared" si="15"/>
        <v>Q1</v>
      </c>
      <c r="M385" s="3" t="str">
        <f t="shared" si="16"/>
        <v>Friday</v>
      </c>
      <c r="N385" s="3" t="str">
        <f t="shared" si="17"/>
        <v>No</v>
      </c>
      <c r="O385" s="3" t="str">
        <f>IF(COUNTIF($B:$B,B385)=1,"New Customer",
IF(COUNTIF($B:$B,B385)&lt;=3,"Returning Customer","Loyal Customer"))</f>
        <v>New Customer</v>
      </c>
      <c r="P385" s="3" t="str">
        <f>IF(cf_cl[[#This Row],[referred_claim]]="Yes","Referred","Not Referred")</f>
        <v>Not Referred</v>
      </c>
    </row>
    <row r="386" spans="1:16" x14ac:dyDescent="0.3">
      <c r="A386" t="s">
        <v>759</v>
      </c>
      <c r="B386" t="s">
        <v>760</v>
      </c>
      <c r="C386" s="1">
        <v>43955</v>
      </c>
      <c r="D386" t="s">
        <v>22</v>
      </c>
      <c r="E386">
        <v>4</v>
      </c>
      <c r="F386" s="3" t="s">
        <v>10</v>
      </c>
      <c r="G386" s="3" t="s">
        <v>10</v>
      </c>
      <c r="H386" s="3" t="str">
        <f>IF(cf_cl[[#This Row],[satisfaction_score]]&gt;=4,"Happy",IF(cf_cl[[#This Row],[satisfaction_score]]=3,"Neutral","Negative"))</f>
        <v>Happy</v>
      </c>
      <c r="I386" s="3" t="str">
        <f>IF(cf_cl[[#This Row],[satisfaction_score]]&lt;=2,"Low",IF(cf_cl[[#This Row],[satisfaction_score]]=3,"Medium","High"))</f>
        <v>High</v>
      </c>
      <c r="J386">
        <f>YEAR(cf_cl[[#This Row],[date_submitted]])</f>
        <v>2020</v>
      </c>
      <c r="K386" s="3" t="str">
        <f>TEXT(cf_cl[[#This Row],[date_submitted]],"mmm")</f>
        <v>May</v>
      </c>
      <c r="L386" s="3" t="str">
        <f t="shared" ref="L386:L449" si="18">"Q"&amp;ROUNDUP(MONTH(C386)/3,0)</f>
        <v>Q2</v>
      </c>
      <c r="M386" s="3" t="str">
        <f t="shared" ref="M386:M449" si="19">TEXT(C386,"dddd")</f>
        <v>Monday</v>
      </c>
      <c r="N386" s="3" t="str">
        <f t="shared" ref="N386:N449" si="20">IF(E386&lt;=2,"Yes","No")</f>
        <v>No</v>
      </c>
      <c r="O386" s="3" t="str">
        <f>IF(COUNTIF($B:$B,B386)=1,"New Customer",
IF(COUNTIF($B:$B,B386)&lt;=3,"Returning Customer","Loyal Customer"))</f>
        <v>New Customer</v>
      </c>
      <c r="P386" s="3" t="str">
        <f>IF(cf_cl[[#This Row],[referred_claim]]="Yes","Referred","Not Referred")</f>
        <v>Referred</v>
      </c>
    </row>
    <row r="387" spans="1:16" x14ac:dyDescent="0.3">
      <c r="A387" t="s">
        <v>761</v>
      </c>
      <c r="B387" t="s">
        <v>762</v>
      </c>
      <c r="C387" s="1">
        <v>44536</v>
      </c>
      <c r="D387" t="s">
        <v>37</v>
      </c>
      <c r="E387">
        <v>5</v>
      </c>
      <c r="F387" s="3" t="s">
        <v>13</v>
      </c>
      <c r="G387" s="3" t="s">
        <v>10</v>
      </c>
      <c r="H387" s="3" t="str">
        <f>IF(cf_cl[[#This Row],[satisfaction_score]]&gt;=4,"Happy",IF(cf_cl[[#This Row],[satisfaction_score]]=3,"Neutral","Negative"))</f>
        <v>Happy</v>
      </c>
      <c r="I387" s="3" t="str">
        <f>IF(cf_cl[[#This Row],[satisfaction_score]]&lt;=2,"Low",IF(cf_cl[[#This Row],[satisfaction_score]]=3,"Medium","High"))</f>
        <v>High</v>
      </c>
      <c r="J387">
        <f>YEAR(cf_cl[[#This Row],[date_submitted]])</f>
        <v>2021</v>
      </c>
      <c r="K387" s="3" t="str">
        <f>TEXT(cf_cl[[#This Row],[date_submitted]],"mmm")</f>
        <v>Dec</v>
      </c>
      <c r="L387" s="3" t="str">
        <f t="shared" si="18"/>
        <v>Q4</v>
      </c>
      <c r="M387" s="3" t="str">
        <f t="shared" si="19"/>
        <v>Monday</v>
      </c>
      <c r="N387" s="3" t="str">
        <f t="shared" si="20"/>
        <v>No</v>
      </c>
      <c r="O387" s="3" t="str">
        <f>IF(COUNTIF($B:$B,B387)=1,"New Customer",
IF(COUNTIF($B:$B,B387)&lt;=3,"Returning Customer","Loyal Customer"))</f>
        <v>New Customer</v>
      </c>
      <c r="P387" s="3" t="str">
        <f>IF(cf_cl[[#This Row],[referred_claim]]="Yes","Referred","Not Referred")</f>
        <v>Referred</v>
      </c>
    </row>
    <row r="388" spans="1:16" x14ac:dyDescent="0.3">
      <c r="A388" t="s">
        <v>763</v>
      </c>
      <c r="B388" t="s">
        <v>764</v>
      </c>
      <c r="C388" s="1">
        <v>44120</v>
      </c>
      <c r="D388" t="s">
        <v>16</v>
      </c>
      <c r="E388">
        <v>4</v>
      </c>
      <c r="F388" s="3" t="s">
        <v>13</v>
      </c>
      <c r="G388" s="3" t="s">
        <v>10</v>
      </c>
      <c r="H388" s="3" t="str">
        <f>IF(cf_cl[[#This Row],[satisfaction_score]]&gt;=4,"Happy",IF(cf_cl[[#This Row],[satisfaction_score]]=3,"Neutral","Negative"))</f>
        <v>Happy</v>
      </c>
      <c r="I388" s="3" t="str">
        <f>IF(cf_cl[[#This Row],[satisfaction_score]]&lt;=2,"Low",IF(cf_cl[[#This Row],[satisfaction_score]]=3,"Medium","High"))</f>
        <v>High</v>
      </c>
      <c r="J388">
        <f>YEAR(cf_cl[[#This Row],[date_submitted]])</f>
        <v>2020</v>
      </c>
      <c r="K388" s="3" t="str">
        <f>TEXT(cf_cl[[#This Row],[date_submitted]],"mmm")</f>
        <v>Oct</v>
      </c>
      <c r="L388" s="3" t="str">
        <f t="shared" si="18"/>
        <v>Q4</v>
      </c>
      <c r="M388" s="3" t="str">
        <f t="shared" si="19"/>
        <v>Friday</v>
      </c>
      <c r="N388" s="3" t="str">
        <f t="shared" si="20"/>
        <v>No</v>
      </c>
      <c r="O388" s="3" t="str">
        <f>IF(COUNTIF($B:$B,B388)=1,"New Customer",
IF(COUNTIF($B:$B,B388)&lt;=3,"Returning Customer","Loyal Customer"))</f>
        <v>New Customer</v>
      </c>
      <c r="P388" s="3" t="str">
        <f>IF(cf_cl[[#This Row],[referred_claim]]="Yes","Referred","Not Referred")</f>
        <v>Referred</v>
      </c>
    </row>
    <row r="389" spans="1:16" x14ac:dyDescent="0.3">
      <c r="A389" t="s">
        <v>765</v>
      </c>
      <c r="B389" t="s">
        <v>766</v>
      </c>
      <c r="C389" s="1">
        <v>44895</v>
      </c>
      <c r="D389" t="s">
        <v>28</v>
      </c>
      <c r="E389">
        <v>5</v>
      </c>
      <c r="F389" s="3" t="s">
        <v>13</v>
      </c>
      <c r="G389" s="3" t="s">
        <v>13</v>
      </c>
      <c r="H389" s="3" t="str">
        <f>IF(cf_cl[[#This Row],[satisfaction_score]]&gt;=4,"Happy",IF(cf_cl[[#This Row],[satisfaction_score]]=3,"Neutral","Negative"))</f>
        <v>Happy</v>
      </c>
      <c r="I389" s="3" t="str">
        <f>IF(cf_cl[[#This Row],[satisfaction_score]]&lt;=2,"Low",IF(cf_cl[[#This Row],[satisfaction_score]]=3,"Medium","High"))</f>
        <v>High</v>
      </c>
      <c r="J389">
        <f>YEAR(cf_cl[[#This Row],[date_submitted]])</f>
        <v>2022</v>
      </c>
      <c r="K389" s="3" t="str">
        <f>TEXT(cf_cl[[#This Row],[date_submitted]],"mmm")</f>
        <v>Nov</v>
      </c>
      <c r="L389" s="3" t="str">
        <f t="shared" si="18"/>
        <v>Q4</v>
      </c>
      <c r="M389" s="3" t="str">
        <f t="shared" si="19"/>
        <v>Wednesday</v>
      </c>
      <c r="N389" s="3" t="str">
        <f t="shared" si="20"/>
        <v>No</v>
      </c>
      <c r="O389" s="3" t="str">
        <f>IF(COUNTIF($B:$B,B389)=1,"New Customer",
IF(COUNTIF($B:$B,B389)&lt;=3,"Returning Customer","Loyal Customer"))</f>
        <v>New Customer</v>
      </c>
      <c r="P389" s="3" t="str">
        <f>IF(cf_cl[[#This Row],[referred_claim]]="Yes","Referred","Not Referred")</f>
        <v>Not Referred</v>
      </c>
    </row>
    <row r="390" spans="1:16" x14ac:dyDescent="0.3">
      <c r="A390" t="s">
        <v>767</v>
      </c>
      <c r="B390" t="s">
        <v>768</v>
      </c>
      <c r="C390" s="1">
        <v>44484</v>
      </c>
      <c r="D390" t="s">
        <v>25</v>
      </c>
      <c r="E390">
        <v>4</v>
      </c>
      <c r="F390" s="3" t="s">
        <v>13</v>
      </c>
      <c r="G390" s="3" t="s">
        <v>10</v>
      </c>
      <c r="H390" s="3" t="str">
        <f>IF(cf_cl[[#This Row],[satisfaction_score]]&gt;=4,"Happy",IF(cf_cl[[#This Row],[satisfaction_score]]=3,"Neutral","Negative"))</f>
        <v>Happy</v>
      </c>
      <c r="I390" s="3" t="str">
        <f>IF(cf_cl[[#This Row],[satisfaction_score]]&lt;=2,"Low",IF(cf_cl[[#This Row],[satisfaction_score]]=3,"Medium","High"))</f>
        <v>High</v>
      </c>
      <c r="J390">
        <f>YEAR(cf_cl[[#This Row],[date_submitted]])</f>
        <v>2021</v>
      </c>
      <c r="K390" s="3" t="str">
        <f>TEXT(cf_cl[[#This Row],[date_submitted]],"mmm")</f>
        <v>Oct</v>
      </c>
      <c r="L390" s="3" t="str">
        <f t="shared" si="18"/>
        <v>Q4</v>
      </c>
      <c r="M390" s="3" t="str">
        <f t="shared" si="19"/>
        <v>Friday</v>
      </c>
      <c r="N390" s="3" t="str">
        <f t="shared" si="20"/>
        <v>No</v>
      </c>
      <c r="O390" s="3" t="str">
        <f>IF(COUNTIF($B:$B,B390)=1,"New Customer",
IF(COUNTIF($B:$B,B390)&lt;=3,"Returning Customer","Loyal Customer"))</f>
        <v>New Customer</v>
      </c>
      <c r="P390" s="3" t="str">
        <f>IF(cf_cl[[#This Row],[referred_claim]]="Yes","Referred","Not Referred")</f>
        <v>Referred</v>
      </c>
    </row>
    <row r="391" spans="1:16" x14ac:dyDescent="0.3">
      <c r="A391" t="s">
        <v>769</v>
      </c>
      <c r="B391" t="s">
        <v>770</v>
      </c>
      <c r="C391" s="1">
        <v>44938</v>
      </c>
      <c r="D391" t="s">
        <v>68</v>
      </c>
      <c r="E391">
        <v>2</v>
      </c>
      <c r="F391" s="3" t="s">
        <v>13</v>
      </c>
      <c r="G391" s="3" t="s">
        <v>10</v>
      </c>
      <c r="H391" s="3" t="str">
        <f>IF(cf_cl[[#This Row],[satisfaction_score]]&gt;=4,"Happy",IF(cf_cl[[#This Row],[satisfaction_score]]=3,"Neutral","Negative"))</f>
        <v>Negative</v>
      </c>
      <c r="I391" s="3" t="str">
        <f>IF(cf_cl[[#This Row],[satisfaction_score]]&lt;=2,"Low",IF(cf_cl[[#This Row],[satisfaction_score]]=3,"Medium","High"))</f>
        <v>Low</v>
      </c>
      <c r="J391">
        <f>YEAR(cf_cl[[#This Row],[date_submitted]])</f>
        <v>2023</v>
      </c>
      <c r="K391" s="3" t="str">
        <f>TEXT(cf_cl[[#This Row],[date_submitted]],"mmm")</f>
        <v>Jan</v>
      </c>
      <c r="L391" s="3" t="str">
        <f t="shared" si="18"/>
        <v>Q1</v>
      </c>
      <c r="M391" s="3" t="str">
        <f t="shared" si="19"/>
        <v>Thursday</v>
      </c>
      <c r="N391" s="3" t="str">
        <f t="shared" si="20"/>
        <v>Yes</v>
      </c>
      <c r="O391" s="3" t="str">
        <f>IF(COUNTIF($B:$B,B391)=1,"New Customer",
IF(COUNTIF($B:$B,B391)&lt;=3,"Returning Customer","Loyal Customer"))</f>
        <v>Returning Customer</v>
      </c>
      <c r="P391" s="3" t="str">
        <f>IF(cf_cl[[#This Row],[referred_claim]]="Yes","Referred","Not Referred")</f>
        <v>Referred</v>
      </c>
    </row>
    <row r="392" spans="1:16" x14ac:dyDescent="0.3">
      <c r="A392" t="s">
        <v>771</v>
      </c>
      <c r="B392" t="s">
        <v>772</v>
      </c>
      <c r="C392" s="1">
        <v>44665</v>
      </c>
      <c r="D392" t="s">
        <v>19</v>
      </c>
      <c r="E392">
        <v>2</v>
      </c>
      <c r="F392" s="3" t="s">
        <v>10</v>
      </c>
      <c r="G392" s="3" t="s">
        <v>13</v>
      </c>
      <c r="H392" s="3" t="str">
        <f>IF(cf_cl[[#This Row],[satisfaction_score]]&gt;=4,"Happy",IF(cf_cl[[#This Row],[satisfaction_score]]=3,"Neutral","Negative"))</f>
        <v>Negative</v>
      </c>
      <c r="I392" s="3" t="str">
        <f>IF(cf_cl[[#This Row],[satisfaction_score]]&lt;=2,"Low",IF(cf_cl[[#This Row],[satisfaction_score]]=3,"Medium","High"))</f>
        <v>Low</v>
      </c>
      <c r="J392">
        <f>YEAR(cf_cl[[#This Row],[date_submitted]])</f>
        <v>2022</v>
      </c>
      <c r="K392" s="3" t="str">
        <f>TEXT(cf_cl[[#This Row],[date_submitted]],"mmm")</f>
        <v>Apr</v>
      </c>
      <c r="L392" s="3" t="str">
        <f t="shared" si="18"/>
        <v>Q2</v>
      </c>
      <c r="M392" s="3" t="str">
        <f t="shared" si="19"/>
        <v>Thursday</v>
      </c>
      <c r="N392" s="3" t="str">
        <f t="shared" si="20"/>
        <v>Yes</v>
      </c>
      <c r="O392" s="3" t="str">
        <f>IF(COUNTIF($B:$B,B392)=1,"New Customer",
IF(COUNTIF($B:$B,B392)&lt;=3,"Returning Customer","Loyal Customer"))</f>
        <v>Returning Customer</v>
      </c>
      <c r="P392" s="3" t="str">
        <f>IF(cf_cl[[#This Row],[referred_claim]]="Yes","Referred","Not Referred")</f>
        <v>Not Referred</v>
      </c>
    </row>
    <row r="393" spans="1:16" x14ac:dyDescent="0.3">
      <c r="A393" t="s">
        <v>773</v>
      </c>
      <c r="B393" t="s">
        <v>774</v>
      </c>
      <c r="C393" s="1">
        <v>45079</v>
      </c>
      <c r="D393" t="s">
        <v>31</v>
      </c>
      <c r="E393">
        <v>3</v>
      </c>
      <c r="F393" s="3" t="s">
        <v>10</v>
      </c>
      <c r="G393" s="3" t="s">
        <v>13</v>
      </c>
      <c r="H393" s="3" t="str">
        <f>IF(cf_cl[[#This Row],[satisfaction_score]]&gt;=4,"Happy",IF(cf_cl[[#This Row],[satisfaction_score]]=3,"Neutral","Negative"))</f>
        <v>Neutral</v>
      </c>
      <c r="I393" s="3" t="str">
        <f>IF(cf_cl[[#This Row],[satisfaction_score]]&lt;=2,"Low",IF(cf_cl[[#This Row],[satisfaction_score]]=3,"Medium","High"))</f>
        <v>Medium</v>
      </c>
      <c r="J393">
        <f>YEAR(cf_cl[[#This Row],[date_submitted]])</f>
        <v>2023</v>
      </c>
      <c r="K393" s="3" t="str">
        <f>TEXT(cf_cl[[#This Row],[date_submitted]],"mmm")</f>
        <v>Jun</v>
      </c>
      <c r="L393" s="3" t="str">
        <f t="shared" si="18"/>
        <v>Q2</v>
      </c>
      <c r="M393" s="3" t="str">
        <f t="shared" si="19"/>
        <v>Friday</v>
      </c>
      <c r="N393" s="3" t="str">
        <f t="shared" si="20"/>
        <v>No</v>
      </c>
      <c r="O393" s="3" t="str">
        <f>IF(COUNTIF($B:$B,B393)=1,"New Customer",
IF(COUNTIF($B:$B,B393)&lt;=3,"Returning Customer","Loyal Customer"))</f>
        <v>New Customer</v>
      </c>
      <c r="P393" s="3" t="str">
        <f>IF(cf_cl[[#This Row],[referred_claim]]="Yes","Referred","Not Referred")</f>
        <v>Not Referred</v>
      </c>
    </row>
    <row r="394" spans="1:16" x14ac:dyDescent="0.3">
      <c r="A394" t="s">
        <v>775</v>
      </c>
      <c r="B394" t="s">
        <v>776</v>
      </c>
      <c r="C394" s="1">
        <v>44410</v>
      </c>
      <c r="D394" t="s">
        <v>37</v>
      </c>
      <c r="E394">
        <v>3</v>
      </c>
      <c r="F394" s="3" t="s">
        <v>13</v>
      </c>
      <c r="G394" s="3" t="s">
        <v>10</v>
      </c>
      <c r="H394" s="3" t="str">
        <f>IF(cf_cl[[#This Row],[satisfaction_score]]&gt;=4,"Happy",IF(cf_cl[[#This Row],[satisfaction_score]]=3,"Neutral","Negative"))</f>
        <v>Neutral</v>
      </c>
      <c r="I394" s="3" t="str">
        <f>IF(cf_cl[[#This Row],[satisfaction_score]]&lt;=2,"Low",IF(cf_cl[[#This Row],[satisfaction_score]]=3,"Medium","High"))</f>
        <v>Medium</v>
      </c>
      <c r="J394">
        <f>YEAR(cf_cl[[#This Row],[date_submitted]])</f>
        <v>2021</v>
      </c>
      <c r="K394" s="3" t="str">
        <f>TEXT(cf_cl[[#This Row],[date_submitted]],"mmm")</f>
        <v>Aug</v>
      </c>
      <c r="L394" s="3" t="str">
        <f t="shared" si="18"/>
        <v>Q3</v>
      </c>
      <c r="M394" s="3" t="str">
        <f t="shared" si="19"/>
        <v>Monday</v>
      </c>
      <c r="N394" s="3" t="str">
        <f t="shared" si="20"/>
        <v>No</v>
      </c>
      <c r="O394" s="3" t="str">
        <f>IF(COUNTIF($B:$B,B394)=1,"New Customer",
IF(COUNTIF($B:$B,B394)&lt;=3,"Returning Customer","Loyal Customer"))</f>
        <v>New Customer</v>
      </c>
      <c r="P394" s="3" t="str">
        <f>IF(cf_cl[[#This Row],[referred_claim]]="Yes","Referred","Not Referred")</f>
        <v>Referred</v>
      </c>
    </row>
    <row r="395" spans="1:16" x14ac:dyDescent="0.3">
      <c r="A395" t="s">
        <v>777</v>
      </c>
      <c r="B395" t="s">
        <v>778</v>
      </c>
      <c r="C395" s="1">
        <v>44720</v>
      </c>
      <c r="D395" t="s">
        <v>31</v>
      </c>
      <c r="E395">
        <v>3</v>
      </c>
      <c r="F395" s="3" t="s">
        <v>13</v>
      </c>
      <c r="G395" s="3" t="s">
        <v>13</v>
      </c>
      <c r="H395" s="3" t="str">
        <f>IF(cf_cl[[#This Row],[satisfaction_score]]&gt;=4,"Happy",IF(cf_cl[[#This Row],[satisfaction_score]]=3,"Neutral","Negative"))</f>
        <v>Neutral</v>
      </c>
      <c r="I395" s="3" t="str">
        <f>IF(cf_cl[[#This Row],[satisfaction_score]]&lt;=2,"Low",IF(cf_cl[[#This Row],[satisfaction_score]]=3,"Medium","High"))</f>
        <v>Medium</v>
      </c>
      <c r="J395">
        <f>YEAR(cf_cl[[#This Row],[date_submitted]])</f>
        <v>2022</v>
      </c>
      <c r="K395" s="3" t="str">
        <f>TEXT(cf_cl[[#This Row],[date_submitted]],"mmm")</f>
        <v>Jun</v>
      </c>
      <c r="L395" s="3" t="str">
        <f t="shared" si="18"/>
        <v>Q2</v>
      </c>
      <c r="M395" s="3" t="str">
        <f t="shared" si="19"/>
        <v>Wednesday</v>
      </c>
      <c r="N395" s="3" t="str">
        <f t="shared" si="20"/>
        <v>No</v>
      </c>
      <c r="O395" s="3" t="str">
        <f>IF(COUNTIF($B:$B,B395)=1,"New Customer",
IF(COUNTIF($B:$B,B395)&lt;=3,"Returning Customer","Loyal Customer"))</f>
        <v>Returning Customer</v>
      </c>
      <c r="P395" s="3" t="str">
        <f>IF(cf_cl[[#This Row],[referred_claim]]="Yes","Referred","Not Referred")</f>
        <v>Not Referred</v>
      </c>
    </row>
    <row r="396" spans="1:16" x14ac:dyDescent="0.3">
      <c r="A396" t="s">
        <v>779</v>
      </c>
      <c r="B396" t="s">
        <v>780</v>
      </c>
      <c r="C396" s="1">
        <v>44129</v>
      </c>
      <c r="D396" t="s">
        <v>22</v>
      </c>
      <c r="E396">
        <v>5</v>
      </c>
      <c r="F396" s="3" t="s">
        <v>10</v>
      </c>
      <c r="G396" s="3" t="s">
        <v>10</v>
      </c>
      <c r="H396" s="3" t="str">
        <f>IF(cf_cl[[#This Row],[satisfaction_score]]&gt;=4,"Happy",IF(cf_cl[[#This Row],[satisfaction_score]]=3,"Neutral","Negative"))</f>
        <v>Happy</v>
      </c>
      <c r="I396" s="3" t="str">
        <f>IF(cf_cl[[#This Row],[satisfaction_score]]&lt;=2,"Low",IF(cf_cl[[#This Row],[satisfaction_score]]=3,"Medium","High"))</f>
        <v>High</v>
      </c>
      <c r="J396">
        <f>YEAR(cf_cl[[#This Row],[date_submitted]])</f>
        <v>2020</v>
      </c>
      <c r="K396" s="3" t="str">
        <f>TEXT(cf_cl[[#This Row],[date_submitted]],"mmm")</f>
        <v>Oct</v>
      </c>
      <c r="L396" s="3" t="str">
        <f t="shared" si="18"/>
        <v>Q4</v>
      </c>
      <c r="M396" s="3" t="str">
        <f t="shared" si="19"/>
        <v>Sunday</v>
      </c>
      <c r="N396" s="3" t="str">
        <f t="shared" si="20"/>
        <v>No</v>
      </c>
      <c r="O396" s="3" t="str">
        <f>IF(COUNTIF($B:$B,B396)=1,"New Customer",
IF(COUNTIF($B:$B,B396)&lt;=3,"Returning Customer","Loyal Customer"))</f>
        <v>New Customer</v>
      </c>
      <c r="P396" s="3" t="str">
        <f>IF(cf_cl[[#This Row],[referred_claim]]="Yes","Referred","Not Referred")</f>
        <v>Referred</v>
      </c>
    </row>
    <row r="397" spans="1:16" x14ac:dyDescent="0.3">
      <c r="A397" t="s">
        <v>781</v>
      </c>
      <c r="B397" t="s">
        <v>782</v>
      </c>
      <c r="C397" s="1">
        <v>44473</v>
      </c>
      <c r="D397" t="s">
        <v>28</v>
      </c>
      <c r="E397">
        <v>4</v>
      </c>
      <c r="F397" s="3" t="s">
        <v>10</v>
      </c>
      <c r="G397" s="3" t="s">
        <v>10</v>
      </c>
      <c r="H397" s="3" t="str">
        <f>IF(cf_cl[[#This Row],[satisfaction_score]]&gt;=4,"Happy",IF(cf_cl[[#This Row],[satisfaction_score]]=3,"Neutral","Negative"))</f>
        <v>Happy</v>
      </c>
      <c r="I397" s="3" t="str">
        <f>IF(cf_cl[[#This Row],[satisfaction_score]]&lt;=2,"Low",IF(cf_cl[[#This Row],[satisfaction_score]]=3,"Medium","High"))</f>
        <v>High</v>
      </c>
      <c r="J397">
        <f>YEAR(cf_cl[[#This Row],[date_submitted]])</f>
        <v>2021</v>
      </c>
      <c r="K397" s="3" t="str">
        <f>TEXT(cf_cl[[#This Row],[date_submitted]],"mmm")</f>
        <v>Oct</v>
      </c>
      <c r="L397" s="3" t="str">
        <f t="shared" si="18"/>
        <v>Q4</v>
      </c>
      <c r="M397" s="3" t="str">
        <f t="shared" si="19"/>
        <v>Monday</v>
      </c>
      <c r="N397" s="3" t="str">
        <f t="shared" si="20"/>
        <v>No</v>
      </c>
      <c r="O397" s="3" t="str">
        <f>IF(COUNTIF($B:$B,B397)=1,"New Customer",
IF(COUNTIF($B:$B,B397)&lt;=3,"Returning Customer","Loyal Customer"))</f>
        <v>New Customer</v>
      </c>
      <c r="P397" s="3" t="str">
        <f>IF(cf_cl[[#This Row],[referred_claim]]="Yes","Referred","Not Referred")</f>
        <v>Referred</v>
      </c>
    </row>
    <row r="398" spans="1:16" x14ac:dyDescent="0.3">
      <c r="A398" t="s">
        <v>783</v>
      </c>
      <c r="B398" t="s">
        <v>784</v>
      </c>
      <c r="C398" s="1">
        <v>44292</v>
      </c>
      <c r="D398" t="s">
        <v>16</v>
      </c>
      <c r="E398">
        <v>5</v>
      </c>
      <c r="F398" s="3" t="s">
        <v>10</v>
      </c>
      <c r="G398" s="3" t="s">
        <v>13</v>
      </c>
      <c r="H398" s="3" t="str">
        <f>IF(cf_cl[[#This Row],[satisfaction_score]]&gt;=4,"Happy",IF(cf_cl[[#This Row],[satisfaction_score]]=3,"Neutral","Negative"))</f>
        <v>Happy</v>
      </c>
      <c r="I398" s="3" t="str">
        <f>IF(cf_cl[[#This Row],[satisfaction_score]]&lt;=2,"Low",IF(cf_cl[[#This Row],[satisfaction_score]]=3,"Medium","High"))</f>
        <v>High</v>
      </c>
      <c r="J398">
        <f>YEAR(cf_cl[[#This Row],[date_submitted]])</f>
        <v>2021</v>
      </c>
      <c r="K398" s="3" t="str">
        <f>TEXT(cf_cl[[#This Row],[date_submitted]],"mmm")</f>
        <v>Apr</v>
      </c>
      <c r="L398" s="3" t="str">
        <f t="shared" si="18"/>
        <v>Q2</v>
      </c>
      <c r="M398" s="3" t="str">
        <f t="shared" si="19"/>
        <v>Tuesday</v>
      </c>
      <c r="N398" s="3" t="str">
        <f t="shared" si="20"/>
        <v>No</v>
      </c>
      <c r="O398" s="3" t="str">
        <f>IF(COUNTIF($B:$B,B398)=1,"New Customer",
IF(COUNTIF($B:$B,B398)&lt;=3,"Returning Customer","Loyal Customer"))</f>
        <v>New Customer</v>
      </c>
      <c r="P398" s="3" t="str">
        <f>IF(cf_cl[[#This Row],[referred_claim]]="Yes","Referred","Not Referred")</f>
        <v>Not Referred</v>
      </c>
    </row>
    <row r="399" spans="1:16" x14ac:dyDescent="0.3">
      <c r="A399" t="s">
        <v>785</v>
      </c>
      <c r="B399" t="s">
        <v>786</v>
      </c>
      <c r="C399" s="1">
        <v>45083</v>
      </c>
      <c r="D399" t="s">
        <v>9</v>
      </c>
      <c r="E399">
        <v>1</v>
      </c>
      <c r="F399" s="3" t="s">
        <v>10</v>
      </c>
      <c r="G399" s="3" t="s">
        <v>13</v>
      </c>
      <c r="H399" s="3" t="str">
        <f>IF(cf_cl[[#This Row],[satisfaction_score]]&gt;=4,"Happy",IF(cf_cl[[#This Row],[satisfaction_score]]=3,"Neutral","Negative"))</f>
        <v>Negative</v>
      </c>
      <c r="I399" s="3" t="str">
        <f>IF(cf_cl[[#This Row],[satisfaction_score]]&lt;=2,"Low",IF(cf_cl[[#This Row],[satisfaction_score]]=3,"Medium","High"))</f>
        <v>Low</v>
      </c>
      <c r="J399">
        <f>YEAR(cf_cl[[#This Row],[date_submitted]])</f>
        <v>2023</v>
      </c>
      <c r="K399" s="3" t="str">
        <f>TEXT(cf_cl[[#This Row],[date_submitted]],"mmm")</f>
        <v>Jun</v>
      </c>
      <c r="L399" s="3" t="str">
        <f t="shared" si="18"/>
        <v>Q2</v>
      </c>
      <c r="M399" s="3" t="str">
        <f t="shared" si="19"/>
        <v>Tuesday</v>
      </c>
      <c r="N399" s="3" t="str">
        <f t="shared" si="20"/>
        <v>Yes</v>
      </c>
      <c r="O399" s="3" t="str">
        <f>IF(COUNTIF($B:$B,B399)=1,"New Customer",
IF(COUNTIF($B:$B,B399)&lt;=3,"Returning Customer","Loyal Customer"))</f>
        <v>New Customer</v>
      </c>
      <c r="P399" s="3" t="str">
        <f>IF(cf_cl[[#This Row],[referred_claim]]="Yes","Referred","Not Referred")</f>
        <v>Not Referred</v>
      </c>
    </row>
    <row r="400" spans="1:16" x14ac:dyDescent="0.3">
      <c r="A400" t="s">
        <v>787</v>
      </c>
      <c r="B400" t="s">
        <v>788</v>
      </c>
      <c r="C400" s="1">
        <v>44865</v>
      </c>
      <c r="D400" t="s">
        <v>19</v>
      </c>
      <c r="E400">
        <v>3</v>
      </c>
      <c r="F400" s="3" t="s">
        <v>10</v>
      </c>
      <c r="G400" s="3" t="s">
        <v>10</v>
      </c>
      <c r="H400" s="3" t="str">
        <f>IF(cf_cl[[#This Row],[satisfaction_score]]&gt;=4,"Happy",IF(cf_cl[[#This Row],[satisfaction_score]]=3,"Neutral","Negative"))</f>
        <v>Neutral</v>
      </c>
      <c r="I400" s="3" t="str">
        <f>IF(cf_cl[[#This Row],[satisfaction_score]]&lt;=2,"Low",IF(cf_cl[[#This Row],[satisfaction_score]]=3,"Medium","High"))</f>
        <v>Medium</v>
      </c>
      <c r="J400">
        <f>YEAR(cf_cl[[#This Row],[date_submitted]])</f>
        <v>2022</v>
      </c>
      <c r="K400" s="3" t="str">
        <f>TEXT(cf_cl[[#This Row],[date_submitted]],"mmm")</f>
        <v>Oct</v>
      </c>
      <c r="L400" s="3" t="str">
        <f t="shared" si="18"/>
        <v>Q4</v>
      </c>
      <c r="M400" s="3" t="str">
        <f t="shared" si="19"/>
        <v>Monday</v>
      </c>
      <c r="N400" s="3" t="str">
        <f t="shared" si="20"/>
        <v>No</v>
      </c>
      <c r="O400" s="3" t="str">
        <f>IF(COUNTIF($B:$B,B400)=1,"New Customer",
IF(COUNTIF($B:$B,B400)&lt;=3,"Returning Customer","Loyal Customer"))</f>
        <v>New Customer</v>
      </c>
      <c r="P400" s="3" t="str">
        <f>IF(cf_cl[[#This Row],[referred_claim]]="Yes","Referred","Not Referred")</f>
        <v>Referred</v>
      </c>
    </row>
    <row r="401" spans="1:16" x14ac:dyDescent="0.3">
      <c r="A401" t="s">
        <v>789</v>
      </c>
      <c r="B401" t="s">
        <v>790</v>
      </c>
      <c r="C401" s="1">
        <v>45289</v>
      </c>
      <c r="D401" t="s">
        <v>22</v>
      </c>
      <c r="E401">
        <v>4</v>
      </c>
      <c r="F401" s="3" t="s">
        <v>10</v>
      </c>
      <c r="G401" s="3" t="s">
        <v>10</v>
      </c>
      <c r="H401" s="3" t="str">
        <f>IF(cf_cl[[#This Row],[satisfaction_score]]&gt;=4,"Happy",IF(cf_cl[[#This Row],[satisfaction_score]]=3,"Neutral","Negative"))</f>
        <v>Happy</v>
      </c>
      <c r="I401" s="3" t="str">
        <f>IF(cf_cl[[#This Row],[satisfaction_score]]&lt;=2,"Low",IF(cf_cl[[#This Row],[satisfaction_score]]=3,"Medium","High"))</f>
        <v>High</v>
      </c>
      <c r="J401">
        <f>YEAR(cf_cl[[#This Row],[date_submitted]])</f>
        <v>2023</v>
      </c>
      <c r="K401" s="3" t="str">
        <f>TEXT(cf_cl[[#This Row],[date_submitted]],"mmm")</f>
        <v>Dec</v>
      </c>
      <c r="L401" s="3" t="str">
        <f t="shared" si="18"/>
        <v>Q4</v>
      </c>
      <c r="M401" s="3" t="str">
        <f t="shared" si="19"/>
        <v>Friday</v>
      </c>
      <c r="N401" s="3" t="str">
        <f t="shared" si="20"/>
        <v>No</v>
      </c>
      <c r="O401" s="3" t="str">
        <f>IF(COUNTIF($B:$B,B401)=1,"New Customer",
IF(COUNTIF($B:$B,B401)&lt;=3,"Returning Customer","Loyal Customer"))</f>
        <v>Returning Customer</v>
      </c>
      <c r="P401" s="3" t="str">
        <f>IF(cf_cl[[#This Row],[referred_claim]]="Yes","Referred","Not Referred")</f>
        <v>Referred</v>
      </c>
    </row>
    <row r="402" spans="1:16" x14ac:dyDescent="0.3">
      <c r="A402" t="s">
        <v>791</v>
      </c>
      <c r="B402" t="s">
        <v>792</v>
      </c>
      <c r="C402" s="1">
        <v>45239</v>
      </c>
      <c r="D402" t="s">
        <v>37</v>
      </c>
      <c r="E402">
        <v>4</v>
      </c>
      <c r="F402" s="3" t="s">
        <v>10</v>
      </c>
      <c r="G402" s="3" t="s">
        <v>10</v>
      </c>
      <c r="H402" s="3" t="str">
        <f>IF(cf_cl[[#This Row],[satisfaction_score]]&gt;=4,"Happy",IF(cf_cl[[#This Row],[satisfaction_score]]=3,"Neutral","Negative"))</f>
        <v>Happy</v>
      </c>
      <c r="I402" s="3" t="str">
        <f>IF(cf_cl[[#This Row],[satisfaction_score]]&lt;=2,"Low",IF(cf_cl[[#This Row],[satisfaction_score]]=3,"Medium","High"))</f>
        <v>High</v>
      </c>
      <c r="J402">
        <f>YEAR(cf_cl[[#This Row],[date_submitted]])</f>
        <v>2023</v>
      </c>
      <c r="K402" s="3" t="str">
        <f>TEXT(cf_cl[[#This Row],[date_submitted]],"mmm")</f>
        <v>Nov</v>
      </c>
      <c r="L402" s="3" t="str">
        <f t="shared" si="18"/>
        <v>Q4</v>
      </c>
      <c r="M402" s="3" t="str">
        <f t="shared" si="19"/>
        <v>Thursday</v>
      </c>
      <c r="N402" s="3" t="str">
        <f t="shared" si="20"/>
        <v>No</v>
      </c>
      <c r="O402" s="3" t="str">
        <f>IF(COUNTIF($B:$B,B402)=1,"New Customer",
IF(COUNTIF($B:$B,B402)&lt;=3,"Returning Customer","Loyal Customer"))</f>
        <v>New Customer</v>
      </c>
      <c r="P402" s="3" t="str">
        <f>IF(cf_cl[[#This Row],[referred_claim]]="Yes","Referred","Not Referred")</f>
        <v>Referred</v>
      </c>
    </row>
    <row r="403" spans="1:16" x14ac:dyDescent="0.3">
      <c r="A403" t="s">
        <v>793</v>
      </c>
      <c r="B403" t="s">
        <v>794</v>
      </c>
      <c r="C403" s="1">
        <v>44360</v>
      </c>
      <c r="D403" t="s">
        <v>31</v>
      </c>
      <c r="E403">
        <v>2</v>
      </c>
      <c r="F403" s="3" t="s">
        <v>13</v>
      </c>
      <c r="G403" s="3" t="s">
        <v>10</v>
      </c>
      <c r="H403" s="3" t="str">
        <f>IF(cf_cl[[#This Row],[satisfaction_score]]&gt;=4,"Happy",IF(cf_cl[[#This Row],[satisfaction_score]]=3,"Neutral","Negative"))</f>
        <v>Negative</v>
      </c>
      <c r="I403" s="3" t="str">
        <f>IF(cf_cl[[#This Row],[satisfaction_score]]&lt;=2,"Low",IF(cf_cl[[#This Row],[satisfaction_score]]=3,"Medium","High"))</f>
        <v>Low</v>
      </c>
      <c r="J403">
        <f>YEAR(cf_cl[[#This Row],[date_submitted]])</f>
        <v>2021</v>
      </c>
      <c r="K403" s="3" t="str">
        <f>TEXT(cf_cl[[#This Row],[date_submitted]],"mmm")</f>
        <v>Jun</v>
      </c>
      <c r="L403" s="3" t="str">
        <f t="shared" si="18"/>
        <v>Q2</v>
      </c>
      <c r="M403" s="3" t="str">
        <f t="shared" si="19"/>
        <v>Sunday</v>
      </c>
      <c r="N403" s="3" t="str">
        <f t="shared" si="20"/>
        <v>Yes</v>
      </c>
      <c r="O403" s="3" t="str">
        <f>IF(COUNTIF($B:$B,B403)=1,"New Customer",
IF(COUNTIF($B:$B,B403)&lt;=3,"Returning Customer","Loyal Customer"))</f>
        <v>New Customer</v>
      </c>
      <c r="P403" s="3" t="str">
        <f>IF(cf_cl[[#This Row],[referred_claim]]="Yes","Referred","Not Referred")</f>
        <v>Referred</v>
      </c>
    </row>
    <row r="404" spans="1:16" x14ac:dyDescent="0.3">
      <c r="A404" t="s">
        <v>795</v>
      </c>
      <c r="B404" t="s">
        <v>796</v>
      </c>
      <c r="C404" s="1">
        <v>44354</v>
      </c>
      <c r="D404" t="s">
        <v>9</v>
      </c>
      <c r="E404">
        <v>2</v>
      </c>
      <c r="F404" s="3" t="s">
        <v>10</v>
      </c>
      <c r="G404" s="3" t="s">
        <v>13</v>
      </c>
      <c r="H404" s="3" t="str">
        <f>IF(cf_cl[[#This Row],[satisfaction_score]]&gt;=4,"Happy",IF(cf_cl[[#This Row],[satisfaction_score]]=3,"Neutral","Negative"))</f>
        <v>Negative</v>
      </c>
      <c r="I404" s="3" t="str">
        <f>IF(cf_cl[[#This Row],[satisfaction_score]]&lt;=2,"Low",IF(cf_cl[[#This Row],[satisfaction_score]]=3,"Medium","High"))</f>
        <v>Low</v>
      </c>
      <c r="J404">
        <f>YEAR(cf_cl[[#This Row],[date_submitted]])</f>
        <v>2021</v>
      </c>
      <c r="K404" s="3" t="str">
        <f>TEXT(cf_cl[[#This Row],[date_submitted]],"mmm")</f>
        <v>Jun</v>
      </c>
      <c r="L404" s="3" t="str">
        <f t="shared" si="18"/>
        <v>Q2</v>
      </c>
      <c r="M404" s="3" t="str">
        <f t="shared" si="19"/>
        <v>Monday</v>
      </c>
      <c r="N404" s="3" t="str">
        <f t="shared" si="20"/>
        <v>Yes</v>
      </c>
      <c r="O404" s="3" t="str">
        <f>IF(COUNTIF($B:$B,B404)=1,"New Customer",
IF(COUNTIF($B:$B,B404)&lt;=3,"Returning Customer","Loyal Customer"))</f>
        <v>New Customer</v>
      </c>
      <c r="P404" s="3" t="str">
        <f>IF(cf_cl[[#This Row],[referred_claim]]="Yes","Referred","Not Referred")</f>
        <v>Not Referred</v>
      </c>
    </row>
    <row r="405" spans="1:16" x14ac:dyDescent="0.3">
      <c r="A405" t="s">
        <v>797</v>
      </c>
      <c r="B405" t="s">
        <v>89</v>
      </c>
      <c r="C405" s="1">
        <v>44726</v>
      </c>
      <c r="D405" t="s">
        <v>37</v>
      </c>
      <c r="E405">
        <v>4</v>
      </c>
      <c r="F405" s="3" t="s">
        <v>13</v>
      </c>
      <c r="G405" s="3" t="s">
        <v>13</v>
      </c>
      <c r="H405" s="3" t="str">
        <f>IF(cf_cl[[#This Row],[satisfaction_score]]&gt;=4,"Happy",IF(cf_cl[[#This Row],[satisfaction_score]]=3,"Neutral","Negative"))</f>
        <v>Happy</v>
      </c>
      <c r="I405" s="3" t="str">
        <f>IF(cf_cl[[#This Row],[satisfaction_score]]&lt;=2,"Low",IF(cf_cl[[#This Row],[satisfaction_score]]=3,"Medium","High"))</f>
        <v>High</v>
      </c>
      <c r="J405">
        <f>YEAR(cf_cl[[#This Row],[date_submitted]])</f>
        <v>2022</v>
      </c>
      <c r="K405" s="3" t="str">
        <f>TEXT(cf_cl[[#This Row],[date_submitted]],"mmm")</f>
        <v>Jun</v>
      </c>
      <c r="L405" s="3" t="str">
        <f t="shared" si="18"/>
        <v>Q2</v>
      </c>
      <c r="M405" s="3" t="str">
        <f t="shared" si="19"/>
        <v>Tuesday</v>
      </c>
      <c r="N405" s="3" t="str">
        <f t="shared" si="20"/>
        <v>No</v>
      </c>
      <c r="O405" s="3" t="str">
        <f>IF(COUNTIF($B:$B,B405)=1,"New Customer",
IF(COUNTIF($B:$B,B405)&lt;=3,"Returning Customer","Loyal Customer"))</f>
        <v>Returning Customer</v>
      </c>
      <c r="P405" s="3" t="str">
        <f>IF(cf_cl[[#This Row],[referred_claim]]="Yes","Referred","Not Referred")</f>
        <v>Not Referred</v>
      </c>
    </row>
    <row r="406" spans="1:16" x14ac:dyDescent="0.3">
      <c r="A406" t="s">
        <v>798</v>
      </c>
      <c r="B406" t="s">
        <v>799</v>
      </c>
      <c r="C406" s="1">
        <v>44357</v>
      </c>
      <c r="D406" t="s">
        <v>22</v>
      </c>
      <c r="E406">
        <v>5</v>
      </c>
      <c r="F406" s="3" t="s">
        <v>10</v>
      </c>
      <c r="G406" s="3" t="s">
        <v>13</v>
      </c>
      <c r="H406" s="3" t="str">
        <f>IF(cf_cl[[#This Row],[satisfaction_score]]&gt;=4,"Happy",IF(cf_cl[[#This Row],[satisfaction_score]]=3,"Neutral","Negative"))</f>
        <v>Happy</v>
      </c>
      <c r="I406" s="3" t="str">
        <f>IF(cf_cl[[#This Row],[satisfaction_score]]&lt;=2,"Low",IF(cf_cl[[#This Row],[satisfaction_score]]=3,"Medium","High"))</f>
        <v>High</v>
      </c>
      <c r="J406">
        <f>YEAR(cf_cl[[#This Row],[date_submitted]])</f>
        <v>2021</v>
      </c>
      <c r="K406" s="3" t="str">
        <f>TEXT(cf_cl[[#This Row],[date_submitted]],"mmm")</f>
        <v>Jun</v>
      </c>
      <c r="L406" s="3" t="str">
        <f t="shared" si="18"/>
        <v>Q2</v>
      </c>
      <c r="M406" s="3" t="str">
        <f t="shared" si="19"/>
        <v>Thursday</v>
      </c>
      <c r="N406" s="3" t="str">
        <f t="shared" si="20"/>
        <v>No</v>
      </c>
      <c r="O406" s="3" t="str">
        <f>IF(COUNTIF($B:$B,B406)=1,"New Customer",
IF(COUNTIF($B:$B,B406)&lt;=3,"Returning Customer","Loyal Customer"))</f>
        <v>New Customer</v>
      </c>
      <c r="P406" s="3" t="str">
        <f>IF(cf_cl[[#This Row],[referred_claim]]="Yes","Referred","Not Referred")</f>
        <v>Not Referred</v>
      </c>
    </row>
    <row r="407" spans="1:16" x14ac:dyDescent="0.3">
      <c r="A407" t="s">
        <v>800</v>
      </c>
      <c r="B407" t="s">
        <v>801</v>
      </c>
      <c r="C407" s="1">
        <v>44438</v>
      </c>
      <c r="D407" t="s">
        <v>25</v>
      </c>
      <c r="E407">
        <v>5</v>
      </c>
      <c r="F407" s="3" t="s">
        <v>13</v>
      </c>
      <c r="G407" s="3" t="s">
        <v>10</v>
      </c>
      <c r="H407" s="3" t="str">
        <f>IF(cf_cl[[#This Row],[satisfaction_score]]&gt;=4,"Happy",IF(cf_cl[[#This Row],[satisfaction_score]]=3,"Neutral","Negative"))</f>
        <v>Happy</v>
      </c>
      <c r="I407" s="3" t="str">
        <f>IF(cf_cl[[#This Row],[satisfaction_score]]&lt;=2,"Low",IF(cf_cl[[#This Row],[satisfaction_score]]=3,"Medium","High"))</f>
        <v>High</v>
      </c>
      <c r="J407">
        <f>YEAR(cf_cl[[#This Row],[date_submitted]])</f>
        <v>2021</v>
      </c>
      <c r="K407" s="3" t="str">
        <f>TEXT(cf_cl[[#This Row],[date_submitted]],"mmm")</f>
        <v>Aug</v>
      </c>
      <c r="L407" s="3" t="str">
        <f t="shared" si="18"/>
        <v>Q3</v>
      </c>
      <c r="M407" s="3" t="str">
        <f t="shared" si="19"/>
        <v>Monday</v>
      </c>
      <c r="N407" s="3" t="str">
        <f t="shared" si="20"/>
        <v>No</v>
      </c>
      <c r="O407" s="3" t="str">
        <f>IF(COUNTIF($B:$B,B407)=1,"New Customer",
IF(COUNTIF($B:$B,B407)&lt;=3,"Returning Customer","Loyal Customer"))</f>
        <v>New Customer</v>
      </c>
      <c r="P407" s="3" t="str">
        <f>IF(cf_cl[[#This Row],[referred_claim]]="Yes","Referred","Not Referred")</f>
        <v>Referred</v>
      </c>
    </row>
    <row r="408" spans="1:16" x14ac:dyDescent="0.3">
      <c r="A408" t="s">
        <v>802</v>
      </c>
      <c r="B408" t="s">
        <v>803</v>
      </c>
      <c r="C408" s="1">
        <v>44404</v>
      </c>
      <c r="D408" t="s">
        <v>25</v>
      </c>
      <c r="E408">
        <v>5</v>
      </c>
      <c r="F408" s="3" t="s">
        <v>13</v>
      </c>
      <c r="G408" s="3" t="s">
        <v>13</v>
      </c>
      <c r="H408" s="3" t="str">
        <f>IF(cf_cl[[#This Row],[satisfaction_score]]&gt;=4,"Happy",IF(cf_cl[[#This Row],[satisfaction_score]]=3,"Neutral","Negative"))</f>
        <v>Happy</v>
      </c>
      <c r="I408" s="3" t="str">
        <f>IF(cf_cl[[#This Row],[satisfaction_score]]&lt;=2,"Low",IF(cf_cl[[#This Row],[satisfaction_score]]=3,"Medium","High"))</f>
        <v>High</v>
      </c>
      <c r="J408">
        <f>YEAR(cf_cl[[#This Row],[date_submitted]])</f>
        <v>2021</v>
      </c>
      <c r="K408" s="3" t="str">
        <f>TEXT(cf_cl[[#This Row],[date_submitted]],"mmm")</f>
        <v>Jul</v>
      </c>
      <c r="L408" s="3" t="str">
        <f t="shared" si="18"/>
        <v>Q3</v>
      </c>
      <c r="M408" s="3" t="str">
        <f t="shared" si="19"/>
        <v>Tuesday</v>
      </c>
      <c r="N408" s="3" t="str">
        <f t="shared" si="20"/>
        <v>No</v>
      </c>
      <c r="O408" s="3" t="str">
        <f>IF(COUNTIF($B:$B,B408)=1,"New Customer",
IF(COUNTIF($B:$B,B408)&lt;=3,"Returning Customer","Loyal Customer"))</f>
        <v>New Customer</v>
      </c>
      <c r="P408" s="3" t="str">
        <f>IF(cf_cl[[#This Row],[referred_claim]]="Yes","Referred","Not Referred")</f>
        <v>Not Referred</v>
      </c>
    </row>
    <row r="409" spans="1:16" x14ac:dyDescent="0.3">
      <c r="A409" t="s">
        <v>804</v>
      </c>
      <c r="B409" t="s">
        <v>805</v>
      </c>
      <c r="C409" s="1">
        <v>44204</v>
      </c>
      <c r="D409" t="s">
        <v>16</v>
      </c>
      <c r="E409">
        <v>4</v>
      </c>
      <c r="F409" s="3" t="s">
        <v>10</v>
      </c>
      <c r="G409" s="3" t="s">
        <v>10</v>
      </c>
      <c r="H409" s="3" t="str">
        <f>IF(cf_cl[[#This Row],[satisfaction_score]]&gt;=4,"Happy",IF(cf_cl[[#This Row],[satisfaction_score]]=3,"Neutral","Negative"))</f>
        <v>Happy</v>
      </c>
      <c r="I409" s="3" t="str">
        <f>IF(cf_cl[[#This Row],[satisfaction_score]]&lt;=2,"Low",IF(cf_cl[[#This Row],[satisfaction_score]]=3,"Medium","High"))</f>
        <v>High</v>
      </c>
      <c r="J409">
        <f>YEAR(cf_cl[[#This Row],[date_submitted]])</f>
        <v>2021</v>
      </c>
      <c r="K409" s="3" t="str">
        <f>TEXT(cf_cl[[#This Row],[date_submitted]],"mmm")</f>
        <v>Jan</v>
      </c>
      <c r="L409" s="3" t="str">
        <f t="shared" si="18"/>
        <v>Q1</v>
      </c>
      <c r="M409" s="3" t="str">
        <f t="shared" si="19"/>
        <v>Friday</v>
      </c>
      <c r="N409" s="3" t="str">
        <f t="shared" si="20"/>
        <v>No</v>
      </c>
      <c r="O409" s="3" t="str">
        <f>IF(COUNTIF($B:$B,B409)=1,"New Customer",
IF(COUNTIF($B:$B,B409)&lt;=3,"Returning Customer","Loyal Customer"))</f>
        <v>Returning Customer</v>
      </c>
      <c r="P409" s="3" t="str">
        <f>IF(cf_cl[[#This Row],[referred_claim]]="Yes","Referred","Not Referred")</f>
        <v>Referred</v>
      </c>
    </row>
    <row r="410" spans="1:16" x14ac:dyDescent="0.3">
      <c r="A410" t="s">
        <v>806</v>
      </c>
      <c r="B410" t="s">
        <v>113</v>
      </c>
      <c r="C410" s="1">
        <v>45258</v>
      </c>
      <c r="D410" t="s">
        <v>22</v>
      </c>
      <c r="E410">
        <v>5</v>
      </c>
      <c r="F410" s="3" t="s">
        <v>13</v>
      </c>
      <c r="G410" s="3" t="s">
        <v>13</v>
      </c>
      <c r="H410" s="3" t="str">
        <f>IF(cf_cl[[#This Row],[satisfaction_score]]&gt;=4,"Happy",IF(cf_cl[[#This Row],[satisfaction_score]]=3,"Neutral","Negative"))</f>
        <v>Happy</v>
      </c>
      <c r="I410" s="3" t="str">
        <f>IF(cf_cl[[#This Row],[satisfaction_score]]&lt;=2,"Low",IF(cf_cl[[#This Row],[satisfaction_score]]=3,"Medium","High"))</f>
        <v>High</v>
      </c>
      <c r="J410">
        <f>YEAR(cf_cl[[#This Row],[date_submitted]])</f>
        <v>2023</v>
      </c>
      <c r="K410" s="3" t="str">
        <f>TEXT(cf_cl[[#This Row],[date_submitted]],"mmm")</f>
        <v>Nov</v>
      </c>
      <c r="L410" s="3" t="str">
        <f t="shared" si="18"/>
        <v>Q4</v>
      </c>
      <c r="M410" s="3" t="str">
        <f t="shared" si="19"/>
        <v>Tuesday</v>
      </c>
      <c r="N410" s="3" t="str">
        <f t="shared" si="20"/>
        <v>No</v>
      </c>
      <c r="O410" s="3" t="str">
        <f>IF(COUNTIF($B:$B,B410)=1,"New Customer",
IF(COUNTIF($B:$B,B410)&lt;=3,"Returning Customer","Loyal Customer"))</f>
        <v>Returning Customer</v>
      </c>
      <c r="P410" s="3" t="str">
        <f>IF(cf_cl[[#This Row],[referred_claim]]="Yes","Referred","Not Referred")</f>
        <v>Not Referred</v>
      </c>
    </row>
    <row r="411" spans="1:16" x14ac:dyDescent="0.3">
      <c r="A411" t="s">
        <v>807</v>
      </c>
      <c r="B411" t="s">
        <v>808</v>
      </c>
      <c r="C411" s="1">
        <v>44207</v>
      </c>
      <c r="D411" t="s">
        <v>16</v>
      </c>
      <c r="E411">
        <v>4</v>
      </c>
      <c r="F411" s="3" t="s">
        <v>10</v>
      </c>
      <c r="G411" s="3" t="s">
        <v>10</v>
      </c>
      <c r="H411" s="3" t="str">
        <f>IF(cf_cl[[#This Row],[satisfaction_score]]&gt;=4,"Happy",IF(cf_cl[[#This Row],[satisfaction_score]]=3,"Neutral","Negative"))</f>
        <v>Happy</v>
      </c>
      <c r="I411" s="3" t="str">
        <f>IF(cf_cl[[#This Row],[satisfaction_score]]&lt;=2,"Low",IF(cf_cl[[#This Row],[satisfaction_score]]=3,"Medium","High"))</f>
        <v>High</v>
      </c>
      <c r="J411">
        <f>YEAR(cf_cl[[#This Row],[date_submitted]])</f>
        <v>2021</v>
      </c>
      <c r="K411" s="3" t="str">
        <f>TEXT(cf_cl[[#This Row],[date_submitted]],"mmm")</f>
        <v>Jan</v>
      </c>
      <c r="L411" s="3" t="str">
        <f t="shared" si="18"/>
        <v>Q1</v>
      </c>
      <c r="M411" s="3" t="str">
        <f t="shared" si="19"/>
        <v>Monday</v>
      </c>
      <c r="N411" s="3" t="str">
        <f t="shared" si="20"/>
        <v>No</v>
      </c>
      <c r="O411" s="3" t="str">
        <f>IF(COUNTIF($B:$B,B411)=1,"New Customer",
IF(COUNTIF($B:$B,B411)&lt;=3,"Returning Customer","Loyal Customer"))</f>
        <v>New Customer</v>
      </c>
      <c r="P411" s="3" t="str">
        <f>IF(cf_cl[[#This Row],[referred_claim]]="Yes","Referred","Not Referred")</f>
        <v>Referred</v>
      </c>
    </row>
    <row r="412" spans="1:16" x14ac:dyDescent="0.3">
      <c r="A412" t="s">
        <v>809</v>
      </c>
      <c r="B412" t="s">
        <v>810</v>
      </c>
      <c r="C412" s="1">
        <v>45197</v>
      </c>
      <c r="D412" t="s">
        <v>19</v>
      </c>
      <c r="E412">
        <v>3</v>
      </c>
      <c r="F412" s="3" t="s">
        <v>13</v>
      </c>
      <c r="G412" s="3" t="s">
        <v>13</v>
      </c>
      <c r="H412" s="3" t="str">
        <f>IF(cf_cl[[#This Row],[satisfaction_score]]&gt;=4,"Happy",IF(cf_cl[[#This Row],[satisfaction_score]]=3,"Neutral","Negative"))</f>
        <v>Neutral</v>
      </c>
      <c r="I412" s="3" t="str">
        <f>IF(cf_cl[[#This Row],[satisfaction_score]]&lt;=2,"Low",IF(cf_cl[[#This Row],[satisfaction_score]]=3,"Medium","High"))</f>
        <v>Medium</v>
      </c>
      <c r="J412">
        <f>YEAR(cf_cl[[#This Row],[date_submitted]])</f>
        <v>2023</v>
      </c>
      <c r="K412" s="3" t="str">
        <f>TEXT(cf_cl[[#This Row],[date_submitted]],"mmm")</f>
        <v>Sep</v>
      </c>
      <c r="L412" s="3" t="str">
        <f t="shared" si="18"/>
        <v>Q3</v>
      </c>
      <c r="M412" s="3" t="str">
        <f t="shared" si="19"/>
        <v>Thursday</v>
      </c>
      <c r="N412" s="3" t="str">
        <f t="shared" si="20"/>
        <v>No</v>
      </c>
      <c r="O412" s="3" t="str">
        <f>IF(COUNTIF($B:$B,B412)=1,"New Customer",
IF(COUNTIF($B:$B,B412)&lt;=3,"Returning Customer","Loyal Customer"))</f>
        <v>New Customer</v>
      </c>
      <c r="P412" s="3" t="str">
        <f>IF(cf_cl[[#This Row],[referred_claim]]="Yes","Referred","Not Referred")</f>
        <v>Not Referred</v>
      </c>
    </row>
    <row r="413" spans="1:16" x14ac:dyDescent="0.3">
      <c r="A413" t="s">
        <v>811</v>
      </c>
      <c r="B413" t="s">
        <v>812</v>
      </c>
      <c r="C413" s="1">
        <v>45059</v>
      </c>
      <c r="D413" t="s">
        <v>68</v>
      </c>
      <c r="E413">
        <v>2</v>
      </c>
      <c r="F413" s="3" t="s">
        <v>13</v>
      </c>
      <c r="G413" s="3" t="s">
        <v>10</v>
      </c>
      <c r="H413" s="3" t="str">
        <f>IF(cf_cl[[#This Row],[satisfaction_score]]&gt;=4,"Happy",IF(cf_cl[[#This Row],[satisfaction_score]]=3,"Neutral","Negative"))</f>
        <v>Negative</v>
      </c>
      <c r="I413" s="3" t="str">
        <f>IF(cf_cl[[#This Row],[satisfaction_score]]&lt;=2,"Low",IF(cf_cl[[#This Row],[satisfaction_score]]=3,"Medium","High"))</f>
        <v>Low</v>
      </c>
      <c r="J413">
        <f>YEAR(cf_cl[[#This Row],[date_submitted]])</f>
        <v>2023</v>
      </c>
      <c r="K413" s="3" t="str">
        <f>TEXT(cf_cl[[#This Row],[date_submitted]],"mmm")</f>
        <v>May</v>
      </c>
      <c r="L413" s="3" t="str">
        <f t="shared" si="18"/>
        <v>Q2</v>
      </c>
      <c r="M413" s="3" t="str">
        <f t="shared" si="19"/>
        <v>Saturday</v>
      </c>
      <c r="N413" s="3" t="str">
        <f t="shared" si="20"/>
        <v>Yes</v>
      </c>
      <c r="O413" s="3" t="str">
        <f>IF(COUNTIF($B:$B,B413)=1,"New Customer",
IF(COUNTIF($B:$B,B413)&lt;=3,"Returning Customer","Loyal Customer"))</f>
        <v>Returning Customer</v>
      </c>
      <c r="P413" s="3" t="str">
        <f>IF(cf_cl[[#This Row],[referred_claim]]="Yes","Referred","Not Referred")</f>
        <v>Referred</v>
      </c>
    </row>
    <row r="414" spans="1:16" x14ac:dyDescent="0.3">
      <c r="A414" t="s">
        <v>813</v>
      </c>
      <c r="B414" t="s">
        <v>814</v>
      </c>
      <c r="C414" s="1">
        <v>45090</v>
      </c>
      <c r="D414" t="s">
        <v>25</v>
      </c>
      <c r="E414">
        <v>5</v>
      </c>
      <c r="F414" s="3" t="s">
        <v>13</v>
      </c>
      <c r="G414" s="3" t="s">
        <v>13</v>
      </c>
      <c r="H414" s="3" t="str">
        <f>IF(cf_cl[[#This Row],[satisfaction_score]]&gt;=4,"Happy",IF(cf_cl[[#This Row],[satisfaction_score]]=3,"Neutral","Negative"))</f>
        <v>Happy</v>
      </c>
      <c r="I414" s="3" t="str">
        <f>IF(cf_cl[[#This Row],[satisfaction_score]]&lt;=2,"Low",IF(cf_cl[[#This Row],[satisfaction_score]]=3,"Medium","High"))</f>
        <v>High</v>
      </c>
      <c r="J414">
        <f>YEAR(cf_cl[[#This Row],[date_submitted]])</f>
        <v>2023</v>
      </c>
      <c r="K414" s="3" t="str">
        <f>TEXT(cf_cl[[#This Row],[date_submitted]],"mmm")</f>
        <v>Jun</v>
      </c>
      <c r="L414" s="3" t="str">
        <f t="shared" si="18"/>
        <v>Q2</v>
      </c>
      <c r="M414" s="3" t="str">
        <f t="shared" si="19"/>
        <v>Tuesday</v>
      </c>
      <c r="N414" s="3" t="str">
        <f t="shared" si="20"/>
        <v>No</v>
      </c>
      <c r="O414" s="3" t="str">
        <f>IF(COUNTIF($B:$B,B414)=1,"New Customer",
IF(COUNTIF($B:$B,B414)&lt;=3,"Returning Customer","Loyal Customer"))</f>
        <v>New Customer</v>
      </c>
      <c r="P414" s="3" t="str">
        <f>IF(cf_cl[[#This Row],[referred_claim]]="Yes","Referred","Not Referred")</f>
        <v>Not Referred</v>
      </c>
    </row>
    <row r="415" spans="1:16" x14ac:dyDescent="0.3">
      <c r="A415" t="s">
        <v>815</v>
      </c>
      <c r="B415" t="s">
        <v>816</v>
      </c>
      <c r="C415" s="1">
        <v>44735</v>
      </c>
      <c r="D415" t="s">
        <v>25</v>
      </c>
      <c r="E415">
        <v>5</v>
      </c>
      <c r="F415" s="3" t="s">
        <v>13</v>
      </c>
      <c r="G415" s="3" t="s">
        <v>13</v>
      </c>
      <c r="H415" s="3" t="str">
        <f>IF(cf_cl[[#This Row],[satisfaction_score]]&gt;=4,"Happy",IF(cf_cl[[#This Row],[satisfaction_score]]=3,"Neutral","Negative"))</f>
        <v>Happy</v>
      </c>
      <c r="I415" s="3" t="str">
        <f>IF(cf_cl[[#This Row],[satisfaction_score]]&lt;=2,"Low",IF(cf_cl[[#This Row],[satisfaction_score]]=3,"Medium","High"))</f>
        <v>High</v>
      </c>
      <c r="J415">
        <f>YEAR(cf_cl[[#This Row],[date_submitted]])</f>
        <v>2022</v>
      </c>
      <c r="K415" s="3" t="str">
        <f>TEXT(cf_cl[[#This Row],[date_submitted]],"mmm")</f>
        <v>Jun</v>
      </c>
      <c r="L415" s="3" t="str">
        <f t="shared" si="18"/>
        <v>Q2</v>
      </c>
      <c r="M415" s="3" t="str">
        <f t="shared" si="19"/>
        <v>Thursday</v>
      </c>
      <c r="N415" s="3" t="str">
        <f t="shared" si="20"/>
        <v>No</v>
      </c>
      <c r="O415" s="3" t="str">
        <f>IF(COUNTIF($B:$B,B415)=1,"New Customer",
IF(COUNTIF($B:$B,B415)&lt;=3,"Returning Customer","Loyal Customer"))</f>
        <v>New Customer</v>
      </c>
      <c r="P415" s="3" t="str">
        <f>IF(cf_cl[[#This Row],[referred_claim]]="Yes","Referred","Not Referred")</f>
        <v>Not Referred</v>
      </c>
    </row>
    <row r="416" spans="1:16" x14ac:dyDescent="0.3">
      <c r="A416" t="s">
        <v>817</v>
      </c>
      <c r="B416" t="s">
        <v>818</v>
      </c>
      <c r="C416" s="1">
        <v>44234</v>
      </c>
      <c r="D416" t="s">
        <v>22</v>
      </c>
      <c r="E416">
        <v>5</v>
      </c>
      <c r="F416" s="3" t="s">
        <v>10</v>
      </c>
      <c r="G416" s="3" t="s">
        <v>10</v>
      </c>
      <c r="H416" s="3" t="str">
        <f>IF(cf_cl[[#This Row],[satisfaction_score]]&gt;=4,"Happy",IF(cf_cl[[#This Row],[satisfaction_score]]=3,"Neutral","Negative"))</f>
        <v>Happy</v>
      </c>
      <c r="I416" s="3" t="str">
        <f>IF(cf_cl[[#This Row],[satisfaction_score]]&lt;=2,"Low",IF(cf_cl[[#This Row],[satisfaction_score]]=3,"Medium","High"))</f>
        <v>High</v>
      </c>
      <c r="J416">
        <f>YEAR(cf_cl[[#This Row],[date_submitted]])</f>
        <v>2021</v>
      </c>
      <c r="K416" s="3" t="str">
        <f>TEXT(cf_cl[[#This Row],[date_submitted]],"mmm")</f>
        <v>Feb</v>
      </c>
      <c r="L416" s="3" t="str">
        <f t="shared" si="18"/>
        <v>Q1</v>
      </c>
      <c r="M416" s="3" t="str">
        <f t="shared" si="19"/>
        <v>Sunday</v>
      </c>
      <c r="N416" s="3" t="str">
        <f t="shared" si="20"/>
        <v>No</v>
      </c>
      <c r="O416" s="3" t="str">
        <f>IF(COUNTIF($B:$B,B416)=1,"New Customer",
IF(COUNTIF($B:$B,B416)&lt;=3,"Returning Customer","Loyal Customer"))</f>
        <v>New Customer</v>
      </c>
      <c r="P416" s="3" t="str">
        <f>IF(cf_cl[[#This Row],[referred_claim]]="Yes","Referred","Not Referred")</f>
        <v>Referred</v>
      </c>
    </row>
    <row r="417" spans="1:16" x14ac:dyDescent="0.3">
      <c r="A417" t="s">
        <v>819</v>
      </c>
      <c r="B417" t="s">
        <v>820</v>
      </c>
      <c r="C417" s="1">
        <v>44985</v>
      </c>
      <c r="D417" t="s">
        <v>25</v>
      </c>
      <c r="E417">
        <v>5</v>
      </c>
      <c r="F417" s="3" t="s">
        <v>10</v>
      </c>
      <c r="G417" s="3" t="s">
        <v>13</v>
      </c>
      <c r="H417" s="3" t="str">
        <f>IF(cf_cl[[#This Row],[satisfaction_score]]&gt;=4,"Happy",IF(cf_cl[[#This Row],[satisfaction_score]]=3,"Neutral","Negative"))</f>
        <v>Happy</v>
      </c>
      <c r="I417" s="3" t="str">
        <f>IF(cf_cl[[#This Row],[satisfaction_score]]&lt;=2,"Low",IF(cf_cl[[#This Row],[satisfaction_score]]=3,"Medium","High"))</f>
        <v>High</v>
      </c>
      <c r="J417">
        <f>YEAR(cf_cl[[#This Row],[date_submitted]])</f>
        <v>2023</v>
      </c>
      <c r="K417" s="3" t="str">
        <f>TEXT(cf_cl[[#This Row],[date_submitted]],"mmm")</f>
        <v>Feb</v>
      </c>
      <c r="L417" s="3" t="str">
        <f t="shared" si="18"/>
        <v>Q1</v>
      </c>
      <c r="M417" s="3" t="str">
        <f t="shared" si="19"/>
        <v>Tuesday</v>
      </c>
      <c r="N417" s="3" t="str">
        <f t="shared" si="20"/>
        <v>No</v>
      </c>
      <c r="O417" s="3" t="str">
        <f>IF(COUNTIF($B:$B,B417)=1,"New Customer",
IF(COUNTIF($B:$B,B417)&lt;=3,"Returning Customer","Loyal Customer"))</f>
        <v>Returning Customer</v>
      </c>
      <c r="P417" s="3" t="str">
        <f>IF(cf_cl[[#This Row],[referred_claim]]="Yes","Referred","Not Referred")</f>
        <v>Not Referred</v>
      </c>
    </row>
    <row r="418" spans="1:16" x14ac:dyDescent="0.3">
      <c r="A418" t="s">
        <v>821</v>
      </c>
      <c r="B418" t="s">
        <v>822</v>
      </c>
      <c r="C418" s="1">
        <v>44045</v>
      </c>
      <c r="D418" t="s">
        <v>22</v>
      </c>
      <c r="E418">
        <v>4</v>
      </c>
      <c r="F418" s="3" t="s">
        <v>10</v>
      </c>
      <c r="G418" s="3" t="s">
        <v>13</v>
      </c>
      <c r="H418" s="3" t="str">
        <f>IF(cf_cl[[#This Row],[satisfaction_score]]&gt;=4,"Happy",IF(cf_cl[[#This Row],[satisfaction_score]]=3,"Neutral","Negative"))</f>
        <v>Happy</v>
      </c>
      <c r="I418" s="3" t="str">
        <f>IF(cf_cl[[#This Row],[satisfaction_score]]&lt;=2,"Low",IF(cf_cl[[#This Row],[satisfaction_score]]=3,"Medium","High"))</f>
        <v>High</v>
      </c>
      <c r="J418">
        <f>YEAR(cf_cl[[#This Row],[date_submitted]])</f>
        <v>2020</v>
      </c>
      <c r="K418" s="3" t="str">
        <f>TEXT(cf_cl[[#This Row],[date_submitted]],"mmm")</f>
        <v>Aug</v>
      </c>
      <c r="L418" s="3" t="str">
        <f t="shared" si="18"/>
        <v>Q3</v>
      </c>
      <c r="M418" s="3" t="str">
        <f t="shared" si="19"/>
        <v>Sunday</v>
      </c>
      <c r="N418" s="3" t="str">
        <f t="shared" si="20"/>
        <v>No</v>
      </c>
      <c r="O418" s="3" t="str">
        <f>IF(COUNTIF($B:$B,B418)=1,"New Customer",
IF(COUNTIF($B:$B,B418)&lt;=3,"Returning Customer","Loyal Customer"))</f>
        <v>Returning Customer</v>
      </c>
      <c r="P418" s="3" t="str">
        <f>IF(cf_cl[[#This Row],[referred_claim]]="Yes","Referred","Not Referred")</f>
        <v>Not Referred</v>
      </c>
    </row>
    <row r="419" spans="1:16" x14ac:dyDescent="0.3">
      <c r="A419" t="s">
        <v>823</v>
      </c>
      <c r="B419" t="s">
        <v>824</v>
      </c>
      <c r="C419" s="1">
        <v>44332</v>
      </c>
      <c r="D419" t="s">
        <v>28</v>
      </c>
      <c r="E419">
        <v>4</v>
      </c>
      <c r="F419" s="3" t="s">
        <v>10</v>
      </c>
      <c r="G419" s="3" t="s">
        <v>10</v>
      </c>
      <c r="H419" s="3" t="str">
        <f>IF(cf_cl[[#This Row],[satisfaction_score]]&gt;=4,"Happy",IF(cf_cl[[#This Row],[satisfaction_score]]=3,"Neutral","Negative"))</f>
        <v>Happy</v>
      </c>
      <c r="I419" s="3" t="str">
        <f>IF(cf_cl[[#This Row],[satisfaction_score]]&lt;=2,"Low",IF(cf_cl[[#This Row],[satisfaction_score]]=3,"Medium","High"))</f>
        <v>High</v>
      </c>
      <c r="J419">
        <f>YEAR(cf_cl[[#This Row],[date_submitted]])</f>
        <v>2021</v>
      </c>
      <c r="K419" s="3" t="str">
        <f>TEXT(cf_cl[[#This Row],[date_submitted]],"mmm")</f>
        <v>May</v>
      </c>
      <c r="L419" s="3" t="str">
        <f t="shared" si="18"/>
        <v>Q2</v>
      </c>
      <c r="M419" s="3" t="str">
        <f t="shared" si="19"/>
        <v>Sunday</v>
      </c>
      <c r="N419" s="3" t="str">
        <f t="shared" si="20"/>
        <v>No</v>
      </c>
      <c r="O419" s="3" t="str">
        <f>IF(COUNTIF($B:$B,B419)=1,"New Customer",
IF(COUNTIF($B:$B,B419)&lt;=3,"Returning Customer","Loyal Customer"))</f>
        <v>New Customer</v>
      </c>
      <c r="P419" s="3" t="str">
        <f>IF(cf_cl[[#This Row],[referred_claim]]="Yes","Referred","Not Referred")</f>
        <v>Referred</v>
      </c>
    </row>
    <row r="420" spans="1:16" x14ac:dyDescent="0.3">
      <c r="A420" t="s">
        <v>825</v>
      </c>
      <c r="B420" t="s">
        <v>826</v>
      </c>
      <c r="C420" s="1">
        <v>44587</v>
      </c>
      <c r="D420" t="s">
        <v>28</v>
      </c>
      <c r="E420">
        <v>5</v>
      </c>
      <c r="F420" s="3" t="s">
        <v>13</v>
      </c>
      <c r="G420" s="3" t="s">
        <v>13</v>
      </c>
      <c r="H420" s="3" t="str">
        <f>IF(cf_cl[[#This Row],[satisfaction_score]]&gt;=4,"Happy",IF(cf_cl[[#This Row],[satisfaction_score]]=3,"Neutral","Negative"))</f>
        <v>Happy</v>
      </c>
      <c r="I420" s="3" t="str">
        <f>IF(cf_cl[[#This Row],[satisfaction_score]]&lt;=2,"Low",IF(cf_cl[[#This Row],[satisfaction_score]]=3,"Medium","High"))</f>
        <v>High</v>
      </c>
      <c r="J420">
        <f>YEAR(cf_cl[[#This Row],[date_submitted]])</f>
        <v>2022</v>
      </c>
      <c r="K420" s="3" t="str">
        <f>TEXT(cf_cl[[#This Row],[date_submitted]],"mmm")</f>
        <v>Jan</v>
      </c>
      <c r="L420" s="3" t="str">
        <f t="shared" si="18"/>
        <v>Q1</v>
      </c>
      <c r="M420" s="3" t="str">
        <f t="shared" si="19"/>
        <v>Wednesday</v>
      </c>
      <c r="N420" s="3" t="str">
        <f t="shared" si="20"/>
        <v>No</v>
      </c>
      <c r="O420" s="3" t="str">
        <f>IF(COUNTIF($B:$B,B420)=1,"New Customer",
IF(COUNTIF($B:$B,B420)&lt;=3,"Returning Customer","Loyal Customer"))</f>
        <v>New Customer</v>
      </c>
      <c r="P420" s="3" t="str">
        <f>IF(cf_cl[[#This Row],[referred_claim]]="Yes","Referred","Not Referred")</f>
        <v>Not Referred</v>
      </c>
    </row>
    <row r="421" spans="1:16" x14ac:dyDescent="0.3">
      <c r="A421" t="s">
        <v>827</v>
      </c>
      <c r="B421" t="s">
        <v>828</v>
      </c>
      <c r="C421" s="1">
        <v>44703</v>
      </c>
      <c r="D421" t="s">
        <v>9</v>
      </c>
      <c r="E421">
        <v>3</v>
      </c>
      <c r="F421" s="3" t="s">
        <v>10</v>
      </c>
      <c r="G421" s="3" t="s">
        <v>10</v>
      </c>
      <c r="H421" s="3" t="str">
        <f>IF(cf_cl[[#This Row],[satisfaction_score]]&gt;=4,"Happy",IF(cf_cl[[#This Row],[satisfaction_score]]=3,"Neutral","Negative"))</f>
        <v>Neutral</v>
      </c>
      <c r="I421" s="3" t="str">
        <f>IF(cf_cl[[#This Row],[satisfaction_score]]&lt;=2,"Low",IF(cf_cl[[#This Row],[satisfaction_score]]=3,"Medium","High"))</f>
        <v>Medium</v>
      </c>
      <c r="J421">
        <f>YEAR(cf_cl[[#This Row],[date_submitted]])</f>
        <v>2022</v>
      </c>
      <c r="K421" s="3" t="str">
        <f>TEXT(cf_cl[[#This Row],[date_submitted]],"mmm")</f>
        <v>May</v>
      </c>
      <c r="L421" s="3" t="str">
        <f t="shared" si="18"/>
        <v>Q2</v>
      </c>
      <c r="M421" s="3" t="str">
        <f t="shared" si="19"/>
        <v>Sunday</v>
      </c>
      <c r="N421" s="3" t="str">
        <f t="shared" si="20"/>
        <v>No</v>
      </c>
      <c r="O421" s="3" t="str">
        <f>IF(COUNTIF($B:$B,B421)=1,"New Customer",
IF(COUNTIF($B:$B,B421)&lt;=3,"Returning Customer","Loyal Customer"))</f>
        <v>New Customer</v>
      </c>
      <c r="P421" s="3" t="str">
        <f>IF(cf_cl[[#This Row],[referred_claim]]="Yes","Referred","Not Referred")</f>
        <v>Referred</v>
      </c>
    </row>
    <row r="422" spans="1:16" x14ac:dyDescent="0.3">
      <c r="A422" t="s">
        <v>829</v>
      </c>
      <c r="B422" t="s">
        <v>830</v>
      </c>
      <c r="C422" s="1">
        <v>45221</v>
      </c>
      <c r="D422" t="s">
        <v>25</v>
      </c>
      <c r="E422">
        <v>5</v>
      </c>
      <c r="F422" s="3" t="s">
        <v>10</v>
      </c>
      <c r="G422" s="3" t="s">
        <v>10</v>
      </c>
      <c r="H422" s="3" t="str">
        <f>IF(cf_cl[[#This Row],[satisfaction_score]]&gt;=4,"Happy",IF(cf_cl[[#This Row],[satisfaction_score]]=3,"Neutral","Negative"))</f>
        <v>Happy</v>
      </c>
      <c r="I422" s="3" t="str">
        <f>IF(cf_cl[[#This Row],[satisfaction_score]]&lt;=2,"Low",IF(cf_cl[[#This Row],[satisfaction_score]]=3,"Medium","High"))</f>
        <v>High</v>
      </c>
      <c r="J422">
        <f>YEAR(cf_cl[[#This Row],[date_submitted]])</f>
        <v>2023</v>
      </c>
      <c r="K422" s="3" t="str">
        <f>TEXT(cf_cl[[#This Row],[date_submitted]],"mmm")</f>
        <v>Oct</v>
      </c>
      <c r="L422" s="3" t="str">
        <f t="shared" si="18"/>
        <v>Q4</v>
      </c>
      <c r="M422" s="3" t="str">
        <f t="shared" si="19"/>
        <v>Sunday</v>
      </c>
      <c r="N422" s="3" t="str">
        <f t="shared" si="20"/>
        <v>No</v>
      </c>
      <c r="O422" s="3" t="str">
        <f>IF(COUNTIF($B:$B,B422)=1,"New Customer",
IF(COUNTIF($B:$B,B422)&lt;=3,"Returning Customer","Loyal Customer"))</f>
        <v>New Customer</v>
      </c>
      <c r="P422" s="3" t="str">
        <f>IF(cf_cl[[#This Row],[referred_claim]]="Yes","Referred","Not Referred")</f>
        <v>Referred</v>
      </c>
    </row>
    <row r="423" spans="1:16" x14ac:dyDescent="0.3">
      <c r="A423" t="s">
        <v>831</v>
      </c>
      <c r="B423" t="s">
        <v>832</v>
      </c>
      <c r="C423" s="1">
        <v>43914</v>
      </c>
      <c r="D423" t="s">
        <v>31</v>
      </c>
      <c r="E423">
        <v>3</v>
      </c>
      <c r="F423" s="3" t="s">
        <v>10</v>
      </c>
      <c r="G423" s="3" t="s">
        <v>13</v>
      </c>
      <c r="H423" s="3" t="str">
        <f>IF(cf_cl[[#This Row],[satisfaction_score]]&gt;=4,"Happy",IF(cf_cl[[#This Row],[satisfaction_score]]=3,"Neutral","Negative"))</f>
        <v>Neutral</v>
      </c>
      <c r="I423" s="3" t="str">
        <f>IF(cf_cl[[#This Row],[satisfaction_score]]&lt;=2,"Low",IF(cf_cl[[#This Row],[satisfaction_score]]=3,"Medium","High"))</f>
        <v>Medium</v>
      </c>
      <c r="J423">
        <f>YEAR(cf_cl[[#This Row],[date_submitted]])</f>
        <v>2020</v>
      </c>
      <c r="K423" s="3" t="str">
        <f>TEXT(cf_cl[[#This Row],[date_submitted]],"mmm")</f>
        <v>Mar</v>
      </c>
      <c r="L423" s="3" t="str">
        <f t="shared" si="18"/>
        <v>Q1</v>
      </c>
      <c r="M423" s="3" t="str">
        <f t="shared" si="19"/>
        <v>Tuesday</v>
      </c>
      <c r="N423" s="3" t="str">
        <f t="shared" si="20"/>
        <v>No</v>
      </c>
      <c r="O423" s="3" t="str">
        <f>IF(COUNTIF($B:$B,B423)=1,"New Customer",
IF(COUNTIF($B:$B,B423)&lt;=3,"Returning Customer","Loyal Customer"))</f>
        <v>New Customer</v>
      </c>
      <c r="P423" s="3" t="str">
        <f>IF(cf_cl[[#This Row],[referred_claim]]="Yes","Referred","Not Referred")</f>
        <v>Not Referred</v>
      </c>
    </row>
    <row r="424" spans="1:16" x14ac:dyDescent="0.3">
      <c r="A424" t="s">
        <v>833</v>
      </c>
      <c r="B424" t="s">
        <v>834</v>
      </c>
      <c r="C424" s="1">
        <v>43857</v>
      </c>
      <c r="D424" t="s">
        <v>28</v>
      </c>
      <c r="E424">
        <v>5</v>
      </c>
      <c r="F424" s="3" t="s">
        <v>13</v>
      </c>
      <c r="G424" s="3" t="s">
        <v>13</v>
      </c>
      <c r="H424" s="3" t="str">
        <f>IF(cf_cl[[#This Row],[satisfaction_score]]&gt;=4,"Happy",IF(cf_cl[[#This Row],[satisfaction_score]]=3,"Neutral","Negative"))</f>
        <v>Happy</v>
      </c>
      <c r="I424" s="3" t="str">
        <f>IF(cf_cl[[#This Row],[satisfaction_score]]&lt;=2,"Low",IF(cf_cl[[#This Row],[satisfaction_score]]=3,"Medium","High"))</f>
        <v>High</v>
      </c>
      <c r="J424">
        <f>YEAR(cf_cl[[#This Row],[date_submitted]])</f>
        <v>2020</v>
      </c>
      <c r="K424" s="3" t="str">
        <f>TEXT(cf_cl[[#This Row],[date_submitted]],"mmm")</f>
        <v>Jan</v>
      </c>
      <c r="L424" s="3" t="str">
        <f t="shared" si="18"/>
        <v>Q1</v>
      </c>
      <c r="M424" s="3" t="str">
        <f t="shared" si="19"/>
        <v>Monday</v>
      </c>
      <c r="N424" s="3" t="str">
        <f t="shared" si="20"/>
        <v>No</v>
      </c>
      <c r="O424" s="3" t="str">
        <f>IF(COUNTIF($B:$B,B424)=1,"New Customer",
IF(COUNTIF($B:$B,B424)&lt;=3,"Returning Customer","Loyal Customer"))</f>
        <v>New Customer</v>
      </c>
      <c r="P424" s="3" t="str">
        <f>IF(cf_cl[[#This Row],[referred_claim]]="Yes","Referred","Not Referred")</f>
        <v>Not Referred</v>
      </c>
    </row>
    <row r="425" spans="1:16" x14ac:dyDescent="0.3">
      <c r="A425" t="s">
        <v>835</v>
      </c>
      <c r="B425" t="s">
        <v>836</v>
      </c>
      <c r="C425" s="1">
        <v>44657</v>
      </c>
      <c r="D425" t="s">
        <v>31</v>
      </c>
      <c r="E425">
        <v>3</v>
      </c>
      <c r="F425" s="3" t="s">
        <v>13</v>
      </c>
      <c r="G425" s="3" t="s">
        <v>10</v>
      </c>
      <c r="H425" s="3" t="str">
        <f>IF(cf_cl[[#This Row],[satisfaction_score]]&gt;=4,"Happy",IF(cf_cl[[#This Row],[satisfaction_score]]=3,"Neutral","Negative"))</f>
        <v>Neutral</v>
      </c>
      <c r="I425" s="3" t="str">
        <f>IF(cf_cl[[#This Row],[satisfaction_score]]&lt;=2,"Low",IF(cf_cl[[#This Row],[satisfaction_score]]=3,"Medium","High"))</f>
        <v>Medium</v>
      </c>
      <c r="J425">
        <f>YEAR(cf_cl[[#This Row],[date_submitted]])</f>
        <v>2022</v>
      </c>
      <c r="K425" s="3" t="str">
        <f>TEXT(cf_cl[[#This Row],[date_submitted]],"mmm")</f>
        <v>Apr</v>
      </c>
      <c r="L425" s="3" t="str">
        <f t="shared" si="18"/>
        <v>Q2</v>
      </c>
      <c r="M425" s="3" t="str">
        <f t="shared" si="19"/>
        <v>Wednesday</v>
      </c>
      <c r="N425" s="3" t="str">
        <f t="shared" si="20"/>
        <v>No</v>
      </c>
      <c r="O425" s="3" t="str">
        <f>IF(COUNTIF($B:$B,B425)=1,"New Customer",
IF(COUNTIF($B:$B,B425)&lt;=3,"Returning Customer","Loyal Customer"))</f>
        <v>New Customer</v>
      </c>
      <c r="P425" s="3" t="str">
        <f>IF(cf_cl[[#This Row],[referred_claim]]="Yes","Referred","Not Referred")</f>
        <v>Referred</v>
      </c>
    </row>
    <row r="426" spans="1:16" x14ac:dyDescent="0.3">
      <c r="A426" t="s">
        <v>837</v>
      </c>
      <c r="B426" t="s">
        <v>838</v>
      </c>
      <c r="C426" s="1">
        <v>44738</v>
      </c>
      <c r="D426" t="s">
        <v>16</v>
      </c>
      <c r="E426">
        <v>5</v>
      </c>
      <c r="F426" s="3" t="s">
        <v>10</v>
      </c>
      <c r="G426" s="3" t="s">
        <v>13</v>
      </c>
      <c r="H426" s="3" t="str">
        <f>IF(cf_cl[[#This Row],[satisfaction_score]]&gt;=4,"Happy",IF(cf_cl[[#This Row],[satisfaction_score]]=3,"Neutral","Negative"))</f>
        <v>Happy</v>
      </c>
      <c r="I426" s="3" t="str">
        <f>IF(cf_cl[[#This Row],[satisfaction_score]]&lt;=2,"Low",IF(cf_cl[[#This Row],[satisfaction_score]]=3,"Medium","High"))</f>
        <v>High</v>
      </c>
      <c r="J426">
        <f>YEAR(cf_cl[[#This Row],[date_submitted]])</f>
        <v>2022</v>
      </c>
      <c r="K426" s="3" t="str">
        <f>TEXT(cf_cl[[#This Row],[date_submitted]],"mmm")</f>
        <v>Jun</v>
      </c>
      <c r="L426" s="3" t="str">
        <f t="shared" si="18"/>
        <v>Q2</v>
      </c>
      <c r="M426" s="3" t="str">
        <f t="shared" si="19"/>
        <v>Sunday</v>
      </c>
      <c r="N426" s="3" t="str">
        <f t="shared" si="20"/>
        <v>No</v>
      </c>
      <c r="O426" s="3" t="str">
        <f>IF(COUNTIF($B:$B,B426)=1,"New Customer",
IF(COUNTIF($B:$B,B426)&lt;=3,"Returning Customer","Loyal Customer"))</f>
        <v>New Customer</v>
      </c>
      <c r="P426" s="3" t="str">
        <f>IF(cf_cl[[#This Row],[referred_claim]]="Yes","Referred","Not Referred")</f>
        <v>Not Referred</v>
      </c>
    </row>
    <row r="427" spans="1:16" x14ac:dyDescent="0.3">
      <c r="A427" t="s">
        <v>839</v>
      </c>
      <c r="B427" t="s">
        <v>840</v>
      </c>
      <c r="C427" s="1">
        <v>45244</v>
      </c>
      <c r="D427" t="s">
        <v>19</v>
      </c>
      <c r="E427">
        <v>2</v>
      </c>
      <c r="F427" s="3" t="s">
        <v>10</v>
      </c>
      <c r="G427" s="3" t="s">
        <v>13</v>
      </c>
      <c r="H427" s="3" t="str">
        <f>IF(cf_cl[[#This Row],[satisfaction_score]]&gt;=4,"Happy",IF(cf_cl[[#This Row],[satisfaction_score]]=3,"Neutral","Negative"))</f>
        <v>Negative</v>
      </c>
      <c r="I427" s="3" t="str">
        <f>IF(cf_cl[[#This Row],[satisfaction_score]]&lt;=2,"Low",IF(cf_cl[[#This Row],[satisfaction_score]]=3,"Medium","High"))</f>
        <v>Low</v>
      </c>
      <c r="J427">
        <f>YEAR(cf_cl[[#This Row],[date_submitted]])</f>
        <v>2023</v>
      </c>
      <c r="K427" s="3" t="str">
        <f>TEXT(cf_cl[[#This Row],[date_submitted]],"mmm")</f>
        <v>Nov</v>
      </c>
      <c r="L427" s="3" t="str">
        <f t="shared" si="18"/>
        <v>Q4</v>
      </c>
      <c r="M427" s="3" t="str">
        <f t="shared" si="19"/>
        <v>Tuesday</v>
      </c>
      <c r="N427" s="3" t="str">
        <f t="shared" si="20"/>
        <v>Yes</v>
      </c>
      <c r="O427" s="3" t="str">
        <f>IF(COUNTIF($B:$B,B427)=1,"New Customer",
IF(COUNTIF($B:$B,B427)&lt;=3,"Returning Customer","Loyal Customer"))</f>
        <v>Returning Customer</v>
      </c>
      <c r="P427" s="3" t="str">
        <f>IF(cf_cl[[#This Row],[referred_claim]]="Yes","Referred","Not Referred")</f>
        <v>Not Referred</v>
      </c>
    </row>
    <row r="428" spans="1:16" x14ac:dyDescent="0.3">
      <c r="A428" t="s">
        <v>841</v>
      </c>
      <c r="B428" t="s">
        <v>842</v>
      </c>
      <c r="C428" s="1">
        <v>44802</v>
      </c>
      <c r="D428" t="s">
        <v>68</v>
      </c>
      <c r="E428">
        <v>2</v>
      </c>
      <c r="F428" s="3" t="s">
        <v>13</v>
      </c>
      <c r="G428" s="3" t="s">
        <v>13</v>
      </c>
      <c r="H428" s="3" t="str">
        <f>IF(cf_cl[[#This Row],[satisfaction_score]]&gt;=4,"Happy",IF(cf_cl[[#This Row],[satisfaction_score]]=3,"Neutral","Negative"))</f>
        <v>Negative</v>
      </c>
      <c r="I428" s="3" t="str">
        <f>IF(cf_cl[[#This Row],[satisfaction_score]]&lt;=2,"Low",IF(cf_cl[[#This Row],[satisfaction_score]]=3,"Medium","High"))</f>
        <v>Low</v>
      </c>
      <c r="J428">
        <f>YEAR(cf_cl[[#This Row],[date_submitted]])</f>
        <v>2022</v>
      </c>
      <c r="K428" s="3" t="str">
        <f>TEXT(cf_cl[[#This Row],[date_submitted]],"mmm")</f>
        <v>Aug</v>
      </c>
      <c r="L428" s="3" t="str">
        <f t="shared" si="18"/>
        <v>Q3</v>
      </c>
      <c r="M428" s="3" t="str">
        <f t="shared" si="19"/>
        <v>Monday</v>
      </c>
      <c r="N428" s="3" t="str">
        <f t="shared" si="20"/>
        <v>Yes</v>
      </c>
      <c r="O428" s="3" t="str">
        <f>IF(COUNTIF($B:$B,B428)=1,"New Customer",
IF(COUNTIF($B:$B,B428)&lt;=3,"Returning Customer","Loyal Customer"))</f>
        <v>New Customer</v>
      </c>
      <c r="P428" s="3" t="str">
        <f>IF(cf_cl[[#This Row],[referred_claim]]="Yes","Referred","Not Referred")</f>
        <v>Not Referred</v>
      </c>
    </row>
    <row r="429" spans="1:16" x14ac:dyDescent="0.3">
      <c r="A429" t="s">
        <v>843</v>
      </c>
      <c r="B429" t="s">
        <v>844</v>
      </c>
      <c r="C429" s="1">
        <v>44081</v>
      </c>
      <c r="D429" t="s">
        <v>22</v>
      </c>
      <c r="E429">
        <v>5</v>
      </c>
      <c r="F429" s="3" t="s">
        <v>13</v>
      </c>
      <c r="G429" s="3" t="s">
        <v>13</v>
      </c>
      <c r="H429" s="3" t="str">
        <f>IF(cf_cl[[#This Row],[satisfaction_score]]&gt;=4,"Happy",IF(cf_cl[[#This Row],[satisfaction_score]]=3,"Neutral","Negative"))</f>
        <v>Happy</v>
      </c>
      <c r="I429" s="3" t="str">
        <f>IF(cf_cl[[#This Row],[satisfaction_score]]&lt;=2,"Low",IF(cf_cl[[#This Row],[satisfaction_score]]=3,"Medium","High"))</f>
        <v>High</v>
      </c>
      <c r="J429">
        <f>YEAR(cf_cl[[#This Row],[date_submitted]])</f>
        <v>2020</v>
      </c>
      <c r="K429" s="3" t="str">
        <f>TEXT(cf_cl[[#This Row],[date_submitted]],"mmm")</f>
        <v>Sep</v>
      </c>
      <c r="L429" s="3" t="str">
        <f t="shared" si="18"/>
        <v>Q3</v>
      </c>
      <c r="M429" s="3" t="str">
        <f t="shared" si="19"/>
        <v>Monday</v>
      </c>
      <c r="N429" s="3" t="str">
        <f t="shared" si="20"/>
        <v>No</v>
      </c>
      <c r="O429" s="3" t="str">
        <f>IF(COUNTIF($B:$B,B429)=1,"New Customer",
IF(COUNTIF($B:$B,B429)&lt;=3,"Returning Customer","Loyal Customer"))</f>
        <v>New Customer</v>
      </c>
      <c r="P429" s="3" t="str">
        <f>IF(cf_cl[[#This Row],[referred_claim]]="Yes","Referred","Not Referred")</f>
        <v>Not Referred</v>
      </c>
    </row>
    <row r="430" spans="1:16" x14ac:dyDescent="0.3">
      <c r="A430" t="s">
        <v>845</v>
      </c>
      <c r="B430" t="s">
        <v>846</v>
      </c>
      <c r="C430" s="1">
        <v>44477</v>
      </c>
      <c r="D430" t="s">
        <v>28</v>
      </c>
      <c r="E430">
        <v>5</v>
      </c>
      <c r="F430" s="3" t="s">
        <v>13</v>
      </c>
      <c r="G430" s="3" t="s">
        <v>13</v>
      </c>
      <c r="H430" s="3" t="str">
        <f>IF(cf_cl[[#This Row],[satisfaction_score]]&gt;=4,"Happy",IF(cf_cl[[#This Row],[satisfaction_score]]=3,"Neutral","Negative"))</f>
        <v>Happy</v>
      </c>
      <c r="I430" s="3" t="str">
        <f>IF(cf_cl[[#This Row],[satisfaction_score]]&lt;=2,"Low",IF(cf_cl[[#This Row],[satisfaction_score]]=3,"Medium","High"))</f>
        <v>High</v>
      </c>
      <c r="J430">
        <f>YEAR(cf_cl[[#This Row],[date_submitted]])</f>
        <v>2021</v>
      </c>
      <c r="K430" s="3" t="str">
        <f>TEXT(cf_cl[[#This Row],[date_submitted]],"mmm")</f>
        <v>Oct</v>
      </c>
      <c r="L430" s="3" t="str">
        <f t="shared" si="18"/>
        <v>Q4</v>
      </c>
      <c r="M430" s="3" t="str">
        <f t="shared" si="19"/>
        <v>Friday</v>
      </c>
      <c r="N430" s="3" t="str">
        <f t="shared" si="20"/>
        <v>No</v>
      </c>
      <c r="O430" s="3" t="str">
        <f>IF(COUNTIF($B:$B,B430)=1,"New Customer",
IF(COUNTIF($B:$B,B430)&lt;=3,"Returning Customer","Loyal Customer"))</f>
        <v>New Customer</v>
      </c>
      <c r="P430" s="3" t="str">
        <f>IF(cf_cl[[#This Row],[referred_claim]]="Yes","Referred","Not Referred")</f>
        <v>Not Referred</v>
      </c>
    </row>
    <row r="431" spans="1:16" x14ac:dyDescent="0.3">
      <c r="A431" t="s">
        <v>847</v>
      </c>
      <c r="B431" t="s">
        <v>848</v>
      </c>
      <c r="C431" s="1">
        <v>44644</v>
      </c>
      <c r="D431" t="s">
        <v>16</v>
      </c>
      <c r="E431">
        <v>4</v>
      </c>
      <c r="F431" s="3" t="s">
        <v>10</v>
      </c>
      <c r="G431" s="3" t="s">
        <v>10</v>
      </c>
      <c r="H431" s="3" t="str">
        <f>IF(cf_cl[[#This Row],[satisfaction_score]]&gt;=4,"Happy",IF(cf_cl[[#This Row],[satisfaction_score]]=3,"Neutral","Negative"))</f>
        <v>Happy</v>
      </c>
      <c r="I431" s="3" t="str">
        <f>IF(cf_cl[[#This Row],[satisfaction_score]]&lt;=2,"Low",IF(cf_cl[[#This Row],[satisfaction_score]]=3,"Medium","High"))</f>
        <v>High</v>
      </c>
      <c r="J431">
        <f>YEAR(cf_cl[[#This Row],[date_submitted]])</f>
        <v>2022</v>
      </c>
      <c r="K431" s="3" t="str">
        <f>TEXT(cf_cl[[#This Row],[date_submitted]],"mmm")</f>
        <v>Mar</v>
      </c>
      <c r="L431" s="3" t="str">
        <f t="shared" si="18"/>
        <v>Q1</v>
      </c>
      <c r="M431" s="3" t="str">
        <f t="shared" si="19"/>
        <v>Thursday</v>
      </c>
      <c r="N431" s="3" t="str">
        <f t="shared" si="20"/>
        <v>No</v>
      </c>
      <c r="O431" s="3" t="str">
        <f>IF(COUNTIF($B:$B,B431)=1,"New Customer",
IF(COUNTIF($B:$B,B431)&lt;=3,"Returning Customer","Loyal Customer"))</f>
        <v>New Customer</v>
      </c>
      <c r="P431" s="3" t="str">
        <f>IF(cf_cl[[#This Row],[referred_claim]]="Yes","Referred","Not Referred")</f>
        <v>Referred</v>
      </c>
    </row>
    <row r="432" spans="1:16" x14ac:dyDescent="0.3">
      <c r="A432" t="s">
        <v>849</v>
      </c>
      <c r="B432" t="s">
        <v>850</v>
      </c>
      <c r="C432" s="1">
        <v>44527</v>
      </c>
      <c r="D432" t="s">
        <v>28</v>
      </c>
      <c r="E432">
        <v>5</v>
      </c>
      <c r="F432" s="3" t="s">
        <v>13</v>
      </c>
      <c r="G432" s="3" t="s">
        <v>10</v>
      </c>
      <c r="H432" s="3" t="str">
        <f>IF(cf_cl[[#This Row],[satisfaction_score]]&gt;=4,"Happy",IF(cf_cl[[#This Row],[satisfaction_score]]=3,"Neutral","Negative"))</f>
        <v>Happy</v>
      </c>
      <c r="I432" s="3" t="str">
        <f>IF(cf_cl[[#This Row],[satisfaction_score]]&lt;=2,"Low",IF(cf_cl[[#This Row],[satisfaction_score]]=3,"Medium","High"))</f>
        <v>High</v>
      </c>
      <c r="J432">
        <f>YEAR(cf_cl[[#This Row],[date_submitted]])</f>
        <v>2021</v>
      </c>
      <c r="K432" s="3" t="str">
        <f>TEXT(cf_cl[[#This Row],[date_submitted]],"mmm")</f>
        <v>Nov</v>
      </c>
      <c r="L432" s="3" t="str">
        <f t="shared" si="18"/>
        <v>Q4</v>
      </c>
      <c r="M432" s="3" t="str">
        <f t="shared" si="19"/>
        <v>Saturday</v>
      </c>
      <c r="N432" s="3" t="str">
        <f t="shared" si="20"/>
        <v>No</v>
      </c>
      <c r="O432" s="3" t="str">
        <f>IF(COUNTIF($B:$B,B432)=1,"New Customer",
IF(COUNTIF($B:$B,B432)&lt;=3,"Returning Customer","Loyal Customer"))</f>
        <v>Returning Customer</v>
      </c>
      <c r="P432" s="3" t="str">
        <f>IF(cf_cl[[#This Row],[referred_claim]]="Yes","Referred","Not Referred")</f>
        <v>Referred</v>
      </c>
    </row>
    <row r="433" spans="1:16" x14ac:dyDescent="0.3">
      <c r="A433" t="s">
        <v>851</v>
      </c>
      <c r="B433" t="s">
        <v>852</v>
      </c>
      <c r="C433" s="1">
        <v>44003</v>
      </c>
      <c r="D433" t="s">
        <v>83</v>
      </c>
      <c r="E433">
        <v>1</v>
      </c>
      <c r="F433" s="3" t="s">
        <v>10</v>
      </c>
      <c r="G433" s="3" t="s">
        <v>13</v>
      </c>
      <c r="H433" s="3" t="str">
        <f>IF(cf_cl[[#This Row],[satisfaction_score]]&gt;=4,"Happy",IF(cf_cl[[#This Row],[satisfaction_score]]=3,"Neutral","Negative"))</f>
        <v>Negative</v>
      </c>
      <c r="I433" s="3" t="str">
        <f>IF(cf_cl[[#This Row],[satisfaction_score]]&lt;=2,"Low",IF(cf_cl[[#This Row],[satisfaction_score]]=3,"Medium","High"))</f>
        <v>Low</v>
      </c>
      <c r="J433">
        <f>YEAR(cf_cl[[#This Row],[date_submitted]])</f>
        <v>2020</v>
      </c>
      <c r="K433" s="3" t="str">
        <f>TEXT(cf_cl[[#This Row],[date_submitted]],"mmm")</f>
        <v>Jun</v>
      </c>
      <c r="L433" s="3" t="str">
        <f t="shared" si="18"/>
        <v>Q2</v>
      </c>
      <c r="M433" s="3" t="str">
        <f t="shared" si="19"/>
        <v>Sunday</v>
      </c>
      <c r="N433" s="3" t="str">
        <f t="shared" si="20"/>
        <v>Yes</v>
      </c>
      <c r="O433" s="3" t="str">
        <f>IF(COUNTIF($B:$B,B433)=1,"New Customer",
IF(COUNTIF($B:$B,B433)&lt;=3,"Returning Customer","Loyal Customer"))</f>
        <v>New Customer</v>
      </c>
      <c r="P433" s="3" t="str">
        <f>IF(cf_cl[[#This Row],[referred_claim]]="Yes","Referred","Not Referred")</f>
        <v>Not Referred</v>
      </c>
    </row>
    <row r="434" spans="1:16" x14ac:dyDescent="0.3">
      <c r="A434" t="s">
        <v>853</v>
      </c>
      <c r="B434" t="s">
        <v>854</v>
      </c>
      <c r="C434" s="1">
        <v>44772</v>
      </c>
      <c r="D434" t="s">
        <v>19</v>
      </c>
      <c r="E434">
        <v>3</v>
      </c>
      <c r="F434" s="3" t="s">
        <v>13</v>
      </c>
      <c r="G434" s="3" t="s">
        <v>10</v>
      </c>
      <c r="H434" s="3" t="str">
        <f>IF(cf_cl[[#This Row],[satisfaction_score]]&gt;=4,"Happy",IF(cf_cl[[#This Row],[satisfaction_score]]=3,"Neutral","Negative"))</f>
        <v>Neutral</v>
      </c>
      <c r="I434" s="3" t="str">
        <f>IF(cf_cl[[#This Row],[satisfaction_score]]&lt;=2,"Low",IF(cf_cl[[#This Row],[satisfaction_score]]=3,"Medium","High"))</f>
        <v>Medium</v>
      </c>
      <c r="J434">
        <f>YEAR(cf_cl[[#This Row],[date_submitted]])</f>
        <v>2022</v>
      </c>
      <c r="K434" s="3" t="str">
        <f>TEXT(cf_cl[[#This Row],[date_submitted]],"mmm")</f>
        <v>Jul</v>
      </c>
      <c r="L434" s="3" t="str">
        <f t="shared" si="18"/>
        <v>Q3</v>
      </c>
      <c r="M434" s="3" t="str">
        <f t="shared" si="19"/>
        <v>Saturday</v>
      </c>
      <c r="N434" s="3" t="str">
        <f t="shared" si="20"/>
        <v>No</v>
      </c>
      <c r="O434" s="3" t="str">
        <f>IF(COUNTIF($B:$B,B434)=1,"New Customer",
IF(COUNTIF($B:$B,B434)&lt;=3,"Returning Customer","Loyal Customer"))</f>
        <v>New Customer</v>
      </c>
      <c r="P434" s="3" t="str">
        <f>IF(cf_cl[[#This Row],[referred_claim]]="Yes","Referred","Not Referred")</f>
        <v>Referred</v>
      </c>
    </row>
    <row r="435" spans="1:16" x14ac:dyDescent="0.3">
      <c r="A435" t="s">
        <v>855</v>
      </c>
      <c r="B435" t="s">
        <v>856</v>
      </c>
      <c r="C435" s="1">
        <v>44405</v>
      </c>
      <c r="D435" t="s">
        <v>19</v>
      </c>
      <c r="E435">
        <v>2</v>
      </c>
      <c r="F435" s="3" t="s">
        <v>13</v>
      </c>
      <c r="G435" s="3" t="s">
        <v>10</v>
      </c>
      <c r="H435" s="3" t="str">
        <f>IF(cf_cl[[#This Row],[satisfaction_score]]&gt;=4,"Happy",IF(cf_cl[[#This Row],[satisfaction_score]]=3,"Neutral","Negative"))</f>
        <v>Negative</v>
      </c>
      <c r="I435" s="3" t="str">
        <f>IF(cf_cl[[#This Row],[satisfaction_score]]&lt;=2,"Low",IF(cf_cl[[#This Row],[satisfaction_score]]=3,"Medium","High"))</f>
        <v>Low</v>
      </c>
      <c r="J435">
        <f>YEAR(cf_cl[[#This Row],[date_submitted]])</f>
        <v>2021</v>
      </c>
      <c r="K435" s="3" t="str">
        <f>TEXT(cf_cl[[#This Row],[date_submitted]],"mmm")</f>
        <v>Jul</v>
      </c>
      <c r="L435" s="3" t="str">
        <f t="shared" si="18"/>
        <v>Q3</v>
      </c>
      <c r="M435" s="3" t="str">
        <f t="shared" si="19"/>
        <v>Wednesday</v>
      </c>
      <c r="N435" s="3" t="str">
        <f t="shared" si="20"/>
        <v>Yes</v>
      </c>
      <c r="O435" s="3" t="str">
        <f>IF(COUNTIF($B:$B,B435)=1,"New Customer",
IF(COUNTIF($B:$B,B435)&lt;=3,"Returning Customer","Loyal Customer"))</f>
        <v>New Customer</v>
      </c>
      <c r="P435" s="3" t="str">
        <f>IF(cf_cl[[#This Row],[referred_claim]]="Yes","Referred","Not Referred")</f>
        <v>Referred</v>
      </c>
    </row>
    <row r="436" spans="1:16" x14ac:dyDescent="0.3">
      <c r="A436" t="s">
        <v>857</v>
      </c>
      <c r="B436" t="s">
        <v>499</v>
      </c>
      <c r="C436" s="1">
        <v>44411</v>
      </c>
      <c r="D436" t="s">
        <v>9</v>
      </c>
      <c r="E436">
        <v>2</v>
      </c>
      <c r="F436" s="3" t="s">
        <v>10</v>
      </c>
      <c r="G436" s="3" t="s">
        <v>13</v>
      </c>
      <c r="H436" s="3" t="str">
        <f>IF(cf_cl[[#This Row],[satisfaction_score]]&gt;=4,"Happy",IF(cf_cl[[#This Row],[satisfaction_score]]=3,"Neutral","Negative"))</f>
        <v>Negative</v>
      </c>
      <c r="I436" s="3" t="str">
        <f>IF(cf_cl[[#This Row],[satisfaction_score]]&lt;=2,"Low",IF(cf_cl[[#This Row],[satisfaction_score]]=3,"Medium","High"))</f>
        <v>Low</v>
      </c>
      <c r="J436">
        <f>YEAR(cf_cl[[#This Row],[date_submitted]])</f>
        <v>2021</v>
      </c>
      <c r="K436" s="3" t="str">
        <f>TEXT(cf_cl[[#This Row],[date_submitted]],"mmm")</f>
        <v>Aug</v>
      </c>
      <c r="L436" s="3" t="str">
        <f t="shared" si="18"/>
        <v>Q3</v>
      </c>
      <c r="M436" s="3" t="str">
        <f t="shared" si="19"/>
        <v>Tuesday</v>
      </c>
      <c r="N436" s="3" t="str">
        <f t="shared" si="20"/>
        <v>Yes</v>
      </c>
      <c r="O436" s="3" t="str">
        <f>IF(COUNTIF($B:$B,B436)=1,"New Customer",
IF(COUNTIF($B:$B,B436)&lt;=3,"Returning Customer","Loyal Customer"))</f>
        <v>Returning Customer</v>
      </c>
      <c r="P436" s="3" t="str">
        <f>IF(cf_cl[[#This Row],[referred_claim]]="Yes","Referred","Not Referred")</f>
        <v>Not Referred</v>
      </c>
    </row>
    <row r="437" spans="1:16" x14ac:dyDescent="0.3">
      <c r="A437" t="s">
        <v>858</v>
      </c>
      <c r="B437" t="s">
        <v>859</v>
      </c>
      <c r="C437" s="1">
        <v>44861</v>
      </c>
      <c r="D437" t="s">
        <v>19</v>
      </c>
      <c r="E437">
        <v>2</v>
      </c>
      <c r="F437" s="3" t="s">
        <v>13</v>
      </c>
      <c r="G437" s="3" t="s">
        <v>10</v>
      </c>
      <c r="H437" s="3" t="str">
        <f>IF(cf_cl[[#This Row],[satisfaction_score]]&gt;=4,"Happy",IF(cf_cl[[#This Row],[satisfaction_score]]=3,"Neutral","Negative"))</f>
        <v>Negative</v>
      </c>
      <c r="I437" s="3" t="str">
        <f>IF(cf_cl[[#This Row],[satisfaction_score]]&lt;=2,"Low",IF(cf_cl[[#This Row],[satisfaction_score]]=3,"Medium","High"))</f>
        <v>Low</v>
      </c>
      <c r="J437">
        <f>YEAR(cf_cl[[#This Row],[date_submitted]])</f>
        <v>2022</v>
      </c>
      <c r="K437" s="3" t="str">
        <f>TEXT(cf_cl[[#This Row],[date_submitted]],"mmm")</f>
        <v>Oct</v>
      </c>
      <c r="L437" s="3" t="str">
        <f t="shared" si="18"/>
        <v>Q4</v>
      </c>
      <c r="M437" s="3" t="str">
        <f t="shared" si="19"/>
        <v>Thursday</v>
      </c>
      <c r="N437" s="3" t="str">
        <f t="shared" si="20"/>
        <v>Yes</v>
      </c>
      <c r="O437" s="3" t="str">
        <f>IF(COUNTIF($B:$B,B437)=1,"New Customer",
IF(COUNTIF($B:$B,B437)&lt;=3,"Returning Customer","Loyal Customer"))</f>
        <v>New Customer</v>
      </c>
      <c r="P437" s="3" t="str">
        <f>IF(cf_cl[[#This Row],[referred_claim]]="Yes","Referred","Not Referred")</f>
        <v>Referred</v>
      </c>
    </row>
    <row r="438" spans="1:16" x14ac:dyDescent="0.3">
      <c r="A438" t="s">
        <v>860</v>
      </c>
      <c r="B438" t="s">
        <v>861</v>
      </c>
      <c r="C438" s="1">
        <v>44211</v>
      </c>
      <c r="D438" t="s">
        <v>31</v>
      </c>
      <c r="E438">
        <v>2</v>
      </c>
      <c r="F438" s="3" t="s">
        <v>10</v>
      </c>
      <c r="G438" s="3" t="s">
        <v>13</v>
      </c>
      <c r="H438" s="3" t="str">
        <f>IF(cf_cl[[#This Row],[satisfaction_score]]&gt;=4,"Happy",IF(cf_cl[[#This Row],[satisfaction_score]]=3,"Neutral","Negative"))</f>
        <v>Negative</v>
      </c>
      <c r="I438" s="3" t="str">
        <f>IF(cf_cl[[#This Row],[satisfaction_score]]&lt;=2,"Low",IF(cf_cl[[#This Row],[satisfaction_score]]=3,"Medium","High"))</f>
        <v>Low</v>
      </c>
      <c r="J438">
        <f>YEAR(cf_cl[[#This Row],[date_submitted]])</f>
        <v>2021</v>
      </c>
      <c r="K438" s="3" t="str">
        <f>TEXT(cf_cl[[#This Row],[date_submitted]],"mmm")</f>
        <v>Jan</v>
      </c>
      <c r="L438" s="3" t="str">
        <f t="shared" si="18"/>
        <v>Q1</v>
      </c>
      <c r="M438" s="3" t="str">
        <f t="shared" si="19"/>
        <v>Friday</v>
      </c>
      <c r="N438" s="3" t="str">
        <f t="shared" si="20"/>
        <v>Yes</v>
      </c>
      <c r="O438" s="3" t="str">
        <f>IF(COUNTIF($B:$B,B438)=1,"New Customer",
IF(COUNTIF($B:$B,B438)&lt;=3,"Returning Customer","Loyal Customer"))</f>
        <v>Returning Customer</v>
      </c>
      <c r="P438" s="3" t="str">
        <f>IF(cf_cl[[#This Row],[referred_claim]]="Yes","Referred","Not Referred")</f>
        <v>Not Referred</v>
      </c>
    </row>
    <row r="439" spans="1:16" x14ac:dyDescent="0.3">
      <c r="A439" t="s">
        <v>862</v>
      </c>
      <c r="B439" t="s">
        <v>863</v>
      </c>
      <c r="C439" s="1">
        <v>44740</v>
      </c>
      <c r="D439" t="s">
        <v>19</v>
      </c>
      <c r="E439">
        <v>3</v>
      </c>
      <c r="F439" s="3" t="s">
        <v>13</v>
      </c>
      <c r="G439" s="3" t="s">
        <v>13</v>
      </c>
      <c r="H439" s="3" t="str">
        <f>IF(cf_cl[[#This Row],[satisfaction_score]]&gt;=4,"Happy",IF(cf_cl[[#This Row],[satisfaction_score]]=3,"Neutral","Negative"))</f>
        <v>Neutral</v>
      </c>
      <c r="I439" s="3" t="str">
        <f>IF(cf_cl[[#This Row],[satisfaction_score]]&lt;=2,"Low",IF(cf_cl[[#This Row],[satisfaction_score]]=3,"Medium","High"))</f>
        <v>Medium</v>
      </c>
      <c r="J439">
        <f>YEAR(cf_cl[[#This Row],[date_submitted]])</f>
        <v>2022</v>
      </c>
      <c r="K439" s="3" t="str">
        <f>TEXT(cf_cl[[#This Row],[date_submitted]],"mmm")</f>
        <v>Jun</v>
      </c>
      <c r="L439" s="3" t="str">
        <f t="shared" si="18"/>
        <v>Q2</v>
      </c>
      <c r="M439" s="3" t="str">
        <f t="shared" si="19"/>
        <v>Tuesday</v>
      </c>
      <c r="N439" s="3" t="str">
        <f t="shared" si="20"/>
        <v>No</v>
      </c>
      <c r="O439" s="3" t="str">
        <f>IF(COUNTIF($B:$B,B439)=1,"New Customer",
IF(COUNTIF($B:$B,B439)&lt;=3,"Returning Customer","Loyal Customer"))</f>
        <v>New Customer</v>
      </c>
      <c r="P439" s="3" t="str">
        <f>IF(cf_cl[[#This Row],[referred_claim]]="Yes","Referred","Not Referred")</f>
        <v>Not Referred</v>
      </c>
    </row>
    <row r="440" spans="1:16" x14ac:dyDescent="0.3">
      <c r="A440" t="s">
        <v>864</v>
      </c>
      <c r="B440" t="s">
        <v>865</v>
      </c>
      <c r="C440" s="1">
        <v>44272</v>
      </c>
      <c r="D440" t="s">
        <v>22</v>
      </c>
      <c r="E440">
        <v>5</v>
      </c>
      <c r="F440" s="3" t="s">
        <v>10</v>
      </c>
      <c r="G440" s="3" t="s">
        <v>10</v>
      </c>
      <c r="H440" s="3" t="str">
        <f>IF(cf_cl[[#This Row],[satisfaction_score]]&gt;=4,"Happy",IF(cf_cl[[#This Row],[satisfaction_score]]=3,"Neutral","Negative"))</f>
        <v>Happy</v>
      </c>
      <c r="I440" s="3" t="str">
        <f>IF(cf_cl[[#This Row],[satisfaction_score]]&lt;=2,"Low",IF(cf_cl[[#This Row],[satisfaction_score]]=3,"Medium","High"))</f>
        <v>High</v>
      </c>
      <c r="J440">
        <f>YEAR(cf_cl[[#This Row],[date_submitted]])</f>
        <v>2021</v>
      </c>
      <c r="K440" s="3" t="str">
        <f>TEXT(cf_cl[[#This Row],[date_submitted]],"mmm")</f>
        <v>Mar</v>
      </c>
      <c r="L440" s="3" t="str">
        <f t="shared" si="18"/>
        <v>Q1</v>
      </c>
      <c r="M440" s="3" t="str">
        <f t="shared" si="19"/>
        <v>Wednesday</v>
      </c>
      <c r="N440" s="3" t="str">
        <f t="shared" si="20"/>
        <v>No</v>
      </c>
      <c r="O440" s="3" t="str">
        <f>IF(COUNTIF($B:$B,B440)=1,"New Customer",
IF(COUNTIF($B:$B,B440)&lt;=3,"Returning Customer","Loyal Customer"))</f>
        <v>Returning Customer</v>
      </c>
      <c r="P440" s="3" t="str">
        <f>IF(cf_cl[[#This Row],[referred_claim]]="Yes","Referred","Not Referred")</f>
        <v>Referred</v>
      </c>
    </row>
    <row r="441" spans="1:16" x14ac:dyDescent="0.3">
      <c r="A441" t="s">
        <v>866</v>
      </c>
      <c r="B441" t="s">
        <v>867</v>
      </c>
      <c r="C441" s="1">
        <v>44068</v>
      </c>
      <c r="D441" t="s">
        <v>28</v>
      </c>
      <c r="E441">
        <v>4</v>
      </c>
      <c r="F441" s="3" t="s">
        <v>10</v>
      </c>
      <c r="G441" s="3" t="s">
        <v>13</v>
      </c>
      <c r="H441" s="3" t="str">
        <f>IF(cf_cl[[#This Row],[satisfaction_score]]&gt;=4,"Happy",IF(cf_cl[[#This Row],[satisfaction_score]]=3,"Neutral","Negative"))</f>
        <v>Happy</v>
      </c>
      <c r="I441" s="3" t="str">
        <f>IF(cf_cl[[#This Row],[satisfaction_score]]&lt;=2,"Low",IF(cf_cl[[#This Row],[satisfaction_score]]=3,"Medium","High"))</f>
        <v>High</v>
      </c>
      <c r="J441">
        <f>YEAR(cf_cl[[#This Row],[date_submitted]])</f>
        <v>2020</v>
      </c>
      <c r="K441" s="3" t="str">
        <f>TEXT(cf_cl[[#This Row],[date_submitted]],"mmm")</f>
        <v>Aug</v>
      </c>
      <c r="L441" s="3" t="str">
        <f t="shared" si="18"/>
        <v>Q3</v>
      </c>
      <c r="M441" s="3" t="str">
        <f t="shared" si="19"/>
        <v>Tuesday</v>
      </c>
      <c r="N441" s="3" t="str">
        <f t="shared" si="20"/>
        <v>No</v>
      </c>
      <c r="O441" s="3" t="str">
        <f>IF(COUNTIF($B:$B,B441)=1,"New Customer",
IF(COUNTIF($B:$B,B441)&lt;=3,"Returning Customer","Loyal Customer"))</f>
        <v>Returning Customer</v>
      </c>
      <c r="P441" s="3" t="str">
        <f>IF(cf_cl[[#This Row],[referred_claim]]="Yes","Referred","Not Referred")</f>
        <v>Not Referred</v>
      </c>
    </row>
    <row r="442" spans="1:16" x14ac:dyDescent="0.3">
      <c r="A442" t="s">
        <v>868</v>
      </c>
      <c r="B442" t="s">
        <v>869</v>
      </c>
      <c r="C442" s="1">
        <v>44809</v>
      </c>
      <c r="D442" t="s">
        <v>37</v>
      </c>
      <c r="E442">
        <v>4</v>
      </c>
      <c r="F442" s="3" t="s">
        <v>13</v>
      </c>
      <c r="G442" s="3" t="s">
        <v>10</v>
      </c>
      <c r="H442" s="3" t="str">
        <f>IF(cf_cl[[#This Row],[satisfaction_score]]&gt;=4,"Happy",IF(cf_cl[[#This Row],[satisfaction_score]]=3,"Neutral","Negative"))</f>
        <v>Happy</v>
      </c>
      <c r="I442" s="3" t="str">
        <f>IF(cf_cl[[#This Row],[satisfaction_score]]&lt;=2,"Low",IF(cf_cl[[#This Row],[satisfaction_score]]=3,"Medium","High"))</f>
        <v>High</v>
      </c>
      <c r="J442">
        <f>YEAR(cf_cl[[#This Row],[date_submitted]])</f>
        <v>2022</v>
      </c>
      <c r="K442" s="3" t="str">
        <f>TEXT(cf_cl[[#This Row],[date_submitted]],"mmm")</f>
        <v>Sep</v>
      </c>
      <c r="L442" s="3" t="str">
        <f t="shared" si="18"/>
        <v>Q3</v>
      </c>
      <c r="M442" s="3" t="str">
        <f t="shared" si="19"/>
        <v>Monday</v>
      </c>
      <c r="N442" s="3" t="str">
        <f t="shared" si="20"/>
        <v>No</v>
      </c>
      <c r="O442" s="3" t="str">
        <f>IF(COUNTIF($B:$B,B442)=1,"New Customer",
IF(COUNTIF($B:$B,B442)&lt;=3,"Returning Customer","Loyal Customer"))</f>
        <v>Returning Customer</v>
      </c>
      <c r="P442" s="3" t="str">
        <f>IF(cf_cl[[#This Row],[referred_claim]]="Yes","Referred","Not Referred")</f>
        <v>Referred</v>
      </c>
    </row>
    <row r="443" spans="1:16" x14ac:dyDescent="0.3">
      <c r="A443" t="s">
        <v>870</v>
      </c>
      <c r="B443" t="s">
        <v>668</v>
      </c>
      <c r="C443" s="1">
        <v>44410</v>
      </c>
      <c r="D443" t="s">
        <v>31</v>
      </c>
      <c r="E443">
        <v>1</v>
      </c>
      <c r="F443" s="3" t="s">
        <v>13</v>
      </c>
      <c r="G443" s="3" t="s">
        <v>10</v>
      </c>
      <c r="H443" s="3" t="str">
        <f>IF(cf_cl[[#This Row],[satisfaction_score]]&gt;=4,"Happy",IF(cf_cl[[#This Row],[satisfaction_score]]=3,"Neutral","Negative"))</f>
        <v>Negative</v>
      </c>
      <c r="I443" s="3" t="str">
        <f>IF(cf_cl[[#This Row],[satisfaction_score]]&lt;=2,"Low",IF(cf_cl[[#This Row],[satisfaction_score]]=3,"Medium","High"))</f>
        <v>Low</v>
      </c>
      <c r="J443">
        <f>YEAR(cf_cl[[#This Row],[date_submitted]])</f>
        <v>2021</v>
      </c>
      <c r="K443" s="3" t="str">
        <f>TEXT(cf_cl[[#This Row],[date_submitted]],"mmm")</f>
        <v>Aug</v>
      </c>
      <c r="L443" s="3" t="str">
        <f t="shared" si="18"/>
        <v>Q3</v>
      </c>
      <c r="M443" s="3" t="str">
        <f t="shared" si="19"/>
        <v>Monday</v>
      </c>
      <c r="N443" s="3" t="str">
        <f t="shared" si="20"/>
        <v>Yes</v>
      </c>
      <c r="O443" s="3" t="str">
        <f>IF(COUNTIF($B:$B,B443)=1,"New Customer",
IF(COUNTIF($B:$B,B443)&lt;=3,"Returning Customer","Loyal Customer"))</f>
        <v>Loyal Customer</v>
      </c>
      <c r="P443" s="3" t="str">
        <f>IF(cf_cl[[#This Row],[referred_claim]]="Yes","Referred","Not Referred")</f>
        <v>Referred</v>
      </c>
    </row>
    <row r="444" spans="1:16" x14ac:dyDescent="0.3">
      <c r="A444" t="s">
        <v>871</v>
      </c>
      <c r="B444" t="s">
        <v>872</v>
      </c>
      <c r="C444" s="1">
        <v>44952</v>
      </c>
      <c r="D444" t="s">
        <v>9</v>
      </c>
      <c r="E444">
        <v>2</v>
      </c>
      <c r="F444" s="3" t="s">
        <v>10</v>
      </c>
      <c r="G444" s="3" t="s">
        <v>13</v>
      </c>
      <c r="H444" s="3" t="str">
        <f>IF(cf_cl[[#This Row],[satisfaction_score]]&gt;=4,"Happy",IF(cf_cl[[#This Row],[satisfaction_score]]=3,"Neutral","Negative"))</f>
        <v>Negative</v>
      </c>
      <c r="I444" s="3" t="str">
        <f>IF(cf_cl[[#This Row],[satisfaction_score]]&lt;=2,"Low",IF(cf_cl[[#This Row],[satisfaction_score]]=3,"Medium","High"))</f>
        <v>Low</v>
      </c>
      <c r="J444">
        <f>YEAR(cf_cl[[#This Row],[date_submitted]])</f>
        <v>2023</v>
      </c>
      <c r="K444" s="3" t="str">
        <f>TEXT(cf_cl[[#This Row],[date_submitted]],"mmm")</f>
        <v>Jan</v>
      </c>
      <c r="L444" s="3" t="str">
        <f t="shared" si="18"/>
        <v>Q1</v>
      </c>
      <c r="M444" s="3" t="str">
        <f t="shared" si="19"/>
        <v>Thursday</v>
      </c>
      <c r="N444" s="3" t="str">
        <f t="shared" si="20"/>
        <v>Yes</v>
      </c>
      <c r="O444" s="3" t="str">
        <f>IF(COUNTIF($B:$B,B444)=1,"New Customer",
IF(COUNTIF($B:$B,B444)&lt;=3,"Returning Customer","Loyal Customer"))</f>
        <v>New Customer</v>
      </c>
      <c r="P444" s="3" t="str">
        <f>IF(cf_cl[[#This Row],[referred_claim]]="Yes","Referred","Not Referred")</f>
        <v>Not Referred</v>
      </c>
    </row>
    <row r="445" spans="1:16" x14ac:dyDescent="0.3">
      <c r="A445" t="s">
        <v>873</v>
      </c>
      <c r="B445" t="s">
        <v>874</v>
      </c>
      <c r="C445" s="1">
        <v>45082</v>
      </c>
      <c r="D445" t="s">
        <v>31</v>
      </c>
      <c r="E445">
        <v>2</v>
      </c>
      <c r="F445" s="3" t="s">
        <v>10</v>
      </c>
      <c r="G445" s="3" t="s">
        <v>13</v>
      </c>
      <c r="H445" s="3" t="str">
        <f>IF(cf_cl[[#This Row],[satisfaction_score]]&gt;=4,"Happy",IF(cf_cl[[#This Row],[satisfaction_score]]=3,"Neutral","Negative"))</f>
        <v>Negative</v>
      </c>
      <c r="I445" s="3" t="str">
        <f>IF(cf_cl[[#This Row],[satisfaction_score]]&lt;=2,"Low",IF(cf_cl[[#This Row],[satisfaction_score]]=3,"Medium","High"))</f>
        <v>Low</v>
      </c>
      <c r="J445">
        <f>YEAR(cf_cl[[#This Row],[date_submitted]])</f>
        <v>2023</v>
      </c>
      <c r="K445" s="3" t="str">
        <f>TEXT(cf_cl[[#This Row],[date_submitted]],"mmm")</f>
        <v>Jun</v>
      </c>
      <c r="L445" s="3" t="str">
        <f t="shared" si="18"/>
        <v>Q2</v>
      </c>
      <c r="M445" s="3" t="str">
        <f t="shared" si="19"/>
        <v>Monday</v>
      </c>
      <c r="N445" s="3" t="str">
        <f t="shared" si="20"/>
        <v>Yes</v>
      </c>
      <c r="O445" s="3" t="str">
        <f>IF(COUNTIF($B:$B,B445)=1,"New Customer",
IF(COUNTIF($B:$B,B445)&lt;=3,"Returning Customer","Loyal Customer"))</f>
        <v>New Customer</v>
      </c>
      <c r="P445" s="3" t="str">
        <f>IF(cf_cl[[#This Row],[referred_claim]]="Yes","Referred","Not Referred")</f>
        <v>Not Referred</v>
      </c>
    </row>
    <row r="446" spans="1:16" x14ac:dyDescent="0.3">
      <c r="A446" t="s">
        <v>875</v>
      </c>
      <c r="B446" t="s">
        <v>876</v>
      </c>
      <c r="C446" s="1">
        <v>44613</v>
      </c>
      <c r="D446" t="s">
        <v>22</v>
      </c>
      <c r="E446">
        <v>5</v>
      </c>
      <c r="F446" s="3" t="s">
        <v>13</v>
      </c>
      <c r="G446" s="3" t="s">
        <v>13</v>
      </c>
      <c r="H446" s="3" t="str">
        <f>IF(cf_cl[[#This Row],[satisfaction_score]]&gt;=4,"Happy",IF(cf_cl[[#This Row],[satisfaction_score]]=3,"Neutral","Negative"))</f>
        <v>Happy</v>
      </c>
      <c r="I446" s="3" t="str">
        <f>IF(cf_cl[[#This Row],[satisfaction_score]]&lt;=2,"Low",IF(cf_cl[[#This Row],[satisfaction_score]]=3,"Medium","High"))</f>
        <v>High</v>
      </c>
      <c r="J446">
        <f>YEAR(cf_cl[[#This Row],[date_submitted]])</f>
        <v>2022</v>
      </c>
      <c r="K446" s="3" t="str">
        <f>TEXT(cf_cl[[#This Row],[date_submitted]],"mmm")</f>
        <v>Feb</v>
      </c>
      <c r="L446" s="3" t="str">
        <f t="shared" si="18"/>
        <v>Q1</v>
      </c>
      <c r="M446" s="3" t="str">
        <f t="shared" si="19"/>
        <v>Monday</v>
      </c>
      <c r="N446" s="3" t="str">
        <f t="shared" si="20"/>
        <v>No</v>
      </c>
      <c r="O446" s="3" t="str">
        <f>IF(COUNTIF($B:$B,B446)=1,"New Customer",
IF(COUNTIF($B:$B,B446)&lt;=3,"Returning Customer","Loyal Customer"))</f>
        <v>Returning Customer</v>
      </c>
      <c r="P446" s="3" t="str">
        <f>IF(cf_cl[[#This Row],[referred_claim]]="Yes","Referred","Not Referred")</f>
        <v>Not Referred</v>
      </c>
    </row>
    <row r="447" spans="1:16" x14ac:dyDescent="0.3">
      <c r="A447" t="s">
        <v>877</v>
      </c>
      <c r="B447" t="s">
        <v>706</v>
      </c>
      <c r="C447" s="1">
        <v>44902</v>
      </c>
      <c r="D447" t="s">
        <v>28</v>
      </c>
      <c r="E447">
        <v>4</v>
      </c>
      <c r="F447" s="3" t="s">
        <v>13</v>
      </c>
      <c r="G447" s="3" t="s">
        <v>13</v>
      </c>
      <c r="H447" s="3" t="str">
        <f>IF(cf_cl[[#This Row],[satisfaction_score]]&gt;=4,"Happy",IF(cf_cl[[#This Row],[satisfaction_score]]=3,"Neutral","Negative"))</f>
        <v>Happy</v>
      </c>
      <c r="I447" s="3" t="str">
        <f>IF(cf_cl[[#This Row],[satisfaction_score]]&lt;=2,"Low",IF(cf_cl[[#This Row],[satisfaction_score]]=3,"Medium","High"))</f>
        <v>High</v>
      </c>
      <c r="J447">
        <f>YEAR(cf_cl[[#This Row],[date_submitted]])</f>
        <v>2022</v>
      </c>
      <c r="K447" s="3" t="str">
        <f>TEXT(cf_cl[[#This Row],[date_submitted]],"mmm")</f>
        <v>Dec</v>
      </c>
      <c r="L447" s="3" t="str">
        <f t="shared" si="18"/>
        <v>Q4</v>
      </c>
      <c r="M447" s="3" t="str">
        <f t="shared" si="19"/>
        <v>Wednesday</v>
      </c>
      <c r="N447" s="3" t="str">
        <f t="shared" si="20"/>
        <v>No</v>
      </c>
      <c r="O447" s="3" t="str">
        <f>IF(COUNTIF($B:$B,B447)=1,"New Customer",
IF(COUNTIF($B:$B,B447)&lt;=3,"Returning Customer","Loyal Customer"))</f>
        <v>Returning Customer</v>
      </c>
      <c r="P447" s="3" t="str">
        <f>IF(cf_cl[[#This Row],[referred_claim]]="Yes","Referred","Not Referred")</f>
        <v>Not Referred</v>
      </c>
    </row>
    <row r="448" spans="1:16" x14ac:dyDescent="0.3">
      <c r="A448" t="s">
        <v>878</v>
      </c>
      <c r="B448" t="s">
        <v>879</v>
      </c>
      <c r="C448" s="1">
        <v>44709</v>
      </c>
      <c r="D448" t="s">
        <v>28</v>
      </c>
      <c r="E448">
        <v>5</v>
      </c>
      <c r="F448" s="3" t="s">
        <v>10</v>
      </c>
      <c r="G448" s="3" t="s">
        <v>10</v>
      </c>
      <c r="H448" s="3" t="str">
        <f>IF(cf_cl[[#This Row],[satisfaction_score]]&gt;=4,"Happy",IF(cf_cl[[#This Row],[satisfaction_score]]=3,"Neutral","Negative"))</f>
        <v>Happy</v>
      </c>
      <c r="I448" s="3" t="str">
        <f>IF(cf_cl[[#This Row],[satisfaction_score]]&lt;=2,"Low",IF(cf_cl[[#This Row],[satisfaction_score]]=3,"Medium","High"))</f>
        <v>High</v>
      </c>
      <c r="J448">
        <f>YEAR(cf_cl[[#This Row],[date_submitted]])</f>
        <v>2022</v>
      </c>
      <c r="K448" s="3" t="str">
        <f>TEXT(cf_cl[[#This Row],[date_submitted]],"mmm")</f>
        <v>May</v>
      </c>
      <c r="L448" s="3" t="str">
        <f t="shared" si="18"/>
        <v>Q2</v>
      </c>
      <c r="M448" s="3" t="str">
        <f t="shared" si="19"/>
        <v>Saturday</v>
      </c>
      <c r="N448" s="3" t="str">
        <f t="shared" si="20"/>
        <v>No</v>
      </c>
      <c r="O448" s="3" t="str">
        <f>IF(COUNTIF($B:$B,B448)=1,"New Customer",
IF(COUNTIF($B:$B,B448)&lt;=3,"Returning Customer","Loyal Customer"))</f>
        <v>New Customer</v>
      </c>
      <c r="P448" s="3" t="str">
        <f>IF(cf_cl[[#This Row],[referred_claim]]="Yes","Referred","Not Referred")</f>
        <v>Referred</v>
      </c>
    </row>
    <row r="449" spans="1:16" x14ac:dyDescent="0.3">
      <c r="A449" t="s">
        <v>880</v>
      </c>
      <c r="B449" t="s">
        <v>881</v>
      </c>
      <c r="C449" s="1">
        <v>45185</v>
      </c>
      <c r="D449" t="s">
        <v>28</v>
      </c>
      <c r="E449">
        <v>4</v>
      </c>
      <c r="F449" s="3" t="s">
        <v>10</v>
      </c>
      <c r="G449" s="3" t="s">
        <v>13</v>
      </c>
      <c r="H449" s="3" t="str">
        <f>IF(cf_cl[[#This Row],[satisfaction_score]]&gt;=4,"Happy",IF(cf_cl[[#This Row],[satisfaction_score]]=3,"Neutral","Negative"))</f>
        <v>Happy</v>
      </c>
      <c r="I449" s="3" t="str">
        <f>IF(cf_cl[[#This Row],[satisfaction_score]]&lt;=2,"Low",IF(cf_cl[[#This Row],[satisfaction_score]]=3,"Medium","High"))</f>
        <v>High</v>
      </c>
      <c r="J449">
        <f>YEAR(cf_cl[[#This Row],[date_submitted]])</f>
        <v>2023</v>
      </c>
      <c r="K449" s="3" t="str">
        <f>TEXT(cf_cl[[#This Row],[date_submitted]],"mmm")</f>
        <v>Sep</v>
      </c>
      <c r="L449" s="3" t="str">
        <f t="shared" si="18"/>
        <v>Q3</v>
      </c>
      <c r="M449" s="3" t="str">
        <f t="shared" si="19"/>
        <v>Saturday</v>
      </c>
      <c r="N449" s="3" t="str">
        <f t="shared" si="20"/>
        <v>No</v>
      </c>
      <c r="O449" s="3" t="str">
        <f>IF(COUNTIF($B:$B,B449)=1,"New Customer",
IF(COUNTIF($B:$B,B449)&lt;=3,"Returning Customer","Loyal Customer"))</f>
        <v>New Customer</v>
      </c>
      <c r="P449" s="3" t="str">
        <f>IF(cf_cl[[#This Row],[referred_claim]]="Yes","Referred","Not Referred")</f>
        <v>Not Referred</v>
      </c>
    </row>
    <row r="450" spans="1:16" x14ac:dyDescent="0.3">
      <c r="A450" t="s">
        <v>882</v>
      </c>
      <c r="B450" t="s">
        <v>883</v>
      </c>
      <c r="C450" s="1">
        <v>44659</v>
      </c>
      <c r="D450" t="s">
        <v>68</v>
      </c>
      <c r="E450">
        <v>2</v>
      </c>
      <c r="F450" s="3" t="s">
        <v>10</v>
      </c>
      <c r="G450" s="3" t="s">
        <v>10</v>
      </c>
      <c r="H450" s="3" t="str">
        <f>IF(cf_cl[[#This Row],[satisfaction_score]]&gt;=4,"Happy",IF(cf_cl[[#This Row],[satisfaction_score]]=3,"Neutral","Negative"))</f>
        <v>Negative</v>
      </c>
      <c r="I450" s="3" t="str">
        <f>IF(cf_cl[[#This Row],[satisfaction_score]]&lt;=2,"Low",IF(cf_cl[[#This Row],[satisfaction_score]]=3,"Medium","High"))</f>
        <v>Low</v>
      </c>
      <c r="J450">
        <f>YEAR(cf_cl[[#This Row],[date_submitted]])</f>
        <v>2022</v>
      </c>
      <c r="K450" s="3" t="str">
        <f>TEXT(cf_cl[[#This Row],[date_submitted]],"mmm")</f>
        <v>Apr</v>
      </c>
      <c r="L450" s="3" t="str">
        <f t="shared" ref="L450:L513" si="21">"Q"&amp;ROUNDUP(MONTH(C450)/3,0)</f>
        <v>Q2</v>
      </c>
      <c r="M450" s="3" t="str">
        <f t="shared" ref="M450:M513" si="22">TEXT(C450,"dddd")</f>
        <v>Friday</v>
      </c>
      <c r="N450" s="3" t="str">
        <f t="shared" ref="N450:N513" si="23">IF(E450&lt;=2,"Yes","No")</f>
        <v>Yes</v>
      </c>
      <c r="O450" s="3" t="str">
        <f>IF(COUNTIF($B:$B,B450)=1,"New Customer",
IF(COUNTIF($B:$B,B450)&lt;=3,"Returning Customer","Loyal Customer"))</f>
        <v>New Customer</v>
      </c>
      <c r="P450" s="3" t="str">
        <f>IF(cf_cl[[#This Row],[referred_claim]]="Yes","Referred","Not Referred")</f>
        <v>Referred</v>
      </c>
    </row>
    <row r="451" spans="1:16" x14ac:dyDescent="0.3">
      <c r="A451" t="s">
        <v>884</v>
      </c>
      <c r="B451" t="s">
        <v>885</v>
      </c>
      <c r="C451" s="1">
        <v>45104</v>
      </c>
      <c r="D451" t="s">
        <v>83</v>
      </c>
      <c r="E451">
        <v>1</v>
      </c>
      <c r="F451" s="3" t="s">
        <v>10</v>
      </c>
      <c r="G451" s="3" t="s">
        <v>10</v>
      </c>
      <c r="H451" s="3" t="str">
        <f>IF(cf_cl[[#This Row],[satisfaction_score]]&gt;=4,"Happy",IF(cf_cl[[#This Row],[satisfaction_score]]=3,"Neutral","Negative"))</f>
        <v>Negative</v>
      </c>
      <c r="I451" s="3" t="str">
        <f>IF(cf_cl[[#This Row],[satisfaction_score]]&lt;=2,"Low",IF(cf_cl[[#This Row],[satisfaction_score]]=3,"Medium","High"))</f>
        <v>Low</v>
      </c>
      <c r="J451">
        <f>YEAR(cf_cl[[#This Row],[date_submitted]])</f>
        <v>2023</v>
      </c>
      <c r="K451" s="3" t="str">
        <f>TEXT(cf_cl[[#This Row],[date_submitted]],"mmm")</f>
        <v>Jun</v>
      </c>
      <c r="L451" s="3" t="str">
        <f t="shared" si="21"/>
        <v>Q2</v>
      </c>
      <c r="M451" s="3" t="str">
        <f t="shared" si="22"/>
        <v>Tuesday</v>
      </c>
      <c r="N451" s="3" t="str">
        <f t="shared" si="23"/>
        <v>Yes</v>
      </c>
      <c r="O451" s="3" t="str">
        <f>IF(COUNTIF($B:$B,B451)=1,"New Customer",
IF(COUNTIF($B:$B,B451)&lt;=3,"Returning Customer","Loyal Customer"))</f>
        <v>New Customer</v>
      </c>
      <c r="P451" s="3" t="str">
        <f>IF(cf_cl[[#This Row],[referred_claim]]="Yes","Referred","Not Referred")</f>
        <v>Referred</v>
      </c>
    </row>
    <row r="452" spans="1:16" x14ac:dyDescent="0.3">
      <c r="A452" t="s">
        <v>886</v>
      </c>
      <c r="B452" t="s">
        <v>887</v>
      </c>
      <c r="C452" s="1">
        <v>44670</v>
      </c>
      <c r="D452" t="s">
        <v>83</v>
      </c>
      <c r="E452">
        <v>1</v>
      </c>
      <c r="F452" s="3" t="s">
        <v>13</v>
      </c>
      <c r="G452" s="3" t="s">
        <v>13</v>
      </c>
      <c r="H452" s="3" t="str">
        <f>IF(cf_cl[[#This Row],[satisfaction_score]]&gt;=4,"Happy",IF(cf_cl[[#This Row],[satisfaction_score]]=3,"Neutral","Negative"))</f>
        <v>Negative</v>
      </c>
      <c r="I452" s="3" t="str">
        <f>IF(cf_cl[[#This Row],[satisfaction_score]]&lt;=2,"Low",IF(cf_cl[[#This Row],[satisfaction_score]]=3,"Medium","High"))</f>
        <v>Low</v>
      </c>
      <c r="J452">
        <f>YEAR(cf_cl[[#This Row],[date_submitted]])</f>
        <v>2022</v>
      </c>
      <c r="K452" s="3" t="str">
        <f>TEXT(cf_cl[[#This Row],[date_submitted]],"mmm")</f>
        <v>Apr</v>
      </c>
      <c r="L452" s="3" t="str">
        <f t="shared" si="21"/>
        <v>Q2</v>
      </c>
      <c r="M452" s="3" t="str">
        <f t="shared" si="22"/>
        <v>Tuesday</v>
      </c>
      <c r="N452" s="3" t="str">
        <f t="shared" si="23"/>
        <v>Yes</v>
      </c>
      <c r="O452" s="3" t="str">
        <f>IF(COUNTIF($B:$B,B452)=1,"New Customer",
IF(COUNTIF($B:$B,B452)&lt;=3,"Returning Customer","Loyal Customer"))</f>
        <v>New Customer</v>
      </c>
      <c r="P452" s="3" t="str">
        <f>IF(cf_cl[[#This Row],[referred_claim]]="Yes","Referred","Not Referred")</f>
        <v>Not Referred</v>
      </c>
    </row>
    <row r="453" spans="1:16" x14ac:dyDescent="0.3">
      <c r="A453" t="s">
        <v>888</v>
      </c>
      <c r="B453" t="s">
        <v>889</v>
      </c>
      <c r="C453" s="1">
        <v>44767</v>
      </c>
      <c r="D453" t="s">
        <v>28</v>
      </c>
      <c r="E453">
        <v>5</v>
      </c>
      <c r="F453" s="3" t="s">
        <v>10</v>
      </c>
      <c r="G453" s="3" t="s">
        <v>10</v>
      </c>
      <c r="H453" s="3" t="str">
        <f>IF(cf_cl[[#This Row],[satisfaction_score]]&gt;=4,"Happy",IF(cf_cl[[#This Row],[satisfaction_score]]=3,"Neutral","Negative"))</f>
        <v>Happy</v>
      </c>
      <c r="I453" s="3" t="str">
        <f>IF(cf_cl[[#This Row],[satisfaction_score]]&lt;=2,"Low",IF(cf_cl[[#This Row],[satisfaction_score]]=3,"Medium","High"))</f>
        <v>High</v>
      </c>
      <c r="J453">
        <f>YEAR(cf_cl[[#This Row],[date_submitted]])</f>
        <v>2022</v>
      </c>
      <c r="K453" s="3" t="str">
        <f>TEXT(cf_cl[[#This Row],[date_submitted]],"mmm")</f>
        <v>Jul</v>
      </c>
      <c r="L453" s="3" t="str">
        <f t="shared" si="21"/>
        <v>Q3</v>
      </c>
      <c r="M453" s="3" t="str">
        <f t="shared" si="22"/>
        <v>Monday</v>
      </c>
      <c r="N453" s="3" t="str">
        <f t="shared" si="23"/>
        <v>No</v>
      </c>
      <c r="O453" s="3" t="str">
        <f>IF(COUNTIF($B:$B,B453)=1,"New Customer",
IF(COUNTIF($B:$B,B453)&lt;=3,"Returning Customer","Loyal Customer"))</f>
        <v>New Customer</v>
      </c>
      <c r="P453" s="3" t="str">
        <f>IF(cf_cl[[#This Row],[referred_claim]]="Yes","Referred","Not Referred")</f>
        <v>Referred</v>
      </c>
    </row>
    <row r="454" spans="1:16" x14ac:dyDescent="0.3">
      <c r="A454" t="s">
        <v>890</v>
      </c>
      <c r="B454" t="s">
        <v>891</v>
      </c>
      <c r="C454" s="1">
        <v>44831</v>
      </c>
      <c r="D454" t="s">
        <v>28</v>
      </c>
      <c r="E454">
        <v>4</v>
      </c>
      <c r="F454" s="3" t="s">
        <v>10</v>
      </c>
      <c r="G454" s="3" t="s">
        <v>13</v>
      </c>
      <c r="H454" s="3" t="str">
        <f>IF(cf_cl[[#This Row],[satisfaction_score]]&gt;=4,"Happy",IF(cf_cl[[#This Row],[satisfaction_score]]=3,"Neutral","Negative"))</f>
        <v>Happy</v>
      </c>
      <c r="I454" s="3" t="str">
        <f>IF(cf_cl[[#This Row],[satisfaction_score]]&lt;=2,"Low",IF(cf_cl[[#This Row],[satisfaction_score]]=3,"Medium","High"))</f>
        <v>High</v>
      </c>
      <c r="J454">
        <f>YEAR(cf_cl[[#This Row],[date_submitted]])</f>
        <v>2022</v>
      </c>
      <c r="K454" s="3" t="str">
        <f>TEXT(cf_cl[[#This Row],[date_submitted]],"mmm")</f>
        <v>Sep</v>
      </c>
      <c r="L454" s="3" t="str">
        <f t="shared" si="21"/>
        <v>Q3</v>
      </c>
      <c r="M454" s="3" t="str">
        <f t="shared" si="22"/>
        <v>Tuesday</v>
      </c>
      <c r="N454" s="3" t="str">
        <f t="shared" si="23"/>
        <v>No</v>
      </c>
      <c r="O454" s="3" t="str">
        <f>IF(COUNTIF($B:$B,B454)=1,"New Customer",
IF(COUNTIF($B:$B,B454)&lt;=3,"Returning Customer","Loyal Customer"))</f>
        <v>New Customer</v>
      </c>
      <c r="P454" s="3" t="str">
        <f>IF(cf_cl[[#This Row],[referred_claim]]="Yes","Referred","Not Referred")</f>
        <v>Not Referred</v>
      </c>
    </row>
    <row r="455" spans="1:16" x14ac:dyDescent="0.3">
      <c r="A455" t="s">
        <v>892</v>
      </c>
      <c r="B455" t="s">
        <v>820</v>
      </c>
      <c r="C455" s="1">
        <v>45195</v>
      </c>
      <c r="D455" t="s">
        <v>83</v>
      </c>
      <c r="E455">
        <v>1</v>
      </c>
      <c r="F455" s="3" t="s">
        <v>10</v>
      </c>
      <c r="G455" s="3" t="s">
        <v>13</v>
      </c>
      <c r="H455" s="3" t="str">
        <f>IF(cf_cl[[#This Row],[satisfaction_score]]&gt;=4,"Happy",IF(cf_cl[[#This Row],[satisfaction_score]]=3,"Neutral","Negative"))</f>
        <v>Negative</v>
      </c>
      <c r="I455" s="3" t="str">
        <f>IF(cf_cl[[#This Row],[satisfaction_score]]&lt;=2,"Low",IF(cf_cl[[#This Row],[satisfaction_score]]=3,"Medium","High"))</f>
        <v>Low</v>
      </c>
      <c r="J455">
        <f>YEAR(cf_cl[[#This Row],[date_submitted]])</f>
        <v>2023</v>
      </c>
      <c r="K455" s="3" t="str">
        <f>TEXT(cf_cl[[#This Row],[date_submitted]],"mmm")</f>
        <v>Sep</v>
      </c>
      <c r="L455" s="3" t="str">
        <f t="shared" si="21"/>
        <v>Q3</v>
      </c>
      <c r="M455" s="3" t="str">
        <f t="shared" si="22"/>
        <v>Tuesday</v>
      </c>
      <c r="N455" s="3" t="str">
        <f t="shared" si="23"/>
        <v>Yes</v>
      </c>
      <c r="O455" s="3" t="str">
        <f>IF(COUNTIF($B:$B,B455)=1,"New Customer",
IF(COUNTIF($B:$B,B455)&lt;=3,"Returning Customer","Loyal Customer"))</f>
        <v>Returning Customer</v>
      </c>
      <c r="P455" s="3" t="str">
        <f>IF(cf_cl[[#This Row],[referred_claim]]="Yes","Referred","Not Referred")</f>
        <v>Not Referred</v>
      </c>
    </row>
    <row r="456" spans="1:16" x14ac:dyDescent="0.3">
      <c r="A456" t="s">
        <v>893</v>
      </c>
      <c r="B456" t="s">
        <v>894</v>
      </c>
      <c r="C456" s="1">
        <v>44744</v>
      </c>
      <c r="D456" t="s">
        <v>31</v>
      </c>
      <c r="E456">
        <v>3</v>
      </c>
      <c r="F456" s="3" t="s">
        <v>13</v>
      </c>
      <c r="G456" s="3" t="s">
        <v>10</v>
      </c>
      <c r="H456" s="3" t="str">
        <f>IF(cf_cl[[#This Row],[satisfaction_score]]&gt;=4,"Happy",IF(cf_cl[[#This Row],[satisfaction_score]]=3,"Neutral","Negative"))</f>
        <v>Neutral</v>
      </c>
      <c r="I456" s="3" t="str">
        <f>IF(cf_cl[[#This Row],[satisfaction_score]]&lt;=2,"Low",IF(cf_cl[[#This Row],[satisfaction_score]]=3,"Medium","High"))</f>
        <v>Medium</v>
      </c>
      <c r="J456">
        <f>YEAR(cf_cl[[#This Row],[date_submitted]])</f>
        <v>2022</v>
      </c>
      <c r="K456" s="3" t="str">
        <f>TEXT(cf_cl[[#This Row],[date_submitted]],"mmm")</f>
        <v>Jul</v>
      </c>
      <c r="L456" s="3" t="str">
        <f t="shared" si="21"/>
        <v>Q3</v>
      </c>
      <c r="M456" s="3" t="str">
        <f t="shared" si="22"/>
        <v>Saturday</v>
      </c>
      <c r="N456" s="3" t="str">
        <f t="shared" si="23"/>
        <v>No</v>
      </c>
      <c r="O456" s="3" t="str">
        <f>IF(COUNTIF($B:$B,B456)=1,"New Customer",
IF(COUNTIF($B:$B,B456)&lt;=3,"Returning Customer","Loyal Customer"))</f>
        <v>New Customer</v>
      </c>
      <c r="P456" s="3" t="str">
        <f>IF(cf_cl[[#This Row],[referred_claim]]="Yes","Referred","Not Referred")</f>
        <v>Referred</v>
      </c>
    </row>
    <row r="457" spans="1:16" x14ac:dyDescent="0.3">
      <c r="A457" t="s">
        <v>895</v>
      </c>
      <c r="B457" t="s">
        <v>896</v>
      </c>
      <c r="C457" s="1">
        <v>45261</v>
      </c>
      <c r="D457" t="s">
        <v>16</v>
      </c>
      <c r="E457">
        <v>5</v>
      </c>
      <c r="F457" s="3" t="s">
        <v>13</v>
      </c>
      <c r="G457" s="3" t="s">
        <v>13</v>
      </c>
      <c r="H457" s="3" t="str">
        <f>IF(cf_cl[[#This Row],[satisfaction_score]]&gt;=4,"Happy",IF(cf_cl[[#This Row],[satisfaction_score]]=3,"Neutral","Negative"))</f>
        <v>Happy</v>
      </c>
      <c r="I457" s="3" t="str">
        <f>IF(cf_cl[[#This Row],[satisfaction_score]]&lt;=2,"Low",IF(cf_cl[[#This Row],[satisfaction_score]]=3,"Medium","High"))</f>
        <v>High</v>
      </c>
      <c r="J457">
        <f>YEAR(cf_cl[[#This Row],[date_submitted]])</f>
        <v>2023</v>
      </c>
      <c r="K457" s="3" t="str">
        <f>TEXT(cf_cl[[#This Row],[date_submitted]],"mmm")</f>
        <v>Dec</v>
      </c>
      <c r="L457" s="3" t="str">
        <f t="shared" si="21"/>
        <v>Q4</v>
      </c>
      <c r="M457" s="3" t="str">
        <f t="shared" si="22"/>
        <v>Friday</v>
      </c>
      <c r="N457" s="3" t="str">
        <f t="shared" si="23"/>
        <v>No</v>
      </c>
      <c r="O457" s="3" t="str">
        <f>IF(COUNTIF($B:$B,B457)=1,"New Customer",
IF(COUNTIF($B:$B,B457)&lt;=3,"Returning Customer","Loyal Customer"))</f>
        <v>Returning Customer</v>
      </c>
      <c r="P457" s="3" t="str">
        <f>IF(cf_cl[[#This Row],[referred_claim]]="Yes","Referred","Not Referred")</f>
        <v>Not Referred</v>
      </c>
    </row>
    <row r="458" spans="1:16" x14ac:dyDescent="0.3">
      <c r="A458" t="s">
        <v>897</v>
      </c>
      <c r="B458" t="s">
        <v>898</v>
      </c>
      <c r="C458" s="1">
        <v>44792</v>
      </c>
      <c r="D458" t="s">
        <v>31</v>
      </c>
      <c r="E458">
        <v>3</v>
      </c>
      <c r="F458" s="3" t="s">
        <v>10</v>
      </c>
      <c r="G458" s="3" t="s">
        <v>13</v>
      </c>
      <c r="H458" s="3" t="str">
        <f>IF(cf_cl[[#This Row],[satisfaction_score]]&gt;=4,"Happy",IF(cf_cl[[#This Row],[satisfaction_score]]=3,"Neutral","Negative"))</f>
        <v>Neutral</v>
      </c>
      <c r="I458" s="3" t="str">
        <f>IF(cf_cl[[#This Row],[satisfaction_score]]&lt;=2,"Low",IF(cf_cl[[#This Row],[satisfaction_score]]=3,"Medium","High"))</f>
        <v>Medium</v>
      </c>
      <c r="J458">
        <f>YEAR(cf_cl[[#This Row],[date_submitted]])</f>
        <v>2022</v>
      </c>
      <c r="K458" s="3" t="str">
        <f>TEXT(cf_cl[[#This Row],[date_submitted]],"mmm")</f>
        <v>Aug</v>
      </c>
      <c r="L458" s="3" t="str">
        <f t="shared" si="21"/>
        <v>Q3</v>
      </c>
      <c r="M458" s="3" t="str">
        <f t="shared" si="22"/>
        <v>Friday</v>
      </c>
      <c r="N458" s="3" t="str">
        <f t="shared" si="23"/>
        <v>No</v>
      </c>
      <c r="O458" s="3" t="str">
        <f>IF(COUNTIF($B:$B,B458)=1,"New Customer",
IF(COUNTIF($B:$B,B458)&lt;=3,"Returning Customer","Loyal Customer"))</f>
        <v>Returning Customer</v>
      </c>
      <c r="P458" s="3" t="str">
        <f>IF(cf_cl[[#This Row],[referred_claim]]="Yes","Referred","Not Referred")</f>
        <v>Not Referred</v>
      </c>
    </row>
    <row r="459" spans="1:16" x14ac:dyDescent="0.3">
      <c r="A459" t="s">
        <v>899</v>
      </c>
      <c r="B459" t="s">
        <v>900</v>
      </c>
      <c r="C459" s="1">
        <v>44151</v>
      </c>
      <c r="D459" t="s">
        <v>16</v>
      </c>
      <c r="E459">
        <v>4</v>
      </c>
      <c r="F459" s="3" t="s">
        <v>10</v>
      </c>
      <c r="G459" s="3" t="s">
        <v>13</v>
      </c>
      <c r="H459" s="3" t="str">
        <f>IF(cf_cl[[#This Row],[satisfaction_score]]&gt;=4,"Happy",IF(cf_cl[[#This Row],[satisfaction_score]]=3,"Neutral","Negative"))</f>
        <v>Happy</v>
      </c>
      <c r="I459" s="3" t="str">
        <f>IF(cf_cl[[#This Row],[satisfaction_score]]&lt;=2,"Low",IF(cf_cl[[#This Row],[satisfaction_score]]=3,"Medium","High"))</f>
        <v>High</v>
      </c>
      <c r="J459">
        <f>YEAR(cf_cl[[#This Row],[date_submitted]])</f>
        <v>2020</v>
      </c>
      <c r="K459" s="3" t="str">
        <f>TEXT(cf_cl[[#This Row],[date_submitted]],"mmm")</f>
        <v>Nov</v>
      </c>
      <c r="L459" s="3" t="str">
        <f t="shared" si="21"/>
        <v>Q4</v>
      </c>
      <c r="M459" s="3" t="str">
        <f t="shared" si="22"/>
        <v>Monday</v>
      </c>
      <c r="N459" s="3" t="str">
        <f t="shared" si="23"/>
        <v>No</v>
      </c>
      <c r="O459" s="3" t="str">
        <f>IF(COUNTIF($B:$B,B459)=1,"New Customer",
IF(COUNTIF($B:$B,B459)&lt;=3,"Returning Customer","Loyal Customer"))</f>
        <v>Returning Customer</v>
      </c>
      <c r="P459" s="3" t="str">
        <f>IF(cf_cl[[#This Row],[referred_claim]]="Yes","Referred","Not Referred")</f>
        <v>Not Referred</v>
      </c>
    </row>
    <row r="460" spans="1:16" x14ac:dyDescent="0.3">
      <c r="A460" t="s">
        <v>901</v>
      </c>
      <c r="B460" t="s">
        <v>902</v>
      </c>
      <c r="C460" s="1">
        <v>44231</v>
      </c>
      <c r="D460" t="s">
        <v>22</v>
      </c>
      <c r="E460">
        <v>4</v>
      </c>
      <c r="F460" s="3" t="s">
        <v>13</v>
      </c>
      <c r="G460" s="3" t="s">
        <v>13</v>
      </c>
      <c r="H460" s="3" t="str">
        <f>IF(cf_cl[[#This Row],[satisfaction_score]]&gt;=4,"Happy",IF(cf_cl[[#This Row],[satisfaction_score]]=3,"Neutral","Negative"))</f>
        <v>Happy</v>
      </c>
      <c r="I460" s="3" t="str">
        <f>IF(cf_cl[[#This Row],[satisfaction_score]]&lt;=2,"Low",IF(cf_cl[[#This Row],[satisfaction_score]]=3,"Medium","High"))</f>
        <v>High</v>
      </c>
      <c r="J460">
        <f>YEAR(cf_cl[[#This Row],[date_submitted]])</f>
        <v>2021</v>
      </c>
      <c r="K460" s="3" t="str">
        <f>TEXT(cf_cl[[#This Row],[date_submitted]],"mmm")</f>
        <v>Feb</v>
      </c>
      <c r="L460" s="3" t="str">
        <f t="shared" si="21"/>
        <v>Q1</v>
      </c>
      <c r="M460" s="3" t="str">
        <f t="shared" si="22"/>
        <v>Thursday</v>
      </c>
      <c r="N460" s="3" t="str">
        <f t="shared" si="23"/>
        <v>No</v>
      </c>
      <c r="O460" s="3" t="str">
        <f>IF(COUNTIF($B:$B,B460)=1,"New Customer",
IF(COUNTIF($B:$B,B460)&lt;=3,"Returning Customer","Loyal Customer"))</f>
        <v>New Customer</v>
      </c>
      <c r="P460" s="3" t="str">
        <f>IF(cf_cl[[#This Row],[referred_claim]]="Yes","Referred","Not Referred")</f>
        <v>Not Referred</v>
      </c>
    </row>
    <row r="461" spans="1:16" x14ac:dyDescent="0.3">
      <c r="A461" t="s">
        <v>903</v>
      </c>
      <c r="B461" t="s">
        <v>904</v>
      </c>
      <c r="C461" s="1">
        <v>44749</v>
      </c>
      <c r="D461" t="s">
        <v>31</v>
      </c>
      <c r="E461">
        <v>3</v>
      </c>
      <c r="F461" s="3" t="s">
        <v>10</v>
      </c>
      <c r="G461" s="3" t="s">
        <v>13</v>
      </c>
      <c r="H461" s="3" t="str">
        <f>IF(cf_cl[[#This Row],[satisfaction_score]]&gt;=4,"Happy",IF(cf_cl[[#This Row],[satisfaction_score]]=3,"Neutral","Negative"))</f>
        <v>Neutral</v>
      </c>
      <c r="I461" s="3" t="str">
        <f>IF(cf_cl[[#This Row],[satisfaction_score]]&lt;=2,"Low",IF(cf_cl[[#This Row],[satisfaction_score]]=3,"Medium","High"))</f>
        <v>Medium</v>
      </c>
      <c r="J461">
        <f>YEAR(cf_cl[[#This Row],[date_submitted]])</f>
        <v>2022</v>
      </c>
      <c r="K461" s="3" t="str">
        <f>TEXT(cf_cl[[#This Row],[date_submitted]],"mmm")</f>
        <v>Jul</v>
      </c>
      <c r="L461" s="3" t="str">
        <f t="shared" si="21"/>
        <v>Q3</v>
      </c>
      <c r="M461" s="3" t="str">
        <f t="shared" si="22"/>
        <v>Thursday</v>
      </c>
      <c r="N461" s="3" t="str">
        <f t="shared" si="23"/>
        <v>No</v>
      </c>
      <c r="O461" s="3" t="str">
        <f>IF(COUNTIF($B:$B,B461)=1,"New Customer",
IF(COUNTIF($B:$B,B461)&lt;=3,"Returning Customer","Loyal Customer"))</f>
        <v>New Customer</v>
      </c>
      <c r="P461" s="3" t="str">
        <f>IF(cf_cl[[#This Row],[referred_claim]]="Yes","Referred","Not Referred")</f>
        <v>Not Referred</v>
      </c>
    </row>
    <row r="462" spans="1:16" x14ac:dyDescent="0.3">
      <c r="A462" t="s">
        <v>905</v>
      </c>
      <c r="B462" t="s">
        <v>906</v>
      </c>
      <c r="C462" s="1">
        <v>44763</v>
      </c>
      <c r="D462" t="s">
        <v>16</v>
      </c>
      <c r="E462">
        <v>4</v>
      </c>
      <c r="F462" s="3" t="s">
        <v>13</v>
      </c>
      <c r="G462" s="3" t="s">
        <v>13</v>
      </c>
      <c r="H462" s="3" t="str">
        <f>IF(cf_cl[[#This Row],[satisfaction_score]]&gt;=4,"Happy",IF(cf_cl[[#This Row],[satisfaction_score]]=3,"Neutral","Negative"))</f>
        <v>Happy</v>
      </c>
      <c r="I462" s="3" t="str">
        <f>IF(cf_cl[[#This Row],[satisfaction_score]]&lt;=2,"Low",IF(cf_cl[[#This Row],[satisfaction_score]]=3,"Medium","High"))</f>
        <v>High</v>
      </c>
      <c r="J462">
        <f>YEAR(cf_cl[[#This Row],[date_submitted]])</f>
        <v>2022</v>
      </c>
      <c r="K462" s="3" t="str">
        <f>TEXT(cf_cl[[#This Row],[date_submitted]],"mmm")</f>
        <v>Jul</v>
      </c>
      <c r="L462" s="3" t="str">
        <f t="shared" si="21"/>
        <v>Q3</v>
      </c>
      <c r="M462" s="3" t="str">
        <f t="shared" si="22"/>
        <v>Thursday</v>
      </c>
      <c r="N462" s="3" t="str">
        <f t="shared" si="23"/>
        <v>No</v>
      </c>
      <c r="O462" s="3" t="str">
        <f>IF(COUNTIF($B:$B,B462)=1,"New Customer",
IF(COUNTIF($B:$B,B462)&lt;=3,"Returning Customer","Loyal Customer"))</f>
        <v>Returning Customer</v>
      </c>
      <c r="P462" s="3" t="str">
        <f>IF(cf_cl[[#This Row],[referred_claim]]="Yes","Referred","Not Referred")</f>
        <v>Not Referred</v>
      </c>
    </row>
    <row r="463" spans="1:16" x14ac:dyDescent="0.3">
      <c r="A463" t="s">
        <v>907</v>
      </c>
      <c r="B463" t="s">
        <v>194</v>
      </c>
      <c r="C463" s="1">
        <v>44207</v>
      </c>
      <c r="D463" t="s">
        <v>37</v>
      </c>
      <c r="E463">
        <v>5</v>
      </c>
      <c r="F463" s="3" t="s">
        <v>13</v>
      </c>
      <c r="G463" s="3" t="s">
        <v>10</v>
      </c>
      <c r="H463" s="3" t="str">
        <f>IF(cf_cl[[#This Row],[satisfaction_score]]&gt;=4,"Happy",IF(cf_cl[[#This Row],[satisfaction_score]]=3,"Neutral","Negative"))</f>
        <v>Happy</v>
      </c>
      <c r="I463" s="3" t="str">
        <f>IF(cf_cl[[#This Row],[satisfaction_score]]&lt;=2,"Low",IF(cf_cl[[#This Row],[satisfaction_score]]=3,"Medium","High"))</f>
        <v>High</v>
      </c>
      <c r="J463">
        <f>YEAR(cf_cl[[#This Row],[date_submitted]])</f>
        <v>2021</v>
      </c>
      <c r="K463" s="3" t="str">
        <f>TEXT(cf_cl[[#This Row],[date_submitted]],"mmm")</f>
        <v>Jan</v>
      </c>
      <c r="L463" s="3" t="str">
        <f t="shared" si="21"/>
        <v>Q1</v>
      </c>
      <c r="M463" s="3" t="str">
        <f t="shared" si="22"/>
        <v>Monday</v>
      </c>
      <c r="N463" s="3" t="str">
        <f t="shared" si="23"/>
        <v>No</v>
      </c>
      <c r="O463" s="3" t="str">
        <f>IF(COUNTIF($B:$B,B463)=1,"New Customer",
IF(COUNTIF($B:$B,B463)&lt;=3,"Returning Customer","Loyal Customer"))</f>
        <v>Returning Customer</v>
      </c>
      <c r="P463" s="3" t="str">
        <f>IF(cf_cl[[#This Row],[referred_claim]]="Yes","Referred","Not Referred")</f>
        <v>Referred</v>
      </c>
    </row>
    <row r="464" spans="1:16" x14ac:dyDescent="0.3">
      <c r="A464" t="s">
        <v>908</v>
      </c>
      <c r="B464" t="s">
        <v>906</v>
      </c>
      <c r="C464" s="1">
        <v>43883</v>
      </c>
      <c r="D464" t="s">
        <v>16</v>
      </c>
      <c r="E464">
        <v>4</v>
      </c>
      <c r="F464" s="3" t="s">
        <v>13</v>
      </c>
      <c r="G464" s="3" t="s">
        <v>13</v>
      </c>
      <c r="H464" s="3" t="str">
        <f>IF(cf_cl[[#This Row],[satisfaction_score]]&gt;=4,"Happy",IF(cf_cl[[#This Row],[satisfaction_score]]=3,"Neutral","Negative"))</f>
        <v>Happy</v>
      </c>
      <c r="I464" s="3" t="str">
        <f>IF(cf_cl[[#This Row],[satisfaction_score]]&lt;=2,"Low",IF(cf_cl[[#This Row],[satisfaction_score]]=3,"Medium","High"))</f>
        <v>High</v>
      </c>
      <c r="J464">
        <f>YEAR(cf_cl[[#This Row],[date_submitted]])</f>
        <v>2020</v>
      </c>
      <c r="K464" s="3" t="str">
        <f>TEXT(cf_cl[[#This Row],[date_submitted]],"mmm")</f>
        <v>Feb</v>
      </c>
      <c r="L464" s="3" t="str">
        <f t="shared" si="21"/>
        <v>Q1</v>
      </c>
      <c r="M464" s="3" t="str">
        <f t="shared" si="22"/>
        <v>Saturday</v>
      </c>
      <c r="N464" s="3" t="str">
        <f t="shared" si="23"/>
        <v>No</v>
      </c>
      <c r="O464" s="3" t="str">
        <f>IF(COUNTIF($B:$B,B464)=1,"New Customer",
IF(COUNTIF($B:$B,B464)&lt;=3,"Returning Customer","Loyal Customer"))</f>
        <v>Returning Customer</v>
      </c>
      <c r="P464" s="3" t="str">
        <f>IF(cf_cl[[#This Row],[referred_claim]]="Yes","Referred","Not Referred")</f>
        <v>Not Referred</v>
      </c>
    </row>
    <row r="465" spans="1:16" x14ac:dyDescent="0.3">
      <c r="A465" t="s">
        <v>909</v>
      </c>
      <c r="B465" t="s">
        <v>910</v>
      </c>
      <c r="C465" s="1">
        <v>44981</v>
      </c>
      <c r="D465" t="s">
        <v>37</v>
      </c>
      <c r="E465">
        <v>3</v>
      </c>
      <c r="F465" s="3" t="s">
        <v>10</v>
      </c>
      <c r="G465" s="3" t="s">
        <v>10</v>
      </c>
      <c r="H465" s="3" t="str">
        <f>IF(cf_cl[[#This Row],[satisfaction_score]]&gt;=4,"Happy",IF(cf_cl[[#This Row],[satisfaction_score]]=3,"Neutral","Negative"))</f>
        <v>Neutral</v>
      </c>
      <c r="I465" s="3" t="str">
        <f>IF(cf_cl[[#This Row],[satisfaction_score]]&lt;=2,"Low",IF(cf_cl[[#This Row],[satisfaction_score]]=3,"Medium","High"))</f>
        <v>Medium</v>
      </c>
      <c r="J465">
        <f>YEAR(cf_cl[[#This Row],[date_submitted]])</f>
        <v>2023</v>
      </c>
      <c r="K465" s="3" t="str">
        <f>TEXT(cf_cl[[#This Row],[date_submitted]],"mmm")</f>
        <v>Feb</v>
      </c>
      <c r="L465" s="3" t="str">
        <f t="shared" si="21"/>
        <v>Q1</v>
      </c>
      <c r="M465" s="3" t="str">
        <f t="shared" si="22"/>
        <v>Friday</v>
      </c>
      <c r="N465" s="3" t="str">
        <f t="shared" si="23"/>
        <v>No</v>
      </c>
      <c r="O465" s="3" t="str">
        <f>IF(COUNTIF($B:$B,B465)=1,"New Customer",
IF(COUNTIF($B:$B,B465)&lt;=3,"Returning Customer","Loyal Customer"))</f>
        <v>New Customer</v>
      </c>
      <c r="P465" s="3" t="str">
        <f>IF(cf_cl[[#This Row],[referred_claim]]="Yes","Referred","Not Referred")</f>
        <v>Referred</v>
      </c>
    </row>
    <row r="466" spans="1:16" x14ac:dyDescent="0.3">
      <c r="A466" t="s">
        <v>911</v>
      </c>
      <c r="B466" t="s">
        <v>912</v>
      </c>
      <c r="C466" s="1">
        <v>43865</v>
      </c>
      <c r="D466" t="s">
        <v>37</v>
      </c>
      <c r="E466">
        <v>5</v>
      </c>
      <c r="F466" s="3" t="s">
        <v>13</v>
      </c>
      <c r="G466" s="3" t="s">
        <v>10</v>
      </c>
      <c r="H466" s="3" t="str">
        <f>IF(cf_cl[[#This Row],[satisfaction_score]]&gt;=4,"Happy",IF(cf_cl[[#This Row],[satisfaction_score]]=3,"Neutral","Negative"))</f>
        <v>Happy</v>
      </c>
      <c r="I466" s="3" t="str">
        <f>IF(cf_cl[[#This Row],[satisfaction_score]]&lt;=2,"Low",IF(cf_cl[[#This Row],[satisfaction_score]]=3,"Medium","High"))</f>
        <v>High</v>
      </c>
      <c r="J466">
        <f>YEAR(cf_cl[[#This Row],[date_submitted]])</f>
        <v>2020</v>
      </c>
      <c r="K466" s="3" t="str">
        <f>TEXT(cf_cl[[#This Row],[date_submitted]],"mmm")</f>
        <v>Feb</v>
      </c>
      <c r="L466" s="3" t="str">
        <f t="shared" si="21"/>
        <v>Q1</v>
      </c>
      <c r="M466" s="3" t="str">
        <f t="shared" si="22"/>
        <v>Tuesday</v>
      </c>
      <c r="N466" s="3" t="str">
        <f t="shared" si="23"/>
        <v>No</v>
      </c>
      <c r="O466" s="3" t="str">
        <f>IF(COUNTIF($B:$B,B466)=1,"New Customer",
IF(COUNTIF($B:$B,B466)&lt;=3,"Returning Customer","Loyal Customer"))</f>
        <v>New Customer</v>
      </c>
      <c r="P466" s="3" t="str">
        <f>IF(cf_cl[[#This Row],[referred_claim]]="Yes","Referred","Not Referred")</f>
        <v>Referred</v>
      </c>
    </row>
    <row r="467" spans="1:16" x14ac:dyDescent="0.3">
      <c r="A467" t="s">
        <v>913</v>
      </c>
      <c r="B467" t="s">
        <v>914</v>
      </c>
      <c r="C467" s="1">
        <v>44320</v>
      </c>
      <c r="D467" t="s">
        <v>9</v>
      </c>
      <c r="E467">
        <v>3</v>
      </c>
      <c r="F467" s="3" t="s">
        <v>10</v>
      </c>
      <c r="G467" s="3" t="s">
        <v>13</v>
      </c>
      <c r="H467" s="3" t="str">
        <f>IF(cf_cl[[#This Row],[satisfaction_score]]&gt;=4,"Happy",IF(cf_cl[[#This Row],[satisfaction_score]]=3,"Neutral","Negative"))</f>
        <v>Neutral</v>
      </c>
      <c r="I467" s="3" t="str">
        <f>IF(cf_cl[[#This Row],[satisfaction_score]]&lt;=2,"Low",IF(cf_cl[[#This Row],[satisfaction_score]]=3,"Medium","High"))</f>
        <v>Medium</v>
      </c>
      <c r="J467">
        <f>YEAR(cf_cl[[#This Row],[date_submitted]])</f>
        <v>2021</v>
      </c>
      <c r="K467" s="3" t="str">
        <f>TEXT(cf_cl[[#This Row],[date_submitted]],"mmm")</f>
        <v>May</v>
      </c>
      <c r="L467" s="3" t="str">
        <f t="shared" si="21"/>
        <v>Q2</v>
      </c>
      <c r="M467" s="3" t="str">
        <f t="shared" si="22"/>
        <v>Tuesday</v>
      </c>
      <c r="N467" s="3" t="str">
        <f t="shared" si="23"/>
        <v>No</v>
      </c>
      <c r="O467" s="3" t="str">
        <f>IF(COUNTIF($B:$B,B467)=1,"New Customer",
IF(COUNTIF($B:$B,B467)&lt;=3,"Returning Customer","Loyal Customer"))</f>
        <v>Returning Customer</v>
      </c>
      <c r="P467" s="3" t="str">
        <f>IF(cf_cl[[#This Row],[referred_claim]]="Yes","Referred","Not Referred")</f>
        <v>Not Referred</v>
      </c>
    </row>
    <row r="468" spans="1:16" x14ac:dyDescent="0.3">
      <c r="A468" t="s">
        <v>915</v>
      </c>
      <c r="B468" t="s">
        <v>484</v>
      </c>
      <c r="C468" s="1">
        <v>44820</v>
      </c>
      <c r="D468" t="s">
        <v>28</v>
      </c>
      <c r="E468">
        <v>5</v>
      </c>
      <c r="F468" s="3" t="s">
        <v>10</v>
      </c>
      <c r="G468" s="3" t="s">
        <v>13</v>
      </c>
      <c r="H468" s="3" t="str">
        <f>IF(cf_cl[[#This Row],[satisfaction_score]]&gt;=4,"Happy",IF(cf_cl[[#This Row],[satisfaction_score]]=3,"Neutral","Negative"))</f>
        <v>Happy</v>
      </c>
      <c r="I468" s="3" t="str">
        <f>IF(cf_cl[[#This Row],[satisfaction_score]]&lt;=2,"Low",IF(cf_cl[[#This Row],[satisfaction_score]]=3,"Medium","High"))</f>
        <v>High</v>
      </c>
      <c r="J468">
        <f>YEAR(cf_cl[[#This Row],[date_submitted]])</f>
        <v>2022</v>
      </c>
      <c r="K468" s="3" t="str">
        <f>TEXT(cf_cl[[#This Row],[date_submitted]],"mmm")</f>
        <v>Sep</v>
      </c>
      <c r="L468" s="3" t="str">
        <f t="shared" si="21"/>
        <v>Q3</v>
      </c>
      <c r="M468" s="3" t="str">
        <f t="shared" si="22"/>
        <v>Friday</v>
      </c>
      <c r="N468" s="3" t="str">
        <f t="shared" si="23"/>
        <v>No</v>
      </c>
      <c r="O468" s="3" t="str">
        <f>IF(COUNTIF($B:$B,B468)=1,"New Customer",
IF(COUNTIF($B:$B,B468)&lt;=3,"Returning Customer","Loyal Customer"))</f>
        <v>Returning Customer</v>
      </c>
      <c r="P468" s="3" t="str">
        <f>IF(cf_cl[[#This Row],[referred_claim]]="Yes","Referred","Not Referred")</f>
        <v>Not Referred</v>
      </c>
    </row>
    <row r="469" spans="1:16" x14ac:dyDescent="0.3">
      <c r="A469" t="s">
        <v>916</v>
      </c>
      <c r="B469" t="s">
        <v>917</v>
      </c>
      <c r="C469" s="1">
        <v>45156</v>
      </c>
      <c r="D469" t="s">
        <v>9</v>
      </c>
      <c r="E469">
        <v>1</v>
      </c>
      <c r="F469" s="3" t="s">
        <v>10</v>
      </c>
      <c r="G469" s="3" t="s">
        <v>13</v>
      </c>
      <c r="H469" s="3" t="str">
        <f>IF(cf_cl[[#This Row],[satisfaction_score]]&gt;=4,"Happy",IF(cf_cl[[#This Row],[satisfaction_score]]=3,"Neutral","Negative"))</f>
        <v>Negative</v>
      </c>
      <c r="I469" s="3" t="str">
        <f>IF(cf_cl[[#This Row],[satisfaction_score]]&lt;=2,"Low",IF(cf_cl[[#This Row],[satisfaction_score]]=3,"Medium","High"))</f>
        <v>Low</v>
      </c>
      <c r="J469">
        <f>YEAR(cf_cl[[#This Row],[date_submitted]])</f>
        <v>2023</v>
      </c>
      <c r="K469" s="3" t="str">
        <f>TEXT(cf_cl[[#This Row],[date_submitted]],"mmm")</f>
        <v>Aug</v>
      </c>
      <c r="L469" s="3" t="str">
        <f t="shared" si="21"/>
        <v>Q3</v>
      </c>
      <c r="M469" s="3" t="str">
        <f t="shared" si="22"/>
        <v>Friday</v>
      </c>
      <c r="N469" s="3" t="str">
        <f t="shared" si="23"/>
        <v>Yes</v>
      </c>
      <c r="O469" s="3" t="str">
        <f>IF(COUNTIF($B:$B,B469)=1,"New Customer",
IF(COUNTIF($B:$B,B469)&lt;=3,"Returning Customer","Loyal Customer"))</f>
        <v>New Customer</v>
      </c>
      <c r="P469" s="3" t="str">
        <f>IF(cf_cl[[#This Row],[referred_claim]]="Yes","Referred","Not Referred")</f>
        <v>Not Referred</v>
      </c>
    </row>
    <row r="470" spans="1:16" x14ac:dyDescent="0.3">
      <c r="A470" t="s">
        <v>918</v>
      </c>
      <c r="B470" t="s">
        <v>919</v>
      </c>
      <c r="C470" s="1">
        <v>44943</v>
      </c>
      <c r="D470" t="s">
        <v>22</v>
      </c>
      <c r="E470">
        <v>4</v>
      </c>
      <c r="F470" s="3" t="s">
        <v>13</v>
      </c>
      <c r="G470" s="3" t="s">
        <v>10</v>
      </c>
      <c r="H470" s="3" t="str">
        <f>IF(cf_cl[[#This Row],[satisfaction_score]]&gt;=4,"Happy",IF(cf_cl[[#This Row],[satisfaction_score]]=3,"Neutral","Negative"))</f>
        <v>Happy</v>
      </c>
      <c r="I470" s="3" t="str">
        <f>IF(cf_cl[[#This Row],[satisfaction_score]]&lt;=2,"Low",IF(cf_cl[[#This Row],[satisfaction_score]]=3,"Medium","High"))</f>
        <v>High</v>
      </c>
      <c r="J470">
        <f>YEAR(cf_cl[[#This Row],[date_submitted]])</f>
        <v>2023</v>
      </c>
      <c r="K470" s="3" t="str">
        <f>TEXT(cf_cl[[#This Row],[date_submitted]],"mmm")</f>
        <v>Jan</v>
      </c>
      <c r="L470" s="3" t="str">
        <f t="shared" si="21"/>
        <v>Q1</v>
      </c>
      <c r="M470" s="3" t="str">
        <f t="shared" si="22"/>
        <v>Tuesday</v>
      </c>
      <c r="N470" s="3" t="str">
        <f t="shared" si="23"/>
        <v>No</v>
      </c>
      <c r="O470" s="3" t="str">
        <f>IF(COUNTIF($B:$B,B470)=1,"New Customer",
IF(COUNTIF($B:$B,B470)&lt;=3,"Returning Customer","Loyal Customer"))</f>
        <v>New Customer</v>
      </c>
      <c r="P470" s="3" t="str">
        <f>IF(cf_cl[[#This Row],[referred_claim]]="Yes","Referred","Not Referred")</f>
        <v>Referred</v>
      </c>
    </row>
    <row r="471" spans="1:16" x14ac:dyDescent="0.3">
      <c r="A471" t="s">
        <v>920</v>
      </c>
      <c r="B471" t="s">
        <v>252</v>
      </c>
      <c r="C471" s="1">
        <v>45243</v>
      </c>
      <c r="D471" t="s">
        <v>28</v>
      </c>
      <c r="E471">
        <v>5</v>
      </c>
      <c r="F471" s="3" t="s">
        <v>10</v>
      </c>
      <c r="G471" s="3" t="s">
        <v>13</v>
      </c>
      <c r="H471" s="3" t="str">
        <f>IF(cf_cl[[#This Row],[satisfaction_score]]&gt;=4,"Happy",IF(cf_cl[[#This Row],[satisfaction_score]]=3,"Neutral","Negative"))</f>
        <v>Happy</v>
      </c>
      <c r="I471" s="3" t="str">
        <f>IF(cf_cl[[#This Row],[satisfaction_score]]&lt;=2,"Low",IF(cf_cl[[#This Row],[satisfaction_score]]=3,"Medium","High"))</f>
        <v>High</v>
      </c>
      <c r="J471">
        <f>YEAR(cf_cl[[#This Row],[date_submitted]])</f>
        <v>2023</v>
      </c>
      <c r="K471" s="3" t="str">
        <f>TEXT(cf_cl[[#This Row],[date_submitted]],"mmm")</f>
        <v>Nov</v>
      </c>
      <c r="L471" s="3" t="str">
        <f t="shared" si="21"/>
        <v>Q4</v>
      </c>
      <c r="M471" s="3" t="str">
        <f t="shared" si="22"/>
        <v>Monday</v>
      </c>
      <c r="N471" s="3" t="str">
        <f t="shared" si="23"/>
        <v>No</v>
      </c>
      <c r="O471" s="3" t="str">
        <f>IF(COUNTIF($B:$B,B471)=1,"New Customer",
IF(COUNTIF($B:$B,B471)&lt;=3,"Returning Customer","Loyal Customer"))</f>
        <v>Returning Customer</v>
      </c>
      <c r="P471" s="3" t="str">
        <f>IF(cf_cl[[#This Row],[referred_claim]]="Yes","Referred","Not Referred")</f>
        <v>Not Referred</v>
      </c>
    </row>
    <row r="472" spans="1:16" x14ac:dyDescent="0.3">
      <c r="A472" t="s">
        <v>921</v>
      </c>
      <c r="B472" t="s">
        <v>922</v>
      </c>
      <c r="C472" s="1">
        <v>44684</v>
      </c>
      <c r="D472" t="s">
        <v>19</v>
      </c>
      <c r="E472">
        <v>3</v>
      </c>
      <c r="F472" s="3" t="s">
        <v>10</v>
      </c>
      <c r="G472" s="3" t="s">
        <v>10</v>
      </c>
      <c r="H472" s="3" t="str">
        <f>IF(cf_cl[[#This Row],[satisfaction_score]]&gt;=4,"Happy",IF(cf_cl[[#This Row],[satisfaction_score]]=3,"Neutral","Negative"))</f>
        <v>Neutral</v>
      </c>
      <c r="I472" s="3" t="str">
        <f>IF(cf_cl[[#This Row],[satisfaction_score]]&lt;=2,"Low",IF(cf_cl[[#This Row],[satisfaction_score]]=3,"Medium","High"))</f>
        <v>Medium</v>
      </c>
      <c r="J472">
        <f>YEAR(cf_cl[[#This Row],[date_submitted]])</f>
        <v>2022</v>
      </c>
      <c r="K472" s="3" t="str">
        <f>TEXT(cf_cl[[#This Row],[date_submitted]],"mmm")</f>
        <v>May</v>
      </c>
      <c r="L472" s="3" t="str">
        <f t="shared" si="21"/>
        <v>Q2</v>
      </c>
      <c r="M472" s="3" t="str">
        <f t="shared" si="22"/>
        <v>Tuesday</v>
      </c>
      <c r="N472" s="3" t="str">
        <f t="shared" si="23"/>
        <v>No</v>
      </c>
      <c r="O472" s="3" t="str">
        <f>IF(COUNTIF($B:$B,B472)=1,"New Customer",
IF(COUNTIF($B:$B,B472)&lt;=3,"Returning Customer","Loyal Customer"))</f>
        <v>New Customer</v>
      </c>
      <c r="P472" s="3" t="str">
        <f>IF(cf_cl[[#This Row],[referred_claim]]="Yes","Referred","Not Referred")</f>
        <v>Referred</v>
      </c>
    </row>
    <row r="473" spans="1:16" x14ac:dyDescent="0.3">
      <c r="A473" t="s">
        <v>923</v>
      </c>
      <c r="B473" t="s">
        <v>924</v>
      </c>
      <c r="C473" s="1">
        <v>43858</v>
      </c>
      <c r="D473" t="s">
        <v>25</v>
      </c>
      <c r="E473">
        <v>4</v>
      </c>
      <c r="F473" s="3" t="s">
        <v>13</v>
      </c>
      <c r="G473" s="3" t="s">
        <v>13</v>
      </c>
      <c r="H473" s="3" t="str">
        <f>IF(cf_cl[[#This Row],[satisfaction_score]]&gt;=4,"Happy",IF(cf_cl[[#This Row],[satisfaction_score]]=3,"Neutral","Negative"))</f>
        <v>Happy</v>
      </c>
      <c r="I473" s="3" t="str">
        <f>IF(cf_cl[[#This Row],[satisfaction_score]]&lt;=2,"Low",IF(cf_cl[[#This Row],[satisfaction_score]]=3,"Medium","High"))</f>
        <v>High</v>
      </c>
      <c r="J473">
        <f>YEAR(cf_cl[[#This Row],[date_submitted]])</f>
        <v>2020</v>
      </c>
      <c r="K473" s="3" t="str">
        <f>TEXT(cf_cl[[#This Row],[date_submitted]],"mmm")</f>
        <v>Jan</v>
      </c>
      <c r="L473" s="3" t="str">
        <f t="shared" si="21"/>
        <v>Q1</v>
      </c>
      <c r="M473" s="3" t="str">
        <f t="shared" si="22"/>
        <v>Tuesday</v>
      </c>
      <c r="N473" s="3" t="str">
        <f t="shared" si="23"/>
        <v>No</v>
      </c>
      <c r="O473" s="3" t="str">
        <f>IF(COUNTIF($B:$B,B473)=1,"New Customer",
IF(COUNTIF($B:$B,B473)&lt;=3,"Returning Customer","Loyal Customer"))</f>
        <v>New Customer</v>
      </c>
      <c r="P473" s="3" t="str">
        <f>IF(cf_cl[[#This Row],[referred_claim]]="Yes","Referred","Not Referred")</f>
        <v>Not Referred</v>
      </c>
    </row>
    <row r="474" spans="1:16" x14ac:dyDescent="0.3">
      <c r="A474" t="s">
        <v>925</v>
      </c>
      <c r="B474" t="s">
        <v>594</v>
      </c>
      <c r="C474" s="1">
        <v>44267</v>
      </c>
      <c r="D474" t="s">
        <v>37</v>
      </c>
      <c r="E474">
        <v>4</v>
      </c>
      <c r="F474" s="3" t="s">
        <v>10</v>
      </c>
      <c r="G474" s="3" t="s">
        <v>13</v>
      </c>
      <c r="H474" s="3" t="str">
        <f>IF(cf_cl[[#This Row],[satisfaction_score]]&gt;=4,"Happy",IF(cf_cl[[#This Row],[satisfaction_score]]=3,"Neutral","Negative"))</f>
        <v>Happy</v>
      </c>
      <c r="I474" s="3" t="str">
        <f>IF(cf_cl[[#This Row],[satisfaction_score]]&lt;=2,"Low",IF(cf_cl[[#This Row],[satisfaction_score]]=3,"Medium","High"))</f>
        <v>High</v>
      </c>
      <c r="J474">
        <f>YEAR(cf_cl[[#This Row],[date_submitted]])</f>
        <v>2021</v>
      </c>
      <c r="K474" s="3" t="str">
        <f>TEXT(cf_cl[[#This Row],[date_submitted]],"mmm")</f>
        <v>Mar</v>
      </c>
      <c r="L474" s="3" t="str">
        <f t="shared" si="21"/>
        <v>Q1</v>
      </c>
      <c r="M474" s="3" t="str">
        <f t="shared" si="22"/>
        <v>Friday</v>
      </c>
      <c r="N474" s="3" t="str">
        <f t="shared" si="23"/>
        <v>No</v>
      </c>
      <c r="O474" s="3" t="str">
        <f>IF(COUNTIF($B:$B,B474)=1,"New Customer",
IF(COUNTIF($B:$B,B474)&lt;=3,"Returning Customer","Loyal Customer"))</f>
        <v>Returning Customer</v>
      </c>
      <c r="P474" s="3" t="str">
        <f>IF(cf_cl[[#This Row],[referred_claim]]="Yes","Referred","Not Referred")</f>
        <v>Not Referred</v>
      </c>
    </row>
    <row r="475" spans="1:16" x14ac:dyDescent="0.3">
      <c r="A475" t="s">
        <v>926</v>
      </c>
      <c r="B475" t="s">
        <v>927</v>
      </c>
      <c r="C475" s="1">
        <v>44379</v>
      </c>
      <c r="D475" t="s">
        <v>25</v>
      </c>
      <c r="E475">
        <v>5</v>
      </c>
      <c r="F475" s="3" t="s">
        <v>10</v>
      </c>
      <c r="G475" s="3" t="s">
        <v>13</v>
      </c>
      <c r="H475" s="3" t="str">
        <f>IF(cf_cl[[#This Row],[satisfaction_score]]&gt;=4,"Happy",IF(cf_cl[[#This Row],[satisfaction_score]]=3,"Neutral","Negative"))</f>
        <v>Happy</v>
      </c>
      <c r="I475" s="3" t="str">
        <f>IF(cf_cl[[#This Row],[satisfaction_score]]&lt;=2,"Low",IF(cf_cl[[#This Row],[satisfaction_score]]=3,"Medium","High"))</f>
        <v>High</v>
      </c>
      <c r="J475">
        <f>YEAR(cf_cl[[#This Row],[date_submitted]])</f>
        <v>2021</v>
      </c>
      <c r="K475" s="3" t="str">
        <f>TEXT(cf_cl[[#This Row],[date_submitted]],"mmm")</f>
        <v>Jul</v>
      </c>
      <c r="L475" s="3" t="str">
        <f t="shared" si="21"/>
        <v>Q3</v>
      </c>
      <c r="M475" s="3" t="str">
        <f t="shared" si="22"/>
        <v>Friday</v>
      </c>
      <c r="N475" s="3" t="str">
        <f t="shared" si="23"/>
        <v>No</v>
      </c>
      <c r="O475" s="3" t="str">
        <f>IF(COUNTIF($B:$B,B475)=1,"New Customer",
IF(COUNTIF($B:$B,B475)&lt;=3,"Returning Customer","Loyal Customer"))</f>
        <v>New Customer</v>
      </c>
      <c r="P475" s="3" t="str">
        <f>IF(cf_cl[[#This Row],[referred_claim]]="Yes","Referred","Not Referred")</f>
        <v>Not Referred</v>
      </c>
    </row>
    <row r="476" spans="1:16" x14ac:dyDescent="0.3">
      <c r="A476" t="s">
        <v>928</v>
      </c>
      <c r="B476" t="s">
        <v>293</v>
      </c>
      <c r="C476" s="1">
        <v>44662</v>
      </c>
      <c r="D476" t="s">
        <v>22</v>
      </c>
      <c r="E476">
        <v>5</v>
      </c>
      <c r="F476" s="3" t="s">
        <v>10</v>
      </c>
      <c r="G476" s="3" t="s">
        <v>10</v>
      </c>
      <c r="H476" s="3" t="str">
        <f>IF(cf_cl[[#This Row],[satisfaction_score]]&gt;=4,"Happy",IF(cf_cl[[#This Row],[satisfaction_score]]=3,"Neutral","Negative"))</f>
        <v>Happy</v>
      </c>
      <c r="I476" s="3" t="str">
        <f>IF(cf_cl[[#This Row],[satisfaction_score]]&lt;=2,"Low",IF(cf_cl[[#This Row],[satisfaction_score]]=3,"Medium","High"))</f>
        <v>High</v>
      </c>
      <c r="J476">
        <f>YEAR(cf_cl[[#This Row],[date_submitted]])</f>
        <v>2022</v>
      </c>
      <c r="K476" s="3" t="str">
        <f>TEXT(cf_cl[[#This Row],[date_submitted]],"mmm")</f>
        <v>Apr</v>
      </c>
      <c r="L476" s="3" t="str">
        <f t="shared" si="21"/>
        <v>Q2</v>
      </c>
      <c r="M476" s="3" t="str">
        <f t="shared" si="22"/>
        <v>Monday</v>
      </c>
      <c r="N476" s="3" t="str">
        <f t="shared" si="23"/>
        <v>No</v>
      </c>
      <c r="O476" s="3" t="str">
        <f>IF(COUNTIF($B:$B,B476)=1,"New Customer",
IF(COUNTIF($B:$B,B476)&lt;=3,"Returning Customer","Loyal Customer"))</f>
        <v>Loyal Customer</v>
      </c>
      <c r="P476" s="3" t="str">
        <f>IF(cf_cl[[#This Row],[referred_claim]]="Yes","Referred","Not Referred")</f>
        <v>Referred</v>
      </c>
    </row>
    <row r="477" spans="1:16" x14ac:dyDescent="0.3">
      <c r="A477" t="s">
        <v>929</v>
      </c>
      <c r="B477" t="s">
        <v>930</v>
      </c>
      <c r="C477" s="1">
        <v>44242</v>
      </c>
      <c r="D477" t="s">
        <v>25</v>
      </c>
      <c r="E477">
        <v>5</v>
      </c>
      <c r="F477" s="3" t="s">
        <v>13</v>
      </c>
      <c r="G477" s="3" t="s">
        <v>13</v>
      </c>
      <c r="H477" s="3" t="str">
        <f>IF(cf_cl[[#This Row],[satisfaction_score]]&gt;=4,"Happy",IF(cf_cl[[#This Row],[satisfaction_score]]=3,"Neutral","Negative"))</f>
        <v>Happy</v>
      </c>
      <c r="I477" s="3" t="str">
        <f>IF(cf_cl[[#This Row],[satisfaction_score]]&lt;=2,"Low",IF(cf_cl[[#This Row],[satisfaction_score]]=3,"Medium","High"))</f>
        <v>High</v>
      </c>
      <c r="J477">
        <f>YEAR(cf_cl[[#This Row],[date_submitted]])</f>
        <v>2021</v>
      </c>
      <c r="K477" s="3" t="str">
        <f>TEXT(cf_cl[[#This Row],[date_submitted]],"mmm")</f>
        <v>Feb</v>
      </c>
      <c r="L477" s="3" t="str">
        <f t="shared" si="21"/>
        <v>Q1</v>
      </c>
      <c r="M477" s="3" t="str">
        <f t="shared" si="22"/>
        <v>Monday</v>
      </c>
      <c r="N477" s="3" t="str">
        <f t="shared" si="23"/>
        <v>No</v>
      </c>
      <c r="O477" s="3" t="str">
        <f>IF(COUNTIF($B:$B,B477)=1,"New Customer",
IF(COUNTIF($B:$B,B477)&lt;=3,"Returning Customer","Loyal Customer"))</f>
        <v>Returning Customer</v>
      </c>
      <c r="P477" s="3" t="str">
        <f>IF(cf_cl[[#This Row],[referred_claim]]="Yes","Referred","Not Referred")</f>
        <v>Not Referred</v>
      </c>
    </row>
    <row r="478" spans="1:16" x14ac:dyDescent="0.3">
      <c r="A478" t="s">
        <v>931</v>
      </c>
      <c r="B478" t="s">
        <v>932</v>
      </c>
      <c r="C478" s="1">
        <v>44227</v>
      </c>
      <c r="D478" t="s">
        <v>37</v>
      </c>
      <c r="E478">
        <v>4</v>
      </c>
      <c r="F478" s="3" t="s">
        <v>13</v>
      </c>
      <c r="G478" s="3" t="s">
        <v>10</v>
      </c>
      <c r="H478" s="3" t="str">
        <f>IF(cf_cl[[#This Row],[satisfaction_score]]&gt;=4,"Happy",IF(cf_cl[[#This Row],[satisfaction_score]]=3,"Neutral","Negative"))</f>
        <v>Happy</v>
      </c>
      <c r="I478" s="3" t="str">
        <f>IF(cf_cl[[#This Row],[satisfaction_score]]&lt;=2,"Low",IF(cf_cl[[#This Row],[satisfaction_score]]=3,"Medium","High"))</f>
        <v>High</v>
      </c>
      <c r="J478">
        <f>YEAR(cf_cl[[#This Row],[date_submitted]])</f>
        <v>2021</v>
      </c>
      <c r="K478" s="3" t="str">
        <f>TEXT(cf_cl[[#This Row],[date_submitted]],"mmm")</f>
        <v>Jan</v>
      </c>
      <c r="L478" s="3" t="str">
        <f t="shared" si="21"/>
        <v>Q1</v>
      </c>
      <c r="M478" s="3" t="str">
        <f t="shared" si="22"/>
        <v>Sunday</v>
      </c>
      <c r="N478" s="3" t="str">
        <f t="shared" si="23"/>
        <v>No</v>
      </c>
      <c r="O478" s="3" t="str">
        <f>IF(COUNTIF($B:$B,B478)=1,"New Customer",
IF(COUNTIF($B:$B,B478)&lt;=3,"Returning Customer","Loyal Customer"))</f>
        <v>Returning Customer</v>
      </c>
      <c r="P478" s="3" t="str">
        <f>IF(cf_cl[[#This Row],[referred_claim]]="Yes","Referred","Not Referred")</f>
        <v>Referred</v>
      </c>
    </row>
    <row r="479" spans="1:16" x14ac:dyDescent="0.3">
      <c r="A479" t="s">
        <v>933</v>
      </c>
      <c r="B479" t="s">
        <v>934</v>
      </c>
      <c r="C479" s="1">
        <v>44885</v>
      </c>
      <c r="D479" t="s">
        <v>25</v>
      </c>
      <c r="E479">
        <v>5</v>
      </c>
      <c r="F479" s="3" t="s">
        <v>10</v>
      </c>
      <c r="G479" s="3" t="s">
        <v>10</v>
      </c>
      <c r="H479" s="3" t="str">
        <f>IF(cf_cl[[#This Row],[satisfaction_score]]&gt;=4,"Happy",IF(cf_cl[[#This Row],[satisfaction_score]]=3,"Neutral","Negative"))</f>
        <v>Happy</v>
      </c>
      <c r="I479" s="3" t="str">
        <f>IF(cf_cl[[#This Row],[satisfaction_score]]&lt;=2,"Low",IF(cf_cl[[#This Row],[satisfaction_score]]=3,"Medium","High"))</f>
        <v>High</v>
      </c>
      <c r="J479">
        <f>YEAR(cf_cl[[#This Row],[date_submitted]])</f>
        <v>2022</v>
      </c>
      <c r="K479" s="3" t="str">
        <f>TEXT(cf_cl[[#This Row],[date_submitted]],"mmm")</f>
        <v>Nov</v>
      </c>
      <c r="L479" s="3" t="str">
        <f t="shared" si="21"/>
        <v>Q4</v>
      </c>
      <c r="M479" s="3" t="str">
        <f t="shared" si="22"/>
        <v>Sunday</v>
      </c>
      <c r="N479" s="3" t="str">
        <f t="shared" si="23"/>
        <v>No</v>
      </c>
      <c r="O479" s="3" t="str">
        <f>IF(COUNTIF($B:$B,B479)=1,"New Customer",
IF(COUNTIF($B:$B,B479)&lt;=3,"Returning Customer","Loyal Customer"))</f>
        <v>New Customer</v>
      </c>
      <c r="P479" s="3" t="str">
        <f>IF(cf_cl[[#This Row],[referred_claim]]="Yes","Referred","Not Referred")</f>
        <v>Referred</v>
      </c>
    </row>
    <row r="480" spans="1:16" x14ac:dyDescent="0.3">
      <c r="A480" t="s">
        <v>935</v>
      </c>
      <c r="B480" t="s">
        <v>936</v>
      </c>
      <c r="C480" s="1">
        <v>44810</v>
      </c>
      <c r="D480" t="s">
        <v>31</v>
      </c>
      <c r="E480">
        <v>3</v>
      </c>
      <c r="F480" s="3" t="s">
        <v>13</v>
      </c>
      <c r="G480" s="3" t="s">
        <v>13</v>
      </c>
      <c r="H480" s="3" t="str">
        <f>IF(cf_cl[[#This Row],[satisfaction_score]]&gt;=4,"Happy",IF(cf_cl[[#This Row],[satisfaction_score]]=3,"Neutral","Negative"))</f>
        <v>Neutral</v>
      </c>
      <c r="I480" s="3" t="str">
        <f>IF(cf_cl[[#This Row],[satisfaction_score]]&lt;=2,"Low",IF(cf_cl[[#This Row],[satisfaction_score]]=3,"Medium","High"))</f>
        <v>Medium</v>
      </c>
      <c r="J480">
        <f>YEAR(cf_cl[[#This Row],[date_submitted]])</f>
        <v>2022</v>
      </c>
      <c r="K480" s="3" t="str">
        <f>TEXT(cf_cl[[#This Row],[date_submitted]],"mmm")</f>
        <v>Sep</v>
      </c>
      <c r="L480" s="3" t="str">
        <f t="shared" si="21"/>
        <v>Q3</v>
      </c>
      <c r="M480" s="3" t="str">
        <f t="shared" si="22"/>
        <v>Tuesday</v>
      </c>
      <c r="N480" s="3" t="str">
        <f t="shared" si="23"/>
        <v>No</v>
      </c>
      <c r="O480" s="3" t="str">
        <f>IF(COUNTIF($B:$B,B480)=1,"New Customer",
IF(COUNTIF($B:$B,B480)&lt;=3,"Returning Customer","Loyal Customer"))</f>
        <v>New Customer</v>
      </c>
      <c r="P480" s="3" t="str">
        <f>IF(cf_cl[[#This Row],[referred_claim]]="Yes","Referred","Not Referred")</f>
        <v>Not Referred</v>
      </c>
    </row>
    <row r="481" spans="1:16" x14ac:dyDescent="0.3">
      <c r="A481" t="s">
        <v>937</v>
      </c>
      <c r="B481" t="s">
        <v>938</v>
      </c>
      <c r="C481" s="1">
        <v>45281</v>
      </c>
      <c r="D481" t="s">
        <v>31</v>
      </c>
      <c r="E481">
        <v>3</v>
      </c>
      <c r="F481" s="3" t="s">
        <v>13</v>
      </c>
      <c r="G481" s="3" t="s">
        <v>10</v>
      </c>
      <c r="H481" s="3" t="str">
        <f>IF(cf_cl[[#This Row],[satisfaction_score]]&gt;=4,"Happy",IF(cf_cl[[#This Row],[satisfaction_score]]=3,"Neutral","Negative"))</f>
        <v>Neutral</v>
      </c>
      <c r="I481" s="3" t="str">
        <f>IF(cf_cl[[#This Row],[satisfaction_score]]&lt;=2,"Low",IF(cf_cl[[#This Row],[satisfaction_score]]=3,"Medium","High"))</f>
        <v>Medium</v>
      </c>
      <c r="J481">
        <f>YEAR(cf_cl[[#This Row],[date_submitted]])</f>
        <v>2023</v>
      </c>
      <c r="K481" s="3" t="str">
        <f>TEXT(cf_cl[[#This Row],[date_submitted]],"mmm")</f>
        <v>Dec</v>
      </c>
      <c r="L481" s="3" t="str">
        <f t="shared" si="21"/>
        <v>Q4</v>
      </c>
      <c r="M481" s="3" t="str">
        <f t="shared" si="22"/>
        <v>Thursday</v>
      </c>
      <c r="N481" s="3" t="str">
        <f t="shared" si="23"/>
        <v>No</v>
      </c>
      <c r="O481" s="3" t="str">
        <f>IF(COUNTIF($B:$B,B481)=1,"New Customer",
IF(COUNTIF($B:$B,B481)&lt;=3,"Returning Customer","Loyal Customer"))</f>
        <v>New Customer</v>
      </c>
      <c r="P481" s="3" t="str">
        <f>IF(cf_cl[[#This Row],[referred_claim]]="Yes","Referred","Not Referred")</f>
        <v>Referred</v>
      </c>
    </row>
    <row r="482" spans="1:16" x14ac:dyDescent="0.3">
      <c r="A482" t="s">
        <v>939</v>
      </c>
      <c r="B482" t="s">
        <v>668</v>
      </c>
      <c r="C482" s="1">
        <v>45039</v>
      </c>
      <c r="D482" t="s">
        <v>68</v>
      </c>
      <c r="E482">
        <v>2</v>
      </c>
      <c r="F482" s="3" t="s">
        <v>10</v>
      </c>
      <c r="G482" s="3" t="s">
        <v>13</v>
      </c>
      <c r="H482" s="3" t="str">
        <f>IF(cf_cl[[#This Row],[satisfaction_score]]&gt;=4,"Happy",IF(cf_cl[[#This Row],[satisfaction_score]]=3,"Neutral","Negative"))</f>
        <v>Negative</v>
      </c>
      <c r="I482" s="3" t="str">
        <f>IF(cf_cl[[#This Row],[satisfaction_score]]&lt;=2,"Low",IF(cf_cl[[#This Row],[satisfaction_score]]=3,"Medium","High"))</f>
        <v>Low</v>
      </c>
      <c r="J482">
        <f>YEAR(cf_cl[[#This Row],[date_submitted]])</f>
        <v>2023</v>
      </c>
      <c r="K482" s="3" t="str">
        <f>TEXT(cf_cl[[#This Row],[date_submitted]],"mmm")</f>
        <v>Apr</v>
      </c>
      <c r="L482" s="3" t="str">
        <f t="shared" si="21"/>
        <v>Q2</v>
      </c>
      <c r="M482" s="3" t="str">
        <f t="shared" si="22"/>
        <v>Sunday</v>
      </c>
      <c r="N482" s="3" t="str">
        <f t="shared" si="23"/>
        <v>Yes</v>
      </c>
      <c r="O482" s="3" t="str">
        <f>IF(COUNTIF($B:$B,B482)=1,"New Customer",
IF(COUNTIF($B:$B,B482)&lt;=3,"Returning Customer","Loyal Customer"))</f>
        <v>Loyal Customer</v>
      </c>
      <c r="P482" s="3" t="str">
        <f>IF(cf_cl[[#This Row],[referred_claim]]="Yes","Referred","Not Referred")</f>
        <v>Not Referred</v>
      </c>
    </row>
    <row r="483" spans="1:16" x14ac:dyDescent="0.3">
      <c r="A483" t="s">
        <v>940</v>
      </c>
      <c r="B483" t="s">
        <v>941</v>
      </c>
      <c r="C483" s="1">
        <v>44933</v>
      </c>
      <c r="D483" t="s">
        <v>22</v>
      </c>
      <c r="E483">
        <v>4</v>
      </c>
      <c r="F483" s="3" t="s">
        <v>10</v>
      </c>
      <c r="G483" s="3" t="s">
        <v>13</v>
      </c>
      <c r="H483" s="3" t="str">
        <f>IF(cf_cl[[#This Row],[satisfaction_score]]&gt;=4,"Happy",IF(cf_cl[[#This Row],[satisfaction_score]]=3,"Neutral","Negative"))</f>
        <v>Happy</v>
      </c>
      <c r="I483" s="3" t="str">
        <f>IF(cf_cl[[#This Row],[satisfaction_score]]&lt;=2,"Low",IF(cf_cl[[#This Row],[satisfaction_score]]=3,"Medium","High"))</f>
        <v>High</v>
      </c>
      <c r="J483">
        <f>YEAR(cf_cl[[#This Row],[date_submitted]])</f>
        <v>2023</v>
      </c>
      <c r="K483" s="3" t="str">
        <f>TEXT(cf_cl[[#This Row],[date_submitted]],"mmm")</f>
        <v>Jan</v>
      </c>
      <c r="L483" s="3" t="str">
        <f t="shared" si="21"/>
        <v>Q1</v>
      </c>
      <c r="M483" s="3" t="str">
        <f t="shared" si="22"/>
        <v>Saturday</v>
      </c>
      <c r="N483" s="3" t="str">
        <f t="shared" si="23"/>
        <v>No</v>
      </c>
      <c r="O483" s="3" t="str">
        <f>IF(COUNTIF($B:$B,B483)=1,"New Customer",
IF(COUNTIF($B:$B,B483)&lt;=3,"Returning Customer","Loyal Customer"))</f>
        <v>Returning Customer</v>
      </c>
      <c r="P483" s="3" t="str">
        <f>IF(cf_cl[[#This Row],[referred_claim]]="Yes","Referred","Not Referred")</f>
        <v>Not Referred</v>
      </c>
    </row>
    <row r="484" spans="1:16" x14ac:dyDescent="0.3">
      <c r="A484" t="s">
        <v>942</v>
      </c>
      <c r="B484" t="s">
        <v>943</v>
      </c>
      <c r="C484" s="1">
        <v>44523</v>
      </c>
      <c r="D484" t="s">
        <v>19</v>
      </c>
      <c r="E484">
        <v>2</v>
      </c>
      <c r="F484" s="3" t="s">
        <v>13</v>
      </c>
      <c r="G484" s="3" t="s">
        <v>13</v>
      </c>
      <c r="H484" s="3" t="str">
        <f>IF(cf_cl[[#This Row],[satisfaction_score]]&gt;=4,"Happy",IF(cf_cl[[#This Row],[satisfaction_score]]=3,"Neutral","Negative"))</f>
        <v>Negative</v>
      </c>
      <c r="I484" s="3" t="str">
        <f>IF(cf_cl[[#This Row],[satisfaction_score]]&lt;=2,"Low",IF(cf_cl[[#This Row],[satisfaction_score]]=3,"Medium","High"))</f>
        <v>Low</v>
      </c>
      <c r="J484">
        <f>YEAR(cf_cl[[#This Row],[date_submitted]])</f>
        <v>2021</v>
      </c>
      <c r="K484" s="3" t="str">
        <f>TEXT(cf_cl[[#This Row],[date_submitted]],"mmm")</f>
        <v>Nov</v>
      </c>
      <c r="L484" s="3" t="str">
        <f t="shared" si="21"/>
        <v>Q4</v>
      </c>
      <c r="M484" s="3" t="str">
        <f t="shared" si="22"/>
        <v>Tuesday</v>
      </c>
      <c r="N484" s="3" t="str">
        <f t="shared" si="23"/>
        <v>Yes</v>
      </c>
      <c r="O484" s="3" t="str">
        <f>IF(COUNTIF($B:$B,B484)=1,"New Customer",
IF(COUNTIF($B:$B,B484)&lt;=3,"Returning Customer","Loyal Customer"))</f>
        <v>New Customer</v>
      </c>
      <c r="P484" s="3" t="str">
        <f>IF(cf_cl[[#This Row],[referred_claim]]="Yes","Referred","Not Referred")</f>
        <v>Not Referred</v>
      </c>
    </row>
    <row r="485" spans="1:16" x14ac:dyDescent="0.3">
      <c r="A485" t="s">
        <v>944</v>
      </c>
      <c r="B485" t="s">
        <v>945</v>
      </c>
      <c r="C485" s="1">
        <v>44939</v>
      </c>
      <c r="D485" t="s">
        <v>16</v>
      </c>
      <c r="E485">
        <v>5</v>
      </c>
      <c r="F485" s="3" t="s">
        <v>10</v>
      </c>
      <c r="G485" s="3" t="s">
        <v>13</v>
      </c>
      <c r="H485" s="3" t="str">
        <f>IF(cf_cl[[#This Row],[satisfaction_score]]&gt;=4,"Happy",IF(cf_cl[[#This Row],[satisfaction_score]]=3,"Neutral","Negative"))</f>
        <v>Happy</v>
      </c>
      <c r="I485" s="3" t="str">
        <f>IF(cf_cl[[#This Row],[satisfaction_score]]&lt;=2,"Low",IF(cf_cl[[#This Row],[satisfaction_score]]=3,"Medium","High"))</f>
        <v>High</v>
      </c>
      <c r="J485">
        <f>YEAR(cf_cl[[#This Row],[date_submitted]])</f>
        <v>2023</v>
      </c>
      <c r="K485" s="3" t="str">
        <f>TEXT(cf_cl[[#This Row],[date_submitted]],"mmm")</f>
        <v>Jan</v>
      </c>
      <c r="L485" s="3" t="str">
        <f t="shared" si="21"/>
        <v>Q1</v>
      </c>
      <c r="M485" s="3" t="str">
        <f t="shared" si="22"/>
        <v>Friday</v>
      </c>
      <c r="N485" s="3" t="str">
        <f t="shared" si="23"/>
        <v>No</v>
      </c>
      <c r="O485" s="3" t="str">
        <f>IF(COUNTIF($B:$B,B485)=1,"New Customer",
IF(COUNTIF($B:$B,B485)&lt;=3,"Returning Customer","Loyal Customer"))</f>
        <v>New Customer</v>
      </c>
      <c r="P485" s="3" t="str">
        <f>IF(cf_cl[[#This Row],[referred_claim]]="Yes","Referred","Not Referred")</f>
        <v>Not Referred</v>
      </c>
    </row>
    <row r="486" spans="1:16" x14ac:dyDescent="0.3">
      <c r="A486" t="s">
        <v>946</v>
      </c>
      <c r="B486" t="s">
        <v>947</v>
      </c>
      <c r="C486" s="1">
        <v>45166</v>
      </c>
      <c r="D486" t="s">
        <v>83</v>
      </c>
      <c r="E486">
        <v>1</v>
      </c>
      <c r="F486" s="3" t="s">
        <v>10</v>
      </c>
      <c r="G486" s="3" t="s">
        <v>10</v>
      </c>
      <c r="H486" s="3" t="str">
        <f>IF(cf_cl[[#This Row],[satisfaction_score]]&gt;=4,"Happy",IF(cf_cl[[#This Row],[satisfaction_score]]=3,"Neutral","Negative"))</f>
        <v>Negative</v>
      </c>
      <c r="I486" s="3" t="str">
        <f>IF(cf_cl[[#This Row],[satisfaction_score]]&lt;=2,"Low",IF(cf_cl[[#This Row],[satisfaction_score]]=3,"Medium","High"))</f>
        <v>Low</v>
      </c>
      <c r="J486">
        <f>YEAR(cf_cl[[#This Row],[date_submitted]])</f>
        <v>2023</v>
      </c>
      <c r="K486" s="3" t="str">
        <f>TEXT(cf_cl[[#This Row],[date_submitted]],"mmm")</f>
        <v>Aug</v>
      </c>
      <c r="L486" s="3" t="str">
        <f t="shared" si="21"/>
        <v>Q3</v>
      </c>
      <c r="M486" s="3" t="str">
        <f t="shared" si="22"/>
        <v>Monday</v>
      </c>
      <c r="N486" s="3" t="str">
        <f t="shared" si="23"/>
        <v>Yes</v>
      </c>
      <c r="O486" s="3" t="str">
        <f>IF(COUNTIF($B:$B,B486)=1,"New Customer",
IF(COUNTIF($B:$B,B486)&lt;=3,"Returning Customer","Loyal Customer"))</f>
        <v>New Customer</v>
      </c>
      <c r="P486" s="3" t="str">
        <f>IF(cf_cl[[#This Row],[referred_claim]]="Yes","Referred","Not Referred")</f>
        <v>Referred</v>
      </c>
    </row>
    <row r="487" spans="1:16" x14ac:dyDescent="0.3">
      <c r="A487" t="s">
        <v>948</v>
      </c>
      <c r="B487" t="s">
        <v>949</v>
      </c>
      <c r="C487" s="1">
        <v>44101</v>
      </c>
      <c r="D487" t="s">
        <v>19</v>
      </c>
      <c r="E487">
        <v>3</v>
      </c>
      <c r="F487" s="3" t="s">
        <v>13</v>
      </c>
      <c r="G487" s="3" t="s">
        <v>10</v>
      </c>
      <c r="H487" s="3" t="str">
        <f>IF(cf_cl[[#This Row],[satisfaction_score]]&gt;=4,"Happy",IF(cf_cl[[#This Row],[satisfaction_score]]=3,"Neutral","Negative"))</f>
        <v>Neutral</v>
      </c>
      <c r="I487" s="3" t="str">
        <f>IF(cf_cl[[#This Row],[satisfaction_score]]&lt;=2,"Low",IF(cf_cl[[#This Row],[satisfaction_score]]=3,"Medium","High"))</f>
        <v>Medium</v>
      </c>
      <c r="J487">
        <f>YEAR(cf_cl[[#This Row],[date_submitted]])</f>
        <v>2020</v>
      </c>
      <c r="K487" s="3" t="str">
        <f>TEXT(cf_cl[[#This Row],[date_submitted]],"mmm")</f>
        <v>Sep</v>
      </c>
      <c r="L487" s="3" t="str">
        <f t="shared" si="21"/>
        <v>Q3</v>
      </c>
      <c r="M487" s="3" t="str">
        <f t="shared" si="22"/>
        <v>Sunday</v>
      </c>
      <c r="N487" s="3" t="str">
        <f t="shared" si="23"/>
        <v>No</v>
      </c>
      <c r="O487" s="3" t="str">
        <f>IF(COUNTIF($B:$B,B487)=1,"New Customer",
IF(COUNTIF($B:$B,B487)&lt;=3,"Returning Customer","Loyal Customer"))</f>
        <v>New Customer</v>
      </c>
      <c r="P487" s="3" t="str">
        <f>IF(cf_cl[[#This Row],[referred_claim]]="Yes","Referred","Not Referred")</f>
        <v>Referred</v>
      </c>
    </row>
    <row r="488" spans="1:16" x14ac:dyDescent="0.3">
      <c r="A488" t="s">
        <v>950</v>
      </c>
      <c r="B488" t="s">
        <v>951</v>
      </c>
      <c r="C488" s="1">
        <v>45222</v>
      </c>
      <c r="D488" t="s">
        <v>16</v>
      </c>
      <c r="E488">
        <v>5</v>
      </c>
      <c r="F488" s="3" t="s">
        <v>13</v>
      </c>
      <c r="G488" s="3" t="s">
        <v>10</v>
      </c>
      <c r="H488" s="3" t="str">
        <f>IF(cf_cl[[#This Row],[satisfaction_score]]&gt;=4,"Happy",IF(cf_cl[[#This Row],[satisfaction_score]]=3,"Neutral","Negative"))</f>
        <v>Happy</v>
      </c>
      <c r="I488" s="3" t="str">
        <f>IF(cf_cl[[#This Row],[satisfaction_score]]&lt;=2,"Low",IF(cf_cl[[#This Row],[satisfaction_score]]=3,"Medium","High"))</f>
        <v>High</v>
      </c>
      <c r="J488">
        <f>YEAR(cf_cl[[#This Row],[date_submitted]])</f>
        <v>2023</v>
      </c>
      <c r="K488" s="3" t="str">
        <f>TEXT(cf_cl[[#This Row],[date_submitted]],"mmm")</f>
        <v>Oct</v>
      </c>
      <c r="L488" s="3" t="str">
        <f t="shared" si="21"/>
        <v>Q4</v>
      </c>
      <c r="M488" s="3" t="str">
        <f t="shared" si="22"/>
        <v>Monday</v>
      </c>
      <c r="N488" s="3" t="str">
        <f t="shared" si="23"/>
        <v>No</v>
      </c>
      <c r="O488" s="3" t="str">
        <f>IF(COUNTIF($B:$B,B488)=1,"New Customer",
IF(COUNTIF($B:$B,B488)&lt;=3,"Returning Customer","Loyal Customer"))</f>
        <v>New Customer</v>
      </c>
      <c r="P488" s="3" t="str">
        <f>IF(cf_cl[[#This Row],[referred_claim]]="Yes","Referred","Not Referred")</f>
        <v>Referred</v>
      </c>
    </row>
    <row r="489" spans="1:16" x14ac:dyDescent="0.3">
      <c r="A489" t="s">
        <v>952</v>
      </c>
      <c r="B489" t="s">
        <v>953</v>
      </c>
      <c r="C489" s="1">
        <v>45141</v>
      </c>
      <c r="D489" t="s">
        <v>16</v>
      </c>
      <c r="E489">
        <v>5</v>
      </c>
      <c r="F489" s="3" t="s">
        <v>13</v>
      </c>
      <c r="G489" s="3" t="s">
        <v>13</v>
      </c>
      <c r="H489" s="3" t="str">
        <f>IF(cf_cl[[#This Row],[satisfaction_score]]&gt;=4,"Happy",IF(cf_cl[[#This Row],[satisfaction_score]]=3,"Neutral","Negative"))</f>
        <v>Happy</v>
      </c>
      <c r="I489" s="3" t="str">
        <f>IF(cf_cl[[#This Row],[satisfaction_score]]&lt;=2,"Low",IF(cf_cl[[#This Row],[satisfaction_score]]=3,"Medium","High"))</f>
        <v>High</v>
      </c>
      <c r="J489">
        <f>YEAR(cf_cl[[#This Row],[date_submitted]])</f>
        <v>2023</v>
      </c>
      <c r="K489" s="3" t="str">
        <f>TEXT(cf_cl[[#This Row],[date_submitted]],"mmm")</f>
        <v>Aug</v>
      </c>
      <c r="L489" s="3" t="str">
        <f t="shared" si="21"/>
        <v>Q3</v>
      </c>
      <c r="M489" s="3" t="str">
        <f t="shared" si="22"/>
        <v>Thursday</v>
      </c>
      <c r="N489" s="3" t="str">
        <f t="shared" si="23"/>
        <v>No</v>
      </c>
      <c r="O489" s="3" t="str">
        <f>IF(COUNTIF($B:$B,B489)=1,"New Customer",
IF(COUNTIF($B:$B,B489)&lt;=3,"Returning Customer","Loyal Customer"))</f>
        <v>New Customer</v>
      </c>
      <c r="P489" s="3" t="str">
        <f>IF(cf_cl[[#This Row],[referred_claim]]="Yes","Referred","Not Referred")</f>
        <v>Not Referred</v>
      </c>
    </row>
    <row r="490" spans="1:16" x14ac:dyDescent="0.3">
      <c r="A490" t="s">
        <v>954</v>
      </c>
      <c r="B490" t="s">
        <v>955</v>
      </c>
      <c r="C490" s="1">
        <v>44269</v>
      </c>
      <c r="D490" t="s">
        <v>9</v>
      </c>
      <c r="E490">
        <v>2</v>
      </c>
      <c r="F490" s="3" t="s">
        <v>10</v>
      </c>
      <c r="G490" s="3" t="s">
        <v>13</v>
      </c>
      <c r="H490" s="3" t="str">
        <f>IF(cf_cl[[#This Row],[satisfaction_score]]&gt;=4,"Happy",IF(cf_cl[[#This Row],[satisfaction_score]]=3,"Neutral","Negative"))</f>
        <v>Negative</v>
      </c>
      <c r="I490" s="3" t="str">
        <f>IF(cf_cl[[#This Row],[satisfaction_score]]&lt;=2,"Low",IF(cf_cl[[#This Row],[satisfaction_score]]=3,"Medium","High"))</f>
        <v>Low</v>
      </c>
      <c r="J490">
        <f>YEAR(cf_cl[[#This Row],[date_submitted]])</f>
        <v>2021</v>
      </c>
      <c r="K490" s="3" t="str">
        <f>TEXT(cf_cl[[#This Row],[date_submitted]],"mmm")</f>
        <v>Mar</v>
      </c>
      <c r="L490" s="3" t="str">
        <f t="shared" si="21"/>
        <v>Q1</v>
      </c>
      <c r="M490" s="3" t="str">
        <f t="shared" si="22"/>
        <v>Sunday</v>
      </c>
      <c r="N490" s="3" t="str">
        <f t="shared" si="23"/>
        <v>Yes</v>
      </c>
      <c r="O490" s="3" t="str">
        <f>IF(COUNTIF($B:$B,B490)=1,"New Customer",
IF(COUNTIF($B:$B,B490)&lt;=3,"Returning Customer","Loyal Customer"))</f>
        <v>New Customer</v>
      </c>
      <c r="P490" s="3" t="str">
        <f>IF(cf_cl[[#This Row],[referred_claim]]="Yes","Referred","Not Referred")</f>
        <v>Not Referred</v>
      </c>
    </row>
    <row r="491" spans="1:16" x14ac:dyDescent="0.3">
      <c r="A491" t="s">
        <v>956</v>
      </c>
      <c r="B491" t="s">
        <v>957</v>
      </c>
      <c r="C491" s="1">
        <v>44889</v>
      </c>
      <c r="D491" t="s">
        <v>22</v>
      </c>
      <c r="E491">
        <v>4</v>
      </c>
      <c r="F491" s="3" t="s">
        <v>10</v>
      </c>
      <c r="G491" s="3" t="s">
        <v>13</v>
      </c>
      <c r="H491" s="3" t="str">
        <f>IF(cf_cl[[#This Row],[satisfaction_score]]&gt;=4,"Happy",IF(cf_cl[[#This Row],[satisfaction_score]]=3,"Neutral","Negative"))</f>
        <v>Happy</v>
      </c>
      <c r="I491" s="3" t="str">
        <f>IF(cf_cl[[#This Row],[satisfaction_score]]&lt;=2,"Low",IF(cf_cl[[#This Row],[satisfaction_score]]=3,"Medium","High"))</f>
        <v>High</v>
      </c>
      <c r="J491">
        <f>YEAR(cf_cl[[#This Row],[date_submitted]])</f>
        <v>2022</v>
      </c>
      <c r="K491" s="3" t="str">
        <f>TEXT(cf_cl[[#This Row],[date_submitted]],"mmm")</f>
        <v>Nov</v>
      </c>
      <c r="L491" s="3" t="str">
        <f t="shared" si="21"/>
        <v>Q4</v>
      </c>
      <c r="M491" s="3" t="str">
        <f t="shared" si="22"/>
        <v>Thursday</v>
      </c>
      <c r="N491" s="3" t="str">
        <f t="shared" si="23"/>
        <v>No</v>
      </c>
      <c r="O491" s="3" t="str">
        <f>IF(COUNTIF($B:$B,B491)=1,"New Customer",
IF(COUNTIF($B:$B,B491)&lt;=3,"Returning Customer","Loyal Customer"))</f>
        <v>New Customer</v>
      </c>
      <c r="P491" s="3" t="str">
        <f>IF(cf_cl[[#This Row],[referred_claim]]="Yes","Referred","Not Referred")</f>
        <v>Not Referred</v>
      </c>
    </row>
    <row r="492" spans="1:16" x14ac:dyDescent="0.3">
      <c r="A492" t="s">
        <v>958</v>
      </c>
      <c r="B492" t="s">
        <v>959</v>
      </c>
      <c r="C492" s="1">
        <v>45095</v>
      </c>
      <c r="D492" t="s">
        <v>9</v>
      </c>
      <c r="E492">
        <v>2</v>
      </c>
      <c r="F492" s="3" t="s">
        <v>13</v>
      </c>
      <c r="G492" s="3" t="s">
        <v>10</v>
      </c>
      <c r="H492" s="3" t="str">
        <f>IF(cf_cl[[#This Row],[satisfaction_score]]&gt;=4,"Happy",IF(cf_cl[[#This Row],[satisfaction_score]]=3,"Neutral","Negative"))</f>
        <v>Negative</v>
      </c>
      <c r="I492" s="3" t="str">
        <f>IF(cf_cl[[#This Row],[satisfaction_score]]&lt;=2,"Low",IF(cf_cl[[#This Row],[satisfaction_score]]=3,"Medium","High"))</f>
        <v>Low</v>
      </c>
      <c r="J492">
        <f>YEAR(cf_cl[[#This Row],[date_submitted]])</f>
        <v>2023</v>
      </c>
      <c r="K492" s="3" t="str">
        <f>TEXT(cf_cl[[#This Row],[date_submitted]],"mmm")</f>
        <v>Jun</v>
      </c>
      <c r="L492" s="3" t="str">
        <f t="shared" si="21"/>
        <v>Q2</v>
      </c>
      <c r="M492" s="3" t="str">
        <f t="shared" si="22"/>
        <v>Sunday</v>
      </c>
      <c r="N492" s="3" t="str">
        <f t="shared" si="23"/>
        <v>Yes</v>
      </c>
      <c r="O492" s="3" t="str">
        <f>IF(COUNTIF($B:$B,B492)=1,"New Customer",
IF(COUNTIF($B:$B,B492)&lt;=3,"Returning Customer","Loyal Customer"))</f>
        <v>New Customer</v>
      </c>
      <c r="P492" s="3" t="str">
        <f>IF(cf_cl[[#This Row],[referred_claim]]="Yes","Referred","Not Referred")</f>
        <v>Referred</v>
      </c>
    </row>
    <row r="493" spans="1:16" x14ac:dyDescent="0.3">
      <c r="A493" t="s">
        <v>960</v>
      </c>
      <c r="B493" t="s">
        <v>961</v>
      </c>
      <c r="C493" s="1">
        <v>44327</v>
      </c>
      <c r="D493" t="s">
        <v>22</v>
      </c>
      <c r="E493">
        <v>5</v>
      </c>
      <c r="F493" s="3" t="s">
        <v>10</v>
      </c>
      <c r="G493" s="3" t="s">
        <v>10</v>
      </c>
      <c r="H493" s="3" t="str">
        <f>IF(cf_cl[[#This Row],[satisfaction_score]]&gt;=4,"Happy",IF(cf_cl[[#This Row],[satisfaction_score]]=3,"Neutral","Negative"))</f>
        <v>Happy</v>
      </c>
      <c r="I493" s="3" t="str">
        <f>IF(cf_cl[[#This Row],[satisfaction_score]]&lt;=2,"Low",IF(cf_cl[[#This Row],[satisfaction_score]]=3,"Medium","High"))</f>
        <v>High</v>
      </c>
      <c r="J493">
        <f>YEAR(cf_cl[[#This Row],[date_submitted]])</f>
        <v>2021</v>
      </c>
      <c r="K493" s="3" t="str">
        <f>TEXT(cf_cl[[#This Row],[date_submitted]],"mmm")</f>
        <v>May</v>
      </c>
      <c r="L493" s="3" t="str">
        <f t="shared" si="21"/>
        <v>Q2</v>
      </c>
      <c r="M493" s="3" t="str">
        <f t="shared" si="22"/>
        <v>Tuesday</v>
      </c>
      <c r="N493" s="3" t="str">
        <f t="shared" si="23"/>
        <v>No</v>
      </c>
      <c r="O493" s="3" t="str">
        <f>IF(COUNTIF($B:$B,B493)=1,"New Customer",
IF(COUNTIF($B:$B,B493)&lt;=3,"Returning Customer","Loyal Customer"))</f>
        <v>New Customer</v>
      </c>
      <c r="P493" s="3" t="str">
        <f>IF(cf_cl[[#This Row],[referred_claim]]="Yes","Referred","Not Referred")</f>
        <v>Referred</v>
      </c>
    </row>
    <row r="494" spans="1:16" x14ac:dyDescent="0.3">
      <c r="A494" t="s">
        <v>962</v>
      </c>
      <c r="B494" t="s">
        <v>963</v>
      </c>
      <c r="C494" s="1">
        <v>44641</v>
      </c>
      <c r="D494" t="s">
        <v>37</v>
      </c>
      <c r="E494">
        <v>4</v>
      </c>
      <c r="F494" s="3" t="s">
        <v>10</v>
      </c>
      <c r="G494" s="3" t="s">
        <v>13</v>
      </c>
      <c r="H494" s="3" t="str">
        <f>IF(cf_cl[[#This Row],[satisfaction_score]]&gt;=4,"Happy",IF(cf_cl[[#This Row],[satisfaction_score]]=3,"Neutral","Negative"))</f>
        <v>Happy</v>
      </c>
      <c r="I494" s="3" t="str">
        <f>IF(cf_cl[[#This Row],[satisfaction_score]]&lt;=2,"Low",IF(cf_cl[[#This Row],[satisfaction_score]]=3,"Medium","High"))</f>
        <v>High</v>
      </c>
      <c r="J494">
        <f>YEAR(cf_cl[[#This Row],[date_submitted]])</f>
        <v>2022</v>
      </c>
      <c r="K494" s="3" t="str">
        <f>TEXT(cf_cl[[#This Row],[date_submitted]],"mmm")</f>
        <v>Mar</v>
      </c>
      <c r="L494" s="3" t="str">
        <f t="shared" si="21"/>
        <v>Q1</v>
      </c>
      <c r="M494" s="3" t="str">
        <f t="shared" si="22"/>
        <v>Monday</v>
      </c>
      <c r="N494" s="3" t="str">
        <f t="shared" si="23"/>
        <v>No</v>
      </c>
      <c r="O494" s="3" t="str">
        <f>IF(COUNTIF($B:$B,B494)=1,"New Customer",
IF(COUNTIF($B:$B,B494)&lt;=3,"Returning Customer","Loyal Customer"))</f>
        <v>New Customer</v>
      </c>
      <c r="P494" s="3" t="str">
        <f>IF(cf_cl[[#This Row],[referred_claim]]="Yes","Referred","Not Referred")</f>
        <v>Not Referred</v>
      </c>
    </row>
    <row r="495" spans="1:16" x14ac:dyDescent="0.3">
      <c r="A495" t="s">
        <v>964</v>
      </c>
      <c r="B495" t="s">
        <v>965</v>
      </c>
      <c r="C495" s="1">
        <v>44747</v>
      </c>
      <c r="D495" t="s">
        <v>19</v>
      </c>
      <c r="E495">
        <v>3</v>
      </c>
      <c r="F495" s="3" t="s">
        <v>10</v>
      </c>
      <c r="G495" s="3" t="s">
        <v>10</v>
      </c>
      <c r="H495" s="3" t="str">
        <f>IF(cf_cl[[#This Row],[satisfaction_score]]&gt;=4,"Happy",IF(cf_cl[[#This Row],[satisfaction_score]]=3,"Neutral","Negative"))</f>
        <v>Neutral</v>
      </c>
      <c r="I495" s="3" t="str">
        <f>IF(cf_cl[[#This Row],[satisfaction_score]]&lt;=2,"Low",IF(cf_cl[[#This Row],[satisfaction_score]]=3,"Medium","High"))</f>
        <v>Medium</v>
      </c>
      <c r="J495">
        <f>YEAR(cf_cl[[#This Row],[date_submitted]])</f>
        <v>2022</v>
      </c>
      <c r="K495" s="3" t="str">
        <f>TEXT(cf_cl[[#This Row],[date_submitted]],"mmm")</f>
        <v>Jul</v>
      </c>
      <c r="L495" s="3" t="str">
        <f t="shared" si="21"/>
        <v>Q3</v>
      </c>
      <c r="M495" s="3" t="str">
        <f t="shared" si="22"/>
        <v>Tuesday</v>
      </c>
      <c r="N495" s="3" t="str">
        <f t="shared" si="23"/>
        <v>No</v>
      </c>
      <c r="O495" s="3" t="str">
        <f>IF(COUNTIF($B:$B,B495)=1,"New Customer",
IF(COUNTIF($B:$B,B495)&lt;=3,"Returning Customer","Loyal Customer"))</f>
        <v>Returning Customer</v>
      </c>
      <c r="P495" s="3" t="str">
        <f>IF(cf_cl[[#This Row],[referred_claim]]="Yes","Referred","Not Referred")</f>
        <v>Referred</v>
      </c>
    </row>
    <row r="496" spans="1:16" x14ac:dyDescent="0.3">
      <c r="A496" t="s">
        <v>966</v>
      </c>
      <c r="B496" t="s">
        <v>914</v>
      </c>
      <c r="C496" s="1">
        <v>45216</v>
      </c>
      <c r="D496" t="s">
        <v>22</v>
      </c>
      <c r="E496">
        <v>5</v>
      </c>
      <c r="F496" s="3" t="s">
        <v>10</v>
      </c>
      <c r="G496" s="3" t="s">
        <v>10</v>
      </c>
      <c r="H496" s="3" t="str">
        <f>IF(cf_cl[[#This Row],[satisfaction_score]]&gt;=4,"Happy",IF(cf_cl[[#This Row],[satisfaction_score]]=3,"Neutral","Negative"))</f>
        <v>Happy</v>
      </c>
      <c r="I496" s="3" t="str">
        <f>IF(cf_cl[[#This Row],[satisfaction_score]]&lt;=2,"Low",IF(cf_cl[[#This Row],[satisfaction_score]]=3,"Medium","High"))</f>
        <v>High</v>
      </c>
      <c r="J496">
        <f>YEAR(cf_cl[[#This Row],[date_submitted]])</f>
        <v>2023</v>
      </c>
      <c r="K496" s="3" t="str">
        <f>TEXT(cf_cl[[#This Row],[date_submitted]],"mmm")</f>
        <v>Oct</v>
      </c>
      <c r="L496" s="3" t="str">
        <f t="shared" si="21"/>
        <v>Q4</v>
      </c>
      <c r="M496" s="3" t="str">
        <f t="shared" si="22"/>
        <v>Tuesday</v>
      </c>
      <c r="N496" s="3" t="str">
        <f t="shared" si="23"/>
        <v>No</v>
      </c>
      <c r="O496" s="3" t="str">
        <f>IF(COUNTIF($B:$B,B496)=1,"New Customer",
IF(COUNTIF($B:$B,B496)&lt;=3,"Returning Customer","Loyal Customer"))</f>
        <v>Returning Customer</v>
      </c>
      <c r="P496" s="3" t="str">
        <f>IF(cf_cl[[#This Row],[referred_claim]]="Yes","Referred","Not Referred")</f>
        <v>Referred</v>
      </c>
    </row>
    <row r="497" spans="1:16" x14ac:dyDescent="0.3">
      <c r="A497" t="s">
        <v>967</v>
      </c>
      <c r="B497" t="s">
        <v>968</v>
      </c>
      <c r="C497" s="1">
        <v>44075</v>
      </c>
      <c r="D497" t="s">
        <v>16</v>
      </c>
      <c r="E497">
        <v>4</v>
      </c>
      <c r="F497" s="3" t="s">
        <v>13</v>
      </c>
      <c r="G497" s="3" t="s">
        <v>10</v>
      </c>
      <c r="H497" s="3" t="str">
        <f>IF(cf_cl[[#This Row],[satisfaction_score]]&gt;=4,"Happy",IF(cf_cl[[#This Row],[satisfaction_score]]=3,"Neutral","Negative"))</f>
        <v>Happy</v>
      </c>
      <c r="I497" s="3" t="str">
        <f>IF(cf_cl[[#This Row],[satisfaction_score]]&lt;=2,"Low",IF(cf_cl[[#This Row],[satisfaction_score]]=3,"Medium","High"))</f>
        <v>High</v>
      </c>
      <c r="J497">
        <f>YEAR(cf_cl[[#This Row],[date_submitted]])</f>
        <v>2020</v>
      </c>
      <c r="K497" s="3" t="str">
        <f>TEXT(cf_cl[[#This Row],[date_submitted]],"mmm")</f>
        <v>Sep</v>
      </c>
      <c r="L497" s="3" t="str">
        <f t="shared" si="21"/>
        <v>Q3</v>
      </c>
      <c r="M497" s="3" t="str">
        <f t="shared" si="22"/>
        <v>Tuesday</v>
      </c>
      <c r="N497" s="3" t="str">
        <f t="shared" si="23"/>
        <v>No</v>
      </c>
      <c r="O497" s="3" t="str">
        <f>IF(COUNTIF($B:$B,B497)=1,"New Customer",
IF(COUNTIF($B:$B,B497)&lt;=3,"Returning Customer","Loyal Customer"))</f>
        <v>New Customer</v>
      </c>
      <c r="P497" s="3" t="str">
        <f>IF(cf_cl[[#This Row],[referred_claim]]="Yes","Referred","Not Referred")</f>
        <v>Referred</v>
      </c>
    </row>
    <row r="498" spans="1:16" x14ac:dyDescent="0.3">
      <c r="A498" t="s">
        <v>969</v>
      </c>
      <c r="B498" t="s">
        <v>970</v>
      </c>
      <c r="C498" s="1">
        <v>44242</v>
      </c>
      <c r="D498" t="s">
        <v>19</v>
      </c>
      <c r="E498">
        <v>2</v>
      </c>
      <c r="F498" s="3" t="s">
        <v>13</v>
      </c>
      <c r="G498" s="3" t="s">
        <v>13</v>
      </c>
      <c r="H498" s="3" t="str">
        <f>IF(cf_cl[[#This Row],[satisfaction_score]]&gt;=4,"Happy",IF(cf_cl[[#This Row],[satisfaction_score]]=3,"Neutral","Negative"))</f>
        <v>Negative</v>
      </c>
      <c r="I498" s="3" t="str">
        <f>IF(cf_cl[[#This Row],[satisfaction_score]]&lt;=2,"Low",IF(cf_cl[[#This Row],[satisfaction_score]]=3,"Medium","High"))</f>
        <v>Low</v>
      </c>
      <c r="J498">
        <f>YEAR(cf_cl[[#This Row],[date_submitted]])</f>
        <v>2021</v>
      </c>
      <c r="K498" s="3" t="str">
        <f>TEXT(cf_cl[[#This Row],[date_submitted]],"mmm")</f>
        <v>Feb</v>
      </c>
      <c r="L498" s="3" t="str">
        <f t="shared" si="21"/>
        <v>Q1</v>
      </c>
      <c r="M498" s="3" t="str">
        <f t="shared" si="22"/>
        <v>Monday</v>
      </c>
      <c r="N498" s="3" t="str">
        <f t="shared" si="23"/>
        <v>Yes</v>
      </c>
      <c r="O498" s="3" t="str">
        <f>IF(COUNTIF($B:$B,B498)=1,"New Customer",
IF(COUNTIF($B:$B,B498)&lt;=3,"Returning Customer","Loyal Customer"))</f>
        <v>Returning Customer</v>
      </c>
      <c r="P498" s="3" t="str">
        <f>IF(cf_cl[[#This Row],[referred_claim]]="Yes","Referred","Not Referred")</f>
        <v>Not Referred</v>
      </c>
    </row>
    <row r="499" spans="1:16" x14ac:dyDescent="0.3">
      <c r="A499" t="s">
        <v>971</v>
      </c>
      <c r="B499" t="s">
        <v>972</v>
      </c>
      <c r="C499" s="1">
        <v>44319</v>
      </c>
      <c r="D499" t="s">
        <v>68</v>
      </c>
      <c r="E499">
        <v>1</v>
      </c>
      <c r="F499" s="3" t="s">
        <v>13</v>
      </c>
      <c r="G499" s="3" t="s">
        <v>10</v>
      </c>
      <c r="H499" s="3" t="str">
        <f>IF(cf_cl[[#This Row],[satisfaction_score]]&gt;=4,"Happy",IF(cf_cl[[#This Row],[satisfaction_score]]=3,"Neutral","Negative"))</f>
        <v>Negative</v>
      </c>
      <c r="I499" s="3" t="str">
        <f>IF(cf_cl[[#This Row],[satisfaction_score]]&lt;=2,"Low",IF(cf_cl[[#This Row],[satisfaction_score]]=3,"Medium","High"))</f>
        <v>Low</v>
      </c>
      <c r="J499">
        <f>YEAR(cf_cl[[#This Row],[date_submitted]])</f>
        <v>2021</v>
      </c>
      <c r="K499" s="3" t="str">
        <f>TEXT(cf_cl[[#This Row],[date_submitted]],"mmm")</f>
        <v>May</v>
      </c>
      <c r="L499" s="3" t="str">
        <f t="shared" si="21"/>
        <v>Q2</v>
      </c>
      <c r="M499" s="3" t="str">
        <f t="shared" si="22"/>
        <v>Monday</v>
      </c>
      <c r="N499" s="3" t="str">
        <f t="shared" si="23"/>
        <v>Yes</v>
      </c>
      <c r="O499" s="3" t="str">
        <f>IF(COUNTIF($B:$B,B499)=1,"New Customer",
IF(COUNTIF($B:$B,B499)&lt;=3,"Returning Customer","Loyal Customer"))</f>
        <v>New Customer</v>
      </c>
      <c r="P499" s="3" t="str">
        <f>IF(cf_cl[[#This Row],[referred_claim]]="Yes","Referred","Not Referred")</f>
        <v>Referred</v>
      </c>
    </row>
    <row r="500" spans="1:16" x14ac:dyDescent="0.3">
      <c r="A500" t="s">
        <v>973</v>
      </c>
      <c r="B500" t="s">
        <v>865</v>
      </c>
      <c r="C500" s="1">
        <v>44746</v>
      </c>
      <c r="D500" t="s">
        <v>9</v>
      </c>
      <c r="E500">
        <v>2</v>
      </c>
      <c r="F500" s="3" t="s">
        <v>10</v>
      </c>
      <c r="G500" s="3" t="s">
        <v>10</v>
      </c>
      <c r="H500" s="3" t="str">
        <f>IF(cf_cl[[#This Row],[satisfaction_score]]&gt;=4,"Happy",IF(cf_cl[[#This Row],[satisfaction_score]]=3,"Neutral","Negative"))</f>
        <v>Negative</v>
      </c>
      <c r="I500" s="3" t="str">
        <f>IF(cf_cl[[#This Row],[satisfaction_score]]&lt;=2,"Low",IF(cf_cl[[#This Row],[satisfaction_score]]=3,"Medium","High"))</f>
        <v>Low</v>
      </c>
      <c r="J500">
        <f>YEAR(cf_cl[[#This Row],[date_submitted]])</f>
        <v>2022</v>
      </c>
      <c r="K500" s="3" t="str">
        <f>TEXT(cf_cl[[#This Row],[date_submitted]],"mmm")</f>
        <v>Jul</v>
      </c>
      <c r="L500" s="3" t="str">
        <f t="shared" si="21"/>
        <v>Q3</v>
      </c>
      <c r="M500" s="3" t="str">
        <f t="shared" si="22"/>
        <v>Monday</v>
      </c>
      <c r="N500" s="3" t="str">
        <f t="shared" si="23"/>
        <v>Yes</v>
      </c>
      <c r="O500" s="3" t="str">
        <f>IF(COUNTIF($B:$B,B500)=1,"New Customer",
IF(COUNTIF($B:$B,B500)&lt;=3,"Returning Customer","Loyal Customer"))</f>
        <v>Returning Customer</v>
      </c>
      <c r="P500" s="3" t="str">
        <f>IF(cf_cl[[#This Row],[referred_claim]]="Yes","Referred","Not Referred")</f>
        <v>Referred</v>
      </c>
    </row>
    <row r="501" spans="1:16" x14ac:dyDescent="0.3">
      <c r="A501" t="s">
        <v>974</v>
      </c>
      <c r="B501" t="s">
        <v>525</v>
      </c>
      <c r="C501" s="1">
        <v>44829</v>
      </c>
      <c r="D501" t="s">
        <v>25</v>
      </c>
      <c r="E501">
        <v>5</v>
      </c>
      <c r="F501" s="3" t="s">
        <v>13</v>
      </c>
      <c r="G501" s="3" t="s">
        <v>10</v>
      </c>
      <c r="H501" s="3" t="str">
        <f>IF(cf_cl[[#This Row],[satisfaction_score]]&gt;=4,"Happy",IF(cf_cl[[#This Row],[satisfaction_score]]=3,"Neutral","Negative"))</f>
        <v>Happy</v>
      </c>
      <c r="I501" s="3" t="str">
        <f>IF(cf_cl[[#This Row],[satisfaction_score]]&lt;=2,"Low",IF(cf_cl[[#This Row],[satisfaction_score]]=3,"Medium","High"))</f>
        <v>High</v>
      </c>
      <c r="J501">
        <f>YEAR(cf_cl[[#This Row],[date_submitted]])</f>
        <v>2022</v>
      </c>
      <c r="K501" s="3" t="str">
        <f>TEXT(cf_cl[[#This Row],[date_submitted]],"mmm")</f>
        <v>Sep</v>
      </c>
      <c r="L501" s="3" t="str">
        <f t="shared" si="21"/>
        <v>Q3</v>
      </c>
      <c r="M501" s="3" t="str">
        <f t="shared" si="22"/>
        <v>Sunday</v>
      </c>
      <c r="N501" s="3" t="str">
        <f t="shared" si="23"/>
        <v>No</v>
      </c>
      <c r="O501" s="3" t="str">
        <f>IF(COUNTIF($B:$B,B501)=1,"New Customer",
IF(COUNTIF($B:$B,B501)&lt;=3,"Returning Customer","Loyal Customer"))</f>
        <v>Returning Customer</v>
      </c>
      <c r="P501" s="3" t="str">
        <f>IF(cf_cl[[#This Row],[referred_claim]]="Yes","Referred","Not Referred")</f>
        <v>Referred</v>
      </c>
    </row>
    <row r="502" spans="1:16" x14ac:dyDescent="0.3">
      <c r="A502" t="s">
        <v>975</v>
      </c>
      <c r="B502" t="s">
        <v>341</v>
      </c>
      <c r="C502" s="1">
        <v>45141</v>
      </c>
      <c r="D502" t="s">
        <v>22</v>
      </c>
      <c r="E502">
        <v>4</v>
      </c>
      <c r="F502" s="3" t="s">
        <v>13</v>
      </c>
      <c r="G502" s="3" t="s">
        <v>10</v>
      </c>
      <c r="H502" s="3" t="str">
        <f>IF(cf_cl[[#This Row],[satisfaction_score]]&gt;=4,"Happy",IF(cf_cl[[#This Row],[satisfaction_score]]=3,"Neutral","Negative"))</f>
        <v>Happy</v>
      </c>
      <c r="I502" s="3" t="str">
        <f>IF(cf_cl[[#This Row],[satisfaction_score]]&lt;=2,"Low",IF(cf_cl[[#This Row],[satisfaction_score]]=3,"Medium","High"))</f>
        <v>High</v>
      </c>
      <c r="J502">
        <f>YEAR(cf_cl[[#This Row],[date_submitted]])</f>
        <v>2023</v>
      </c>
      <c r="K502" s="3" t="str">
        <f>TEXT(cf_cl[[#This Row],[date_submitted]],"mmm")</f>
        <v>Aug</v>
      </c>
      <c r="L502" s="3" t="str">
        <f t="shared" si="21"/>
        <v>Q3</v>
      </c>
      <c r="M502" s="3" t="str">
        <f t="shared" si="22"/>
        <v>Thursday</v>
      </c>
      <c r="N502" s="3" t="str">
        <f t="shared" si="23"/>
        <v>No</v>
      </c>
      <c r="O502" s="3" t="str">
        <f>IF(COUNTIF($B:$B,B502)=1,"New Customer",
IF(COUNTIF($B:$B,B502)&lt;=3,"Returning Customer","Loyal Customer"))</f>
        <v>Returning Customer</v>
      </c>
      <c r="P502" s="3" t="str">
        <f>IF(cf_cl[[#This Row],[referred_claim]]="Yes","Referred","Not Referred")</f>
        <v>Referred</v>
      </c>
    </row>
    <row r="503" spans="1:16" x14ac:dyDescent="0.3">
      <c r="A503" t="s">
        <v>976</v>
      </c>
      <c r="B503" t="s">
        <v>977</v>
      </c>
      <c r="C503" s="1">
        <v>44917</v>
      </c>
      <c r="D503" t="s">
        <v>28</v>
      </c>
      <c r="E503">
        <v>4</v>
      </c>
      <c r="F503" s="3" t="s">
        <v>13</v>
      </c>
      <c r="G503" s="3" t="s">
        <v>10</v>
      </c>
      <c r="H503" s="3" t="str">
        <f>IF(cf_cl[[#This Row],[satisfaction_score]]&gt;=4,"Happy",IF(cf_cl[[#This Row],[satisfaction_score]]=3,"Neutral","Negative"))</f>
        <v>Happy</v>
      </c>
      <c r="I503" s="3" t="str">
        <f>IF(cf_cl[[#This Row],[satisfaction_score]]&lt;=2,"Low",IF(cf_cl[[#This Row],[satisfaction_score]]=3,"Medium","High"))</f>
        <v>High</v>
      </c>
      <c r="J503">
        <f>YEAR(cf_cl[[#This Row],[date_submitted]])</f>
        <v>2022</v>
      </c>
      <c r="K503" s="3" t="str">
        <f>TEXT(cf_cl[[#This Row],[date_submitted]],"mmm")</f>
        <v>Dec</v>
      </c>
      <c r="L503" s="3" t="str">
        <f t="shared" si="21"/>
        <v>Q4</v>
      </c>
      <c r="M503" s="3" t="str">
        <f t="shared" si="22"/>
        <v>Thursday</v>
      </c>
      <c r="N503" s="3" t="str">
        <f t="shared" si="23"/>
        <v>No</v>
      </c>
      <c r="O503" s="3" t="str">
        <f>IF(COUNTIF($B:$B,B503)=1,"New Customer",
IF(COUNTIF($B:$B,B503)&lt;=3,"Returning Customer","Loyal Customer"))</f>
        <v>New Customer</v>
      </c>
      <c r="P503" s="3" t="str">
        <f>IF(cf_cl[[#This Row],[referred_claim]]="Yes","Referred","Not Referred")</f>
        <v>Referred</v>
      </c>
    </row>
    <row r="504" spans="1:16" x14ac:dyDescent="0.3">
      <c r="A504" t="s">
        <v>978</v>
      </c>
      <c r="B504" t="s">
        <v>979</v>
      </c>
      <c r="C504" s="1">
        <v>43899</v>
      </c>
      <c r="D504" t="s">
        <v>37</v>
      </c>
      <c r="E504">
        <v>4</v>
      </c>
      <c r="F504" s="3" t="s">
        <v>10</v>
      </c>
      <c r="G504" s="3" t="s">
        <v>13</v>
      </c>
      <c r="H504" s="3" t="str">
        <f>IF(cf_cl[[#This Row],[satisfaction_score]]&gt;=4,"Happy",IF(cf_cl[[#This Row],[satisfaction_score]]=3,"Neutral","Negative"))</f>
        <v>Happy</v>
      </c>
      <c r="I504" s="3" t="str">
        <f>IF(cf_cl[[#This Row],[satisfaction_score]]&lt;=2,"Low",IF(cf_cl[[#This Row],[satisfaction_score]]=3,"Medium","High"))</f>
        <v>High</v>
      </c>
      <c r="J504">
        <f>YEAR(cf_cl[[#This Row],[date_submitted]])</f>
        <v>2020</v>
      </c>
      <c r="K504" s="3" t="str">
        <f>TEXT(cf_cl[[#This Row],[date_submitted]],"mmm")</f>
        <v>Mar</v>
      </c>
      <c r="L504" s="3" t="str">
        <f t="shared" si="21"/>
        <v>Q1</v>
      </c>
      <c r="M504" s="3" t="str">
        <f t="shared" si="22"/>
        <v>Monday</v>
      </c>
      <c r="N504" s="3" t="str">
        <f t="shared" si="23"/>
        <v>No</v>
      </c>
      <c r="O504" s="3" t="str">
        <f>IF(COUNTIF($B:$B,B504)=1,"New Customer",
IF(COUNTIF($B:$B,B504)&lt;=3,"Returning Customer","Loyal Customer"))</f>
        <v>New Customer</v>
      </c>
      <c r="P504" s="3" t="str">
        <f>IF(cf_cl[[#This Row],[referred_claim]]="Yes","Referred","Not Referred")</f>
        <v>Not Referred</v>
      </c>
    </row>
    <row r="505" spans="1:16" x14ac:dyDescent="0.3">
      <c r="A505" t="s">
        <v>980</v>
      </c>
      <c r="B505" t="s">
        <v>981</v>
      </c>
      <c r="C505" s="1">
        <v>44465</v>
      </c>
      <c r="D505" t="s">
        <v>31</v>
      </c>
      <c r="E505">
        <v>2</v>
      </c>
      <c r="F505" s="3" t="s">
        <v>13</v>
      </c>
      <c r="G505" s="3" t="s">
        <v>10</v>
      </c>
      <c r="H505" s="3" t="str">
        <f>IF(cf_cl[[#This Row],[satisfaction_score]]&gt;=4,"Happy",IF(cf_cl[[#This Row],[satisfaction_score]]=3,"Neutral","Negative"))</f>
        <v>Negative</v>
      </c>
      <c r="I505" s="3" t="str">
        <f>IF(cf_cl[[#This Row],[satisfaction_score]]&lt;=2,"Low",IF(cf_cl[[#This Row],[satisfaction_score]]=3,"Medium","High"))</f>
        <v>Low</v>
      </c>
      <c r="J505">
        <f>YEAR(cf_cl[[#This Row],[date_submitted]])</f>
        <v>2021</v>
      </c>
      <c r="K505" s="3" t="str">
        <f>TEXT(cf_cl[[#This Row],[date_submitted]],"mmm")</f>
        <v>Sep</v>
      </c>
      <c r="L505" s="3" t="str">
        <f t="shared" si="21"/>
        <v>Q3</v>
      </c>
      <c r="M505" s="3" t="str">
        <f t="shared" si="22"/>
        <v>Sunday</v>
      </c>
      <c r="N505" s="3" t="str">
        <f t="shared" si="23"/>
        <v>Yes</v>
      </c>
      <c r="O505" s="3" t="str">
        <f>IF(COUNTIF($B:$B,B505)=1,"New Customer",
IF(COUNTIF($B:$B,B505)&lt;=3,"Returning Customer","Loyal Customer"))</f>
        <v>New Customer</v>
      </c>
      <c r="P505" s="3" t="str">
        <f>IF(cf_cl[[#This Row],[referred_claim]]="Yes","Referred","Not Referred")</f>
        <v>Referred</v>
      </c>
    </row>
    <row r="506" spans="1:16" x14ac:dyDescent="0.3">
      <c r="A506" t="s">
        <v>982</v>
      </c>
      <c r="B506" t="s">
        <v>983</v>
      </c>
      <c r="C506" s="1">
        <v>44794</v>
      </c>
      <c r="D506" t="s">
        <v>22</v>
      </c>
      <c r="E506">
        <v>4</v>
      </c>
      <c r="F506" s="3" t="s">
        <v>13</v>
      </c>
      <c r="G506" s="3" t="s">
        <v>10</v>
      </c>
      <c r="H506" s="3" t="str">
        <f>IF(cf_cl[[#This Row],[satisfaction_score]]&gt;=4,"Happy",IF(cf_cl[[#This Row],[satisfaction_score]]=3,"Neutral","Negative"))</f>
        <v>Happy</v>
      </c>
      <c r="I506" s="3" t="str">
        <f>IF(cf_cl[[#This Row],[satisfaction_score]]&lt;=2,"Low",IF(cf_cl[[#This Row],[satisfaction_score]]=3,"Medium","High"))</f>
        <v>High</v>
      </c>
      <c r="J506">
        <f>YEAR(cf_cl[[#This Row],[date_submitted]])</f>
        <v>2022</v>
      </c>
      <c r="K506" s="3" t="str">
        <f>TEXT(cf_cl[[#This Row],[date_submitted]],"mmm")</f>
        <v>Aug</v>
      </c>
      <c r="L506" s="3" t="str">
        <f t="shared" si="21"/>
        <v>Q3</v>
      </c>
      <c r="M506" s="3" t="str">
        <f t="shared" si="22"/>
        <v>Sunday</v>
      </c>
      <c r="N506" s="3" t="str">
        <f t="shared" si="23"/>
        <v>No</v>
      </c>
      <c r="O506" s="3" t="str">
        <f>IF(COUNTIF($B:$B,B506)=1,"New Customer",
IF(COUNTIF($B:$B,B506)&lt;=3,"Returning Customer","Loyal Customer"))</f>
        <v>New Customer</v>
      </c>
      <c r="P506" s="3" t="str">
        <f>IF(cf_cl[[#This Row],[referred_claim]]="Yes","Referred","Not Referred")</f>
        <v>Referred</v>
      </c>
    </row>
    <row r="507" spans="1:16" x14ac:dyDescent="0.3">
      <c r="A507" t="s">
        <v>984</v>
      </c>
      <c r="B507" t="s">
        <v>985</v>
      </c>
      <c r="C507" s="1">
        <v>43861</v>
      </c>
      <c r="D507" t="s">
        <v>83</v>
      </c>
      <c r="E507">
        <v>1</v>
      </c>
      <c r="F507" s="3" t="s">
        <v>13</v>
      </c>
      <c r="G507" s="3" t="s">
        <v>10</v>
      </c>
      <c r="H507" s="3" t="str">
        <f>IF(cf_cl[[#This Row],[satisfaction_score]]&gt;=4,"Happy",IF(cf_cl[[#This Row],[satisfaction_score]]=3,"Neutral","Negative"))</f>
        <v>Negative</v>
      </c>
      <c r="I507" s="3" t="str">
        <f>IF(cf_cl[[#This Row],[satisfaction_score]]&lt;=2,"Low",IF(cf_cl[[#This Row],[satisfaction_score]]=3,"Medium","High"))</f>
        <v>Low</v>
      </c>
      <c r="J507">
        <f>YEAR(cf_cl[[#This Row],[date_submitted]])</f>
        <v>2020</v>
      </c>
      <c r="K507" s="3" t="str">
        <f>TEXT(cf_cl[[#This Row],[date_submitted]],"mmm")</f>
        <v>Jan</v>
      </c>
      <c r="L507" s="3" t="str">
        <f t="shared" si="21"/>
        <v>Q1</v>
      </c>
      <c r="M507" s="3" t="str">
        <f t="shared" si="22"/>
        <v>Friday</v>
      </c>
      <c r="N507" s="3" t="str">
        <f t="shared" si="23"/>
        <v>Yes</v>
      </c>
      <c r="O507" s="3" t="str">
        <f>IF(COUNTIF($B:$B,B507)=1,"New Customer",
IF(COUNTIF($B:$B,B507)&lt;=3,"Returning Customer","Loyal Customer"))</f>
        <v>New Customer</v>
      </c>
      <c r="P507" s="3" t="str">
        <f>IF(cf_cl[[#This Row],[referred_claim]]="Yes","Referred","Not Referred")</f>
        <v>Referred</v>
      </c>
    </row>
    <row r="508" spans="1:16" x14ac:dyDescent="0.3">
      <c r="A508" t="s">
        <v>986</v>
      </c>
      <c r="B508" t="s">
        <v>987</v>
      </c>
      <c r="C508" s="1">
        <v>44724</v>
      </c>
      <c r="D508" t="s">
        <v>37</v>
      </c>
      <c r="E508">
        <v>5</v>
      </c>
      <c r="F508" s="3" t="s">
        <v>13</v>
      </c>
      <c r="G508" s="3" t="s">
        <v>13</v>
      </c>
      <c r="H508" s="3" t="str">
        <f>IF(cf_cl[[#This Row],[satisfaction_score]]&gt;=4,"Happy",IF(cf_cl[[#This Row],[satisfaction_score]]=3,"Neutral","Negative"))</f>
        <v>Happy</v>
      </c>
      <c r="I508" s="3" t="str">
        <f>IF(cf_cl[[#This Row],[satisfaction_score]]&lt;=2,"Low",IF(cf_cl[[#This Row],[satisfaction_score]]=3,"Medium","High"))</f>
        <v>High</v>
      </c>
      <c r="J508">
        <f>YEAR(cf_cl[[#This Row],[date_submitted]])</f>
        <v>2022</v>
      </c>
      <c r="K508" s="3" t="str">
        <f>TEXT(cf_cl[[#This Row],[date_submitted]],"mmm")</f>
        <v>Jun</v>
      </c>
      <c r="L508" s="3" t="str">
        <f t="shared" si="21"/>
        <v>Q2</v>
      </c>
      <c r="M508" s="3" t="str">
        <f t="shared" si="22"/>
        <v>Sunday</v>
      </c>
      <c r="N508" s="3" t="str">
        <f t="shared" si="23"/>
        <v>No</v>
      </c>
      <c r="O508" s="3" t="str">
        <f>IF(COUNTIF($B:$B,B508)=1,"New Customer",
IF(COUNTIF($B:$B,B508)&lt;=3,"Returning Customer","Loyal Customer"))</f>
        <v>Returning Customer</v>
      </c>
      <c r="P508" s="3" t="str">
        <f>IF(cf_cl[[#This Row],[referred_claim]]="Yes","Referred","Not Referred")</f>
        <v>Not Referred</v>
      </c>
    </row>
    <row r="509" spans="1:16" x14ac:dyDescent="0.3">
      <c r="A509" t="s">
        <v>988</v>
      </c>
      <c r="B509" t="s">
        <v>989</v>
      </c>
      <c r="C509" s="1">
        <v>45150</v>
      </c>
      <c r="D509" t="s">
        <v>16</v>
      </c>
      <c r="E509">
        <v>4</v>
      </c>
      <c r="F509" s="3" t="s">
        <v>13</v>
      </c>
      <c r="G509" s="3" t="s">
        <v>10</v>
      </c>
      <c r="H509" s="3" t="str">
        <f>IF(cf_cl[[#This Row],[satisfaction_score]]&gt;=4,"Happy",IF(cf_cl[[#This Row],[satisfaction_score]]=3,"Neutral","Negative"))</f>
        <v>Happy</v>
      </c>
      <c r="I509" s="3" t="str">
        <f>IF(cf_cl[[#This Row],[satisfaction_score]]&lt;=2,"Low",IF(cf_cl[[#This Row],[satisfaction_score]]=3,"Medium","High"))</f>
        <v>High</v>
      </c>
      <c r="J509">
        <f>YEAR(cf_cl[[#This Row],[date_submitted]])</f>
        <v>2023</v>
      </c>
      <c r="K509" s="3" t="str">
        <f>TEXT(cf_cl[[#This Row],[date_submitted]],"mmm")</f>
        <v>Aug</v>
      </c>
      <c r="L509" s="3" t="str">
        <f t="shared" si="21"/>
        <v>Q3</v>
      </c>
      <c r="M509" s="3" t="str">
        <f t="shared" si="22"/>
        <v>Saturday</v>
      </c>
      <c r="N509" s="3" t="str">
        <f t="shared" si="23"/>
        <v>No</v>
      </c>
      <c r="O509" s="3" t="str">
        <f>IF(COUNTIF($B:$B,B509)=1,"New Customer",
IF(COUNTIF($B:$B,B509)&lt;=3,"Returning Customer","Loyal Customer"))</f>
        <v>New Customer</v>
      </c>
      <c r="P509" s="3" t="str">
        <f>IF(cf_cl[[#This Row],[referred_claim]]="Yes","Referred","Not Referred")</f>
        <v>Referred</v>
      </c>
    </row>
    <row r="510" spans="1:16" x14ac:dyDescent="0.3">
      <c r="A510" t="s">
        <v>990</v>
      </c>
      <c r="B510" t="s">
        <v>991</v>
      </c>
      <c r="C510" s="1">
        <v>45172</v>
      </c>
      <c r="D510" t="s">
        <v>16</v>
      </c>
      <c r="E510">
        <v>5</v>
      </c>
      <c r="F510" s="3" t="s">
        <v>13</v>
      </c>
      <c r="G510" s="3" t="s">
        <v>10</v>
      </c>
      <c r="H510" s="3" t="str">
        <f>IF(cf_cl[[#This Row],[satisfaction_score]]&gt;=4,"Happy",IF(cf_cl[[#This Row],[satisfaction_score]]=3,"Neutral","Negative"))</f>
        <v>Happy</v>
      </c>
      <c r="I510" s="3" t="str">
        <f>IF(cf_cl[[#This Row],[satisfaction_score]]&lt;=2,"Low",IF(cf_cl[[#This Row],[satisfaction_score]]=3,"Medium","High"))</f>
        <v>High</v>
      </c>
      <c r="J510">
        <f>YEAR(cf_cl[[#This Row],[date_submitted]])</f>
        <v>2023</v>
      </c>
      <c r="K510" s="3" t="str">
        <f>TEXT(cf_cl[[#This Row],[date_submitted]],"mmm")</f>
        <v>Sep</v>
      </c>
      <c r="L510" s="3" t="str">
        <f t="shared" si="21"/>
        <v>Q3</v>
      </c>
      <c r="M510" s="3" t="str">
        <f t="shared" si="22"/>
        <v>Sunday</v>
      </c>
      <c r="N510" s="3" t="str">
        <f t="shared" si="23"/>
        <v>No</v>
      </c>
      <c r="O510" s="3" t="str">
        <f>IF(COUNTIF($B:$B,B510)=1,"New Customer",
IF(COUNTIF($B:$B,B510)&lt;=3,"Returning Customer","Loyal Customer"))</f>
        <v>Returning Customer</v>
      </c>
      <c r="P510" s="3" t="str">
        <f>IF(cf_cl[[#This Row],[referred_claim]]="Yes","Referred","Not Referred")</f>
        <v>Referred</v>
      </c>
    </row>
    <row r="511" spans="1:16" x14ac:dyDescent="0.3">
      <c r="A511" t="s">
        <v>992</v>
      </c>
      <c r="B511" t="s">
        <v>495</v>
      </c>
      <c r="C511" s="1">
        <v>44573</v>
      </c>
      <c r="D511" t="s">
        <v>28</v>
      </c>
      <c r="E511">
        <v>4</v>
      </c>
      <c r="F511" s="3" t="s">
        <v>13</v>
      </c>
      <c r="G511" s="3" t="s">
        <v>10</v>
      </c>
      <c r="H511" s="3" t="str">
        <f>IF(cf_cl[[#This Row],[satisfaction_score]]&gt;=4,"Happy",IF(cf_cl[[#This Row],[satisfaction_score]]=3,"Neutral","Negative"))</f>
        <v>Happy</v>
      </c>
      <c r="I511" s="3" t="str">
        <f>IF(cf_cl[[#This Row],[satisfaction_score]]&lt;=2,"Low",IF(cf_cl[[#This Row],[satisfaction_score]]=3,"Medium","High"))</f>
        <v>High</v>
      </c>
      <c r="J511">
        <f>YEAR(cf_cl[[#This Row],[date_submitted]])</f>
        <v>2022</v>
      </c>
      <c r="K511" s="3" t="str">
        <f>TEXT(cf_cl[[#This Row],[date_submitted]],"mmm")</f>
        <v>Jan</v>
      </c>
      <c r="L511" s="3" t="str">
        <f t="shared" si="21"/>
        <v>Q1</v>
      </c>
      <c r="M511" s="3" t="str">
        <f t="shared" si="22"/>
        <v>Wednesday</v>
      </c>
      <c r="N511" s="3" t="str">
        <f t="shared" si="23"/>
        <v>No</v>
      </c>
      <c r="O511" s="3" t="str">
        <f>IF(COUNTIF($B:$B,B511)=1,"New Customer",
IF(COUNTIF($B:$B,B511)&lt;=3,"Returning Customer","Loyal Customer"))</f>
        <v>Returning Customer</v>
      </c>
      <c r="P511" s="3" t="str">
        <f>IF(cf_cl[[#This Row],[referred_claim]]="Yes","Referred","Not Referred")</f>
        <v>Referred</v>
      </c>
    </row>
    <row r="512" spans="1:16" x14ac:dyDescent="0.3">
      <c r="A512" t="s">
        <v>993</v>
      </c>
      <c r="B512" t="s">
        <v>415</v>
      </c>
      <c r="C512" s="1">
        <v>43869</v>
      </c>
      <c r="D512" t="s">
        <v>9</v>
      </c>
      <c r="E512">
        <v>2</v>
      </c>
      <c r="F512" s="3" t="s">
        <v>13</v>
      </c>
      <c r="G512" s="3" t="s">
        <v>10</v>
      </c>
      <c r="H512" s="3" t="str">
        <f>IF(cf_cl[[#This Row],[satisfaction_score]]&gt;=4,"Happy",IF(cf_cl[[#This Row],[satisfaction_score]]=3,"Neutral","Negative"))</f>
        <v>Negative</v>
      </c>
      <c r="I512" s="3" t="str">
        <f>IF(cf_cl[[#This Row],[satisfaction_score]]&lt;=2,"Low",IF(cf_cl[[#This Row],[satisfaction_score]]=3,"Medium","High"))</f>
        <v>Low</v>
      </c>
      <c r="J512">
        <f>YEAR(cf_cl[[#This Row],[date_submitted]])</f>
        <v>2020</v>
      </c>
      <c r="K512" s="3" t="str">
        <f>TEXT(cf_cl[[#This Row],[date_submitted]],"mmm")</f>
        <v>Feb</v>
      </c>
      <c r="L512" s="3" t="str">
        <f t="shared" si="21"/>
        <v>Q1</v>
      </c>
      <c r="M512" s="3" t="str">
        <f t="shared" si="22"/>
        <v>Saturday</v>
      </c>
      <c r="N512" s="3" t="str">
        <f t="shared" si="23"/>
        <v>Yes</v>
      </c>
      <c r="O512" s="3" t="str">
        <f>IF(COUNTIF($B:$B,B512)=1,"New Customer",
IF(COUNTIF($B:$B,B512)&lt;=3,"Returning Customer","Loyal Customer"))</f>
        <v>Returning Customer</v>
      </c>
      <c r="P512" s="3" t="str">
        <f>IF(cf_cl[[#This Row],[referred_claim]]="Yes","Referred","Not Referred")</f>
        <v>Referred</v>
      </c>
    </row>
    <row r="513" spans="1:16" x14ac:dyDescent="0.3">
      <c r="A513" t="s">
        <v>994</v>
      </c>
      <c r="B513" t="s">
        <v>995</v>
      </c>
      <c r="C513" s="1">
        <v>44327</v>
      </c>
      <c r="D513" t="s">
        <v>25</v>
      </c>
      <c r="E513">
        <v>4</v>
      </c>
      <c r="F513" s="3" t="s">
        <v>10</v>
      </c>
      <c r="G513" s="3" t="s">
        <v>10</v>
      </c>
      <c r="H513" s="3" t="str">
        <f>IF(cf_cl[[#This Row],[satisfaction_score]]&gt;=4,"Happy",IF(cf_cl[[#This Row],[satisfaction_score]]=3,"Neutral","Negative"))</f>
        <v>Happy</v>
      </c>
      <c r="I513" s="3" t="str">
        <f>IF(cf_cl[[#This Row],[satisfaction_score]]&lt;=2,"Low",IF(cf_cl[[#This Row],[satisfaction_score]]=3,"Medium","High"))</f>
        <v>High</v>
      </c>
      <c r="J513">
        <f>YEAR(cf_cl[[#This Row],[date_submitted]])</f>
        <v>2021</v>
      </c>
      <c r="K513" s="3" t="str">
        <f>TEXT(cf_cl[[#This Row],[date_submitted]],"mmm")</f>
        <v>May</v>
      </c>
      <c r="L513" s="3" t="str">
        <f t="shared" si="21"/>
        <v>Q2</v>
      </c>
      <c r="M513" s="3" t="str">
        <f t="shared" si="22"/>
        <v>Tuesday</v>
      </c>
      <c r="N513" s="3" t="str">
        <f t="shared" si="23"/>
        <v>No</v>
      </c>
      <c r="O513" s="3" t="str">
        <f>IF(COUNTIF($B:$B,B513)=1,"New Customer",
IF(COUNTIF($B:$B,B513)&lt;=3,"Returning Customer","Loyal Customer"))</f>
        <v>Returning Customer</v>
      </c>
      <c r="P513" s="3" t="str">
        <f>IF(cf_cl[[#This Row],[referred_claim]]="Yes","Referred","Not Referred")</f>
        <v>Referred</v>
      </c>
    </row>
    <row r="514" spans="1:16" x14ac:dyDescent="0.3">
      <c r="A514" t="s">
        <v>996</v>
      </c>
      <c r="B514" t="s">
        <v>997</v>
      </c>
      <c r="C514" s="1">
        <v>44219</v>
      </c>
      <c r="D514" t="s">
        <v>22</v>
      </c>
      <c r="E514">
        <v>4</v>
      </c>
      <c r="F514" s="3" t="s">
        <v>10</v>
      </c>
      <c r="G514" s="3" t="s">
        <v>10</v>
      </c>
      <c r="H514" s="3" t="str">
        <f>IF(cf_cl[[#This Row],[satisfaction_score]]&gt;=4,"Happy",IF(cf_cl[[#This Row],[satisfaction_score]]=3,"Neutral","Negative"))</f>
        <v>Happy</v>
      </c>
      <c r="I514" s="3" t="str">
        <f>IF(cf_cl[[#This Row],[satisfaction_score]]&lt;=2,"Low",IF(cf_cl[[#This Row],[satisfaction_score]]=3,"Medium","High"))</f>
        <v>High</v>
      </c>
      <c r="J514">
        <f>YEAR(cf_cl[[#This Row],[date_submitted]])</f>
        <v>2021</v>
      </c>
      <c r="K514" s="3" t="str">
        <f>TEXT(cf_cl[[#This Row],[date_submitted]],"mmm")</f>
        <v>Jan</v>
      </c>
      <c r="L514" s="3" t="str">
        <f t="shared" ref="L514:L577" si="24">"Q"&amp;ROUNDUP(MONTH(C514)/3,0)</f>
        <v>Q1</v>
      </c>
      <c r="M514" s="3" t="str">
        <f t="shared" ref="M514:M577" si="25">TEXT(C514,"dddd")</f>
        <v>Saturday</v>
      </c>
      <c r="N514" s="3" t="str">
        <f t="shared" ref="N514:N577" si="26">IF(E514&lt;=2,"Yes","No")</f>
        <v>No</v>
      </c>
      <c r="O514" s="3" t="str">
        <f>IF(COUNTIF($B:$B,B514)=1,"New Customer",
IF(COUNTIF($B:$B,B514)&lt;=3,"Returning Customer","Loyal Customer"))</f>
        <v>New Customer</v>
      </c>
      <c r="P514" s="3" t="str">
        <f>IF(cf_cl[[#This Row],[referred_claim]]="Yes","Referred","Not Referred")</f>
        <v>Referred</v>
      </c>
    </row>
    <row r="515" spans="1:16" x14ac:dyDescent="0.3">
      <c r="A515" t="s">
        <v>998</v>
      </c>
      <c r="B515" t="s">
        <v>999</v>
      </c>
      <c r="C515" s="1">
        <v>44157</v>
      </c>
      <c r="D515" t="s">
        <v>28</v>
      </c>
      <c r="E515">
        <v>5</v>
      </c>
      <c r="F515" s="3" t="s">
        <v>13</v>
      </c>
      <c r="G515" s="3" t="s">
        <v>13</v>
      </c>
      <c r="H515" s="3" t="str">
        <f>IF(cf_cl[[#This Row],[satisfaction_score]]&gt;=4,"Happy",IF(cf_cl[[#This Row],[satisfaction_score]]=3,"Neutral","Negative"))</f>
        <v>Happy</v>
      </c>
      <c r="I515" s="3" t="str">
        <f>IF(cf_cl[[#This Row],[satisfaction_score]]&lt;=2,"Low",IF(cf_cl[[#This Row],[satisfaction_score]]=3,"Medium","High"))</f>
        <v>High</v>
      </c>
      <c r="J515">
        <f>YEAR(cf_cl[[#This Row],[date_submitted]])</f>
        <v>2020</v>
      </c>
      <c r="K515" s="3" t="str">
        <f>TEXT(cf_cl[[#This Row],[date_submitted]],"mmm")</f>
        <v>Nov</v>
      </c>
      <c r="L515" s="3" t="str">
        <f t="shared" si="24"/>
        <v>Q4</v>
      </c>
      <c r="M515" s="3" t="str">
        <f t="shared" si="25"/>
        <v>Sunday</v>
      </c>
      <c r="N515" s="3" t="str">
        <f t="shared" si="26"/>
        <v>No</v>
      </c>
      <c r="O515" s="3" t="str">
        <f>IF(COUNTIF($B:$B,B515)=1,"New Customer",
IF(COUNTIF($B:$B,B515)&lt;=3,"Returning Customer","Loyal Customer"))</f>
        <v>New Customer</v>
      </c>
      <c r="P515" s="3" t="str">
        <f>IF(cf_cl[[#This Row],[referred_claim]]="Yes","Referred","Not Referred")</f>
        <v>Not Referred</v>
      </c>
    </row>
    <row r="516" spans="1:16" x14ac:dyDescent="0.3">
      <c r="A516" t="s">
        <v>1000</v>
      </c>
      <c r="B516" t="s">
        <v>1001</v>
      </c>
      <c r="C516" s="1">
        <v>43911</v>
      </c>
      <c r="D516" t="s">
        <v>83</v>
      </c>
      <c r="E516">
        <v>1</v>
      </c>
      <c r="F516" s="3" t="s">
        <v>10</v>
      </c>
      <c r="G516" s="3" t="s">
        <v>13</v>
      </c>
      <c r="H516" s="3" t="str">
        <f>IF(cf_cl[[#This Row],[satisfaction_score]]&gt;=4,"Happy",IF(cf_cl[[#This Row],[satisfaction_score]]=3,"Neutral","Negative"))</f>
        <v>Negative</v>
      </c>
      <c r="I516" s="3" t="str">
        <f>IF(cf_cl[[#This Row],[satisfaction_score]]&lt;=2,"Low",IF(cf_cl[[#This Row],[satisfaction_score]]=3,"Medium","High"))</f>
        <v>Low</v>
      </c>
      <c r="J516">
        <f>YEAR(cf_cl[[#This Row],[date_submitted]])</f>
        <v>2020</v>
      </c>
      <c r="K516" s="3" t="str">
        <f>TEXT(cf_cl[[#This Row],[date_submitted]],"mmm")</f>
        <v>Mar</v>
      </c>
      <c r="L516" s="3" t="str">
        <f t="shared" si="24"/>
        <v>Q1</v>
      </c>
      <c r="M516" s="3" t="str">
        <f t="shared" si="25"/>
        <v>Saturday</v>
      </c>
      <c r="N516" s="3" t="str">
        <f t="shared" si="26"/>
        <v>Yes</v>
      </c>
      <c r="O516" s="3" t="str">
        <f>IF(COUNTIF($B:$B,B516)=1,"New Customer",
IF(COUNTIF($B:$B,B516)&lt;=3,"Returning Customer","Loyal Customer"))</f>
        <v>New Customer</v>
      </c>
      <c r="P516" s="3" t="str">
        <f>IF(cf_cl[[#This Row],[referred_claim]]="Yes","Referred","Not Referred")</f>
        <v>Not Referred</v>
      </c>
    </row>
    <row r="517" spans="1:16" x14ac:dyDescent="0.3">
      <c r="A517" t="s">
        <v>1002</v>
      </c>
      <c r="B517" t="s">
        <v>1003</v>
      </c>
      <c r="C517" s="1">
        <v>44235</v>
      </c>
      <c r="D517" t="s">
        <v>19</v>
      </c>
      <c r="E517">
        <v>2</v>
      </c>
      <c r="F517" s="3" t="s">
        <v>13</v>
      </c>
      <c r="G517" s="3" t="s">
        <v>10</v>
      </c>
      <c r="H517" s="3" t="str">
        <f>IF(cf_cl[[#This Row],[satisfaction_score]]&gt;=4,"Happy",IF(cf_cl[[#This Row],[satisfaction_score]]=3,"Neutral","Negative"))</f>
        <v>Negative</v>
      </c>
      <c r="I517" s="3" t="str">
        <f>IF(cf_cl[[#This Row],[satisfaction_score]]&lt;=2,"Low",IF(cf_cl[[#This Row],[satisfaction_score]]=3,"Medium","High"))</f>
        <v>Low</v>
      </c>
      <c r="J517">
        <f>YEAR(cf_cl[[#This Row],[date_submitted]])</f>
        <v>2021</v>
      </c>
      <c r="K517" s="3" t="str">
        <f>TEXT(cf_cl[[#This Row],[date_submitted]],"mmm")</f>
        <v>Feb</v>
      </c>
      <c r="L517" s="3" t="str">
        <f t="shared" si="24"/>
        <v>Q1</v>
      </c>
      <c r="M517" s="3" t="str">
        <f t="shared" si="25"/>
        <v>Monday</v>
      </c>
      <c r="N517" s="3" t="str">
        <f t="shared" si="26"/>
        <v>Yes</v>
      </c>
      <c r="O517" s="3" t="str">
        <f>IF(COUNTIF($B:$B,B517)=1,"New Customer",
IF(COUNTIF($B:$B,B517)&lt;=3,"Returning Customer","Loyal Customer"))</f>
        <v>New Customer</v>
      </c>
      <c r="P517" s="3" t="str">
        <f>IF(cf_cl[[#This Row],[referred_claim]]="Yes","Referred","Not Referred")</f>
        <v>Referred</v>
      </c>
    </row>
    <row r="518" spans="1:16" x14ac:dyDescent="0.3">
      <c r="A518" t="s">
        <v>1004</v>
      </c>
      <c r="B518" t="s">
        <v>1005</v>
      </c>
      <c r="C518" s="1">
        <v>44387</v>
      </c>
      <c r="D518" t="s">
        <v>9</v>
      </c>
      <c r="E518">
        <v>3</v>
      </c>
      <c r="F518" s="3" t="s">
        <v>10</v>
      </c>
      <c r="G518" s="3" t="s">
        <v>10</v>
      </c>
      <c r="H518" s="3" t="str">
        <f>IF(cf_cl[[#This Row],[satisfaction_score]]&gt;=4,"Happy",IF(cf_cl[[#This Row],[satisfaction_score]]=3,"Neutral","Negative"))</f>
        <v>Neutral</v>
      </c>
      <c r="I518" s="3" t="str">
        <f>IF(cf_cl[[#This Row],[satisfaction_score]]&lt;=2,"Low",IF(cf_cl[[#This Row],[satisfaction_score]]=3,"Medium","High"))</f>
        <v>Medium</v>
      </c>
      <c r="J518">
        <f>YEAR(cf_cl[[#This Row],[date_submitted]])</f>
        <v>2021</v>
      </c>
      <c r="K518" s="3" t="str">
        <f>TEXT(cf_cl[[#This Row],[date_submitted]],"mmm")</f>
        <v>Jul</v>
      </c>
      <c r="L518" s="3" t="str">
        <f t="shared" si="24"/>
        <v>Q3</v>
      </c>
      <c r="M518" s="3" t="str">
        <f t="shared" si="25"/>
        <v>Saturday</v>
      </c>
      <c r="N518" s="3" t="str">
        <f t="shared" si="26"/>
        <v>No</v>
      </c>
      <c r="O518" s="3" t="str">
        <f>IF(COUNTIF($B:$B,B518)=1,"New Customer",
IF(COUNTIF($B:$B,B518)&lt;=3,"Returning Customer","Loyal Customer"))</f>
        <v>Returning Customer</v>
      </c>
      <c r="P518" s="3" t="str">
        <f>IF(cf_cl[[#This Row],[referred_claim]]="Yes","Referred","Not Referred")</f>
        <v>Referred</v>
      </c>
    </row>
    <row r="519" spans="1:16" x14ac:dyDescent="0.3">
      <c r="A519" t="s">
        <v>1006</v>
      </c>
      <c r="B519" t="s">
        <v>1007</v>
      </c>
      <c r="C519" s="1">
        <v>44870</v>
      </c>
      <c r="D519" t="s">
        <v>28</v>
      </c>
      <c r="E519">
        <v>4</v>
      </c>
      <c r="F519" s="3" t="s">
        <v>13</v>
      </c>
      <c r="G519" s="3" t="s">
        <v>10</v>
      </c>
      <c r="H519" s="3" t="str">
        <f>IF(cf_cl[[#This Row],[satisfaction_score]]&gt;=4,"Happy",IF(cf_cl[[#This Row],[satisfaction_score]]=3,"Neutral","Negative"))</f>
        <v>Happy</v>
      </c>
      <c r="I519" s="3" t="str">
        <f>IF(cf_cl[[#This Row],[satisfaction_score]]&lt;=2,"Low",IF(cf_cl[[#This Row],[satisfaction_score]]=3,"Medium","High"))</f>
        <v>High</v>
      </c>
      <c r="J519">
        <f>YEAR(cf_cl[[#This Row],[date_submitted]])</f>
        <v>2022</v>
      </c>
      <c r="K519" s="3" t="str">
        <f>TEXT(cf_cl[[#This Row],[date_submitted]],"mmm")</f>
        <v>Nov</v>
      </c>
      <c r="L519" s="3" t="str">
        <f t="shared" si="24"/>
        <v>Q4</v>
      </c>
      <c r="M519" s="3" t="str">
        <f t="shared" si="25"/>
        <v>Saturday</v>
      </c>
      <c r="N519" s="3" t="str">
        <f t="shared" si="26"/>
        <v>No</v>
      </c>
      <c r="O519" s="3" t="str">
        <f>IF(COUNTIF($B:$B,B519)=1,"New Customer",
IF(COUNTIF($B:$B,B519)&lt;=3,"Returning Customer","Loyal Customer"))</f>
        <v>New Customer</v>
      </c>
      <c r="P519" s="3" t="str">
        <f>IF(cf_cl[[#This Row],[referred_claim]]="Yes","Referred","Not Referred")</f>
        <v>Referred</v>
      </c>
    </row>
    <row r="520" spans="1:16" x14ac:dyDescent="0.3">
      <c r="A520" t="s">
        <v>1008</v>
      </c>
      <c r="B520" t="s">
        <v>1009</v>
      </c>
      <c r="C520" s="1">
        <v>44428</v>
      </c>
      <c r="D520" t="s">
        <v>16</v>
      </c>
      <c r="E520">
        <v>4</v>
      </c>
      <c r="F520" s="3" t="s">
        <v>13</v>
      </c>
      <c r="G520" s="3" t="s">
        <v>10</v>
      </c>
      <c r="H520" s="3" t="str">
        <f>IF(cf_cl[[#This Row],[satisfaction_score]]&gt;=4,"Happy",IF(cf_cl[[#This Row],[satisfaction_score]]=3,"Neutral","Negative"))</f>
        <v>Happy</v>
      </c>
      <c r="I520" s="3" t="str">
        <f>IF(cf_cl[[#This Row],[satisfaction_score]]&lt;=2,"Low",IF(cf_cl[[#This Row],[satisfaction_score]]=3,"Medium","High"))</f>
        <v>High</v>
      </c>
      <c r="J520">
        <f>YEAR(cf_cl[[#This Row],[date_submitted]])</f>
        <v>2021</v>
      </c>
      <c r="K520" s="3" t="str">
        <f>TEXT(cf_cl[[#This Row],[date_submitted]],"mmm")</f>
        <v>Aug</v>
      </c>
      <c r="L520" s="3" t="str">
        <f t="shared" si="24"/>
        <v>Q3</v>
      </c>
      <c r="M520" s="3" t="str">
        <f t="shared" si="25"/>
        <v>Friday</v>
      </c>
      <c r="N520" s="3" t="str">
        <f t="shared" si="26"/>
        <v>No</v>
      </c>
      <c r="O520" s="3" t="str">
        <f>IF(COUNTIF($B:$B,B520)=1,"New Customer",
IF(COUNTIF($B:$B,B520)&lt;=3,"Returning Customer","Loyal Customer"))</f>
        <v>New Customer</v>
      </c>
      <c r="P520" s="3" t="str">
        <f>IF(cf_cl[[#This Row],[referred_claim]]="Yes","Referred","Not Referred")</f>
        <v>Referred</v>
      </c>
    </row>
    <row r="521" spans="1:16" x14ac:dyDescent="0.3">
      <c r="A521" t="s">
        <v>1010</v>
      </c>
      <c r="B521" t="s">
        <v>1011</v>
      </c>
      <c r="C521" s="1">
        <v>44907</v>
      </c>
      <c r="D521" t="s">
        <v>22</v>
      </c>
      <c r="E521">
        <v>5</v>
      </c>
      <c r="F521" s="3" t="s">
        <v>10</v>
      </c>
      <c r="G521" s="3" t="s">
        <v>10</v>
      </c>
      <c r="H521" s="3" t="str">
        <f>IF(cf_cl[[#This Row],[satisfaction_score]]&gt;=4,"Happy",IF(cf_cl[[#This Row],[satisfaction_score]]=3,"Neutral","Negative"))</f>
        <v>Happy</v>
      </c>
      <c r="I521" s="3" t="str">
        <f>IF(cf_cl[[#This Row],[satisfaction_score]]&lt;=2,"Low",IF(cf_cl[[#This Row],[satisfaction_score]]=3,"Medium","High"))</f>
        <v>High</v>
      </c>
      <c r="J521">
        <f>YEAR(cf_cl[[#This Row],[date_submitted]])</f>
        <v>2022</v>
      </c>
      <c r="K521" s="3" t="str">
        <f>TEXT(cf_cl[[#This Row],[date_submitted]],"mmm")</f>
        <v>Dec</v>
      </c>
      <c r="L521" s="3" t="str">
        <f t="shared" si="24"/>
        <v>Q4</v>
      </c>
      <c r="M521" s="3" t="str">
        <f t="shared" si="25"/>
        <v>Monday</v>
      </c>
      <c r="N521" s="3" t="str">
        <f t="shared" si="26"/>
        <v>No</v>
      </c>
      <c r="O521" s="3" t="str">
        <f>IF(COUNTIF($B:$B,B521)=1,"New Customer",
IF(COUNTIF($B:$B,B521)&lt;=3,"Returning Customer","Loyal Customer"))</f>
        <v>New Customer</v>
      </c>
      <c r="P521" s="3" t="str">
        <f>IF(cf_cl[[#This Row],[referred_claim]]="Yes","Referred","Not Referred")</f>
        <v>Referred</v>
      </c>
    </row>
    <row r="522" spans="1:16" x14ac:dyDescent="0.3">
      <c r="A522" t="s">
        <v>1012</v>
      </c>
      <c r="B522" t="s">
        <v>1013</v>
      </c>
      <c r="C522" s="1">
        <v>44470</v>
      </c>
      <c r="D522" t="s">
        <v>22</v>
      </c>
      <c r="E522">
        <v>4</v>
      </c>
      <c r="F522" s="3" t="s">
        <v>10</v>
      </c>
      <c r="G522" s="3" t="s">
        <v>13</v>
      </c>
      <c r="H522" s="3" t="str">
        <f>IF(cf_cl[[#This Row],[satisfaction_score]]&gt;=4,"Happy",IF(cf_cl[[#This Row],[satisfaction_score]]=3,"Neutral","Negative"))</f>
        <v>Happy</v>
      </c>
      <c r="I522" s="3" t="str">
        <f>IF(cf_cl[[#This Row],[satisfaction_score]]&lt;=2,"Low",IF(cf_cl[[#This Row],[satisfaction_score]]=3,"Medium","High"))</f>
        <v>High</v>
      </c>
      <c r="J522">
        <f>YEAR(cf_cl[[#This Row],[date_submitted]])</f>
        <v>2021</v>
      </c>
      <c r="K522" s="3" t="str">
        <f>TEXT(cf_cl[[#This Row],[date_submitted]],"mmm")</f>
        <v>Oct</v>
      </c>
      <c r="L522" s="3" t="str">
        <f t="shared" si="24"/>
        <v>Q4</v>
      </c>
      <c r="M522" s="3" t="str">
        <f t="shared" si="25"/>
        <v>Friday</v>
      </c>
      <c r="N522" s="3" t="str">
        <f t="shared" si="26"/>
        <v>No</v>
      </c>
      <c r="O522" s="3" t="str">
        <f>IF(COUNTIF($B:$B,B522)=1,"New Customer",
IF(COUNTIF($B:$B,B522)&lt;=3,"Returning Customer","Loyal Customer"))</f>
        <v>New Customer</v>
      </c>
      <c r="P522" s="3" t="str">
        <f>IF(cf_cl[[#This Row],[referred_claim]]="Yes","Referred","Not Referred")</f>
        <v>Not Referred</v>
      </c>
    </row>
    <row r="523" spans="1:16" x14ac:dyDescent="0.3">
      <c r="A523" t="s">
        <v>1014</v>
      </c>
      <c r="B523" t="s">
        <v>1015</v>
      </c>
      <c r="C523" s="1">
        <v>44539</v>
      </c>
      <c r="D523" t="s">
        <v>83</v>
      </c>
      <c r="E523">
        <v>3</v>
      </c>
      <c r="F523" s="3" t="s">
        <v>13</v>
      </c>
      <c r="G523" s="3" t="s">
        <v>10</v>
      </c>
      <c r="H523" s="3" t="str">
        <f>IF(cf_cl[[#This Row],[satisfaction_score]]&gt;=4,"Happy",IF(cf_cl[[#This Row],[satisfaction_score]]=3,"Neutral","Negative"))</f>
        <v>Neutral</v>
      </c>
      <c r="I523" s="3" t="str">
        <f>IF(cf_cl[[#This Row],[satisfaction_score]]&lt;=2,"Low",IF(cf_cl[[#This Row],[satisfaction_score]]=3,"Medium","High"))</f>
        <v>Medium</v>
      </c>
      <c r="J523">
        <f>YEAR(cf_cl[[#This Row],[date_submitted]])</f>
        <v>2021</v>
      </c>
      <c r="K523" s="3" t="str">
        <f>TEXT(cf_cl[[#This Row],[date_submitted]],"mmm")</f>
        <v>Dec</v>
      </c>
      <c r="L523" s="3" t="str">
        <f t="shared" si="24"/>
        <v>Q4</v>
      </c>
      <c r="M523" s="3" t="str">
        <f t="shared" si="25"/>
        <v>Thursday</v>
      </c>
      <c r="N523" s="3" t="str">
        <f t="shared" si="26"/>
        <v>No</v>
      </c>
      <c r="O523" s="3" t="str">
        <f>IF(COUNTIF($B:$B,B523)=1,"New Customer",
IF(COUNTIF($B:$B,B523)&lt;=3,"Returning Customer","Loyal Customer"))</f>
        <v>New Customer</v>
      </c>
      <c r="P523" s="3" t="str">
        <f>IF(cf_cl[[#This Row],[referred_claim]]="Yes","Referred","Not Referred")</f>
        <v>Referred</v>
      </c>
    </row>
    <row r="524" spans="1:16" x14ac:dyDescent="0.3">
      <c r="A524" t="s">
        <v>1016</v>
      </c>
      <c r="B524" t="s">
        <v>1017</v>
      </c>
      <c r="C524" s="1">
        <v>45226</v>
      </c>
      <c r="D524" t="s">
        <v>9</v>
      </c>
      <c r="E524">
        <v>3</v>
      </c>
      <c r="F524" s="3" t="s">
        <v>13</v>
      </c>
      <c r="G524" s="3" t="s">
        <v>13</v>
      </c>
      <c r="H524" s="3" t="str">
        <f>IF(cf_cl[[#This Row],[satisfaction_score]]&gt;=4,"Happy",IF(cf_cl[[#This Row],[satisfaction_score]]=3,"Neutral","Negative"))</f>
        <v>Neutral</v>
      </c>
      <c r="I524" s="3" t="str">
        <f>IF(cf_cl[[#This Row],[satisfaction_score]]&lt;=2,"Low",IF(cf_cl[[#This Row],[satisfaction_score]]=3,"Medium","High"))</f>
        <v>Medium</v>
      </c>
      <c r="J524">
        <f>YEAR(cf_cl[[#This Row],[date_submitted]])</f>
        <v>2023</v>
      </c>
      <c r="K524" s="3" t="str">
        <f>TEXT(cf_cl[[#This Row],[date_submitted]],"mmm")</f>
        <v>Oct</v>
      </c>
      <c r="L524" s="3" t="str">
        <f t="shared" si="24"/>
        <v>Q4</v>
      </c>
      <c r="M524" s="3" t="str">
        <f t="shared" si="25"/>
        <v>Friday</v>
      </c>
      <c r="N524" s="3" t="str">
        <f t="shared" si="26"/>
        <v>No</v>
      </c>
      <c r="O524" s="3" t="str">
        <f>IF(COUNTIF($B:$B,B524)=1,"New Customer",
IF(COUNTIF($B:$B,B524)&lt;=3,"Returning Customer","Loyal Customer"))</f>
        <v>Returning Customer</v>
      </c>
      <c r="P524" s="3" t="str">
        <f>IF(cf_cl[[#This Row],[referred_claim]]="Yes","Referred","Not Referred")</f>
        <v>Not Referred</v>
      </c>
    </row>
    <row r="525" spans="1:16" x14ac:dyDescent="0.3">
      <c r="A525" t="s">
        <v>1018</v>
      </c>
      <c r="B525" t="s">
        <v>47</v>
      </c>
      <c r="C525" s="1">
        <v>44708</v>
      </c>
      <c r="D525" t="s">
        <v>28</v>
      </c>
      <c r="E525">
        <v>5</v>
      </c>
      <c r="F525" s="3" t="s">
        <v>13</v>
      </c>
      <c r="G525" s="3" t="s">
        <v>10</v>
      </c>
      <c r="H525" s="3" t="str">
        <f>IF(cf_cl[[#This Row],[satisfaction_score]]&gt;=4,"Happy",IF(cf_cl[[#This Row],[satisfaction_score]]=3,"Neutral","Negative"))</f>
        <v>Happy</v>
      </c>
      <c r="I525" s="3" t="str">
        <f>IF(cf_cl[[#This Row],[satisfaction_score]]&lt;=2,"Low",IF(cf_cl[[#This Row],[satisfaction_score]]=3,"Medium","High"))</f>
        <v>High</v>
      </c>
      <c r="J525">
        <f>YEAR(cf_cl[[#This Row],[date_submitted]])</f>
        <v>2022</v>
      </c>
      <c r="K525" s="3" t="str">
        <f>TEXT(cf_cl[[#This Row],[date_submitted]],"mmm")</f>
        <v>May</v>
      </c>
      <c r="L525" s="3" t="str">
        <f t="shared" si="24"/>
        <v>Q2</v>
      </c>
      <c r="M525" s="3" t="str">
        <f t="shared" si="25"/>
        <v>Friday</v>
      </c>
      <c r="N525" s="3" t="str">
        <f t="shared" si="26"/>
        <v>No</v>
      </c>
      <c r="O525" s="3" t="str">
        <f>IF(COUNTIF($B:$B,B525)=1,"New Customer",
IF(COUNTIF($B:$B,B525)&lt;=3,"Returning Customer","Loyal Customer"))</f>
        <v>Returning Customer</v>
      </c>
      <c r="P525" s="3" t="str">
        <f>IF(cf_cl[[#This Row],[referred_claim]]="Yes","Referred","Not Referred")</f>
        <v>Referred</v>
      </c>
    </row>
    <row r="526" spans="1:16" x14ac:dyDescent="0.3">
      <c r="A526" t="s">
        <v>1019</v>
      </c>
      <c r="B526" t="s">
        <v>1020</v>
      </c>
      <c r="C526" s="1">
        <v>43942</v>
      </c>
      <c r="D526" t="s">
        <v>19</v>
      </c>
      <c r="E526">
        <v>2</v>
      </c>
      <c r="F526" s="3" t="s">
        <v>10</v>
      </c>
      <c r="G526" s="3" t="s">
        <v>13</v>
      </c>
      <c r="H526" s="3" t="str">
        <f>IF(cf_cl[[#This Row],[satisfaction_score]]&gt;=4,"Happy",IF(cf_cl[[#This Row],[satisfaction_score]]=3,"Neutral","Negative"))</f>
        <v>Negative</v>
      </c>
      <c r="I526" s="3" t="str">
        <f>IF(cf_cl[[#This Row],[satisfaction_score]]&lt;=2,"Low",IF(cf_cl[[#This Row],[satisfaction_score]]=3,"Medium","High"))</f>
        <v>Low</v>
      </c>
      <c r="J526">
        <f>YEAR(cf_cl[[#This Row],[date_submitted]])</f>
        <v>2020</v>
      </c>
      <c r="K526" s="3" t="str">
        <f>TEXT(cf_cl[[#This Row],[date_submitted]],"mmm")</f>
        <v>Apr</v>
      </c>
      <c r="L526" s="3" t="str">
        <f t="shared" si="24"/>
        <v>Q2</v>
      </c>
      <c r="M526" s="3" t="str">
        <f t="shared" si="25"/>
        <v>Tuesday</v>
      </c>
      <c r="N526" s="3" t="str">
        <f t="shared" si="26"/>
        <v>Yes</v>
      </c>
      <c r="O526" s="3" t="str">
        <f>IF(COUNTIF($B:$B,B526)=1,"New Customer",
IF(COUNTIF($B:$B,B526)&lt;=3,"Returning Customer","Loyal Customer"))</f>
        <v>New Customer</v>
      </c>
      <c r="P526" s="3" t="str">
        <f>IF(cf_cl[[#This Row],[referred_claim]]="Yes","Referred","Not Referred")</f>
        <v>Not Referred</v>
      </c>
    </row>
    <row r="527" spans="1:16" x14ac:dyDescent="0.3">
      <c r="A527" t="s">
        <v>1021</v>
      </c>
      <c r="B527" t="s">
        <v>1022</v>
      </c>
      <c r="C527" s="1">
        <v>43860</v>
      </c>
      <c r="D527" t="s">
        <v>9</v>
      </c>
      <c r="E527">
        <v>2</v>
      </c>
      <c r="F527" s="3" t="s">
        <v>10</v>
      </c>
      <c r="G527" s="3" t="s">
        <v>13</v>
      </c>
      <c r="H527" s="3" t="str">
        <f>IF(cf_cl[[#This Row],[satisfaction_score]]&gt;=4,"Happy",IF(cf_cl[[#This Row],[satisfaction_score]]=3,"Neutral","Negative"))</f>
        <v>Negative</v>
      </c>
      <c r="I527" s="3" t="str">
        <f>IF(cf_cl[[#This Row],[satisfaction_score]]&lt;=2,"Low",IF(cf_cl[[#This Row],[satisfaction_score]]=3,"Medium","High"))</f>
        <v>Low</v>
      </c>
      <c r="J527">
        <f>YEAR(cf_cl[[#This Row],[date_submitted]])</f>
        <v>2020</v>
      </c>
      <c r="K527" s="3" t="str">
        <f>TEXT(cf_cl[[#This Row],[date_submitted]],"mmm")</f>
        <v>Jan</v>
      </c>
      <c r="L527" s="3" t="str">
        <f t="shared" si="24"/>
        <v>Q1</v>
      </c>
      <c r="M527" s="3" t="str">
        <f t="shared" si="25"/>
        <v>Thursday</v>
      </c>
      <c r="N527" s="3" t="str">
        <f t="shared" si="26"/>
        <v>Yes</v>
      </c>
      <c r="O527" s="3" t="str">
        <f>IF(COUNTIF($B:$B,B527)=1,"New Customer",
IF(COUNTIF($B:$B,B527)&lt;=3,"Returning Customer","Loyal Customer"))</f>
        <v>Returning Customer</v>
      </c>
      <c r="P527" s="3" t="str">
        <f>IF(cf_cl[[#This Row],[referred_claim]]="Yes","Referred","Not Referred")</f>
        <v>Not Referred</v>
      </c>
    </row>
    <row r="528" spans="1:16" x14ac:dyDescent="0.3">
      <c r="A528" t="s">
        <v>1023</v>
      </c>
      <c r="B528" t="s">
        <v>1024</v>
      </c>
      <c r="C528" s="1">
        <v>44716</v>
      </c>
      <c r="D528" t="s">
        <v>83</v>
      </c>
      <c r="E528">
        <v>2</v>
      </c>
      <c r="F528" s="3" t="s">
        <v>13</v>
      </c>
      <c r="G528" s="3" t="s">
        <v>10</v>
      </c>
      <c r="H528" s="3" t="str">
        <f>IF(cf_cl[[#This Row],[satisfaction_score]]&gt;=4,"Happy",IF(cf_cl[[#This Row],[satisfaction_score]]=3,"Neutral","Negative"))</f>
        <v>Negative</v>
      </c>
      <c r="I528" s="3" t="str">
        <f>IF(cf_cl[[#This Row],[satisfaction_score]]&lt;=2,"Low",IF(cf_cl[[#This Row],[satisfaction_score]]=3,"Medium","High"))</f>
        <v>Low</v>
      </c>
      <c r="J528">
        <f>YEAR(cf_cl[[#This Row],[date_submitted]])</f>
        <v>2022</v>
      </c>
      <c r="K528" s="3" t="str">
        <f>TEXT(cf_cl[[#This Row],[date_submitted]],"mmm")</f>
        <v>Jun</v>
      </c>
      <c r="L528" s="3" t="str">
        <f t="shared" si="24"/>
        <v>Q2</v>
      </c>
      <c r="M528" s="3" t="str">
        <f t="shared" si="25"/>
        <v>Saturday</v>
      </c>
      <c r="N528" s="3" t="str">
        <f t="shared" si="26"/>
        <v>Yes</v>
      </c>
      <c r="O528" s="3" t="str">
        <f>IF(COUNTIF($B:$B,B528)=1,"New Customer",
IF(COUNTIF($B:$B,B528)&lt;=3,"Returning Customer","Loyal Customer"))</f>
        <v>New Customer</v>
      </c>
      <c r="P528" s="3" t="str">
        <f>IF(cf_cl[[#This Row],[referred_claim]]="Yes","Referred","Not Referred")</f>
        <v>Referred</v>
      </c>
    </row>
    <row r="529" spans="1:16" x14ac:dyDescent="0.3">
      <c r="A529" t="s">
        <v>1025</v>
      </c>
      <c r="B529" t="s">
        <v>499</v>
      </c>
      <c r="C529" s="1">
        <v>44530</v>
      </c>
      <c r="D529" t="s">
        <v>37</v>
      </c>
      <c r="E529">
        <v>5</v>
      </c>
      <c r="F529" s="3" t="s">
        <v>10</v>
      </c>
      <c r="G529" s="3" t="s">
        <v>10</v>
      </c>
      <c r="H529" s="3" t="str">
        <f>IF(cf_cl[[#This Row],[satisfaction_score]]&gt;=4,"Happy",IF(cf_cl[[#This Row],[satisfaction_score]]=3,"Neutral","Negative"))</f>
        <v>Happy</v>
      </c>
      <c r="I529" s="3" t="str">
        <f>IF(cf_cl[[#This Row],[satisfaction_score]]&lt;=2,"Low",IF(cf_cl[[#This Row],[satisfaction_score]]=3,"Medium","High"))</f>
        <v>High</v>
      </c>
      <c r="J529">
        <f>YEAR(cf_cl[[#This Row],[date_submitted]])</f>
        <v>2021</v>
      </c>
      <c r="K529" s="3" t="str">
        <f>TEXT(cf_cl[[#This Row],[date_submitted]],"mmm")</f>
        <v>Nov</v>
      </c>
      <c r="L529" s="3" t="str">
        <f t="shared" si="24"/>
        <v>Q4</v>
      </c>
      <c r="M529" s="3" t="str">
        <f t="shared" si="25"/>
        <v>Tuesday</v>
      </c>
      <c r="N529" s="3" t="str">
        <f t="shared" si="26"/>
        <v>No</v>
      </c>
      <c r="O529" s="3" t="str">
        <f>IF(COUNTIF($B:$B,B529)=1,"New Customer",
IF(COUNTIF($B:$B,B529)&lt;=3,"Returning Customer","Loyal Customer"))</f>
        <v>Returning Customer</v>
      </c>
      <c r="P529" s="3" t="str">
        <f>IF(cf_cl[[#This Row],[referred_claim]]="Yes","Referred","Not Referred")</f>
        <v>Referred</v>
      </c>
    </row>
    <row r="530" spans="1:16" x14ac:dyDescent="0.3">
      <c r="A530" t="s">
        <v>1026</v>
      </c>
      <c r="B530" t="s">
        <v>1027</v>
      </c>
      <c r="C530" s="1">
        <v>44754</v>
      </c>
      <c r="D530" t="s">
        <v>31</v>
      </c>
      <c r="E530">
        <v>3</v>
      </c>
      <c r="F530" s="3" t="s">
        <v>10</v>
      </c>
      <c r="G530" s="3" t="s">
        <v>13</v>
      </c>
      <c r="H530" s="3" t="str">
        <f>IF(cf_cl[[#This Row],[satisfaction_score]]&gt;=4,"Happy",IF(cf_cl[[#This Row],[satisfaction_score]]=3,"Neutral","Negative"))</f>
        <v>Neutral</v>
      </c>
      <c r="I530" s="3" t="str">
        <f>IF(cf_cl[[#This Row],[satisfaction_score]]&lt;=2,"Low",IF(cf_cl[[#This Row],[satisfaction_score]]=3,"Medium","High"))</f>
        <v>Medium</v>
      </c>
      <c r="J530">
        <f>YEAR(cf_cl[[#This Row],[date_submitted]])</f>
        <v>2022</v>
      </c>
      <c r="K530" s="3" t="str">
        <f>TEXT(cf_cl[[#This Row],[date_submitted]],"mmm")</f>
        <v>Jul</v>
      </c>
      <c r="L530" s="3" t="str">
        <f t="shared" si="24"/>
        <v>Q3</v>
      </c>
      <c r="M530" s="3" t="str">
        <f t="shared" si="25"/>
        <v>Tuesday</v>
      </c>
      <c r="N530" s="3" t="str">
        <f t="shared" si="26"/>
        <v>No</v>
      </c>
      <c r="O530" s="3" t="str">
        <f>IF(COUNTIF($B:$B,B530)=1,"New Customer",
IF(COUNTIF($B:$B,B530)&lt;=3,"Returning Customer","Loyal Customer"))</f>
        <v>New Customer</v>
      </c>
      <c r="P530" s="3" t="str">
        <f>IF(cf_cl[[#This Row],[referred_claim]]="Yes","Referred","Not Referred")</f>
        <v>Not Referred</v>
      </c>
    </row>
    <row r="531" spans="1:16" x14ac:dyDescent="0.3">
      <c r="A531" t="s">
        <v>1028</v>
      </c>
      <c r="B531" t="s">
        <v>1029</v>
      </c>
      <c r="C531" s="1">
        <v>44544</v>
      </c>
      <c r="D531" t="s">
        <v>16</v>
      </c>
      <c r="E531">
        <v>5</v>
      </c>
      <c r="F531" s="3" t="s">
        <v>13</v>
      </c>
      <c r="G531" s="3" t="s">
        <v>10</v>
      </c>
      <c r="H531" s="3" t="str">
        <f>IF(cf_cl[[#This Row],[satisfaction_score]]&gt;=4,"Happy",IF(cf_cl[[#This Row],[satisfaction_score]]=3,"Neutral","Negative"))</f>
        <v>Happy</v>
      </c>
      <c r="I531" s="3" t="str">
        <f>IF(cf_cl[[#This Row],[satisfaction_score]]&lt;=2,"Low",IF(cf_cl[[#This Row],[satisfaction_score]]=3,"Medium","High"))</f>
        <v>High</v>
      </c>
      <c r="J531">
        <f>YEAR(cf_cl[[#This Row],[date_submitted]])</f>
        <v>2021</v>
      </c>
      <c r="K531" s="3" t="str">
        <f>TEXT(cf_cl[[#This Row],[date_submitted]],"mmm")</f>
        <v>Dec</v>
      </c>
      <c r="L531" s="3" t="str">
        <f t="shared" si="24"/>
        <v>Q4</v>
      </c>
      <c r="M531" s="3" t="str">
        <f t="shared" si="25"/>
        <v>Tuesday</v>
      </c>
      <c r="N531" s="3" t="str">
        <f t="shared" si="26"/>
        <v>No</v>
      </c>
      <c r="O531" s="3" t="str">
        <f>IF(COUNTIF($B:$B,B531)=1,"New Customer",
IF(COUNTIF($B:$B,B531)&lt;=3,"Returning Customer","Loyal Customer"))</f>
        <v>New Customer</v>
      </c>
      <c r="P531" s="3" t="str">
        <f>IF(cf_cl[[#This Row],[referred_claim]]="Yes","Referred","Not Referred")</f>
        <v>Referred</v>
      </c>
    </row>
    <row r="532" spans="1:16" x14ac:dyDescent="0.3">
      <c r="A532" t="s">
        <v>1030</v>
      </c>
      <c r="B532" t="s">
        <v>1031</v>
      </c>
      <c r="C532" s="1">
        <v>44583</v>
      </c>
      <c r="D532" t="s">
        <v>37</v>
      </c>
      <c r="E532">
        <v>3</v>
      </c>
      <c r="F532" s="3" t="s">
        <v>13</v>
      </c>
      <c r="G532" s="3" t="s">
        <v>13</v>
      </c>
      <c r="H532" s="3" t="str">
        <f>IF(cf_cl[[#This Row],[satisfaction_score]]&gt;=4,"Happy",IF(cf_cl[[#This Row],[satisfaction_score]]=3,"Neutral","Negative"))</f>
        <v>Neutral</v>
      </c>
      <c r="I532" s="3" t="str">
        <f>IF(cf_cl[[#This Row],[satisfaction_score]]&lt;=2,"Low",IF(cf_cl[[#This Row],[satisfaction_score]]=3,"Medium","High"))</f>
        <v>Medium</v>
      </c>
      <c r="J532">
        <f>YEAR(cf_cl[[#This Row],[date_submitted]])</f>
        <v>2022</v>
      </c>
      <c r="K532" s="3" t="str">
        <f>TEXT(cf_cl[[#This Row],[date_submitted]],"mmm")</f>
        <v>Jan</v>
      </c>
      <c r="L532" s="3" t="str">
        <f t="shared" si="24"/>
        <v>Q1</v>
      </c>
      <c r="M532" s="3" t="str">
        <f t="shared" si="25"/>
        <v>Saturday</v>
      </c>
      <c r="N532" s="3" t="str">
        <f t="shared" si="26"/>
        <v>No</v>
      </c>
      <c r="O532" s="3" t="str">
        <f>IF(COUNTIF($B:$B,B532)=1,"New Customer",
IF(COUNTIF($B:$B,B532)&lt;=3,"Returning Customer","Loyal Customer"))</f>
        <v>New Customer</v>
      </c>
      <c r="P532" s="3" t="str">
        <f>IF(cf_cl[[#This Row],[referred_claim]]="Yes","Referred","Not Referred")</f>
        <v>Not Referred</v>
      </c>
    </row>
    <row r="533" spans="1:16" x14ac:dyDescent="0.3">
      <c r="A533" t="s">
        <v>1032</v>
      </c>
      <c r="B533" t="s">
        <v>1033</v>
      </c>
      <c r="C533" s="1">
        <v>43927</v>
      </c>
      <c r="D533" t="s">
        <v>68</v>
      </c>
      <c r="E533">
        <v>1</v>
      </c>
      <c r="F533" s="3" t="s">
        <v>13</v>
      </c>
      <c r="G533" s="3" t="s">
        <v>10</v>
      </c>
      <c r="H533" s="3" t="str">
        <f>IF(cf_cl[[#This Row],[satisfaction_score]]&gt;=4,"Happy",IF(cf_cl[[#This Row],[satisfaction_score]]=3,"Neutral","Negative"))</f>
        <v>Negative</v>
      </c>
      <c r="I533" s="3" t="str">
        <f>IF(cf_cl[[#This Row],[satisfaction_score]]&lt;=2,"Low",IF(cf_cl[[#This Row],[satisfaction_score]]=3,"Medium","High"))</f>
        <v>Low</v>
      </c>
      <c r="J533">
        <f>YEAR(cf_cl[[#This Row],[date_submitted]])</f>
        <v>2020</v>
      </c>
      <c r="K533" s="3" t="str">
        <f>TEXT(cf_cl[[#This Row],[date_submitted]],"mmm")</f>
        <v>Apr</v>
      </c>
      <c r="L533" s="3" t="str">
        <f t="shared" si="24"/>
        <v>Q2</v>
      </c>
      <c r="M533" s="3" t="str">
        <f t="shared" si="25"/>
        <v>Monday</v>
      </c>
      <c r="N533" s="3" t="str">
        <f t="shared" si="26"/>
        <v>Yes</v>
      </c>
      <c r="O533" s="3" t="str">
        <f>IF(COUNTIF($B:$B,B533)=1,"New Customer",
IF(COUNTIF($B:$B,B533)&lt;=3,"Returning Customer","Loyal Customer"))</f>
        <v>New Customer</v>
      </c>
      <c r="P533" s="3" t="str">
        <f>IF(cf_cl[[#This Row],[referred_claim]]="Yes","Referred","Not Referred")</f>
        <v>Referred</v>
      </c>
    </row>
    <row r="534" spans="1:16" x14ac:dyDescent="0.3">
      <c r="A534" t="s">
        <v>1034</v>
      </c>
      <c r="B534" t="s">
        <v>1035</v>
      </c>
      <c r="C534" s="1">
        <v>44544</v>
      </c>
      <c r="D534" t="s">
        <v>37</v>
      </c>
      <c r="E534">
        <v>3</v>
      </c>
      <c r="F534" s="3" t="s">
        <v>13</v>
      </c>
      <c r="G534" s="3" t="s">
        <v>13</v>
      </c>
      <c r="H534" s="3" t="str">
        <f>IF(cf_cl[[#This Row],[satisfaction_score]]&gt;=4,"Happy",IF(cf_cl[[#This Row],[satisfaction_score]]=3,"Neutral","Negative"))</f>
        <v>Neutral</v>
      </c>
      <c r="I534" s="3" t="str">
        <f>IF(cf_cl[[#This Row],[satisfaction_score]]&lt;=2,"Low",IF(cf_cl[[#This Row],[satisfaction_score]]=3,"Medium","High"))</f>
        <v>Medium</v>
      </c>
      <c r="J534">
        <f>YEAR(cf_cl[[#This Row],[date_submitted]])</f>
        <v>2021</v>
      </c>
      <c r="K534" s="3" t="str">
        <f>TEXT(cf_cl[[#This Row],[date_submitted]],"mmm")</f>
        <v>Dec</v>
      </c>
      <c r="L534" s="3" t="str">
        <f t="shared" si="24"/>
        <v>Q4</v>
      </c>
      <c r="M534" s="3" t="str">
        <f t="shared" si="25"/>
        <v>Tuesday</v>
      </c>
      <c r="N534" s="3" t="str">
        <f t="shared" si="26"/>
        <v>No</v>
      </c>
      <c r="O534" s="3" t="str">
        <f>IF(COUNTIF($B:$B,B534)=1,"New Customer",
IF(COUNTIF($B:$B,B534)&lt;=3,"Returning Customer","Loyal Customer"))</f>
        <v>New Customer</v>
      </c>
      <c r="P534" s="3" t="str">
        <f>IF(cf_cl[[#This Row],[referred_claim]]="Yes","Referred","Not Referred")</f>
        <v>Not Referred</v>
      </c>
    </row>
    <row r="535" spans="1:16" x14ac:dyDescent="0.3">
      <c r="A535" t="s">
        <v>1036</v>
      </c>
      <c r="B535" t="s">
        <v>1037</v>
      </c>
      <c r="C535" s="1">
        <v>44877</v>
      </c>
      <c r="D535" t="s">
        <v>19</v>
      </c>
      <c r="E535">
        <v>3</v>
      </c>
      <c r="F535" s="3" t="s">
        <v>10</v>
      </c>
      <c r="G535" s="3" t="s">
        <v>10</v>
      </c>
      <c r="H535" s="3" t="str">
        <f>IF(cf_cl[[#This Row],[satisfaction_score]]&gt;=4,"Happy",IF(cf_cl[[#This Row],[satisfaction_score]]=3,"Neutral","Negative"))</f>
        <v>Neutral</v>
      </c>
      <c r="I535" s="3" t="str">
        <f>IF(cf_cl[[#This Row],[satisfaction_score]]&lt;=2,"Low",IF(cf_cl[[#This Row],[satisfaction_score]]=3,"Medium","High"))</f>
        <v>Medium</v>
      </c>
      <c r="J535">
        <f>YEAR(cf_cl[[#This Row],[date_submitted]])</f>
        <v>2022</v>
      </c>
      <c r="K535" s="3" t="str">
        <f>TEXT(cf_cl[[#This Row],[date_submitted]],"mmm")</f>
        <v>Nov</v>
      </c>
      <c r="L535" s="3" t="str">
        <f t="shared" si="24"/>
        <v>Q4</v>
      </c>
      <c r="M535" s="3" t="str">
        <f t="shared" si="25"/>
        <v>Saturday</v>
      </c>
      <c r="N535" s="3" t="str">
        <f t="shared" si="26"/>
        <v>No</v>
      </c>
      <c r="O535" s="3" t="str">
        <f>IF(COUNTIF($B:$B,B535)=1,"New Customer",
IF(COUNTIF($B:$B,B535)&lt;=3,"Returning Customer","Loyal Customer"))</f>
        <v>Returning Customer</v>
      </c>
      <c r="P535" s="3" t="str">
        <f>IF(cf_cl[[#This Row],[referred_claim]]="Yes","Referred","Not Referred")</f>
        <v>Referred</v>
      </c>
    </row>
    <row r="536" spans="1:16" x14ac:dyDescent="0.3">
      <c r="A536" t="s">
        <v>1038</v>
      </c>
      <c r="B536" t="s">
        <v>778</v>
      </c>
      <c r="C536" s="1">
        <v>43932</v>
      </c>
      <c r="D536" t="s">
        <v>22</v>
      </c>
      <c r="E536">
        <v>5</v>
      </c>
      <c r="F536" s="3" t="s">
        <v>10</v>
      </c>
      <c r="G536" s="3" t="s">
        <v>13</v>
      </c>
      <c r="H536" s="3" t="str">
        <f>IF(cf_cl[[#This Row],[satisfaction_score]]&gt;=4,"Happy",IF(cf_cl[[#This Row],[satisfaction_score]]=3,"Neutral","Negative"))</f>
        <v>Happy</v>
      </c>
      <c r="I536" s="3" t="str">
        <f>IF(cf_cl[[#This Row],[satisfaction_score]]&lt;=2,"Low",IF(cf_cl[[#This Row],[satisfaction_score]]=3,"Medium","High"))</f>
        <v>High</v>
      </c>
      <c r="J536">
        <f>YEAR(cf_cl[[#This Row],[date_submitted]])</f>
        <v>2020</v>
      </c>
      <c r="K536" s="3" t="str">
        <f>TEXT(cf_cl[[#This Row],[date_submitted]],"mmm")</f>
        <v>Apr</v>
      </c>
      <c r="L536" s="3" t="str">
        <f t="shared" si="24"/>
        <v>Q2</v>
      </c>
      <c r="M536" s="3" t="str">
        <f t="shared" si="25"/>
        <v>Saturday</v>
      </c>
      <c r="N536" s="3" t="str">
        <f t="shared" si="26"/>
        <v>No</v>
      </c>
      <c r="O536" s="3" t="str">
        <f>IF(COUNTIF($B:$B,B536)=1,"New Customer",
IF(COUNTIF($B:$B,B536)&lt;=3,"Returning Customer","Loyal Customer"))</f>
        <v>Returning Customer</v>
      </c>
      <c r="P536" s="3" t="str">
        <f>IF(cf_cl[[#This Row],[referred_claim]]="Yes","Referred","Not Referred")</f>
        <v>Not Referred</v>
      </c>
    </row>
    <row r="537" spans="1:16" x14ac:dyDescent="0.3">
      <c r="A537" t="s">
        <v>1039</v>
      </c>
      <c r="B537" t="s">
        <v>1040</v>
      </c>
      <c r="C537" s="1">
        <v>44281</v>
      </c>
      <c r="D537" t="s">
        <v>31</v>
      </c>
      <c r="E537">
        <v>3</v>
      </c>
      <c r="F537" s="3" t="s">
        <v>10</v>
      </c>
      <c r="G537" s="3" t="s">
        <v>13</v>
      </c>
      <c r="H537" s="3" t="str">
        <f>IF(cf_cl[[#This Row],[satisfaction_score]]&gt;=4,"Happy",IF(cf_cl[[#This Row],[satisfaction_score]]=3,"Neutral","Negative"))</f>
        <v>Neutral</v>
      </c>
      <c r="I537" s="3" t="str">
        <f>IF(cf_cl[[#This Row],[satisfaction_score]]&lt;=2,"Low",IF(cf_cl[[#This Row],[satisfaction_score]]=3,"Medium","High"))</f>
        <v>Medium</v>
      </c>
      <c r="J537">
        <f>YEAR(cf_cl[[#This Row],[date_submitted]])</f>
        <v>2021</v>
      </c>
      <c r="K537" s="3" t="str">
        <f>TEXT(cf_cl[[#This Row],[date_submitted]],"mmm")</f>
        <v>Mar</v>
      </c>
      <c r="L537" s="3" t="str">
        <f t="shared" si="24"/>
        <v>Q1</v>
      </c>
      <c r="M537" s="3" t="str">
        <f t="shared" si="25"/>
        <v>Friday</v>
      </c>
      <c r="N537" s="3" t="str">
        <f t="shared" si="26"/>
        <v>No</v>
      </c>
      <c r="O537" s="3" t="str">
        <f>IF(COUNTIF($B:$B,B537)=1,"New Customer",
IF(COUNTIF($B:$B,B537)&lt;=3,"Returning Customer","Loyal Customer"))</f>
        <v>New Customer</v>
      </c>
      <c r="P537" s="3" t="str">
        <f>IF(cf_cl[[#This Row],[referred_claim]]="Yes","Referred","Not Referred")</f>
        <v>Not Referred</v>
      </c>
    </row>
    <row r="538" spans="1:16" x14ac:dyDescent="0.3">
      <c r="A538" t="s">
        <v>1041</v>
      </c>
      <c r="B538" t="s">
        <v>1042</v>
      </c>
      <c r="C538" s="1">
        <v>44698</v>
      </c>
      <c r="D538" t="s">
        <v>28</v>
      </c>
      <c r="E538">
        <v>5</v>
      </c>
      <c r="F538" s="3" t="s">
        <v>10</v>
      </c>
      <c r="G538" s="3" t="s">
        <v>10</v>
      </c>
      <c r="H538" s="3" t="str">
        <f>IF(cf_cl[[#This Row],[satisfaction_score]]&gt;=4,"Happy",IF(cf_cl[[#This Row],[satisfaction_score]]=3,"Neutral","Negative"))</f>
        <v>Happy</v>
      </c>
      <c r="I538" s="3" t="str">
        <f>IF(cf_cl[[#This Row],[satisfaction_score]]&lt;=2,"Low",IF(cf_cl[[#This Row],[satisfaction_score]]=3,"Medium","High"))</f>
        <v>High</v>
      </c>
      <c r="J538">
        <f>YEAR(cf_cl[[#This Row],[date_submitted]])</f>
        <v>2022</v>
      </c>
      <c r="K538" s="3" t="str">
        <f>TEXT(cf_cl[[#This Row],[date_submitted]],"mmm")</f>
        <v>May</v>
      </c>
      <c r="L538" s="3" t="str">
        <f t="shared" si="24"/>
        <v>Q2</v>
      </c>
      <c r="M538" s="3" t="str">
        <f t="shared" si="25"/>
        <v>Tuesday</v>
      </c>
      <c r="N538" s="3" t="str">
        <f t="shared" si="26"/>
        <v>No</v>
      </c>
      <c r="O538" s="3" t="str">
        <f>IF(COUNTIF($B:$B,B538)=1,"New Customer",
IF(COUNTIF($B:$B,B538)&lt;=3,"Returning Customer","Loyal Customer"))</f>
        <v>New Customer</v>
      </c>
      <c r="P538" s="3" t="str">
        <f>IF(cf_cl[[#This Row],[referred_claim]]="Yes","Referred","Not Referred")</f>
        <v>Referred</v>
      </c>
    </row>
    <row r="539" spans="1:16" x14ac:dyDescent="0.3">
      <c r="A539" t="s">
        <v>1043</v>
      </c>
      <c r="B539" t="s">
        <v>637</v>
      </c>
      <c r="C539" s="1">
        <v>44812</v>
      </c>
      <c r="D539" t="s">
        <v>16</v>
      </c>
      <c r="E539">
        <v>4</v>
      </c>
      <c r="F539" s="3" t="s">
        <v>10</v>
      </c>
      <c r="G539" s="3" t="s">
        <v>10</v>
      </c>
      <c r="H539" s="3" t="str">
        <f>IF(cf_cl[[#This Row],[satisfaction_score]]&gt;=4,"Happy",IF(cf_cl[[#This Row],[satisfaction_score]]=3,"Neutral","Negative"))</f>
        <v>Happy</v>
      </c>
      <c r="I539" s="3" t="str">
        <f>IF(cf_cl[[#This Row],[satisfaction_score]]&lt;=2,"Low",IF(cf_cl[[#This Row],[satisfaction_score]]=3,"Medium","High"))</f>
        <v>High</v>
      </c>
      <c r="J539">
        <f>YEAR(cf_cl[[#This Row],[date_submitted]])</f>
        <v>2022</v>
      </c>
      <c r="K539" s="3" t="str">
        <f>TEXT(cf_cl[[#This Row],[date_submitted]],"mmm")</f>
        <v>Sep</v>
      </c>
      <c r="L539" s="3" t="str">
        <f t="shared" si="24"/>
        <v>Q3</v>
      </c>
      <c r="M539" s="3" t="str">
        <f t="shared" si="25"/>
        <v>Thursday</v>
      </c>
      <c r="N539" s="3" t="str">
        <f t="shared" si="26"/>
        <v>No</v>
      </c>
      <c r="O539" s="3" t="str">
        <f>IF(COUNTIF($B:$B,B539)=1,"New Customer",
IF(COUNTIF($B:$B,B539)&lt;=3,"Returning Customer","Loyal Customer"))</f>
        <v>Returning Customer</v>
      </c>
      <c r="P539" s="3" t="str">
        <f>IF(cf_cl[[#This Row],[referred_claim]]="Yes","Referred","Not Referred")</f>
        <v>Referred</v>
      </c>
    </row>
    <row r="540" spans="1:16" x14ac:dyDescent="0.3">
      <c r="A540" t="s">
        <v>1044</v>
      </c>
      <c r="B540" t="s">
        <v>1045</v>
      </c>
      <c r="C540" s="1">
        <v>44518</v>
      </c>
      <c r="D540" t="s">
        <v>19</v>
      </c>
      <c r="E540">
        <v>3</v>
      </c>
      <c r="F540" s="3" t="s">
        <v>13</v>
      </c>
      <c r="G540" s="3" t="s">
        <v>13</v>
      </c>
      <c r="H540" s="3" t="str">
        <f>IF(cf_cl[[#This Row],[satisfaction_score]]&gt;=4,"Happy",IF(cf_cl[[#This Row],[satisfaction_score]]=3,"Neutral","Negative"))</f>
        <v>Neutral</v>
      </c>
      <c r="I540" s="3" t="str">
        <f>IF(cf_cl[[#This Row],[satisfaction_score]]&lt;=2,"Low",IF(cf_cl[[#This Row],[satisfaction_score]]=3,"Medium","High"))</f>
        <v>Medium</v>
      </c>
      <c r="J540">
        <f>YEAR(cf_cl[[#This Row],[date_submitted]])</f>
        <v>2021</v>
      </c>
      <c r="K540" s="3" t="str">
        <f>TEXT(cf_cl[[#This Row],[date_submitted]],"mmm")</f>
        <v>Nov</v>
      </c>
      <c r="L540" s="3" t="str">
        <f t="shared" si="24"/>
        <v>Q4</v>
      </c>
      <c r="M540" s="3" t="str">
        <f t="shared" si="25"/>
        <v>Thursday</v>
      </c>
      <c r="N540" s="3" t="str">
        <f t="shared" si="26"/>
        <v>No</v>
      </c>
      <c r="O540" s="3" t="str">
        <f>IF(COUNTIF($B:$B,B540)=1,"New Customer",
IF(COUNTIF($B:$B,B540)&lt;=3,"Returning Customer","Loyal Customer"))</f>
        <v>New Customer</v>
      </c>
      <c r="P540" s="3" t="str">
        <f>IF(cf_cl[[#This Row],[referred_claim]]="Yes","Referred","Not Referred")</f>
        <v>Not Referred</v>
      </c>
    </row>
    <row r="541" spans="1:16" x14ac:dyDescent="0.3">
      <c r="A541" t="s">
        <v>1046</v>
      </c>
      <c r="B541" t="s">
        <v>1047</v>
      </c>
      <c r="C541" s="1">
        <v>44273</v>
      </c>
      <c r="D541" t="s">
        <v>9</v>
      </c>
      <c r="E541">
        <v>3</v>
      </c>
      <c r="F541" s="3" t="s">
        <v>10</v>
      </c>
      <c r="G541" s="3" t="s">
        <v>13</v>
      </c>
      <c r="H541" s="3" t="str">
        <f>IF(cf_cl[[#This Row],[satisfaction_score]]&gt;=4,"Happy",IF(cf_cl[[#This Row],[satisfaction_score]]=3,"Neutral","Negative"))</f>
        <v>Neutral</v>
      </c>
      <c r="I541" s="3" t="str">
        <f>IF(cf_cl[[#This Row],[satisfaction_score]]&lt;=2,"Low",IF(cf_cl[[#This Row],[satisfaction_score]]=3,"Medium","High"))</f>
        <v>Medium</v>
      </c>
      <c r="J541">
        <f>YEAR(cf_cl[[#This Row],[date_submitted]])</f>
        <v>2021</v>
      </c>
      <c r="K541" s="3" t="str">
        <f>TEXT(cf_cl[[#This Row],[date_submitted]],"mmm")</f>
        <v>Mar</v>
      </c>
      <c r="L541" s="3" t="str">
        <f t="shared" si="24"/>
        <v>Q1</v>
      </c>
      <c r="M541" s="3" t="str">
        <f t="shared" si="25"/>
        <v>Thursday</v>
      </c>
      <c r="N541" s="3" t="str">
        <f t="shared" si="26"/>
        <v>No</v>
      </c>
      <c r="O541" s="3" t="str">
        <f>IF(COUNTIF($B:$B,B541)=1,"New Customer",
IF(COUNTIF($B:$B,B541)&lt;=3,"Returning Customer","Loyal Customer"))</f>
        <v>Returning Customer</v>
      </c>
      <c r="P541" s="3" t="str">
        <f>IF(cf_cl[[#This Row],[referred_claim]]="Yes","Referred","Not Referred")</f>
        <v>Not Referred</v>
      </c>
    </row>
    <row r="542" spans="1:16" x14ac:dyDescent="0.3">
      <c r="A542" t="s">
        <v>1048</v>
      </c>
      <c r="B542" t="s">
        <v>1049</v>
      </c>
      <c r="C542" s="1">
        <v>44304</v>
      </c>
      <c r="D542" t="s">
        <v>9</v>
      </c>
      <c r="E542">
        <v>2</v>
      </c>
      <c r="F542" s="3" t="s">
        <v>13</v>
      </c>
      <c r="G542" s="3" t="s">
        <v>13</v>
      </c>
      <c r="H542" s="3" t="str">
        <f>IF(cf_cl[[#This Row],[satisfaction_score]]&gt;=4,"Happy",IF(cf_cl[[#This Row],[satisfaction_score]]=3,"Neutral","Negative"))</f>
        <v>Negative</v>
      </c>
      <c r="I542" s="3" t="str">
        <f>IF(cf_cl[[#This Row],[satisfaction_score]]&lt;=2,"Low",IF(cf_cl[[#This Row],[satisfaction_score]]=3,"Medium","High"))</f>
        <v>Low</v>
      </c>
      <c r="J542">
        <f>YEAR(cf_cl[[#This Row],[date_submitted]])</f>
        <v>2021</v>
      </c>
      <c r="K542" s="3" t="str">
        <f>TEXT(cf_cl[[#This Row],[date_submitted]],"mmm")</f>
        <v>Apr</v>
      </c>
      <c r="L542" s="3" t="str">
        <f t="shared" si="24"/>
        <v>Q2</v>
      </c>
      <c r="M542" s="3" t="str">
        <f t="shared" si="25"/>
        <v>Sunday</v>
      </c>
      <c r="N542" s="3" t="str">
        <f t="shared" si="26"/>
        <v>Yes</v>
      </c>
      <c r="O542" s="3" t="str">
        <f>IF(COUNTIF($B:$B,B542)=1,"New Customer",
IF(COUNTIF($B:$B,B542)&lt;=3,"Returning Customer","Loyal Customer"))</f>
        <v>Returning Customer</v>
      </c>
      <c r="P542" s="3" t="str">
        <f>IF(cf_cl[[#This Row],[referred_claim]]="Yes","Referred","Not Referred")</f>
        <v>Not Referred</v>
      </c>
    </row>
    <row r="543" spans="1:16" x14ac:dyDescent="0.3">
      <c r="A543" t="s">
        <v>1050</v>
      </c>
      <c r="B543" t="s">
        <v>1051</v>
      </c>
      <c r="C543" s="1">
        <v>44845</v>
      </c>
      <c r="D543" t="s">
        <v>22</v>
      </c>
      <c r="E543">
        <v>5</v>
      </c>
      <c r="F543" s="3" t="s">
        <v>10</v>
      </c>
      <c r="G543" s="3" t="s">
        <v>13</v>
      </c>
      <c r="H543" s="3" t="str">
        <f>IF(cf_cl[[#This Row],[satisfaction_score]]&gt;=4,"Happy",IF(cf_cl[[#This Row],[satisfaction_score]]=3,"Neutral","Negative"))</f>
        <v>Happy</v>
      </c>
      <c r="I543" s="3" t="str">
        <f>IF(cf_cl[[#This Row],[satisfaction_score]]&lt;=2,"Low",IF(cf_cl[[#This Row],[satisfaction_score]]=3,"Medium","High"))</f>
        <v>High</v>
      </c>
      <c r="J543">
        <f>YEAR(cf_cl[[#This Row],[date_submitted]])</f>
        <v>2022</v>
      </c>
      <c r="K543" s="3" t="str">
        <f>TEXT(cf_cl[[#This Row],[date_submitted]],"mmm")</f>
        <v>Oct</v>
      </c>
      <c r="L543" s="3" t="str">
        <f t="shared" si="24"/>
        <v>Q4</v>
      </c>
      <c r="M543" s="3" t="str">
        <f t="shared" si="25"/>
        <v>Tuesday</v>
      </c>
      <c r="N543" s="3" t="str">
        <f t="shared" si="26"/>
        <v>No</v>
      </c>
      <c r="O543" s="3" t="str">
        <f>IF(COUNTIF($B:$B,B543)=1,"New Customer",
IF(COUNTIF($B:$B,B543)&lt;=3,"Returning Customer","Loyal Customer"))</f>
        <v>New Customer</v>
      </c>
      <c r="P543" s="3" t="str">
        <f>IF(cf_cl[[#This Row],[referred_claim]]="Yes","Referred","Not Referred")</f>
        <v>Not Referred</v>
      </c>
    </row>
    <row r="544" spans="1:16" x14ac:dyDescent="0.3">
      <c r="A544" t="s">
        <v>1052</v>
      </c>
      <c r="B544" t="s">
        <v>164</v>
      </c>
      <c r="C544" s="1">
        <v>45193</v>
      </c>
      <c r="D544" t="s">
        <v>83</v>
      </c>
      <c r="E544">
        <v>3</v>
      </c>
      <c r="F544" s="3" t="s">
        <v>10</v>
      </c>
      <c r="G544" s="3" t="s">
        <v>13</v>
      </c>
      <c r="H544" s="3" t="str">
        <f>IF(cf_cl[[#This Row],[satisfaction_score]]&gt;=4,"Happy",IF(cf_cl[[#This Row],[satisfaction_score]]=3,"Neutral","Negative"))</f>
        <v>Neutral</v>
      </c>
      <c r="I544" s="3" t="str">
        <f>IF(cf_cl[[#This Row],[satisfaction_score]]&lt;=2,"Low",IF(cf_cl[[#This Row],[satisfaction_score]]=3,"Medium","High"))</f>
        <v>Medium</v>
      </c>
      <c r="J544">
        <f>YEAR(cf_cl[[#This Row],[date_submitted]])</f>
        <v>2023</v>
      </c>
      <c r="K544" s="3" t="str">
        <f>TEXT(cf_cl[[#This Row],[date_submitted]],"mmm")</f>
        <v>Sep</v>
      </c>
      <c r="L544" s="3" t="str">
        <f t="shared" si="24"/>
        <v>Q3</v>
      </c>
      <c r="M544" s="3" t="str">
        <f t="shared" si="25"/>
        <v>Sunday</v>
      </c>
      <c r="N544" s="3" t="str">
        <f t="shared" si="26"/>
        <v>No</v>
      </c>
      <c r="O544" s="3" t="str">
        <f>IF(COUNTIF($B:$B,B544)=1,"New Customer",
IF(COUNTIF($B:$B,B544)&lt;=3,"Returning Customer","Loyal Customer"))</f>
        <v>Returning Customer</v>
      </c>
      <c r="P544" s="3" t="str">
        <f>IF(cf_cl[[#This Row],[referred_claim]]="Yes","Referred","Not Referred")</f>
        <v>Not Referred</v>
      </c>
    </row>
    <row r="545" spans="1:16" x14ac:dyDescent="0.3">
      <c r="A545" t="s">
        <v>1053</v>
      </c>
      <c r="B545" t="s">
        <v>1054</v>
      </c>
      <c r="C545" s="1">
        <v>44543</v>
      </c>
      <c r="D545" t="s">
        <v>16</v>
      </c>
      <c r="E545">
        <v>5</v>
      </c>
      <c r="F545" s="3" t="s">
        <v>10</v>
      </c>
      <c r="G545" s="3" t="s">
        <v>10</v>
      </c>
      <c r="H545" s="3" t="str">
        <f>IF(cf_cl[[#This Row],[satisfaction_score]]&gt;=4,"Happy",IF(cf_cl[[#This Row],[satisfaction_score]]=3,"Neutral","Negative"))</f>
        <v>Happy</v>
      </c>
      <c r="I545" s="3" t="str">
        <f>IF(cf_cl[[#This Row],[satisfaction_score]]&lt;=2,"Low",IF(cf_cl[[#This Row],[satisfaction_score]]=3,"Medium","High"))</f>
        <v>High</v>
      </c>
      <c r="J545">
        <f>YEAR(cf_cl[[#This Row],[date_submitted]])</f>
        <v>2021</v>
      </c>
      <c r="K545" s="3" t="str">
        <f>TEXT(cf_cl[[#This Row],[date_submitted]],"mmm")</f>
        <v>Dec</v>
      </c>
      <c r="L545" s="3" t="str">
        <f t="shared" si="24"/>
        <v>Q4</v>
      </c>
      <c r="M545" s="3" t="str">
        <f t="shared" si="25"/>
        <v>Monday</v>
      </c>
      <c r="N545" s="3" t="str">
        <f t="shared" si="26"/>
        <v>No</v>
      </c>
      <c r="O545" s="3" t="str">
        <f>IF(COUNTIF($B:$B,B545)=1,"New Customer",
IF(COUNTIF($B:$B,B545)&lt;=3,"Returning Customer","Loyal Customer"))</f>
        <v>New Customer</v>
      </c>
      <c r="P545" s="3" t="str">
        <f>IF(cf_cl[[#This Row],[referred_claim]]="Yes","Referred","Not Referred")</f>
        <v>Referred</v>
      </c>
    </row>
    <row r="546" spans="1:16" x14ac:dyDescent="0.3">
      <c r="A546" t="s">
        <v>1055</v>
      </c>
      <c r="B546" t="s">
        <v>1056</v>
      </c>
      <c r="C546" s="1">
        <v>44212</v>
      </c>
      <c r="D546" t="s">
        <v>31</v>
      </c>
      <c r="E546">
        <v>3</v>
      </c>
      <c r="F546" s="3" t="s">
        <v>13</v>
      </c>
      <c r="G546" s="3" t="s">
        <v>10</v>
      </c>
      <c r="H546" s="3" t="str">
        <f>IF(cf_cl[[#This Row],[satisfaction_score]]&gt;=4,"Happy",IF(cf_cl[[#This Row],[satisfaction_score]]=3,"Neutral","Negative"))</f>
        <v>Neutral</v>
      </c>
      <c r="I546" s="3" t="str">
        <f>IF(cf_cl[[#This Row],[satisfaction_score]]&lt;=2,"Low",IF(cf_cl[[#This Row],[satisfaction_score]]=3,"Medium","High"))</f>
        <v>Medium</v>
      </c>
      <c r="J546">
        <f>YEAR(cf_cl[[#This Row],[date_submitted]])</f>
        <v>2021</v>
      </c>
      <c r="K546" s="3" t="str">
        <f>TEXT(cf_cl[[#This Row],[date_submitted]],"mmm")</f>
        <v>Jan</v>
      </c>
      <c r="L546" s="3" t="str">
        <f t="shared" si="24"/>
        <v>Q1</v>
      </c>
      <c r="M546" s="3" t="str">
        <f t="shared" si="25"/>
        <v>Saturday</v>
      </c>
      <c r="N546" s="3" t="str">
        <f t="shared" si="26"/>
        <v>No</v>
      </c>
      <c r="O546" s="3" t="str">
        <f>IF(COUNTIF($B:$B,B546)=1,"New Customer",
IF(COUNTIF($B:$B,B546)&lt;=3,"Returning Customer","Loyal Customer"))</f>
        <v>Returning Customer</v>
      </c>
      <c r="P546" s="3" t="str">
        <f>IF(cf_cl[[#This Row],[referred_claim]]="Yes","Referred","Not Referred")</f>
        <v>Referred</v>
      </c>
    </row>
    <row r="547" spans="1:16" x14ac:dyDescent="0.3">
      <c r="A547" t="s">
        <v>1057</v>
      </c>
      <c r="B547" t="s">
        <v>1058</v>
      </c>
      <c r="C547" s="1">
        <v>44974</v>
      </c>
      <c r="D547" t="s">
        <v>16</v>
      </c>
      <c r="E547">
        <v>4</v>
      </c>
      <c r="F547" s="3" t="s">
        <v>13</v>
      </c>
      <c r="G547" s="3" t="s">
        <v>13</v>
      </c>
      <c r="H547" s="3" t="str">
        <f>IF(cf_cl[[#This Row],[satisfaction_score]]&gt;=4,"Happy",IF(cf_cl[[#This Row],[satisfaction_score]]=3,"Neutral","Negative"))</f>
        <v>Happy</v>
      </c>
      <c r="I547" s="3" t="str">
        <f>IF(cf_cl[[#This Row],[satisfaction_score]]&lt;=2,"Low",IF(cf_cl[[#This Row],[satisfaction_score]]=3,"Medium","High"))</f>
        <v>High</v>
      </c>
      <c r="J547">
        <f>YEAR(cf_cl[[#This Row],[date_submitted]])</f>
        <v>2023</v>
      </c>
      <c r="K547" s="3" t="str">
        <f>TEXT(cf_cl[[#This Row],[date_submitted]],"mmm")</f>
        <v>Feb</v>
      </c>
      <c r="L547" s="3" t="str">
        <f t="shared" si="24"/>
        <v>Q1</v>
      </c>
      <c r="M547" s="3" t="str">
        <f t="shared" si="25"/>
        <v>Friday</v>
      </c>
      <c r="N547" s="3" t="str">
        <f t="shared" si="26"/>
        <v>No</v>
      </c>
      <c r="O547" s="3" t="str">
        <f>IF(COUNTIF($B:$B,B547)=1,"New Customer",
IF(COUNTIF($B:$B,B547)&lt;=3,"Returning Customer","Loyal Customer"))</f>
        <v>New Customer</v>
      </c>
      <c r="P547" s="3" t="str">
        <f>IF(cf_cl[[#This Row],[referred_claim]]="Yes","Referred","Not Referred")</f>
        <v>Not Referred</v>
      </c>
    </row>
    <row r="548" spans="1:16" x14ac:dyDescent="0.3">
      <c r="A548" t="s">
        <v>1059</v>
      </c>
      <c r="B548" t="s">
        <v>1060</v>
      </c>
      <c r="C548" s="1">
        <v>44185</v>
      </c>
      <c r="D548" t="s">
        <v>31</v>
      </c>
      <c r="E548">
        <v>3</v>
      </c>
      <c r="F548" s="3" t="s">
        <v>10</v>
      </c>
      <c r="G548" s="3" t="s">
        <v>10</v>
      </c>
      <c r="H548" s="3" t="str">
        <f>IF(cf_cl[[#This Row],[satisfaction_score]]&gt;=4,"Happy",IF(cf_cl[[#This Row],[satisfaction_score]]=3,"Neutral","Negative"))</f>
        <v>Neutral</v>
      </c>
      <c r="I548" s="3" t="str">
        <f>IF(cf_cl[[#This Row],[satisfaction_score]]&lt;=2,"Low",IF(cf_cl[[#This Row],[satisfaction_score]]=3,"Medium","High"))</f>
        <v>Medium</v>
      </c>
      <c r="J548">
        <f>YEAR(cf_cl[[#This Row],[date_submitted]])</f>
        <v>2020</v>
      </c>
      <c r="K548" s="3" t="str">
        <f>TEXT(cf_cl[[#This Row],[date_submitted]],"mmm")</f>
        <v>Dec</v>
      </c>
      <c r="L548" s="3" t="str">
        <f t="shared" si="24"/>
        <v>Q4</v>
      </c>
      <c r="M548" s="3" t="str">
        <f t="shared" si="25"/>
        <v>Sunday</v>
      </c>
      <c r="N548" s="3" t="str">
        <f t="shared" si="26"/>
        <v>No</v>
      </c>
      <c r="O548" s="3" t="str">
        <f>IF(COUNTIF($B:$B,B548)=1,"New Customer",
IF(COUNTIF($B:$B,B548)&lt;=3,"Returning Customer","Loyal Customer"))</f>
        <v>New Customer</v>
      </c>
      <c r="P548" s="3" t="str">
        <f>IF(cf_cl[[#This Row],[referred_claim]]="Yes","Referred","Not Referred")</f>
        <v>Referred</v>
      </c>
    </row>
    <row r="549" spans="1:16" x14ac:dyDescent="0.3">
      <c r="A549" t="s">
        <v>1061</v>
      </c>
      <c r="B549" t="s">
        <v>1062</v>
      </c>
      <c r="C549" s="1">
        <v>44540</v>
      </c>
      <c r="D549" t="s">
        <v>22</v>
      </c>
      <c r="E549">
        <v>4</v>
      </c>
      <c r="F549" s="3" t="s">
        <v>13</v>
      </c>
      <c r="G549" s="3" t="s">
        <v>13</v>
      </c>
      <c r="H549" s="3" t="str">
        <f>IF(cf_cl[[#This Row],[satisfaction_score]]&gt;=4,"Happy",IF(cf_cl[[#This Row],[satisfaction_score]]=3,"Neutral","Negative"))</f>
        <v>Happy</v>
      </c>
      <c r="I549" s="3" t="str">
        <f>IF(cf_cl[[#This Row],[satisfaction_score]]&lt;=2,"Low",IF(cf_cl[[#This Row],[satisfaction_score]]=3,"Medium","High"))</f>
        <v>High</v>
      </c>
      <c r="J549">
        <f>YEAR(cf_cl[[#This Row],[date_submitted]])</f>
        <v>2021</v>
      </c>
      <c r="K549" s="3" t="str">
        <f>TEXT(cf_cl[[#This Row],[date_submitted]],"mmm")</f>
        <v>Dec</v>
      </c>
      <c r="L549" s="3" t="str">
        <f t="shared" si="24"/>
        <v>Q4</v>
      </c>
      <c r="M549" s="3" t="str">
        <f t="shared" si="25"/>
        <v>Friday</v>
      </c>
      <c r="N549" s="3" t="str">
        <f t="shared" si="26"/>
        <v>No</v>
      </c>
      <c r="O549" s="3" t="str">
        <f>IF(COUNTIF($B:$B,B549)=1,"New Customer",
IF(COUNTIF($B:$B,B549)&lt;=3,"Returning Customer","Loyal Customer"))</f>
        <v>New Customer</v>
      </c>
      <c r="P549" s="3" t="str">
        <f>IF(cf_cl[[#This Row],[referred_claim]]="Yes","Referred","Not Referred")</f>
        <v>Not Referred</v>
      </c>
    </row>
    <row r="550" spans="1:16" x14ac:dyDescent="0.3">
      <c r="A550" t="s">
        <v>1063</v>
      </c>
      <c r="B550" t="s">
        <v>1064</v>
      </c>
      <c r="C550" s="1">
        <v>45062</v>
      </c>
      <c r="D550" t="s">
        <v>37</v>
      </c>
      <c r="E550">
        <v>4</v>
      </c>
      <c r="F550" s="3" t="s">
        <v>13</v>
      </c>
      <c r="G550" s="3" t="s">
        <v>13</v>
      </c>
      <c r="H550" s="3" t="str">
        <f>IF(cf_cl[[#This Row],[satisfaction_score]]&gt;=4,"Happy",IF(cf_cl[[#This Row],[satisfaction_score]]=3,"Neutral","Negative"))</f>
        <v>Happy</v>
      </c>
      <c r="I550" s="3" t="str">
        <f>IF(cf_cl[[#This Row],[satisfaction_score]]&lt;=2,"Low",IF(cf_cl[[#This Row],[satisfaction_score]]=3,"Medium","High"))</f>
        <v>High</v>
      </c>
      <c r="J550">
        <f>YEAR(cf_cl[[#This Row],[date_submitted]])</f>
        <v>2023</v>
      </c>
      <c r="K550" s="3" t="str">
        <f>TEXT(cf_cl[[#This Row],[date_submitted]],"mmm")</f>
        <v>May</v>
      </c>
      <c r="L550" s="3" t="str">
        <f t="shared" si="24"/>
        <v>Q2</v>
      </c>
      <c r="M550" s="3" t="str">
        <f t="shared" si="25"/>
        <v>Tuesday</v>
      </c>
      <c r="N550" s="3" t="str">
        <f t="shared" si="26"/>
        <v>No</v>
      </c>
      <c r="O550" s="3" t="str">
        <f>IF(COUNTIF($B:$B,B550)=1,"New Customer",
IF(COUNTIF($B:$B,B550)&lt;=3,"Returning Customer","Loyal Customer"))</f>
        <v>New Customer</v>
      </c>
      <c r="P550" s="3" t="str">
        <f>IF(cf_cl[[#This Row],[referred_claim]]="Yes","Referred","Not Referred")</f>
        <v>Not Referred</v>
      </c>
    </row>
    <row r="551" spans="1:16" x14ac:dyDescent="0.3">
      <c r="A551" t="s">
        <v>1065</v>
      </c>
      <c r="B551" t="s">
        <v>1066</v>
      </c>
      <c r="C551" s="1">
        <v>44000</v>
      </c>
      <c r="D551" t="s">
        <v>22</v>
      </c>
      <c r="E551">
        <v>5</v>
      </c>
      <c r="F551" s="3" t="s">
        <v>13</v>
      </c>
      <c r="G551" s="3" t="s">
        <v>13</v>
      </c>
      <c r="H551" s="3" t="str">
        <f>IF(cf_cl[[#This Row],[satisfaction_score]]&gt;=4,"Happy",IF(cf_cl[[#This Row],[satisfaction_score]]=3,"Neutral","Negative"))</f>
        <v>Happy</v>
      </c>
      <c r="I551" s="3" t="str">
        <f>IF(cf_cl[[#This Row],[satisfaction_score]]&lt;=2,"Low",IF(cf_cl[[#This Row],[satisfaction_score]]=3,"Medium","High"))</f>
        <v>High</v>
      </c>
      <c r="J551">
        <f>YEAR(cf_cl[[#This Row],[date_submitted]])</f>
        <v>2020</v>
      </c>
      <c r="K551" s="3" t="str">
        <f>TEXT(cf_cl[[#This Row],[date_submitted]],"mmm")</f>
        <v>Jun</v>
      </c>
      <c r="L551" s="3" t="str">
        <f t="shared" si="24"/>
        <v>Q2</v>
      </c>
      <c r="M551" s="3" t="str">
        <f t="shared" si="25"/>
        <v>Thursday</v>
      </c>
      <c r="N551" s="3" t="str">
        <f t="shared" si="26"/>
        <v>No</v>
      </c>
      <c r="O551" s="3" t="str">
        <f>IF(COUNTIF($B:$B,B551)=1,"New Customer",
IF(COUNTIF($B:$B,B551)&lt;=3,"Returning Customer","Loyal Customer"))</f>
        <v>New Customer</v>
      </c>
      <c r="P551" s="3" t="str">
        <f>IF(cf_cl[[#This Row],[referred_claim]]="Yes","Referred","Not Referred")</f>
        <v>Not Referred</v>
      </c>
    </row>
    <row r="552" spans="1:16" x14ac:dyDescent="0.3">
      <c r="A552" t="s">
        <v>1067</v>
      </c>
      <c r="B552" t="s">
        <v>1068</v>
      </c>
      <c r="C552" s="1">
        <v>44363</v>
      </c>
      <c r="D552" t="s">
        <v>83</v>
      </c>
      <c r="E552">
        <v>1</v>
      </c>
      <c r="F552" s="3" t="s">
        <v>10</v>
      </c>
      <c r="G552" s="3" t="s">
        <v>13</v>
      </c>
      <c r="H552" s="3" t="str">
        <f>IF(cf_cl[[#This Row],[satisfaction_score]]&gt;=4,"Happy",IF(cf_cl[[#This Row],[satisfaction_score]]=3,"Neutral","Negative"))</f>
        <v>Negative</v>
      </c>
      <c r="I552" s="3" t="str">
        <f>IF(cf_cl[[#This Row],[satisfaction_score]]&lt;=2,"Low",IF(cf_cl[[#This Row],[satisfaction_score]]=3,"Medium","High"))</f>
        <v>Low</v>
      </c>
      <c r="J552">
        <f>YEAR(cf_cl[[#This Row],[date_submitted]])</f>
        <v>2021</v>
      </c>
      <c r="K552" s="3" t="str">
        <f>TEXT(cf_cl[[#This Row],[date_submitted]],"mmm")</f>
        <v>Jun</v>
      </c>
      <c r="L552" s="3" t="str">
        <f t="shared" si="24"/>
        <v>Q2</v>
      </c>
      <c r="M552" s="3" t="str">
        <f t="shared" si="25"/>
        <v>Wednesday</v>
      </c>
      <c r="N552" s="3" t="str">
        <f t="shared" si="26"/>
        <v>Yes</v>
      </c>
      <c r="O552" s="3" t="str">
        <f>IF(COUNTIF($B:$B,B552)=1,"New Customer",
IF(COUNTIF($B:$B,B552)&lt;=3,"Returning Customer","Loyal Customer"))</f>
        <v>New Customer</v>
      </c>
      <c r="P552" s="3" t="str">
        <f>IF(cf_cl[[#This Row],[referred_claim]]="Yes","Referred","Not Referred")</f>
        <v>Not Referred</v>
      </c>
    </row>
    <row r="553" spans="1:16" x14ac:dyDescent="0.3">
      <c r="A553" t="s">
        <v>1069</v>
      </c>
      <c r="B553" t="s">
        <v>1070</v>
      </c>
      <c r="C553" s="1">
        <v>44757</v>
      </c>
      <c r="D553" t="s">
        <v>37</v>
      </c>
      <c r="E553">
        <v>5</v>
      </c>
      <c r="F553" s="3" t="s">
        <v>13</v>
      </c>
      <c r="G553" s="3" t="s">
        <v>10</v>
      </c>
      <c r="H553" s="3" t="str">
        <f>IF(cf_cl[[#This Row],[satisfaction_score]]&gt;=4,"Happy",IF(cf_cl[[#This Row],[satisfaction_score]]=3,"Neutral","Negative"))</f>
        <v>Happy</v>
      </c>
      <c r="I553" s="3" t="str">
        <f>IF(cf_cl[[#This Row],[satisfaction_score]]&lt;=2,"Low",IF(cf_cl[[#This Row],[satisfaction_score]]=3,"Medium","High"))</f>
        <v>High</v>
      </c>
      <c r="J553">
        <f>YEAR(cf_cl[[#This Row],[date_submitted]])</f>
        <v>2022</v>
      </c>
      <c r="K553" s="3" t="str">
        <f>TEXT(cf_cl[[#This Row],[date_submitted]],"mmm")</f>
        <v>Jul</v>
      </c>
      <c r="L553" s="3" t="str">
        <f t="shared" si="24"/>
        <v>Q3</v>
      </c>
      <c r="M553" s="3" t="str">
        <f t="shared" si="25"/>
        <v>Friday</v>
      </c>
      <c r="N553" s="3" t="str">
        <f t="shared" si="26"/>
        <v>No</v>
      </c>
      <c r="O553" s="3" t="str">
        <f>IF(COUNTIF($B:$B,B553)=1,"New Customer",
IF(COUNTIF($B:$B,B553)&lt;=3,"Returning Customer","Loyal Customer"))</f>
        <v>New Customer</v>
      </c>
      <c r="P553" s="3" t="str">
        <f>IF(cf_cl[[#This Row],[referred_claim]]="Yes","Referred","Not Referred")</f>
        <v>Referred</v>
      </c>
    </row>
    <row r="554" spans="1:16" x14ac:dyDescent="0.3">
      <c r="A554" t="s">
        <v>1071</v>
      </c>
      <c r="B554" t="s">
        <v>1072</v>
      </c>
      <c r="C554" s="1">
        <v>44652</v>
      </c>
      <c r="D554" t="s">
        <v>25</v>
      </c>
      <c r="E554">
        <v>5</v>
      </c>
      <c r="F554" s="3" t="s">
        <v>13</v>
      </c>
      <c r="G554" s="3" t="s">
        <v>10</v>
      </c>
      <c r="H554" s="3" t="str">
        <f>IF(cf_cl[[#This Row],[satisfaction_score]]&gt;=4,"Happy",IF(cf_cl[[#This Row],[satisfaction_score]]=3,"Neutral","Negative"))</f>
        <v>Happy</v>
      </c>
      <c r="I554" s="3" t="str">
        <f>IF(cf_cl[[#This Row],[satisfaction_score]]&lt;=2,"Low",IF(cf_cl[[#This Row],[satisfaction_score]]=3,"Medium","High"))</f>
        <v>High</v>
      </c>
      <c r="J554">
        <f>YEAR(cf_cl[[#This Row],[date_submitted]])</f>
        <v>2022</v>
      </c>
      <c r="K554" s="3" t="str">
        <f>TEXT(cf_cl[[#This Row],[date_submitted]],"mmm")</f>
        <v>Apr</v>
      </c>
      <c r="L554" s="3" t="str">
        <f t="shared" si="24"/>
        <v>Q2</v>
      </c>
      <c r="M554" s="3" t="str">
        <f t="shared" si="25"/>
        <v>Friday</v>
      </c>
      <c r="N554" s="3" t="str">
        <f t="shared" si="26"/>
        <v>No</v>
      </c>
      <c r="O554" s="3" t="str">
        <f>IF(COUNTIF($B:$B,B554)=1,"New Customer",
IF(COUNTIF($B:$B,B554)&lt;=3,"Returning Customer","Loyal Customer"))</f>
        <v>New Customer</v>
      </c>
      <c r="P554" s="3" t="str">
        <f>IF(cf_cl[[#This Row],[referred_claim]]="Yes","Referred","Not Referred")</f>
        <v>Referred</v>
      </c>
    </row>
    <row r="555" spans="1:16" x14ac:dyDescent="0.3">
      <c r="A555" t="s">
        <v>1073</v>
      </c>
      <c r="B555" t="s">
        <v>1074</v>
      </c>
      <c r="C555" s="1">
        <v>44196</v>
      </c>
      <c r="D555" t="s">
        <v>68</v>
      </c>
      <c r="E555">
        <v>2</v>
      </c>
      <c r="F555" s="3" t="s">
        <v>13</v>
      </c>
      <c r="G555" s="3" t="s">
        <v>13</v>
      </c>
      <c r="H555" s="3" t="str">
        <f>IF(cf_cl[[#This Row],[satisfaction_score]]&gt;=4,"Happy",IF(cf_cl[[#This Row],[satisfaction_score]]=3,"Neutral","Negative"))</f>
        <v>Negative</v>
      </c>
      <c r="I555" s="3" t="str">
        <f>IF(cf_cl[[#This Row],[satisfaction_score]]&lt;=2,"Low",IF(cf_cl[[#This Row],[satisfaction_score]]=3,"Medium","High"))</f>
        <v>Low</v>
      </c>
      <c r="J555">
        <f>YEAR(cf_cl[[#This Row],[date_submitted]])</f>
        <v>2020</v>
      </c>
      <c r="K555" s="3" t="str">
        <f>TEXT(cf_cl[[#This Row],[date_submitted]],"mmm")</f>
        <v>Dec</v>
      </c>
      <c r="L555" s="3" t="str">
        <f t="shared" si="24"/>
        <v>Q4</v>
      </c>
      <c r="M555" s="3" t="str">
        <f t="shared" si="25"/>
        <v>Thursday</v>
      </c>
      <c r="N555" s="3" t="str">
        <f t="shared" si="26"/>
        <v>Yes</v>
      </c>
      <c r="O555" s="3" t="str">
        <f>IF(COUNTIF($B:$B,B555)=1,"New Customer",
IF(COUNTIF($B:$B,B555)&lt;=3,"Returning Customer","Loyal Customer"))</f>
        <v>New Customer</v>
      </c>
      <c r="P555" s="3" t="str">
        <f>IF(cf_cl[[#This Row],[referred_claim]]="Yes","Referred","Not Referred")</f>
        <v>Not Referred</v>
      </c>
    </row>
    <row r="556" spans="1:16" x14ac:dyDescent="0.3">
      <c r="A556" t="s">
        <v>1075</v>
      </c>
      <c r="B556" t="s">
        <v>1076</v>
      </c>
      <c r="C556" s="1">
        <v>44200</v>
      </c>
      <c r="D556" t="s">
        <v>9</v>
      </c>
      <c r="E556">
        <v>1</v>
      </c>
      <c r="F556" s="3" t="s">
        <v>13</v>
      </c>
      <c r="G556" s="3" t="s">
        <v>13</v>
      </c>
      <c r="H556" s="3" t="str">
        <f>IF(cf_cl[[#This Row],[satisfaction_score]]&gt;=4,"Happy",IF(cf_cl[[#This Row],[satisfaction_score]]=3,"Neutral","Negative"))</f>
        <v>Negative</v>
      </c>
      <c r="I556" s="3" t="str">
        <f>IF(cf_cl[[#This Row],[satisfaction_score]]&lt;=2,"Low",IF(cf_cl[[#This Row],[satisfaction_score]]=3,"Medium","High"))</f>
        <v>Low</v>
      </c>
      <c r="J556">
        <f>YEAR(cf_cl[[#This Row],[date_submitted]])</f>
        <v>2021</v>
      </c>
      <c r="K556" s="3" t="str">
        <f>TEXT(cf_cl[[#This Row],[date_submitted]],"mmm")</f>
        <v>Jan</v>
      </c>
      <c r="L556" s="3" t="str">
        <f t="shared" si="24"/>
        <v>Q1</v>
      </c>
      <c r="M556" s="3" t="str">
        <f t="shared" si="25"/>
        <v>Monday</v>
      </c>
      <c r="N556" s="3" t="str">
        <f t="shared" si="26"/>
        <v>Yes</v>
      </c>
      <c r="O556" s="3" t="str">
        <f>IF(COUNTIF($B:$B,B556)=1,"New Customer",
IF(COUNTIF($B:$B,B556)&lt;=3,"Returning Customer","Loyal Customer"))</f>
        <v>Returning Customer</v>
      </c>
      <c r="P556" s="3" t="str">
        <f>IF(cf_cl[[#This Row],[referred_claim]]="Yes","Referred","Not Referred")</f>
        <v>Not Referred</v>
      </c>
    </row>
    <row r="557" spans="1:16" x14ac:dyDescent="0.3">
      <c r="A557" t="s">
        <v>1077</v>
      </c>
      <c r="B557" t="s">
        <v>1078</v>
      </c>
      <c r="C557" s="1">
        <v>44679</v>
      </c>
      <c r="D557" t="s">
        <v>37</v>
      </c>
      <c r="E557">
        <v>5</v>
      </c>
      <c r="F557" s="3" t="s">
        <v>13</v>
      </c>
      <c r="G557" s="3" t="s">
        <v>10</v>
      </c>
      <c r="H557" s="3" t="str">
        <f>IF(cf_cl[[#This Row],[satisfaction_score]]&gt;=4,"Happy",IF(cf_cl[[#This Row],[satisfaction_score]]=3,"Neutral","Negative"))</f>
        <v>Happy</v>
      </c>
      <c r="I557" s="3" t="str">
        <f>IF(cf_cl[[#This Row],[satisfaction_score]]&lt;=2,"Low",IF(cf_cl[[#This Row],[satisfaction_score]]=3,"Medium","High"))</f>
        <v>High</v>
      </c>
      <c r="J557">
        <f>YEAR(cf_cl[[#This Row],[date_submitted]])</f>
        <v>2022</v>
      </c>
      <c r="K557" s="3" t="str">
        <f>TEXT(cf_cl[[#This Row],[date_submitted]],"mmm")</f>
        <v>Apr</v>
      </c>
      <c r="L557" s="3" t="str">
        <f t="shared" si="24"/>
        <v>Q2</v>
      </c>
      <c r="M557" s="3" t="str">
        <f t="shared" si="25"/>
        <v>Thursday</v>
      </c>
      <c r="N557" s="3" t="str">
        <f t="shared" si="26"/>
        <v>No</v>
      </c>
      <c r="O557" s="3" t="str">
        <f>IF(COUNTIF($B:$B,B557)=1,"New Customer",
IF(COUNTIF($B:$B,B557)&lt;=3,"Returning Customer","Loyal Customer"))</f>
        <v>New Customer</v>
      </c>
      <c r="P557" s="3" t="str">
        <f>IF(cf_cl[[#This Row],[referred_claim]]="Yes","Referred","Not Referred")</f>
        <v>Referred</v>
      </c>
    </row>
    <row r="558" spans="1:16" x14ac:dyDescent="0.3">
      <c r="A558" t="s">
        <v>1079</v>
      </c>
      <c r="B558" t="s">
        <v>1080</v>
      </c>
      <c r="C558" s="1">
        <v>44960</v>
      </c>
      <c r="D558" t="s">
        <v>31</v>
      </c>
      <c r="E558">
        <v>2</v>
      </c>
      <c r="F558" s="3" t="s">
        <v>13</v>
      </c>
      <c r="G558" s="3" t="s">
        <v>13</v>
      </c>
      <c r="H558" s="3" t="str">
        <f>IF(cf_cl[[#This Row],[satisfaction_score]]&gt;=4,"Happy",IF(cf_cl[[#This Row],[satisfaction_score]]=3,"Neutral","Negative"))</f>
        <v>Negative</v>
      </c>
      <c r="I558" s="3" t="str">
        <f>IF(cf_cl[[#This Row],[satisfaction_score]]&lt;=2,"Low",IF(cf_cl[[#This Row],[satisfaction_score]]=3,"Medium","High"))</f>
        <v>Low</v>
      </c>
      <c r="J558">
        <f>YEAR(cf_cl[[#This Row],[date_submitted]])</f>
        <v>2023</v>
      </c>
      <c r="K558" s="3" t="str">
        <f>TEXT(cf_cl[[#This Row],[date_submitted]],"mmm")</f>
        <v>Feb</v>
      </c>
      <c r="L558" s="3" t="str">
        <f t="shared" si="24"/>
        <v>Q1</v>
      </c>
      <c r="M558" s="3" t="str">
        <f t="shared" si="25"/>
        <v>Friday</v>
      </c>
      <c r="N558" s="3" t="str">
        <f t="shared" si="26"/>
        <v>Yes</v>
      </c>
      <c r="O558" s="3" t="str">
        <f>IF(COUNTIF($B:$B,B558)=1,"New Customer",
IF(COUNTIF($B:$B,B558)&lt;=3,"Returning Customer","Loyal Customer"))</f>
        <v>New Customer</v>
      </c>
      <c r="P558" s="3" t="str">
        <f>IF(cf_cl[[#This Row],[referred_claim]]="Yes","Referred","Not Referred")</f>
        <v>Not Referred</v>
      </c>
    </row>
    <row r="559" spans="1:16" x14ac:dyDescent="0.3">
      <c r="A559" t="s">
        <v>1081</v>
      </c>
      <c r="B559" t="s">
        <v>869</v>
      </c>
      <c r="C559" s="1">
        <v>44268</v>
      </c>
      <c r="D559" t="s">
        <v>28</v>
      </c>
      <c r="E559">
        <v>5</v>
      </c>
      <c r="F559" s="3" t="s">
        <v>13</v>
      </c>
      <c r="G559" s="3" t="s">
        <v>10</v>
      </c>
      <c r="H559" s="3" t="str">
        <f>IF(cf_cl[[#This Row],[satisfaction_score]]&gt;=4,"Happy",IF(cf_cl[[#This Row],[satisfaction_score]]=3,"Neutral","Negative"))</f>
        <v>Happy</v>
      </c>
      <c r="I559" s="3" t="str">
        <f>IF(cf_cl[[#This Row],[satisfaction_score]]&lt;=2,"Low",IF(cf_cl[[#This Row],[satisfaction_score]]=3,"Medium","High"))</f>
        <v>High</v>
      </c>
      <c r="J559">
        <f>YEAR(cf_cl[[#This Row],[date_submitted]])</f>
        <v>2021</v>
      </c>
      <c r="K559" s="3" t="str">
        <f>TEXT(cf_cl[[#This Row],[date_submitted]],"mmm")</f>
        <v>Mar</v>
      </c>
      <c r="L559" s="3" t="str">
        <f t="shared" si="24"/>
        <v>Q1</v>
      </c>
      <c r="M559" s="3" t="str">
        <f t="shared" si="25"/>
        <v>Saturday</v>
      </c>
      <c r="N559" s="3" t="str">
        <f t="shared" si="26"/>
        <v>No</v>
      </c>
      <c r="O559" s="3" t="str">
        <f>IF(COUNTIF($B:$B,B559)=1,"New Customer",
IF(COUNTIF($B:$B,B559)&lt;=3,"Returning Customer","Loyal Customer"))</f>
        <v>Returning Customer</v>
      </c>
      <c r="P559" s="3" t="str">
        <f>IF(cf_cl[[#This Row],[referred_claim]]="Yes","Referred","Not Referred")</f>
        <v>Referred</v>
      </c>
    </row>
    <row r="560" spans="1:16" x14ac:dyDescent="0.3">
      <c r="A560" t="s">
        <v>1082</v>
      </c>
      <c r="B560" t="s">
        <v>1083</v>
      </c>
      <c r="C560" s="1">
        <v>44028</v>
      </c>
      <c r="D560" t="s">
        <v>9</v>
      </c>
      <c r="E560">
        <v>1</v>
      </c>
      <c r="F560" s="3" t="s">
        <v>10</v>
      </c>
      <c r="G560" s="3" t="s">
        <v>10</v>
      </c>
      <c r="H560" s="3" t="str">
        <f>IF(cf_cl[[#This Row],[satisfaction_score]]&gt;=4,"Happy",IF(cf_cl[[#This Row],[satisfaction_score]]=3,"Neutral","Negative"))</f>
        <v>Negative</v>
      </c>
      <c r="I560" s="3" t="str">
        <f>IF(cf_cl[[#This Row],[satisfaction_score]]&lt;=2,"Low",IF(cf_cl[[#This Row],[satisfaction_score]]=3,"Medium","High"))</f>
        <v>Low</v>
      </c>
      <c r="J560">
        <f>YEAR(cf_cl[[#This Row],[date_submitted]])</f>
        <v>2020</v>
      </c>
      <c r="K560" s="3" t="str">
        <f>TEXT(cf_cl[[#This Row],[date_submitted]],"mmm")</f>
        <v>Jul</v>
      </c>
      <c r="L560" s="3" t="str">
        <f t="shared" si="24"/>
        <v>Q3</v>
      </c>
      <c r="M560" s="3" t="str">
        <f t="shared" si="25"/>
        <v>Thursday</v>
      </c>
      <c r="N560" s="3" t="str">
        <f t="shared" si="26"/>
        <v>Yes</v>
      </c>
      <c r="O560" s="3" t="str">
        <f>IF(COUNTIF($B:$B,B560)=1,"New Customer",
IF(COUNTIF($B:$B,B560)&lt;=3,"Returning Customer","Loyal Customer"))</f>
        <v>Returning Customer</v>
      </c>
      <c r="P560" s="3" t="str">
        <f>IF(cf_cl[[#This Row],[referred_claim]]="Yes","Referred","Not Referred")</f>
        <v>Referred</v>
      </c>
    </row>
    <row r="561" spans="1:16" x14ac:dyDescent="0.3">
      <c r="A561" t="s">
        <v>1084</v>
      </c>
      <c r="B561" t="s">
        <v>1085</v>
      </c>
      <c r="C561" s="1">
        <v>44981</v>
      </c>
      <c r="D561" t="s">
        <v>16</v>
      </c>
      <c r="E561">
        <v>5</v>
      </c>
      <c r="F561" s="3" t="s">
        <v>13</v>
      </c>
      <c r="G561" s="3" t="s">
        <v>10</v>
      </c>
      <c r="H561" s="3" t="str">
        <f>IF(cf_cl[[#This Row],[satisfaction_score]]&gt;=4,"Happy",IF(cf_cl[[#This Row],[satisfaction_score]]=3,"Neutral","Negative"))</f>
        <v>Happy</v>
      </c>
      <c r="I561" s="3" t="str">
        <f>IF(cf_cl[[#This Row],[satisfaction_score]]&lt;=2,"Low",IF(cf_cl[[#This Row],[satisfaction_score]]=3,"Medium","High"))</f>
        <v>High</v>
      </c>
      <c r="J561">
        <f>YEAR(cf_cl[[#This Row],[date_submitted]])</f>
        <v>2023</v>
      </c>
      <c r="K561" s="3" t="str">
        <f>TEXT(cf_cl[[#This Row],[date_submitted]],"mmm")</f>
        <v>Feb</v>
      </c>
      <c r="L561" s="3" t="str">
        <f t="shared" si="24"/>
        <v>Q1</v>
      </c>
      <c r="M561" s="3" t="str">
        <f t="shared" si="25"/>
        <v>Friday</v>
      </c>
      <c r="N561" s="3" t="str">
        <f t="shared" si="26"/>
        <v>No</v>
      </c>
      <c r="O561" s="3" t="str">
        <f>IF(COUNTIF($B:$B,B561)=1,"New Customer",
IF(COUNTIF($B:$B,B561)&lt;=3,"Returning Customer","Loyal Customer"))</f>
        <v>New Customer</v>
      </c>
      <c r="P561" s="3" t="str">
        <f>IF(cf_cl[[#This Row],[referred_claim]]="Yes","Referred","Not Referred")</f>
        <v>Referred</v>
      </c>
    </row>
    <row r="562" spans="1:16" x14ac:dyDescent="0.3">
      <c r="A562" t="s">
        <v>1086</v>
      </c>
      <c r="B562" t="s">
        <v>1087</v>
      </c>
      <c r="C562" s="1">
        <v>44819</v>
      </c>
      <c r="D562" t="s">
        <v>31</v>
      </c>
      <c r="E562">
        <v>2</v>
      </c>
      <c r="F562" s="3" t="s">
        <v>13</v>
      </c>
      <c r="G562" s="3" t="s">
        <v>13</v>
      </c>
      <c r="H562" s="3" t="str">
        <f>IF(cf_cl[[#This Row],[satisfaction_score]]&gt;=4,"Happy",IF(cf_cl[[#This Row],[satisfaction_score]]=3,"Neutral","Negative"))</f>
        <v>Negative</v>
      </c>
      <c r="I562" s="3" t="str">
        <f>IF(cf_cl[[#This Row],[satisfaction_score]]&lt;=2,"Low",IF(cf_cl[[#This Row],[satisfaction_score]]=3,"Medium","High"))</f>
        <v>Low</v>
      </c>
      <c r="J562">
        <f>YEAR(cf_cl[[#This Row],[date_submitted]])</f>
        <v>2022</v>
      </c>
      <c r="K562" s="3" t="str">
        <f>TEXT(cf_cl[[#This Row],[date_submitted]],"mmm")</f>
        <v>Sep</v>
      </c>
      <c r="L562" s="3" t="str">
        <f t="shared" si="24"/>
        <v>Q3</v>
      </c>
      <c r="M562" s="3" t="str">
        <f t="shared" si="25"/>
        <v>Thursday</v>
      </c>
      <c r="N562" s="3" t="str">
        <f t="shared" si="26"/>
        <v>Yes</v>
      </c>
      <c r="O562" s="3" t="str">
        <f>IF(COUNTIF($B:$B,B562)=1,"New Customer",
IF(COUNTIF($B:$B,B562)&lt;=3,"Returning Customer","Loyal Customer"))</f>
        <v>Returning Customer</v>
      </c>
      <c r="P562" s="3" t="str">
        <f>IF(cf_cl[[#This Row],[referred_claim]]="Yes","Referred","Not Referred")</f>
        <v>Not Referred</v>
      </c>
    </row>
    <row r="563" spans="1:16" x14ac:dyDescent="0.3">
      <c r="A563" t="s">
        <v>1088</v>
      </c>
      <c r="B563" t="s">
        <v>1089</v>
      </c>
      <c r="C563" s="1">
        <v>43966</v>
      </c>
      <c r="D563" t="s">
        <v>22</v>
      </c>
      <c r="E563">
        <v>5</v>
      </c>
      <c r="F563" s="3" t="s">
        <v>13</v>
      </c>
      <c r="G563" s="3" t="s">
        <v>10</v>
      </c>
      <c r="H563" s="3" t="str">
        <f>IF(cf_cl[[#This Row],[satisfaction_score]]&gt;=4,"Happy",IF(cf_cl[[#This Row],[satisfaction_score]]=3,"Neutral","Negative"))</f>
        <v>Happy</v>
      </c>
      <c r="I563" s="3" t="str">
        <f>IF(cf_cl[[#This Row],[satisfaction_score]]&lt;=2,"Low",IF(cf_cl[[#This Row],[satisfaction_score]]=3,"Medium","High"))</f>
        <v>High</v>
      </c>
      <c r="J563">
        <f>YEAR(cf_cl[[#This Row],[date_submitted]])</f>
        <v>2020</v>
      </c>
      <c r="K563" s="3" t="str">
        <f>TEXT(cf_cl[[#This Row],[date_submitted]],"mmm")</f>
        <v>May</v>
      </c>
      <c r="L563" s="3" t="str">
        <f t="shared" si="24"/>
        <v>Q2</v>
      </c>
      <c r="M563" s="3" t="str">
        <f t="shared" si="25"/>
        <v>Friday</v>
      </c>
      <c r="N563" s="3" t="str">
        <f t="shared" si="26"/>
        <v>No</v>
      </c>
      <c r="O563" s="3" t="str">
        <f>IF(COUNTIF($B:$B,B563)=1,"New Customer",
IF(COUNTIF($B:$B,B563)&lt;=3,"Returning Customer","Loyal Customer"))</f>
        <v>New Customer</v>
      </c>
      <c r="P563" s="3" t="str">
        <f>IF(cf_cl[[#This Row],[referred_claim]]="Yes","Referred","Not Referred")</f>
        <v>Referred</v>
      </c>
    </row>
    <row r="564" spans="1:16" x14ac:dyDescent="0.3">
      <c r="A564" t="s">
        <v>1090</v>
      </c>
      <c r="B564" t="s">
        <v>1091</v>
      </c>
      <c r="C564" s="1">
        <v>44689</v>
      </c>
      <c r="D564" t="s">
        <v>68</v>
      </c>
      <c r="E564">
        <v>2</v>
      </c>
      <c r="F564" s="3" t="s">
        <v>10</v>
      </c>
      <c r="G564" s="3" t="s">
        <v>10</v>
      </c>
      <c r="H564" s="3" t="str">
        <f>IF(cf_cl[[#This Row],[satisfaction_score]]&gt;=4,"Happy",IF(cf_cl[[#This Row],[satisfaction_score]]=3,"Neutral","Negative"))</f>
        <v>Negative</v>
      </c>
      <c r="I564" s="3" t="str">
        <f>IF(cf_cl[[#This Row],[satisfaction_score]]&lt;=2,"Low",IF(cf_cl[[#This Row],[satisfaction_score]]=3,"Medium","High"))</f>
        <v>Low</v>
      </c>
      <c r="J564">
        <f>YEAR(cf_cl[[#This Row],[date_submitted]])</f>
        <v>2022</v>
      </c>
      <c r="K564" s="3" t="str">
        <f>TEXT(cf_cl[[#This Row],[date_submitted]],"mmm")</f>
        <v>May</v>
      </c>
      <c r="L564" s="3" t="str">
        <f t="shared" si="24"/>
        <v>Q2</v>
      </c>
      <c r="M564" s="3" t="str">
        <f t="shared" si="25"/>
        <v>Sunday</v>
      </c>
      <c r="N564" s="3" t="str">
        <f t="shared" si="26"/>
        <v>Yes</v>
      </c>
      <c r="O564" s="3" t="str">
        <f>IF(COUNTIF($B:$B,B564)=1,"New Customer",
IF(COUNTIF($B:$B,B564)&lt;=3,"Returning Customer","Loyal Customer"))</f>
        <v>New Customer</v>
      </c>
      <c r="P564" s="3" t="str">
        <f>IF(cf_cl[[#This Row],[referred_claim]]="Yes","Referred","Not Referred")</f>
        <v>Referred</v>
      </c>
    </row>
    <row r="565" spans="1:16" x14ac:dyDescent="0.3">
      <c r="A565" t="s">
        <v>1092</v>
      </c>
      <c r="B565" t="s">
        <v>1093</v>
      </c>
      <c r="C565" s="1">
        <v>44280</v>
      </c>
      <c r="D565" t="s">
        <v>37</v>
      </c>
      <c r="E565">
        <v>3</v>
      </c>
      <c r="F565" s="3" t="s">
        <v>13</v>
      </c>
      <c r="G565" s="3" t="s">
        <v>10</v>
      </c>
      <c r="H565" s="3" t="str">
        <f>IF(cf_cl[[#This Row],[satisfaction_score]]&gt;=4,"Happy",IF(cf_cl[[#This Row],[satisfaction_score]]=3,"Neutral","Negative"))</f>
        <v>Neutral</v>
      </c>
      <c r="I565" s="3" t="str">
        <f>IF(cf_cl[[#This Row],[satisfaction_score]]&lt;=2,"Low",IF(cf_cl[[#This Row],[satisfaction_score]]=3,"Medium","High"))</f>
        <v>Medium</v>
      </c>
      <c r="J565">
        <f>YEAR(cf_cl[[#This Row],[date_submitted]])</f>
        <v>2021</v>
      </c>
      <c r="K565" s="3" t="str">
        <f>TEXT(cf_cl[[#This Row],[date_submitted]],"mmm")</f>
        <v>Mar</v>
      </c>
      <c r="L565" s="3" t="str">
        <f t="shared" si="24"/>
        <v>Q1</v>
      </c>
      <c r="M565" s="3" t="str">
        <f t="shared" si="25"/>
        <v>Thursday</v>
      </c>
      <c r="N565" s="3" t="str">
        <f t="shared" si="26"/>
        <v>No</v>
      </c>
      <c r="O565" s="3" t="str">
        <f>IF(COUNTIF($B:$B,B565)=1,"New Customer",
IF(COUNTIF($B:$B,B565)&lt;=3,"Returning Customer","Loyal Customer"))</f>
        <v>New Customer</v>
      </c>
      <c r="P565" s="3" t="str">
        <f>IF(cf_cl[[#This Row],[referred_claim]]="Yes","Referred","Not Referred")</f>
        <v>Referred</v>
      </c>
    </row>
    <row r="566" spans="1:16" x14ac:dyDescent="0.3">
      <c r="A566" t="s">
        <v>1094</v>
      </c>
      <c r="B566" t="s">
        <v>1095</v>
      </c>
      <c r="C566" s="1">
        <v>45043</v>
      </c>
      <c r="D566" t="s">
        <v>25</v>
      </c>
      <c r="E566">
        <v>5</v>
      </c>
      <c r="F566" s="3" t="s">
        <v>13</v>
      </c>
      <c r="G566" s="3" t="s">
        <v>10</v>
      </c>
      <c r="H566" s="3" t="str">
        <f>IF(cf_cl[[#This Row],[satisfaction_score]]&gt;=4,"Happy",IF(cf_cl[[#This Row],[satisfaction_score]]=3,"Neutral","Negative"))</f>
        <v>Happy</v>
      </c>
      <c r="I566" s="3" t="str">
        <f>IF(cf_cl[[#This Row],[satisfaction_score]]&lt;=2,"Low",IF(cf_cl[[#This Row],[satisfaction_score]]=3,"Medium","High"))</f>
        <v>High</v>
      </c>
      <c r="J566">
        <f>YEAR(cf_cl[[#This Row],[date_submitted]])</f>
        <v>2023</v>
      </c>
      <c r="K566" s="3" t="str">
        <f>TEXT(cf_cl[[#This Row],[date_submitted]],"mmm")</f>
        <v>Apr</v>
      </c>
      <c r="L566" s="3" t="str">
        <f t="shared" si="24"/>
        <v>Q2</v>
      </c>
      <c r="M566" s="3" t="str">
        <f t="shared" si="25"/>
        <v>Thursday</v>
      </c>
      <c r="N566" s="3" t="str">
        <f t="shared" si="26"/>
        <v>No</v>
      </c>
      <c r="O566" s="3" t="str">
        <f>IF(COUNTIF($B:$B,B566)=1,"New Customer",
IF(COUNTIF($B:$B,B566)&lt;=3,"Returning Customer","Loyal Customer"))</f>
        <v>New Customer</v>
      </c>
      <c r="P566" s="3" t="str">
        <f>IF(cf_cl[[#This Row],[referred_claim]]="Yes","Referred","Not Referred")</f>
        <v>Referred</v>
      </c>
    </row>
    <row r="567" spans="1:16" x14ac:dyDescent="0.3">
      <c r="A567" t="s">
        <v>1096</v>
      </c>
      <c r="B567" t="s">
        <v>1097</v>
      </c>
      <c r="C567" s="1">
        <v>44293</v>
      </c>
      <c r="D567" t="s">
        <v>68</v>
      </c>
      <c r="E567">
        <v>1</v>
      </c>
      <c r="F567" s="3" t="s">
        <v>10</v>
      </c>
      <c r="G567" s="3" t="s">
        <v>13</v>
      </c>
      <c r="H567" s="3" t="str">
        <f>IF(cf_cl[[#This Row],[satisfaction_score]]&gt;=4,"Happy",IF(cf_cl[[#This Row],[satisfaction_score]]=3,"Neutral","Negative"))</f>
        <v>Negative</v>
      </c>
      <c r="I567" s="3" t="str">
        <f>IF(cf_cl[[#This Row],[satisfaction_score]]&lt;=2,"Low",IF(cf_cl[[#This Row],[satisfaction_score]]=3,"Medium","High"))</f>
        <v>Low</v>
      </c>
      <c r="J567">
        <f>YEAR(cf_cl[[#This Row],[date_submitted]])</f>
        <v>2021</v>
      </c>
      <c r="K567" s="3" t="str">
        <f>TEXT(cf_cl[[#This Row],[date_submitted]],"mmm")</f>
        <v>Apr</v>
      </c>
      <c r="L567" s="3" t="str">
        <f t="shared" si="24"/>
        <v>Q2</v>
      </c>
      <c r="M567" s="3" t="str">
        <f t="shared" si="25"/>
        <v>Wednesday</v>
      </c>
      <c r="N567" s="3" t="str">
        <f t="shared" si="26"/>
        <v>Yes</v>
      </c>
      <c r="O567" s="3" t="str">
        <f>IF(COUNTIF($B:$B,B567)=1,"New Customer",
IF(COUNTIF($B:$B,B567)&lt;=3,"Returning Customer","Loyal Customer"))</f>
        <v>New Customer</v>
      </c>
      <c r="P567" s="3" t="str">
        <f>IF(cf_cl[[#This Row],[referred_claim]]="Yes","Referred","Not Referred")</f>
        <v>Not Referred</v>
      </c>
    </row>
    <row r="568" spans="1:16" x14ac:dyDescent="0.3">
      <c r="A568" t="s">
        <v>1098</v>
      </c>
      <c r="B568" t="s">
        <v>1099</v>
      </c>
      <c r="C568" s="1">
        <v>44333</v>
      </c>
      <c r="D568" t="s">
        <v>83</v>
      </c>
      <c r="E568">
        <v>3</v>
      </c>
      <c r="F568" s="3" t="s">
        <v>10</v>
      </c>
      <c r="G568" s="3" t="s">
        <v>13</v>
      </c>
      <c r="H568" s="3" t="str">
        <f>IF(cf_cl[[#This Row],[satisfaction_score]]&gt;=4,"Happy",IF(cf_cl[[#This Row],[satisfaction_score]]=3,"Neutral","Negative"))</f>
        <v>Neutral</v>
      </c>
      <c r="I568" s="3" t="str">
        <f>IF(cf_cl[[#This Row],[satisfaction_score]]&lt;=2,"Low",IF(cf_cl[[#This Row],[satisfaction_score]]=3,"Medium","High"))</f>
        <v>Medium</v>
      </c>
      <c r="J568">
        <f>YEAR(cf_cl[[#This Row],[date_submitted]])</f>
        <v>2021</v>
      </c>
      <c r="K568" s="3" t="str">
        <f>TEXT(cf_cl[[#This Row],[date_submitted]],"mmm")</f>
        <v>May</v>
      </c>
      <c r="L568" s="3" t="str">
        <f t="shared" si="24"/>
        <v>Q2</v>
      </c>
      <c r="M568" s="3" t="str">
        <f t="shared" si="25"/>
        <v>Monday</v>
      </c>
      <c r="N568" s="3" t="str">
        <f t="shared" si="26"/>
        <v>No</v>
      </c>
      <c r="O568" s="3" t="str">
        <f>IF(COUNTIF($B:$B,B568)=1,"New Customer",
IF(COUNTIF($B:$B,B568)&lt;=3,"Returning Customer","Loyal Customer"))</f>
        <v>New Customer</v>
      </c>
      <c r="P568" s="3" t="str">
        <f>IF(cf_cl[[#This Row],[referred_claim]]="Yes","Referred","Not Referred")</f>
        <v>Not Referred</v>
      </c>
    </row>
    <row r="569" spans="1:16" x14ac:dyDescent="0.3">
      <c r="A569" t="s">
        <v>1100</v>
      </c>
      <c r="B569" t="s">
        <v>1101</v>
      </c>
      <c r="C569" s="1">
        <v>44389</v>
      </c>
      <c r="D569" t="s">
        <v>68</v>
      </c>
      <c r="E569">
        <v>1</v>
      </c>
      <c r="F569" s="3" t="s">
        <v>10</v>
      </c>
      <c r="G569" s="3" t="s">
        <v>13</v>
      </c>
      <c r="H569" s="3" t="str">
        <f>IF(cf_cl[[#This Row],[satisfaction_score]]&gt;=4,"Happy",IF(cf_cl[[#This Row],[satisfaction_score]]=3,"Neutral","Negative"))</f>
        <v>Negative</v>
      </c>
      <c r="I569" s="3" t="str">
        <f>IF(cf_cl[[#This Row],[satisfaction_score]]&lt;=2,"Low",IF(cf_cl[[#This Row],[satisfaction_score]]=3,"Medium","High"))</f>
        <v>Low</v>
      </c>
      <c r="J569">
        <f>YEAR(cf_cl[[#This Row],[date_submitted]])</f>
        <v>2021</v>
      </c>
      <c r="K569" s="3" t="str">
        <f>TEXT(cf_cl[[#This Row],[date_submitted]],"mmm")</f>
        <v>Jul</v>
      </c>
      <c r="L569" s="3" t="str">
        <f t="shared" si="24"/>
        <v>Q3</v>
      </c>
      <c r="M569" s="3" t="str">
        <f t="shared" si="25"/>
        <v>Monday</v>
      </c>
      <c r="N569" s="3" t="str">
        <f t="shared" si="26"/>
        <v>Yes</v>
      </c>
      <c r="O569" s="3" t="str">
        <f>IF(COUNTIF($B:$B,B569)=1,"New Customer",
IF(COUNTIF($B:$B,B569)&lt;=3,"Returning Customer","Loyal Customer"))</f>
        <v>New Customer</v>
      </c>
      <c r="P569" s="3" t="str">
        <f>IF(cf_cl[[#This Row],[referred_claim]]="Yes","Referred","Not Referred")</f>
        <v>Not Referred</v>
      </c>
    </row>
    <row r="570" spans="1:16" x14ac:dyDescent="0.3">
      <c r="A570" t="s">
        <v>1102</v>
      </c>
      <c r="B570" t="s">
        <v>1103</v>
      </c>
      <c r="C570" s="1">
        <v>45291</v>
      </c>
      <c r="D570" t="s">
        <v>31</v>
      </c>
      <c r="E570">
        <v>3</v>
      </c>
      <c r="F570" s="3" t="s">
        <v>10</v>
      </c>
      <c r="G570" s="3" t="s">
        <v>10</v>
      </c>
      <c r="H570" s="3" t="str">
        <f>IF(cf_cl[[#This Row],[satisfaction_score]]&gt;=4,"Happy",IF(cf_cl[[#This Row],[satisfaction_score]]=3,"Neutral","Negative"))</f>
        <v>Neutral</v>
      </c>
      <c r="I570" s="3" t="str">
        <f>IF(cf_cl[[#This Row],[satisfaction_score]]&lt;=2,"Low",IF(cf_cl[[#This Row],[satisfaction_score]]=3,"Medium","High"))</f>
        <v>Medium</v>
      </c>
      <c r="J570">
        <f>YEAR(cf_cl[[#This Row],[date_submitted]])</f>
        <v>2023</v>
      </c>
      <c r="K570" s="3" t="str">
        <f>TEXT(cf_cl[[#This Row],[date_submitted]],"mmm")</f>
        <v>Dec</v>
      </c>
      <c r="L570" s="3" t="str">
        <f t="shared" si="24"/>
        <v>Q4</v>
      </c>
      <c r="M570" s="3" t="str">
        <f t="shared" si="25"/>
        <v>Sunday</v>
      </c>
      <c r="N570" s="3" t="str">
        <f t="shared" si="26"/>
        <v>No</v>
      </c>
      <c r="O570" s="3" t="str">
        <f>IF(COUNTIF($B:$B,B570)=1,"New Customer",
IF(COUNTIF($B:$B,B570)&lt;=3,"Returning Customer","Loyal Customer"))</f>
        <v>New Customer</v>
      </c>
      <c r="P570" s="3" t="str">
        <f>IF(cf_cl[[#This Row],[referred_claim]]="Yes","Referred","Not Referred")</f>
        <v>Referred</v>
      </c>
    </row>
    <row r="571" spans="1:16" x14ac:dyDescent="0.3">
      <c r="A571" t="s">
        <v>1104</v>
      </c>
      <c r="B571" t="s">
        <v>1105</v>
      </c>
      <c r="C571" s="1">
        <v>44535</v>
      </c>
      <c r="D571" t="s">
        <v>28</v>
      </c>
      <c r="E571">
        <v>4</v>
      </c>
      <c r="F571" s="3" t="s">
        <v>13</v>
      </c>
      <c r="G571" s="3" t="s">
        <v>13</v>
      </c>
      <c r="H571" s="3" t="str">
        <f>IF(cf_cl[[#This Row],[satisfaction_score]]&gt;=4,"Happy",IF(cf_cl[[#This Row],[satisfaction_score]]=3,"Neutral","Negative"))</f>
        <v>Happy</v>
      </c>
      <c r="I571" s="3" t="str">
        <f>IF(cf_cl[[#This Row],[satisfaction_score]]&lt;=2,"Low",IF(cf_cl[[#This Row],[satisfaction_score]]=3,"Medium","High"))</f>
        <v>High</v>
      </c>
      <c r="J571">
        <f>YEAR(cf_cl[[#This Row],[date_submitted]])</f>
        <v>2021</v>
      </c>
      <c r="K571" s="3" t="str">
        <f>TEXT(cf_cl[[#This Row],[date_submitted]],"mmm")</f>
        <v>Dec</v>
      </c>
      <c r="L571" s="3" t="str">
        <f t="shared" si="24"/>
        <v>Q4</v>
      </c>
      <c r="M571" s="3" t="str">
        <f t="shared" si="25"/>
        <v>Sunday</v>
      </c>
      <c r="N571" s="3" t="str">
        <f t="shared" si="26"/>
        <v>No</v>
      </c>
      <c r="O571" s="3" t="str">
        <f>IF(COUNTIF($B:$B,B571)=1,"New Customer",
IF(COUNTIF($B:$B,B571)&lt;=3,"Returning Customer","Loyal Customer"))</f>
        <v>New Customer</v>
      </c>
      <c r="P571" s="3" t="str">
        <f>IF(cf_cl[[#This Row],[referred_claim]]="Yes","Referred","Not Referred")</f>
        <v>Not Referred</v>
      </c>
    </row>
    <row r="572" spans="1:16" x14ac:dyDescent="0.3">
      <c r="A572" t="s">
        <v>1106</v>
      </c>
      <c r="B572" t="s">
        <v>1107</v>
      </c>
      <c r="C572" s="1">
        <v>43975</v>
      </c>
      <c r="D572" t="s">
        <v>22</v>
      </c>
      <c r="E572">
        <v>5</v>
      </c>
      <c r="F572" s="3" t="s">
        <v>10</v>
      </c>
      <c r="G572" s="3" t="s">
        <v>13</v>
      </c>
      <c r="H572" s="3" t="str">
        <f>IF(cf_cl[[#This Row],[satisfaction_score]]&gt;=4,"Happy",IF(cf_cl[[#This Row],[satisfaction_score]]=3,"Neutral","Negative"))</f>
        <v>Happy</v>
      </c>
      <c r="I572" s="3" t="str">
        <f>IF(cf_cl[[#This Row],[satisfaction_score]]&lt;=2,"Low",IF(cf_cl[[#This Row],[satisfaction_score]]=3,"Medium","High"))</f>
        <v>High</v>
      </c>
      <c r="J572">
        <f>YEAR(cf_cl[[#This Row],[date_submitted]])</f>
        <v>2020</v>
      </c>
      <c r="K572" s="3" t="str">
        <f>TEXT(cf_cl[[#This Row],[date_submitted]],"mmm")</f>
        <v>May</v>
      </c>
      <c r="L572" s="3" t="str">
        <f t="shared" si="24"/>
        <v>Q2</v>
      </c>
      <c r="M572" s="3" t="str">
        <f t="shared" si="25"/>
        <v>Sunday</v>
      </c>
      <c r="N572" s="3" t="str">
        <f t="shared" si="26"/>
        <v>No</v>
      </c>
      <c r="O572" s="3" t="str">
        <f>IF(COUNTIF($B:$B,B572)=1,"New Customer",
IF(COUNTIF($B:$B,B572)&lt;=3,"Returning Customer","Loyal Customer"))</f>
        <v>New Customer</v>
      </c>
      <c r="P572" s="3" t="str">
        <f>IF(cf_cl[[#This Row],[referred_claim]]="Yes","Referred","Not Referred")</f>
        <v>Not Referred</v>
      </c>
    </row>
    <row r="573" spans="1:16" x14ac:dyDescent="0.3">
      <c r="A573" t="s">
        <v>1108</v>
      </c>
      <c r="B573" t="s">
        <v>1109</v>
      </c>
      <c r="C573" s="1">
        <v>44784</v>
      </c>
      <c r="D573" t="s">
        <v>83</v>
      </c>
      <c r="E573">
        <v>2</v>
      </c>
      <c r="F573" s="3" t="s">
        <v>10</v>
      </c>
      <c r="G573" s="3" t="s">
        <v>13</v>
      </c>
      <c r="H573" s="3" t="str">
        <f>IF(cf_cl[[#This Row],[satisfaction_score]]&gt;=4,"Happy",IF(cf_cl[[#This Row],[satisfaction_score]]=3,"Neutral","Negative"))</f>
        <v>Negative</v>
      </c>
      <c r="I573" s="3" t="str">
        <f>IF(cf_cl[[#This Row],[satisfaction_score]]&lt;=2,"Low",IF(cf_cl[[#This Row],[satisfaction_score]]=3,"Medium","High"))</f>
        <v>Low</v>
      </c>
      <c r="J573">
        <f>YEAR(cf_cl[[#This Row],[date_submitted]])</f>
        <v>2022</v>
      </c>
      <c r="K573" s="3" t="str">
        <f>TEXT(cf_cl[[#This Row],[date_submitted]],"mmm")</f>
        <v>Aug</v>
      </c>
      <c r="L573" s="3" t="str">
        <f t="shared" si="24"/>
        <v>Q3</v>
      </c>
      <c r="M573" s="3" t="str">
        <f t="shared" si="25"/>
        <v>Thursday</v>
      </c>
      <c r="N573" s="3" t="str">
        <f t="shared" si="26"/>
        <v>Yes</v>
      </c>
      <c r="O573" s="3" t="str">
        <f>IF(COUNTIF($B:$B,B573)=1,"New Customer",
IF(COUNTIF($B:$B,B573)&lt;=3,"Returning Customer","Loyal Customer"))</f>
        <v>New Customer</v>
      </c>
      <c r="P573" s="3" t="str">
        <f>IF(cf_cl[[#This Row],[referred_claim]]="Yes","Referred","Not Referred")</f>
        <v>Not Referred</v>
      </c>
    </row>
    <row r="574" spans="1:16" x14ac:dyDescent="0.3">
      <c r="A574" t="s">
        <v>1110</v>
      </c>
      <c r="B574" t="s">
        <v>1111</v>
      </c>
      <c r="C574" s="1">
        <v>45239</v>
      </c>
      <c r="D574" t="s">
        <v>9</v>
      </c>
      <c r="E574">
        <v>1</v>
      </c>
      <c r="F574" s="3" t="s">
        <v>13</v>
      </c>
      <c r="G574" s="3" t="s">
        <v>10</v>
      </c>
      <c r="H574" s="3" t="str">
        <f>IF(cf_cl[[#This Row],[satisfaction_score]]&gt;=4,"Happy",IF(cf_cl[[#This Row],[satisfaction_score]]=3,"Neutral","Negative"))</f>
        <v>Negative</v>
      </c>
      <c r="I574" s="3" t="str">
        <f>IF(cf_cl[[#This Row],[satisfaction_score]]&lt;=2,"Low",IF(cf_cl[[#This Row],[satisfaction_score]]=3,"Medium","High"))</f>
        <v>Low</v>
      </c>
      <c r="J574">
        <f>YEAR(cf_cl[[#This Row],[date_submitted]])</f>
        <v>2023</v>
      </c>
      <c r="K574" s="3" t="str">
        <f>TEXT(cf_cl[[#This Row],[date_submitted]],"mmm")</f>
        <v>Nov</v>
      </c>
      <c r="L574" s="3" t="str">
        <f t="shared" si="24"/>
        <v>Q4</v>
      </c>
      <c r="M574" s="3" t="str">
        <f t="shared" si="25"/>
        <v>Thursday</v>
      </c>
      <c r="N574" s="3" t="str">
        <f t="shared" si="26"/>
        <v>Yes</v>
      </c>
      <c r="O574" s="3" t="str">
        <f>IF(COUNTIF($B:$B,B574)=1,"New Customer",
IF(COUNTIF($B:$B,B574)&lt;=3,"Returning Customer","Loyal Customer"))</f>
        <v>New Customer</v>
      </c>
      <c r="P574" s="3" t="str">
        <f>IF(cf_cl[[#This Row],[referred_claim]]="Yes","Referred","Not Referred")</f>
        <v>Referred</v>
      </c>
    </row>
    <row r="575" spans="1:16" x14ac:dyDescent="0.3">
      <c r="A575" t="s">
        <v>1112</v>
      </c>
      <c r="B575" t="s">
        <v>417</v>
      </c>
      <c r="C575" s="1">
        <v>45047</v>
      </c>
      <c r="D575" t="s">
        <v>37</v>
      </c>
      <c r="E575">
        <v>3</v>
      </c>
      <c r="F575" s="3" t="s">
        <v>13</v>
      </c>
      <c r="G575" s="3" t="s">
        <v>10</v>
      </c>
      <c r="H575" s="3" t="str">
        <f>IF(cf_cl[[#This Row],[satisfaction_score]]&gt;=4,"Happy",IF(cf_cl[[#This Row],[satisfaction_score]]=3,"Neutral","Negative"))</f>
        <v>Neutral</v>
      </c>
      <c r="I575" s="3" t="str">
        <f>IF(cf_cl[[#This Row],[satisfaction_score]]&lt;=2,"Low",IF(cf_cl[[#This Row],[satisfaction_score]]=3,"Medium","High"))</f>
        <v>Medium</v>
      </c>
      <c r="J575">
        <f>YEAR(cf_cl[[#This Row],[date_submitted]])</f>
        <v>2023</v>
      </c>
      <c r="K575" s="3" t="str">
        <f>TEXT(cf_cl[[#This Row],[date_submitted]],"mmm")</f>
        <v>May</v>
      </c>
      <c r="L575" s="3" t="str">
        <f t="shared" si="24"/>
        <v>Q2</v>
      </c>
      <c r="M575" s="3" t="str">
        <f t="shared" si="25"/>
        <v>Monday</v>
      </c>
      <c r="N575" s="3" t="str">
        <f t="shared" si="26"/>
        <v>No</v>
      </c>
      <c r="O575" s="3" t="str">
        <f>IF(COUNTIF($B:$B,B575)=1,"New Customer",
IF(COUNTIF($B:$B,B575)&lt;=3,"Returning Customer","Loyal Customer"))</f>
        <v>Returning Customer</v>
      </c>
      <c r="P575" s="3" t="str">
        <f>IF(cf_cl[[#This Row],[referred_claim]]="Yes","Referred","Not Referred")</f>
        <v>Referred</v>
      </c>
    </row>
    <row r="576" spans="1:16" x14ac:dyDescent="0.3">
      <c r="A576" t="s">
        <v>1113</v>
      </c>
      <c r="B576" t="s">
        <v>1114</v>
      </c>
      <c r="C576" s="1">
        <v>44638</v>
      </c>
      <c r="D576" t="s">
        <v>83</v>
      </c>
      <c r="E576">
        <v>3</v>
      </c>
      <c r="F576" s="3" t="s">
        <v>10</v>
      </c>
      <c r="G576" s="3" t="s">
        <v>10</v>
      </c>
      <c r="H576" s="3" t="str">
        <f>IF(cf_cl[[#This Row],[satisfaction_score]]&gt;=4,"Happy",IF(cf_cl[[#This Row],[satisfaction_score]]=3,"Neutral","Negative"))</f>
        <v>Neutral</v>
      </c>
      <c r="I576" s="3" t="str">
        <f>IF(cf_cl[[#This Row],[satisfaction_score]]&lt;=2,"Low",IF(cf_cl[[#This Row],[satisfaction_score]]=3,"Medium","High"))</f>
        <v>Medium</v>
      </c>
      <c r="J576">
        <f>YEAR(cf_cl[[#This Row],[date_submitted]])</f>
        <v>2022</v>
      </c>
      <c r="K576" s="3" t="str">
        <f>TEXT(cf_cl[[#This Row],[date_submitted]],"mmm")</f>
        <v>Mar</v>
      </c>
      <c r="L576" s="3" t="str">
        <f t="shared" si="24"/>
        <v>Q1</v>
      </c>
      <c r="M576" s="3" t="str">
        <f t="shared" si="25"/>
        <v>Friday</v>
      </c>
      <c r="N576" s="3" t="str">
        <f t="shared" si="26"/>
        <v>No</v>
      </c>
      <c r="O576" s="3" t="str">
        <f>IF(COUNTIF($B:$B,B576)=1,"New Customer",
IF(COUNTIF($B:$B,B576)&lt;=3,"Returning Customer","Loyal Customer"))</f>
        <v>New Customer</v>
      </c>
      <c r="P576" s="3" t="str">
        <f>IF(cf_cl[[#This Row],[referred_claim]]="Yes","Referred","Not Referred")</f>
        <v>Referred</v>
      </c>
    </row>
    <row r="577" spans="1:16" x14ac:dyDescent="0.3">
      <c r="A577" t="s">
        <v>1115</v>
      </c>
      <c r="B577" t="s">
        <v>1116</v>
      </c>
      <c r="C577" s="1">
        <v>45006</v>
      </c>
      <c r="D577" t="s">
        <v>37</v>
      </c>
      <c r="E577">
        <v>5</v>
      </c>
      <c r="F577" s="3" t="s">
        <v>10</v>
      </c>
      <c r="G577" s="3" t="s">
        <v>10</v>
      </c>
      <c r="H577" s="3" t="str">
        <f>IF(cf_cl[[#This Row],[satisfaction_score]]&gt;=4,"Happy",IF(cf_cl[[#This Row],[satisfaction_score]]=3,"Neutral","Negative"))</f>
        <v>Happy</v>
      </c>
      <c r="I577" s="3" t="str">
        <f>IF(cf_cl[[#This Row],[satisfaction_score]]&lt;=2,"Low",IF(cf_cl[[#This Row],[satisfaction_score]]=3,"Medium","High"))</f>
        <v>High</v>
      </c>
      <c r="J577">
        <f>YEAR(cf_cl[[#This Row],[date_submitted]])</f>
        <v>2023</v>
      </c>
      <c r="K577" s="3" t="str">
        <f>TEXT(cf_cl[[#This Row],[date_submitted]],"mmm")</f>
        <v>Mar</v>
      </c>
      <c r="L577" s="3" t="str">
        <f t="shared" si="24"/>
        <v>Q1</v>
      </c>
      <c r="M577" s="3" t="str">
        <f t="shared" si="25"/>
        <v>Tuesday</v>
      </c>
      <c r="N577" s="3" t="str">
        <f t="shared" si="26"/>
        <v>No</v>
      </c>
      <c r="O577" s="3" t="str">
        <f>IF(COUNTIF($B:$B,B577)=1,"New Customer",
IF(COUNTIF($B:$B,B577)&lt;=3,"Returning Customer","Loyal Customer"))</f>
        <v>New Customer</v>
      </c>
      <c r="P577" s="3" t="str">
        <f>IF(cf_cl[[#This Row],[referred_claim]]="Yes","Referred","Not Referred")</f>
        <v>Referred</v>
      </c>
    </row>
    <row r="578" spans="1:16" x14ac:dyDescent="0.3">
      <c r="A578" t="s">
        <v>1117</v>
      </c>
      <c r="B578" t="s">
        <v>1118</v>
      </c>
      <c r="C578" s="1">
        <v>45236</v>
      </c>
      <c r="D578" t="s">
        <v>37</v>
      </c>
      <c r="E578">
        <v>3</v>
      </c>
      <c r="F578" s="3" t="s">
        <v>13</v>
      </c>
      <c r="G578" s="3" t="s">
        <v>13</v>
      </c>
      <c r="H578" s="3" t="str">
        <f>IF(cf_cl[[#This Row],[satisfaction_score]]&gt;=4,"Happy",IF(cf_cl[[#This Row],[satisfaction_score]]=3,"Neutral","Negative"))</f>
        <v>Neutral</v>
      </c>
      <c r="I578" s="3" t="str">
        <f>IF(cf_cl[[#This Row],[satisfaction_score]]&lt;=2,"Low",IF(cf_cl[[#This Row],[satisfaction_score]]=3,"Medium","High"))</f>
        <v>Medium</v>
      </c>
      <c r="J578">
        <f>YEAR(cf_cl[[#This Row],[date_submitted]])</f>
        <v>2023</v>
      </c>
      <c r="K578" s="3" t="str">
        <f>TEXT(cf_cl[[#This Row],[date_submitted]],"mmm")</f>
        <v>Nov</v>
      </c>
      <c r="L578" s="3" t="str">
        <f t="shared" ref="L578:L641" si="27">"Q"&amp;ROUNDUP(MONTH(C578)/3,0)</f>
        <v>Q4</v>
      </c>
      <c r="M578" s="3" t="str">
        <f t="shared" ref="M578:M641" si="28">TEXT(C578,"dddd")</f>
        <v>Monday</v>
      </c>
      <c r="N578" s="3" t="str">
        <f t="shared" ref="N578:N641" si="29">IF(E578&lt;=2,"Yes","No")</f>
        <v>No</v>
      </c>
      <c r="O578" s="3" t="str">
        <f>IF(COUNTIF($B:$B,B578)=1,"New Customer",
IF(COUNTIF($B:$B,B578)&lt;=3,"Returning Customer","Loyal Customer"))</f>
        <v>New Customer</v>
      </c>
      <c r="P578" s="3" t="str">
        <f>IF(cf_cl[[#This Row],[referred_claim]]="Yes","Referred","Not Referred")</f>
        <v>Not Referred</v>
      </c>
    </row>
    <row r="579" spans="1:16" x14ac:dyDescent="0.3">
      <c r="A579" t="s">
        <v>1119</v>
      </c>
      <c r="B579" t="s">
        <v>1120</v>
      </c>
      <c r="C579" s="1">
        <v>44719</v>
      </c>
      <c r="D579" t="s">
        <v>25</v>
      </c>
      <c r="E579">
        <v>4</v>
      </c>
      <c r="F579" s="3" t="s">
        <v>10</v>
      </c>
      <c r="G579" s="3" t="s">
        <v>10</v>
      </c>
      <c r="H579" s="3" t="str">
        <f>IF(cf_cl[[#This Row],[satisfaction_score]]&gt;=4,"Happy",IF(cf_cl[[#This Row],[satisfaction_score]]=3,"Neutral","Negative"))</f>
        <v>Happy</v>
      </c>
      <c r="I579" s="3" t="str">
        <f>IF(cf_cl[[#This Row],[satisfaction_score]]&lt;=2,"Low",IF(cf_cl[[#This Row],[satisfaction_score]]=3,"Medium","High"))</f>
        <v>High</v>
      </c>
      <c r="J579">
        <f>YEAR(cf_cl[[#This Row],[date_submitted]])</f>
        <v>2022</v>
      </c>
      <c r="K579" s="3" t="str">
        <f>TEXT(cf_cl[[#This Row],[date_submitted]],"mmm")</f>
        <v>Jun</v>
      </c>
      <c r="L579" s="3" t="str">
        <f t="shared" si="27"/>
        <v>Q2</v>
      </c>
      <c r="M579" s="3" t="str">
        <f t="shared" si="28"/>
        <v>Tuesday</v>
      </c>
      <c r="N579" s="3" t="str">
        <f t="shared" si="29"/>
        <v>No</v>
      </c>
      <c r="O579" s="3" t="str">
        <f>IF(COUNTIF($B:$B,B579)=1,"New Customer",
IF(COUNTIF($B:$B,B579)&lt;=3,"Returning Customer","Loyal Customer"))</f>
        <v>New Customer</v>
      </c>
      <c r="P579" s="3" t="str">
        <f>IF(cf_cl[[#This Row],[referred_claim]]="Yes","Referred","Not Referred")</f>
        <v>Referred</v>
      </c>
    </row>
    <row r="580" spans="1:16" x14ac:dyDescent="0.3">
      <c r="A580" t="s">
        <v>1121</v>
      </c>
      <c r="B580" t="s">
        <v>1122</v>
      </c>
      <c r="C580" s="1">
        <v>44968</v>
      </c>
      <c r="D580" t="s">
        <v>31</v>
      </c>
      <c r="E580">
        <v>3</v>
      </c>
      <c r="F580" s="3" t="s">
        <v>13</v>
      </c>
      <c r="G580" s="3" t="s">
        <v>13</v>
      </c>
      <c r="H580" s="3" t="str">
        <f>IF(cf_cl[[#This Row],[satisfaction_score]]&gt;=4,"Happy",IF(cf_cl[[#This Row],[satisfaction_score]]=3,"Neutral","Negative"))</f>
        <v>Neutral</v>
      </c>
      <c r="I580" s="3" t="str">
        <f>IF(cf_cl[[#This Row],[satisfaction_score]]&lt;=2,"Low",IF(cf_cl[[#This Row],[satisfaction_score]]=3,"Medium","High"))</f>
        <v>Medium</v>
      </c>
      <c r="J580">
        <f>YEAR(cf_cl[[#This Row],[date_submitted]])</f>
        <v>2023</v>
      </c>
      <c r="K580" s="3" t="str">
        <f>TEXT(cf_cl[[#This Row],[date_submitted]],"mmm")</f>
        <v>Feb</v>
      </c>
      <c r="L580" s="3" t="str">
        <f t="shared" si="27"/>
        <v>Q1</v>
      </c>
      <c r="M580" s="3" t="str">
        <f t="shared" si="28"/>
        <v>Saturday</v>
      </c>
      <c r="N580" s="3" t="str">
        <f t="shared" si="29"/>
        <v>No</v>
      </c>
      <c r="O580" s="3" t="str">
        <f>IF(COUNTIF($B:$B,B580)=1,"New Customer",
IF(COUNTIF($B:$B,B580)&lt;=3,"Returning Customer","Loyal Customer"))</f>
        <v>New Customer</v>
      </c>
      <c r="P580" s="3" t="str">
        <f>IF(cf_cl[[#This Row],[referred_claim]]="Yes","Referred","Not Referred")</f>
        <v>Not Referred</v>
      </c>
    </row>
    <row r="581" spans="1:16" x14ac:dyDescent="0.3">
      <c r="A581" t="s">
        <v>1123</v>
      </c>
      <c r="B581" t="s">
        <v>1124</v>
      </c>
      <c r="C581" s="1">
        <v>45153</v>
      </c>
      <c r="D581" t="s">
        <v>9</v>
      </c>
      <c r="E581">
        <v>2</v>
      </c>
      <c r="F581" s="3" t="s">
        <v>13</v>
      </c>
      <c r="G581" s="3" t="s">
        <v>10</v>
      </c>
      <c r="H581" s="3" t="str">
        <f>IF(cf_cl[[#This Row],[satisfaction_score]]&gt;=4,"Happy",IF(cf_cl[[#This Row],[satisfaction_score]]=3,"Neutral","Negative"))</f>
        <v>Negative</v>
      </c>
      <c r="I581" s="3" t="str">
        <f>IF(cf_cl[[#This Row],[satisfaction_score]]&lt;=2,"Low",IF(cf_cl[[#This Row],[satisfaction_score]]=3,"Medium","High"))</f>
        <v>Low</v>
      </c>
      <c r="J581">
        <f>YEAR(cf_cl[[#This Row],[date_submitted]])</f>
        <v>2023</v>
      </c>
      <c r="K581" s="3" t="str">
        <f>TEXT(cf_cl[[#This Row],[date_submitted]],"mmm")</f>
        <v>Aug</v>
      </c>
      <c r="L581" s="3" t="str">
        <f t="shared" si="27"/>
        <v>Q3</v>
      </c>
      <c r="M581" s="3" t="str">
        <f t="shared" si="28"/>
        <v>Tuesday</v>
      </c>
      <c r="N581" s="3" t="str">
        <f t="shared" si="29"/>
        <v>Yes</v>
      </c>
      <c r="O581" s="3" t="str">
        <f>IF(COUNTIF($B:$B,B581)=1,"New Customer",
IF(COUNTIF($B:$B,B581)&lt;=3,"Returning Customer","Loyal Customer"))</f>
        <v>New Customer</v>
      </c>
      <c r="P581" s="3" t="str">
        <f>IF(cf_cl[[#This Row],[referred_claim]]="Yes","Referred","Not Referred")</f>
        <v>Referred</v>
      </c>
    </row>
    <row r="582" spans="1:16" x14ac:dyDescent="0.3">
      <c r="A582" t="s">
        <v>1125</v>
      </c>
      <c r="B582" t="s">
        <v>1126</v>
      </c>
      <c r="C582" s="1">
        <v>44954</v>
      </c>
      <c r="D582" t="s">
        <v>37</v>
      </c>
      <c r="E582">
        <v>4</v>
      </c>
      <c r="F582" s="3" t="s">
        <v>13</v>
      </c>
      <c r="G582" s="3" t="s">
        <v>10</v>
      </c>
      <c r="H582" s="3" t="str">
        <f>IF(cf_cl[[#This Row],[satisfaction_score]]&gt;=4,"Happy",IF(cf_cl[[#This Row],[satisfaction_score]]=3,"Neutral","Negative"))</f>
        <v>Happy</v>
      </c>
      <c r="I582" s="3" t="str">
        <f>IF(cf_cl[[#This Row],[satisfaction_score]]&lt;=2,"Low",IF(cf_cl[[#This Row],[satisfaction_score]]=3,"Medium","High"))</f>
        <v>High</v>
      </c>
      <c r="J582">
        <f>YEAR(cf_cl[[#This Row],[date_submitted]])</f>
        <v>2023</v>
      </c>
      <c r="K582" s="3" t="str">
        <f>TEXT(cf_cl[[#This Row],[date_submitted]],"mmm")</f>
        <v>Jan</v>
      </c>
      <c r="L582" s="3" t="str">
        <f t="shared" si="27"/>
        <v>Q1</v>
      </c>
      <c r="M582" s="3" t="str">
        <f t="shared" si="28"/>
        <v>Saturday</v>
      </c>
      <c r="N582" s="3" t="str">
        <f t="shared" si="29"/>
        <v>No</v>
      </c>
      <c r="O582" s="3" t="str">
        <f>IF(COUNTIF($B:$B,B582)=1,"New Customer",
IF(COUNTIF($B:$B,B582)&lt;=3,"Returning Customer","Loyal Customer"))</f>
        <v>New Customer</v>
      </c>
      <c r="P582" s="3" t="str">
        <f>IF(cf_cl[[#This Row],[referred_claim]]="Yes","Referred","Not Referred")</f>
        <v>Referred</v>
      </c>
    </row>
    <row r="583" spans="1:16" x14ac:dyDescent="0.3">
      <c r="A583" t="s">
        <v>1127</v>
      </c>
      <c r="B583" t="s">
        <v>1128</v>
      </c>
      <c r="C583" s="1">
        <v>45082</v>
      </c>
      <c r="D583" t="s">
        <v>25</v>
      </c>
      <c r="E583">
        <v>5</v>
      </c>
      <c r="F583" s="3" t="s">
        <v>13</v>
      </c>
      <c r="G583" s="3" t="s">
        <v>13</v>
      </c>
      <c r="H583" s="3" t="str">
        <f>IF(cf_cl[[#This Row],[satisfaction_score]]&gt;=4,"Happy",IF(cf_cl[[#This Row],[satisfaction_score]]=3,"Neutral","Negative"))</f>
        <v>Happy</v>
      </c>
      <c r="I583" s="3" t="str">
        <f>IF(cf_cl[[#This Row],[satisfaction_score]]&lt;=2,"Low",IF(cf_cl[[#This Row],[satisfaction_score]]=3,"Medium","High"))</f>
        <v>High</v>
      </c>
      <c r="J583">
        <f>YEAR(cf_cl[[#This Row],[date_submitted]])</f>
        <v>2023</v>
      </c>
      <c r="K583" s="3" t="str">
        <f>TEXT(cf_cl[[#This Row],[date_submitted]],"mmm")</f>
        <v>Jun</v>
      </c>
      <c r="L583" s="3" t="str">
        <f t="shared" si="27"/>
        <v>Q2</v>
      </c>
      <c r="M583" s="3" t="str">
        <f t="shared" si="28"/>
        <v>Monday</v>
      </c>
      <c r="N583" s="3" t="str">
        <f t="shared" si="29"/>
        <v>No</v>
      </c>
      <c r="O583" s="3" t="str">
        <f>IF(COUNTIF($B:$B,B583)=1,"New Customer",
IF(COUNTIF($B:$B,B583)&lt;=3,"Returning Customer","Loyal Customer"))</f>
        <v>New Customer</v>
      </c>
      <c r="P583" s="3" t="str">
        <f>IF(cf_cl[[#This Row],[referred_claim]]="Yes","Referred","Not Referred")</f>
        <v>Not Referred</v>
      </c>
    </row>
    <row r="584" spans="1:16" x14ac:dyDescent="0.3">
      <c r="A584" t="s">
        <v>1129</v>
      </c>
      <c r="B584" t="s">
        <v>1130</v>
      </c>
      <c r="C584" s="1">
        <v>44862</v>
      </c>
      <c r="D584" t="s">
        <v>19</v>
      </c>
      <c r="E584">
        <v>2</v>
      </c>
      <c r="F584" s="3" t="s">
        <v>13</v>
      </c>
      <c r="G584" s="3" t="s">
        <v>13</v>
      </c>
      <c r="H584" s="3" t="str">
        <f>IF(cf_cl[[#This Row],[satisfaction_score]]&gt;=4,"Happy",IF(cf_cl[[#This Row],[satisfaction_score]]=3,"Neutral","Negative"))</f>
        <v>Negative</v>
      </c>
      <c r="I584" s="3" t="str">
        <f>IF(cf_cl[[#This Row],[satisfaction_score]]&lt;=2,"Low",IF(cf_cl[[#This Row],[satisfaction_score]]=3,"Medium","High"))</f>
        <v>Low</v>
      </c>
      <c r="J584">
        <f>YEAR(cf_cl[[#This Row],[date_submitted]])</f>
        <v>2022</v>
      </c>
      <c r="K584" s="3" t="str">
        <f>TEXT(cf_cl[[#This Row],[date_submitted]],"mmm")</f>
        <v>Oct</v>
      </c>
      <c r="L584" s="3" t="str">
        <f t="shared" si="27"/>
        <v>Q4</v>
      </c>
      <c r="M584" s="3" t="str">
        <f t="shared" si="28"/>
        <v>Friday</v>
      </c>
      <c r="N584" s="3" t="str">
        <f t="shared" si="29"/>
        <v>Yes</v>
      </c>
      <c r="O584" s="3" t="str">
        <f>IF(COUNTIF($B:$B,B584)=1,"New Customer",
IF(COUNTIF($B:$B,B584)&lt;=3,"Returning Customer","Loyal Customer"))</f>
        <v>New Customer</v>
      </c>
      <c r="P584" s="3" t="str">
        <f>IF(cf_cl[[#This Row],[referred_claim]]="Yes","Referred","Not Referred")</f>
        <v>Not Referred</v>
      </c>
    </row>
    <row r="585" spans="1:16" x14ac:dyDescent="0.3">
      <c r="A585" t="s">
        <v>1131</v>
      </c>
      <c r="B585" t="s">
        <v>1132</v>
      </c>
      <c r="C585" s="1">
        <v>44525</v>
      </c>
      <c r="D585" t="s">
        <v>83</v>
      </c>
      <c r="E585">
        <v>3</v>
      </c>
      <c r="F585" s="3" t="s">
        <v>13</v>
      </c>
      <c r="G585" s="3" t="s">
        <v>13</v>
      </c>
      <c r="H585" s="3" t="str">
        <f>IF(cf_cl[[#This Row],[satisfaction_score]]&gt;=4,"Happy",IF(cf_cl[[#This Row],[satisfaction_score]]=3,"Neutral","Negative"))</f>
        <v>Neutral</v>
      </c>
      <c r="I585" s="3" t="str">
        <f>IF(cf_cl[[#This Row],[satisfaction_score]]&lt;=2,"Low",IF(cf_cl[[#This Row],[satisfaction_score]]=3,"Medium","High"))</f>
        <v>Medium</v>
      </c>
      <c r="J585">
        <f>YEAR(cf_cl[[#This Row],[date_submitted]])</f>
        <v>2021</v>
      </c>
      <c r="K585" s="3" t="str">
        <f>TEXT(cf_cl[[#This Row],[date_submitted]],"mmm")</f>
        <v>Nov</v>
      </c>
      <c r="L585" s="3" t="str">
        <f t="shared" si="27"/>
        <v>Q4</v>
      </c>
      <c r="M585" s="3" t="str">
        <f t="shared" si="28"/>
        <v>Thursday</v>
      </c>
      <c r="N585" s="3" t="str">
        <f t="shared" si="29"/>
        <v>No</v>
      </c>
      <c r="O585" s="3" t="str">
        <f>IF(COUNTIF($B:$B,B585)=1,"New Customer",
IF(COUNTIF($B:$B,B585)&lt;=3,"Returning Customer","Loyal Customer"))</f>
        <v>New Customer</v>
      </c>
      <c r="P585" s="3" t="str">
        <f>IF(cf_cl[[#This Row],[referred_claim]]="Yes","Referred","Not Referred")</f>
        <v>Not Referred</v>
      </c>
    </row>
    <row r="586" spans="1:16" x14ac:dyDescent="0.3">
      <c r="A586" t="s">
        <v>1133</v>
      </c>
      <c r="B586" t="s">
        <v>1134</v>
      </c>
      <c r="C586" s="1">
        <v>44897</v>
      </c>
      <c r="D586" t="s">
        <v>31</v>
      </c>
      <c r="E586">
        <v>1</v>
      </c>
      <c r="F586" s="3" t="s">
        <v>13</v>
      </c>
      <c r="G586" s="3" t="s">
        <v>13</v>
      </c>
      <c r="H586" s="3" t="str">
        <f>IF(cf_cl[[#This Row],[satisfaction_score]]&gt;=4,"Happy",IF(cf_cl[[#This Row],[satisfaction_score]]=3,"Neutral","Negative"))</f>
        <v>Negative</v>
      </c>
      <c r="I586" s="3" t="str">
        <f>IF(cf_cl[[#This Row],[satisfaction_score]]&lt;=2,"Low",IF(cf_cl[[#This Row],[satisfaction_score]]=3,"Medium","High"))</f>
        <v>Low</v>
      </c>
      <c r="J586">
        <f>YEAR(cf_cl[[#This Row],[date_submitted]])</f>
        <v>2022</v>
      </c>
      <c r="K586" s="3" t="str">
        <f>TEXT(cf_cl[[#This Row],[date_submitted]],"mmm")</f>
        <v>Dec</v>
      </c>
      <c r="L586" s="3" t="str">
        <f t="shared" si="27"/>
        <v>Q4</v>
      </c>
      <c r="M586" s="3" t="str">
        <f t="shared" si="28"/>
        <v>Friday</v>
      </c>
      <c r="N586" s="3" t="str">
        <f t="shared" si="29"/>
        <v>Yes</v>
      </c>
      <c r="O586" s="3" t="str">
        <f>IF(COUNTIF($B:$B,B586)=1,"New Customer",
IF(COUNTIF($B:$B,B586)&lt;=3,"Returning Customer","Loyal Customer"))</f>
        <v>Returning Customer</v>
      </c>
      <c r="P586" s="3" t="str">
        <f>IF(cf_cl[[#This Row],[referred_claim]]="Yes","Referred","Not Referred")</f>
        <v>Not Referred</v>
      </c>
    </row>
    <row r="587" spans="1:16" x14ac:dyDescent="0.3">
      <c r="A587" t="s">
        <v>1135</v>
      </c>
      <c r="B587" t="s">
        <v>898</v>
      </c>
      <c r="C587" s="1">
        <v>43987</v>
      </c>
      <c r="D587" t="s">
        <v>37</v>
      </c>
      <c r="E587">
        <v>5</v>
      </c>
      <c r="F587" s="3" t="s">
        <v>13</v>
      </c>
      <c r="G587" s="3" t="s">
        <v>13</v>
      </c>
      <c r="H587" s="3" t="str">
        <f>IF(cf_cl[[#This Row],[satisfaction_score]]&gt;=4,"Happy",IF(cf_cl[[#This Row],[satisfaction_score]]=3,"Neutral","Negative"))</f>
        <v>Happy</v>
      </c>
      <c r="I587" s="3" t="str">
        <f>IF(cf_cl[[#This Row],[satisfaction_score]]&lt;=2,"Low",IF(cf_cl[[#This Row],[satisfaction_score]]=3,"Medium","High"))</f>
        <v>High</v>
      </c>
      <c r="J587">
        <f>YEAR(cf_cl[[#This Row],[date_submitted]])</f>
        <v>2020</v>
      </c>
      <c r="K587" s="3" t="str">
        <f>TEXT(cf_cl[[#This Row],[date_submitted]],"mmm")</f>
        <v>Jun</v>
      </c>
      <c r="L587" s="3" t="str">
        <f t="shared" si="27"/>
        <v>Q2</v>
      </c>
      <c r="M587" s="3" t="str">
        <f t="shared" si="28"/>
        <v>Friday</v>
      </c>
      <c r="N587" s="3" t="str">
        <f t="shared" si="29"/>
        <v>No</v>
      </c>
      <c r="O587" s="3" t="str">
        <f>IF(COUNTIF($B:$B,B587)=1,"New Customer",
IF(COUNTIF($B:$B,B587)&lt;=3,"Returning Customer","Loyal Customer"))</f>
        <v>Returning Customer</v>
      </c>
      <c r="P587" s="3" t="str">
        <f>IF(cf_cl[[#This Row],[referred_claim]]="Yes","Referred","Not Referred")</f>
        <v>Not Referred</v>
      </c>
    </row>
    <row r="588" spans="1:16" x14ac:dyDescent="0.3">
      <c r="A588" t="s">
        <v>1136</v>
      </c>
      <c r="B588" t="s">
        <v>1137</v>
      </c>
      <c r="C588" s="1">
        <v>44097</v>
      </c>
      <c r="D588" t="s">
        <v>9</v>
      </c>
      <c r="E588">
        <v>3</v>
      </c>
      <c r="F588" s="3" t="s">
        <v>13</v>
      </c>
      <c r="G588" s="3" t="s">
        <v>10</v>
      </c>
      <c r="H588" s="3" t="str">
        <f>IF(cf_cl[[#This Row],[satisfaction_score]]&gt;=4,"Happy",IF(cf_cl[[#This Row],[satisfaction_score]]=3,"Neutral","Negative"))</f>
        <v>Neutral</v>
      </c>
      <c r="I588" s="3" t="str">
        <f>IF(cf_cl[[#This Row],[satisfaction_score]]&lt;=2,"Low",IF(cf_cl[[#This Row],[satisfaction_score]]=3,"Medium","High"))</f>
        <v>Medium</v>
      </c>
      <c r="J588">
        <f>YEAR(cf_cl[[#This Row],[date_submitted]])</f>
        <v>2020</v>
      </c>
      <c r="K588" s="3" t="str">
        <f>TEXT(cf_cl[[#This Row],[date_submitted]],"mmm")</f>
        <v>Sep</v>
      </c>
      <c r="L588" s="3" t="str">
        <f t="shared" si="27"/>
        <v>Q3</v>
      </c>
      <c r="M588" s="3" t="str">
        <f t="shared" si="28"/>
        <v>Wednesday</v>
      </c>
      <c r="N588" s="3" t="str">
        <f t="shared" si="29"/>
        <v>No</v>
      </c>
      <c r="O588" s="3" t="str">
        <f>IF(COUNTIF($B:$B,B588)=1,"New Customer",
IF(COUNTIF($B:$B,B588)&lt;=3,"Returning Customer","Loyal Customer"))</f>
        <v>New Customer</v>
      </c>
      <c r="P588" s="3" t="str">
        <f>IF(cf_cl[[#This Row],[referred_claim]]="Yes","Referred","Not Referred")</f>
        <v>Referred</v>
      </c>
    </row>
    <row r="589" spans="1:16" x14ac:dyDescent="0.3">
      <c r="A589" t="s">
        <v>1138</v>
      </c>
      <c r="B589" t="s">
        <v>987</v>
      </c>
      <c r="C589" s="1">
        <v>44246</v>
      </c>
      <c r="D589" t="s">
        <v>9</v>
      </c>
      <c r="E589">
        <v>3</v>
      </c>
      <c r="F589" s="3" t="s">
        <v>13</v>
      </c>
      <c r="G589" s="3" t="s">
        <v>10</v>
      </c>
      <c r="H589" s="3" t="str">
        <f>IF(cf_cl[[#This Row],[satisfaction_score]]&gt;=4,"Happy",IF(cf_cl[[#This Row],[satisfaction_score]]=3,"Neutral","Negative"))</f>
        <v>Neutral</v>
      </c>
      <c r="I589" s="3" t="str">
        <f>IF(cf_cl[[#This Row],[satisfaction_score]]&lt;=2,"Low",IF(cf_cl[[#This Row],[satisfaction_score]]=3,"Medium","High"))</f>
        <v>Medium</v>
      </c>
      <c r="J589">
        <f>YEAR(cf_cl[[#This Row],[date_submitted]])</f>
        <v>2021</v>
      </c>
      <c r="K589" s="3" t="str">
        <f>TEXT(cf_cl[[#This Row],[date_submitted]],"mmm")</f>
        <v>Feb</v>
      </c>
      <c r="L589" s="3" t="str">
        <f t="shared" si="27"/>
        <v>Q1</v>
      </c>
      <c r="M589" s="3" t="str">
        <f t="shared" si="28"/>
        <v>Friday</v>
      </c>
      <c r="N589" s="3" t="str">
        <f t="shared" si="29"/>
        <v>No</v>
      </c>
      <c r="O589" s="3" t="str">
        <f>IF(COUNTIF($B:$B,B589)=1,"New Customer",
IF(COUNTIF($B:$B,B589)&lt;=3,"Returning Customer","Loyal Customer"))</f>
        <v>Returning Customer</v>
      </c>
      <c r="P589" s="3" t="str">
        <f>IF(cf_cl[[#This Row],[referred_claim]]="Yes","Referred","Not Referred")</f>
        <v>Referred</v>
      </c>
    </row>
    <row r="590" spans="1:16" x14ac:dyDescent="0.3">
      <c r="A590" t="s">
        <v>1139</v>
      </c>
      <c r="B590" t="s">
        <v>1140</v>
      </c>
      <c r="C590" s="1">
        <v>44640</v>
      </c>
      <c r="D590" t="s">
        <v>9</v>
      </c>
      <c r="E590">
        <v>1</v>
      </c>
      <c r="F590" s="3" t="s">
        <v>13</v>
      </c>
      <c r="G590" s="3" t="s">
        <v>10</v>
      </c>
      <c r="H590" s="3" t="str">
        <f>IF(cf_cl[[#This Row],[satisfaction_score]]&gt;=4,"Happy",IF(cf_cl[[#This Row],[satisfaction_score]]=3,"Neutral","Negative"))</f>
        <v>Negative</v>
      </c>
      <c r="I590" s="3" t="str">
        <f>IF(cf_cl[[#This Row],[satisfaction_score]]&lt;=2,"Low",IF(cf_cl[[#This Row],[satisfaction_score]]=3,"Medium","High"))</f>
        <v>Low</v>
      </c>
      <c r="J590">
        <f>YEAR(cf_cl[[#This Row],[date_submitted]])</f>
        <v>2022</v>
      </c>
      <c r="K590" s="3" t="str">
        <f>TEXT(cf_cl[[#This Row],[date_submitted]],"mmm")</f>
        <v>Mar</v>
      </c>
      <c r="L590" s="3" t="str">
        <f t="shared" si="27"/>
        <v>Q1</v>
      </c>
      <c r="M590" s="3" t="str">
        <f t="shared" si="28"/>
        <v>Sunday</v>
      </c>
      <c r="N590" s="3" t="str">
        <f t="shared" si="29"/>
        <v>Yes</v>
      </c>
      <c r="O590" s="3" t="str">
        <f>IF(COUNTIF($B:$B,B590)=1,"New Customer",
IF(COUNTIF($B:$B,B590)&lt;=3,"Returning Customer","Loyal Customer"))</f>
        <v>Returning Customer</v>
      </c>
      <c r="P590" s="3" t="str">
        <f>IF(cf_cl[[#This Row],[referred_claim]]="Yes","Referred","Not Referred")</f>
        <v>Referred</v>
      </c>
    </row>
    <row r="591" spans="1:16" x14ac:dyDescent="0.3">
      <c r="A591" t="s">
        <v>1141</v>
      </c>
      <c r="B591" t="s">
        <v>1142</v>
      </c>
      <c r="C591" s="1">
        <v>45061</v>
      </c>
      <c r="D591" t="s">
        <v>37</v>
      </c>
      <c r="E591">
        <v>3</v>
      </c>
      <c r="F591" s="3" t="s">
        <v>13</v>
      </c>
      <c r="G591" s="3" t="s">
        <v>13</v>
      </c>
      <c r="H591" s="3" t="str">
        <f>IF(cf_cl[[#This Row],[satisfaction_score]]&gt;=4,"Happy",IF(cf_cl[[#This Row],[satisfaction_score]]=3,"Neutral","Negative"))</f>
        <v>Neutral</v>
      </c>
      <c r="I591" s="3" t="str">
        <f>IF(cf_cl[[#This Row],[satisfaction_score]]&lt;=2,"Low",IF(cf_cl[[#This Row],[satisfaction_score]]=3,"Medium","High"))</f>
        <v>Medium</v>
      </c>
      <c r="J591">
        <f>YEAR(cf_cl[[#This Row],[date_submitted]])</f>
        <v>2023</v>
      </c>
      <c r="K591" s="3" t="str">
        <f>TEXT(cf_cl[[#This Row],[date_submitted]],"mmm")</f>
        <v>May</v>
      </c>
      <c r="L591" s="3" t="str">
        <f t="shared" si="27"/>
        <v>Q2</v>
      </c>
      <c r="M591" s="3" t="str">
        <f t="shared" si="28"/>
        <v>Monday</v>
      </c>
      <c r="N591" s="3" t="str">
        <f t="shared" si="29"/>
        <v>No</v>
      </c>
      <c r="O591" s="3" t="str">
        <f>IF(COUNTIF($B:$B,B591)=1,"New Customer",
IF(COUNTIF($B:$B,B591)&lt;=3,"Returning Customer","Loyal Customer"))</f>
        <v>New Customer</v>
      </c>
      <c r="P591" s="3" t="str">
        <f>IF(cf_cl[[#This Row],[referred_claim]]="Yes","Referred","Not Referred")</f>
        <v>Not Referred</v>
      </c>
    </row>
    <row r="592" spans="1:16" x14ac:dyDescent="0.3">
      <c r="A592" t="s">
        <v>1143</v>
      </c>
      <c r="B592" t="s">
        <v>1083</v>
      </c>
      <c r="C592" s="1">
        <v>44129</v>
      </c>
      <c r="D592" t="s">
        <v>16</v>
      </c>
      <c r="E592">
        <v>4</v>
      </c>
      <c r="F592" s="3" t="s">
        <v>10</v>
      </c>
      <c r="G592" s="3" t="s">
        <v>13</v>
      </c>
      <c r="H592" s="3" t="str">
        <f>IF(cf_cl[[#This Row],[satisfaction_score]]&gt;=4,"Happy",IF(cf_cl[[#This Row],[satisfaction_score]]=3,"Neutral","Negative"))</f>
        <v>Happy</v>
      </c>
      <c r="I592" s="3" t="str">
        <f>IF(cf_cl[[#This Row],[satisfaction_score]]&lt;=2,"Low",IF(cf_cl[[#This Row],[satisfaction_score]]=3,"Medium","High"))</f>
        <v>High</v>
      </c>
      <c r="J592">
        <f>YEAR(cf_cl[[#This Row],[date_submitted]])</f>
        <v>2020</v>
      </c>
      <c r="K592" s="3" t="str">
        <f>TEXT(cf_cl[[#This Row],[date_submitted]],"mmm")</f>
        <v>Oct</v>
      </c>
      <c r="L592" s="3" t="str">
        <f t="shared" si="27"/>
        <v>Q4</v>
      </c>
      <c r="M592" s="3" t="str">
        <f t="shared" si="28"/>
        <v>Sunday</v>
      </c>
      <c r="N592" s="3" t="str">
        <f t="shared" si="29"/>
        <v>No</v>
      </c>
      <c r="O592" s="3" t="str">
        <f>IF(COUNTIF($B:$B,B592)=1,"New Customer",
IF(COUNTIF($B:$B,B592)&lt;=3,"Returning Customer","Loyal Customer"))</f>
        <v>Returning Customer</v>
      </c>
      <c r="P592" s="3" t="str">
        <f>IF(cf_cl[[#This Row],[referred_claim]]="Yes","Referred","Not Referred")</f>
        <v>Not Referred</v>
      </c>
    </row>
    <row r="593" spans="1:16" x14ac:dyDescent="0.3">
      <c r="A593" t="s">
        <v>1144</v>
      </c>
      <c r="B593" t="s">
        <v>1145</v>
      </c>
      <c r="C593" s="1">
        <v>44309</v>
      </c>
      <c r="D593" t="s">
        <v>68</v>
      </c>
      <c r="E593">
        <v>2</v>
      </c>
      <c r="F593" s="3" t="s">
        <v>13</v>
      </c>
      <c r="G593" s="3" t="s">
        <v>10</v>
      </c>
      <c r="H593" s="3" t="str">
        <f>IF(cf_cl[[#This Row],[satisfaction_score]]&gt;=4,"Happy",IF(cf_cl[[#This Row],[satisfaction_score]]=3,"Neutral","Negative"))</f>
        <v>Negative</v>
      </c>
      <c r="I593" s="3" t="str">
        <f>IF(cf_cl[[#This Row],[satisfaction_score]]&lt;=2,"Low",IF(cf_cl[[#This Row],[satisfaction_score]]=3,"Medium","High"))</f>
        <v>Low</v>
      </c>
      <c r="J593">
        <f>YEAR(cf_cl[[#This Row],[date_submitted]])</f>
        <v>2021</v>
      </c>
      <c r="K593" s="3" t="str">
        <f>TEXT(cf_cl[[#This Row],[date_submitted]],"mmm")</f>
        <v>Apr</v>
      </c>
      <c r="L593" s="3" t="str">
        <f t="shared" si="27"/>
        <v>Q2</v>
      </c>
      <c r="M593" s="3" t="str">
        <f t="shared" si="28"/>
        <v>Friday</v>
      </c>
      <c r="N593" s="3" t="str">
        <f t="shared" si="29"/>
        <v>Yes</v>
      </c>
      <c r="O593" s="3" t="str">
        <f>IF(COUNTIF($B:$B,B593)=1,"New Customer",
IF(COUNTIF($B:$B,B593)&lt;=3,"Returning Customer","Loyal Customer"))</f>
        <v>New Customer</v>
      </c>
      <c r="P593" s="3" t="str">
        <f>IF(cf_cl[[#This Row],[referred_claim]]="Yes","Referred","Not Referred")</f>
        <v>Referred</v>
      </c>
    </row>
    <row r="594" spans="1:16" x14ac:dyDescent="0.3">
      <c r="A594" t="s">
        <v>1146</v>
      </c>
      <c r="B594" t="s">
        <v>107</v>
      </c>
      <c r="C594" s="1">
        <v>44021</v>
      </c>
      <c r="D594" t="s">
        <v>19</v>
      </c>
      <c r="E594">
        <v>2</v>
      </c>
      <c r="F594" s="3" t="s">
        <v>13</v>
      </c>
      <c r="G594" s="3" t="s">
        <v>13</v>
      </c>
      <c r="H594" s="3" t="str">
        <f>IF(cf_cl[[#This Row],[satisfaction_score]]&gt;=4,"Happy",IF(cf_cl[[#This Row],[satisfaction_score]]=3,"Neutral","Negative"))</f>
        <v>Negative</v>
      </c>
      <c r="I594" s="3" t="str">
        <f>IF(cf_cl[[#This Row],[satisfaction_score]]&lt;=2,"Low",IF(cf_cl[[#This Row],[satisfaction_score]]=3,"Medium","High"))</f>
        <v>Low</v>
      </c>
      <c r="J594">
        <f>YEAR(cf_cl[[#This Row],[date_submitted]])</f>
        <v>2020</v>
      </c>
      <c r="K594" s="3" t="str">
        <f>TEXT(cf_cl[[#This Row],[date_submitted]],"mmm")</f>
        <v>Jul</v>
      </c>
      <c r="L594" s="3" t="str">
        <f t="shared" si="27"/>
        <v>Q3</v>
      </c>
      <c r="M594" s="3" t="str">
        <f t="shared" si="28"/>
        <v>Thursday</v>
      </c>
      <c r="N594" s="3" t="str">
        <f t="shared" si="29"/>
        <v>Yes</v>
      </c>
      <c r="O594" s="3" t="str">
        <f>IF(COUNTIF($B:$B,B594)=1,"New Customer",
IF(COUNTIF($B:$B,B594)&lt;=3,"Returning Customer","Loyal Customer"))</f>
        <v>Returning Customer</v>
      </c>
      <c r="P594" s="3" t="str">
        <f>IF(cf_cl[[#This Row],[referred_claim]]="Yes","Referred","Not Referred")</f>
        <v>Not Referred</v>
      </c>
    </row>
    <row r="595" spans="1:16" x14ac:dyDescent="0.3">
      <c r="A595" t="s">
        <v>1147</v>
      </c>
      <c r="B595" t="s">
        <v>1148</v>
      </c>
      <c r="C595" s="1">
        <v>44357</v>
      </c>
      <c r="D595" t="s">
        <v>37</v>
      </c>
      <c r="E595">
        <v>4</v>
      </c>
      <c r="F595" s="3" t="s">
        <v>13</v>
      </c>
      <c r="G595" s="3" t="s">
        <v>10</v>
      </c>
      <c r="H595" s="3" t="str">
        <f>IF(cf_cl[[#This Row],[satisfaction_score]]&gt;=4,"Happy",IF(cf_cl[[#This Row],[satisfaction_score]]=3,"Neutral","Negative"))</f>
        <v>Happy</v>
      </c>
      <c r="I595" s="3" t="str">
        <f>IF(cf_cl[[#This Row],[satisfaction_score]]&lt;=2,"Low",IF(cf_cl[[#This Row],[satisfaction_score]]=3,"Medium","High"))</f>
        <v>High</v>
      </c>
      <c r="J595">
        <f>YEAR(cf_cl[[#This Row],[date_submitted]])</f>
        <v>2021</v>
      </c>
      <c r="K595" s="3" t="str">
        <f>TEXT(cf_cl[[#This Row],[date_submitted]],"mmm")</f>
        <v>Jun</v>
      </c>
      <c r="L595" s="3" t="str">
        <f t="shared" si="27"/>
        <v>Q2</v>
      </c>
      <c r="M595" s="3" t="str">
        <f t="shared" si="28"/>
        <v>Thursday</v>
      </c>
      <c r="N595" s="3" t="str">
        <f t="shared" si="29"/>
        <v>No</v>
      </c>
      <c r="O595" s="3" t="str">
        <f>IF(COUNTIF($B:$B,B595)=1,"New Customer",
IF(COUNTIF($B:$B,B595)&lt;=3,"Returning Customer","Loyal Customer"))</f>
        <v>Returning Customer</v>
      </c>
      <c r="P595" s="3" t="str">
        <f>IF(cf_cl[[#This Row],[referred_claim]]="Yes","Referred","Not Referred")</f>
        <v>Referred</v>
      </c>
    </row>
    <row r="596" spans="1:16" x14ac:dyDescent="0.3">
      <c r="A596" t="s">
        <v>1149</v>
      </c>
      <c r="B596" t="s">
        <v>571</v>
      </c>
      <c r="C596" s="1">
        <v>43993</v>
      </c>
      <c r="D596" t="s">
        <v>19</v>
      </c>
      <c r="E596">
        <v>3</v>
      </c>
      <c r="F596" s="3" t="s">
        <v>10</v>
      </c>
      <c r="G596" s="3" t="s">
        <v>10</v>
      </c>
      <c r="H596" s="3" t="str">
        <f>IF(cf_cl[[#This Row],[satisfaction_score]]&gt;=4,"Happy",IF(cf_cl[[#This Row],[satisfaction_score]]=3,"Neutral","Negative"))</f>
        <v>Neutral</v>
      </c>
      <c r="I596" s="3" t="str">
        <f>IF(cf_cl[[#This Row],[satisfaction_score]]&lt;=2,"Low",IF(cf_cl[[#This Row],[satisfaction_score]]=3,"Medium","High"))</f>
        <v>Medium</v>
      </c>
      <c r="J596">
        <f>YEAR(cf_cl[[#This Row],[date_submitted]])</f>
        <v>2020</v>
      </c>
      <c r="K596" s="3" t="str">
        <f>TEXT(cf_cl[[#This Row],[date_submitted]],"mmm")</f>
        <v>Jun</v>
      </c>
      <c r="L596" s="3" t="str">
        <f t="shared" si="27"/>
        <v>Q2</v>
      </c>
      <c r="M596" s="3" t="str">
        <f t="shared" si="28"/>
        <v>Thursday</v>
      </c>
      <c r="N596" s="3" t="str">
        <f t="shared" si="29"/>
        <v>No</v>
      </c>
      <c r="O596" s="3" t="str">
        <f>IF(COUNTIF($B:$B,B596)=1,"New Customer",
IF(COUNTIF($B:$B,B596)&lt;=3,"Returning Customer","Loyal Customer"))</f>
        <v>Returning Customer</v>
      </c>
      <c r="P596" s="3" t="str">
        <f>IF(cf_cl[[#This Row],[referred_claim]]="Yes","Referred","Not Referred")</f>
        <v>Referred</v>
      </c>
    </row>
    <row r="597" spans="1:16" x14ac:dyDescent="0.3">
      <c r="A597" t="s">
        <v>1150</v>
      </c>
      <c r="B597" t="s">
        <v>1151</v>
      </c>
      <c r="C597" s="1">
        <v>45213</v>
      </c>
      <c r="D597" t="s">
        <v>31</v>
      </c>
      <c r="E597">
        <v>1</v>
      </c>
      <c r="F597" s="3" t="s">
        <v>13</v>
      </c>
      <c r="G597" s="3" t="s">
        <v>10</v>
      </c>
      <c r="H597" s="3" t="str">
        <f>IF(cf_cl[[#This Row],[satisfaction_score]]&gt;=4,"Happy",IF(cf_cl[[#This Row],[satisfaction_score]]=3,"Neutral","Negative"))</f>
        <v>Negative</v>
      </c>
      <c r="I597" s="3" t="str">
        <f>IF(cf_cl[[#This Row],[satisfaction_score]]&lt;=2,"Low",IF(cf_cl[[#This Row],[satisfaction_score]]=3,"Medium","High"))</f>
        <v>Low</v>
      </c>
      <c r="J597">
        <f>YEAR(cf_cl[[#This Row],[date_submitted]])</f>
        <v>2023</v>
      </c>
      <c r="K597" s="3" t="str">
        <f>TEXT(cf_cl[[#This Row],[date_submitted]],"mmm")</f>
        <v>Oct</v>
      </c>
      <c r="L597" s="3" t="str">
        <f t="shared" si="27"/>
        <v>Q4</v>
      </c>
      <c r="M597" s="3" t="str">
        <f t="shared" si="28"/>
        <v>Saturday</v>
      </c>
      <c r="N597" s="3" t="str">
        <f t="shared" si="29"/>
        <v>Yes</v>
      </c>
      <c r="O597" s="3" t="str">
        <f>IF(COUNTIF($B:$B,B597)=1,"New Customer",
IF(COUNTIF($B:$B,B597)&lt;=3,"Returning Customer","Loyal Customer"))</f>
        <v>New Customer</v>
      </c>
      <c r="P597" s="3" t="str">
        <f>IF(cf_cl[[#This Row],[referred_claim]]="Yes","Referred","Not Referred")</f>
        <v>Referred</v>
      </c>
    </row>
    <row r="598" spans="1:16" x14ac:dyDescent="0.3">
      <c r="A598" t="s">
        <v>1152</v>
      </c>
      <c r="B598" t="s">
        <v>1153</v>
      </c>
      <c r="C598" s="1">
        <v>45008</v>
      </c>
      <c r="D598" t="s">
        <v>25</v>
      </c>
      <c r="E598">
        <v>4</v>
      </c>
      <c r="F598" s="3" t="s">
        <v>10</v>
      </c>
      <c r="G598" s="3" t="s">
        <v>13</v>
      </c>
      <c r="H598" s="3" t="str">
        <f>IF(cf_cl[[#This Row],[satisfaction_score]]&gt;=4,"Happy",IF(cf_cl[[#This Row],[satisfaction_score]]=3,"Neutral","Negative"))</f>
        <v>Happy</v>
      </c>
      <c r="I598" s="3" t="str">
        <f>IF(cf_cl[[#This Row],[satisfaction_score]]&lt;=2,"Low",IF(cf_cl[[#This Row],[satisfaction_score]]=3,"Medium","High"))</f>
        <v>High</v>
      </c>
      <c r="J598">
        <f>YEAR(cf_cl[[#This Row],[date_submitted]])</f>
        <v>2023</v>
      </c>
      <c r="K598" s="3" t="str">
        <f>TEXT(cf_cl[[#This Row],[date_submitted]],"mmm")</f>
        <v>Mar</v>
      </c>
      <c r="L598" s="3" t="str">
        <f t="shared" si="27"/>
        <v>Q1</v>
      </c>
      <c r="M598" s="3" t="str">
        <f t="shared" si="28"/>
        <v>Thursday</v>
      </c>
      <c r="N598" s="3" t="str">
        <f t="shared" si="29"/>
        <v>No</v>
      </c>
      <c r="O598" s="3" t="str">
        <f>IF(COUNTIF($B:$B,B598)=1,"New Customer",
IF(COUNTIF($B:$B,B598)&lt;=3,"Returning Customer","Loyal Customer"))</f>
        <v>New Customer</v>
      </c>
      <c r="P598" s="3" t="str">
        <f>IF(cf_cl[[#This Row],[referred_claim]]="Yes","Referred","Not Referred")</f>
        <v>Not Referred</v>
      </c>
    </row>
    <row r="599" spans="1:16" x14ac:dyDescent="0.3">
      <c r="A599" t="s">
        <v>1154</v>
      </c>
      <c r="B599" t="s">
        <v>654</v>
      </c>
      <c r="C599" s="1">
        <v>44704</v>
      </c>
      <c r="D599" t="s">
        <v>68</v>
      </c>
      <c r="E599">
        <v>2</v>
      </c>
      <c r="F599" s="3" t="s">
        <v>13</v>
      </c>
      <c r="G599" s="3" t="s">
        <v>10</v>
      </c>
      <c r="H599" s="3" t="str">
        <f>IF(cf_cl[[#This Row],[satisfaction_score]]&gt;=4,"Happy",IF(cf_cl[[#This Row],[satisfaction_score]]=3,"Neutral","Negative"))</f>
        <v>Negative</v>
      </c>
      <c r="I599" s="3" t="str">
        <f>IF(cf_cl[[#This Row],[satisfaction_score]]&lt;=2,"Low",IF(cf_cl[[#This Row],[satisfaction_score]]=3,"Medium","High"))</f>
        <v>Low</v>
      </c>
      <c r="J599">
        <f>YEAR(cf_cl[[#This Row],[date_submitted]])</f>
        <v>2022</v>
      </c>
      <c r="K599" s="3" t="str">
        <f>TEXT(cf_cl[[#This Row],[date_submitted]],"mmm")</f>
        <v>May</v>
      </c>
      <c r="L599" s="3" t="str">
        <f t="shared" si="27"/>
        <v>Q2</v>
      </c>
      <c r="M599" s="3" t="str">
        <f t="shared" si="28"/>
        <v>Monday</v>
      </c>
      <c r="N599" s="3" t="str">
        <f t="shared" si="29"/>
        <v>Yes</v>
      </c>
      <c r="O599" s="3" t="str">
        <f>IF(COUNTIF($B:$B,B599)=1,"New Customer",
IF(COUNTIF($B:$B,B599)&lt;=3,"Returning Customer","Loyal Customer"))</f>
        <v>Returning Customer</v>
      </c>
      <c r="P599" s="3" t="str">
        <f>IF(cf_cl[[#This Row],[referred_claim]]="Yes","Referred","Not Referred")</f>
        <v>Referred</v>
      </c>
    </row>
    <row r="600" spans="1:16" x14ac:dyDescent="0.3">
      <c r="A600" t="s">
        <v>1155</v>
      </c>
      <c r="B600" t="s">
        <v>687</v>
      </c>
      <c r="C600" s="1">
        <v>44141</v>
      </c>
      <c r="D600" t="s">
        <v>22</v>
      </c>
      <c r="E600">
        <v>4</v>
      </c>
      <c r="F600" s="3" t="s">
        <v>13</v>
      </c>
      <c r="G600" s="3" t="s">
        <v>13</v>
      </c>
      <c r="H600" s="3" t="str">
        <f>IF(cf_cl[[#This Row],[satisfaction_score]]&gt;=4,"Happy",IF(cf_cl[[#This Row],[satisfaction_score]]=3,"Neutral","Negative"))</f>
        <v>Happy</v>
      </c>
      <c r="I600" s="3" t="str">
        <f>IF(cf_cl[[#This Row],[satisfaction_score]]&lt;=2,"Low",IF(cf_cl[[#This Row],[satisfaction_score]]=3,"Medium","High"))</f>
        <v>High</v>
      </c>
      <c r="J600">
        <f>YEAR(cf_cl[[#This Row],[date_submitted]])</f>
        <v>2020</v>
      </c>
      <c r="K600" s="3" t="str">
        <f>TEXT(cf_cl[[#This Row],[date_submitted]],"mmm")</f>
        <v>Nov</v>
      </c>
      <c r="L600" s="3" t="str">
        <f t="shared" si="27"/>
        <v>Q4</v>
      </c>
      <c r="M600" s="3" t="str">
        <f t="shared" si="28"/>
        <v>Friday</v>
      </c>
      <c r="N600" s="3" t="str">
        <f t="shared" si="29"/>
        <v>No</v>
      </c>
      <c r="O600" s="3" t="str">
        <f>IF(COUNTIF($B:$B,B600)=1,"New Customer",
IF(COUNTIF($B:$B,B600)&lt;=3,"Returning Customer","Loyal Customer"))</f>
        <v>Returning Customer</v>
      </c>
      <c r="P600" s="3" t="str">
        <f>IF(cf_cl[[#This Row],[referred_claim]]="Yes","Referred","Not Referred")</f>
        <v>Not Referred</v>
      </c>
    </row>
    <row r="601" spans="1:16" x14ac:dyDescent="0.3">
      <c r="A601" t="s">
        <v>1156</v>
      </c>
      <c r="B601" t="s">
        <v>1157</v>
      </c>
      <c r="C601" s="1">
        <v>44425</v>
      </c>
      <c r="D601" t="s">
        <v>68</v>
      </c>
      <c r="E601">
        <v>2</v>
      </c>
      <c r="F601" s="3" t="s">
        <v>10</v>
      </c>
      <c r="G601" s="3" t="s">
        <v>13</v>
      </c>
      <c r="H601" s="3" t="str">
        <f>IF(cf_cl[[#This Row],[satisfaction_score]]&gt;=4,"Happy",IF(cf_cl[[#This Row],[satisfaction_score]]=3,"Neutral","Negative"))</f>
        <v>Negative</v>
      </c>
      <c r="I601" s="3" t="str">
        <f>IF(cf_cl[[#This Row],[satisfaction_score]]&lt;=2,"Low",IF(cf_cl[[#This Row],[satisfaction_score]]=3,"Medium","High"))</f>
        <v>Low</v>
      </c>
      <c r="J601">
        <f>YEAR(cf_cl[[#This Row],[date_submitted]])</f>
        <v>2021</v>
      </c>
      <c r="K601" s="3" t="str">
        <f>TEXT(cf_cl[[#This Row],[date_submitted]],"mmm")</f>
        <v>Aug</v>
      </c>
      <c r="L601" s="3" t="str">
        <f t="shared" si="27"/>
        <v>Q3</v>
      </c>
      <c r="M601" s="3" t="str">
        <f t="shared" si="28"/>
        <v>Tuesday</v>
      </c>
      <c r="N601" s="3" t="str">
        <f t="shared" si="29"/>
        <v>Yes</v>
      </c>
      <c r="O601" s="3" t="str">
        <f>IF(COUNTIF($B:$B,B601)=1,"New Customer",
IF(COUNTIF($B:$B,B601)&lt;=3,"Returning Customer","Loyal Customer"))</f>
        <v>New Customer</v>
      </c>
      <c r="P601" s="3" t="str">
        <f>IF(cf_cl[[#This Row],[referred_claim]]="Yes","Referred","Not Referred")</f>
        <v>Not Referred</v>
      </c>
    </row>
    <row r="602" spans="1:16" x14ac:dyDescent="0.3">
      <c r="A602" t="s">
        <v>1158</v>
      </c>
      <c r="B602" t="s">
        <v>1159</v>
      </c>
      <c r="C602" s="1">
        <v>45079</v>
      </c>
      <c r="D602" t="s">
        <v>28</v>
      </c>
      <c r="E602">
        <v>4</v>
      </c>
      <c r="F602" s="3" t="s">
        <v>10</v>
      </c>
      <c r="G602" s="3" t="s">
        <v>10</v>
      </c>
      <c r="H602" s="3" t="str">
        <f>IF(cf_cl[[#This Row],[satisfaction_score]]&gt;=4,"Happy",IF(cf_cl[[#This Row],[satisfaction_score]]=3,"Neutral","Negative"))</f>
        <v>Happy</v>
      </c>
      <c r="I602" s="3" t="str">
        <f>IF(cf_cl[[#This Row],[satisfaction_score]]&lt;=2,"Low",IF(cf_cl[[#This Row],[satisfaction_score]]=3,"Medium","High"))</f>
        <v>High</v>
      </c>
      <c r="J602">
        <f>YEAR(cf_cl[[#This Row],[date_submitted]])</f>
        <v>2023</v>
      </c>
      <c r="K602" s="3" t="str">
        <f>TEXT(cf_cl[[#This Row],[date_submitted]],"mmm")</f>
        <v>Jun</v>
      </c>
      <c r="L602" s="3" t="str">
        <f t="shared" si="27"/>
        <v>Q2</v>
      </c>
      <c r="M602" s="3" t="str">
        <f t="shared" si="28"/>
        <v>Friday</v>
      </c>
      <c r="N602" s="3" t="str">
        <f t="shared" si="29"/>
        <v>No</v>
      </c>
      <c r="O602" s="3" t="str">
        <f>IF(COUNTIF($B:$B,B602)=1,"New Customer",
IF(COUNTIF($B:$B,B602)&lt;=3,"Returning Customer","Loyal Customer"))</f>
        <v>New Customer</v>
      </c>
      <c r="P602" s="3" t="str">
        <f>IF(cf_cl[[#This Row],[referred_claim]]="Yes","Referred","Not Referred")</f>
        <v>Referred</v>
      </c>
    </row>
    <row r="603" spans="1:16" x14ac:dyDescent="0.3">
      <c r="A603" t="s">
        <v>1160</v>
      </c>
      <c r="B603" t="s">
        <v>1161</v>
      </c>
      <c r="C603" s="1">
        <v>44548</v>
      </c>
      <c r="D603" t="s">
        <v>28</v>
      </c>
      <c r="E603">
        <v>5</v>
      </c>
      <c r="F603" s="3" t="s">
        <v>13</v>
      </c>
      <c r="G603" s="3" t="s">
        <v>13</v>
      </c>
      <c r="H603" s="3" t="str">
        <f>IF(cf_cl[[#This Row],[satisfaction_score]]&gt;=4,"Happy",IF(cf_cl[[#This Row],[satisfaction_score]]=3,"Neutral","Negative"))</f>
        <v>Happy</v>
      </c>
      <c r="I603" s="3" t="str">
        <f>IF(cf_cl[[#This Row],[satisfaction_score]]&lt;=2,"Low",IF(cf_cl[[#This Row],[satisfaction_score]]=3,"Medium","High"))</f>
        <v>High</v>
      </c>
      <c r="J603">
        <f>YEAR(cf_cl[[#This Row],[date_submitted]])</f>
        <v>2021</v>
      </c>
      <c r="K603" s="3" t="str">
        <f>TEXT(cf_cl[[#This Row],[date_submitted]],"mmm")</f>
        <v>Dec</v>
      </c>
      <c r="L603" s="3" t="str">
        <f t="shared" si="27"/>
        <v>Q4</v>
      </c>
      <c r="M603" s="3" t="str">
        <f t="shared" si="28"/>
        <v>Saturday</v>
      </c>
      <c r="N603" s="3" t="str">
        <f t="shared" si="29"/>
        <v>No</v>
      </c>
      <c r="O603" s="3" t="str">
        <f>IF(COUNTIF($B:$B,B603)=1,"New Customer",
IF(COUNTIF($B:$B,B603)&lt;=3,"Returning Customer","Loyal Customer"))</f>
        <v>New Customer</v>
      </c>
      <c r="P603" s="3" t="str">
        <f>IF(cf_cl[[#This Row],[referred_claim]]="Yes","Referred","Not Referred")</f>
        <v>Not Referred</v>
      </c>
    </row>
    <row r="604" spans="1:16" x14ac:dyDescent="0.3">
      <c r="A604" t="s">
        <v>1162</v>
      </c>
      <c r="B604" t="s">
        <v>1163</v>
      </c>
      <c r="C604" s="1">
        <v>44845</v>
      </c>
      <c r="D604" t="s">
        <v>28</v>
      </c>
      <c r="E604">
        <v>5</v>
      </c>
      <c r="F604" s="3" t="s">
        <v>10</v>
      </c>
      <c r="G604" s="3" t="s">
        <v>10</v>
      </c>
      <c r="H604" s="3" t="str">
        <f>IF(cf_cl[[#This Row],[satisfaction_score]]&gt;=4,"Happy",IF(cf_cl[[#This Row],[satisfaction_score]]=3,"Neutral","Negative"))</f>
        <v>Happy</v>
      </c>
      <c r="I604" s="3" t="str">
        <f>IF(cf_cl[[#This Row],[satisfaction_score]]&lt;=2,"Low",IF(cf_cl[[#This Row],[satisfaction_score]]=3,"Medium","High"))</f>
        <v>High</v>
      </c>
      <c r="J604">
        <f>YEAR(cf_cl[[#This Row],[date_submitted]])</f>
        <v>2022</v>
      </c>
      <c r="K604" s="3" t="str">
        <f>TEXT(cf_cl[[#This Row],[date_submitted]],"mmm")</f>
        <v>Oct</v>
      </c>
      <c r="L604" s="3" t="str">
        <f t="shared" si="27"/>
        <v>Q4</v>
      </c>
      <c r="M604" s="3" t="str">
        <f t="shared" si="28"/>
        <v>Tuesday</v>
      </c>
      <c r="N604" s="3" t="str">
        <f t="shared" si="29"/>
        <v>No</v>
      </c>
      <c r="O604" s="3" t="str">
        <f>IF(COUNTIF($B:$B,B604)=1,"New Customer",
IF(COUNTIF($B:$B,B604)&lt;=3,"Returning Customer","Loyal Customer"))</f>
        <v>New Customer</v>
      </c>
      <c r="P604" s="3" t="str">
        <f>IF(cf_cl[[#This Row],[referred_claim]]="Yes","Referred","Not Referred")</f>
        <v>Referred</v>
      </c>
    </row>
    <row r="605" spans="1:16" x14ac:dyDescent="0.3">
      <c r="A605" t="s">
        <v>1164</v>
      </c>
      <c r="B605" t="s">
        <v>1165</v>
      </c>
      <c r="C605" s="1">
        <v>44731</v>
      </c>
      <c r="D605" t="s">
        <v>83</v>
      </c>
      <c r="E605">
        <v>1</v>
      </c>
      <c r="F605" s="3" t="s">
        <v>10</v>
      </c>
      <c r="G605" s="3" t="s">
        <v>10</v>
      </c>
      <c r="H605" s="3" t="str">
        <f>IF(cf_cl[[#This Row],[satisfaction_score]]&gt;=4,"Happy",IF(cf_cl[[#This Row],[satisfaction_score]]=3,"Neutral","Negative"))</f>
        <v>Negative</v>
      </c>
      <c r="I605" s="3" t="str">
        <f>IF(cf_cl[[#This Row],[satisfaction_score]]&lt;=2,"Low",IF(cf_cl[[#This Row],[satisfaction_score]]=3,"Medium","High"))</f>
        <v>Low</v>
      </c>
      <c r="J605">
        <f>YEAR(cf_cl[[#This Row],[date_submitted]])</f>
        <v>2022</v>
      </c>
      <c r="K605" s="3" t="str">
        <f>TEXT(cf_cl[[#This Row],[date_submitted]],"mmm")</f>
        <v>Jun</v>
      </c>
      <c r="L605" s="3" t="str">
        <f t="shared" si="27"/>
        <v>Q2</v>
      </c>
      <c r="M605" s="3" t="str">
        <f t="shared" si="28"/>
        <v>Sunday</v>
      </c>
      <c r="N605" s="3" t="str">
        <f t="shared" si="29"/>
        <v>Yes</v>
      </c>
      <c r="O605" s="3" t="str">
        <f>IF(COUNTIF($B:$B,B605)=1,"New Customer",
IF(COUNTIF($B:$B,B605)&lt;=3,"Returning Customer","Loyal Customer"))</f>
        <v>New Customer</v>
      </c>
      <c r="P605" s="3" t="str">
        <f>IF(cf_cl[[#This Row],[referred_claim]]="Yes","Referred","Not Referred")</f>
        <v>Referred</v>
      </c>
    </row>
    <row r="606" spans="1:16" x14ac:dyDescent="0.3">
      <c r="A606" t="s">
        <v>1166</v>
      </c>
      <c r="B606" t="s">
        <v>1167</v>
      </c>
      <c r="C606" s="1">
        <v>44578</v>
      </c>
      <c r="D606" t="s">
        <v>25</v>
      </c>
      <c r="E606">
        <v>5</v>
      </c>
      <c r="F606" s="3" t="s">
        <v>13</v>
      </c>
      <c r="G606" s="3" t="s">
        <v>13</v>
      </c>
      <c r="H606" s="3" t="str">
        <f>IF(cf_cl[[#This Row],[satisfaction_score]]&gt;=4,"Happy",IF(cf_cl[[#This Row],[satisfaction_score]]=3,"Neutral","Negative"))</f>
        <v>Happy</v>
      </c>
      <c r="I606" s="3" t="str">
        <f>IF(cf_cl[[#This Row],[satisfaction_score]]&lt;=2,"Low",IF(cf_cl[[#This Row],[satisfaction_score]]=3,"Medium","High"))</f>
        <v>High</v>
      </c>
      <c r="J606">
        <f>YEAR(cf_cl[[#This Row],[date_submitted]])</f>
        <v>2022</v>
      </c>
      <c r="K606" s="3" t="str">
        <f>TEXT(cf_cl[[#This Row],[date_submitted]],"mmm")</f>
        <v>Jan</v>
      </c>
      <c r="L606" s="3" t="str">
        <f t="shared" si="27"/>
        <v>Q1</v>
      </c>
      <c r="M606" s="3" t="str">
        <f t="shared" si="28"/>
        <v>Monday</v>
      </c>
      <c r="N606" s="3" t="str">
        <f t="shared" si="29"/>
        <v>No</v>
      </c>
      <c r="O606" s="3" t="str">
        <f>IF(COUNTIF($B:$B,B606)=1,"New Customer",
IF(COUNTIF($B:$B,B606)&lt;=3,"Returning Customer","Loyal Customer"))</f>
        <v>New Customer</v>
      </c>
      <c r="P606" s="3" t="str">
        <f>IF(cf_cl[[#This Row],[referred_claim]]="Yes","Referred","Not Referred")</f>
        <v>Not Referred</v>
      </c>
    </row>
    <row r="607" spans="1:16" x14ac:dyDescent="0.3">
      <c r="A607" t="s">
        <v>1168</v>
      </c>
      <c r="B607" t="s">
        <v>1169</v>
      </c>
      <c r="C607" s="1">
        <v>44913</v>
      </c>
      <c r="D607" t="s">
        <v>9</v>
      </c>
      <c r="E607">
        <v>3</v>
      </c>
      <c r="F607" s="3" t="s">
        <v>10</v>
      </c>
      <c r="G607" s="3" t="s">
        <v>13</v>
      </c>
      <c r="H607" s="3" t="str">
        <f>IF(cf_cl[[#This Row],[satisfaction_score]]&gt;=4,"Happy",IF(cf_cl[[#This Row],[satisfaction_score]]=3,"Neutral","Negative"))</f>
        <v>Neutral</v>
      </c>
      <c r="I607" s="3" t="str">
        <f>IF(cf_cl[[#This Row],[satisfaction_score]]&lt;=2,"Low",IF(cf_cl[[#This Row],[satisfaction_score]]=3,"Medium","High"))</f>
        <v>Medium</v>
      </c>
      <c r="J607">
        <f>YEAR(cf_cl[[#This Row],[date_submitted]])</f>
        <v>2022</v>
      </c>
      <c r="K607" s="3" t="str">
        <f>TEXT(cf_cl[[#This Row],[date_submitted]],"mmm")</f>
        <v>Dec</v>
      </c>
      <c r="L607" s="3" t="str">
        <f t="shared" si="27"/>
        <v>Q4</v>
      </c>
      <c r="M607" s="3" t="str">
        <f t="shared" si="28"/>
        <v>Sunday</v>
      </c>
      <c r="N607" s="3" t="str">
        <f t="shared" si="29"/>
        <v>No</v>
      </c>
      <c r="O607" s="3" t="str">
        <f>IF(COUNTIF($B:$B,B607)=1,"New Customer",
IF(COUNTIF($B:$B,B607)&lt;=3,"Returning Customer","Loyal Customer"))</f>
        <v>Returning Customer</v>
      </c>
      <c r="P607" s="3" t="str">
        <f>IF(cf_cl[[#This Row],[referred_claim]]="Yes","Referred","Not Referred")</f>
        <v>Not Referred</v>
      </c>
    </row>
    <row r="608" spans="1:16" x14ac:dyDescent="0.3">
      <c r="A608" t="s">
        <v>1170</v>
      </c>
      <c r="B608" t="s">
        <v>1171</v>
      </c>
      <c r="C608" s="1">
        <v>44353</v>
      </c>
      <c r="D608" t="s">
        <v>83</v>
      </c>
      <c r="E608">
        <v>3</v>
      </c>
      <c r="F608" s="3" t="s">
        <v>10</v>
      </c>
      <c r="G608" s="3" t="s">
        <v>13</v>
      </c>
      <c r="H608" s="3" t="str">
        <f>IF(cf_cl[[#This Row],[satisfaction_score]]&gt;=4,"Happy",IF(cf_cl[[#This Row],[satisfaction_score]]=3,"Neutral","Negative"))</f>
        <v>Neutral</v>
      </c>
      <c r="I608" s="3" t="str">
        <f>IF(cf_cl[[#This Row],[satisfaction_score]]&lt;=2,"Low",IF(cf_cl[[#This Row],[satisfaction_score]]=3,"Medium","High"))</f>
        <v>Medium</v>
      </c>
      <c r="J608">
        <f>YEAR(cf_cl[[#This Row],[date_submitted]])</f>
        <v>2021</v>
      </c>
      <c r="K608" s="3" t="str">
        <f>TEXT(cf_cl[[#This Row],[date_submitted]],"mmm")</f>
        <v>Jun</v>
      </c>
      <c r="L608" s="3" t="str">
        <f t="shared" si="27"/>
        <v>Q2</v>
      </c>
      <c r="M608" s="3" t="str">
        <f t="shared" si="28"/>
        <v>Sunday</v>
      </c>
      <c r="N608" s="3" t="str">
        <f t="shared" si="29"/>
        <v>No</v>
      </c>
      <c r="O608" s="3" t="str">
        <f>IF(COUNTIF($B:$B,B608)=1,"New Customer",
IF(COUNTIF($B:$B,B608)&lt;=3,"Returning Customer","Loyal Customer"))</f>
        <v>New Customer</v>
      </c>
      <c r="P608" s="3" t="str">
        <f>IF(cf_cl[[#This Row],[referred_claim]]="Yes","Referred","Not Referred")</f>
        <v>Not Referred</v>
      </c>
    </row>
    <row r="609" spans="1:16" x14ac:dyDescent="0.3">
      <c r="A609" t="s">
        <v>1172</v>
      </c>
      <c r="B609" t="s">
        <v>1173</v>
      </c>
      <c r="C609" s="1">
        <v>44804</v>
      </c>
      <c r="D609" t="s">
        <v>22</v>
      </c>
      <c r="E609">
        <v>4</v>
      </c>
      <c r="F609" s="3" t="s">
        <v>10</v>
      </c>
      <c r="G609" s="3" t="s">
        <v>13</v>
      </c>
      <c r="H609" s="3" t="str">
        <f>IF(cf_cl[[#This Row],[satisfaction_score]]&gt;=4,"Happy",IF(cf_cl[[#This Row],[satisfaction_score]]=3,"Neutral","Negative"))</f>
        <v>Happy</v>
      </c>
      <c r="I609" s="3" t="str">
        <f>IF(cf_cl[[#This Row],[satisfaction_score]]&lt;=2,"Low",IF(cf_cl[[#This Row],[satisfaction_score]]=3,"Medium","High"))</f>
        <v>High</v>
      </c>
      <c r="J609">
        <f>YEAR(cf_cl[[#This Row],[date_submitted]])</f>
        <v>2022</v>
      </c>
      <c r="K609" s="3" t="str">
        <f>TEXT(cf_cl[[#This Row],[date_submitted]],"mmm")</f>
        <v>Aug</v>
      </c>
      <c r="L609" s="3" t="str">
        <f t="shared" si="27"/>
        <v>Q3</v>
      </c>
      <c r="M609" s="3" t="str">
        <f t="shared" si="28"/>
        <v>Wednesday</v>
      </c>
      <c r="N609" s="3" t="str">
        <f t="shared" si="29"/>
        <v>No</v>
      </c>
      <c r="O609" s="3" t="str">
        <f>IF(COUNTIF($B:$B,B609)=1,"New Customer",
IF(COUNTIF($B:$B,B609)&lt;=3,"Returning Customer","Loyal Customer"))</f>
        <v>New Customer</v>
      </c>
      <c r="P609" s="3" t="str">
        <f>IF(cf_cl[[#This Row],[referred_claim]]="Yes","Referred","Not Referred")</f>
        <v>Not Referred</v>
      </c>
    </row>
    <row r="610" spans="1:16" x14ac:dyDescent="0.3">
      <c r="A610" t="s">
        <v>1174</v>
      </c>
      <c r="B610" t="s">
        <v>1175</v>
      </c>
      <c r="C610" s="1">
        <v>45240</v>
      </c>
      <c r="D610" t="s">
        <v>28</v>
      </c>
      <c r="E610">
        <v>4</v>
      </c>
      <c r="F610" s="3" t="s">
        <v>10</v>
      </c>
      <c r="G610" s="3" t="s">
        <v>13</v>
      </c>
      <c r="H610" s="3" t="str">
        <f>IF(cf_cl[[#This Row],[satisfaction_score]]&gt;=4,"Happy",IF(cf_cl[[#This Row],[satisfaction_score]]=3,"Neutral","Negative"))</f>
        <v>Happy</v>
      </c>
      <c r="I610" s="3" t="str">
        <f>IF(cf_cl[[#This Row],[satisfaction_score]]&lt;=2,"Low",IF(cf_cl[[#This Row],[satisfaction_score]]=3,"Medium","High"))</f>
        <v>High</v>
      </c>
      <c r="J610">
        <f>YEAR(cf_cl[[#This Row],[date_submitted]])</f>
        <v>2023</v>
      </c>
      <c r="K610" s="3" t="str">
        <f>TEXT(cf_cl[[#This Row],[date_submitted]],"mmm")</f>
        <v>Nov</v>
      </c>
      <c r="L610" s="3" t="str">
        <f t="shared" si="27"/>
        <v>Q4</v>
      </c>
      <c r="M610" s="3" t="str">
        <f t="shared" si="28"/>
        <v>Friday</v>
      </c>
      <c r="N610" s="3" t="str">
        <f t="shared" si="29"/>
        <v>No</v>
      </c>
      <c r="O610" s="3" t="str">
        <f>IF(COUNTIF($B:$B,B610)=1,"New Customer",
IF(COUNTIF($B:$B,B610)&lt;=3,"Returning Customer","Loyal Customer"))</f>
        <v>New Customer</v>
      </c>
      <c r="P610" s="3" t="str">
        <f>IF(cf_cl[[#This Row],[referred_claim]]="Yes","Referred","Not Referred")</f>
        <v>Not Referred</v>
      </c>
    </row>
    <row r="611" spans="1:16" x14ac:dyDescent="0.3">
      <c r="A611" t="s">
        <v>1176</v>
      </c>
      <c r="B611" t="s">
        <v>1177</v>
      </c>
      <c r="C611" s="1">
        <v>44857</v>
      </c>
      <c r="D611" t="s">
        <v>37</v>
      </c>
      <c r="E611">
        <v>3</v>
      </c>
      <c r="F611" s="3" t="s">
        <v>13</v>
      </c>
      <c r="G611" s="3" t="s">
        <v>13</v>
      </c>
      <c r="H611" s="3" t="str">
        <f>IF(cf_cl[[#This Row],[satisfaction_score]]&gt;=4,"Happy",IF(cf_cl[[#This Row],[satisfaction_score]]=3,"Neutral","Negative"))</f>
        <v>Neutral</v>
      </c>
      <c r="I611" s="3" t="str">
        <f>IF(cf_cl[[#This Row],[satisfaction_score]]&lt;=2,"Low",IF(cf_cl[[#This Row],[satisfaction_score]]=3,"Medium","High"))</f>
        <v>Medium</v>
      </c>
      <c r="J611">
        <f>YEAR(cf_cl[[#This Row],[date_submitted]])</f>
        <v>2022</v>
      </c>
      <c r="K611" s="3" t="str">
        <f>TEXT(cf_cl[[#This Row],[date_submitted]],"mmm")</f>
        <v>Oct</v>
      </c>
      <c r="L611" s="3" t="str">
        <f t="shared" si="27"/>
        <v>Q4</v>
      </c>
      <c r="M611" s="3" t="str">
        <f t="shared" si="28"/>
        <v>Sunday</v>
      </c>
      <c r="N611" s="3" t="str">
        <f t="shared" si="29"/>
        <v>No</v>
      </c>
      <c r="O611" s="3" t="str">
        <f>IF(COUNTIF($B:$B,B611)=1,"New Customer",
IF(COUNTIF($B:$B,B611)&lt;=3,"Returning Customer","Loyal Customer"))</f>
        <v>New Customer</v>
      </c>
      <c r="P611" s="3" t="str">
        <f>IF(cf_cl[[#This Row],[referred_claim]]="Yes","Referred","Not Referred")</f>
        <v>Not Referred</v>
      </c>
    </row>
    <row r="612" spans="1:16" x14ac:dyDescent="0.3">
      <c r="A612" t="s">
        <v>1178</v>
      </c>
      <c r="B612" t="s">
        <v>1179</v>
      </c>
      <c r="C612" s="1">
        <v>44567</v>
      </c>
      <c r="D612" t="s">
        <v>37</v>
      </c>
      <c r="E612">
        <v>3</v>
      </c>
      <c r="F612" s="3" t="s">
        <v>10</v>
      </c>
      <c r="G612" s="3" t="s">
        <v>13</v>
      </c>
      <c r="H612" s="3" t="str">
        <f>IF(cf_cl[[#This Row],[satisfaction_score]]&gt;=4,"Happy",IF(cf_cl[[#This Row],[satisfaction_score]]=3,"Neutral","Negative"))</f>
        <v>Neutral</v>
      </c>
      <c r="I612" s="3" t="str">
        <f>IF(cf_cl[[#This Row],[satisfaction_score]]&lt;=2,"Low",IF(cf_cl[[#This Row],[satisfaction_score]]=3,"Medium","High"))</f>
        <v>Medium</v>
      </c>
      <c r="J612">
        <f>YEAR(cf_cl[[#This Row],[date_submitted]])</f>
        <v>2022</v>
      </c>
      <c r="K612" s="3" t="str">
        <f>TEXT(cf_cl[[#This Row],[date_submitted]],"mmm")</f>
        <v>Jan</v>
      </c>
      <c r="L612" s="3" t="str">
        <f t="shared" si="27"/>
        <v>Q1</v>
      </c>
      <c r="M612" s="3" t="str">
        <f t="shared" si="28"/>
        <v>Thursday</v>
      </c>
      <c r="N612" s="3" t="str">
        <f t="shared" si="29"/>
        <v>No</v>
      </c>
      <c r="O612" s="3" t="str">
        <f>IF(COUNTIF($B:$B,B612)=1,"New Customer",
IF(COUNTIF($B:$B,B612)&lt;=3,"Returning Customer","Loyal Customer"))</f>
        <v>New Customer</v>
      </c>
      <c r="P612" s="3" t="str">
        <f>IF(cf_cl[[#This Row],[referred_claim]]="Yes","Referred","Not Referred")</f>
        <v>Not Referred</v>
      </c>
    </row>
    <row r="613" spans="1:16" x14ac:dyDescent="0.3">
      <c r="A613" t="s">
        <v>1180</v>
      </c>
      <c r="B613" t="s">
        <v>364</v>
      </c>
      <c r="C613" s="1">
        <v>45063</v>
      </c>
      <c r="D613" t="s">
        <v>68</v>
      </c>
      <c r="E613">
        <v>1</v>
      </c>
      <c r="F613" s="3" t="s">
        <v>10</v>
      </c>
      <c r="G613" s="3" t="s">
        <v>13</v>
      </c>
      <c r="H613" s="3" t="str">
        <f>IF(cf_cl[[#This Row],[satisfaction_score]]&gt;=4,"Happy",IF(cf_cl[[#This Row],[satisfaction_score]]=3,"Neutral","Negative"))</f>
        <v>Negative</v>
      </c>
      <c r="I613" s="3" t="str">
        <f>IF(cf_cl[[#This Row],[satisfaction_score]]&lt;=2,"Low",IF(cf_cl[[#This Row],[satisfaction_score]]=3,"Medium","High"))</f>
        <v>Low</v>
      </c>
      <c r="J613">
        <f>YEAR(cf_cl[[#This Row],[date_submitted]])</f>
        <v>2023</v>
      </c>
      <c r="K613" s="3" t="str">
        <f>TEXT(cf_cl[[#This Row],[date_submitted]],"mmm")</f>
        <v>May</v>
      </c>
      <c r="L613" s="3" t="str">
        <f t="shared" si="27"/>
        <v>Q2</v>
      </c>
      <c r="M613" s="3" t="str">
        <f t="shared" si="28"/>
        <v>Wednesday</v>
      </c>
      <c r="N613" s="3" t="str">
        <f t="shared" si="29"/>
        <v>Yes</v>
      </c>
      <c r="O613" s="3" t="str">
        <f>IF(COUNTIF($B:$B,B613)=1,"New Customer",
IF(COUNTIF($B:$B,B613)&lt;=3,"Returning Customer","Loyal Customer"))</f>
        <v>Returning Customer</v>
      </c>
      <c r="P613" s="3" t="str">
        <f>IF(cf_cl[[#This Row],[referred_claim]]="Yes","Referred","Not Referred")</f>
        <v>Not Referred</v>
      </c>
    </row>
    <row r="614" spans="1:16" x14ac:dyDescent="0.3">
      <c r="A614" t="s">
        <v>1181</v>
      </c>
      <c r="B614" t="s">
        <v>59</v>
      </c>
      <c r="C614" s="1">
        <v>43947</v>
      </c>
      <c r="D614" t="s">
        <v>37</v>
      </c>
      <c r="E614">
        <v>4</v>
      </c>
      <c r="F614" s="3" t="s">
        <v>13</v>
      </c>
      <c r="G614" s="3" t="s">
        <v>10</v>
      </c>
      <c r="H614" s="3" t="str">
        <f>IF(cf_cl[[#This Row],[satisfaction_score]]&gt;=4,"Happy",IF(cf_cl[[#This Row],[satisfaction_score]]=3,"Neutral","Negative"))</f>
        <v>Happy</v>
      </c>
      <c r="I614" s="3" t="str">
        <f>IF(cf_cl[[#This Row],[satisfaction_score]]&lt;=2,"Low",IF(cf_cl[[#This Row],[satisfaction_score]]=3,"Medium","High"))</f>
        <v>High</v>
      </c>
      <c r="J614">
        <f>YEAR(cf_cl[[#This Row],[date_submitted]])</f>
        <v>2020</v>
      </c>
      <c r="K614" s="3" t="str">
        <f>TEXT(cf_cl[[#This Row],[date_submitted]],"mmm")</f>
        <v>Apr</v>
      </c>
      <c r="L614" s="3" t="str">
        <f t="shared" si="27"/>
        <v>Q2</v>
      </c>
      <c r="M614" s="3" t="str">
        <f t="shared" si="28"/>
        <v>Sunday</v>
      </c>
      <c r="N614" s="3" t="str">
        <f t="shared" si="29"/>
        <v>No</v>
      </c>
      <c r="O614" s="3" t="str">
        <f>IF(COUNTIF($B:$B,B614)=1,"New Customer",
IF(COUNTIF($B:$B,B614)&lt;=3,"Returning Customer","Loyal Customer"))</f>
        <v>Returning Customer</v>
      </c>
      <c r="P614" s="3" t="str">
        <f>IF(cf_cl[[#This Row],[referred_claim]]="Yes","Referred","Not Referred")</f>
        <v>Referred</v>
      </c>
    </row>
    <row r="615" spans="1:16" x14ac:dyDescent="0.3">
      <c r="A615" t="s">
        <v>1182</v>
      </c>
      <c r="B615" t="s">
        <v>1183</v>
      </c>
      <c r="C615" s="1">
        <v>44807</v>
      </c>
      <c r="D615" t="s">
        <v>19</v>
      </c>
      <c r="E615">
        <v>3</v>
      </c>
      <c r="F615" s="3" t="s">
        <v>10</v>
      </c>
      <c r="G615" s="3" t="s">
        <v>13</v>
      </c>
      <c r="H615" s="3" t="str">
        <f>IF(cf_cl[[#This Row],[satisfaction_score]]&gt;=4,"Happy",IF(cf_cl[[#This Row],[satisfaction_score]]=3,"Neutral","Negative"))</f>
        <v>Neutral</v>
      </c>
      <c r="I615" s="3" t="str">
        <f>IF(cf_cl[[#This Row],[satisfaction_score]]&lt;=2,"Low",IF(cf_cl[[#This Row],[satisfaction_score]]=3,"Medium","High"))</f>
        <v>Medium</v>
      </c>
      <c r="J615">
        <f>YEAR(cf_cl[[#This Row],[date_submitted]])</f>
        <v>2022</v>
      </c>
      <c r="K615" s="3" t="str">
        <f>TEXT(cf_cl[[#This Row],[date_submitted]],"mmm")</f>
        <v>Sep</v>
      </c>
      <c r="L615" s="3" t="str">
        <f t="shared" si="27"/>
        <v>Q3</v>
      </c>
      <c r="M615" s="3" t="str">
        <f t="shared" si="28"/>
        <v>Saturday</v>
      </c>
      <c r="N615" s="3" t="str">
        <f t="shared" si="29"/>
        <v>No</v>
      </c>
      <c r="O615" s="3" t="str">
        <f>IF(COUNTIF($B:$B,B615)=1,"New Customer",
IF(COUNTIF($B:$B,B615)&lt;=3,"Returning Customer","Loyal Customer"))</f>
        <v>New Customer</v>
      </c>
      <c r="P615" s="3" t="str">
        <f>IF(cf_cl[[#This Row],[referred_claim]]="Yes","Referred","Not Referred")</f>
        <v>Not Referred</v>
      </c>
    </row>
    <row r="616" spans="1:16" x14ac:dyDescent="0.3">
      <c r="A616" t="s">
        <v>1184</v>
      </c>
      <c r="B616" t="s">
        <v>1185</v>
      </c>
      <c r="C616" s="1">
        <v>44048</v>
      </c>
      <c r="D616" t="s">
        <v>28</v>
      </c>
      <c r="E616">
        <v>4</v>
      </c>
      <c r="F616" s="3" t="s">
        <v>10</v>
      </c>
      <c r="G616" s="3" t="s">
        <v>10</v>
      </c>
      <c r="H616" s="3" t="str">
        <f>IF(cf_cl[[#This Row],[satisfaction_score]]&gt;=4,"Happy",IF(cf_cl[[#This Row],[satisfaction_score]]=3,"Neutral","Negative"))</f>
        <v>Happy</v>
      </c>
      <c r="I616" s="3" t="str">
        <f>IF(cf_cl[[#This Row],[satisfaction_score]]&lt;=2,"Low",IF(cf_cl[[#This Row],[satisfaction_score]]=3,"Medium","High"))</f>
        <v>High</v>
      </c>
      <c r="J616">
        <f>YEAR(cf_cl[[#This Row],[date_submitted]])</f>
        <v>2020</v>
      </c>
      <c r="K616" s="3" t="str">
        <f>TEXT(cf_cl[[#This Row],[date_submitted]],"mmm")</f>
        <v>Aug</v>
      </c>
      <c r="L616" s="3" t="str">
        <f t="shared" si="27"/>
        <v>Q3</v>
      </c>
      <c r="M616" s="3" t="str">
        <f t="shared" si="28"/>
        <v>Wednesday</v>
      </c>
      <c r="N616" s="3" t="str">
        <f t="shared" si="29"/>
        <v>No</v>
      </c>
      <c r="O616" s="3" t="str">
        <f>IF(COUNTIF($B:$B,B616)=1,"New Customer",
IF(COUNTIF($B:$B,B616)&lt;=3,"Returning Customer","Loyal Customer"))</f>
        <v>New Customer</v>
      </c>
      <c r="P616" s="3" t="str">
        <f>IF(cf_cl[[#This Row],[referred_claim]]="Yes","Referred","Not Referred")</f>
        <v>Referred</v>
      </c>
    </row>
    <row r="617" spans="1:16" x14ac:dyDescent="0.3">
      <c r="A617" t="s">
        <v>1186</v>
      </c>
      <c r="B617" t="s">
        <v>850</v>
      </c>
      <c r="C617" s="1">
        <v>44828</v>
      </c>
      <c r="D617" t="s">
        <v>25</v>
      </c>
      <c r="E617">
        <v>5</v>
      </c>
      <c r="F617" s="3" t="s">
        <v>10</v>
      </c>
      <c r="G617" s="3" t="s">
        <v>13</v>
      </c>
      <c r="H617" s="3" t="str">
        <f>IF(cf_cl[[#This Row],[satisfaction_score]]&gt;=4,"Happy",IF(cf_cl[[#This Row],[satisfaction_score]]=3,"Neutral","Negative"))</f>
        <v>Happy</v>
      </c>
      <c r="I617" s="3" t="str">
        <f>IF(cf_cl[[#This Row],[satisfaction_score]]&lt;=2,"Low",IF(cf_cl[[#This Row],[satisfaction_score]]=3,"Medium","High"))</f>
        <v>High</v>
      </c>
      <c r="J617">
        <f>YEAR(cf_cl[[#This Row],[date_submitted]])</f>
        <v>2022</v>
      </c>
      <c r="K617" s="3" t="str">
        <f>TEXT(cf_cl[[#This Row],[date_submitted]],"mmm")</f>
        <v>Sep</v>
      </c>
      <c r="L617" s="3" t="str">
        <f t="shared" si="27"/>
        <v>Q3</v>
      </c>
      <c r="M617" s="3" t="str">
        <f t="shared" si="28"/>
        <v>Saturday</v>
      </c>
      <c r="N617" s="3" t="str">
        <f t="shared" si="29"/>
        <v>No</v>
      </c>
      <c r="O617" s="3" t="str">
        <f>IF(COUNTIF($B:$B,B617)=1,"New Customer",
IF(COUNTIF($B:$B,B617)&lt;=3,"Returning Customer","Loyal Customer"))</f>
        <v>Returning Customer</v>
      </c>
      <c r="P617" s="3" t="str">
        <f>IF(cf_cl[[#This Row],[referred_claim]]="Yes","Referred","Not Referred")</f>
        <v>Not Referred</v>
      </c>
    </row>
    <row r="618" spans="1:16" x14ac:dyDescent="0.3">
      <c r="A618" t="s">
        <v>1187</v>
      </c>
      <c r="B618" t="s">
        <v>1188</v>
      </c>
      <c r="C618" s="1">
        <v>45173</v>
      </c>
      <c r="D618" t="s">
        <v>25</v>
      </c>
      <c r="E618">
        <v>5</v>
      </c>
      <c r="F618" s="3" t="s">
        <v>13</v>
      </c>
      <c r="G618" s="3" t="s">
        <v>13</v>
      </c>
      <c r="H618" s="3" t="str">
        <f>IF(cf_cl[[#This Row],[satisfaction_score]]&gt;=4,"Happy",IF(cf_cl[[#This Row],[satisfaction_score]]=3,"Neutral","Negative"))</f>
        <v>Happy</v>
      </c>
      <c r="I618" s="3" t="str">
        <f>IF(cf_cl[[#This Row],[satisfaction_score]]&lt;=2,"Low",IF(cf_cl[[#This Row],[satisfaction_score]]=3,"Medium","High"))</f>
        <v>High</v>
      </c>
      <c r="J618">
        <f>YEAR(cf_cl[[#This Row],[date_submitted]])</f>
        <v>2023</v>
      </c>
      <c r="K618" s="3" t="str">
        <f>TEXT(cf_cl[[#This Row],[date_submitted]],"mmm")</f>
        <v>Sep</v>
      </c>
      <c r="L618" s="3" t="str">
        <f t="shared" si="27"/>
        <v>Q3</v>
      </c>
      <c r="M618" s="3" t="str">
        <f t="shared" si="28"/>
        <v>Monday</v>
      </c>
      <c r="N618" s="3" t="str">
        <f t="shared" si="29"/>
        <v>No</v>
      </c>
      <c r="O618" s="3" t="str">
        <f>IF(COUNTIF($B:$B,B618)=1,"New Customer",
IF(COUNTIF($B:$B,B618)&lt;=3,"Returning Customer","Loyal Customer"))</f>
        <v>New Customer</v>
      </c>
      <c r="P618" s="3" t="str">
        <f>IF(cf_cl[[#This Row],[referred_claim]]="Yes","Referred","Not Referred")</f>
        <v>Not Referred</v>
      </c>
    </row>
    <row r="619" spans="1:16" x14ac:dyDescent="0.3">
      <c r="A619" t="s">
        <v>1189</v>
      </c>
      <c r="B619" t="s">
        <v>1190</v>
      </c>
      <c r="C619" s="1">
        <v>45042</v>
      </c>
      <c r="D619" t="s">
        <v>37</v>
      </c>
      <c r="E619">
        <v>4</v>
      </c>
      <c r="F619" s="3" t="s">
        <v>10</v>
      </c>
      <c r="G619" s="3" t="s">
        <v>10</v>
      </c>
      <c r="H619" s="3" t="str">
        <f>IF(cf_cl[[#This Row],[satisfaction_score]]&gt;=4,"Happy",IF(cf_cl[[#This Row],[satisfaction_score]]=3,"Neutral","Negative"))</f>
        <v>Happy</v>
      </c>
      <c r="I619" s="3" t="str">
        <f>IF(cf_cl[[#This Row],[satisfaction_score]]&lt;=2,"Low",IF(cf_cl[[#This Row],[satisfaction_score]]=3,"Medium","High"))</f>
        <v>High</v>
      </c>
      <c r="J619">
        <f>YEAR(cf_cl[[#This Row],[date_submitted]])</f>
        <v>2023</v>
      </c>
      <c r="K619" s="3" t="str">
        <f>TEXT(cf_cl[[#This Row],[date_submitted]],"mmm")</f>
        <v>Apr</v>
      </c>
      <c r="L619" s="3" t="str">
        <f t="shared" si="27"/>
        <v>Q2</v>
      </c>
      <c r="M619" s="3" t="str">
        <f t="shared" si="28"/>
        <v>Wednesday</v>
      </c>
      <c r="N619" s="3" t="str">
        <f t="shared" si="29"/>
        <v>No</v>
      </c>
      <c r="O619" s="3" t="str">
        <f>IF(COUNTIF($B:$B,B619)=1,"New Customer",
IF(COUNTIF($B:$B,B619)&lt;=3,"Returning Customer","Loyal Customer"))</f>
        <v>Returning Customer</v>
      </c>
      <c r="P619" s="3" t="str">
        <f>IF(cf_cl[[#This Row],[referred_claim]]="Yes","Referred","Not Referred")</f>
        <v>Referred</v>
      </c>
    </row>
    <row r="620" spans="1:16" x14ac:dyDescent="0.3">
      <c r="A620" t="s">
        <v>1191</v>
      </c>
      <c r="B620" t="s">
        <v>867</v>
      </c>
      <c r="C620" s="1">
        <v>43839</v>
      </c>
      <c r="D620" t="s">
        <v>9</v>
      </c>
      <c r="E620">
        <v>2</v>
      </c>
      <c r="F620" s="3" t="s">
        <v>13</v>
      </c>
      <c r="G620" s="3" t="s">
        <v>10</v>
      </c>
      <c r="H620" s="3" t="str">
        <f>IF(cf_cl[[#This Row],[satisfaction_score]]&gt;=4,"Happy",IF(cf_cl[[#This Row],[satisfaction_score]]=3,"Neutral","Negative"))</f>
        <v>Negative</v>
      </c>
      <c r="I620" s="3" t="str">
        <f>IF(cf_cl[[#This Row],[satisfaction_score]]&lt;=2,"Low",IF(cf_cl[[#This Row],[satisfaction_score]]=3,"Medium","High"))</f>
        <v>Low</v>
      </c>
      <c r="J620">
        <f>YEAR(cf_cl[[#This Row],[date_submitted]])</f>
        <v>2020</v>
      </c>
      <c r="K620" s="3" t="str">
        <f>TEXT(cf_cl[[#This Row],[date_submitted]],"mmm")</f>
        <v>Jan</v>
      </c>
      <c r="L620" s="3" t="str">
        <f t="shared" si="27"/>
        <v>Q1</v>
      </c>
      <c r="M620" s="3" t="str">
        <f t="shared" si="28"/>
        <v>Thursday</v>
      </c>
      <c r="N620" s="3" t="str">
        <f t="shared" si="29"/>
        <v>Yes</v>
      </c>
      <c r="O620" s="3" t="str">
        <f>IF(COUNTIF($B:$B,B620)=1,"New Customer",
IF(COUNTIF($B:$B,B620)&lt;=3,"Returning Customer","Loyal Customer"))</f>
        <v>Returning Customer</v>
      </c>
      <c r="P620" s="3" t="str">
        <f>IF(cf_cl[[#This Row],[referred_claim]]="Yes","Referred","Not Referred")</f>
        <v>Referred</v>
      </c>
    </row>
    <row r="621" spans="1:16" x14ac:dyDescent="0.3">
      <c r="A621" t="s">
        <v>1192</v>
      </c>
      <c r="B621" t="s">
        <v>1193</v>
      </c>
      <c r="C621" s="1">
        <v>44251</v>
      </c>
      <c r="D621" t="s">
        <v>16</v>
      </c>
      <c r="E621">
        <v>5</v>
      </c>
      <c r="F621" s="3" t="s">
        <v>10</v>
      </c>
      <c r="G621" s="3" t="s">
        <v>10</v>
      </c>
      <c r="H621" s="3" t="str">
        <f>IF(cf_cl[[#This Row],[satisfaction_score]]&gt;=4,"Happy",IF(cf_cl[[#This Row],[satisfaction_score]]=3,"Neutral","Negative"))</f>
        <v>Happy</v>
      </c>
      <c r="I621" s="3" t="str">
        <f>IF(cf_cl[[#This Row],[satisfaction_score]]&lt;=2,"Low",IF(cf_cl[[#This Row],[satisfaction_score]]=3,"Medium","High"))</f>
        <v>High</v>
      </c>
      <c r="J621">
        <f>YEAR(cf_cl[[#This Row],[date_submitted]])</f>
        <v>2021</v>
      </c>
      <c r="K621" s="3" t="str">
        <f>TEXT(cf_cl[[#This Row],[date_submitted]],"mmm")</f>
        <v>Feb</v>
      </c>
      <c r="L621" s="3" t="str">
        <f t="shared" si="27"/>
        <v>Q1</v>
      </c>
      <c r="M621" s="3" t="str">
        <f t="shared" si="28"/>
        <v>Wednesday</v>
      </c>
      <c r="N621" s="3" t="str">
        <f t="shared" si="29"/>
        <v>No</v>
      </c>
      <c r="O621" s="3" t="str">
        <f>IF(COUNTIF($B:$B,B621)=1,"New Customer",
IF(COUNTIF($B:$B,B621)&lt;=3,"Returning Customer","Loyal Customer"))</f>
        <v>New Customer</v>
      </c>
      <c r="P621" s="3" t="str">
        <f>IF(cf_cl[[#This Row],[referred_claim]]="Yes","Referred","Not Referred")</f>
        <v>Referred</v>
      </c>
    </row>
    <row r="622" spans="1:16" x14ac:dyDescent="0.3">
      <c r="A622" t="s">
        <v>1194</v>
      </c>
      <c r="B622" t="s">
        <v>1195</v>
      </c>
      <c r="C622" s="1">
        <v>45128</v>
      </c>
      <c r="D622" t="s">
        <v>68</v>
      </c>
      <c r="E622">
        <v>2</v>
      </c>
      <c r="F622" s="3" t="s">
        <v>13</v>
      </c>
      <c r="G622" s="3" t="s">
        <v>10</v>
      </c>
      <c r="H622" s="3" t="str">
        <f>IF(cf_cl[[#This Row],[satisfaction_score]]&gt;=4,"Happy",IF(cf_cl[[#This Row],[satisfaction_score]]=3,"Neutral","Negative"))</f>
        <v>Negative</v>
      </c>
      <c r="I622" s="3" t="str">
        <f>IF(cf_cl[[#This Row],[satisfaction_score]]&lt;=2,"Low",IF(cf_cl[[#This Row],[satisfaction_score]]=3,"Medium","High"))</f>
        <v>Low</v>
      </c>
      <c r="J622">
        <f>YEAR(cf_cl[[#This Row],[date_submitted]])</f>
        <v>2023</v>
      </c>
      <c r="K622" s="3" t="str">
        <f>TEXT(cf_cl[[#This Row],[date_submitted]],"mmm")</f>
        <v>Jul</v>
      </c>
      <c r="L622" s="3" t="str">
        <f t="shared" si="27"/>
        <v>Q3</v>
      </c>
      <c r="M622" s="3" t="str">
        <f t="shared" si="28"/>
        <v>Friday</v>
      </c>
      <c r="N622" s="3" t="str">
        <f t="shared" si="29"/>
        <v>Yes</v>
      </c>
      <c r="O622" s="3" t="str">
        <f>IF(COUNTIF($B:$B,B622)=1,"New Customer",
IF(COUNTIF($B:$B,B622)&lt;=3,"Returning Customer","Loyal Customer"))</f>
        <v>New Customer</v>
      </c>
      <c r="P622" s="3" t="str">
        <f>IF(cf_cl[[#This Row],[referred_claim]]="Yes","Referred","Not Referred")</f>
        <v>Referred</v>
      </c>
    </row>
    <row r="623" spans="1:16" x14ac:dyDescent="0.3">
      <c r="A623" t="s">
        <v>1196</v>
      </c>
      <c r="B623" t="s">
        <v>1197</v>
      </c>
      <c r="C623" s="1">
        <v>44867</v>
      </c>
      <c r="D623" t="s">
        <v>9</v>
      </c>
      <c r="E623">
        <v>2</v>
      </c>
      <c r="F623" s="3" t="s">
        <v>10</v>
      </c>
      <c r="G623" s="3" t="s">
        <v>13</v>
      </c>
      <c r="H623" s="3" t="str">
        <f>IF(cf_cl[[#This Row],[satisfaction_score]]&gt;=4,"Happy",IF(cf_cl[[#This Row],[satisfaction_score]]=3,"Neutral","Negative"))</f>
        <v>Negative</v>
      </c>
      <c r="I623" s="3" t="str">
        <f>IF(cf_cl[[#This Row],[satisfaction_score]]&lt;=2,"Low",IF(cf_cl[[#This Row],[satisfaction_score]]=3,"Medium","High"))</f>
        <v>Low</v>
      </c>
      <c r="J623">
        <f>YEAR(cf_cl[[#This Row],[date_submitted]])</f>
        <v>2022</v>
      </c>
      <c r="K623" s="3" t="str">
        <f>TEXT(cf_cl[[#This Row],[date_submitted]],"mmm")</f>
        <v>Nov</v>
      </c>
      <c r="L623" s="3" t="str">
        <f t="shared" si="27"/>
        <v>Q4</v>
      </c>
      <c r="M623" s="3" t="str">
        <f t="shared" si="28"/>
        <v>Wednesday</v>
      </c>
      <c r="N623" s="3" t="str">
        <f t="shared" si="29"/>
        <v>Yes</v>
      </c>
      <c r="O623" s="3" t="str">
        <f>IF(COUNTIF($B:$B,B623)=1,"New Customer",
IF(COUNTIF($B:$B,B623)&lt;=3,"Returning Customer","Loyal Customer"))</f>
        <v>New Customer</v>
      </c>
      <c r="P623" s="3" t="str">
        <f>IF(cf_cl[[#This Row],[referred_claim]]="Yes","Referred","Not Referred")</f>
        <v>Not Referred</v>
      </c>
    </row>
    <row r="624" spans="1:16" x14ac:dyDescent="0.3">
      <c r="A624" t="s">
        <v>1198</v>
      </c>
      <c r="B624" t="s">
        <v>1199</v>
      </c>
      <c r="C624" s="1">
        <v>44316</v>
      </c>
      <c r="D624" t="s">
        <v>28</v>
      </c>
      <c r="E624">
        <v>4</v>
      </c>
      <c r="F624" s="3" t="s">
        <v>10</v>
      </c>
      <c r="G624" s="3" t="s">
        <v>13</v>
      </c>
      <c r="H624" s="3" t="str">
        <f>IF(cf_cl[[#This Row],[satisfaction_score]]&gt;=4,"Happy",IF(cf_cl[[#This Row],[satisfaction_score]]=3,"Neutral","Negative"))</f>
        <v>Happy</v>
      </c>
      <c r="I624" s="3" t="str">
        <f>IF(cf_cl[[#This Row],[satisfaction_score]]&lt;=2,"Low",IF(cf_cl[[#This Row],[satisfaction_score]]=3,"Medium","High"))</f>
        <v>High</v>
      </c>
      <c r="J624">
        <f>YEAR(cf_cl[[#This Row],[date_submitted]])</f>
        <v>2021</v>
      </c>
      <c r="K624" s="3" t="str">
        <f>TEXT(cf_cl[[#This Row],[date_submitted]],"mmm")</f>
        <v>Apr</v>
      </c>
      <c r="L624" s="3" t="str">
        <f t="shared" si="27"/>
        <v>Q2</v>
      </c>
      <c r="M624" s="3" t="str">
        <f t="shared" si="28"/>
        <v>Friday</v>
      </c>
      <c r="N624" s="3" t="str">
        <f t="shared" si="29"/>
        <v>No</v>
      </c>
      <c r="O624" s="3" t="str">
        <f>IF(COUNTIF($B:$B,B624)=1,"New Customer",
IF(COUNTIF($B:$B,B624)&lt;=3,"Returning Customer","Loyal Customer"))</f>
        <v>New Customer</v>
      </c>
      <c r="P624" s="3" t="str">
        <f>IF(cf_cl[[#This Row],[referred_claim]]="Yes","Referred","Not Referred")</f>
        <v>Not Referred</v>
      </c>
    </row>
    <row r="625" spans="1:16" x14ac:dyDescent="0.3">
      <c r="A625" t="s">
        <v>1200</v>
      </c>
      <c r="B625" t="s">
        <v>1201</v>
      </c>
      <c r="C625" s="1">
        <v>44021</v>
      </c>
      <c r="D625" t="s">
        <v>83</v>
      </c>
      <c r="E625">
        <v>1</v>
      </c>
      <c r="F625" s="3" t="s">
        <v>10</v>
      </c>
      <c r="G625" s="3" t="s">
        <v>13</v>
      </c>
      <c r="H625" s="3" t="str">
        <f>IF(cf_cl[[#This Row],[satisfaction_score]]&gt;=4,"Happy",IF(cf_cl[[#This Row],[satisfaction_score]]=3,"Neutral","Negative"))</f>
        <v>Negative</v>
      </c>
      <c r="I625" s="3" t="str">
        <f>IF(cf_cl[[#This Row],[satisfaction_score]]&lt;=2,"Low",IF(cf_cl[[#This Row],[satisfaction_score]]=3,"Medium","High"))</f>
        <v>Low</v>
      </c>
      <c r="J625">
        <f>YEAR(cf_cl[[#This Row],[date_submitted]])</f>
        <v>2020</v>
      </c>
      <c r="K625" s="3" t="str">
        <f>TEXT(cf_cl[[#This Row],[date_submitted]],"mmm")</f>
        <v>Jul</v>
      </c>
      <c r="L625" s="3" t="str">
        <f t="shared" si="27"/>
        <v>Q3</v>
      </c>
      <c r="M625" s="3" t="str">
        <f t="shared" si="28"/>
        <v>Thursday</v>
      </c>
      <c r="N625" s="3" t="str">
        <f t="shared" si="29"/>
        <v>Yes</v>
      </c>
      <c r="O625" s="3" t="str">
        <f>IF(COUNTIF($B:$B,B625)=1,"New Customer",
IF(COUNTIF($B:$B,B625)&lt;=3,"Returning Customer","Loyal Customer"))</f>
        <v>New Customer</v>
      </c>
      <c r="P625" s="3" t="str">
        <f>IF(cf_cl[[#This Row],[referred_claim]]="Yes","Referred","Not Referred")</f>
        <v>Not Referred</v>
      </c>
    </row>
    <row r="626" spans="1:16" x14ac:dyDescent="0.3">
      <c r="A626" t="s">
        <v>1202</v>
      </c>
      <c r="B626" t="s">
        <v>1203</v>
      </c>
      <c r="C626" s="1">
        <v>44664</v>
      </c>
      <c r="D626" t="s">
        <v>25</v>
      </c>
      <c r="E626">
        <v>5</v>
      </c>
      <c r="F626" s="3" t="s">
        <v>10</v>
      </c>
      <c r="G626" s="3" t="s">
        <v>10</v>
      </c>
      <c r="H626" s="3" t="str">
        <f>IF(cf_cl[[#This Row],[satisfaction_score]]&gt;=4,"Happy",IF(cf_cl[[#This Row],[satisfaction_score]]=3,"Neutral","Negative"))</f>
        <v>Happy</v>
      </c>
      <c r="I626" s="3" t="str">
        <f>IF(cf_cl[[#This Row],[satisfaction_score]]&lt;=2,"Low",IF(cf_cl[[#This Row],[satisfaction_score]]=3,"Medium","High"))</f>
        <v>High</v>
      </c>
      <c r="J626">
        <f>YEAR(cf_cl[[#This Row],[date_submitted]])</f>
        <v>2022</v>
      </c>
      <c r="K626" s="3" t="str">
        <f>TEXT(cf_cl[[#This Row],[date_submitted]],"mmm")</f>
        <v>Apr</v>
      </c>
      <c r="L626" s="3" t="str">
        <f t="shared" si="27"/>
        <v>Q2</v>
      </c>
      <c r="M626" s="3" t="str">
        <f t="shared" si="28"/>
        <v>Wednesday</v>
      </c>
      <c r="N626" s="3" t="str">
        <f t="shared" si="29"/>
        <v>No</v>
      </c>
      <c r="O626" s="3" t="str">
        <f>IF(COUNTIF($B:$B,B626)=1,"New Customer",
IF(COUNTIF($B:$B,B626)&lt;=3,"Returning Customer","Loyal Customer"))</f>
        <v>New Customer</v>
      </c>
      <c r="P626" s="3" t="str">
        <f>IF(cf_cl[[#This Row],[referred_claim]]="Yes","Referred","Not Referred")</f>
        <v>Referred</v>
      </c>
    </row>
    <row r="627" spans="1:16" x14ac:dyDescent="0.3">
      <c r="A627" t="s">
        <v>1204</v>
      </c>
      <c r="B627" t="s">
        <v>304</v>
      </c>
      <c r="C627" s="1">
        <v>45035</v>
      </c>
      <c r="D627" t="s">
        <v>28</v>
      </c>
      <c r="E627">
        <v>5</v>
      </c>
      <c r="F627" s="3" t="s">
        <v>10</v>
      </c>
      <c r="G627" s="3" t="s">
        <v>10</v>
      </c>
      <c r="H627" s="3" t="str">
        <f>IF(cf_cl[[#This Row],[satisfaction_score]]&gt;=4,"Happy",IF(cf_cl[[#This Row],[satisfaction_score]]=3,"Neutral","Negative"))</f>
        <v>Happy</v>
      </c>
      <c r="I627" s="3" t="str">
        <f>IF(cf_cl[[#This Row],[satisfaction_score]]&lt;=2,"Low",IF(cf_cl[[#This Row],[satisfaction_score]]=3,"Medium","High"))</f>
        <v>High</v>
      </c>
      <c r="J627">
        <f>YEAR(cf_cl[[#This Row],[date_submitted]])</f>
        <v>2023</v>
      </c>
      <c r="K627" s="3" t="str">
        <f>TEXT(cf_cl[[#This Row],[date_submitted]],"mmm")</f>
        <v>Apr</v>
      </c>
      <c r="L627" s="3" t="str">
        <f t="shared" si="27"/>
        <v>Q2</v>
      </c>
      <c r="M627" s="3" t="str">
        <f t="shared" si="28"/>
        <v>Wednesday</v>
      </c>
      <c r="N627" s="3" t="str">
        <f t="shared" si="29"/>
        <v>No</v>
      </c>
      <c r="O627" s="3" t="str">
        <f>IF(COUNTIF($B:$B,B627)=1,"New Customer",
IF(COUNTIF($B:$B,B627)&lt;=3,"Returning Customer","Loyal Customer"))</f>
        <v>Returning Customer</v>
      </c>
      <c r="P627" s="3" t="str">
        <f>IF(cf_cl[[#This Row],[referred_claim]]="Yes","Referred","Not Referred")</f>
        <v>Referred</v>
      </c>
    </row>
    <row r="628" spans="1:16" x14ac:dyDescent="0.3">
      <c r="A628" t="s">
        <v>1205</v>
      </c>
      <c r="B628" t="s">
        <v>1206</v>
      </c>
      <c r="C628" s="1">
        <v>43937</v>
      </c>
      <c r="D628" t="s">
        <v>28</v>
      </c>
      <c r="E628">
        <v>4</v>
      </c>
      <c r="F628" s="3" t="s">
        <v>10</v>
      </c>
      <c r="G628" s="3" t="s">
        <v>10</v>
      </c>
      <c r="H628" s="3" t="str">
        <f>IF(cf_cl[[#This Row],[satisfaction_score]]&gt;=4,"Happy",IF(cf_cl[[#This Row],[satisfaction_score]]=3,"Neutral","Negative"))</f>
        <v>Happy</v>
      </c>
      <c r="I628" s="3" t="str">
        <f>IF(cf_cl[[#This Row],[satisfaction_score]]&lt;=2,"Low",IF(cf_cl[[#This Row],[satisfaction_score]]=3,"Medium","High"))</f>
        <v>High</v>
      </c>
      <c r="J628">
        <f>YEAR(cf_cl[[#This Row],[date_submitted]])</f>
        <v>2020</v>
      </c>
      <c r="K628" s="3" t="str">
        <f>TEXT(cf_cl[[#This Row],[date_submitted]],"mmm")</f>
        <v>Apr</v>
      </c>
      <c r="L628" s="3" t="str">
        <f t="shared" si="27"/>
        <v>Q2</v>
      </c>
      <c r="M628" s="3" t="str">
        <f t="shared" si="28"/>
        <v>Thursday</v>
      </c>
      <c r="N628" s="3" t="str">
        <f t="shared" si="29"/>
        <v>No</v>
      </c>
      <c r="O628" s="3" t="str">
        <f>IF(COUNTIF($B:$B,B628)=1,"New Customer",
IF(COUNTIF($B:$B,B628)&lt;=3,"Returning Customer","Loyal Customer"))</f>
        <v>New Customer</v>
      </c>
      <c r="P628" s="3" t="str">
        <f>IF(cf_cl[[#This Row],[referred_claim]]="Yes","Referred","Not Referred")</f>
        <v>Referred</v>
      </c>
    </row>
    <row r="629" spans="1:16" x14ac:dyDescent="0.3">
      <c r="A629" t="s">
        <v>1207</v>
      </c>
      <c r="B629" t="s">
        <v>1208</v>
      </c>
      <c r="C629" s="1">
        <v>44039</v>
      </c>
      <c r="D629" t="s">
        <v>16</v>
      </c>
      <c r="E629">
        <v>4</v>
      </c>
      <c r="F629" s="3" t="s">
        <v>13</v>
      </c>
      <c r="G629" s="3" t="s">
        <v>13</v>
      </c>
      <c r="H629" s="3" t="str">
        <f>IF(cf_cl[[#This Row],[satisfaction_score]]&gt;=4,"Happy",IF(cf_cl[[#This Row],[satisfaction_score]]=3,"Neutral","Negative"))</f>
        <v>Happy</v>
      </c>
      <c r="I629" s="3" t="str">
        <f>IF(cf_cl[[#This Row],[satisfaction_score]]&lt;=2,"Low",IF(cf_cl[[#This Row],[satisfaction_score]]=3,"Medium","High"))</f>
        <v>High</v>
      </c>
      <c r="J629">
        <f>YEAR(cf_cl[[#This Row],[date_submitted]])</f>
        <v>2020</v>
      </c>
      <c r="K629" s="3" t="str">
        <f>TEXT(cf_cl[[#This Row],[date_submitted]],"mmm")</f>
        <v>Jul</v>
      </c>
      <c r="L629" s="3" t="str">
        <f t="shared" si="27"/>
        <v>Q3</v>
      </c>
      <c r="M629" s="3" t="str">
        <f t="shared" si="28"/>
        <v>Monday</v>
      </c>
      <c r="N629" s="3" t="str">
        <f t="shared" si="29"/>
        <v>No</v>
      </c>
      <c r="O629" s="3" t="str">
        <f>IF(COUNTIF($B:$B,B629)=1,"New Customer",
IF(COUNTIF($B:$B,B629)&lt;=3,"Returning Customer","Loyal Customer"))</f>
        <v>New Customer</v>
      </c>
      <c r="P629" s="3" t="str">
        <f>IF(cf_cl[[#This Row],[referred_claim]]="Yes","Referred","Not Referred")</f>
        <v>Not Referred</v>
      </c>
    </row>
    <row r="630" spans="1:16" x14ac:dyDescent="0.3">
      <c r="A630" t="s">
        <v>1209</v>
      </c>
      <c r="B630" t="s">
        <v>812</v>
      </c>
      <c r="C630" s="1">
        <v>43894</v>
      </c>
      <c r="D630" t="s">
        <v>28</v>
      </c>
      <c r="E630">
        <v>4</v>
      </c>
      <c r="F630" s="3" t="s">
        <v>10</v>
      </c>
      <c r="G630" s="3" t="s">
        <v>13</v>
      </c>
      <c r="H630" s="3" t="str">
        <f>IF(cf_cl[[#This Row],[satisfaction_score]]&gt;=4,"Happy",IF(cf_cl[[#This Row],[satisfaction_score]]=3,"Neutral","Negative"))</f>
        <v>Happy</v>
      </c>
      <c r="I630" s="3" t="str">
        <f>IF(cf_cl[[#This Row],[satisfaction_score]]&lt;=2,"Low",IF(cf_cl[[#This Row],[satisfaction_score]]=3,"Medium","High"))</f>
        <v>High</v>
      </c>
      <c r="J630">
        <f>YEAR(cf_cl[[#This Row],[date_submitted]])</f>
        <v>2020</v>
      </c>
      <c r="K630" s="3" t="str">
        <f>TEXT(cf_cl[[#This Row],[date_submitted]],"mmm")</f>
        <v>Mar</v>
      </c>
      <c r="L630" s="3" t="str">
        <f t="shared" si="27"/>
        <v>Q1</v>
      </c>
      <c r="M630" s="3" t="str">
        <f t="shared" si="28"/>
        <v>Wednesday</v>
      </c>
      <c r="N630" s="3" t="str">
        <f t="shared" si="29"/>
        <v>No</v>
      </c>
      <c r="O630" s="3" t="str">
        <f>IF(COUNTIF($B:$B,B630)=1,"New Customer",
IF(COUNTIF($B:$B,B630)&lt;=3,"Returning Customer","Loyal Customer"))</f>
        <v>Returning Customer</v>
      </c>
      <c r="P630" s="3" t="str">
        <f>IF(cf_cl[[#This Row],[referred_claim]]="Yes","Referred","Not Referred")</f>
        <v>Not Referred</v>
      </c>
    </row>
    <row r="631" spans="1:16" x14ac:dyDescent="0.3">
      <c r="A631" t="s">
        <v>1210</v>
      </c>
      <c r="B631" t="s">
        <v>635</v>
      </c>
      <c r="C631" s="1">
        <v>43997</v>
      </c>
      <c r="D631" t="s">
        <v>68</v>
      </c>
      <c r="E631">
        <v>1</v>
      </c>
      <c r="F631" s="3" t="s">
        <v>10</v>
      </c>
      <c r="G631" s="3" t="s">
        <v>10</v>
      </c>
      <c r="H631" s="3" t="str">
        <f>IF(cf_cl[[#This Row],[satisfaction_score]]&gt;=4,"Happy",IF(cf_cl[[#This Row],[satisfaction_score]]=3,"Neutral","Negative"))</f>
        <v>Negative</v>
      </c>
      <c r="I631" s="3" t="str">
        <f>IF(cf_cl[[#This Row],[satisfaction_score]]&lt;=2,"Low",IF(cf_cl[[#This Row],[satisfaction_score]]=3,"Medium","High"))</f>
        <v>Low</v>
      </c>
      <c r="J631">
        <f>YEAR(cf_cl[[#This Row],[date_submitted]])</f>
        <v>2020</v>
      </c>
      <c r="K631" s="3" t="str">
        <f>TEXT(cf_cl[[#This Row],[date_submitted]],"mmm")</f>
        <v>Jun</v>
      </c>
      <c r="L631" s="3" t="str">
        <f t="shared" si="27"/>
        <v>Q2</v>
      </c>
      <c r="M631" s="3" t="str">
        <f t="shared" si="28"/>
        <v>Monday</v>
      </c>
      <c r="N631" s="3" t="str">
        <f t="shared" si="29"/>
        <v>Yes</v>
      </c>
      <c r="O631" s="3" t="str">
        <f>IF(COUNTIF($B:$B,B631)=1,"New Customer",
IF(COUNTIF($B:$B,B631)&lt;=3,"Returning Customer","Loyal Customer"))</f>
        <v>Returning Customer</v>
      </c>
      <c r="P631" s="3" t="str">
        <f>IF(cf_cl[[#This Row],[referred_claim]]="Yes","Referred","Not Referred")</f>
        <v>Referred</v>
      </c>
    </row>
    <row r="632" spans="1:16" x14ac:dyDescent="0.3">
      <c r="A632" t="s">
        <v>1211</v>
      </c>
      <c r="B632" t="s">
        <v>1212</v>
      </c>
      <c r="C632" s="1">
        <v>45239</v>
      </c>
      <c r="D632" t="s">
        <v>22</v>
      </c>
      <c r="E632">
        <v>5</v>
      </c>
      <c r="F632" s="3" t="s">
        <v>13</v>
      </c>
      <c r="G632" s="3" t="s">
        <v>10</v>
      </c>
      <c r="H632" s="3" t="str">
        <f>IF(cf_cl[[#This Row],[satisfaction_score]]&gt;=4,"Happy",IF(cf_cl[[#This Row],[satisfaction_score]]=3,"Neutral","Negative"))</f>
        <v>Happy</v>
      </c>
      <c r="I632" s="3" t="str">
        <f>IF(cf_cl[[#This Row],[satisfaction_score]]&lt;=2,"Low",IF(cf_cl[[#This Row],[satisfaction_score]]=3,"Medium","High"))</f>
        <v>High</v>
      </c>
      <c r="J632">
        <f>YEAR(cf_cl[[#This Row],[date_submitted]])</f>
        <v>2023</v>
      </c>
      <c r="K632" s="3" t="str">
        <f>TEXT(cf_cl[[#This Row],[date_submitted]],"mmm")</f>
        <v>Nov</v>
      </c>
      <c r="L632" s="3" t="str">
        <f t="shared" si="27"/>
        <v>Q4</v>
      </c>
      <c r="M632" s="3" t="str">
        <f t="shared" si="28"/>
        <v>Thursday</v>
      </c>
      <c r="N632" s="3" t="str">
        <f t="shared" si="29"/>
        <v>No</v>
      </c>
      <c r="O632" s="3" t="str">
        <f>IF(COUNTIF($B:$B,B632)=1,"New Customer",
IF(COUNTIF($B:$B,B632)&lt;=3,"Returning Customer","Loyal Customer"))</f>
        <v>New Customer</v>
      </c>
      <c r="P632" s="3" t="str">
        <f>IF(cf_cl[[#This Row],[referred_claim]]="Yes","Referred","Not Referred")</f>
        <v>Referred</v>
      </c>
    </row>
    <row r="633" spans="1:16" x14ac:dyDescent="0.3">
      <c r="A633" t="s">
        <v>1213</v>
      </c>
      <c r="B633" t="s">
        <v>1214</v>
      </c>
      <c r="C633" s="1">
        <v>43972</v>
      </c>
      <c r="D633" t="s">
        <v>31</v>
      </c>
      <c r="E633">
        <v>3</v>
      </c>
      <c r="F633" s="3" t="s">
        <v>10</v>
      </c>
      <c r="G633" s="3" t="s">
        <v>13</v>
      </c>
      <c r="H633" s="3" t="str">
        <f>IF(cf_cl[[#This Row],[satisfaction_score]]&gt;=4,"Happy",IF(cf_cl[[#This Row],[satisfaction_score]]=3,"Neutral","Negative"))</f>
        <v>Neutral</v>
      </c>
      <c r="I633" s="3" t="str">
        <f>IF(cf_cl[[#This Row],[satisfaction_score]]&lt;=2,"Low",IF(cf_cl[[#This Row],[satisfaction_score]]=3,"Medium","High"))</f>
        <v>Medium</v>
      </c>
      <c r="J633">
        <f>YEAR(cf_cl[[#This Row],[date_submitted]])</f>
        <v>2020</v>
      </c>
      <c r="K633" s="3" t="str">
        <f>TEXT(cf_cl[[#This Row],[date_submitted]],"mmm")</f>
        <v>May</v>
      </c>
      <c r="L633" s="3" t="str">
        <f t="shared" si="27"/>
        <v>Q2</v>
      </c>
      <c r="M633" s="3" t="str">
        <f t="shared" si="28"/>
        <v>Thursday</v>
      </c>
      <c r="N633" s="3" t="str">
        <f t="shared" si="29"/>
        <v>No</v>
      </c>
      <c r="O633" s="3" t="str">
        <f>IF(COUNTIF($B:$B,B633)=1,"New Customer",
IF(COUNTIF($B:$B,B633)&lt;=3,"Returning Customer","Loyal Customer"))</f>
        <v>New Customer</v>
      </c>
      <c r="P633" s="3" t="str">
        <f>IF(cf_cl[[#This Row],[referred_claim]]="Yes","Referred","Not Referred")</f>
        <v>Not Referred</v>
      </c>
    </row>
    <row r="634" spans="1:16" x14ac:dyDescent="0.3">
      <c r="A634" t="s">
        <v>1215</v>
      </c>
      <c r="B634" t="s">
        <v>691</v>
      </c>
      <c r="C634" s="1">
        <v>45210</v>
      </c>
      <c r="D634" t="s">
        <v>37</v>
      </c>
      <c r="E634">
        <v>3</v>
      </c>
      <c r="F634" s="3" t="s">
        <v>13</v>
      </c>
      <c r="G634" s="3" t="s">
        <v>10</v>
      </c>
      <c r="H634" s="3" t="str">
        <f>IF(cf_cl[[#This Row],[satisfaction_score]]&gt;=4,"Happy",IF(cf_cl[[#This Row],[satisfaction_score]]=3,"Neutral","Negative"))</f>
        <v>Neutral</v>
      </c>
      <c r="I634" s="3" t="str">
        <f>IF(cf_cl[[#This Row],[satisfaction_score]]&lt;=2,"Low",IF(cf_cl[[#This Row],[satisfaction_score]]=3,"Medium","High"))</f>
        <v>Medium</v>
      </c>
      <c r="J634">
        <f>YEAR(cf_cl[[#This Row],[date_submitted]])</f>
        <v>2023</v>
      </c>
      <c r="K634" s="3" t="str">
        <f>TEXT(cf_cl[[#This Row],[date_submitted]],"mmm")</f>
        <v>Oct</v>
      </c>
      <c r="L634" s="3" t="str">
        <f t="shared" si="27"/>
        <v>Q4</v>
      </c>
      <c r="M634" s="3" t="str">
        <f t="shared" si="28"/>
        <v>Wednesday</v>
      </c>
      <c r="N634" s="3" t="str">
        <f t="shared" si="29"/>
        <v>No</v>
      </c>
      <c r="O634" s="3" t="str">
        <f>IF(COUNTIF($B:$B,B634)=1,"New Customer",
IF(COUNTIF($B:$B,B634)&lt;=3,"Returning Customer","Loyal Customer"))</f>
        <v>Returning Customer</v>
      </c>
      <c r="P634" s="3" t="str">
        <f>IF(cf_cl[[#This Row],[referred_claim]]="Yes","Referred","Not Referred")</f>
        <v>Referred</v>
      </c>
    </row>
    <row r="635" spans="1:16" x14ac:dyDescent="0.3">
      <c r="A635" t="s">
        <v>1216</v>
      </c>
      <c r="B635" t="s">
        <v>1217</v>
      </c>
      <c r="C635" s="1">
        <v>44408</v>
      </c>
      <c r="D635" t="s">
        <v>83</v>
      </c>
      <c r="E635">
        <v>3</v>
      </c>
      <c r="F635" s="3" t="s">
        <v>13</v>
      </c>
      <c r="G635" s="3" t="s">
        <v>10</v>
      </c>
      <c r="H635" s="3" t="str">
        <f>IF(cf_cl[[#This Row],[satisfaction_score]]&gt;=4,"Happy",IF(cf_cl[[#This Row],[satisfaction_score]]=3,"Neutral","Negative"))</f>
        <v>Neutral</v>
      </c>
      <c r="I635" s="3" t="str">
        <f>IF(cf_cl[[#This Row],[satisfaction_score]]&lt;=2,"Low",IF(cf_cl[[#This Row],[satisfaction_score]]=3,"Medium","High"))</f>
        <v>Medium</v>
      </c>
      <c r="J635">
        <f>YEAR(cf_cl[[#This Row],[date_submitted]])</f>
        <v>2021</v>
      </c>
      <c r="K635" s="3" t="str">
        <f>TEXT(cf_cl[[#This Row],[date_submitted]],"mmm")</f>
        <v>Jul</v>
      </c>
      <c r="L635" s="3" t="str">
        <f t="shared" si="27"/>
        <v>Q3</v>
      </c>
      <c r="M635" s="3" t="str">
        <f t="shared" si="28"/>
        <v>Saturday</v>
      </c>
      <c r="N635" s="3" t="str">
        <f t="shared" si="29"/>
        <v>No</v>
      </c>
      <c r="O635" s="3" t="str">
        <f>IF(COUNTIF($B:$B,B635)=1,"New Customer",
IF(COUNTIF($B:$B,B635)&lt;=3,"Returning Customer","Loyal Customer"))</f>
        <v>New Customer</v>
      </c>
      <c r="P635" s="3" t="str">
        <f>IF(cf_cl[[#This Row],[referred_claim]]="Yes","Referred","Not Referred")</f>
        <v>Referred</v>
      </c>
    </row>
    <row r="636" spans="1:16" x14ac:dyDescent="0.3">
      <c r="A636" t="s">
        <v>1218</v>
      </c>
      <c r="B636" t="s">
        <v>1219</v>
      </c>
      <c r="C636" s="1">
        <v>45234</v>
      </c>
      <c r="D636" t="s">
        <v>16</v>
      </c>
      <c r="E636">
        <v>5</v>
      </c>
      <c r="F636" s="3" t="s">
        <v>10</v>
      </c>
      <c r="G636" s="3" t="s">
        <v>13</v>
      </c>
      <c r="H636" s="3" t="str">
        <f>IF(cf_cl[[#This Row],[satisfaction_score]]&gt;=4,"Happy",IF(cf_cl[[#This Row],[satisfaction_score]]=3,"Neutral","Negative"))</f>
        <v>Happy</v>
      </c>
      <c r="I636" s="3" t="str">
        <f>IF(cf_cl[[#This Row],[satisfaction_score]]&lt;=2,"Low",IF(cf_cl[[#This Row],[satisfaction_score]]=3,"Medium","High"))</f>
        <v>High</v>
      </c>
      <c r="J636">
        <f>YEAR(cf_cl[[#This Row],[date_submitted]])</f>
        <v>2023</v>
      </c>
      <c r="K636" s="3" t="str">
        <f>TEXT(cf_cl[[#This Row],[date_submitted]],"mmm")</f>
        <v>Nov</v>
      </c>
      <c r="L636" s="3" t="str">
        <f t="shared" si="27"/>
        <v>Q4</v>
      </c>
      <c r="M636" s="3" t="str">
        <f t="shared" si="28"/>
        <v>Saturday</v>
      </c>
      <c r="N636" s="3" t="str">
        <f t="shared" si="29"/>
        <v>No</v>
      </c>
      <c r="O636" s="3" t="str">
        <f>IF(COUNTIF($B:$B,B636)=1,"New Customer",
IF(COUNTIF($B:$B,B636)&lt;=3,"Returning Customer","Loyal Customer"))</f>
        <v>New Customer</v>
      </c>
      <c r="P636" s="3" t="str">
        <f>IF(cf_cl[[#This Row],[referred_claim]]="Yes","Referred","Not Referred")</f>
        <v>Not Referred</v>
      </c>
    </row>
    <row r="637" spans="1:16" x14ac:dyDescent="0.3">
      <c r="A637" t="s">
        <v>1220</v>
      </c>
      <c r="B637" t="s">
        <v>1221</v>
      </c>
      <c r="C637" s="1">
        <v>44274</v>
      </c>
      <c r="D637" t="s">
        <v>37</v>
      </c>
      <c r="E637">
        <v>3</v>
      </c>
      <c r="F637" s="3" t="s">
        <v>10</v>
      </c>
      <c r="G637" s="3" t="s">
        <v>10</v>
      </c>
      <c r="H637" s="3" t="str">
        <f>IF(cf_cl[[#This Row],[satisfaction_score]]&gt;=4,"Happy",IF(cf_cl[[#This Row],[satisfaction_score]]=3,"Neutral","Negative"))</f>
        <v>Neutral</v>
      </c>
      <c r="I637" s="3" t="str">
        <f>IF(cf_cl[[#This Row],[satisfaction_score]]&lt;=2,"Low",IF(cf_cl[[#This Row],[satisfaction_score]]=3,"Medium","High"))</f>
        <v>Medium</v>
      </c>
      <c r="J637">
        <f>YEAR(cf_cl[[#This Row],[date_submitted]])</f>
        <v>2021</v>
      </c>
      <c r="K637" s="3" t="str">
        <f>TEXT(cf_cl[[#This Row],[date_submitted]],"mmm")</f>
        <v>Mar</v>
      </c>
      <c r="L637" s="3" t="str">
        <f t="shared" si="27"/>
        <v>Q1</v>
      </c>
      <c r="M637" s="3" t="str">
        <f t="shared" si="28"/>
        <v>Friday</v>
      </c>
      <c r="N637" s="3" t="str">
        <f t="shared" si="29"/>
        <v>No</v>
      </c>
      <c r="O637" s="3" t="str">
        <f>IF(COUNTIF($B:$B,B637)=1,"New Customer",
IF(COUNTIF($B:$B,B637)&lt;=3,"Returning Customer","Loyal Customer"))</f>
        <v>Returning Customer</v>
      </c>
      <c r="P637" s="3" t="str">
        <f>IF(cf_cl[[#This Row],[referred_claim]]="Yes","Referred","Not Referred")</f>
        <v>Referred</v>
      </c>
    </row>
    <row r="638" spans="1:16" x14ac:dyDescent="0.3">
      <c r="A638" t="s">
        <v>1222</v>
      </c>
      <c r="B638" t="s">
        <v>1223</v>
      </c>
      <c r="C638" s="1">
        <v>44235</v>
      </c>
      <c r="D638" t="s">
        <v>83</v>
      </c>
      <c r="E638">
        <v>1</v>
      </c>
      <c r="F638" s="3" t="s">
        <v>10</v>
      </c>
      <c r="G638" s="3" t="s">
        <v>10</v>
      </c>
      <c r="H638" s="3" t="str">
        <f>IF(cf_cl[[#This Row],[satisfaction_score]]&gt;=4,"Happy",IF(cf_cl[[#This Row],[satisfaction_score]]=3,"Neutral","Negative"))</f>
        <v>Negative</v>
      </c>
      <c r="I638" s="3" t="str">
        <f>IF(cf_cl[[#This Row],[satisfaction_score]]&lt;=2,"Low",IF(cf_cl[[#This Row],[satisfaction_score]]=3,"Medium","High"))</f>
        <v>Low</v>
      </c>
      <c r="J638">
        <f>YEAR(cf_cl[[#This Row],[date_submitted]])</f>
        <v>2021</v>
      </c>
      <c r="K638" s="3" t="str">
        <f>TEXT(cf_cl[[#This Row],[date_submitted]],"mmm")</f>
        <v>Feb</v>
      </c>
      <c r="L638" s="3" t="str">
        <f t="shared" si="27"/>
        <v>Q1</v>
      </c>
      <c r="M638" s="3" t="str">
        <f t="shared" si="28"/>
        <v>Monday</v>
      </c>
      <c r="N638" s="3" t="str">
        <f t="shared" si="29"/>
        <v>Yes</v>
      </c>
      <c r="O638" s="3" t="str">
        <f>IF(COUNTIF($B:$B,B638)=1,"New Customer",
IF(COUNTIF($B:$B,B638)&lt;=3,"Returning Customer","Loyal Customer"))</f>
        <v>Returning Customer</v>
      </c>
      <c r="P638" s="3" t="str">
        <f>IF(cf_cl[[#This Row],[referred_claim]]="Yes","Referred","Not Referred")</f>
        <v>Referred</v>
      </c>
    </row>
    <row r="639" spans="1:16" x14ac:dyDescent="0.3">
      <c r="A639" t="s">
        <v>1224</v>
      </c>
      <c r="B639" t="s">
        <v>1225</v>
      </c>
      <c r="C639" s="1">
        <v>44205</v>
      </c>
      <c r="D639" t="s">
        <v>9</v>
      </c>
      <c r="E639">
        <v>3</v>
      </c>
      <c r="F639" s="3" t="s">
        <v>13</v>
      </c>
      <c r="G639" s="3" t="s">
        <v>13</v>
      </c>
      <c r="H639" s="3" t="str">
        <f>IF(cf_cl[[#This Row],[satisfaction_score]]&gt;=4,"Happy",IF(cf_cl[[#This Row],[satisfaction_score]]=3,"Neutral","Negative"))</f>
        <v>Neutral</v>
      </c>
      <c r="I639" s="3" t="str">
        <f>IF(cf_cl[[#This Row],[satisfaction_score]]&lt;=2,"Low",IF(cf_cl[[#This Row],[satisfaction_score]]=3,"Medium","High"))</f>
        <v>Medium</v>
      </c>
      <c r="J639">
        <f>YEAR(cf_cl[[#This Row],[date_submitted]])</f>
        <v>2021</v>
      </c>
      <c r="K639" s="3" t="str">
        <f>TEXT(cf_cl[[#This Row],[date_submitted]],"mmm")</f>
        <v>Jan</v>
      </c>
      <c r="L639" s="3" t="str">
        <f t="shared" si="27"/>
        <v>Q1</v>
      </c>
      <c r="M639" s="3" t="str">
        <f t="shared" si="28"/>
        <v>Saturday</v>
      </c>
      <c r="N639" s="3" t="str">
        <f t="shared" si="29"/>
        <v>No</v>
      </c>
      <c r="O639" s="3" t="str">
        <f>IF(COUNTIF($B:$B,B639)=1,"New Customer",
IF(COUNTIF($B:$B,B639)&lt;=3,"Returning Customer","Loyal Customer"))</f>
        <v>New Customer</v>
      </c>
      <c r="P639" s="3" t="str">
        <f>IF(cf_cl[[#This Row],[referred_claim]]="Yes","Referred","Not Referred")</f>
        <v>Not Referred</v>
      </c>
    </row>
    <row r="640" spans="1:16" x14ac:dyDescent="0.3">
      <c r="A640" t="s">
        <v>1226</v>
      </c>
      <c r="B640" t="s">
        <v>76</v>
      </c>
      <c r="C640" s="1">
        <v>44247</v>
      </c>
      <c r="D640" t="s">
        <v>16</v>
      </c>
      <c r="E640">
        <v>4</v>
      </c>
      <c r="F640" s="3" t="s">
        <v>13</v>
      </c>
      <c r="G640" s="3" t="s">
        <v>10</v>
      </c>
      <c r="H640" s="3" t="str">
        <f>IF(cf_cl[[#This Row],[satisfaction_score]]&gt;=4,"Happy",IF(cf_cl[[#This Row],[satisfaction_score]]=3,"Neutral","Negative"))</f>
        <v>Happy</v>
      </c>
      <c r="I640" s="3" t="str">
        <f>IF(cf_cl[[#This Row],[satisfaction_score]]&lt;=2,"Low",IF(cf_cl[[#This Row],[satisfaction_score]]=3,"Medium","High"))</f>
        <v>High</v>
      </c>
      <c r="J640">
        <f>YEAR(cf_cl[[#This Row],[date_submitted]])</f>
        <v>2021</v>
      </c>
      <c r="K640" s="3" t="str">
        <f>TEXT(cf_cl[[#This Row],[date_submitted]],"mmm")</f>
        <v>Feb</v>
      </c>
      <c r="L640" s="3" t="str">
        <f t="shared" si="27"/>
        <v>Q1</v>
      </c>
      <c r="M640" s="3" t="str">
        <f t="shared" si="28"/>
        <v>Saturday</v>
      </c>
      <c r="N640" s="3" t="str">
        <f t="shared" si="29"/>
        <v>No</v>
      </c>
      <c r="O640" s="3" t="str">
        <f>IF(COUNTIF($B:$B,B640)=1,"New Customer",
IF(COUNTIF($B:$B,B640)&lt;=3,"Returning Customer","Loyal Customer"))</f>
        <v>Returning Customer</v>
      </c>
      <c r="P640" s="3" t="str">
        <f>IF(cf_cl[[#This Row],[referred_claim]]="Yes","Referred","Not Referred")</f>
        <v>Referred</v>
      </c>
    </row>
    <row r="641" spans="1:16" x14ac:dyDescent="0.3">
      <c r="A641" t="s">
        <v>1227</v>
      </c>
      <c r="B641" t="s">
        <v>805</v>
      </c>
      <c r="C641" s="1">
        <v>44415</v>
      </c>
      <c r="D641" t="s">
        <v>31</v>
      </c>
      <c r="E641">
        <v>2</v>
      </c>
      <c r="F641" s="3" t="s">
        <v>13</v>
      </c>
      <c r="G641" s="3" t="s">
        <v>10</v>
      </c>
      <c r="H641" s="3" t="str">
        <f>IF(cf_cl[[#This Row],[satisfaction_score]]&gt;=4,"Happy",IF(cf_cl[[#This Row],[satisfaction_score]]=3,"Neutral","Negative"))</f>
        <v>Negative</v>
      </c>
      <c r="I641" s="3" t="str">
        <f>IF(cf_cl[[#This Row],[satisfaction_score]]&lt;=2,"Low",IF(cf_cl[[#This Row],[satisfaction_score]]=3,"Medium","High"))</f>
        <v>Low</v>
      </c>
      <c r="J641">
        <f>YEAR(cf_cl[[#This Row],[date_submitted]])</f>
        <v>2021</v>
      </c>
      <c r="K641" s="3" t="str">
        <f>TEXT(cf_cl[[#This Row],[date_submitted]],"mmm")</f>
        <v>Aug</v>
      </c>
      <c r="L641" s="3" t="str">
        <f t="shared" si="27"/>
        <v>Q3</v>
      </c>
      <c r="M641" s="3" t="str">
        <f t="shared" si="28"/>
        <v>Saturday</v>
      </c>
      <c r="N641" s="3" t="str">
        <f t="shared" si="29"/>
        <v>Yes</v>
      </c>
      <c r="O641" s="3" t="str">
        <f>IF(COUNTIF($B:$B,B641)=1,"New Customer",
IF(COUNTIF($B:$B,B641)&lt;=3,"Returning Customer","Loyal Customer"))</f>
        <v>Returning Customer</v>
      </c>
      <c r="P641" s="3" t="str">
        <f>IF(cf_cl[[#This Row],[referred_claim]]="Yes","Referred","Not Referred")</f>
        <v>Referred</v>
      </c>
    </row>
    <row r="642" spans="1:16" x14ac:dyDescent="0.3">
      <c r="A642" t="s">
        <v>1228</v>
      </c>
      <c r="B642" t="s">
        <v>1229</v>
      </c>
      <c r="C642" s="1">
        <v>44439</v>
      </c>
      <c r="D642" t="s">
        <v>31</v>
      </c>
      <c r="E642">
        <v>3</v>
      </c>
      <c r="F642" s="3" t="s">
        <v>13</v>
      </c>
      <c r="G642" s="3" t="s">
        <v>13</v>
      </c>
      <c r="H642" s="3" t="str">
        <f>IF(cf_cl[[#This Row],[satisfaction_score]]&gt;=4,"Happy",IF(cf_cl[[#This Row],[satisfaction_score]]=3,"Neutral","Negative"))</f>
        <v>Neutral</v>
      </c>
      <c r="I642" s="3" t="str">
        <f>IF(cf_cl[[#This Row],[satisfaction_score]]&lt;=2,"Low",IF(cf_cl[[#This Row],[satisfaction_score]]=3,"Medium","High"))</f>
        <v>Medium</v>
      </c>
      <c r="J642">
        <f>YEAR(cf_cl[[#This Row],[date_submitted]])</f>
        <v>2021</v>
      </c>
      <c r="K642" s="3" t="str">
        <f>TEXT(cf_cl[[#This Row],[date_submitted]],"mmm")</f>
        <v>Aug</v>
      </c>
      <c r="L642" s="3" t="str">
        <f t="shared" ref="L642:L705" si="30">"Q"&amp;ROUNDUP(MONTH(C642)/3,0)</f>
        <v>Q3</v>
      </c>
      <c r="M642" s="3" t="str">
        <f t="shared" ref="M642:M705" si="31">TEXT(C642,"dddd")</f>
        <v>Tuesday</v>
      </c>
      <c r="N642" s="3" t="str">
        <f t="shared" ref="N642:N705" si="32">IF(E642&lt;=2,"Yes","No")</f>
        <v>No</v>
      </c>
      <c r="O642" s="3" t="str">
        <f>IF(COUNTIF($B:$B,B642)=1,"New Customer",
IF(COUNTIF($B:$B,B642)&lt;=3,"Returning Customer","Loyal Customer"))</f>
        <v>New Customer</v>
      </c>
      <c r="P642" s="3" t="str">
        <f>IF(cf_cl[[#This Row],[referred_claim]]="Yes","Referred","Not Referred")</f>
        <v>Not Referred</v>
      </c>
    </row>
    <row r="643" spans="1:16" x14ac:dyDescent="0.3">
      <c r="A643" t="s">
        <v>1230</v>
      </c>
      <c r="B643" t="s">
        <v>1231</v>
      </c>
      <c r="C643" s="1">
        <v>44205</v>
      </c>
      <c r="D643" t="s">
        <v>31</v>
      </c>
      <c r="E643">
        <v>1</v>
      </c>
      <c r="F643" s="3" t="s">
        <v>13</v>
      </c>
      <c r="G643" s="3" t="s">
        <v>10</v>
      </c>
      <c r="H643" s="3" t="str">
        <f>IF(cf_cl[[#This Row],[satisfaction_score]]&gt;=4,"Happy",IF(cf_cl[[#This Row],[satisfaction_score]]=3,"Neutral","Negative"))</f>
        <v>Negative</v>
      </c>
      <c r="I643" s="3" t="str">
        <f>IF(cf_cl[[#This Row],[satisfaction_score]]&lt;=2,"Low",IF(cf_cl[[#This Row],[satisfaction_score]]=3,"Medium","High"))</f>
        <v>Low</v>
      </c>
      <c r="J643">
        <f>YEAR(cf_cl[[#This Row],[date_submitted]])</f>
        <v>2021</v>
      </c>
      <c r="K643" s="3" t="str">
        <f>TEXT(cf_cl[[#This Row],[date_submitted]],"mmm")</f>
        <v>Jan</v>
      </c>
      <c r="L643" s="3" t="str">
        <f t="shared" si="30"/>
        <v>Q1</v>
      </c>
      <c r="M643" s="3" t="str">
        <f t="shared" si="31"/>
        <v>Saturday</v>
      </c>
      <c r="N643" s="3" t="str">
        <f t="shared" si="32"/>
        <v>Yes</v>
      </c>
      <c r="O643" s="3" t="str">
        <f>IF(COUNTIF($B:$B,B643)=1,"New Customer",
IF(COUNTIF($B:$B,B643)&lt;=3,"Returning Customer","Loyal Customer"))</f>
        <v>New Customer</v>
      </c>
      <c r="P643" s="3" t="str">
        <f>IF(cf_cl[[#This Row],[referred_claim]]="Yes","Referred","Not Referred")</f>
        <v>Referred</v>
      </c>
    </row>
    <row r="644" spans="1:16" x14ac:dyDescent="0.3">
      <c r="A644" t="s">
        <v>1232</v>
      </c>
      <c r="B644" t="s">
        <v>1233</v>
      </c>
      <c r="C644" s="1">
        <v>45099</v>
      </c>
      <c r="D644" t="s">
        <v>9</v>
      </c>
      <c r="E644">
        <v>2</v>
      </c>
      <c r="F644" s="3" t="s">
        <v>10</v>
      </c>
      <c r="G644" s="3" t="s">
        <v>13</v>
      </c>
      <c r="H644" s="3" t="str">
        <f>IF(cf_cl[[#This Row],[satisfaction_score]]&gt;=4,"Happy",IF(cf_cl[[#This Row],[satisfaction_score]]=3,"Neutral","Negative"))</f>
        <v>Negative</v>
      </c>
      <c r="I644" s="3" t="str">
        <f>IF(cf_cl[[#This Row],[satisfaction_score]]&lt;=2,"Low",IF(cf_cl[[#This Row],[satisfaction_score]]=3,"Medium","High"))</f>
        <v>Low</v>
      </c>
      <c r="J644">
        <f>YEAR(cf_cl[[#This Row],[date_submitted]])</f>
        <v>2023</v>
      </c>
      <c r="K644" s="3" t="str">
        <f>TEXT(cf_cl[[#This Row],[date_submitted]],"mmm")</f>
        <v>Jun</v>
      </c>
      <c r="L644" s="3" t="str">
        <f t="shared" si="30"/>
        <v>Q2</v>
      </c>
      <c r="M644" s="3" t="str">
        <f t="shared" si="31"/>
        <v>Thursday</v>
      </c>
      <c r="N644" s="3" t="str">
        <f t="shared" si="32"/>
        <v>Yes</v>
      </c>
      <c r="O644" s="3" t="str">
        <f>IF(COUNTIF($B:$B,B644)=1,"New Customer",
IF(COUNTIF($B:$B,B644)&lt;=3,"Returning Customer","Loyal Customer"))</f>
        <v>New Customer</v>
      </c>
      <c r="P644" s="3" t="str">
        <f>IF(cf_cl[[#This Row],[referred_claim]]="Yes","Referred","Not Referred")</f>
        <v>Not Referred</v>
      </c>
    </row>
    <row r="645" spans="1:16" x14ac:dyDescent="0.3">
      <c r="A645" t="s">
        <v>1234</v>
      </c>
      <c r="B645" t="s">
        <v>1235</v>
      </c>
      <c r="C645" s="1">
        <v>45143</v>
      </c>
      <c r="D645" t="s">
        <v>25</v>
      </c>
      <c r="E645">
        <v>4</v>
      </c>
      <c r="F645" s="3" t="s">
        <v>13</v>
      </c>
      <c r="G645" s="3" t="s">
        <v>10</v>
      </c>
      <c r="H645" s="3" t="str">
        <f>IF(cf_cl[[#This Row],[satisfaction_score]]&gt;=4,"Happy",IF(cf_cl[[#This Row],[satisfaction_score]]=3,"Neutral","Negative"))</f>
        <v>Happy</v>
      </c>
      <c r="I645" s="3" t="str">
        <f>IF(cf_cl[[#This Row],[satisfaction_score]]&lt;=2,"Low",IF(cf_cl[[#This Row],[satisfaction_score]]=3,"Medium","High"))</f>
        <v>High</v>
      </c>
      <c r="J645">
        <f>YEAR(cf_cl[[#This Row],[date_submitted]])</f>
        <v>2023</v>
      </c>
      <c r="K645" s="3" t="str">
        <f>TEXT(cf_cl[[#This Row],[date_submitted]],"mmm")</f>
        <v>Aug</v>
      </c>
      <c r="L645" s="3" t="str">
        <f t="shared" si="30"/>
        <v>Q3</v>
      </c>
      <c r="M645" s="3" t="str">
        <f t="shared" si="31"/>
        <v>Saturday</v>
      </c>
      <c r="N645" s="3" t="str">
        <f t="shared" si="32"/>
        <v>No</v>
      </c>
      <c r="O645" s="3" t="str">
        <f>IF(COUNTIF($B:$B,B645)=1,"New Customer",
IF(COUNTIF($B:$B,B645)&lt;=3,"Returning Customer","Loyal Customer"))</f>
        <v>New Customer</v>
      </c>
      <c r="P645" s="3" t="str">
        <f>IF(cf_cl[[#This Row],[referred_claim]]="Yes","Referred","Not Referred")</f>
        <v>Referred</v>
      </c>
    </row>
    <row r="646" spans="1:16" x14ac:dyDescent="0.3">
      <c r="A646" t="s">
        <v>1236</v>
      </c>
      <c r="B646" t="s">
        <v>1237</v>
      </c>
      <c r="C646" s="1">
        <v>43856</v>
      </c>
      <c r="D646" t="s">
        <v>16</v>
      </c>
      <c r="E646">
        <v>4</v>
      </c>
      <c r="F646" s="3" t="s">
        <v>13</v>
      </c>
      <c r="G646" s="3" t="s">
        <v>10</v>
      </c>
      <c r="H646" s="3" t="str">
        <f>IF(cf_cl[[#This Row],[satisfaction_score]]&gt;=4,"Happy",IF(cf_cl[[#This Row],[satisfaction_score]]=3,"Neutral","Negative"))</f>
        <v>Happy</v>
      </c>
      <c r="I646" s="3" t="str">
        <f>IF(cf_cl[[#This Row],[satisfaction_score]]&lt;=2,"Low",IF(cf_cl[[#This Row],[satisfaction_score]]=3,"Medium","High"))</f>
        <v>High</v>
      </c>
      <c r="J646">
        <f>YEAR(cf_cl[[#This Row],[date_submitted]])</f>
        <v>2020</v>
      </c>
      <c r="K646" s="3" t="str">
        <f>TEXT(cf_cl[[#This Row],[date_submitted]],"mmm")</f>
        <v>Jan</v>
      </c>
      <c r="L646" s="3" t="str">
        <f t="shared" si="30"/>
        <v>Q1</v>
      </c>
      <c r="M646" s="3" t="str">
        <f t="shared" si="31"/>
        <v>Sunday</v>
      </c>
      <c r="N646" s="3" t="str">
        <f t="shared" si="32"/>
        <v>No</v>
      </c>
      <c r="O646" s="3" t="str">
        <f>IF(COUNTIF($B:$B,B646)=1,"New Customer",
IF(COUNTIF($B:$B,B646)&lt;=3,"Returning Customer","Loyal Customer"))</f>
        <v>New Customer</v>
      </c>
      <c r="P646" s="3" t="str">
        <f>IF(cf_cl[[#This Row],[referred_claim]]="Yes","Referred","Not Referred")</f>
        <v>Referred</v>
      </c>
    </row>
    <row r="647" spans="1:16" x14ac:dyDescent="0.3">
      <c r="A647" t="s">
        <v>1238</v>
      </c>
      <c r="B647" t="s">
        <v>1239</v>
      </c>
      <c r="C647" s="1">
        <v>44771</v>
      </c>
      <c r="D647" t="s">
        <v>83</v>
      </c>
      <c r="E647">
        <v>3</v>
      </c>
      <c r="F647" s="3" t="s">
        <v>13</v>
      </c>
      <c r="G647" s="3" t="s">
        <v>13</v>
      </c>
      <c r="H647" s="3" t="str">
        <f>IF(cf_cl[[#This Row],[satisfaction_score]]&gt;=4,"Happy",IF(cf_cl[[#This Row],[satisfaction_score]]=3,"Neutral","Negative"))</f>
        <v>Neutral</v>
      </c>
      <c r="I647" s="3" t="str">
        <f>IF(cf_cl[[#This Row],[satisfaction_score]]&lt;=2,"Low",IF(cf_cl[[#This Row],[satisfaction_score]]=3,"Medium","High"))</f>
        <v>Medium</v>
      </c>
      <c r="J647">
        <f>YEAR(cf_cl[[#This Row],[date_submitted]])</f>
        <v>2022</v>
      </c>
      <c r="K647" s="3" t="str">
        <f>TEXT(cf_cl[[#This Row],[date_submitted]],"mmm")</f>
        <v>Jul</v>
      </c>
      <c r="L647" s="3" t="str">
        <f t="shared" si="30"/>
        <v>Q3</v>
      </c>
      <c r="M647" s="3" t="str">
        <f t="shared" si="31"/>
        <v>Friday</v>
      </c>
      <c r="N647" s="3" t="str">
        <f t="shared" si="32"/>
        <v>No</v>
      </c>
      <c r="O647" s="3" t="str">
        <f>IF(COUNTIF($B:$B,B647)=1,"New Customer",
IF(COUNTIF($B:$B,B647)&lt;=3,"Returning Customer","Loyal Customer"))</f>
        <v>Returning Customer</v>
      </c>
      <c r="P647" s="3" t="str">
        <f>IF(cf_cl[[#This Row],[referred_claim]]="Yes","Referred","Not Referred")</f>
        <v>Not Referred</v>
      </c>
    </row>
    <row r="648" spans="1:16" x14ac:dyDescent="0.3">
      <c r="A648" t="s">
        <v>1240</v>
      </c>
      <c r="B648" t="s">
        <v>1241</v>
      </c>
      <c r="C648" s="1">
        <v>44248</v>
      </c>
      <c r="D648" t="s">
        <v>31</v>
      </c>
      <c r="E648">
        <v>3</v>
      </c>
      <c r="F648" s="3" t="s">
        <v>13</v>
      </c>
      <c r="G648" s="3" t="s">
        <v>10</v>
      </c>
      <c r="H648" s="3" t="str">
        <f>IF(cf_cl[[#This Row],[satisfaction_score]]&gt;=4,"Happy",IF(cf_cl[[#This Row],[satisfaction_score]]=3,"Neutral","Negative"))</f>
        <v>Neutral</v>
      </c>
      <c r="I648" s="3" t="str">
        <f>IF(cf_cl[[#This Row],[satisfaction_score]]&lt;=2,"Low",IF(cf_cl[[#This Row],[satisfaction_score]]=3,"Medium","High"))</f>
        <v>Medium</v>
      </c>
      <c r="J648">
        <f>YEAR(cf_cl[[#This Row],[date_submitted]])</f>
        <v>2021</v>
      </c>
      <c r="K648" s="3" t="str">
        <f>TEXT(cf_cl[[#This Row],[date_submitted]],"mmm")</f>
        <v>Feb</v>
      </c>
      <c r="L648" s="3" t="str">
        <f t="shared" si="30"/>
        <v>Q1</v>
      </c>
      <c r="M648" s="3" t="str">
        <f t="shared" si="31"/>
        <v>Sunday</v>
      </c>
      <c r="N648" s="3" t="str">
        <f t="shared" si="32"/>
        <v>No</v>
      </c>
      <c r="O648" s="3" t="str">
        <f>IF(COUNTIF($B:$B,B648)=1,"New Customer",
IF(COUNTIF($B:$B,B648)&lt;=3,"Returning Customer","Loyal Customer"))</f>
        <v>New Customer</v>
      </c>
      <c r="P648" s="3" t="str">
        <f>IF(cf_cl[[#This Row],[referred_claim]]="Yes","Referred","Not Referred")</f>
        <v>Referred</v>
      </c>
    </row>
    <row r="649" spans="1:16" x14ac:dyDescent="0.3">
      <c r="A649" t="s">
        <v>1242</v>
      </c>
      <c r="B649" t="s">
        <v>445</v>
      </c>
      <c r="C649" s="1">
        <v>44472</v>
      </c>
      <c r="D649" t="s">
        <v>25</v>
      </c>
      <c r="E649">
        <v>5</v>
      </c>
      <c r="F649" s="3" t="s">
        <v>13</v>
      </c>
      <c r="G649" s="3" t="s">
        <v>13</v>
      </c>
      <c r="H649" s="3" t="str">
        <f>IF(cf_cl[[#This Row],[satisfaction_score]]&gt;=4,"Happy",IF(cf_cl[[#This Row],[satisfaction_score]]=3,"Neutral","Negative"))</f>
        <v>Happy</v>
      </c>
      <c r="I649" s="3" t="str">
        <f>IF(cf_cl[[#This Row],[satisfaction_score]]&lt;=2,"Low",IF(cf_cl[[#This Row],[satisfaction_score]]=3,"Medium","High"))</f>
        <v>High</v>
      </c>
      <c r="J649">
        <f>YEAR(cf_cl[[#This Row],[date_submitted]])</f>
        <v>2021</v>
      </c>
      <c r="K649" s="3" t="str">
        <f>TEXT(cf_cl[[#This Row],[date_submitted]],"mmm")</f>
        <v>Oct</v>
      </c>
      <c r="L649" s="3" t="str">
        <f t="shared" si="30"/>
        <v>Q4</v>
      </c>
      <c r="M649" s="3" t="str">
        <f t="shared" si="31"/>
        <v>Sunday</v>
      </c>
      <c r="N649" s="3" t="str">
        <f t="shared" si="32"/>
        <v>No</v>
      </c>
      <c r="O649" s="3" t="str">
        <f>IF(COUNTIF($B:$B,B649)=1,"New Customer",
IF(COUNTIF($B:$B,B649)&lt;=3,"Returning Customer","Loyal Customer"))</f>
        <v>Returning Customer</v>
      </c>
      <c r="P649" s="3" t="str">
        <f>IF(cf_cl[[#This Row],[referred_claim]]="Yes","Referred","Not Referred")</f>
        <v>Not Referred</v>
      </c>
    </row>
    <row r="650" spans="1:16" x14ac:dyDescent="0.3">
      <c r="A650" t="s">
        <v>1243</v>
      </c>
      <c r="B650" t="s">
        <v>1244</v>
      </c>
      <c r="C650" s="1">
        <v>44408</v>
      </c>
      <c r="D650" t="s">
        <v>83</v>
      </c>
      <c r="E650">
        <v>3</v>
      </c>
      <c r="F650" s="3" t="s">
        <v>10</v>
      </c>
      <c r="G650" s="3" t="s">
        <v>13</v>
      </c>
      <c r="H650" s="3" t="str">
        <f>IF(cf_cl[[#This Row],[satisfaction_score]]&gt;=4,"Happy",IF(cf_cl[[#This Row],[satisfaction_score]]=3,"Neutral","Negative"))</f>
        <v>Neutral</v>
      </c>
      <c r="I650" s="3" t="str">
        <f>IF(cf_cl[[#This Row],[satisfaction_score]]&lt;=2,"Low",IF(cf_cl[[#This Row],[satisfaction_score]]=3,"Medium","High"))</f>
        <v>Medium</v>
      </c>
      <c r="J650">
        <f>YEAR(cf_cl[[#This Row],[date_submitted]])</f>
        <v>2021</v>
      </c>
      <c r="K650" s="3" t="str">
        <f>TEXT(cf_cl[[#This Row],[date_submitted]],"mmm")</f>
        <v>Jul</v>
      </c>
      <c r="L650" s="3" t="str">
        <f t="shared" si="30"/>
        <v>Q3</v>
      </c>
      <c r="M650" s="3" t="str">
        <f t="shared" si="31"/>
        <v>Saturday</v>
      </c>
      <c r="N650" s="3" t="str">
        <f t="shared" si="32"/>
        <v>No</v>
      </c>
      <c r="O650" s="3" t="str">
        <f>IF(COUNTIF($B:$B,B650)=1,"New Customer",
IF(COUNTIF($B:$B,B650)&lt;=3,"Returning Customer","Loyal Customer"))</f>
        <v>New Customer</v>
      </c>
      <c r="P650" s="3" t="str">
        <f>IF(cf_cl[[#This Row],[referred_claim]]="Yes","Referred","Not Referred")</f>
        <v>Not Referred</v>
      </c>
    </row>
    <row r="651" spans="1:16" x14ac:dyDescent="0.3">
      <c r="A651" t="s">
        <v>1245</v>
      </c>
      <c r="B651" t="s">
        <v>1246</v>
      </c>
      <c r="C651" s="1">
        <v>44785</v>
      </c>
      <c r="D651" t="s">
        <v>31</v>
      </c>
      <c r="E651">
        <v>1</v>
      </c>
      <c r="F651" s="3" t="s">
        <v>10</v>
      </c>
      <c r="G651" s="3" t="s">
        <v>13</v>
      </c>
      <c r="H651" s="3" t="str">
        <f>IF(cf_cl[[#This Row],[satisfaction_score]]&gt;=4,"Happy",IF(cf_cl[[#This Row],[satisfaction_score]]=3,"Neutral","Negative"))</f>
        <v>Negative</v>
      </c>
      <c r="I651" s="3" t="str">
        <f>IF(cf_cl[[#This Row],[satisfaction_score]]&lt;=2,"Low",IF(cf_cl[[#This Row],[satisfaction_score]]=3,"Medium","High"))</f>
        <v>Low</v>
      </c>
      <c r="J651">
        <f>YEAR(cf_cl[[#This Row],[date_submitted]])</f>
        <v>2022</v>
      </c>
      <c r="K651" s="3" t="str">
        <f>TEXT(cf_cl[[#This Row],[date_submitted]],"mmm")</f>
        <v>Aug</v>
      </c>
      <c r="L651" s="3" t="str">
        <f t="shared" si="30"/>
        <v>Q3</v>
      </c>
      <c r="M651" s="3" t="str">
        <f t="shared" si="31"/>
        <v>Friday</v>
      </c>
      <c r="N651" s="3" t="str">
        <f t="shared" si="32"/>
        <v>Yes</v>
      </c>
      <c r="O651" s="3" t="str">
        <f>IF(COUNTIF($B:$B,B651)=1,"New Customer",
IF(COUNTIF($B:$B,B651)&lt;=3,"Returning Customer","Loyal Customer"))</f>
        <v>New Customer</v>
      </c>
      <c r="P651" s="3" t="str">
        <f>IF(cf_cl[[#This Row],[referred_claim]]="Yes","Referred","Not Referred")</f>
        <v>Not Referred</v>
      </c>
    </row>
    <row r="652" spans="1:16" x14ac:dyDescent="0.3">
      <c r="A652" t="s">
        <v>1247</v>
      </c>
      <c r="B652" t="s">
        <v>1248</v>
      </c>
      <c r="C652" s="1">
        <v>44643</v>
      </c>
      <c r="D652" t="s">
        <v>9</v>
      </c>
      <c r="E652">
        <v>1</v>
      </c>
      <c r="F652" s="3" t="s">
        <v>13</v>
      </c>
      <c r="G652" s="3" t="s">
        <v>10</v>
      </c>
      <c r="H652" s="3" t="str">
        <f>IF(cf_cl[[#This Row],[satisfaction_score]]&gt;=4,"Happy",IF(cf_cl[[#This Row],[satisfaction_score]]=3,"Neutral","Negative"))</f>
        <v>Negative</v>
      </c>
      <c r="I652" s="3" t="str">
        <f>IF(cf_cl[[#This Row],[satisfaction_score]]&lt;=2,"Low",IF(cf_cl[[#This Row],[satisfaction_score]]=3,"Medium","High"))</f>
        <v>Low</v>
      </c>
      <c r="J652">
        <f>YEAR(cf_cl[[#This Row],[date_submitted]])</f>
        <v>2022</v>
      </c>
      <c r="K652" s="3" t="str">
        <f>TEXT(cf_cl[[#This Row],[date_submitted]],"mmm")</f>
        <v>Mar</v>
      </c>
      <c r="L652" s="3" t="str">
        <f t="shared" si="30"/>
        <v>Q1</v>
      </c>
      <c r="M652" s="3" t="str">
        <f t="shared" si="31"/>
        <v>Wednesday</v>
      </c>
      <c r="N652" s="3" t="str">
        <f t="shared" si="32"/>
        <v>Yes</v>
      </c>
      <c r="O652" s="3" t="str">
        <f>IF(COUNTIF($B:$B,B652)=1,"New Customer",
IF(COUNTIF($B:$B,B652)&lt;=3,"Returning Customer","Loyal Customer"))</f>
        <v>New Customer</v>
      </c>
      <c r="P652" s="3" t="str">
        <f>IF(cf_cl[[#This Row],[referred_claim]]="Yes","Referred","Not Referred")</f>
        <v>Referred</v>
      </c>
    </row>
    <row r="653" spans="1:16" x14ac:dyDescent="0.3">
      <c r="A653" t="s">
        <v>1249</v>
      </c>
      <c r="B653" t="s">
        <v>1134</v>
      </c>
      <c r="C653" s="1">
        <v>44354</v>
      </c>
      <c r="D653" t="s">
        <v>83</v>
      </c>
      <c r="E653">
        <v>1</v>
      </c>
      <c r="F653" s="3" t="s">
        <v>13</v>
      </c>
      <c r="G653" s="3" t="s">
        <v>13</v>
      </c>
      <c r="H653" s="3" t="str">
        <f>IF(cf_cl[[#This Row],[satisfaction_score]]&gt;=4,"Happy",IF(cf_cl[[#This Row],[satisfaction_score]]=3,"Neutral","Negative"))</f>
        <v>Negative</v>
      </c>
      <c r="I653" s="3" t="str">
        <f>IF(cf_cl[[#This Row],[satisfaction_score]]&lt;=2,"Low",IF(cf_cl[[#This Row],[satisfaction_score]]=3,"Medium","High"))</f>
        <v>Low</v>
      </c>
      <c r="J653">
        <f>YEAR(cf_cl[[#This Row],[date_submitted]])</f>
        <v>2021</v>
      </c>
      <c r="K653" s="3" t="str">
        <f>TEXT(cf_cl[[#This Row],[date_submitted]],"mmm")</f>
        <v>Jun</v>
      </c>
      <c r="L653" s="3" t="str">
        <f t="shared" si="30"/>
        <v>Q2</v>
      </c>
      <c r="M653" s="3" t="str">
        <f t="shared" si="31"/>
        <v>Monday</v>
      </c>
      <c r="N653" s="3" t="str">
        <f t="shared" si="32"/>
        <v>Yes</v>
      </c>
      <c r="O653" s="3" t="str">
        <f>IF(COUNTIF($B:$B,B653)=1,"New Customer",
IF(COUNTIF($B:$B,B653)&lt;=3,"Returning Customer","Loyal Customer"))</f>
        <v>Returning Customer</v>
      </c>
      <c r="P653" s="3" t="str">
        <f>IF(cf_cl[[#This Row],[referred_claim]]="Yes","Referred","Not Referred")</f>
        <v>Not Referred</v>
      </c>
    </row>
    <row r="654" spans="1:16" x14ac:dyDescent="0.3">
      <c r="A654" t="s">
        <v>1250</v>
      </c>
      <c r="B654" t="s">
        <v>53</v>
      </c>
      <c r="C654" s="1">
        <v>44077</v>
      </c>
      <c r="D654" t="s">
        <v>19</v>
      </c>
      <c r="E654">
        <v>3</v>
      </c>
      <c r="F654" s="3" t="s">
        <v>10</v>
      </c>
      <c r="G654" s="3" t="s">
        <v>10</v>
      </c>
      <c r="H654" s="3" t="str">
        <f>IF(cf_cl[[#This Row],[satisfaction_score]]&gt;=4,"Happy",IF(cf_cl[[#This Row],[satisfaction_score]]=3,"Neutral","Negative"))</f>
        <v>Neutral</v>
      </c>
      <c r="I654" s="3" t="str">
        <f>IF(cf_cl[[#This Row],[satisfaction_score]]&lt;=2,"Low",IF(cf_cl[[#This Row],[satisfaction_score]]=3,"Medium","High"))</f>
        <v>Medium</v>
      </c>
      <c r="J654">
        <f>YEAR(cf_cl[[#This Row],[date_submitted]])</f>
        <v>2020</v>
      </c>
      <c r="K654" s="3" t="str">
        <f>TEXT(cf_cl[[#This Row],[date_submitted]],"mmm")</f>
        <v>Sep</v>
      </c>
      <c r="L654" s="3" t="str">
        <f t="shared" si="30"/>
        <v>Q3</v>
      </c>
      <c r="M654" s="3" t="str">
        <f t="shared" si="31"/>
        <v>Thursday</v>
      </c>
      <c r="N654" s="3" t="str">
        <f t="shared" si="32"/>
        <v>No</v>
      </c>
      <c r="O654" s="3" t="str">
        <f>IF(COUNTIF($B:$B,B654)=1,"New Customer",
IF(COUNTIF($B:$B,B654)&lt;=3,"Returning Customer","Loyal Customer"))</f>
        <v>Returning Customer</v>
      </c>
      <c r="P654" s="3" t="str">
        <f>IF(cf_cl[[#This Row],[referred_claim]]="Yes","Referred","Not Referred")</f>
        <v>Referred</v>
      </c>
    </row>
    <row r="655" spans="1:16" x14ac:dyDescent="0.3">
      <c r="A655" t="s">
        <v>1251</v>
      </c>
      <c r="B655" t="s">
        <v>1252</v>
      </c>
      <c r="C655" s="1">
        <v>43980</v>
      </c>
      <c r="D655" t="s">
        <v>28</v>
      </c>
      <c r="E655">
        <v>5</v>
      </c>
      <c r="F655" s="3" t="s">
        <v>13</v>
      </c>
      <c r="G655" s="3" t="s">
        <v>10</v>
      </c>
      <c r="H655" s="3" t="str">
        <f>IF(cf_cl[[#This Row],[satisfaction_score]]&gt;=4,"Happy",IF(cf_cl[[#This Row],[satisfaction_score]]=3,"Neutral","Negative"))</f>
        <v>Happy</v>
      </c>
      <c r="I655" s="3" t="str">
        <f>IF(cf_cl[[#This Row],[satisfaction_score]]&lt;=2,"Low",IF(cf_cl[[#This Row],[satisfaction_score]]=3,"Medium","High"))</f>
        <v>High</v>
      </c>
      <c r="J655">
        <f>YEAR(cf_cl[[#This Row],[date_submitted]])</f>
        <v>2020</v>
      </c>
      <c r="K655" s="3" t="str">
        <f>TEXT(cf_cl[[#This Row],[date_submitted]],"mmm")</f>
        <v>May</v>
      </c>
      <c r="L655" s="3" t="str">
        <f t="shared" si="30"/>
        <v>Q2</v>
      </c>
      <c r="M655" s="3" t="str">
        <f t="shared" si="31"/>
        <v>Friday</v>
      </c>
      <c r="N655" s="3" t="str">
        <f t="shared" si="32"/>
        <v>No</v>
      </c>
      <c r="O655" s="3" t="str">
        <f>IF(COUNTIF($B:$B,B655)=1,"New Customer",
IF(COUNTIF($B:$B,B655)&lt;=3,"Returning Customer","Loyal Customer"))</f>
        <v>New Customer</v>
      </c>
      <c r="P655" s="3" t="str">
        <f>IF(cf_cl[[#This Row],[referred_claim]]="Yes","Referred","Not Referred")</f>
        <v>Referred</v>
      </c>
    </row>
    <row r="656" spans="1:16" x14ac:dyDescent="0.3">
      <c r="A656" t="s">
        <v>1253</v>
      </c>
      <c r="B656" t="s">
        <v>1049</v>
      </c>
      <c r="C656" s="1">
        <v>43926</v>
      </c>
      <c r="D656" t="s">
        <v>28</v>
      </c>
      <c r="E656">
        <v>4</v>
      </c>
      <c r="F656" s="3" t="s">
        <v>10</v>
      </c>
      <c r="G656" s="3" t="s">
        <v>10</v>
      </c>
      <c r="H656" s="3" t="str">
        <f>IF(cf_cl[[#This Row],[satisfaction_score]]&gt;=4,"Happy",IF(cf_cl[[#This Row],[satisfaction_score]]=3,"Neutral","Negative"))</f>
        <v>Happy</v>
      </c>
      <c r="I656" s="3" t="str">
        <f>IF(cf_cl[[#This Row],[satisfaction_score]]&lt;=2,"Low",IF(cf_cl[[#This Row],[satisfaction_score]]=3,"Medium","High"))</f>
        <v>High</v>
      </c>
      <c r="J656">
        <f>YEAR(cf_cl[[#This Row],[date_submitted]])</f>
        <v>2020</v>
      </c>
      <c r="K656" s="3" t="str">
        <f>TEXT(cf_cl[[#This Row],[date_submitted]],"mmm")</f>
        <v>Apr</v>
      </c>
      <c r="L656" s="3" t="str">
        <f t="shared" si="30"/>
        <v>Q2</v>
      </c>
      <c r="M656" s="3" t="str">
        <f t="shared" si="31"/>
        <v>Sunday</v>
      </c>
      <c r="N656" s="3" t="str">
        <f t="shared" si="32"/>
        <v>No</v>
      </c>
      <c r="O656" s="3" t="str">
        <f>IF(COUNTIF($B:$B,B656)=1,"New Customer",
IF(COUNTIF($B:$B,B656)&lt;=3,"Returning Customer","Loyal Customer"))</f>
        <v>Returning Customer</v>
      </c>
      <c r="P656" s="3" t="str">
        <f>IF(cf_cl[[#This Row],[referred_claim]]="Yes","Referred","Not Referred")</f>
        <v>Referred</v>
      </c>
    </row>
    <row r="657" spans="1:16" x14ac:dyDescent="0.3">
      <c r="A657" t="s">
        <v>1254</v>
      </c>
      <c r="B657" t="s">
        <v>687</v>
      </c>
      <c r="C657" s="1">
        <v>44877</v>
      </c>
      <c r="D657" t="s">
        <v>68</v>
      </c>
      <c r="E657">
        <v>2</v>
      </c>
      <c r="F657" s="3" t="s">
        <v>13</v>
      </c>
      <c r="G657" s="3" t="s">
        <v>10</v>
      </c>
      <c r="H657" s="3" t="str">
        <f>IF(cf_cl[[#This Row],[satisfaction_score]]&gt;=4,"Happy",IF(cf_cl[[#This Row],[satisfaction_score]]=3,"Neutral","Negative"))</f>
        <v>Negative</v>
      </c>
      <c r="I657" s="3" t="str">
        <f>IF(cf_cl[[#This Row],[satisfaction_score]]&lt;=2,"Low",IF(cf_cl[[#This Row],[satisfaction_score]]=3,"Medium","High"))</f>
        <v>Low</v>
      </c>
      <c r="J657">
        <f>YEAR(cf_cl[[#This Row],[date_submitted]])</f>
        <v>2022</v>
      </c>
      <c r="K657" s="3" t="str">
        <f>TEXT(cf_cl[[#This Row],[date_submitted]],"mmm")</f>
        <v>Nov</v>
      </c>
      <c r="L657" s="3" t="str">
        <f t="shared" si="30"/>
        <v>Q4</v>
      </c>
      <c r="M657" s="3" t="str">
        <f t="shared" si="31"/>
        <v>Saturday</v>
      </c>
      <c r="N657" s="3" t="str">
        <f t="shared" si="32"/>
        <v>Yes</v>
      </c>
      <c r="O657" s="3" t="str">
        <f>IF(COUNTIF($B:$B,B657)=1,"New Customer",
IF(COUNTIF($B:$B,B657)&lt;=3,"Returning Customer","Loyal Customer"))</f>
        <v>Returning Customer</v>
      </c>
      <c r="P657" s="3" t="str">
        <f>IF(cf_cl[[#This Row],[referred_claim]]="Yes","Referred","Not Referred")</f>
        <v>Referred</v>
      </c>
    </row>
    <row r="658" spans="1:16" x14ac:dyDescent="0.3">
      <c r="A658" t="s">
        <v>1255</v>
      </c>
      <c r="B658" t="s">
        <v>1256</v>
      </c>
      <c r="C658" s="1">
        <v>44106</v>
      </c>
      <c r="D658" t="s">
        <v>16</v>
      </c>
      <c r="E658">
        <v>4</v>
      </c>
      <c r="F658" s="3" t="s">
        <v>13</v>
      </c>
      <c r="G658" s="3" t="s">
        <v>10</v>
      </c>
      <c r="H658" s="3" t="str">
        <f>IF(cf_cl[[#This Row],[satisfaction_score]]&gt;=4,"Happy",IF(cf_cl[[#This Row],[satisfaction_score]]=3,"Neutral","Negative"))</f>
        <v>Happy</v>
      </c>
      <c r="I658" s="3" t="str">
        <f>IF(cf_cl[[#This Row],[satisfaction_score]]&lt;=2,"Low",IF(cf_cl[[#This Row],[satisfaction_score]]=3,"Medium","High"))</f>
        <v>High</v>
      </c>
      <c r="J658">
        <f>YEAR(cf_cl[[#This Row],[date_submitted]])</f>
        <v>2020</v>
      </c>
      <c r="K658" s="3" t="str">
        <f>TEXT(cf_cl[[#This Row],[date_submitted]],"mmm")</f>
        <v>Oct</v>
      </c>
      <c r="L658" s="3" t="str">
        <f t="shared" si="30"/>
        <v>Q4</v>
      </c>
      <c r="M658" s="3" t="str">
        <f t="shared" si="31"/>
        <v>Friday</v>
      </c>
      <c r="N658" s="3" t="str">
        <f t="shared" si="32"/>
        <v>No</v>
      </c>
      <c r="O658" s="3" t="str">
        <f>IF(COUNTIF($B:$B,B658)=1,"New Customer",
IF(COUNTIF($B:$B,B658)&lt;=3,"Returning Customer","Loyal Customer"))</f>
        <v>New Customer</v>
      </c>
      <c r="P658" s="3" t="str">
        <f>IF(cf_cl[[#This Row],[referred_claim]]="Yes","Referred","Not Referred")</f>
        <v>Referred</v>
      </c>
    </row>
    <row r="659" spans="1:16" x14ac:dyDescent="0.3">
      <c r="A659" t="s">
        <v>1257</v>
      </c>
      <c r="B659" t="s">
        <v>302</v>
      </c>
      <c r="C659" s="1">
        <v>44557</v>
      </c>
      <c r="D659" t="s">
        <v>37</v>
      </c>
      <c r="E659">
        <v>5</v>
      </c>
      <c r="F659" s="3" t="s">
        <v>10</v>
      </c>
      <c r="G659" s="3" t="s">
        <v>13</v>
      </c>
      <c r="H659" s="3" t="str">
        <f>IF(cf_cl[[#This Row],[satisfaction_score]]&gt;=4,"Happy",IF(cf_cl[[#This Row],[satisfaction_score]]=3,"Neutral","Negative"))</f>
        <v>Happy</v>
      </c>
      <c r="I659" s="3" t="str">
        <f>IF(cf_cl[[#This Row],[satisfaction_score]]&lt;=2,"Low",IF(cf_cl[[#This Row],[satisfaction_score]]=3,"Medium","High"))</f>
        <v>High</v>
      </c>
      <c r="J659">
        <f>YEAR(cf_cl[[#This Row],[date_submitted]])</f>
        <v>2021</v>
      </c>
      <c r="K659" s="3" t="str">
        <f>TEXT(cf_cl[[#This Row],[date_submitted]],"mmm")</f>
        <v>Dec</v>
      </c>
      <c r="L659" s="3" t="str">
        <f t="shared" si="30"/>
        <v>Q4</v>
      </c>
      <c r="M659" s="3" t="str">
        <f t="shared" si="31"/>
        <v>Monday</v>
      </c>
      <c r="N659" s="3" t="str">
        <f t="shared" si="32"/>
        <v>No</v>
      </c>
      <c r="O659" s="3" t="str">
        <f>IF(COUNTIF($B:$B,B659)=1,"New Customer",
IF(COUNTIF($B:$B,B659)&lt;=3,"Returning Customer","Loyal Customer"))</f>
        <v>Returning Customer</v>
      </c>
      <c r="P659" s="3" t="str">
        <f>IF(cf_cl[[#This Row],[referred_claim]]="Yes","Referred","Not Referred")</f>
        <v>Not Referred</v>
      </c>
    </row>
    <row r="660" spans="1:16" x14ac:dyDescent="0.3">
      <c r="A660" t="s">
        <v>1258</v>
      </c>
      <c r="B660" t="s">
        <v>869</v>
      </c>
      <c r="C660" s="1">
        <v>45189</v>
      </c>
      <c r="D660" t="s">
        <v>25</v>
      </c>
      <c r="E660">
        <v>5</v>
      </c>
      <c r="F660" s="3" t="s">
        <v>13</v>
      </c>
      <c r="G660" s="3" t="s">
        <v>10</v>
      </c>
      <c r="H660" s="3" t="str">
        <f>IF(cf_cl[[#This Row],[satisfaction_score]]&gt;=4,"Happy",IF(cf_cl[[#This Row],[satisfaction_score]]=3,"Neutral","Negative"))</f>
        <v>Happy</v>
      </c>
      <c r="I660" s="3" t="str">
        <f>IF(cf_cl[[#This Row],[satisfaction_score]]&lt;=2,"Low",IF(cf_cl[[#This Row],[satisfaction_score]]=3,"Medium","High"))</f>
        <v>High</v>
      </c>
      <c r="J660">
        <f>YEAR(cf_cl[[#This Row],[date_submitted]])</f>
        <v>2023</v>
      </c>
      <c r="K660" s="3" t="str">
        <f>TEXT(cf_cl[[#This Row],[date_submitted]],"mmm")</f>
        <v>Sep</v>
      </c>
      <c r="L660" s="3" t="str">
        <f t="shared" si="30"/>
        <v>Q3</v>
      </c>
      <c r="M660" s="3" t="str">
        <f t="shared" si="31"/>
        <v>Wednesday</v>
      </c>
      <c r="N660" s="3" t="str">
        <f t="shared" si="32"/>
        <v>No</v>
      </c>
      <c r="O660" s="3" t="str">
        <f>IF(COUNTIF($B:$B,B660)=1,"New Customer",
IF(COUNTIF($B:$B,B660)&lt;=3,"Returning Customer","Loyal Customer"))</f>
        <v>Returning Customer</v>
      </c>
      <c r="P660" s="3" t="str">
        <f>IF(cf_cl[[#This Row],[referred_claim]]="Yes","Referred","Not Referred")</f>
        <v>Referred</v>
      </c>
    </row>
    <row r="661" spans="1:16" x14ac:dyDescent="0.3">
      <c r="A661" t="s">
        <v>1259</v>
      </c>
      <c r="B661" t="s">
        <v>1260</v>
      </c>
      <c r="C661" s="1">
        <v>44842</v>
      </c>
      <c r="D661" t="s">
        <v>22</v>
      </c>
      <c r="E661">
        <v>4</v>
      </c>
      <c r="F661" s="3" t="s">
        <v>13</v>
      </c>
      <c r="G661" s="3" t="s">
        <v>13</v>
      </c>
      <c r="H661" s="3" t="str">
        <f>IF(cf_cl[[#This Row],[satisfaction_score]]&gt;=4,"Happy",IF(cf_cl[[#This Row],[satisfaction_score]]=3,"Neutral","Negative"))</f>
        <v>Happy</v>
      </c>
      <c r="I661" s="3" t="str">
        <f>IF(cf_cl[[#This Row],[satisfaction_score]]&lt;=2,"Low",IF(cf_cl[[#This Row],[satisfaction_score]]=3,"Medium","High"))</f>
        <v>High</v>
      </c>
      <c r="J661">
        <f>YEAR(cf_cl[[#This Row],[date_submitted]])</f>
        <v>2022</v>
      </c>
      <c r="K661" s="3" t="str">
        <f>TEXT(cf_cl[[#This Row],[date_submitted]],"mmm")</f>
        <v>Oct</v>
      </c>
      <c r="L661" s="3" t="str">
        <f t="shared" si="30"/>
        <v>Q4</v>
      </c>
      <c r="M661" s="3" t="str">
        <f t="shared" si="31"/>
        <v>Saturday</v>
      </c>
      <c r="N661" s="3" t="str">
        <f t="shared" si="32"/>
        <v>No</v>
      </c>
      <c r="O661" s="3" t="str">
        <f>IF(COUNTIF($B:$B,B661)=1,"New Customer",
IF(COUNTIF($B:$B,B661)&lt;=3,"Returning Customer","Loyal Customer"))</f>
        <v>New Customer</v>
      </c>
      <c r="P661" s="3" t="str">
        <f>IF(cf_cl[[#This Row],[referred_claim]]="Yes","Referred","Not Referred")</f>
        <v>Not Referred</v>
      </c>
    </row>
    <row r="662" spans="1:16" x14ac:dyDescent="0.3">
      <c r="A662" t="s">
        <v>1261</v>
      </c>
      <c r="B662" t="s">
        <v>1262</v>
      </c>
      <c r="C662" s="1">
        <v>44097</v>
      </c>
      <c r="D662" t="s">
        <v>83</v>
      </c>
      <c r="E662">
        <v>3</v>
      </c>
      <c r="F662" s="3" t="s">
        <v>13</v>
      </c>
      <c r="G662" s="3" t="s">
        <v>10</v>
      </c>
      <c r="H662" s="3" t="str">
        <f>IF(cf_cl[[#This Row],[satisfaction_score]]&gt;=4,"Happy",IF(cf_cl[[#This Row],[satisfaction_score]]=3,"Neutral","Negative"))</f>
        <v>Neutral</v>
      </c>
      <c r="I662" s="3" t="str">
        <f>IF(cf_cl[[#This Row],[satisfaction_score]]&lt;=2,"Low",IF(cf_cl[[#This Row],[satisfaction_score]]=3,"Medium","High"))</f>
        <v>Medium</v>
      </c>
      <c r="J662">
        <f>YEAR(cf_cl[[#This Row],[date_submitted]])</f>
        <v>2020</v>
      </c>
      <c r="K662" s="3" t="str">
        <f>TEXT(cf_cl[[#This Row],[date_submitted]],"mmm")</f>
        <v>Sep</v>
      </c>
      <c r="L662" s="3" t="str">
        <f t="shared" si="30"/>
        <v>Q3</v>
      </c>
      <c r="M662" s="3" t="str">
        <f t="shared" si="31"/>
        <v>Wednesday</v>
      </c>
      <c r="N662" s="3" t="str">
        <f t="shared" si="32"/>
        <v>No</v>
      </c>
      <c r="O662" s="3" t="str">
        <f>IF(COUNTIF($B:$B,B662)=1,"New Customer",
IF(COUNTIF($B:$B,B662)&lt;=3,"Returning Customer","Loyal Customer"))</f>
        <v>New Customer</v>
      </c>
      <c r="P662" s="3" t="str">
        <f>IF(cf_cl[[#This Row],[referred_claim]]="Yes","Referred","Not Referred")</f>
        <v>Referred</v>
      </c>
    </row>
    <row r="663" spans="1:16" x14ac:dyDescent="0.3">
      <c r="A663" t="s">
        <v>1263</v>
      </c>
      <c r="B663" t="s">
        <v>1264</v>
      </c>
      <c r="C663" s="1">
        <v>45077</v>
      </c>
      <c r="D663" t="s">
        <v>83</v>
      </c>
      <c r="E663">
        <v>2</v>
      </c>
      <c r="F663" s="3" t="s">
        <v>10</v>
      </c>
      <c r="G663" s="3" t="s">
        <v>13</v>
      </c>
      <c r="H663" s="3" t="str">
        <f>IF(cf_cl[[#This Row],[satisfaction_score]]&gt;=4,"Happy",IF(cf_cl[[#This Row],[satisfaction_score]]=3,"Neutral","Negative"))</f>
        <v>Negative</v>
      </c>
      <c r="I663" s="3" t="str">
        <f>IF(cf_cl[[#This Row],[satisfaction_score]]&lt;=2,"Low",IF(cf_cl[[#This Row],[satisfaction_score]]=3,"Medium","High"))</f>
        <v>Low</v>
      </c>
      <c r="J663">
        <f>YEAR(cf_cl[[#This Row],[date_submitted]])</f>
        <v>2023</v>
      </c>
      <c r="K663" s="3" t="str">
        <f>TEXT(cf_cl[[#This Row],[date_submitted]],"mmm")</f>
        <v>May</v>
      </c>
      <c r="L663" s="3" t="str">
        <f t="shared" si="30"/>
        <v>Q2</v>
      </c>
      <c r="M663" s="3" t="str">
        <f t="shared" si="31"/>
        <v>Wednesday</v>
      </c>
      <c r="N663" s="3" t="str">
        <f t="shared" si="32"/>
        <v>Yes</v>
      </c>
      <c r="O663" s="3" t="str">
        <f>IF(COUNTIF($B:$B,B663)=1,"New Customer",
IF(COUNTIF($B:$B,B663)&lt;=3,"Returning Customer","Loyal Customer"))</f>
        <v>New Customer</v>
      </c>
      <c r="P663" s="3" t="str">
        <f>IF(cf_cl[[#This Row],[referred_claim]]="Yes","Referred","Not Referred")</f>
        <v>Not Referred</v>
      </c>
    </row>
    <row r="664" spans="1:16" x14ac:dyDescent="0.3">
      <c r="A664" t="s">
        <v>1265</v>
      </c>
      <c r="B664" t="s">
        <v>1266</v>
      </c>
      <c r="C664" s="1">
        <v>43843</v>
      </c>
      <c r="D664" t="s">
        <v>28</v>
      </c>
      <c r="E664">
        <v>4</v>
      </c>
      <c r="F664" s="3" t="s">
        <v>13</v>
      </c>
      <c r="G664" s="3" t="s">
        <v>10</v>
      </c>
      <c r="H664" s="3" t="str">
        <f>IF(cf_cl[[#This Row],[satisfaction_score]]&gt;=4,"Happy",IF(cf_cl[[#This Row],[satisfaction_score]]=3,"Neutral","Negative"))</f>
        <v>Happy</v>
      </c>
      <c r="I664" s="3" t="str">
        <f>IF(cf_cl[[#This Row],[satisfaction_score]]&lt;=2,"Low",IF(cf_cl[[#This Row],[satisfaction_score]]=3,"Medium","High"))</f>
        <v>High</v>
      </c>
      <c r="J664">
        <f>YEAR(cf_cl[[#This Row],[date_submitted]])</f>
        <v>2020</v>
      </c>
      <c r="K664" s="3" t="str">
        <f>TEXT(cf_cl[[#This Row],[date_submitted]],"mmm")</f>
        <v>Jan</v>
      </c>
      <c r="L664" s="3" t="str">
        <f t="shared" si="30"/>
        <v>Q1</v>
      </c>
      <c r="M664" s="3" t="str">
        <f t="shared" si="31"/>
        <v>Monday</v>
      </c>
      <c r="N664" s="3" t="str">
        <f t="shared" si="32"/>
        <v>No</v>
      </c>
      <c r="O664" s="3" t="str">
        <f>IF(COUNTIF($B:$B,B664)=1,"New Customer",
IF(COUNTIF($B:$B,B664)&lt;=3,"Returning Customer","Loyal Customer"))</f>
        <v>New Customer</v>
      </c>
      <c r="P664" s="3" t="str">
        <f>IF(cf_cl[[#This Row],[referred_claim]]="Yes","Referred","Not Referred")</f>
        <v>Referred</v>
      </c>
    </row>
    <row r="665" spans="1:16" x14ac:dyDescent="0.3">
      <c r="A665" t="s">
        <v>1267</v>
      </c>
      <c r="B665" t="s">
        <v>232</v>
      </c>
      <c r="C665" s="1">
        <v>44434</v>
      </c>
      <c r="D665" t="s">
        <v>22</v>
      </c>
      <c r="E665">
        <v>4</v>
      </c>
      <c r="F665" s="3" t="s">
        <v>13</v>
      </c>
      <c r="G665" s="3" t="s">
        <v>13</v>
      </c>
      <c r="H665" s="3" t="str">
        <f>IF(cf_cl[[#This Row],[satisfaction_score]]&gt;=4,"Happy",IF(cf_cl[[#This Row],[satisfaction_score]]=3,"Neutral","Negative"))</f>
        <v>Happy</v>
      </c>
      <c r="I665" s="3" t="str">
        <f>IF(cf_cl[[#This Row],[satisfaction_score]]&lt;=2,"Low",IF(cf_cl[[#This Row],[satisfaction_score]]=3,"Medium","High"))</f>
        <v>High</v>
      </c>
      <c r="J665">
        <f>YEAR(cf_cl[[#This Row],[date_submitted]])</f>
        <v>2021</v>
      </c>
      <c r="K665" s="3" t="str">
        <f>TEXT(cf_cl[[#This Row],[date_submitted]],"mmm")</f>
        <v>Aug</v>
      </c>
      <c r="L665" s="3" t="str">
        <f t="shared" si="30"/>
        <v>Q3</v>
      </c>
      <c r="M665" s="3" t="str">
        <f t="shared" si="31"/>
        <v>Thursday</v>
      </c>
      <c r="N665" s="3" t="str">
        <f t="shared" si="32"/>
        <v>No</v>
      </c>
      <c r="O665" s="3" t="str">
        <f>IF(COUNTIF($B:$B,B665)=1,"New Customer",
IF(COUNTIF($B:$B,B665)&lt;=3,"Returning Customer","Loyal Customer"))</f>
        <v>Returning Customer</v>
      </c>
      <c r="P665" s="3" t="str">
        <f>IF(cf_cl[[#This Row],[referred_claim]]="Yes","Referred","Not Referred")</f>
        <v>Not Referred</v>
      </c>
    </row>
    <row r="666" spans="1:16" x14ac:dyDescent="0.3">
      <c r="A666" t="s">
        <v>1268</v>
      </c>
      <c r="B666" t="s">
        <v>1269</v>
      </c>
      <c r="C666" s="1">
        <v>43883</v>
      </c>
      <c r="D666" t="s">
        <v>19</v>
      </c>
      <c r="E666">
        <v>3</v>
      </c>
      <c r="F666" s="3" t="s">
        <v>13</v>
      </c>
      <c r="G666" s="3" t="s">
        <v>10</v>
      </c>
      <c r="H666" s="3" t="str">
        <f>IF(cf_cl[[#This Row],[satisfaction_score]]&gt;=4,"Happy",IF(cf_cl[[#This Row],[satisfaction_score]]=3,"Neutral","Negative"))</f>
        <v>Neutral</v>
      </c>
      <c r="I666" s="3" t="str">
        <f>IF(cf_cl[[#This Row],[satisfaction_score]]&lt;=2,"Low",IF(cf_cl[[#This Row],[satisfaction_score]]=3,"Medium","High"))</f>
        <v>Medium</v>
      </c>
      <c r="J666">
        <f>YEAR(cf_cl[[#This Row],[date_submitted]])</f>
        <v>2020</v>
      </c>
      <c r="K666" s="3" t="str">
        <f>TEXT(cf_cl[[#This Row],[date_submitted]],"mmm")</f>
        <v>Feb</v>
      </c>
      <c r="L666" s="3" t="str">
        <f t="shared" si="30"/>
        <v>Q1</v>
      </c>
      <c r="M666" s="3" t="str">
        <f t="shared" si="31"/>
        <v>Saturday</v>
      </c>
      <c r="N666" s="3" t="str">
        <f t="shared" si="32"/>
        <v>No</v>
      </c>
      <c r="O666" s="3" t="str">
        <f>IF(COUNTIF($B:$B,B666)=1,"New Customer",
IF(COUNTIF($B:$B,B666)&lt;=3,"Returning Customer","Loyal Customer"))</f>
        <v>Returning Customer</v>
      </c>
      <c r="P666" s="3" t="str">
        <f>IF(cf_cl[[#This Row],[referred_claim]]="Yes","Referred","Not Referred")</f>
        <v>Referred</v>
      </c>
    </row>
    <row r="667" spans="1:16" x14ac:dyDescent="0.3">
      <c r="A667" t="s">
        <v>1270</v>
      </c>
      <c r="B667" t="s">
        <v>1271</v>
      </c>
      <c r="C667" s="1">
        <v>44513</v>
      </c>
      <c r="D667" t="s">
        <v>31</v>
      </c>
      <c r="E667">
        <v>1</v>
      </c>
      <c r="F667" s="3" t="s">
        <v>13</v>
      </c>
      <c r="G667" s="3" t="s">
        <v>10</v>
      </c>
      <c r="H667" s="3" t="str">
        <f>IF(cf_cl[[#This Row],[satisfaction_score]]&gt;=4,"Happy",IF(cf_cl[[#This Row],[satisfaction_score]]=3,"Neutral","Negative"))</f>
        <v>Negative</v>
      </c>
      <c r="I667" s="3" t="str">
        <f>IF(cf_cl[[#This Row],[satisfaction_score]]&lt;=2,"Low",IF(cf_cl[[#This Row],[satisfaction_score]]=3,"Medium","High"))</f>
        <v>Low</v>
      </c>
      <c r="J667">
        <f>YEAR(cf_cl[[#This Row],[date_submitted]])</f>
        <v>2021</v>
      </c>
      <c r="K667" s="3" t="str">
        <f>TEXT(cf_cl[[#This Row],[date_submitted]],"mmm")</f>
        <v>Nov</v>
      </c>
      <c r="L667" s="3" t="str">
        <f t="shared" si="30"/>
        <v>Q4</v>
      </c>
      <c r="M667" s="3" t="str">
        <f t="shared" si="31"/>
        <v>Saturday</v>
      </c>
      <c r="N667" s="3" t="str">
        <f t="shared" si="32"/>
        <v>Yes</v>
      </c>
      <c r="O667" s="3" t="str">
        <f>IF(COUNTIF($B:$B,B667)=1,"New Customer",
IF(COUNTIF($B:$B,B667)&lt;=3,"Returning Customer","Loyal Customer"))</f>
        <v>New Customer</v>
      </c>
      <c r="P667" s="3" t="str">
        <f>IF(cf_cl[[#This Row],[referred_claim]]="Yes","Referred","Not Referred")</f>
        <v>Referred</v>
      </c>
    </row>
    <row r="668" spans="1:16" x14ac:dyDescent="0.3">
      <c r="A668" t="s">
        <v>1272</v>
      </c>
      <c r="B668" t="s">
        <v>1273</v>
      </c>
      <c r="C668" s="1">
        <v>44327</v>
      </c>
      <c r="D668" t="s">
        <v>28</v>
      </c>
      <c r="E668">
        <v>4</v>
      </c>
      <c r="F668" s="3" t="s">
        <v>13</v>
      </c>
      <c r="G668" s="3" t="s">
        <v>13</v>
      </c>
      <c r="H668" s="3" t="str">
        <f>IF(cf_cl[[#This Row],[satisfaction_score]]&gt;=4,"Happy",IF(cf_cl[[#This Row],[satisfaction_score]]=3,"Neutral","Negative"))</f>
        <v>Happy</v>
      </c>
      <c r="I668" s="3" t="str">
        <f>IF(cf_cl[[#This Row],[satisfaction_score]]&lt;=2,"Low",IF(cf_cl[[#This Row],[satisfaction_score]]=3,"Medium","High"))</f>
        <v>High</v>
      </c>
      <c r="J668">
        <f>YEAR(cf_cl[[#This Row],[date_submitted]])</f>
        <v>2021</v>
      </c>
      <c r="K668" s="3" t="str">
        <f>TEXT(cf_cl[[#This Row],[date_submitted]],"mmm")</f>
        <v>May</v>
      </c>
      <c r="L668" s="3" t="str">
        <f t="shared" si="30"/>
        <v>Q2</v>
      </c>
      <c r="M668" s="3" t="str">
        <f t="shared" si="31"/>
        <v>Tuesday</v>
      </c>
      <c r="N668" s="3" t="str">
        <f t="shared" si="32"/>
        <v>No</v>
      </c>
      <c r="O668" s="3" t="str">
        <f>IF(COUNTIF($B:$B,B668)=1,"New Customer",
IF(COUNTIF($B:$B,B668)&lt;=3,"Returning Customer","Loyal Customer"))</f>
        <v>New Customer</v>
      </c>
      <c r="P668" s="3" t="str">
        <f>IF(cf_cl[[#This Row],[referred_claim]]="Yes","Referred","Not Referred")</f>
        <v>Not Referred</v>
      </c>
    </row>
    <row r="669" spans="1:16" x14ac:dyDescent="0.3">
      <c r="A669" t="s">
        <v>1274</v>
      </c>
      <c r="B669" t="s">
        <v>1275</v>
      </c>
      <c r="C669" s="1">
        <v>43852</v>
      </c>
      <c r="D669" t="s">
        <v>68</v>
      </c>
      <c r="E669">
        <v>2</v>
      </c>
      <c r="F669" s="3" t="s">
        <v>13</v>
      </c>
      <c r="G669" s="3" t="s">
        <v>10</v>
      </c>
      <c r="H669" s="3" t="str">
        <f>IF(cf_cl[[#This Row],[satisfaction_score]]&gt;=4,"Happy",IF(cf_cl[[#This Row],[satisfaction_score]]=3,"Neutral","Negative"))</f>
        <v>Negative</v>
      </c>
      <c r="I669" s="3" t="str">
        <f>IF(cf_cl[[#This Row],[satisfaction_score]]&lt;=2,"Low",IF(cf_cl[[#This Row],[satisfaction_score]]=3,"Medium","High"))</f>
        <v>Low</v>
      </c>
      <c r="J669">
        <f>YEAR(cf_cl[[#This Row],[date_submitted]])</f>
        <v>2020</v>
      </c>
      <c r="K669" s="3" t="str">
        <f>TEXT(cf_cl[[#This Row],[date_submitted]],"mmm")</f>
        <v>Jan</v>
      </c>
      <c r="L669" s="3" t="str">
        <f t="shared" si="30"/>
        <v>Q1</v>
      </c>
      <c r="M669" s="3" t="str">
        <f t="shared" si="31"/>
        <v>Wednesday</v>
      </c>
      <c r="N669" s="3" t="str">
        <f t="shared" si="32"/>
        <v>Yes</v>
      </c>
      <c r="O669" s="3" t="str">
        <f>IF(COUNTIF($B:$B,B669)=1,"New Customer",
IF(COUNTIF($B:$B,B669)&lt;=3,"Returning Customer","Loyal Customer"))</f>
        <v>New Customer</v>
      </c>
      <c r="P669" s="3" t="str">
        <f>IF(cf_cl[[#This Row],[referred_claim]]="Yes","Referred","Not Referred")</f>
        <v>Referred</v>
      </c>
    </row>
    <row r="670" spans="1:16" x14ac:dyDescent="0.3">
      <c r="A670" t="s">
        <v>1276</v>
      </c>
      <c r="B670" t="s">
        <v>1277</v>
      </c>
      <c r="C670" s="1">
        <v>43912</v>
      </c>
      <c r="D670" t="s">
        <v>25</v>
      </c>
      <c r="E670">
        <v>5</v>
      </c>
      <c r="F670" s="3" t="s">
        <v>10</v>
      </c>
      <c r="G670" s="3" t="s">
        <v>10</v>
      </c>
      <c r="H670" s="3" t="str">
        <f>IF(cf_cl[[#This Row],[satisfaction_score]]&gt;=4,"Happy",IF(cf_cl[[#This Row],[satisfaction_score]]=3,"Neutral","Negative"))</f>
        <v>Happy</v>
      </c>
      <c r="I670" s="3" t="str">
        <f>IF(cf_cl[[#This Row],[satisfaction_score]]&lt;=2,"Low",IF(cf_cl[[#This Row],[satisfaction_score]]=3,"Medium","High"))</f>
        <v>High</v>
      </c>
      <c r="J670">
        <f>YEAR(cf_cl[[#This Row],[date_submitted]])</f>
        <v>2020</v>
      </c>
      <c r="K670" s="3" t="str">
        <f>TEXT(cf_cl[[#This Row],[date_submitted]],"mmm")</f>
        <v>Mar</v>
      </c>
      <c r="L670" s="3" t="str">
        <f t="shared" si="30"/>
        <v>Q1</v>
      </c>
      <c r="M670" s="3" t="str">
        <f t="shared" si="31"/>
        <v>Sunday</v>
      </c>
      <c r="N670" s="3" t="str">
        <f t="shared" si="32"/>
        <v>No</v>
      </c>
      <c r="O670" s="3" t="str">
        <f>IF(COUNTIF($B:$B,B670)=1,"New Customer",
IF(COUNTIF($B:$B,B670)&lt;=3,"Returning Customer","Loyal Customer"))</f>
        <v>New Customer</v>
      </c>
      <c r="P670" s="3" t="str">
        <f>IF(cf_cl[[#This Row],[referred_claim]]="Yes","Referred","Not Referred")</f>
        <v>Referred</v>
      </c>
    </row>
    <row r="671" spans="1:16" x14ac:dyDescent="0.3">
      <c r="A671" t="s">
        <v>1278</v>
      </c>
      <c r="B671" t="s">
        <v>513</v>
      </c>
      <c r="C671" s="1">
        <v>45100</v>
      </c>
      <c r="D671" t="s">
        <v>83</v>
      </c>
      <c r="E671">
        <v>1</v>
      </c>
      <c r="F671" s="3" t="s">
        <v>13</v>
      </c>
      <c r="G671" s="3" t="s">
        <v>10</v>
      </c>
      <c r="H671" s="3" t="str">
        <f>IF(cf_cl[[#This Row],[satisfaction_score]]&gt;=4,"Happy",IF(cf_cl[[#This Row],[satisfaction_score]]=3,"Neutral","Negative"))</f>
        <v>Negative</v>
      </c>
      <c r="I671" s="3" t="str">
        <f>IF(cf_cl[[#This Row],[satisfaction_score]]&lt;=2,"Low",IF(cf_cl[[#This Row],[satisfaction_score]]=3,"Medium","High"))</f>
        <v>Low</v>
      </c>
      <c r="J671">
        <f>YEAR(cf_cl[[#This Row],[date_submitted]])</f>
        <v>2023</v>
      </c>
      <c r="K671" s="3" t="str">
        <f>TEXT(cf_cl[[#This Row],[date_submitted]],"mmm")</f>
        <v>Jun</v>
      </c>
      <c r="L671" s="3" t="str">
        <f t="shared" si="30"/>
        <v>Q2</v>
      </c>
      <c r="M671" s="3" t="str">
        <f t="shared" si="31"/>
        <v>Friday</v>
      </c>
      <c r="N671" s="3" t="str">
        <f t="shared" si="32"/>
        <v>Yes</v>
      </c>
      <c r="O671" s="3" t="str">
        <f>IF(COUNTIF($B:$B,B671)=1,"New Customer",
IF(COUNTIF($B:$B,B671)&lt;=3,"Returning Customer","Loyal Customer"))</f>
        <v>Returning Customer</v>
      </c>
      <c r="P671" s="3" t="str">
        <f>IF(cf_cl[[#This Row],[referred_claim]]="Yes","Referred","Not Referred")</f>
        <v>Referred</v>
      </c>
    </row>
    <row r="672" spans="1:16" x14ac:dyDescent="0.3">
      <c r="A672" t="s">
        <v>1279</v>
      </c>
      <c r="B672" t="s">
        <v>1280</v>
      </c>
      <c r="C672" s="1">
        <v>44969</v>
      </c>
      <c r="D672" t="s">
        <v>83</v>
      </c>
      <c r="E672">
        <v>1</v>
      </c>
      <c r="F672" s="3" t="s">
        <v>10</v>
      </c>
      <c r="G672" s="3" t="s">
        <v>13</v>
      </c>
      <c r="H672" s="3" t="str">
        <f>IF(cf_cl[[#This Row],[satisfaction_score]]&gt;=4,"Happy",IF(cf_cl[[#This Row],[satisfaction_score]]=3,"Neutral","Negative"))</f>
        <v>Negative</v>
      </c>
      <c r="I672" s="3" t="str">
        <f>IF(cf_cl[[#This Row],[satisfaction_score]]&lt;=2,"Low",IF(cf_cl[[#This Row],[satisfaction_score]]=3,"Medium","High"))</f>
        <v>Low</v>
      </c>
      <c r="J672">
        <f>YEAR(cf_cl[[#This Row],[date_submitted]])</f>
        <v>2023</v>
      </c>
      <c r="K672" s="3" t="str">
        <f>TEXT(cf_cl[[#This Row],[date_submitted]],"mmm")</f>
        <v>Feb</v>
      </c>
      <c r="L672" s="3" t="str">
        <f t="shared" si="30"/>
        <v>Q1</v>
      </c>
      <c r="M672" s="3" t="str">
        <f t="shared" si="31"/>
        <v>Sunday</v>
      </c>
      <c r="N672" s="3" t="str">
        <f t="shared" si="32"/>
        <v>Yes</v>
      </c>
      <c r="O672" s="3" t="str">
        <f>IF(COUNTIF($B:$B,B672)=1,"New Customer",
IF(COUNTIF($B:$B,B672)&lt;=3,"Returning Customer","Loyal Customer"))</f>
        <v>New Customer</v>
      </c>
      <c r="P672" s="3" t="str">
        <f>IF(cf_cl[[#This Row],[referred_claim]]="Yes","Referred","Not Referred")</f>
        <v>Not Referred</v>
      </c>
    </row>
    <row r="673" spans="1:16" x14ac:dyDescent="0.3">
      <c r="A673" t="s">
        <v>1281</v>
      </c>
      <c r="B673" t="s">
        <v>1282</v>
      </c>
      <c r="C673" s="1">
        <v>44367</v>
      </c>
      <c r="D673" t="s">
        <v>83</v>
      </c>
      <c r="E673">
        <v>3</v>
      </c>
      <c r="F673" s="3" t="s">
        <v>10</v>
      </c>
      <c r="G673" s="3" t="s">
        <v>13</v>
      </c>
      <c r="H673" s="3" t="str">
        <f>IF(cf_cl[[#This Row],[satisfaction_score]]&gt;=4,"Happy",IF(cf_cl[[#This Row],[satisfaction_score]]=3,"Neutral","Negative"))</f>
        <v>Neutral</v>
      </c>
      <c r="I673" s="3" t="str">
        <f>IF(cf_cl[[#This Row],[satisfaction_score]]&lt;=2,"Low",IF(cf_cl[[#This Row],[satisfaction_score]]=3,"Medium","High"))</f>
        <v>Medium</v>
      </c>
      <c r="J673">
        <f>YEAR(cf_cl[[#This Row],[date_submitted]])</f>
        <v>2021</v>
      </c>
      <c r="K673" s="3" t="str">
        <f>TEXT(cf_cl[[#This Row],[date_submitted]],"mmm")</f>
        <v>Jun</v>
      </c>
      <c r="L673" s="3" t="str">
        <f t="shared" si="30"/>
        <v>Q2</v>
      </c>
      <c r="M673" s="3" t="str">
        <f t="shared" si="31"/>
        <v>Sunday</v>
      </c>
      <c r="N673" s="3" t="str">
        <f t="shared" si="32"/>
        <v>No</v>
      </c>
      <c r="O673" s="3" t="str">
        <f>IF(COUNTIF($B:$B,B673)=1,"New Customer",
IF(COUNTIF($B:$B,B673)&lt;=3,"Returning Customer","Loyal Customer"))</f>
        <v>New Customer</v>
      </c>
      <c r="P673" s="3" t="str">
        <f>IF(cf_cl[[#This Row],[referred_claim]]="Yes","Referred","Not Referred")</f>
        <v>Not Referred</v>
      </c>
    </row>
    <row r="674" spans="1:16" x14ac:dyDescent="0.3">
      <c r="A674" t="s">
        <v>1283</v>
      </c>
      <c r="B674" t="s">
        <v>1284</v>
      </c>
      <c r="C674" s="1">
        <v>44735</v>
      </c>
      <c r="D674" t="s">
        <v>83</v>
      </c>
      <c r="E674">
        <v>3</v>
      </c>
      <c r="F674" s="3" t="s">
        <v>13</v>
      </c>
      <c r="G674" s="3" t="s">
        <v>10</v>
      </c>
      <c r="H674" s="3" t="str">
        <f>IF(cf_cl[[#This Row],[satisfaction_score]]&gt;=4,"Happy",IF(cf_cl[[#This Row],[satisfaction_score]]=3,"Neutral","Negative"))</f>
        <v>Neutral</v>
      </c>
      <c r="I674" s="3" t="str">
        <f>IF(cf_cl[[#This Row],[satisfaction_score]]&lt;=2,"Low",IF(cf_cl[[#This Row],[satisfaction_score]]=3,"Medium","High"))</f>
        <v>Medium</v>
      </c>
      <c r="J674">
        <f>YEAR(cf_cl[[#This Row],[date_submitted]])</f>
        <v>2022</v>
      </c>
      <c r="K674" s="3" t="str">
        <f>TEXT(cf_cl[[#This Row],[date_submitted]],"mmm")</f>
        <v>Jun</v>
      </c>
      <c r="L674" s="3" t="str">
        <f t="shared" si="30"/>
        <v>Q2</v>
      </c>
      <c r="M674" s="3" t="str">
        <f t="shared" si="31"/>
        <v>Thursday</v>
      </c>
      <c r="N674" s="3" t="str">
        <f t="shared" si="32"/>
        <v>No</v>
      </c>
      <c r="O674" s="3" t="str">
        <f>IF(COUNTIF($B:$B,B674)=1,"New Customer",
IF(COUNTIF($B:$B,B674)&lt;=3,"Returning Customer","Loyal Customer"))</f>
        <v>New Customer</v>
      </c>
      <c r="P674" s="3" t="str">
        <f>IF(cf_cl[[#This Row],[referred_claim]]="Yes","Referred","Not Referred")</f>
        <v>Referred</v>
      </c>
    </row>
    <row r="675" spans="1:16" x14ac:dyDescent="0.3">
      <c r="A675" t="s">
        <v>1285</v>
      </c>
      <c r="B675" t="s">
        <v>1047</v>
      </c>
      <c r="C675" s="1">
        <v>44573</v>
      </c>
      <c r="D675" t="s">
        <v>22</v>
      </c>
      <c r="E675">
        <v>4</v>
      </c>
      <c r="F675" s="3" t="s">
        <v>13</v>
      </c>
      <c r="G675" s="3" t="s">
        <v>13</v>
      </c>
      <c r="H675" s="3" t="str">
        <f>IF(cf_cl[[#This Row],[satisfaction_score]]&gt;=4,"Happy",IF(cf_cl[[#This Row],[satisfaction_score]]=3,"Neutral","Negative"))</f>
        <v>Happy</v>
      </c>
      <c r="I675" s="3" t="str">
        <f>IF(cf_cl[[#This Row],[satisfaction_score]]&lt;=2,"Low",IF(cf_cl[[#This Row],[satisfaction_score]]=3,"Medium","High"))</f>
        <v>High</v>
      </c>
      <c r="J675">
        <f>YEAR(cf_cl[[#This Row],[date_submitted]])</f>
        <v>2022</v>
      </c>
      <c r="K675" s="3" t="str">
        <f>TEXT(cf_cl[[#This Row],[date_submitted]],"mmm")</f>
        <v>Jan</v>
      </c>
      <c r="L675" s="3" t="str">
        <f t="shared" si="30"/>
        <v>Q1</v>
      </c>
      <c r="M675" s="3" t="str">
        <f t="shared" si="31"/>
        <v>Wednesday</v>
      </c>
      <c r="N675" s="3" t="str">
        <f t="shared" si="32"/>
        <v>No</v>
      </c>
      <c r="O675" s="3" t="str">
        <f>IF(COUNTIF($B:$B,B675)=1,"New Customer",
IF(COUNTIF($B:$B,B675)&lt;=3,"Returning Customer","Loyal Customer"))</f>
        <v>Returning Customer</v>
      </c>
      <c r="P675" s="3" t="str">
        <f>IF(cf_cl[[#This Row],[referred_claim]]="Yes","Referred","Not Referred")</f>
        <v>Not Referred</v>
      </c>
    </row>
    <row r="676" spans="1:16" x14ac:dyDescent="0.3">
      <c r="A676" t="s">
        <v>1286</v>
      </c>
      <c r="B676" t="s">
        <v>1287</v>
      </c>
      <c r="C676" s="1">
        <v>44443</v>
      </c>
      <c r="D676" t="s">
        <v>22</v>
      </c>
      <c r="E676">
        <v>5</v>
      </c>
      <c r="F676" s="3" t="s">
        <v>10</v>
      </c>
      <c r="G676" s="3" t="s">
        <v>10</v>
      </c>
      <c r="H676" s="3" t="str">
        <f>IF(cf_cl[[#This Row],[satisfaction_score]]&gt;=4,"Happy",IF(cf_cl[[#This Row],[satisfaction_score]]=3,"Neutral","Negative"))</f>
        <v>Happy</v>
      </c>
      <c r="I676" s="3" t="str">
        <f>IF(cf_cl[[#This Row],[satisfaction_score]]&lt;=2,"Low",IF(cf_cl[[#This Row],[satisfaction_score]]=3,"Medium","High"))</f>
        <v>High</v>
      </c>
      <c r="J676">
        <f>YEAR(cf_cl[[#This Row],[date_submitted]])</f>
        <v>2021</v>
      </c>
      <c r="K676" s="3" t="str">
        <f>TEXT(cf_cl[[#This Row],[date_submitted]],"mmm")</f>
        <v>Sep</v>
      </c>
      <c r="L676" s="3" t="str">
        <f t="shared" si="30"/>
        <v>Q3</v>
      </c>
      <c r="M676" s="3" t="str">
        <f t="shared" si="31"/>
        <v>Saturday</v>
      </c>
      <c r="N676" s="3" t="str">
        <f t="shared" si="32"/>
        <v>No</v>
      </c>
      <c r="O676" s="3" t="str">
        <f>IF(COUNTIF($B:$B,B676)=1,"New Customer",
IF(COUNTIF($B:$B,B676)&lt;=3,"Returning Customer","Loyal Customer"))</f>
        <v>New Customer</v>
      </c>
      <c r="P676" s="3" t="str">
        <f>IF(cf_cl[[#This Row],[referred_claim]]="Yes","Referred","Not Referred")</f>
        <v>Referred</v>
      </c>
    </row>
    <row r="677" spans="1:16" x14ac:dyDescent="0.3">
      <c r="A677" t="s">
        <v>1288</v>
      </c>
      <c r="B677" t="s">
        <v>1289</v>
      </c>
      <c r="C677" s="1">
        <v>44895</v>
      </c>
      <c r="D677" t="s">
        <v>19</v>
      </c>
      <c r="E677">
        <v>2</v>
      </c>
      <c r="F677" s="3" t="s">
        <v>10</v>
      </c>
      <c r="G677" s="3" t="s">
        <v>13</v>
      </c>
      <c r="H677" s="3" t="str">
        <f>IF(cf_cl[[#This Row],[satisfaction_score]]&gt;=4,"Happy",IF(cf_cl[[#This Row],[satisfaction_score]]=3,"Neutral","Negative"))</f>
        <v>Negative</v>
      </c>
      <c r="I677" s="3" t="str">
        <f>IF(cf_cl[[#This Row],[satisfaction_score]]&lt;=2,"Low",IF(cf_cl[[#This Row],[satisfaction_score]]=3,"Medium","High"))</f>
        <v>Low</v>
      </c>
      <c r="J677">
        <f>YEAR(cf_cl[[#This Row],[date_submitted]])</f>
        <v>2022</v>
      </c>
      <c r="K677" s="3" t="str">
        <f>TEXT(cf_cl[[#This Row],[date_submitted]],"mmm")</f>
        <v>Nov</v>
      </c>
      <c r="L677" s="3" t="str">
        <f t="shared" si="30"/>
        <v>Q4</v>
      </c>
      <c r="M677" s="3" t="str">
        <f t="shared" si="31"/>
        <v>Wednesday</v>
      </c>
      <c r="N677" s="3" t="str">
        <f t="shared" si="32"/>
        <v>Yes</v>
      </c>
      <c r="O677" s="3" t="str">
        <f>IF(COUNTIF($B:$B,B677)=1,"New Customer",
IF(COUNTIF($B:$B,B677)&lt;=3,"Returning Customer","Loyal Customer"))</f>
        <v>New Customer</v>
      </c>
      <c r="P677" s="3" t="str">
        <f>IF(cf_cl[[#This Row],[referred_claim]]="Yes","Referred","Not Referred")</f>
        <v>Not Referred</v>
      </c>
    </row>
    <row r="678" spans="1:16" x14ac:dyDescent="0.3">
      <c r="A678" t="s">
        <v>1290</v>
      </c>
      <c r="B678" t="s">
        <v>1291</v>
      </c>
      <c r="C678" s="1">
        <v>43914</v>
      </c>
      <c r="D678" t="s">
        <v>83</v>
      </c>
      <c r="E678">
        <v>1</v>
      </c>
      <c r="F678" s="3" t="s">
        <v>13</v>
      </c>
      <c r="G678" s="3" t="s">
        <v>13</v>
      </c>
      <c r="H678" s="3" t="str">
        <f>IF(cf_cl[[#This Row],[satisfaction_score]]&gt;=4,"Happy",IF(cf_cl[[#This Row],[satisfaction_score]]=3,"Neutral","Negative"))</f>
        <v>Negative</v>
      </c>
      <c r="I678" s="3" t="str">
        <f>IF(cf_cl[[#This Row],[satisfaction_score]]&lt;=2,"Low",IF(cf_cl[[#This Row],[satisfaction_score]]=3,"Medium","High"))</f>
        <v>Low</v>
      </c>
      <c r="J678">
        <f>YEAR(cf_cl[[#This Row],[date_submitted]])</f>
        <v>2020</v>
      </c>
      <c r="K678" s="3" t="str">
        <f>TEXT(cf_cl[[#This Row],[date_submitted]],"mmm")</f>
        <v>Mar</v>
      </c>
      <c r="L678" s="3" t="str">
        <f t="shared" si="30"/>
        <v>Q1</v>
      </c>
      <c r="M678" s="3" t="str">
        <f t="shared" si="31"/>
        <v>Tuesday</v>
      </c>
      <c r="N678" s="3" t="str">
        <f t="shared" si="32"/>
        <v>Yes</v>
      </c>
      <c r="O678" s="3" t="str">
        <f>IF(COUNTIF($B:$B,B678)=1,"New Customer",
IF(COUNTIF($B:$B,B678)&lt;=3,"Returning Customer","Loyal Customer"))</f>
        <v>New Customer</v>
      </c>
      <c r="P678" s="3" t="str">
        <f>IF(cf_cl[[#This Row],[referred_claim]]="Yes","Referred","Not Referred")</f>
        <v>Not Referred</v>
      </c>
    </row>
    <row r="679" spans="1:16" x14ac:dyDescent="0.3">
      <c r="A679" t="s">
        <v>1292</v>
      </c>
      <c r="B679" t="s">
        <v>1293</v>
      </c>
      <c r="C679" s="1">
        <v>44960</v>
      </c>
      <c r="D679" t="s">
        <v>22</v>
      </c>
      <c r="E679">
        <v>5</v>
      </c>
      <c r="F679" s="3" t="s">
        <v>10</v>
      </c>
      <c r="G679" s="3" t="s">
        <v>13</v>
      </c>
      <c r="H679" s="3" t="str">
        <f>IF(cf_cl[[#This Row],[satisfaction_score]]&gt;=4,"Happy",IF(cf_cl[[#This Row],[satisfaction_score]]=3,"Neutral","Negative"))</f>
        <v>Happy</v>
      </c>
      <c r="I679" s="3" t="str">
        <f>IF(cf_cl[[#This Row],[satisfaction_score]]&lt;=2,"Low",IF(cf_cl[[#This Row],[satisfaction_score]]=3,"Medium","High"))</f>
        <v>High</v>
      </c>
      <c r="J679">
        <f>YEAR(cf_cl[[#This Row],[date_submitted]])</f>
        <v>2023</v>
      </c>
      <c r="K679" s="3" t="str">
        <f>TEXT(cf_cl[[#This Row],[date_submitted]],"mmm")</f>
        <v>Feb</v>
      </c>
      <c r="L679" s="3" t="str">
        <f t="shared" si="30"/>
        <v>Q1</v>
      </c>
      <c r="M679" s="3" t="str">
        <f t="shared" si="31"/>
        <v>Friday</v>
      </c>
      <c r="N679" s="3" t="str">
        <f t="shared" si="32"/>
        <v>No</v>
      </c>
      <c r="O679" s="3" t="str">
        <f>IF(COUNTIF($B:$B,B679)=1,"New Customer",
IF(COUNTIF($B:$B,B679)&lt;=3,"Returning Customer","Loyal Customer"))</f>
        <v>New Customer</v>
      </c>
      <c r="P679" s="3" t="str">
        <f>IF(cf_cl[[#This Row],[referred_claim]]="Yes","Referred","Not Referred")</f>
        <v>Not Referred</v>
      </c>
    </row>
    <row r="680" spans="1:16" x14ac:dyDescent="0.3">
      <c r="A680" t="s">
        <v>1294</v>
      </c>
      <c r="B680" t="s">
        <v>1295</v>
      </c>
      <c r="C680" s="1">
        <v>44027</v>
      </c>
      <c r="D680" t="s">
        <v>31</v>
      </c>
      <c r="E680">
        <v>2</v>
      </c>
      <c r="F680" s="3" t="s">
        <v>13</v>
      </c>
      <c r="G680" s="3" t="s">
        <v>10</v>
      </c>
      <c r="H680" s="3" t="str">
        <f>IF(cf_cl[[#This Row],[satisfaction_score]]&gt;=4,"Happy",IF(cf_cl[[#This Row],[satisfaction_score]]=3,"Neutral","Negative"))</f>
        <v>Negative</v>
      </c>
      <c r="I680" s="3" t="str">
        <f>IF(cf_cl[[#This Row],[satisfaction_score]]&lt;=2,"Low",IF(cf_cl[[#This Row],[satisfaction_score]]=3,"Medium","High"))</f>
        <v>Low</v>
      </c>
      <c r="J680">
        <f>YEAR(cf_cl[[#This Row],[date_submitted]])</f>
        <v>2020</v>
      </c>
      <c r="K680" s="3" t="str">
        <f>TEXT(cf_cl[[#This Row],[date_submitted]],"mmm")</f>
        <v>Jul</v>
      </c>
      <c r="L680" s="3" t="str">
        <f t="shared" si="30"/>
        <v>Q3</v>
      </c>
      <c r="M680" s="3" t="str">
        <f t="shared" si="31"/>
        <v>Wednesday</v>
      </c>
      <c r="N680" s="3" t="str">
        <f t="shared" si="32"/>
        <v>Yes</v>
      </c>
      <c r="O680" s="3" t="str">
        <f>IF(COUNTIF($B:$B,B680)=1,"New Customer",
IF(COUNTIF($B:$B,B680)&lt;=3,"Returning Customer","Loyal Customer"))</f>
        <v>New Customer</v>
      </c>
      <c r="P680" s="3" t="str">
        <f>IF(cf_cl[[#This Row],[referred_claim]]="Yes","Referred","Not Referred")</f>
        <v>Referred</v>
      </c>
    </row>
    <row r="681" spans="1:16" x14ac:dyDescent="0.3">
      <c r="A681" t="s">
        <v>1296</v>
      </c>
      <c r="B681" t="s">
        <v>590</v>
      </c>
      <c r="C681" s="1">
        <v>45237</v>
      </c>
      <c r="D681" t="s">
        <v>9</v>
      </c>
      <c r="E681">
        <v>1</v>
      </c>
      <c r="F681" s="3" t="s">
        <v>13</v>
      </c>
      <c r="G681" s="3" t="s">
        <v>13</v>
      </c>
      <c r="H681" s="3" t="str">
        <f>IF(cf_cl[[#This Row],[satisfaction_score]]&gt;=4,"Happy",IF(cf_cl[[#This Row],[satisfaction_score]]=3,"Neutral","Negative"))</f>
        <v>Negative</v>
      </c>
      <c r="I681" s="3" t="str">
        <f>IF(cf_cl[[#This Row],[satisfaction_score]]&lt;=2,"Low",IF(cf_cl[[#This Row],[satisfaction_score]]=3,"Medium","High"))</f>
        <v>Low</v>
      </c>
      <c r="J681">
        <f>YEAR(cf_cl[[#This Row],[date_submitted]])</f>
        <v>2023</v>
      </c>
      <c r="K681" s="3" t="str">
        <f>TEXT(cf_cl[[#This Row],[date_submitted]],"mmm")</f>
        <v>Nov</v>
      </c>
      <c r="L681" s="3" t="str">
        <f t="shared" si="30"/>
        <v>Q4</v>
      </c>
      <c r="M681" s="3" t="str">
        <f t="shared" si="31"/>
        <v>Tuesday</v>
      </c>
      <c r="N681" s="3" t="str">
        <f t="shared" si="32"/>
        <v>Yes</v>
      </c>
      <c r="O681" s="3" t="str">
        <f>IF(COUNTIF($B:$B,B681)=1,"New Customer",
IF(COUNTIF($B:$B,B681)&lt;=3,"Returning Customer","Loyal Customer"))</f>
        <v>Returning Customer</v>
      </c>
      <c r="P681" s="3" t="str">
        <f>IF(cf_cl[[#This Row],[referred_claim]]="Yes","Referred","Not Referred")</f>
        <v>Not Referred</v>
      </c>
    </row>
    <row r="682" spans="1:16" x14ac:dyDescent="0.3">
      <c r="A682" t="s">
        <v>1297</v>
      </c>
      <c r="B682" t="s">
        <v>995</v>
      </c>
      <c r="C682" s="1">
        <v>44955</v>
      </c>
      <c r="D682" t="s">
        <v>31</v>
      </c>
      <c r="E682">
        <v>2</v>
      </c>
      <c r="F682" s="3" t="s">
        <v>13</v>
      </c>
      <c r="G682" s="3" t="s">
        <v>10</v>
      </c>
      <c r="H682" s="3" t="str">
        <f>IF(cf_cl[[#This Row],[satisfaction_score]]&gt;=4,"Happy",IF(cf_cl[[#This Row],[satisfaction_score]]=3,"Neutral","Negative"))</f>
        <v>Negative</v>
      </c>
      <c r="I682" s="3" t="str">
        <f>IF(cf_cl[[#This Row],[satisfaction_score]]&lt;=2,"Low",IF(cf_cl[[#This Row],[satisfaction_score]]=3,"Medium","High"))</f>
        <v>Low</v>
      </c>
      <c r="J682">
        <f>YEAR(cf_cl[[#This Row],[date_submitted]])</f>
        <v>2023</v>
      </c>
      <c r="K682" s="3" t="str">
        <f>TEXT(cf_cl[[#This Row],[date_submitted]],"mmm")</f>
        <v>Jan</v>
      </c>
      <c r="L682" s="3" t="str">
        <f t="shared" si="30"/>
        <v>Q1</v>
      </c>
      <c r="M682" s="3" t="str">
        <f t="shared" si="31"/>
        <v>Sunday</v>
      </c>
      <c r="N682" s="3" t="str">
        <f t="shared" si="32"/>
        <v>Yes</v>
      </c>
      <c r="O682" s="3" t="str">
        <f>IF(COUNTIF($B:$B,B682)=1,"New Customer",
IF(COUNTIF($B:$B,B682)&lt;=3,"Returning Customer","Loyal Customer"))</f>
        <v>Returning Customer</v>
      </c>
      <c r="P682" s="3" t="str">
        <f>IF(cf_cl[[#This Row],[referred_claim]]="Yes","Referred","Not Referred")</f>
        <v>Referred</v>
      </c>
    </row>
    <row r="683" spans="1:16" x14ac:dyDescent="0.3">
      <c r="A683" t="s">
        <v>1298</v>
      </c>
      <c r="B683" t="s">
        <v>712</v>
      </c>
      <c r="C683" s="1">
        <v>44966</v>
      </c>
      <c r="D683" t="s">
        <v>28</v>
      </c>
      <c r="E683">
        <v>5</v>
      </c>
      <c r="F683" s="3" t="s">
        <v>13</v>
      </c>
      <c r="G683" s="3" t="s">
        <v>10</v>
      </c>
      <c r="H683" s="3" t="str">
        <f>IF(cf_cl[[#This Row],[satisfaction_score]]&gt;=4,"Happy",IF(cf_cl[[#This Row],[satisfaction_score]]=3,"Neutral","Negative"))</f>
        <v>Happy</v>
      </c>
      <c r="I683" s="3" t="str">
        <f>IF(cf_cl[[#This Row],[satisfaction_score]]&lt;=2,"Low",IF(cf_cl[[#This Row],[satisfaction_score]]=3,"Medium","High"))</f>
        <v>High</v>
      </c>
      <c r="J683">
        <f>YEAR(cf_cl[[#This Row],[date_submitted]])</f>
        <v>2023</v>
      </c>
      <c r="K683" s="3" t="str">
        <f>TEXT(cf_cl[[#This Row],[date_submitted]],"mmm")</f>
        <v>Feb</v>
      </c>
      <c r="L683" s="3" t="str">
        <f t="shared" si="30"/>
        <v>Q1</v>
      </c>
      <c r="M683" s="3" t="str">
        <f t="shared" si="31"/>
        <v>Thursday</v>
      </c>
      <c r="N683" s="3" t="str">
        <f t="shared" si="32"/>
        <v>No</v>
      </c>
      <c r="O683" s="3" t="str">
        <f>IF(COUNTIF($B:$B,B683)=1,"New Customer",
IF(COUNTIF($B:$B,B683)&lt;=3,"Returning Customer","Loyal Customer"))</f>
        <v>Returning Customer</v>
      </c>
      <c r="P683" s="3" t="str">
        <f>IF(cf_cl[[#This Row],[referred_claim]]="Yes","Referred","Not Referred")</f>
        <v>Referred</v>
      </c>
    </row>
    <row r="684" spans="1:16" x14ac:dyDescent="0.3">
      <c r="A684" t="s">
        <v>1299</v>
      </c>
      <c r="B684" t="s">
        <v>1300</v>
      </c>
      <c r="C684" s="1">
        <v>43906</v>
      </c>
      <c r="D684" t="s">
        <v>9</v>
      </c>
      <c r="E684">
        <v>1</v>
      </c>
      <c r="F684" s="3" t="s">
        <v>10</v>
      </c>
      <c r="G684" s="3" t="s">
        <v>10</v>
      </c>
      <c r="H684" s="3" t="str">
        <f>IF(cf_cl[[#This Row],[satisfaction_score]]&gt;=4,"Happy",IF(cf_cl[[#This Row],[satisfaction_score]]=3,"Neutral","Negative"))</f>
        <v>Negative</v>
      </c>
      <c r="I684" s="3" t="str">
        <f>IF(cf_cl[[#This Row],[satisfaction_score]]&lt;=2,"Low",IF(cf_cl[[#This Row],[satisfaction_score]]=3,"Medium","High"))</f>
        <v>Low</v>
      </c>
      <c r="J684">
        <f>YEAR(cf_cl[[#This Row],[date_submitted]])</f>
        <v>2020</v>
      </c>
      <c r="K684" s="3" t="str">
        <f>TEXT(cf_cl[[#This Row],[date_submitted]],"mmm")</f>
        <v>Mar</v>
      </c>
      <c r="L684" s="3" t="str">
        <f t="shared" si="30"/>
        <v>Q1</v>
      </c>
      <c r="M684" s="3" t="str">
        <f t="shared" si="31"/>
        <v>Monday</v>
      </c>
      <c r="N684" s="3" t="str">
        <f t="shared" si="32"/>
        <v>Yes</v>
      </c>
      <c r="O684" s="3" t="str">
        <f>IF(COUNTIF($B:$B,B684)=1,"New Customer",
IF(COUNTIF($B:$B,B684)&lt;=3,"Returning Customer","Loyal Customer"))</f>
        <v>New Customer</v>
      </c>
      <c r="P684" s="3" t="str">
        <f>IF(cf_cl[[#This Row],[referred_claim]]="Yes","Referred","Not Referred")</f>
        <v>Referred</v>
      </c>
    </row>
    <row r="685" spans="1:16" x14ac:dyDescent="0.3">
      <c r="A685" t="s">
        <v>1301</v>
      </c>
      <c r="B685" t="s">
        <v>1302</v>
      </c>
      <c r="C685" s="1">
        <v>44666</v>
      </c>
      <c r="D685" t="s">
        <v>68</v>
      </c>
      <c r="E685">
        <v>1</v>
      </c>
      <c r="F685" s="3" t="s">
        <v>13</v>
      </c>
      <c r="G685" s="3" t="s">
        <v>13</v>
      </c>
      <c r="H685" s="3" t="str">
        <f>IF(cf_cl[[#This Row],[satisfaction_score]]&gt;=4,"Happy",IF(cf_cl[[#This Row],[satisfaction_score]]=3,"Neutral","Negative"))</f>
        <v>Negative</v>
      </c>
      <c r="I685" s="3" t="str">
        <f>IF(cf_cl[[#This Row],[satisfaction_score]]&lt;=2,"Low",IF(cf_cl[[#This Row],[satisfaction_score]]=3,"Medium","High"))</f>
        <v>Low</v>
      </c>
      <c r="J685">
        <f>YEAR(cf_cl[[#This Row],[date_submitted]])</f>
        <v>2022</v>
      </c>
      <c r="K685" s="3" t="str">
        <f>TEXT(cf_cl[[#This Row],[date_submitted]],"mmm")</f>
        <v>Apr</v>
      </c>
      <c r="L685" s="3" t="str">
        <f t="shared" si="30"/>
        <v>Q2</v>
      </c>
      <c r="M685" s="3" t="str">
        <f t="shared" si="31"/>
        <v>Friday</v>
      </c>
      <c r="N685" s="3" t="str">
        <f t="shared" si="32"/>
        <v>Yes</v>
      </c>
      <c r="O685" s="3" t="str">
        <f>IF(COUNTIF($B:$B,B685)=1,"New Customer",
IF(COUNTIF($B:$B,B685)&lt;=3,"Returning Customer","Loyal Customer"))</f>
        <v>New Customer</v>
      </c>
      <c r="P685" s="3" t="str">
        <f>IF(cf_cl[[#This Row],[referred_claim]]="Yes","Referred","Not Referred")</f>
        <v>Not Referred</v>
      </c>
    </row>
    <row r="686" spans="1:16" x14ac:dyDescent="0.3">
      <c r="A686" t="s">
        <v>1303</v>
      </c>
      <c r="B686" t="s">
        <v>1304</v>
      </c>
      <c r="C686" s="1">
        <v>44691</v>
      </c>
      <c r="D686" t="s">
        <v>68</v>
      </c>
      <c r="E686">
        <v>1</v>
      </c>
      <c r="F686" s="3" t="s">
        <v>13</v>
      </c>
      <c r="G686" s="3" t="s">
        <v>13</v>
      </c>
      <c r="H686" s="3" t="str">
        <f>IF(cf_cl[[#This Row],[satisfaction_score]]&gt;=4,"Happy",IF(cf_cl[[#This Row],[satisfaction_score]]=3,"Neutral","Negative"))</f>
        <v>Negative</v>
      </c>
      <c r="I686" s="3" t="str">
        <f>IF(cf_cl[[#This Row],[satisfaction_score]]&lt;=2,"Low",IF(cf_cl[[#This Row],[satisfaction_score]]=3,"Medium","High"))</f>
        <v>Low</v>
      </c>
      <c r="J686">
        <f>YEAR(cf_cl[[#This Row],[date_submitted]])</f>
        <v>2022</v>
      </c>
      <c r="K686" s="3" t="str">
        <f>TEXT(cf_cl[[#This Row],[date_submitted]],"mmm")</f>
        <v>May</v>
      </c>
      <c r="L686" s="3" t="str">
        <f t="shared" si="30"/>
        <v>Q2</v>
      </c>
      <c r="M686" s="3" t="str">
        <f t="shared" si="31"/>
        <v>Tuesday</v>
      </c>
      <c r="N686" s="3" t="str">
        <f t="shared" si="32"/>
        <v>Yes</v>
      </c>
      <c r="O686" s="3" t="str">
        <f>IF(COUNTIF($B:$B,B686)=1,"New Customer",
IF(COUNTIF($B:$B,B686)&lt;=3,"Returning Customer","Loyal Customer"))</f>
        <v>New Customer</v>
      </c>
      <c r="P686" s="3" t="str">
        <f>IF(cf_cl[[#This Row],[referred_claim]]="Yes","Referred","Not Referred")</f>
        <v>Not Referred</v>
      </c>
    </row>
    <row r="687" spans="1:16" x14ac:dyDescent="0.3">
      <c r="A687" t="s">
        <v>1305</v>
      </c>
      <c r="B687" t="s">
        <v>1306</v>
      </c>
      <c r="C687" s="1">
        <v>44684</v>
      </c>
      <c r="D687" t="s">
        <v>68</v>
      </c>
      <c r="E687">
        <v>1</v>
      </c>
      <c r="F687" s="3" t="s">
        <v>10</v>
      </c>
      <c r="G687" s="3" t="s">
        <v>13</v>
      </c>
      <c r="H687" s="3" t="str">
        <f>IF(cf_cl[[#This Row],[satisfaction_score]]&gt;=4,"Happy",IF(cf_cl[[#This Row],[satisfaction_score]]=3,"Neutral","Negative"))</f>
        <v>Negative</v>
      </c>
      <c r="I687" s="3" t="str">
        <f>IF(cf_cl[[#This Row],[satisfaction_score]]&lt;=2,"Low",IF(cf_cl[[#This Row],[satisfaction_score]]=3,"Medium","High"))</f>
        <v>Low</v>
      </c>
      <c r="J687">
        <f>YEAR(cf_cl[[#This Row],[date_submitted]])</f>
        <v>2022</v>
      </c>
      <c r="K687" s="3" t="str">
        <f>TEXT(cf_cl[[#This Row],[date_submitted]],"mmm")</f>
        <v>May</v>
      </c>
      <c r="L687" s="3" t="str">
        <f t="shared" si="30"/>
        <v>Q2</v>
      </c>
      <c r="M687" s="3" t="str">
        <f t="shared" si="31"/>
        <v>Tuesday</v>
      </c>
      <c r="N687" s="3" t="str">
        <f t="shared" si="32"/>
        <v>Yes</v>
      </c>
      <c r="O687" s="3" t="str">
        <f>IF(COUNTIF($B:$B,B687)=1,"New Customer",
IF(COUNTIF($B:$B,B687)&lt;=3,"Returning Customer","Loyal Customer"))</f>
        <v>New Customer</v>
      </c>
      <c r="P687" s="3" t="str">
        <f>IF(cf_cl[[#This Row],[referred_claim]]="Yes","Referred","Not Referred")</f>
        <v>Not Referred</v>
      </c>
    </row>
    <row r="688" spans="1:16" x14ac:dyDescent="0.3">
      <c r="A688" t="s">
        <v>1307</v>
      </c>
      <c r="B688" t="s">
        <v>1308</v>
      </c>
      <c r="C688" s="1">
        <v>44202</v>
      </c>
      <c r="D688" t="s">
        <v>22</v>
      </c>
      <c r="E688">
        <v>4</v>
      </c>
      <c r="F688" s="3" t="s">
        <v>10</v>
      </c>
      <c r="G688" s="3" t="s">
        <v>13</v>
      </c>
      <c r="H688" s="3" t="str">
        <f>IF(cf_cl[[#This Row],[satisfaction_score]]&gt;=4,"Happy",IF(cf_cl[[#This Row],[satisfaction_score]]=3,"Neutral","Negative"))</f>
        <v>Happy</v>
      </c>
      <c r="I688" s="3" t="str">
        <f>IF(cf_cl[[#This Row],[satisfaction_score]]&lt;=2,"Low",IF(cf_cl[[#This Row],[satisfaction_score]]=3,"Medium","High"))</f>
        <v>High</v>
      </c>
      <c r="J688">
        <f>YEAR(cf_cl[[#This Row],[date_submitted]])</f>
        <v>2021</v>
      </c>
      <c r="K688" s="3" t="str">
        <f>TEXT(cf_cl[[#This Row],[date_submitted]],"mmm")</f>
        <v>Jan</v>
      </c>
      <c r="L688" s="3" t="str">
        <f t="shared" si="30"/>
        <v>Q1</v>
      </c>
      <c r="M688" s="3" t="str">
        <f t="shared" si="31"/>
        <v>Wednesday</v>
      </c>
      <c r="N688" s="3" t="str">
        <f t="shared" si="32"/>
        <v>No</v>
      </c>
      <c r="O688" s="3" t="str">
        <f>IF(COUNTIF($B:$B,B688)=1,"New Customer",
IF(COUNTIF($B:$B,B688)&lt;=3,"Returning Customer","Loyal Customer"))</f>
        <v>New Customer</v>
      </c>
      <c r="P688" s="3" t="str">
        <f>IF(cf_cl[[#This Row],[referred_claim]]="Yes","Referred","Not Referred")</f>
        <v>Not Referred</v>
      </c>
    </row>
    <row r="689" spans="1:16" x14ac:dyDescent="0.3">
      <c r="A689" t="s">
        <v>1309</v>
      </c>
      <c r="B689" t="s">
        <v>1310</v>
      </c>
      <c r="C689" s="1">
        <v>44877</v>
      </c>
      <c r="D689" t="s">
        <v>9</v>
      </c>
      <c r="E689">
        <v>3</v>
      </c>
      <c r="F689" s="3" t="s">
        <v>10</v>
      </c>
      <c r="G689" s="3" t="s">
        <v>10</v>
      </c>
      <c r="H689" s="3" t="str">
        <f>IF(cf_cl[[#This Row],[satisfaction_score]]&gt;=4,"Happy",IF(cf_cl[[#This Row],[satisfaction_score]]=3,"Neutral","Negative"))</f>
        <v>Neutral</v>
      </c>
      <c r="I689" s="3" t="str">
        <f>IF(cf_cl[[#This Row],[satisfaction_score]]&lt;=2,"Low",IF(cf_cl[[#This Row],[satisfaction_score]]=3,"Medium","High"))</f>
        <v>Medium</v>
      </c>
      <c r="J689">
        <f>YEAR(cf_cl[[#This Row],[date_submitted]])</f>
        <v>2022</v>
      </c>
      <c r="K689" s="3" t="str">
        <f>TEXT(cf_cl[[#This Row],[date_submitted]],"mmm")</f>
        <v>Nov</v>
      </c>
      <c r="L689" s="3" t="str">
        <f t="shared" si="30"/>
        <v>Q4</v>
      </c>
      <c r="M689" s="3" t="str">
        <f t="shared" si="31"/>
        <v>Saturday</v>
      </c>
      <c r="N689" s="3" t="str">
        <f t="shared" si="32"/>
        <v>No</v>
      </c>
      <c r="O689" s="3" t="str">
        <f>IF(COUNTIF($B:$B,B689)=1,"New Customer",
IF(COUNTIF($B:$B,B689)&lt;=3,"Returning Customer","Loyal Customer"))</f>
        <v>New Customer</v>
      </c>
      <c r="P689" s="3" t="str">
        <f>IF(cf_cl[[#This Row],[referred_claim]]="Yes","Referred","Not Referred")</f>
        <v>Referred</v>
      </c>
    </row>
    <row r="690" spans="1:16" x14ac:dyDescent="0.3">
      <c r="A690" t="s">
        <v>1311</v>
      </c>
      <c r="B690" t="s">
        <v>1312</v>
      </c>
      <c r="C690" s="1">
        <v>45052</v>
      </c>
      <c r="D690" t="s">
        <v>28</v>
      </c>
      <c r="E690">
        <v>5</v>
      </c>
      <c r="F690" s="3" t="s">
        <v>10</v>
      </c>
      <c r="G690" s="3" t="s">
        <v>10</v>
      </c>
      <c r="H690" s="3" t="str">
        <f>IF(cf_cl[[#This Row],[satisfaction_score]]&gt;=4,"Happy",IF(cf_cl[[#This Row],[satisfaction_score]]=3,"Neutral","Negative"))</f>
        <v>Happy</v>
      </c>
      <c r="I690" s="3" t="str">
        <f>IF(cf_cl[[#This Row],[satisfaction_score]]&lt;=2,"Low",IF(cf_cl[[#This Row],[satisfaction_score]]=3,"Medium","High"))</f>
        <v>High</v>
      </c>
      <c r="J690">
        <f>YEAR(cf_cl[[#This Row],[date_submitted]])</f>
        <v>2023</v>
      </c>
      <c r="K690" s="3" t="str">
        <f>TEXT(cf_cl[[#This Row],[date_submitted]],"mmm")</f>
        <v>May</v>
      </c>
      <c r="L690" s="3" t="str">
        <f t="shared" si="30"/>
        <v>Q2</v>
      </c>
      <c r="M690" s="3" t="str">
        <f t="shared" si="31"/>
        <v>Saturday</v>
      </c>
      <c r="N690" s="3" t="str">
        <f t="shared" si="32"/>
        <v>No</v>
      </c>
      <c r="O690" s="3" t="str">
        <f>IF(COUNTIF($B:$B,B690)=1,"New Customer",
IF(COUNTIF($B:$B,B690)&lt;=3,"Returning Customer","Loyal Customer"))</f>
        <v>New Customer</v>
      </c>
      <c r="P690" s="3" t="str">
        <f>IF(cf_cl[[#This Row],[referred_claim]]="Yes","Referred","Not Referred")</f>
        <v>Referred</v>
      </c>
    </row>
    <row r="691" spans="1:16" x14ac:dyDescent="0.3">
      <c r="A691" t="s">
        <v>1313</v>
      </c>
      <c r="B691" t="s">
        <v>1314</v>
      </c>
      <c r="C691" s="1">
        <v>44540</v>
      </c>
      <c r="D691" t="s">
        <v>9</v>
      </c>
      <c r="E691">
        <v>1</v>
      </c>
      <c r="F691" s="3" t="s">
        <v>10</v>
      </c>
      <c r="G691" s="3" t="s">
        <v>10</v>
      </c>
      <c r="H691" s="3" t="str">
        <f>IF(cf_cl[[#This Row],[satisfaction_score]]&gt;=4,"Happy",IF(cf_cl[[#This Row],[satisfaction_score]]=3,"Neutral","Negative"))</f>
        <v>Negative</v>
      </c>
      <c r="I691" s="3" t="str">
        <f>IF(cf_cl[[#This Row],[satisfaction_score]]&lt;=2,"Low",IF(cf_cl[[#This Row],[satisfaction_score]]=3,"Medium","High"))</f>
        <v>Low</v>
      </c>
      <c r="J691">
        <f>YEAR(cf_cl[[#This Row],[date_submitted]])</f>
        <v>2021</v>
      </c>
      <c r="K691" s="3" t="str">
        <f>TEXT(cf_cl[[#This Row],[date_submitted]],"mmm")</f>
        <v>Dec</v>
      </c>
      <c r="L691" s="3" t="str">
        <f t="shared" si="30"/>
        <v>Q4</v>
      </c>
      <c r="M691" s="3" t="str">
        <f t="shared" si="31"/>
        <v>Friday</v>
      </c>
      <c r="N691" s="3" t="str">
        <f t="shared" si="32"/>
        <v>Yes</v>
      </c>
      <c r="O691" s="3" t="str">
        <f>IF(COUNTIF($B:$B,B691)=1,"New Customer",
IF(COUNTIF($B:$B,B691)&lt;=3,"Returning Customer","Loyal Customer"))</f>
        <v>New Customer</v>
      </c>
      <c r="P691" s="3" t="str">
        <f>IF(cf_cl[[#This Row],[referred_claim]]="Yes","Referred","Not Referred")</f>
        <v>Referred</v>
      </c>
    </row>
    <row r="692" spans="1:16" x14ac:dyDescent="0.3">
      <c r="A692" t="s">
        <v>1315</v>
      </c>
      <c r="B692" t="s">
        <v>1316</v>
      </c>
      <c r="C692" s="1">
        <v>44476</v>
      </c>
      <c r="D692" t="s">
        <v>68</v>
      </c>
      <c r="E692">
        <v>2</v>
      </c>
      <c r="F692" s="3" t="s">
        <v>10</v>
      </c>
      <c r="G692" s="3" t="s">
        <v>13</v>
      </c>
      <c r="H692" s="3" t="str">
        <f>IF(cf_cl[[#This Row],[satisfaction_score]]&gt;=4,"Happy",IF(cf_cl[[#This Row],[satisfaction_score]]=3,"Neutral","Negative"))</f>
        <v>Negative</v>
      </c>
      <c r="I692" s="3" t="str">
        <f>IF(cf_cl[[#This Row],[satisfaction_score]]&lt;=2,"Low",IF(cf_cl[[#This Row],[satisfaction_score]]=3,"Medium","High"))</f>
        <v>Low</v>
      </c>
      <c r="J692">
        <f>YEAR(cf_cl[[#This Row],[date_submitted]])</f>
        <v>2021</v>
      </c>
      <c r="K692" s="3" t="str">
        <f>TEXT(cf_cl[[#This Row],[date_submitted]],"mmm")</f>
        <v>Oct</v>
      </c>
      <c r="L692" s="3" t="str">
        <f t="shared" si="30"/>
        <v>Q4</v>
      </c>
      <c r="M692" s="3" t="str">
        <f t="shared" si="31"/>
        <v>Thursday</v>
      </c>
      <c r="N692" s="3" t="str">
        <f t="shared" si="32"/>
        <v>Yes</v>
      </c>
      <c r="O692" s="3" t="str">
        <f>IF(COUNTIF($B:$B,B692)=1,"New Customer",
IF(COUNTIF($B:$B,B692)&lt;=3,"Returning Customer","Loyal Customer"))</f>
        <v>New Customer</v>
      </c>
      <c r="P692" s="3" t="str">
        <f>IF(cf_cl[[#This Row],[referred_claim]]="Yes","Referred","Not Referred")</f>
        <v>Not Referred</v>
      </c>
    </row>
    <row r="693" spans="1:16" x14ac:dyDescent="0.3">
      <c r="A693" t="s">
        <v>1317</v>
      </c>
      <c r="B693" t="s">
        <v>1318</v>
      </c>
      <c r="C693" s="1">
        <v>45022</v>
      </c>
      <c r="D693" t="s">
        <v>83</v>
      </c>
      <c r="E693">
        <v>1</v>
      </c>
      <c r="F693" s="3" t="s">
        <v>10</v>
      </c>
      <c r="G693" s="3" t="s">
        <v>13</v>
      </c>
      <c r="H693" s="3" t="str">
        <f>IF(cf_cl[[#This Row],[satisfaction_score]]&gt;=4,"Happy",IF(cf_cl[[#This Row],[satisfaction_score]]=3,"Neutral","Negative"))</f>
        <v>Negative</v>
      </c>
      <c r="I693" s="3" t="str">
        <f>IF(cf_cl[[#This Row],[satisfaction_score]]&lt;=2,"Low",IF(cf_cl[[#This Row],[satisfaction_score]]=3,"Medium","High"))</f>
        <v>Low</v>
      </c>
      <c r="J693">
        <f>YEAR(cf_cl[[#This Row],[date_submitted]])</f>
        <v>2023</v>
      </c>
      <c r="K693" s="3" t="str">
        <f>TEXT(cf_cl[[#This Row],[date_submitted]],"mmm")</f>
        <v>Apr</v>
      </c>
      <c r="L693" s="3" t="str">
        <f t="shared" si="30"/>
        <v>Q2</v>
      </c>
      <c r="M693" s="3" t="str">
        <f t="shared" si="31"/>
        <v>Thursday</v>
      </c>
      <c r="N693" s="3" t="str">
        <f t="shared" si="32"/>
        <v>Yes</v>
      </c>
      <c r="O693" s="3" t="str">
        <f>IF(COUNTIF($B:$B,B693)=1,"New Customer",
IF(COUNTIF($B:$B,B693)&lt;=3,"Returning Customer","Loyal Customer"))</f>
        <v>New Customer</v>
      </c>
      <c r="P693" s="3" t="str">
        <f>IF(cf_cl[[#This Row],[referred_claim]]="Yes","Referred","Not Referred")</f>
        <v>Not Referred</v>
      </c>
    </row>
    <row r="694" spans="1:16" x14ac:dyDescent="0.3">
      <c r="A694" t="s">
        <v>1319</v>
      </c>
      <c r="B694" t="s">
        <v>1320</v>
      </c>
      <c r="C694" s="1">
        <v>44234</v>
      </c>
      <c r="D694" t="s">
        <v>83</v>
      </c>
      <c r="E694">
        <v>3</v>
      </c>
      <c r="F694" s="3" t="s">
        <v>13</v>
      </c>
      <c r="G694" s="3" t="s">
        <v>10</v>
      </c>
      <c r="H694" s="3" t="str">
        <f>IF(cf_cl[[#This Row],[satisfaction_score]]&gt;=4,"Happy",IF(cf_cl[[#This Row],[satisfaction_score]]=3,"Neutral","Negative"))</f>
        <v>Neutral</v>
      </c>
      <c r="I694" s="3" t="str">
        <f>IF(cf_cl[[#This Row],[satisfaction_score]]&lt;=2,"Low",IF(cf_cl[[#This Row],[satisfaction_score]]=3,"Medium","High"))</f>
        <v>Medium</v>
      </c>
      <c r="J694">
        <f>YEAR(cf_cl[[#This Row],[date_submitted]])</f>
        <v>2021</v>
      </c>
      <c r="K694" s="3" t="str">
        <f>TEXT(cf_cl[[#This Row],[date_submitted]],"mmm")</f>
        <v>Feb</v>
      </c>
      <c r="L694" s="3" t="str">
        <f t="shared" si="30"/>
        <v>Q1</v>
      </c>
      <c r="M694" s="3" t="str">
        <f t="shared" si="31"/>
        <v>Sunday</v>
      </c>
      <c r="N694" s="3" t="str">
        <f t="shared" si="32"/>
        <v>No</v>
      </c>
      <c r="O694" s="3" t="str">
        <f>IF(COUNTIF($B:$B,B694)=1,"New Customer",
IF(COUNTIF($B:$B,B694)&lt;=3,"Returning Customer","Loyal Customer"))</f>
        <v>New Customer</v>
      </c>
      <c r="P694" s="3" t="str">
        <f>IF(cf_cl[[#This Row],[referred_claim]]="Yes","Referred","Not Referred")</f>
        <v>Referred</v>
      </c>
    </row>
    <row r="695" spans="1:16" x14ac:dyDescent="0.3">
      <c r="A695" t="s">
        <v>1321</v>
      </c>
      <c r="B695" t="s">
        <v>1322</v>
      </c>
      <c r="C695" s="1">
        <v>44092</v>
      </c>
      <c r="D695" t="s">
        <v>28</v>
      </c>
      <c r="E695">
        <v>4</v>
      </c>
      <c r="F695" s="3" t="s">
        <v>10</v>
      </c>
      <c r="G695" s="3" t="s">
        <v>10</v>
      </c>
      <c r="H695" s="3" t="str">
        <f>IF(cf_cl[[#This Row],[satisfaction_score]]&gt;=4,"Happy",IF(cf_cl[[#This Row],[satisfaction_score]]=3,"Neutral","Negative"))</f>
        <v>Happy</v>
      </c>
      <c r="I695" s="3" t="str">
        <f>IF(cf_cl[[#This Row],[satisfaction_score]]&lt;=2,"Low",IF(cf_cl[[#This Row],[satisfaction_score]]=3,"Medium","High"))</f>
        <v>High</v>
      </c>
      <c r="J695">
        <f>YEAR(cf_cl[[#This Row],[date_submitted]])</f>
        <v>2020</v>
      </c>
      <c r="K695" s="3" t="str">
        <f>TEXT(cf_cl[[#This Row],[date_submitted]],"mmm")</f>
        <v>Sep</v>
      </c>
      <c r="L695" s="3" t="str">
        <f t="shared" si="30"/>
        <v>Q3</v>
      </c>
      <c r="M695" s="3" t="str">
        <f t="shared" si="31"/>
        <v>Friday</v>
      </c>
      <c r="N695" s="3" t="str">
        <f t="shared" si="32"/>
        <v>No</v>
      </c>
      <c r="O695" s="3" t="str">
        <f>IF(COUNTIF($B:$B,B695)=1,"New Customer",
IF(COUNTIF($B:$B,B695)&lt;=3,"Returning Customer","Loyal Customer"))</f>
        <v>New Customer</v>
      </c>
      <c r="P695" s="3" t="str">
        <f>IF(cf_cl[[#This Row],[referred_claim]]="Yes","Referred","Not Referred")</f>
        <v>Referred</v>
      </c>
    </row>
    <row r="696" spans="1:16" x14ac:dyDescent="0.3">
      <c r="A696" t="s">
        <v>1323</v>
      </c>
      <c r="B696" t="s">
        <v>1324</v>
      </c>
      <c r="C696" s="1">
        <v>44281</v>
      </c>
      <c r="D696" t="s">
        <v>31</v>
      </c>
      <c r="E696">
        <v>3</v>
      </c>
      <c r="F696" s="3" t="s">
        <v>10</v>
      </c>
      <c r="G696" s="3" t="s">
        <v>13</v>
      </c>
      <c r="H696" s="3" t="str">
        <f>IF(cf_cl[[#This Row],[satisfaction_score]]&gt;=4,"Happy",IF(cf_cl[[#This Row],[satisfaction_score]]=3,"Neutral","Negative"))</f>
        <v>Neutral</v>
      </c>
      <c r="I696" s="3" t="str">
        <f>IF(cf_cl[[#This Row],[satisfaction_score]]&lt;=2,"Low",IF(cf_cl[[#This Row],[satisfaction_score]]=3,"Medium","High"))</f>
        <v>Medium</v>
      </c>
      <c r="J696">
        <f>YEAR(cf_cl[[#This Row],[date_submitted]])</f>
        <v>2021</v>
      </c>
      <c r="K696" s="3" t="str">
        <f>TEXT(cf_cl[[#This Row],[date_submitted]],"mmm")</f>
        <v>Mar</v>
      </c>
      <c r="L696" s="3" t="str">
        <f t="shared" si="30"/>
        <v>Q1</v>
      </c>
      <c r="M696" s="3" t="str">
        <f t="shared" si="31"/>
        <v>Friday</v>
      </c>
      <c r="N696" s="3" t="str">
        <f t="shared" si="32"/>
        <v>No</v>
      </c>
      <c r="O696" s="3" t="str">
        <f>IF(COUNTIF($B:$B,B696)=1,"New Customer",
IF(COUNTIF($B:$B,B696)&lt;=3,"Returning Customer","Loyal Customer"))</f>
        <v>New Customer</v>
      </c>
      <c r="P696" s="3" t="str">
        <f>IF(cf_cl[[#This Row],[referred_claim]]="Yes","Referred","Not Referred")</f>
        <v>Not Referred</v>
      </c>
    </row>
    <row r="697" spans="1:16" x14ac:dyDescent="0.3">
      <c r="A697" t="s">
        <v>1325</v>
      </c>
      <c r="B697" t="s">
        <v>1326</v>
      </c>
      <c r="C697" s="1">
        <v>43930</v>
      </c>
      <c r="D697" t="s">
        <v>68</v>
      </c>
      <c r="E697">
        <v>2</v>
      </c>
      <c r="F697" s="3" t="s">
        <v>10</v>
      </c>
      <c r="G697" s="3" t="s">
        <v>10</v>
      </c>
      <c r="H697" s="3" t="str">
        <f>IF(cf_cl[[#This Row],[satisfaction_score]]&gt;=4,"Happy",IF(cf_cl[[#This Row],[satisfaction_score]]=3,"Neutral","Negative"))</f>
        <v>Negative</v>
      </c>
      <c r="I697" s="3" t="str">
        <f>IF(cf_cl[[#This Row],[satisfaction_score]]&lt;=2,"Low",IF(cf_cl[[#This Row],[satisfaction_score]]=3,"Medium","High"))</f>
        <v>Low</v>
      </c>
      <c r="J697">
        <f>YEAR(cf_cl[[#This Row],[date_submitted]])</f>
        <v>2020</v>
      </c>
      <c r="K697" s="3" t="str">
        <f>TEXT(cf_cl[[#This Row],[date_submitted]],"mmm")</f>
        <v>Apr</v>
      </c>
      <c r="L697" s="3" t="str">
        <f t="shared" si="30"/>
        <v>Q2</v>
      </c>
      <c r="M697" s="3" t="str">
        <f t="shared" si="31"/>
        <v>Thursday</v>
      </c>
      <c r="N697" s="3" t="str">
        <f t="shared" si="32"/>
        <v>Yes</v>
      </c>
      <c r="O697" s="3" t="str">
        <f>IF(COUNTIF($B:$B,B697)=1,"New Customer",
IF(COUNTIF($B:$B,B697)&lt;=3,"Returning Customer","Loyal Customer"))</f>
        <v>New Customer</v>
      </c>
      <c r="P697" s="3" t="str">
        <f>IF(cf_cl[[#This Row],[referred_claim]]="Yes","Referred","Not Referred")</f>
        <v>Referred</v>
      </c>
    </row>
    <row r="698" spans="1:16" x14ac:dyDescent="0.3">
      <c r="A698" t="s">
        <v>1327</v>
      </c>
      <c r="B698" t="s">
        <v>1328</v>
      </c>
      <c r="C698" s="1">
        <v>44210</v>
      </c>
      <c r="D698" t="s">
        <v>22</v>
      </c>
      <c r="E698">
        <v>4</v>
      </c>
      <c r="F698" s="3" t="s">
        <v>10</v>
      </c>
      <c r="G698" s="3" t="s">
        <v>10</v>
      </c>
      <c r="H698" s="3" t="str">
        <f>IF(cf_cl[[#This Row],[satisfaction_score]]&gt;=4,"Happy",IF(cf_cl[[#This Row],[satisfaction_score]]=3,"Neutral","Negative"))</f>
        <v>Happy</v>
      </c>
      <c r="I698" s="3" t="str">
        <f>IF(cf_cl[[#This Row],[satisfaction_score]]&lt;=2,"Low",IF(cf_cl[[#This Row],[satisfaction_score]]=3,"Medium","High"))</f>
        <v>High</v>
      </c>
      <c r="J698">
        <f>YEAR(cf_cl[[#This Row],[date_submitted]])</f>
        <v>2021</v>
      </c>
      <c r="K698" s="3" t="str">
        <f>TEXT(cf_cl[[#This Row],[date_submitted]],"mmm")</f>
        <v>Jan</v>
      </c>
      <c r="L698" s="3" t="str">
        <f t="shared" si="30"/>
        <v>Q1</v>
      </c>
      <c r="M698" s="3" t="str">
        <f t="shared" si="31"/>
        <v>Thursday</v>
      </c>
      <c r="N698" s="3" t="str">
        <f t="shared" si="32"/>
        <v>No</v>
      </c>
      <c r="O698" s="3" t="str">
        <f>IF(COUNTIF($B:$B,B698)=1,"New Customer",
IF(COUNTIF($B:$B,B698)&lt;=3,"Returning Customer","Loyal Customer"))</f>
        <v>New Customer</v>
      </c>
      <c r="P698" s="3" t="str">
        <f>IF(cf_cl[[#This Row],[referred_claim]]="Yes","Referred","Not Referred")</f>
        <v>Referred</v>
      </c>
    </row>
    <row r="699" spans="1:16" x14ac:dyDescent="0.3">
      <c r="A699" t="s">
        <v>1329</v>
      </c>
      <c r="B699" t="s">
        <v>640</v>
      </c>
      <c r="C699" s="1">
        <v>44906</v>
      </c>
      <c r="D699" t="s">
        <v>83</v>
      </c>
      <c r="E699">
        <v>1</v>
      </c>
      <c r="F699" s="3" t="s">
        <v>10</v>
      </c>
      <c r="G699" s="3" t="s">
        <v>10</v>
      </c>
      <c r="H699" s="3" t="str">
        <f>IF(cf_cl[[#This Row],[satisfaction_score]]&gt;=4,"Happy",IF(cf_cl[[#This Row],[satisfaction_score]]=3,"Neutral","Negative"))</f>
        <v>Negative</v>
      </c>
      <c r="I699" s="3" t="str">
        <f>IF(cf_cl[[#This Row],[satisfaction_score]]&lt;=2,"Low",IF(cf_cl[[#This Row],[satisfaction_score]]=3,"Medium","High"))</f>
        <v>Low</v>
      </c>
      <c r="J699">
        <f>YEAR(cf_cl[[#This Row],[date_submitted]])</f>
        <v>2022</v>
      </c>
      <c r="K699" s="3" t="str">
        <f>TEXT(cf_cl[[#This Row],[date_submitted]],"mmm")</f>
        <v>Dec</v>
      </c>
      <c r="L699" s="3" t="str">
        <f t="shared" si="30"/>
        <v>Q4</v>
      </c>
      <c r="M699" s="3" t="str">
        <f t="shared" si="31"/>
        <v>Sunday</v>
      </c>
      <c r="N699" s="3" t="str">
        <f t="shared" si="32"/>
        <v>Yes</v>
      </c>
      <c r="O699" s="3" t="str">
        <f>IF(COUNTIF($B:$B,B699)=1,"New Customer",
IF(COUNTIF($B:$B,B699)&lt;=3,"Returning Customer","Loyal Customer"))</f>
        <v>Returning Customer</v>
      </c>
      <c r="P699" s="3" t="str">
        <f>IF(cf_cl[[#This Row],[referred_claim]]="Yes","Referred","Not Referred")</f>
        <v>Referred</v>
      </c>
    </row>
    <row r="700" spans="1:16" x14ac:dyDescent="0.3">
      <c r="A700" t="s">
        <v>1330</v>
      </c>
      <c r="B700" t="s">
        <v>391</v>
      </c>
      <c r="C700" s="1">
        <v>44009</v>
      </c>
      <c r="D700" t="s">
        <v>68</v>
      </c>
      <c r="E700">
        <v>1</v>
      </c>
      <c r="F700" s="3" t="s">
        <v>10</v>
      </c>
      <c r="G700" s="3" t="s">
        <v>13</v>
      </c>
      <c r="H700" s="3" t="str">
        <f>IF(cf_cl[[#This Row],[satisfaction_score]]&gt;=4,"Happy",IF(cf_cl[[#This Row],[satisfaction_score]]=3,"Neutral","Negative"))</f>
        <v>Negative</v>
      </c>
      <c r="I700" s="3" t="str">
        <f>IF(cf_cl[[#This Row],[satisfaction_score]]&lt;=2,"Low",IF(cf_cl[[#This Row],[satisfaction_score]]=3,"Medium","High"))</f>
        <v>Low</v>
      </c>
      <c r="J700">
        <f>YEAR(cf_cl[[#This Row],[date_submitted]])</f>
        <v>2020</v>
      </c>
      <c r="K700" s="3" t="str">
        <f>TEXT(cf_cl[[#This Row],[date_submitted]],"mmm")</f>
        <v>Jun</v>
      </c>
      <c r="L700" s="3" t="str">
        <f t="shared" si="30"/>
        <v>Q2</v>
      </c>
      <c r="M700" s="3" t="str">
        <f t="shared" si="31"/>
        <v>Saturday</v>
      </c>
      <c r="N700" s="3" t="str">
        <f t="shared" si="32"/>
        <v>Yes</v>
      </c>
      <c r="O700" s="3" t="str">
        <f>IF(COUNTIF($B:$B,B700)=1,"New Customer",
IF(COUNTIF($B:$B,B700)&lt;=3,"Returning Customer","Loyal Customer"))</f>
        <v>Returning Customer</v>
      </c>
      <c r="P700" s="3" t="str">
        <f>IF(cf_cl[[#This Row],[referred_claim]]="Yes","Referred","Not Referred")</f>
        <v>Not Referred</v>
      </c>
    </row>
    <row r="701" spans="1:16" x14ac:dyDescent="0.3">
      <c r="A701" t="s">
        <v>1331</v>
      </c>
      <c r="B701" t="s">
        <v>1332</v>
      </c>
      <c r="C701" s="1">
        <v>45228</v>
      </c>
      <c r="D701" t="s">
        <v>9</v>
      </c>
      <c r="E701">
        <v>3</v>
      </c>
      <c r="F701" s="3" t="s">
        <v>13</v>
      </c>
      <c r="G701" s="3" t="s">
        <v>13</v>
      </c>
      <c r="H701" s="3" t="str">
        <f>IF(cf_cl[[#This Row],[satisfaction_score]]&gt;=4,"Happy",IF(cf_cl[[#This Row],[satisfaction_score]]=3,"Neutral","Negative"))</f>
        <v>Neutral</v>
      </c>
      <c r="I701" s="3" t="str">
        <f>IF(cf_cl[[#This Row],[satisfaction_score]]&lt;=2,"Low",IF(cf_cl[[#This Row],[satisfaction_score]]=3,"Medium","High"))</f>
        <v>Medium</v>
      </c>
      <c r="J701">
        <f>YEAR(cf_cl[[#This Row],[date_submitted]])</f>
        <v>2023</v>
      </c>
      <c r="K701" s="3" t="str">
        <f>TEXT(cf_cl[[#This Row],[date_submitted]],"mmm")</f>
        <v>Oct</v>
      </c>
      <c r="L701" s="3" t="str">
        <f t="shared" si="30"/>
        <v>Q4</v>
      </c>
      <c r="M701" s="3" t="str">
        <f t="shared" si="31"/>
        <v>Sunday</v>
      </c>
      <c r="N701" s="3" t="str">
        <f t="shared" si="32"/>
        <v>No</v>
      </c>
      <c r="O701" s="3" t="str">
        <f>IF(COUNTIF($B:$B,B701)=1,"New Customer",
IF(COUNTIF($B:$B,B701)&lt;=3,"Returning Customer","Loyal Customer"))</f>
        <v>New Customer</v>
      </c>
      <c r="P701" s="3" t="str">
        <f>IF(cf_cl[[#This Row],[referred_claim]]="Yes","Referred","Not Referred")</f>
        <v>Not Referred</v>
      </c>
    </row>
    <row r="702" spans="1:16" x14ac:dyDescent="0.3">
      <c r="A702" t="s">
        <v>1333</v>
      </c>
      <c r="B702" t="s">
        <v>1334</v>
      </c>
      <c r="C702" s="1">
        <v>43954</v>
      </c>
      <c r="D702" t="s">
        <v>68</v>
      </c>
      <c r="E702">
        <v>1</v>
      </c>
      <c r="F702" s="3" t="s">
        <v>10</v>
      </c>
      <c r="G702" s="3" t="s">
        <v>10</v>
      </c>
      <c r="H702" s="3" t="str">
        <f>IF(cf_cl[[#This Row],[satisfaction_score]]&gt;=4,"Happy",IF(cf_cl[[#This Row],[satisfaction_score]]=3,"Neutral","Negative"))</f>
        <v>Negative</v>
      </c>
      <c r="I702" s="3" t="str">
        <f>IF(cf_cl[[#This Row],[satisfaction_score]]&lt;=2,"Low",IF(cf_cl[[#This Row],[satisfaction_score]]=3,"Medium","High"))</f>
        <v>Low</v>
      </c>
      <c r="J702">
        <f>YEAR(cf_cl[[#This Row],[date_submitted]])</f>
        <v>2020</v>
      </c>
      <c r="K702" s="3" t="str">
        <f>TEXT(cf_cl[[#This Row],[date_submitted]],"mmm")</f>
        <v>May</v>
      </c>
      <c r="L702" s="3" t="str">
        <f t="shared" si="30"/>
        <v>Q2</v>
      </c>
      <c r="M702" s="3" t="str">
        <f t="shared" si="31"/>
        <v>Sunday</v>
      </c>
      <c r="N702" s="3" t="str">
        <f t="shared" si="32"/>
        <v>Yes</v>
      </c>
      <c r="O702" s="3" t="str">
        <f>IF(COUNTIF($B:$B,B702)=1,"New Customer",
IF(COUNTIF($B:$B,B702)&lt;=3,"Returning Customer","Loyal Customer"))</f>
        <v>New Customer</v>
      </c>
      <c r="P702" s="3" t="str">
        <f>IF(cf_cl[[#This Row],[referred_claim]]="Yes","Referred","Not Referred")</f>
        <v>Referred</v>
      </c>
    </row>
    <row r="703" spans="1:16" x14ac:dyDescent="0.3">
      <c r="A703" t="s">
        <v>1335</v>
      </c>
      <c r="B703" t="s">
        <v>1336</v>
      </c>
      <c r="C703" s="1">
        <v>44389</v>
      </c>
      <c r="D703" t="s">
        <v>83</v>
      </c>
      <c r="E703">
        <v>3</v>
      </c>
      <c r="F703" s="3" t="s">
        <v>13</v>
      </c>
      <c r="G703" s="3" t="s">
        <v>10</v>
      </c>
      <c r="H703" s="3" t="str">
        <f>IF(cf_cl[[#This Row],[satisfaction_score]]&gt;=4,"Happy",IF(cf_cl[[#This Row],[satisfaction_score]]=3,"Neutral","Negative"))</f>
        <v>Neutral</v>
      </c>
      <c r="I703" s="3" t="str">
        <f>IF(cf_cl[[#This Row],[satisfaction_score]]&lt;=2,"Low",IF(cf_cl[[#This Row],[satisfaction_score]]=3,"Medium","High"))</f>
        <v>Medium</v>
      </c>
      <c r="J703">
        <f>YEAR(cf_cl[[#This Row],[date_submitted]])</f>
        <v>2021</v>
      </c>
      <c r="K703" s="3" t="str">
        <f>TEXT(cf_cl[[#This Row],[date_submitted]],"mmm")</f>
        <v>Jul</v>
      </c>
      <c r="L703" s="3" t="str">
        <f t="shared" si="30"/>
        <v>Q3</v>
      </c>
      <c r="M703" s="3" t="str">
        <f t="shared" si="31"/>
        <v>Monday</v>
      </c>
      <c r="N703" s="3" t="str">
        <f t="shared" si="32"/>
        <v>No</v>
      </c>
      <c r="O703" s="3" t="str">
        <f>IF(COUNTIF($B:$B,B703)=1,"New Customer",
IF(COUNTIF($B:$B,B703)&lt;=3,"Returning Customer","Loyal Customer"))</f>
        <v>New Customer</v>
      </c>
      <c r="P703" s="3" t="str">
        <f>IF(cf_cl[[#This Row],[referred_claim]]="Yes","Referred","Not Referred")</f>
        <v>Referred</v>
      </c>
    </row>
    <row r="704" spans="1:16" x14ac:dyDescent="0.3">
      <c r="A704" t="s">
        <v>1337</v>
      </c>
      <c r="B704" t="s">
        <v>1338</v>
      </c>
      <c r="C704" s="1">
        <v>45272</v>
      </c>
      <c r="D704" t="s">
        <v>25</v>
      </c>
      <c r="E704">
        <v>5</v>
      </c>
      <c r="F704" s="3" t="s">
        <v>10</v>
      </c>
      <c r="G704" s="3" t="s">
        <v>10</v>
      </c>
      <c r="H704" s="3" t="str">
        <f>IF(cf_cl[[#This Row],[satisfaction_score]]&gt;=4,"Happy",IF(cf_cl[[#This Row],[satisfaction_score]]=3,"Neutral","Negative"))</f>
        <v>Happy</v>
      </c>
      <c r="I704" s="3" t="str">
        <f>IF(cf_cl[[#This Row],[satisfaction_score]]&lt;=2,"Low",IF(cf_cl[[#This Row],[satisfaction_score]]=3,"Medium","High"))</f>
        <v>High</v>
      </c>
      <c r="J704">
        <f>YEAR(cf_cl[[#This Row],[date_submitted]])</f>
        <v>2023</v>
      </c>
      <c r="K704" s="3" t="str">
        <f>TEXT(cf_cl[[#This Row],[date_submitted]],"mmm")</f>
        <v>Dec</v>
      </c>
      <c r="L704" s="3" t="str">
        <f t="shared" si="30"/>
        <v>Q4</v>
      </c>
      <c r="M704" s="3" t="str">
        <f t="shared" si="31"/>
        <v>Tuesday</v>
      </c>
      <c r="N704" s="3" t="str">
        <f t="shared" si="32"/>
        <v>No</v>
      </c>
      <c r="O704" s="3" t="str">
        <f>IF(COUNTIF($B:$B,B704)=1,"New Customer",
IF(COUNTIF($B:$B,B704)&lt;=3,"Returning Customer","Loyal Customer"))</f>
        <v>New Customer</v>
      </c>
      <c r="P704" s="3" t="str">
        <f>IF(cf_cl[[#This Row],[referred_claim]]="Yes","Referred","Not Referred")</f>
        <v>Referred</v>
      </c>
    </row>
    <row r="705" spans="1:16" x14ac:dyDescent="0.3">
      <c r="A705" t="s">
        <v>1339</v>
      </c>
      <c r="B705" t="s">
        <v>1340</v>
      </c>
      <c r="C705" s="1">
        <v>43967</v>
      </c>
      <c r="D705" t="s">
        <v>19</v>
      </c>
      <c r="E705">
        <v>2</v>
      </c>
      <c r="F705" s="3" t="s">
        <v>13</v>
      </c>
      <c r="G705" s="3" t="s">
        <v>10</v>
      </c>
      <c r="H705" s="3" t="str">
        <f>IF(cf_cl[[#This Row],[satisfaction_score]]&gt;=4,"Happy",IF(cf_cl[[#This Row],[satisfaction_score]]=3,"Neutral","Negative"))</f>
        <v>Negative</v>
      </c>
      <c r="I705" s="3" t="str">
        <f>IF(cf_cl[[#This Row],[satisfaction_score]]&lt;=2,"Low",IF(cf_cl[[#This Row],[satisfaction_score]]=3,"Medium","High"))</f>
        <v>Low</v>
      </c>
      <c r="J705">
        <f>YEAR(cf_cl[[#This Row],[date_submitted]])</f>
        <v>2020</v>
      </c>
      <c r="K705" s="3" t="str">
        <f>TEXT(cf_cl[[#This Row],[date_submitted]],"mmm")</f>
        <v>May</v>
      </c>
      <c r="L705" s="3" t="str">
        <f t="shared" si="30"/>
        <v>Q2</v>
      </c>
      <c r="M705" s="3" t="str">
        <f t="shared" si="31"/>
        <v>Saturday</v>
      </c>
      <c r="N705" s="3" t="str">
        <f t="shared" si="32"/>
        <v>Yes</v>
      </c>
      <c r="O705" s="3" t="str">
        <f>IF(COUNTIF($B:$B,B705)=1,"New Customer",
IF(COUNTIF($B:$B,B705)&lt;=3,"Returning Customer","Loyal Customer"))</f>
        <v>New Customer</v>
      </c>
      <c r="P705" s="3" t="str">
        <f>IF(cf_cl[[#This Row],[referred_claim]]="Yes","Referred","Not Referred")</f>
        <v>Referred</v>
      </c>
    </row>
    <row r="706" spans="1:16" x14ac:dyDescent="0.3">
      <c r="A706" t="s">
        <v>1341</v>
      </c>
      <c r="B706" t="s">
        <v>1342</v>
      </c>
      <c r="C706" s="1">
        <v>43888</v>
      </c>
      <c r="D706" t="s">
        <v>31</v>
      </c>
      <c r="E706">
        <v>3</v>
      </c>
      <c r="F706" s="3" t="s">
        <v>13</v>
      </c>
      <c r="G706" s="3" t="s">
        <v>10</v>
      </c>
      <c r="H706" s="3" t="str">
        <f>IF(cf_cl[[#This Row],[satisfaction_score]]&gt;=4,"Happy",IF(cf_cl[[#This Row],[satisfaction_score]]=3,"Neutral","Negative"))</f>
        <v>Neutral</v>
      </c>
      <c r="I706" s="3" t="str">
        <f>IF(cf_cl[[#This Row],[satisfaction_score]]&lt;=2,"Low",IF(cf_cl[[#This Row],[satisfaction_score]]=3,"Medium","High"))</f>
        <v>Medium</v>
      </c>
      <c r="J706">
        <f>YEAR(cf_cl[[#This Row],[date_submitted]])</f>
        <v>2020</v>
      </c>
      <c r="K706" s="3" t="str">
        <f>TEXT(cf_cl[[#This Row],[date_submitted]],"mmm")</f>
        <v>Feb</v>
      </c>
      <c r="L706" s="3" t="str">
        <f t="shared" ref="L706:L769" si="33">"Q"&amp;ROUNDUP(MONTH(C706)/3,0)</f>
        <v>Q1</v>
      </c>
      <c r="M706" s="3" t="str">
        <f t="shared" ref="M706:M769" si="34">TEXT(C706,"dddd")</f>
        <v>Thursday</v>
      </c>
      <c r="N706" s="3" t="str">
        <f t="shared" ref="N706:N769" si="35">IF(E706&lt;=2,"Yes","No")</f>
        <v>No</v>
      </c>
      <c r="O706" s="3" t="str">
        <f>IF(COUNTIF($B:$B,B706)=1,"New Customer",
IF(COUNTIF($B:$B,B706)&lt;=3,"Returning Customer","Loyal Customer"))</f>
        <v>New Customer</v>
      </c>
      <c r="P706" s="3" t="str">
        <f>IF(cf_cl[[#This Row],[referred_claim]]="Yes","Referred","Not Referred")</f>
        <v>Referred</v>
      </c>
    </row>
    <row r="707" spans="1:16" x14ac:dyDescent="0.3">
      <c r="A707" t="s">
        <v>1343</v>
      </c>
      <c r="B707" t="s">
        <v>578</v>
      </c>
      <c r="C707" s="1">
        <v>44492</v>
      </c>
      <c r="D707" t="s">
        <v>22</v>
      </c>
      <c r="E707">
        <v>4</v>
      </c>
      <c r="F707" s="3" t="s">
        <v>10</v>
      </c>
      <c r="G707" s="3" t="s">
        <v>13</v>
      </c>
      <c r="H707" s="3" t="str">
        <f>IF(cf_cl[[#This Row],[satisfaction_score]]&gt;=4,"Happy",IF(cf_cl[[#This Row],[satisfaction_score]]=3,"Neutral","Negative"))</f>
        <v>Happy</v>
      </c>
      <c r="I707" s="3" t="str">
        <f>IF(cf_cl[[#This Row],[satisfaction_score]]&lt;=2,"Low",IF(cf_cl[[#This Row],[satisfaction_score]]=3,"Medium","High"))</f>
        <v>High</v>
      </c>
      <c r="J707">
        <f>YEAR(cf_cl[[#This Row],[date_submitted]])</f>
        <v>2021</v>
      </c>
      <c r="K707" s="3" t="str">
        <f>TEXT(cf_cl[[#This Row],[date_submitted]],"mmm")</f>
        <v>Oct</v>
      </c>
      <c r="L707" s="3" t="str">
        <f t="shared" si="33"/>
        <v>Q4</v>
      </c>
      <c r="M707" s="3" t="str">
        <f t="shared" si="34"/>
        <v>Saturday</v>
      </c>
      <c r="N707" s="3" t="str">
        <f t="shared" si="35"/>
        <v>No</v>
      </c>
      <c r="O707" s="3" t="str">
        <f>IF(COUNTIF($B:$B,B707)=1,"New Customer",
IF(COUNTIF($B:$B,B707)&lt;=3,"Returning Customer","Loyal Customer"))</f>
        <v>Returning Customer</v>
      </c>
      <c r="P707" s="3" t="str">
        <f>IF(cf_cl[[#This Row],[referred_claim]]="Yes","Referred","Not Referred")</f>
        <v>Not Referred</v>
      </c>
    </row>
    <row r="708" spans="1:16" x14ac:dyDescent="0.3">
      <c r="A708" t="s">
        <v>1344</v>
      </c>
      <c r="B708" t="s">
        <v>1140</v>
      </c>
      <c r="C708" s="1">
        <v>44161</v>
      </c>
      <c r="D708" t="s">
        <v>22</v>
      </c>
      <c r="E708">
        <v>4</v>
      </c>
      <c r="F708" s="3" t="s">
        <v>13</v>
      </c>
      <c r="G708" s="3" t="s">
        <v>10</v>
      </c>
      <c r="H708" s="3" t="str">
        <f>IF(cf_cl[[#This Row],[satisfaction_score]]&gt;=4,"Happy",IF(cf_cl[[#This Row],[satisfaction_score]]=3,"Neutral","Negative"))</f>
        <v>Happy</v>
      </c>
      <c r="I708" s="3" t="str">
        <f>IF(cf_cl[[#This Row],[satisfaction_score]]&lt;=2,"Low",IF(cf_cl[[#This Row],[satisfaction_score]]=3,"Medium","High"))</f>
        <v>High</v>
      </c>
      <c r="J708">
        <f>YEAR(cf_cl[[#This Row],[date_submitted]])</f>
        <v>2020</v>
      </c>
      <c r="K708" s="3" t="str">
        <f>TEXT(cf_cl[[#This Row],[date_submitted]],"mmm")</f>
        <v>Nov</v>
      </c>
      <c r="L708" s="3" t="str">
        <f t="shared" si="33"/>
        <v>Q4</v>
      </c>
      <c r="M708" s="3" t="str">
        <f t="shared" si="34"/>
        <v>Thursday</v>
      </c>
      <c r="N708" s="3" t="str">
        <f t="shared" si="35"/>
        <v>No</v>
      </c>
      <c r="O708" s="3" t="str">
        <f>IF(COUNTIF($B:$B,B708)=1,"New Customer",
IF(COUNTIF($B:$B,B708)&lt;=3,"Returning Customer","Loyal Customer"))</f>
        <v>Returning Customer</v>
      </c>
      <c r="P708" s="3" t="str">
        <f>IF(cf_cl[[#This Row],[referred_claim]]="Yes","Referred","Not Referred")</f>
        <v>Referred</v>
      </c>
    </row>
    <row r="709" spans="1:16" x14ac:dyDescent="0.3">
      <c r="A709" t="s">
        <v>1345</v>
      </c>
      <c r="B709" t="s">
        <v>1346</v>
      </c>
      <c r="C709" s="1">
        <v>44172</v>
      </c>
      <c r="D709" t="s">
        <v>22</v>
      </c>
      <c r="E709">
        <v>4</v>
      </c>
      <c r="F709" s="3" t="s">
        <v>13</v>
      </c>
      <c r="G709" s="3" t="s">
        <v>13</v>
      </c>
      <c r="H709" s="3" t="str">
        <f>IF(cf_cl[[#This Row],[satisfaction_score]]&gt;=4,"Happy",IF(cf_cl[[#This Row],[satisfaction_score]]=3,"Neutral","Negative"))</f>
        <v>Happy</v>
      </c>
      <c r="I709" s="3" t="str">
        <f>IF(cf_cl[[#This Row],[satisfaction_score]]&lt;=2,"Low",IF(cf_cl[[#This Row],[satisfaction_score]]=3,"Medium","High"))</f>
        <v>High</v>
      </c>
      <c r="J709">
        <f>YEAR(cf_cl[[#This Row],[date_submitted]])</f>
        <v>2020</v>
      </c>
      <c r="K709" s="3" t="str">
        <f>TEXT(cf_cl[[#This Row],[date_submitted]],"mmm")</f>
        <v>Dec</v>
      </c>
      <c r="L709" s="3" t="str">
        <f t="shared" si="33"/>
        <v>Q4</v>
      </c>
      <c r="M709" s="3" t="str">
        <f t="shared" si="34"/>
        <v>Monday</v>
      </c>
      <c r="N709" s="3" t="str">
        <f t="shared" si="35"/>
        <v>No</v>
      </c>
      <c r="O709" s="3" t="str">
        <f>IF(COUNTIF($B:$B,B709)=1,"New Customer",
IF(COUNTIF($B:$B,B709)&lt;=3,"Returning Customer","Loyal Customer"))</f>
        <v>New Customer</v>
      </c>
      <c r="P709" s="3" t="str">
        <f>IF(cf_cl[[#This Row],[referred_claim]]="Yes","Referred","Not Referred")</f>
        <v>Not Referred</v>
      </c>
    </row>
    <row r="710" spans="1:16" x14ac:dyDescent="0.3">
      <c r="A710" t="s">
        <v>1347</v>
      </c>
      <c r="B710" t="s">
        <v>1348</v>
      </c>
      <c r="C710" s="1">
        <v>44640</v>
      </c>
      <c r="D710" t="s">
        <v>25</v>
      </c>
      <c r="E710">
        <v>4</v>
      </c>
      <c r="F710" s="3" t="s">
        <v>13</v>
      </c>
      <c r="G710" s="3" t="s">
        <v>10</v>
      </c>
      <c r="H710" s="3" t="str">
        <f>IF(cf_cl[[#This Row],[satisfaction_score]]&gt;=4,"Happy",IF(cf_cl[[#This Row],[satisfaction_score]]=3,"Neutral","Negative"))</f>
        <v>Happy</v>
      </c>
      <c r="I710" s="3" t="str">
        <f>IF(cf_cl[[#This Row],[satisfaction_score]]&lt;=2,"Low",IF(cf_cl[[#This Row],[satisfaction_score]]=3,"Medium","High"))</f>
        <v>High</v>
      </c>
      <c r="J710">
        <f>YEAR(cf_cl[[#This Row],[date_submitted]])</f>
        <v>2022</v>
      </c>
      <c r="K710" s="3" t="str">
        <f>TEXT(cf_cl[[#This Row],[date_submitted]],"mmm")</f>
        <v>Mar</v>
      </c>
      <c r="L710" s="3" t="str">
        <f t="shared" si="33"/>
        <v>Q1</v>
      </c>
      <c r="M710" s="3" t="str">
        <f t="shared" si="34"/>
        <v>Sunday</v>
      </c>
      <c r="N710" s="3" t="str">
        <f t="shared" si="35"/>
        <v>No</v>
      </c>
      <c r="O710" s="3" t="str">
        <f>IF(COUNTIF($B:$B,B710)=1,"New Customer",
IF(COUNTIF($B:$B,B710)&lt;=3,"Returning Customer","Loyal Customer"))</f>
        <v>Returning Customer</v>
      </c>
      <c r="P710" s="3" t="str">
        <f>IF(cf_cl[[#This Row],[referred_claim]]="Yes","Referred","Not Referred")</f>
        <v>Referred</v>
      </c>
    </row>
    <row r="711" spans="1:16" x14ac:dyDescent="0.3">
      <c r="A711" t="s">
        <v>1349</v>
      </c>
      <c r="B711" t="s">
        <v>1350</v>
      </c>
      <c r="C711" s="1">
        <v>43943</v>
      </c>
      <c r="D711" t="s">
        <v>9</v>
      </c>
      <c r="E711">
        <v>3</v>
      </c>
      <c r="F711" s="3" t="s">
        <v>13</v>
      </c>
      <c r="G711" s="3" t="s">
        <v>10</v>
      </c>
      <c r="H711" s="3" t="str">
        <f>IF(cf_cl[[#This Row],[satisfaction_score]]&gt;=4,"Happy",IF(cf_cl[[#This Row],[satisfaction_score]]=3,"Neutral","Negative"))</f>
        <v>Neutral</v>
      </c>
      <c r="I711" s="3" t="str">
        <f>IF(cf_cl[[#This Row],[satisfaction_score]]&lt;=2,"Low",IF(cf_cl[[#This Row],[satisfaction_score]]=3,"Medium","High"))</f>
        <v>Medium</v>
      </c>
      <c r="J711">
        <f>YEAR(cf_cl[[#This Row],[date_submitted]])</f>
        <v>2020</v>
      </c>
      <c r="K711" s="3" t="str">
        <f>TEXT(cf_cl[[#This Row],[date_submitted]],"mmm")</f>
        <v>Apr</v>
      </c>
      <c r="L711" s="3" t="str">
        <f t="shared" si="33"/>
        <v>Q2</v>
      </c>
      <c r="M711" s="3" t="str">
        <f t="shared" si="34"/>
        <v>Wednesday</v>
      </c>
      <c r="N711" s="3" t="str">
        <f t="shared" si="35"/>
        <v>No</v>
      </c>
      <c r="O711" s="3" t="str">
        <f>IF(COUNTIF($B:$B,B711)=1,"New Customer",
IF(COUNTIF($B:$B,B711)&lt;=3,"Returning Customer","Loyal Customer"))</f>
        <v>New Customer</v>
      </c>
      <c r="P711" s="3" t="str">
        <f>IF(cf_cl[[#This Row],[referred_claim]]="Yes","Referred","Not Referred")</f>
        <v>Referred</v>
      </c>
    </row>
    <row r="712" spans="1:16" x14ac:dyDescent="0.3">
      <c r="A712" t="s">
        <v>1351</v>
      </c>
      <c r="B712" t="s">
        <v>1352</v>
      </c>
      <c r="C712" s="1">
        <v>44729</v>
      </c>
      <c r="D712" t="s">
        <v>37</v>
      </c>
      <c r="E712">
        <v>3</v>
      </c>
      <c r="F712" s="3" t="s">
        <v>10</v>
      </c>
      <c r="G712" s="3" t="s">
        <v>13</v>
      </c>
      <c r="H712" s="3" t="str">
        <f>IF(cf_cl[[#This Row],[satisfaction_score]]&gt;=4,"Happy",IF(cf_cl[[#This Row],[satisfaction_score]]=3,"Neutral","Negative"))</f>
        <v>Neutral</v>
      </c>
      <c r="I712" s="3" t="str">
        <f>IF(cf_cl[[#This Row],[satisfaction_score]]&lt;=2,"Low",IF(cf_cl[[#This Row],[satisfaction_score]]=3,"Medium","High"))</f>
        <v>Medium</v>
      </c>
      <c r="J712">
        <f>YEAR(cf_cl[[#This Row],[date_submitted]])</f>
        <v>2022</v>
      </c>
      <c r="K712" s="3" t="str">
        <f>TEXT(cf_cl[[#This Row],[date_submitted]],"mmm")</f>
        <v>Jun</v>
      </c>
      <c r="L712" s="3" t="str">
        <f t="shared" si="33"/>
        <v>Q2</v>
      </c>
      <c r="M712" s="3" t="str">
        <f t="shared" si="34"/>
        <v>Friday</v>
      </c>
      <c r="N712" s="3" t="str">
        <f t="shared" si="35"/>
        <v>No</v>
      </c>
      <c r="O712" s="3" t="str">
        <f>IF(COUNTIF($B:$B,B712)=1,"New Customer",
IF(COUNTIF($B:$B,B712)&lt;=3,"Returning Customer","Loyal Customer"))</f>
        <v>New Customer</v>
      </c>
      <c r="P712" s="3" t="str">
        <f>IF(cf_cl[[#This Row],[referred_claim]]="Yes","Referred","Not Referred")</f>
        <v>Not Referred</v>
      </c>
    </row>
    <row r="713" spans="1:16" x14ac:dyDescent="0.3">
      <c r="A713" t="s">
        <v>1353</v>
      </c>
      <c r="B713" t="s">
        <v>1354</v>
      </c>
      <c r="C713" s="1">
        <v>44840</v>
      </c>
      <c r="D713" t="s">
        <v>19</v>
      </c>
      <c r="E713">
        <v>2</v>
      </c>
      <c r="F713" s="3" t="s">
        <v>10</v>
      </c>
      <c r="G713" s="3" t="s">
        <v>10</v>
      </c>
      <c r="H713" s="3" t="str">
        <f>IF(cf_cl[[#This Row],[satisfaction_score]]&gt;=4,"Happy",IF(cf_cl[[#This Row],[satisfaction_score]]=3,"Neutral","Negative"))</f>
        <v>Negative</v>
      </c>
      <c r="I713" s="3" t="str">
        <f>IF(cf_cl[[#This Row],[satisfaction_score]]&lt;=2,"Low",IF(cf_cl[[#This Row],[satisfaction_score]]=3,"Medium","High"))</f>
        <v>Low</v>
      </c>
      <c r="J713">
        <f>YEAR(cf_cl[[#This Row],[date_submitted]])</f>
        <v>2022</v>
      </c>
      <c r="K713" s="3" t="str">
        <f>TEXT(cf_cl[[#This Row],[date_submitted]],"mmm")</f>
        <v>Oct</v>
      </c>
      <c r="L713" s="3" t="str">
        <f t="shared" si="33"/>
        <v>Q4</v>
      </c>
      <c r="M713" s="3" t="str">
        <f t="shared" si="34"/>
        <v>Thursday</v>
      </c>
      <c r="N713" s="3" t="str">
        <f t="shared" si="35"/>
        <v>Yes</v>
      </c>
      <c r="O713" s="3" t="str">
        <f>IF(COUNTIF($B:$B,B713)=1,"New Customer",
IF(COUNTIF($B:$B,B713)&lt;=3,"Returning Customer","Loyal Customer"))</f>
        <v>New Customer</v>
      </c>
      <c r="P713" s="3" t="str">
        <f>IF(cf_cl[[#This Row],[referred_claim]]="Yes","Referred","Not Referred")</f>
        <v>Referred</v>
      </c>
    </row>
    <row r="714" spans="1:16" x14ac:dyDescent="0.3">
      <c r="A714" t="s">
        <v>1355</v>
      </c>
      <c r="B714" t="s">
        <v>1356</v>
      </c>
      <c r="C714" s="1">
        <v>44588</v>
      </c>
      <c r="D714" t="s">
        <v>25</v>
      </c>
      <c r="E714">
        <v>5</v>
      </c>
      <c r="F714" s="3" t="s">
        <v>10</v>
      </c>
      <c r="G714" s="3" t="s">
        <v>13</v>
      </c>
      <c r="H714" s="3" t="str">
        <f>IF(cf_cl[[#This Row],[satisfaction_score]]&gt;=4,"Happy",IF(cf_cl[[#This Row],[satisfaction_score]]=3,"Neutral","Negative"))</f>
        <v>Happy</v>
      </c>
      <c r="I714" s="3" t="str">
        <f>IF(cf_cl[[#This Row],[satisfaction_score]]&lt;=2,"Low",IF(cf_cl[[#This Row],[satisfaction_score]]=3,"Medium","High"))</f>
        <v>High</v>
      </c>
      <c r="J714">
        <f>YEAR(cf_cl[[#This Row],[date_submitted]])</f>
        <v>2022</v>
      </c>
      <c r="K714" s="3" t="str">
        <f>TEXT(cf_cl[[#This Row],[date_submitted]],"mmm")</f>
        <v>Jan</v>
      </c>
      <c r="L714" s="3" t="str">
        <f t="shared" si="33"/>
        <v>Q1</v>
      </c>
      <c r="M714" s="3" t="str">
        <f t="shared" si="34"/>
        <v>Thursday</v>
      </c>
      <c r="N714" s="3" t="str">
        <f t="shared" si="35"/>
        <v>No</v>
      </c>
      <c r="O714" s="3" t="str">
        <f>IF(COUNTIF($B:$B,B714)=1,"New Customer",
IF(COUNTIF($B:$B,B714)&lt;=3,"Returning Customer","Loyal Customer"))</f>
        <v>New Customer</v>
      </c>
      <c r="P714" s="3" t="str">
        <f>IF(cf_cl[[#This Row],[referred_claim]]="Yes","Referred","Not Referred")</f>
        <v>Not Referred</v>
      </c>
    </row>
    <row r="715" spans="1:16" x14ac:dyDescent="0.3">
      <c r="A715" t="s">
        <v>1357</v>
      </c>
      <c r="B715" t="s">
        <v>1358</v>
      </c>
      <c r="C715" s="1">
        <v>44612</v>
      </c>
      <c r="D715" t="s">
        <v>22</v>
      </c>
      <c r="E715">
        <v>5</v>
      </c>
      <c r="F715" s="3" t="s">
        <v>10</v>
      </c>
      <c r="G715" s="3" t="s">
        <v>13</v>
      </c>
      <c r="H715" s="3" t="str">
        <f>IF(cf_cl[[#This Row],[satisfaction_score]]&gt;=4,"Happy",IF(cf_cl[[#This Row],[satisfaction_score]]=3,"Neutral","Negative"))</f>
        <v>Happy</v>
      </c>
      <c r="I715" s="3" t="str">
        <f>IF(cf_cl[[#This Row],[satisfaction_score]]&lt;=2,"Low",IF(cf_cl[[#This Row],[satisfaction_score]]=3,"Medium","High"))</f>
        <v>High</v>
      </c>
      <c r="J715">
        <f>YEAR(cf_cl[[#This Row],[date_submitted]])</f>
        <v>2022</v>
      </c>
      <c r="K715" s="3" t="str">
        <f>TEXT(cf_cl[[#This Row],[date_submitted]],"mmm")</f>
        <v>Feb</v>
      </c>
      <c r="L715" s="3" t="str">
        <f t="shared" si="33"/>
        <v>Q1</v>
      </c>
      <c r="M715" s="3" t="str">
        <f t="shared" si="34"/>
        <v>Sunday</v>
      </c>
      <c r="N715" s="3" t="str">
        <f t="shared" si="35"/>
        <v>No</v>
      </c>
      <c r="O715" s="3" t="str">
        <f>IF(COUNTIF($B:$B,B715)=1,"New Customer",
IF(COUNTIF($B:$B,B715)&lt;=3,"Returning Customer","Loyal Customer"))</f>
        <v>New Customer</v>
      </c>
      <c r="P715" s="3" t="str">
        <f>IF(cf_cl[[#This Row],[referred_claim]]="Yes","Referred","Not Referred")</f>
        <v>Not Referred</v>
      </c>
    </row>
    <row r="716" spans="1:16" x14ac:dyDescent="0.3">
      <c r="A716" t="s">
        <v>1359</v>
      </c>
      <c r="B716" t="s">
        <v>710</v>
      </c>
      <c r="C716" s="1">
        <v>43962</v>
      </c>
      <c r="D716" t="s">
        <v>31</v>
      </c>
      <c r="E716">
        <v>2</v>
      </c>
      <c r="F716" s="3" t="s">
        <v>10</v>
      </c>
      <c r="G716" s="3" t="s">
        <v>13</v>
      </c>
      <c r="H716" s="3" t="str">
        <f>IF(cf_cl[[#This Row],[satisfaction_score]]&gt;=4,"Happy",IF(cf_cl[[#This Row],[satisfaction_score]]=3,"Neutral","Negative"))</f>
        <v>Negative</v>
      </c>
      <c r="I716" s="3" t="str">
        <f>IF(cf_cl[[#This Row],[satisfaction_score]]&lt;=2,"Low",IF(cf_cl[[#This Row],[satisfaction_score]]=3,"Medium","High"))</f>
        <v>Low</v>
      </c>
      <c r="J716">
        <f>YEAR(cf_cl[[#This Row],[date_submitted]])</f>
        <v>2020</v>
      </c>
      <c r="K716" s="3" t="str">
        <f>TEXT(cf_cl[[#This Row],[date_submitted]],"mmm")</f>
        <v>May</v>
      </c>
      <c r="L716" s="3" t="str">
        <f t="shared" si="33"/>
        <v>Q2</v>
      </c>
      <c r="M716" s="3" t="str">
        <f t="shared" si="34"/>
        <v>Monday</v>
      </c>
      <c r="N716" s="3" t="str">
        <f t="shared" si="35"/>
        <v>Yes</v>
      </c>
      <c r="O716" s="3" t="str">
        <f>IF(COUNTIF($B:$B,B716)=1,"New Customer",
IF(COUNTIF($B:$B,B716)&lt;=3,"Returning Customer","Loyal Customer"))</f>
        <v>Returning Customer</v>
      </c>
      <c r="P716" s="3" t="str">
        <f>IF(cf_cl[[#This Row],[referred_claim]]="Yes","Referred","Not Referred")</f>
        <v>Not Referred</v>
      </c>
    </row>
    <row r="717" spans="1:16" x14ac:dyDescent="0.3">
      <c r="A717" t="s">
        <v>1360</v>
      </c>
      <c r="B717" t="s">
        <v>1361</v>
      </c>
      <c r="C717" s="1">
        <v>44436</v>
      </c>
      <c r="D717" t="s">
        <v>37</v>
      </c>
      <c r="E717">
        <v>3</v>
      </c>
      <c r="F717" s="3" t="s">
        <v>10</v>
      </c>
      <c r="G717" s="3" t="s">
        <v>13</v>
      </c>
      <c r="H717" s="3" t="str">
        <f>IF(cf_cl[[#This Row],[satisfaction_score]]&gt;=4,"Happy",IF(cf_cl[[#This Row],[satisfaction_score]]=3,"Neutral","Negative"))</f>
        <v>Neutral</v>
      </c>
      <c r="I717" s="3" t="str">
        <f>IF(cf_cl[[#This Row],[satisfaction_score]]&lt;=2,"Low",IF(cf_cl[[#This Row],[satisfaction_score]]=3,"Medium","High"))</f>
        <v>Medium</v>
      </c>
      <c r="J717">
        <f>YEAR(cf_cl[[#This Row],[date_submitted]])</f>
        <v>2021</v>
      </c>
      <c r="K717" s="3" t="str">
        <f>TEXT(cf_cl[[#This Row],[date_submitted]],"mmm")</f>
        <v>Aug</v>
      </c>
      <c r="L717" s="3" t="str">
        <f t="shared" si="33"/>
        <v>Q3</v>
      </c>
      <c r="M717" s="3" t="str">
        <f t="shared" si="34"/>
        <v>Saturday</v>
      </c>
      <c r="N717" s="3" t="str">
        <f t="shared" si="35"/>
        <v>No</v>
      </c>
      <c r="O717" s="3" t="str">
        <f>IF(COUNTIF($B:$B,B717)=1,"New Customer",
IF(COUNTIF($B:$B,B717)&lt;=3,"Returning Customer","Loyal Customer"))</f>
        <v>New Customer</v>
      </c>
      <c r="P717" s="3" t="str">
        <f>IF(cf_cl[[#This Row],[referred_claim]]="Yes","Referred","Not Referred")</f>
        <v>Not Referred</v>
      </c>
    </row>
    <row r="718" spans="1:16" x14ac:dyDescent="0.3">
      <c r="A718" t="s">
        <v>1362</v>
      </c>
      <c r="B718" t="s">
        <v>1363</v>
      </c>
      <c r="C718" s="1">
        <v>44157</v>
      </c>
      <c r="D718" t="s">
        <v>19</v>
      </c>
      <c r="E718">
        <v>2</v>
      </c>
      <c r="F718" s="3" t="s">
        <v>13</v>
      </c>
      <c r="G718" s="3" t="s">
        <v>13</v>
      </c>
      <c r="H718" s="3" t="str">
        <f>IF(cf_cl[[#This Row],[satisfaction_score]]&gt;=4,"Happy",IF(cf_cl[[#This Row],[satisfaction_score]]=3,"Neutral","Negative"))</f>
        <v>Negative</v>
      </c>
      <c r="I718" s="3" t="str">
        <f>IF(cf_cl[[#This Row],[satisfaction_score]]&lt;=2,"Low",IF(cf_cl[[#This Row],[satisfaction_score]]=3,"Medium","High"))</f>
        <v>Low</v>
      </c>
      <c r="J718">
        <f>YEAR(cf_cl[[#This Row],[date_submitted]])</f>
        <v>2020</v>
      </c>
      <c r="K718" s="3" t="str">
        <f>TEXT(cf_cl[[#This Row],[date_submitted]],"mmm")</f>
        <v>Nov</v>
      </c>
      <c r="L718" s="3" t="str">
        <f t="shared" si="33"/>
        <v>Q4</v>
      </c>
      <c r="M718" s="3" t="str">
        <f t="shared" si="34"/>
        <v>Sunday</v>
      </c>
      <c r="N718" s="3" t="str">
        <f t="shared" si="35"/>
        <v>Yes</v>
      </c>
      <c r="O718" s="3" t="str">
        <f>IF(COUNTIF($B:$B,B718)=1,"New Customer",
IF(COUNTIF($B:$B,B718)&lt;=3,"Returning Customer","Loyal Customer"))</f>
        <v>Returning Customer</v>
      </c>
      <c r="P718" s="3" t="str">
        <f>IF(cf_cl[[#This Row],[referred_claim]]="Yes","Referred","Not Referred")</f>
        <v>Not Referred</v>
      </c>
    </row>
    <row r="719" spans="1:16" x14ac:dyDescent="0.3">
      <c r="A719" t="s">
        <v>1364</v>
      </c>
      <c r="B719" t="s">
        <v>1365</v>
      </c>
      <c r="C719" s="1">
        <v>44209</v>
      </c>
      <c r="D719" t="s">
        <v>9</v>
      </c>
      <c r="E719">
        <v>2</v>
      </c>
      <c r="F719" s="3" t="s">
        <v>13</v>
      </c>
      <c r="G719" s="3" t="s">
        <v>13</v>
      </c>
      <c r="H719" s="3" t="str">
        <f>IF(cf_cl[[#This Row],[satisfaction_score]]&gt;=4,"Happy",IF(cf_cl[[#This Row],[satisfaction_score]]=3,"Neutral","Negative"))</f>
        <v>Negative</v>
      </c>
      <c r="I719" s="3" t="str">
        <f>IF(cf_cl[[#This Row],[satisfaction_score]]&lt;=2,"Low",IF(cf_cl[[#This Row],[satisfaction_score]]=3,"Medium","High"))</f>
        <v>Low</v>
      </c>
      <c r="J719">
        <f>YEAR(cf_cl[[#This Row],[date_submitted]])</f>
        <v>2021</v>
      </c>
      <c r="K719" s="3" t="str">
        <f>TEXT(cf_cl[[#This Row],[date_submitted]],"mmm")</f>
        <v>Jan</v>
      </c>
      <c r="L719" s="3" t="str">
        <f t="shared" si="33"/>
        <v>Q1</v>
      </c>
      <c r="M719" s="3" t="str">
        <f t="shared" si="34"/>
        <v>Wednesday</v>
      </c>
      <c r="N719" s="3" t="str">
        <f t="shared" si="35"/>
        <v>Yes</v>
      </c>
      <c r="O719" s="3" t="str">
        <f>IF(COUNTIF($B:$B,B719)=1,"New Customer",
IF(COUNTIF($B:$B,B719)&lt;=3,"Returning Customer","Loyal Customer"))</f>
        <v>New Customer</v>
      </c>
      <c r="P719" s="3" t="str">
        <f>IF(cf_cl[[#This Row],[referred_claim]]="Yes","Referred","Not Referred")</f>
        <v>Not Referred</v>
      </c>
    </row>
    <row r="720" spans="1:16" x14ac:dyDescent="0.3">
      <c r="A720" t="s">
        <v>1366</v>
      </c>
      <c r="B720" t="s">
        <v>1367</v>
      </c>
      <c r="C720" s="1">
        <v>44555</v>
      </c>
      <c r="D720" t="s">
        <v>19</v>
      </c>
      <c r="E720">
        <v>2</v>
      </c>
      <c r="F720" s="3" t="s">
        <v>10</v>
      </c>
      <c r="G720" s="3" t="s">
        <v>10</v>
      </c>
      <c r="H720" s="3" t="str">
        <f>IF(cf_cl[[#This Row],[satisfaction_score]]&gt;=4,"Happy",IF(cf_cl[[#This Row],[satisfaction_score]]=3,"Neutral","Negative"))</f>
        <v>Negative</v>
      </c>
      <c r="I720" s="3" t="str">
        <f>IF(cf_cl[[#This Row],[satisfaction_score]]&lt;=2,"Low",IF(cf_cl[[#This Row],[satisfaction_score]]=3,"Medium","High"))</f>
        <v>Low</v>
      </c>
      <c r="J720">
        <f>YEAR(cf_cl[[#This Row],[date_submitted]])</f>
        <v>2021</v>
      </c>
      <c r="K720" s="3" t="str">
        <f>TEXT(cf_cl[[#This Row],[date_submitted]],"mmm")</f>
        <v>Dec</v>
      </c>
      <c r="L720" s="3" t="str">
        <f t="shared" si="33"/>
        <v>Q4</v>
      </c>
      <c r="M720" s="3" t="str">
        <f t="shared" si="34"/>
        <v>Saturday</v>
      </c>
      <c r="N720" s="3" t="str">
        <f t="shared" si="35"/>
        <v>Yes</v>
      </c>
      <c r="O720" s="3" t="str">
        <f>IF(COUNTIF($B:$B,B720)=1,"New Customer",
IF(COUNTIF($B:$B,B720)&lt;=3,"Returning Customer","Loyal Customer"))</f>
        <v>New Customer</v>
      </c>
      <c r="P720" s="3" t="str">
        <f>IF(cf_cl[[#This Row],[referred_claim]]="Yes","Referred","Not Referred")</f>
        <v>Referred</v>
      </c>
    </row>
    <row r="721" spans="1:16" x14ac:dyDescent="0.3">
      <c r="A721" t="s">
        <v>1368</v>
      </c>
      <c r="B721" t="s">
        <v>1369</v>
      </c>
      <c r="C721" s="1">
        <v>45183</v>
      </c>
      <c r="D721" t="s">
        <v>9</v>
      </c>
      <c r="E721">
        <v>3</v>
      </c>
      <c r="F721" s="3" t="s">
        <v>13</v>
      </c>
      <c r="G721" s="3" t="s">
        <v>13</v>
      </c>
      <c r="H721" s="3" t="str">
        <f>IF(cf_cl[[#This Row],[satisfaction_score]]&gt;=4,"Happy",IF(cf_cl[[#This Row],[satisfaction_score]]=3,"Neutral","Negative"))</f>
        <v>Neutral</v>
      </c>
      <c r="I721" s="3" t="str">
        <f>IF(cf_cl[[#This Row],[satisfaction_score]]&lt;=2,"Low",IF(cf_cl[[#This Row],[satisfaction_score]]=3,"Medium","High"))</f>
        <v>Medium</v>
      </c>
      <c r="J721">
        <f>YEAR(cf_cl[[#This Row],[date_submitted]])</f>
        <v>2023</v>
      </c>
      <c r="K721" s="3" t="str">
        <f>TEXT(cf_cl[[#This Row],[date_submitted]],"mmm")</f>
        <v>Sep</v>
      </c>
      <c r="L721" s="3" t="str">
        <f t="shared" si="33"/>
        <v>Q3</v>
      </c>
      <c r="M721" s="3" t="str">
        <f t="shared" si="34"/>
        <v>Thursday</v>
      </c>
      <c r="N721" s="3" t="str">
        <f t="shared" si="35"/>
        <v>No</v>
      </c>
      <c r="O721" s="3" t="str">
        <f>IF(COUNTIF($B:$B,B721)=1,"New Customer",
IF(COUNTIF($B:$B,B721)&lt;=3,"Returning Customer","Loyal Customer"))</f>
        <v>New Customer</v>
      </c>
      <c r="P721" s="3" t="str">
        <f>IF(cf_cl[[#This Row],[referred_claim]]="Yes","Referred","Not Referred")</f>
        <v>Not Referred</v>
      </c>
    </row>
    <row r="722" spans="1:16" x14ac:dyDescent="0.3">
      <c r="A722" t="s">
        <v>1370</v>
      </c>
      <c r="B722" t="s">
        <v>262</v>
      </c>
      <c r="C722" s="1">
        <v>45013</v>
      </c>
      <c r="D722" t="s">
        <v>31</v>
      </c>
      <c r="E722">
        <v>1</v>
      </c>
      <c r="F722" s="3" t="s">
        <v>10</v>
      </c>
      <c r="G722" s="3" t="s">
        <v>13</v>
      </c>
      <c r="H722" s="3" t="str">
        <f>IF(cf_cl[[#This Row],[satisfaction_score]]&gt;=4,"Happy",IF(cf_cl[[#This Row],[satisfaction_score]]=3,"Neutral","Negative"))</f>
        <v>Negative</v>
      </c>
      <c r="I722" s="3" t="str">
        <f>IF(cf_cl[[#This Row],[satisfaction_score]]&lt;=2,"Low",IF(cf_cl[[#This Row],[satisfaction_score]]=3,"Medium","High"))</f>
        <v>Low</v>
      </c>
      <c r="J722">
        <f>YEAR(cf_cl[[#This Row],[date_submitted]])</f>
        <v>2023</v>
      </c>
      <c r="K722" s="3" t="str">
        <f>TEXT(cf_cl[[#This Row],[date_submitted]],"mmm")</f>
        <v>Mar</v>
      </c>
      <c r="L722" s="3" t="str">
        <f t="shared" si="33"/>
        <v>Q1</v>
      </c>
      <c r="M722" s="3" t="str">
        <f t="shared" si="34"/>
        <v>Tuesday</v>
      </c>
      <c r="N722" s="3" t="str">
        <f t="shared" si="35"/>
        <v>Yes</v>
      </c>
      <c r="O722" s="3" t="str">
        <f>IF(COUNTIF($B:$B,B722)=1,"New Customer",
IF(COUNTIF($B:$B,B722)&lt;=3,"Returning Customer","Loyal Customer"))</f>
        <v>Returning Customer</v>
      </c>
      <c r="P722" s="3" t="str">
        <f>IF(cf_cl[[#This Row],[referred_claim]]="Yes","Referred","Not Referred")</f>
        <v>Not Referred</v>
      </c>
    </row>
    <row r="723" spans="1:16" x14ac:dyDescent="0.3">
      <c r="A723" t="s">
        <v>1371</v>
      </c>
      <c r="B723" t="s">
        <v>611</v>
      </c>
      <c r="C723" s="1">
        <v>44560</v>
      </c>
      <c r="D723" t="s">
        <v>37</v>
      </c>
      <c r="E723">
        <v>3</v>
      </c>
      <c r="F723" s="3" t="s">
        <v>13</v>
      </c>
      <c r="G723" s="3" t="s">
        <v>10</v>
      </c>
      <c r="H723" s="3" t="str">
        <f>IF(cf_cl[[#This Row],[satisfaction_score]]&gt;=4,"Happy",IF(cf_cl[[#This Row],[satisfaction_score]]=3,"Neutral","Negative"))</f>
        <v>Neutral</v>
      </c>
      <c r="I723" s="3" t="str">
        <f>IF(cf_cl[[#This Row],[satisfaction_score]]&lt;=2,"Low",IF(cf_cl[[#This Row],[satisfaction_score]]=3,"Medium","High"))</f>
        <v>Medium</v>
      </c>
      <c r="J723">
        <f>YEAR(cf_cl[[#This Row],[date_submitted]])</f>
        <v>2021</v>
      </c>
      <c r="K723" s="3" t="str">
        <f>TEXT(cf_cl[[#This Row],[date_submitted]],"mmm")</f>
        <v>Dec</v>
      </c>
      <c r="L723" s="3" t="str">
        <f t="shared" si="33"/>
        <v>Q4</v>
      </c>
      <c r="M723" s="3" t="str">
        <f t="shared" si="34"/>
        <v>Thursday</v>
      </c>
      <c r="N723" s="3" t="str">
        <f t="shared" si="35"/>
        <v>No</v>
      </c>
      <c r="O723" s="3" t="str">
        <f>IF(COUNTIF($B:$B,B723)=1,"New Customer",
IF(COUNTIF($B:$B,B723)&lt;=3,"Returning Customer","Loyal Customer"))</f>
        <v>Returning Customer</v>
      </c>
      <c r="P723" s="3" t="str">
        <f>IF(cf_cl[[#This Row],[referred_claim]]="Yes","Referred","Not Referred")</f>
        <v>Referred</v>
      </c>
    </row>
    <row r="724" spans="1:16" x14ac:dyDescent="0.3">
      <c r="A724" t="s">
        <v>1372</v>
      </c>
      <c r="B724" t="s">
        <v>1373</v>
      </c>
      <c r="C724" s="1">
        <v>43902</v>
      </c>
      <c r="D724" t="s">
        <v>28</v>
      </c>
      <c r="E724">
        <v>5</v>
      </c>
      <c r="F724" s="3" t="s">
        <v>13</v>
      </c>
      <c r="G724" s="3" t="s">
        <v>13</v>
      </c>
      <c r="H724" s="3" t="str">
        <f>IF(cf_cl[[#This Row],[satisfaction_score]]&gt;=4,"Happy",IF(cf_cl[[#This Row],[satisfaction_score]]=3,"Neutral","Negative"))</f>
        <v>Happy</v>
      </c>
      <c r="I724" s="3" t="str">
        <f>IF(cf_cl[[#This Row],[satisfaction_score]]&lt;=2,"Low",IF(cf_cl[[#This Row],[satisfaction_score]]=3,"Medium","High"))</f>
        <v>High</v>
      </c>
      <c r="J724">
        <f>YEAR(cf_cl[[#This Row],[date_submitted]])</f>
        <v>2020</v>
      </c>
      <c r="K724" s="3" t="str">
        <f>TEXT(cf_cl[[#This Row],[date_submitted]],"mmm")</f>
        <v>Mar</v>
      </c>
      <c r="L724" s="3" t="str">
        <f t="shared" si="33"/>
        <v>Q1</v>
      </c>
      <c r="M724" s="3" t="str">
        <f t="shared" si="34"/>
        <v>Thursday</v>
      </c>
      <c r="N724" s="3" t="str">
        <f t="shared" si="35"/>
        <v>No</v>
      </c>
      <c r="O724" s="3" t="str">
        <f>IF(COUNTIF($B:$B,B724)=1,"New Customer",
IF(COUNTIF($B:$B,B724)&lt;=3,"Returning Customer","Loyal Customer"))</f>
        <v>New Customer</v>
      </c>
      <c r="P724" s="3" t="str">
        <f>IF(cf_cl[[#This Row],[referred_claim]]="Yes","Referred","Not Referred")</f>
        <v>Not Referred</v>
      </c>
    </row>
    <row r="725" spans="1:16" x14ac:dyDescent="0.3">
      <c r="A725" t="s">
        <v>1374</v>
      </c>
      <c r="B725" t="s">
        <v>1375</v>
      </c>
      <c r="C725" s="1">
        <v>43980</v>
      </c>
      <c r="D725" t="s">
        <v>37</v>
      </c>
      <c r="E725">
        <v>5</v>
      </c>
      <c r="F725" s="3" t="s">
        <v>10</v>
      </c>
      <c r="G725" s="3" t="s">
        <v>13</v>
      </c>
      <c r="H725" s="3" t="str">
        <f>IF(cf_cl[[#This Row],[satisfaction_score]]&gt;=4,"Happy",IF(cf_cl[[#This Row],[satisfaction_score]]=3,"Neutral","Negative"))</f>
        <v>Happy</v>
      </c>
      <c r="I725" s="3" t="str">
        <f>IF(cf_cl[[#This Row],[satisfaction_score]]&lt;=2,"Low",IF(cf_cl[[#This Row],[satisfaction_score]]=3,"Medium","High"))</f>
        <v>High</v>
      </c>
      <c r="J725">
        <f>YEAR(cf_cl[[#This Row],[date_submitted]])</f>
        <v>2020</v>
      </c>
      <c r="K725" s="3" t="str">
        <f>TEXT(cf_cl[[#This Row],[date_submitted]],"mmm")</f>
        <v>May</v>
      </c>
      <c r="L725" s="3" t="str">
        <f t="shared" si="33"/>
        <v>Q2</v>
      </c>
      <c r="M725" s="3" t="str">
        <f t="shared" si="34"/>
        <v>Friday</v>
      </c>
      <c r="N725" s="3" t="str">
        <f t="shared" si="35"/>
        <v>No</v>
      </c>
      <c r="O725" s="3" t="str">
        <f>IF(COUNTIF($B:$B,B725)=1,"New Customer",
IF(COUNTIF($B:$B,B725)&lt;=3,"Returning Customer","Loyal Customer"))</f>
        <v>New Customer</v>
      </c>
      <c r="P725" s="3" t="str">
        <f>IF(cf_cl[[#This Row],[referred_claim]]="Yes","Referred","Not Referred")</f>
        <v>Not Referred</v>
      </c>
    </row>
    <row r="726" spans="1:16" x14ac:dyDescent="0.3">
      <c r="A726" t="s">
        <v>1376</v>
      </c>
      <c r="B726" t="s">
        <v>1377</v>
      </c>
      <c r="C726" s="1">
        <v>44804</v>
      </c>
      <c r="D726" t="s">
        <v>31</v>
      </c>
      <c r="E726">
        <v>2</v>
      </c>
      <c r="F726" s="3" t="s">
        <v>10</v>
      </c>
      <c r="G726" s="3" t="s">
        <v>13</v>
      </c>
      <c r="H726" s="3" t="str">
        <f>IF(cf_cl[[#This Row],[satisfaction_score]]&gt;=4,"Happy",IF(cf_cl[[#This Row],[satisfaction_score]]=3,"Neutral","Negative"))</f>
        <v>Negative</v>
      </c>
      <c r="I726" s="3" t="str">
        <f>IF(cf_cl[[#This Row],[satisfaction_score]]&lt;=2,"Low",IF(cf_cl[[#This Row],[satisfaction_score]]=3,"Medium","High"))</f>
        <v>Low</v>
      </c>
      <c r="J726">
        <f>YEAR(cf_cl[[#This Row],[date_submitted]])</f>
        <v>2022</v>
      </c>
      <c r="K726" s="3" t="str">
        <f>TEXT(cf_cl[[#This Row],[date_submitted]],"mmm")</f>
        <v>Aug</v>
      </c>
      <c r="L726" s="3" t="str">
        <f t="shared" si="33"/>
        <v>Q3</v>
      </c>
      <c r="M726" s="3" t="str">
        <f t="shared" si="34"/>
        <v>Wednesday</v>
      </c>
      <c r="N726" s="3" t="str">
        <f t="shared" si="35"/>
        <v>Yes</v>
      </c>
      <c r="O726" s="3" t="str">
        <f>IF(COUNTIF($B:$B,B726)=1,"New Customer",
IF(COUNTIF($B:$B,B726)&lt;=3,"Returning Customer","Loyal Customer"))</f>
        <v>New Customer</v>
      </c>
      <c r="P726" s="3" t="str">
        <f>IF(cf_cl[[#This Row],[referred_claim]]="Yes","Referred","Not Referred")</f>
        <v>Not Referred</v>
      </c>
    </row>
    <row r="727" spans="1:16" x14ac:dyDescent="0.3">
      <c r="A727" t="s">
        <v>1378</v>
      </c>
      <c r="B727" t="s">
        <v>1379</v>
      </c>
      <c r="C727" s="1">
        <v>44755</v>
      </c>
      <c r="D727" t="s">
        <v>25</v>
      </c>
      <c r="E727">
        <v>5</v>
      </c>
      <c r="F727" s="3" t="s">
        <v>13</v>
      </c>
      <c r="G727" s="3" t="s">
        <v>13</v>
      </c>
      <c r="H727" s="3" t="str">
        <f>IF(cf_cl[[#This Row],[satisfaction_score]]&gt;=4,"Happy",IF(cf_cl[[#This Row],[satisfaction_score]]=3,"Neutral","Negative"))</f>
        <v>Happy</v>
      </c>
      <c r="I727" s="3" t="str">
        <f>IF(cf_cl[[#This Row],[satisfaction_score]]&lt;=2,"Low",IF(cf_cl[[#This Row],[satisfaction_score]]=3,"Medium","High"))</f>
        <v>High</v>
      </c>
      <c r="J727">
        <f>YEAR(cf_cl[[#This Row],[date_submitted]])</f>
        <v>2022</v>
      </c>
      <c r="K727" s="3" t="str">
        <f>TEXT(cf_cl[[#This Row],[date_submitted]],"mmm")</f>
        <v>Jul</v>
      </c>
      <c r="L727" s="3" t="str">
        <f t="shared" si="33"/>
        <v>Q3</v>
      </c>
      <c r="M727" s="3" t="str">
        <f t="shared" si="34"/>
        <v>Wednesday</v>
      </c>
      <c r="N727" s="3" t="str">
        <f t="shared" si="35"/>
        <v>No</v>
      </c>
      <c r="O727" s="3" t="str">
        <f>IF(COUNTIF($B:$B,B727)=1,"New Customer",
IF(COUNTIF($B:$B,B727)&lt;=3,"Returning Customer","Loyal Customer"))</f>
        <v>New Customer</v>
      </c>
      <c r="P727" s="3" t="str">
        <f>IF(cf_cl[[#This Row],[referred_claim]]="Yes","Referred","Not Referred")</f>
        <v>Not Referred</v>
      </c>
    </row>
    <row r="728" spans="1:16" x14ac:dyDescent="0.3">
      <c r="A728" t="s">
        <v>1380</v>
      </c>
      <c r="B728" t="s">
        <v>1381</v>
      </c>
      <c r="C728" s="1">
        <v>44100</v>
      </c>
      <c r="D728" t="s">
        <v>28</v>
      </c>
      <c r="E728">
        <v>5</v>
      </c>
      <c r="F728" s="3" t="s">
        <v>13</v>
      </c>
      <c r="G728" s="3" t="s">
        <v>10</v>
      </c>
      <c r="H728" s="3" t="str">
        <f>IF(cf_cl[[#This Row],[satisfaction_score]]&gt;=4,"Happy",IF(cf_cl[[#This Row],[satisfaction_score]]=3,"Neutral","Negative"))</f>
        <v>Happy</v>
      </c>
      <c r="I728" s="3" t="str">
        <f>IF(cf_cl[[#This Row],[satisfaction_score]]&lt;=2,"Low",IF(cf_cl[[#This Row],[satisfaction_score]]=3,"Medium","High"))</f>
        <v>High</v>
      </c>
      <c r="J728">
        <f>YEAR(cf_cl[[#This Row],[date_submitted]])</f>
        <v>2020</v>
      </c>
      <c r="K728" s="3" t="str">
        <f>TEXT(cf_cl[[#This Row],[date_submitted]],"mmm")</f>
        <v>Sep</v>
      </c>
      <c r="L728" s="3" t="str">
        <f t="shared" si="33"/>
        <v>Q3</v>
      </c>
      <c r="M728" s="3" t="str">
        <f t="shared" si="34"/>
        <v>Saturday</v>
      </c>
      <c r="N728" s="3" t="str">
        <f t="shared" si="35"/>
        <v>No</v>
      </c>
      <c r="O728" s="3" t="str">
        <f>IF(COUNTIF($B:$B,B728)=1,"New Customer",
IF(COUNTIF($B:$B,B728)&lt;=3,"Returning Customer","Loyal Customer"))</f>
        <v>New Customer</v>
      </c>
      <c r="P728" s="3" t="str">
        <f>IF(cf_cl[[#This Row],[referred_claim]]="Yes","Referred","Not Referred")</f>
        <v>Referred</v>
      </c>
    </row>
    <row r="729" spans="1:16" x14ac:dyDescent="0.3">
      <c r="A729" t="s">
        <v>1382</v>
      </c>
      <c r="B729" t="s">
        <v>405</v>
      </c>
      <c r="C729" s="1">
        <v>44042</v>
      </c>
      <c r="D729" t="s">
        <v>25</v>
      </c>
      <c r="E729">
        <v>5</v>
      </c>
      <c r="F729" s="3" t="s">
        <v>10</v>
      </c>
      <c r="G729" s="3" t="s">
        <v>13</v>
      </c>
      <c r="H729" s="3" t="str">
        <f>IF(cf_cl[[#This Row],[satisfaction_score]]&gt;=4,"Happy",IF(cf_cl[[#This Row],[satisfaction_score]]=3,"Neutral","Negative"))</f>
        <v>Happy</v>
      </c>
      <c r="I729" s="3" t="str">
        <f>IF(cf_cl[[#This Row],[satisfaction_score]]&lt;=2,"Low",IF(cf_cl[[#This Row],[satisfaction_score]]=3,"Medium","High"))</f>
        <v>High</v>
      </c>
      <c r="J729">
        <f>YEAR(cf_cl[[#This Row],[date_submitted]])</f>
        <v>2020</v>
      </c>
      <c r="K729" s="3" t="str">
        <f>TEXT(cf_cl[[#This Row],[date_submitted]],"mmm")</f>
        <v>Jul</v>
      </c>
      <c r="L729" s="3" t="str">
        <f t="shared" si="33"/>
        <v>Q3</v>
      </c>
      <c r="M729" s="3" t="str">
        <f t="shared" si="34"/>
        <v>Thursday</v>
      </c>
      <c r="N729" s="3" t="str">
        <f t="shared" si="35"/>
        <v>No</v>
      </c>
      <c r="O729" s="3" t="str">
        <f>IF(COUNTIF($B:$B,B729)=1,"New Customer",
IF(COUNTIF($B:$B,B729)&lt;=3,"Returning Customer","Loyal Customer"))</f>
        <v>Returning Customer</v>
      </c>
      <c r="P729" s="3" t="str">
        <f>IF(cf_cl[[#This Row],[referred_claim]]="Yes","Referred","Not Referred")</f>
        <v>Not Referred</v>
      </c>
    </row>
    <row r="730" spans="1:16" x14ac:dyDescent="0.3">
      <c r="A730" t="s">
        <v>1383</v>
      </c>
      <c r="B730" t="s">
        <v>1384</v>
      </c>
      <c r="C730" s="1">
        <v>44342</v>
      </c>
      <c r="D730" t="s">
        <v>68</v>
      </c>
      <c r="E730">
        <v>1</v>
      </c>
      <c r="F730" s="3" t="s">
        <v>10</v>
      </c>
      <c r="G730" s="3" t="s">
        <v>13</v>
      </c>
      <c r="H730" s="3" t="str">
        <f>IF(cf_cl[[#This Row],[satisfaction_score]]&gt;=4,"Happy",IF(cf_cl[[#This Row],[satisfaction_score]]=3,"Neutral","Negative"))</f>
        <v>Negative</v>
      </c>
      <c r="I730" s="3" t="str">
        <f>IF(cf_cl[[#This Row],[satisfaction_score]]&lt;=2,"Low",IF(cf_cl[[#This Row],[satisfaction_score]]=3,"Medium","High"))</f>
        <v>Low</v>
      </c>
      <c r="J730">
        <f>YEAR(cf_cl[[#This Row],[date_submitted]])</f>
        <v>2021</v>
      </c>
      <c r="K730" s="3" t="str">
        <f>TEXT(cf_cl[[#This Row],[date_submitted]],"mmm")</f>
        <v>May</v>
      </c>
      <c r="L730" s="3" t="str">
        <f t="shared" si="33"/>
        <v>Q2</v>
      </c>
      <c r="M730" s="3" t="str">
        <f t="shared" si="34"/>
        <v>Wednesday</v>
      </c>
      <c r="N730" s="3" t="str">
        <f t="shared" si="35"/>
        <v>Yes</v>
      </c>
      <c r="O730" s="3" t="str">
        <f>IF(COUNTIF($B:$B,B730)=1,"New Customer",
IF(COUNTIF($B:$B,B730)&lt;=3,"Returning Customer","Loyal Customer"))</f>
        <v>New Customer</v>
      </c>
      <c r="P730" s="3" t="str">
        <f>IF(cf_cl[[#This Row],[referred_claim]]="Yes","Referred","Not Referred")</f>
        <v>Not Referred</v>
      </c>
    </row>
    <row r="731" spans="1:16" x14ac:dyDescent="0.3">
      <c r="A731" t="s">
        <v>1385</v>
      </c>
      <c r="B731" t="s">
        <v>1386</v>
      </c>
      <c r="C731" s="1">
        <v>44545</v>
      </c>
      <c r="D731" t="s">
        <v>9</v>
      </c>
      <c r="E731">
        <v>3</v>
      </c>
      <c r="F731" s="3" t="s">
        <v>10</v>
      </c>
      <c r="G731" s="3" t="s">
        <v>13</v>
      </c>
      <c r="H731" s="3" t="str">
        <f>IF(cf_cl[[#This Row],[satisfaction_score]]&gt;=4,"Happy",IF(cf_cl[[#This Row],[satisfaction_score]]=3,"Neutral","Negative"))</f>
        <v>Neutral</v>
      </c>
      <c r="I731" s="3" t="str">
        <f>IF(cf_cl[[#This Row],[satisfaction_score]]&lt;=2,"Low",IF(cf_cl[[#This Row],[satisfaction_score]]=3,"Medium","High"))</f>
        <v>Medium</v>
      </c>
      <c r="J731">
        <f>YEAR(cf_cl[[#This Row],[date_submitted]])</f>
        <v>2021</v>
      </c>
      <c r="K731" s="3" t="str">
        <f>TEXT(cf_cl[[#This Row],[date_submitted]],"mmm")</f>
        <v>Dec</v>
      </c>
      <c r="L731" s="3" t="str">
        <f t="shared" si="33"/>
        <v>Q4</v>
      </c>
      <c r="M731" s="3" t="str">
        <f t="shared" si="34"/>
        <v>Wednesday</v>
      </c>
      <c r="N731" s="3" t="str">
        <f t="shared" si="35"/>
        <v>No</v>
      </c>
      <c r="O731" s="3" t="str">
        <f>IF(COUNTIF($B:$B,B731)=1,"New Customer",
IF(COUNTIF($B:$B,B731)&lt;=3,"Returning Customer","Loyal Customer"))</f>
        <v>New Customer</v>
      </c>
      <c r="P731" s="3" t="str">
        <f>IF(cf_cl[[#This Row],[referred_claim]]="Yes","Referred","Not Referred")</f>
        <v>Not Referred</v>
      </c>
    </row>
    <row r="732" spans="1:16" x14ac:dyDescent="0.3">
      <c r="A732" t="s">
        <v>1387</v>
      </c>
      <c r="B732" t="s">
        <v>1388</v>
      </c>
      <c r="C732" s="1">
        <v>44856</v>
      </c>
      <c r="D732" t="s">
        <v>37</v>
      </c>
      <c r="E732">
        <v>3</v>
      </c>
      <c r="F732" s="3" t="s">
        <v>10</v>
      </c>
      <c r="G732" s="3" t="s">
        <v>13</v>
      </c>
      <c r="H732" s="3" t="str">
        <f>IF(cf_cl[[#This Row],[satisfaction_score]]&gt;=4,"Happy",IF(cf_cl[[#This Row],[satisfaction_score]]=3,"Neutral","Negative"))</f>
        <v>Neutral</v>
      </c>
      <c r="I732" s="3" t="str">
        <f>IF(cf_cl[[#This Row],[satisfaction_score]]&lt;=2,"Low",IF(cf_cl[[#This Row],[satisfaction_score]]=3,"Medium","High"))</f>
        <v>Medium</v>
      </c>
      <c r="J732">
        <f>YEAR(cf_cl[[#This Row],[date_submitted]])</f>
        <v>2022</v>
      </c>
      <c r="K732" s="3" t="str">
        <f>TEXT(cf_cl[[#This Row],[date_submitted]],"mmm")</f>
        <v>Oct</v>
      </c>
      <c r="L732" s="3" t="str">
        <f t="shared" si="33"/>
        <v>Q4</v>
      </c>
      <c r="M732" s="3" t="str">
        <f t="shared" si="34"/>
        <v>Saturday</v>
      </c>
      <c r="N732" s="3" t="str">
        <f t="shared" si="35"/>
        <v>No</v>
      </c>
      <c r="O732" s="3" t="str">
        <f>IF(COUNTIF($B:$B,B732)=1,"New Customer",
IF(COUNTIF($B:$B,B732)&lt;=3,"Returning Customer","Loyal Customer"))</f>
        <v>New Customer</v>
      </c>
      <c r="P732" s="3" t="str">
        <f>IF(cf_cl[[#This Row],[referred_claim]]="Yes","Referred","Not Referred")</f>
        <v>Not Referred</v>
      </c>
    </row>
    <row r="733" spans="1:16" x14ac:dyDescent="0.3">
      <c r="A733" t="s">
        <v>1389</v>
      </c>
      <c r="B733" t="s">
        <v>1390</v>
      </c>
      <c r="C733" s="1">
        <v>44929</v>
      </c>
      <c r="D733" t="s">
        <v>19</v>
      </c>
      <c r="E733">
        <v>3</v>
      </c>
      <c r="F733" s="3" t="s">
        <v>10</v>
      </c>
      <c r="G733" s="3" t="s">
        <v>10</v>
      </c>
      <c r="H733" s="3" t="str">
        <f>IF(cf_cl[[#This Row],[satisfaction_score]]&gt;=4,"Happy",IF(cf_cl[[#This Row],[satisfaction_score]]=3,"Neutral","Negative"))</f>
        <v>Neutral</v>
      </c>
      <c r="I733" s="3" t="str">
        <f>IF(cf_cl[[#This Row],[satisfaction_score]]&lt;=2,"Low",IF(cf_cl[[#This Row],[satisfaction_score]]=3,"Medium","High"))</f>
        <v>Medium</v>
      </c>
      <c r="J733">
        <f>YEAR(cf_cl[[#This Row],[date_submitted]])</f>
        <v>2023</v>
      </c>
      <c r="K733" s="3" t="str">
        <f>TEXT(cf_cl[[#This Row],[date_submitted]],"mmm")</f>
        <v>Jan</v>
      </c>
      <c r="L733" s="3" t="str">
        <f t="shared" si="33"/>
        <v>Q1</v>
      </c>
      <c r="M733" s="3" t="str">
        <f t="shared" si="34"/>
        <v>Tuesday</v>
      </c>
      <c r="N733" s="3" t="str">
        <f t="shared" si="35"/>
        <v>No</v>
      </c>
      <c r="O733" s="3" t="str">
        <f>IF(COUNTIF($B:$B,B733)=1,"New Customer",
IF(COUNTIF($B:$B,B733)&lt;=3,"Returning Customer","Loyal Customer"))</f>
        <v>Returning Customer</v>
      </c>
      <c r="P733" s="3" t="str">
        <f>IF(cf_cl[[#This Row],[referred_claim]]="Yes","Referred","Not Referred")</f>
        <v>Referred</v>
      </c>
    </row>
    <row r="734" spans="1:16" x14ac:dyDescent="0.3">
      <c r="A734" t="s">
        <v>1391</v>
      </c>
      <c r="B734" t="s">
        <v>1392</v>
      </c>
      <c r="C734" s="1">
        <v>44980</v>
      </c>
      <c r="D734" t="s">
        <v>83</v>
      </c>
      <c r="E734">
        <v>3</v>
      </c>
      <c r="F734" s="3" t="s">
        <v>13</v>
      </c>
      <c r="G734" s="3" t="s">
        <v>10</v>
      </c>
      <c r="H734" s="3" t="str">
        <f>IF(cf_cl[[#This Row],[satisfaction_score]]&gt;=4,"Happy",IF(cf_cl[[#This Row],[satisfaction_score]]=3,"Neutral","Negative"))</f>
        <v>Neutral</v>
      </c>
      <c r="I734" s="3" t="str">
        <f>IF(cf_cl[[#This Row],[satisfaction_score]]&lt;=2,"Low",IF(cf_cl[[#This Row],[satisfaction_score]]=3,"Medium","High"))</f>
        <v>Medium</v>
      </c>
      <c r="J734">
        <f>YEAR(cf_cl[[#This Row],[date_submitted]])</f>
        <v>2023</v>
      </c>
      <c r="K734" s="3" t="str">
        <f>TEXT(cf_cl[[#This Row],[date_submitted]],"mmm")</f>
        <v>Feb</v>
      </c>
      <c r="L734" s="3" t="str">
        <f t="shared" si="33"/>
        <v>Q1</v>
      </c>
      <c r="M734" s="3" t="str">
        <f t="shared" si="34"/>
        <v>Thursday</v>
      </c>
      <c r="N734" s="3" t="str">
        <f t="shared" si="35"/>
        <v>No</v>
      </c>
      <c r="O734" s="3" t="str">
        <f>IF(COUNTIF($B:$B,B734)=1,"New Customer",
IF(COUNTIF($B:$B,B734)&lt;=3,"Returning Customer","Loyal Customer"))</f>
        <v>New Customer</v>
      </c>
      <c r="P734" s="3" t="str">
        <f>IF(cf_cl[[#This Row],[referred_claim]]="Yes","Referred","Not Referred")</f>
        <v>Referred</v>
      </c>
    </row>
    <row r="735" spans="1:16" x14ac:dyDescent="0.3">
      <c r="A735" t="s">
        <v>1393</v>
      </c>
      <c r="B735" t="s">
        <v>1394</v>
      </c>
      <c r="C735" s="1">
        <v>43958</v>
      </c>
      <c r="D735" t="s">
        <v>28</v>
      </c>
      <c r="E735">
        <v>4</v>
      </c>
      <c r="F735" s="3" t="s">
        <v>13</v>
      </c>
      <c r="G735" s="3" t="s">
        <v>10</v>
      </c>
      <c r="H735" s="3" t="str">
        <f>IF(cf_cl[[#This Row],[satisfaction_score]]&gt;=4,"Happy",IF(cf_cl[[#This Row],[satisfaction_score]]=3,"Neutral","Negative"))</f>
        <v>Happy</v>
      </c>
      <c r="I735" s="3" t="str">
        <f>IF(cf_cl[[#This Row],[satisfaction_score]]&lt;=2,"Low",IF(cf_cl[[#This Row],[satisfaction_score]]=3,"Medium","High"))</f>
        <v>High</v>
      </c>
      <c r="J735">
        <f>YEAR(cf_cl[[#This Row],[date_submitted]])</f>
        <v>2020</v>
      </c>
      <c r="K735" s="3" t="str">
        <f>TEXT(cf_cl[[#This Row],[date_submitted]],"mmm")</f>
        <v>May</v>
      </c>
      <c r="L735" s="3" t="str">
        <f t="shared" si="33"/>
        <v>Q2</v>
      </c>
      <c r="M735" s="3" t="str">
        <f t="shared" si="34"/>
        <v>Thursday</v>
      </c>
      <c r="N735" s="3" t="str">
        <f t="shared" si="35"/>
        <v>No</v>
      </c>
      <c r="O735" s="3" t="str">
        <f>IF(COUNTIF($B:$B,B735)=1,"New Customer",
IF(COUNTIF($B:$B,B735)&lt;=3,"Returning Customer","Loyal Customer"))</f>
        <v>New Customer</v>
      </c>
      <c r="P735" s="3" t="str">
        <f>IF(cf_cl[[#This Row],[referred_claim]]="Yes","Referred","Not Referred")</f>
        <v>Referred</v>
      </c>
    </row>
    <row r="736" spans="1:16" x14ac:dyDescent="0.3">
      <c r="A736" t="s">
        <v>1395</v>
      </c>
      <c r="B736" t="s">
        <v>1396</v>
      </c>
      <c r="C736" s="1">
        <v>44501</v>
      </c>
      <c r="D736" t="s">
        <v>16</v>
      </c>
      <c r="E736">
        <v>5</v>
      </c>
      <c r="F736" s="3" t="s">
        <v>13</v>
      </c>
      <c r="G736" s="3" t="s">
        <v>10</v>
      </c>
      <c r="H736" s="3" t="str">
        <f>IF(cf_cl[[#This Row],[satisfaction_score]]&gt;=4,"Happy",IF(cf_cl[[#This Row],[satisfaction_score]]=3,"Neutral","Negative"))</f>
        <v>Happy</v>
      </c>
      <c r="I736" s="3" t="str">
        <f>IF(cf_cl[[#This Row],[satisfaction_score]]&lt;=2,"Low",IF(cf_cl[[#This Row],[satisfaction_score]]=3,"Medium","High"))</f>
        <v>High</v>
      </c>
      <c r="J736">
        <f>YEAR(cf_cl[[#This Row],[date_submitted]])</f>
        <v>2021</v>
      </c>
      <c r="K736" s="3" t="str">
        <f>TEXT(cf_cl[[#This Row],[date_submitted]],"mmm")</f>
        <v>Nov</v>
      </c>
      <c r="L736" s="3" t="str">
        <f t="shared" si="33"/>
        <v>Q4</v>
      </c>
      <c r="M736" s="3" t="str">
        <f t="shared" si="34"/>
        <v>Monday</v>
      </c>
      <c r="N736" s="3" t="str">
        <f t="shared" si="35"/>
        <v>No</v>
      </c>
      <c r="O736" s="3" t="str">
        <f>IF(COUNTIF($B:$B,B736)=1,"New Customer",
IF(COUNTIF($B:$B,B736)&lt;=3,"Returning Customer","Loyal Customer"))</f>
        <v>Returning Customer</v>
      </c>
      <c r="P736" s="3" t="str">
        <f>IF(cf_cl[[#This Row],[referred_claim]]="Yes","Referred","Not Referred")</f>
        <v>Referred</v>
      </c>
    </row>
    <row r="737" spans="1:16" x14ac:dyDescent="0.3">
      <c r="A737" t="s">
        <v>1397</v>
      </c>
      <c r="B737" t="s">
        <v>1398</v>
      </c>
      <c r="C737" s="1">
        <v>44905</v>
      </c>
      <c r="D737" t="s">
        <v>83</v>
      </c>
      <c r="E737">
        <v>2</v>
      </c>
      <c r="F737" s="3" t="s">
        <v>10</v>
      </c>
      <c r="G737" s="3" t="s">
        <v>13</v>
      </c>
      <c r="H737" s="3" t="str">
        <f>IF(cf_cl[[#This Row],[satisfaction_score]]&gt;=4,"Happy",IF(cf_cl[[#This Row],[satisfaction_score]]=3,"Neutral","Negative"))</f>
        <v>Negative</v>
      </c>
      <c r="I737" s="3" t="str">
        <f>IF(cf_cl[[#This Row],[satisfaction_score]]&lt;=2,"Low",IF(cf_cl[[#This Row],[satisfaction_score]]=3,"Medium","High"))</f>
        <v>Low</v>
      </c>
      <c r="J737">
        <f>YEAR(cf_cl[[#This Row],[date_submitted]])</f>
        <v>2022</v>
      </c>
      <c r="K737" s="3" t="str">
        <f>TEXT(cf_cl[[#This Row],[date_submitted]],"mmm")</f>
        <v>Dec</v>
      </c>
      <c r="L737" s="3" t="str">
        <f t="shared" si="33"/>
        <v>Q4</v>
      </c>
      <c r="M737" s="3" t="str">
        <f t="shared" si="34"/>
        <v>Saturday</v>
      </c>
      <c r="N737" s="3" t="str">
        <f t="shared" si="35"/>
        <v>Yes</v>
      </c>
      <c r="O737" s="3" t="str">
        <f>IF(COUNTIF($B:$B,B737)=1,"New Customer",
IF(COUNTIF($B:$B,B737)&lt;=3,"Returning Customer","Loyal Customer"))</f>
        <v>New Customer</v>
      </c>
      <c r="P737" s="3" t="str">
        <f>IF(cf_cl[[#This Row],[referred_claim]]="Yes","Referred","Not Referred")</f>
        <v>Not Referred</v>
      </c>
    </row>
    <row r="738" spans="1:16" x14ac:dyDescent="0.3">
      <c r="A738" t="s">
        <v>1399</v>
      </c>
      <c r="B738" t="s">
        <v>437</v>
      </c>
      <c r="C738" s="1">
        <v>44316</v>
      </c>
      <c r="D738" t="s">
        <v>16</v>
      </c>
      <c r="E738">
        <v>5</v>
      </c>
      <c r="F738" s="3" t="s">
        <v>13</v>
      </c>
      <c r="G738" s="3" t="s">
        <v>13</v>
      </c>
      <c r="H738" s="3" t="str">
        <f>IF(cf_cl[[#This Row],[satisfaction_score]]&gt;=4,"Happy",IF(cf_cl[[#This Row],[satisfaction_score]]=3,"Neutral","Negative"))</f>
        <v>Happy</v>
      </c>
      <c r="I738" s="3" t="str">
        <f>IF(cf_cl[[#This Row],[satisfaction_score]]&lt;=2,"Low",IF(cf_cl[[#This Row],[satisfaction_score]]=3,"Medium","High"))</f>
        <v>High</v>
      </c>
      <c r="J738">
        <f>YEAR(cf_cl[[#This Row],[date_submitted]])</f>
        <v>2021</v>
      </c>
      <c r="K738" s="3" t="str">
        <f>TEXT(cf_cl[[#This Row],[date_submitted]],"mmm")</f>
        <v>Apr</v>
      </c>
      <c r="L738" s="3" t="str">
        <f t="shared" si="33"/>
        <v>Q2</v>
      </c>
      <c r="M738" s="3" t="str">
        <f t="shared" si="34"/>
        <v>Friday</v>
      </c>
      <c r="N738" s="3" t="str">
        <f t="shared" si="35"/>
        <v>No</v>
      </c>
      <c r="O738" s="3" t="str">
        <f>IF(COUNTIF($B:$B,B738)=1,"New Customer",
IF(COUNTIF($B:$B,B738)&lt;=3,"Returning Customer","Loyal Customer"))</f>
        <v>Returning Customer</v>
      </c>
      <c r="P738" s="3" t="str">
        <f>IF(cf_cl[[#This Row],[referred_claim]]="Yes","Referred","Not Referred")</f>
        <v>Not Referred</v>
      </c>
    </row>
    <row r="739" spans="1:16" x14ac:dyDescent="0.3">
      <c r="A739" t="s">
        <v>1400</v>
      </c>
      <c r="B739" t="s">
        <v>1401</v>
      </c>
      <c r="C739" s="1">
        <v>44649</v>
      </c>
      <c r="D739" t="s">
        <v>28</v>
      </c>
      <c r="E739">
        <v>4</v>
      </c>
      <c r="F739" s="3" t="s">
        <v>13</v>
      </c>
      <c r="G739" s="3" t="s">
        <v>10</v>
      </c>
      <c r="H739" s="3" t="str">
        <f>IF(cf_cl[[#This Row],[satisfaction_score]]&gt;=4,"Happy",IF(cf_cl[[#This Row],[satisfaction_score]]=3,"Neutral","Negative"))</f>
        <v>Happy</v>
      </c>
      <c r="I739" s="3" t="str">
        <f>IF(cf_cl[[#This Row],[satisfaction_score]]&lt;=2,"Low",IF(cf_cl[[#This Row],[satisfaction_score]]=3,"Medium","High"))</f>
        <v>High</v>
      </c>
      <c r="J739">
        <f>YEAR(cf_cl[[#This Row],[date_submitted]])</f>
        <v>2022</v>
      </c>
      <c r="K739" s="3" t="str">
        <f>TEXT(cf_cl[[#This Row],[date_submitted]],"mmm")</f>
        <v>Mar</v>
      </c>
      <c r="L739" s="3" t="str">
        <f t="shared" si="33"/>
        <v>Q1</v>
      </c>
      <c r="M739" s="3" t="str">
        <f t="shared" si="34"/>
        <v>Tuesday</v>
      </c>
      <c r="N739" s="3" t="str">
        <f t="shared" si="35"/>
        <v>No</v>
      </c>
      <c r="O739" s="3" t="str">
        <f>IF(COUNTIF($B:$B,B739)=1,"New Customer",
IF(COUNTIF($B:$B,B739)&lt;=3,"Returning Customer","Loyal Customer"))</f>
        <v>Returning Customer</v>
      </c>
      <c r="P739" s="3" t="str">
        <f>IF(cf_cl[[#This Row],[referred_claim]]="Yes","Referred","Not Referred")</f>
        <v>Referred</v>
      </c>
    </row>
    <row r="740" spans="1:16" x14ac:dyDescent="0.3">
      <c r="A740" t="s">
        <v>1402</v>
      </c>
      <c r="B740" t="s">
        <v>965</v>
      </c>
      <c r="C740" s="1">
        <v>45053</v>
      </c>
      <c r="D740" t="s">
        <v>28</v>
      </c>
      <c r="E740">
        <v>4</v>
      </c>
      <c r="F740" s="3" t="s">
        <v>13</v>
      </c>
      <c r="G740" s="3" t="s">
        <v>10</v>
      </c>
      <c r="H740" s="3" t="str">
        <f>IF(cf_cl[[#This Row],[satisfaction_score]]&gt;=4,"Happy",IF(cf_cl[[#This Row],[satisfaction_score]]=3,"Neutral","Negative"))</f>
        <v>Happy</v>
      </c>
      <c r="I740" s="3" t="str">
        <f>IF(cf_cl[[#This Row],[satisfaction_score]]&lt;=2,"Low",IF(cf_cl[[#This Row],[satisfaction_score]]=3,"Medium","High"))</f>
        <v>High</v>
      </c>
      <c r="J740">
        <f>YEAR(cf_cl[[#This Row],[date_submitted]])</f>
        <v>2023</v>
      </c>
      <c r="K740" s="3" t="str">
        <f>TEXT(cf_cl[[#This Row],[date_submitted]],"mmm")</f>
        <v>May</v>
      </c>
      <c r="L740" s="3" t="str">
        <f t="shared" si="33"/>
        <v>Q2</v>
      </c>
      <c r="M740" s="3" t="str">
        <f t="shared" si="34"/>
        <v>Sunday</v>
      </c>
      <c r="N740" s="3" t="str">
        <f t="shared" si="35"/>
        <v>No</v>
      </c>
      <c r="O740" s="3" t="str">
        <f>IF(COUNTIF($B:$B,B740)=1,"New Customer",
IF(COUNTIF($B:$B,B740)&lt;=3,"Returning Customer","Loyal Customer"))</f>
        <v>Returning Customer</v>
      </c>
      <c r="P740" s="3" t="str">
        <f>IF(cf_cl[[#This Row],[referred_claim]]="Yes","Referred","Not Referred")</f>
        <v>Referred</v>
      </c>
    </row>
    <row r="741" spans="1:16" x14ac:dyDescent="0.3">
      <c r="A741" t="s">
        <v>1403</v>
      </c>
      <c r="B741" t="s">
        <v>1404</v>
      </c>
      <c r="C741" s="1">
        <v>44298</v>
      </c>
      <c r="D741" t="s">
        <v>19</v>
      </c>
      <c r="E741">
        <v>2</v>
      </c>
      <c r="F741" s="3" t="s">
        <v>10</v>
      </c>
      <c r="G741" s="3" t="s">
        <v>10</v>
      </c>
      <c r="H741" s="3" t="str">
        <f>IF(cf_cl[[#This Row],[satisfaction_score]]&gt;=4,"Happy",IF(cf_cl[[#This Row],[satisfaction_score]]=3,"Neutral","Negative"))</f>
        <v>Negative</v>
      </c>
      <c r="I741" s="3" t="str">
        <f>IF(cf_cl[[#This Row],[satisfaction_score]]&lt;=2,"Low",IF(cf_cl[[#This Row],[satisfaction_score]]=3,"Medium","High"))</f>
        <v>Low</v>
      </c>
      <c r="J741">
        <f>YEAR(cf_cl[[#This Row],[date_submitted]])</f>
        <v>2021</v>
      </c>
      <c r="K741" s="3" t="str">
        <f>TEXT(cf_cl[[#This Row],[date_submitted]],"mmm")</f>
        <v>Apr</v>
      </c>
      <c r="L741" s="3" t="str">
        <f t="shared" si="33"/>
        <v>Q2</v>
      </c>
      <c r="M741" s="3" t="str">
        <f t="shared" si="34"/>
        <v>Monday</v>
      </c>
      <c r="N741" s="3" t="str">
        <f t="shared" si="35"/>
        <v>Yes</v>
      </c>
      <c r="O741" s="3" t="str">
        <f>IF(COUNTIF($B:$B,B741)=1,"New Customer",
IF(COUNTIF($B:$B,B741)&lt;=3,"Returning Customer","Loyal Customer"))</f>
        <v>New Customer</v>
      </c>
      <c r="P741" s="3" t="str">
        <f>IF(cf_cl[[#This Row],[referred_claim]]="Yes","Referred","Not Referred")</f>
        <v>Referred</v>
      </c>
    </row>
    <row r="742" spans="1:16" x14ac:dyDescent="0.3">
      <c r="A742" t="s">
        <v>1405</v>
      </c>
      <c r="B742" t="s">
        <v>1406</v>
      </c>
      <c r="C742" s="1">
        <v>43993</v>
      </c>
      <c r="D742" t="s">
        <v>16</v>
      </c>
      <c r="E742">
        <v>5</v>
      </c>
      <c r="F742" s="3" t="s">
        <v>13</v>
      </c>
      <c r="G742" s="3" t="s">
        <v>13</v>
      </c>
      <c r="H742" s="3" t="str">
        <f>IF(cf_cl[[#This Row],[satisfaction_score]]&gt;=4,"Happy",IF(cf_cl[[#This Row],[satisfaction_score]]=3,"Neutral","Negative"))</f>
        <v>Happy</v>
      </c>
      <c r="I742" s="3" t="str">
        <f>IF(cf_cl[[#This Row],[satisfaction_score]]&lt;=2,"Low",IF(cf_cl[[#This Row],[satisfaction_score]]=3,"Medium","High"))</f>
        <v>High</v>
      </c>
      <c r="J742">
        <f>YEAR(cf_cl[[#This Row],[date_submitted]])</f>
        <v>2020</v>
      </c>
      <c r="K742" s="3" t="str">
        <f>TEXT(cf_cl[[#This Row],[date_submitted]],"mmm")</f>
        <v>Jun</v>
      </c>
      <c r="L742" s="3" t="str">
        <f t="shared" si="33"/>
        <v>Q2</v>
      </c>
      <c r="M742" s="3" t="str">
        <f t="shared" si="34"/>
        <v>Thursday</v>
      </c>
      <c r="N742" s="3" t="str">
        <f t="shared" si="35"/>
        <v>No</v>
      </c>
      <c r="O742" s="3" t="str">
        <f>IF(COUNTIF($B:$B,B742)=1,"New Customer",
IF(COUNTIF($B:$B,B742)&lt;=3,"Returning Customer","Loyal Customer"))</f>
        <v>New Customer</v>
      </c>
      <c r="P742" s="3" t="str">
        <f>IF(cf_cl[[#This Row],[referred_claim]]="Yes","Referred","Not Referred")</f>
        <v>Not Referred</v>
      </c>
    </row>
    <row r="743" spans="1:16" x14ac:dyDescent="0.3">
      <c r="A743" t="s">
        <v>1407</v>
      </c>
      <c r="B743" t="s">
        <v>1408</v>
      </c>
      <c r="C743" s="1">
        <v>44777</v>
      </c>
      <c r="D743" t="s">
        <v>68</v>
      </c>
      <c r="E743">
        <v>1</v>
      </c>
      <c r="F743" s="3" t="s">
        <v>13</v>
      </c>
      <c r="G743" s="3" t="s">
        <v>13</v>
      </c>
      <c r="H743" s="3" t="str">
        <f>IF(cf_cl[[#This Row],[satisfaction_score]]&gt;=4,"Happy",IF(cf_cl[[#This Row],[satisfaction_score]]=3,"Neutral","Negative"))</f>
        <v>Negative</v>
      </c>
      <c r="I743" s="3" t="str">
        <f>IF(cf_cl[[#This Row],[satisfaction_score]]&lt;=2,"Low",IF(cf_cl[[#This Row],[satisfaction_score]]=3,"Medium","High"))</f>
        <v>Low</v>
      </c>
      <c r="J743">
        <f>YEAR(cf_cl[[#This Row],[date_submitted]])</f>
        <v>2022</v>
      </c>
      <c r="K743" s="3" t="str">
        <f>TEXT(cf_cl[[#This Row],[date_submitted]],"mmm")</f>
        <v>Aug</v>
      </c>
      <c r="L743" s="3" t="str">
        <f t="shared" si="33"/>
        <v>Q3</v>
      </c>
      <c r="M743" s="3" t="str">
        <f t="shared" si="34"/>
        <v>Thursday</v>
      </c>
      <c r="N743" s="3" t="str">
        <f t="shared" si="35"/>
        <v>Yes</v>
      </c>
      <c r="O743" s="3" t="str">
        <f>IF(COUNTIF($B:$B,B743)=1,"New Customer",
IF(COUNTIF($B:$B,B743)&lt;=3,"Returning Customer","Loyal Customer"))</f>
        <v>New Customer</v>
      </c>
      <c r="P743" s="3" t="str">
        <f>IF(cf_cl[[#This Row],[referred_claim]]="Yes","Referred","Not Referred")</f>
        <v>Not Referred</v>
      </c>
    </row>
    <row r="744" spans="1:16" x14ac:dyDescent="0.3">
      <c r="A744" t="s">
        <v>1409</v>
      </c>
      <c r="B744" t="s">
        <v>1410</v>
      </c>
      <c r="C744" s="1">
        <v>44220</v>
      </c>
      <c r="D744" t="s">
        <v>83</v>
      </c>
      <c r="E744">
        <v>1</v>
      </c>
      <c r="F744" s="3" t="s">
        <v>13</v>
      </c>
      <c r="G744" s="3" t="s">
        <v>13</v>
      </c>
      <c r="H744" s="3" t="str">
        <f>IF(cf_cl[[#This Row],[satisfaction_score]]&gt;=4,"Happy",IF(cf_cl[[#This Row],[satisfaction_score]]=3,"Neutral","Negative"))</f>
        <v>Negative</v>
      </c>
      <c r="I744" s="3" t="str">
        <f>IF(cf_cl[[#This Row],[satisfaction_score]]&lt;=2,"Low",IF(cf_cl[[#This Row],[satisfaction_score]]=3,"Medium","High"))</f>
        <v>Low</v>
      </c>
      <c r="J744">
        <f>YEAR(cf_cl[[#This Row],[date_submitted]])</f>
        <v>2021</v>
      </c>
      <c r="K744" s="3" t="str">
        <f>TEXT(cf_cl[[#This Row],[date_submitted]],"mmm")</f>
        <v>Jan</v>
      </c>
      <c r="L744" s="3" t="str">
        <f t="shared" si="33"/>
        <v>Q1</v>
      </c>
      <c r="M744" s="3" t="str">
        <f t="shared" si="34"/>
        <v>Sunday</v>
      </c>
      <c r="N744" s="3" t="str">
        <f t="shared" si="35"/>
        <v>Yes</v>
      </c>
      <c r="O744" s="3" t="str">
        <f>IF(COUNTIF($B:$B,B744)=1,"New Customer",
IF(COUNTIF($B:$B,B744)&lt;=3,"Returning Customer","Loyal Customer"))</f>
        <v>New Customer</v>
      </c>
      <c r="P744" s="3" t="str">
        <f>IF(cf_cl[[#This Row],[referred_claim]]="Yes","Referred","Not Referred")</f>
        <v>Not Referred</v>
      </c>
    </row>
    <row r="745" spans="1:16" x14ac:dyDescent="0.3">
      <c r="A745" t="s">
        <v>1411</v>
      </c>
      <c r="B745" t="s">
        <v>202</v>
      </c>
      <c r="C745" s="1">
        <v>43878</v>
      </c>
      <c r="D745" t="s">
        <v>22</v>
      </c>
      <c r="E745">
        <v>5</v>
      </c>
      <c r="F745" s="3" t="s">
        <v>10</v>
      </c>
      <c r="G745" s="3" t="s">
        <v>10</v>
      </c>
      <c r="H745" s="3" t="str">
        <f>IF(cf_cl[[#This Row],[satisfaction_score]]&gt;=4,"Happy",IF(cf_cl[[#This Row],[satisfaction_score]]=3,"Neutral","Negative"))</f>
        <v>Happy</v>
      </c>
      <c r="I745" s="3" t="str">
        <f>IF(cf_cl[[#This Row],[satisfaction_score]]&lt;=2,"Low",IF(cf_cl[[#This Row],[satisfaction_score]]=3,"Medium","High"))</f>
        <v>High</v>
      </c>
      <c r="J745">
        <f>YEAR(cf_cl[[#This Row],[date_submitted]])</f>
        <v>2020</v>
      </c>
      <c r="K745" s="3" t="str">
        <f>TEXT(cf_cl[[#This Row],[date_submitted]],"mmm")</f>
        <v>Feb</v>
      </c>
      <c r="L745" s="3" t="str">
        <f t="shared" si="33"/>
        <v>Q1</v>
      </c>
      <c r="M745" s="3" t="str">
        <f t="shared" si="34"/>
        <v>Monday</v>
      </c>
      <c r="N745" s="3" t="str">
        <f t="shared" si="35"/>
        <v>No</v>
      </c>
      <c r="O745" s="3" t="str">
        <f>IF(COUNTIF($B:$B,B745)=1,"New Customer",
IF(COUNTIF($B:$B,B745)&lt;=3,"Returning Customer","Loyal Customer"))</f>
        <v>Returning Customer</v>
      </c>
      <c r="P745" s="3" t="str">
        <f>IF(cf_cl[[#This Row],[referred_claim]]="Yes","Referred","Not Referred")</f>
        <v>Referred</v>
      </c>
    </row>
    <row r="746" spans="1:16" x14ac:dyDescent="0.3">
      <c r="A746" t="s">
        <v>1412</v>
      </c>
      <c r="B746" t="s">
        <v>1413</v>
      </c>
      <c r="C746" s="1">
        <v>44069</v>
      </c>
      <c r="D746" t="s">
        <v>9</v>
      </c>
      <c r="E746">
        <v>1</v>
      </c>
      <c r="F746" s="3" t="s">
        <v>10</v>
      </c>
      <c r="G746" s="3" t="s">
        <v>13</v>
      </c>
      <c r="H746" s="3" t="str">
        <f>IF(cf_cl[[#This Row],[satisfaction_score]]&gt;=4,"Happy",IF(cf_cl[[#This Row],[satisfaction_score]]=3,"Neutral","Negative"))</f>
        <v>Negative</v>
      </c>
      <c r="I746" s="3" t="str">
        <f>IF(cf_cl[[#This Row],[satisfaction_score]]&lt;=2,"Low",IF(cf_cl[[#This Row],[satisfaction_score]]=3,"Medium","High"))</f>
        <v>Low</v>
      </c>
      <c r="J746">
        <f>YEAR(cf_cl[[#This Row],[date_submitted]])</f>
        <v>2020</v>
      </c>
      <c r="K746" s="3" t="str">
        <f>TEXT(cf_cl[[#This Row],[date_submitted]],"mmm")</f>
        <v>Aug</v>
      </c>
      <c r="L746" s="3" t="str">
        <f t="shared" si="33"/>
        <v>Q3</v>
      </c>
      <c r="M746" s="3" t="str">
        <f t="shared" si="34"/>
        <v>Wednesday</v>
      </c>
      <c r="N746" s="3" t="str">
        <f t="shared" si="35"/>
        <v>Yes</v>
      </c>
      <c r="O746" s="3" t="str">
        <f>IF(COUNTIF($B:$B,B746)=1,"New Customer",
IF(COUNTIF($B:$B,B746)&lt;=3,"Returning Customer","Loyal Customer"))</f>
        <v>New Customer</v>
      </c>
      <c r="P746" s="3" t="str">
        <f>IF(cf_cl[[#This Row],[referred_claim]]="Yes","Referred","Not Referred")</f>
        <v>Not Referred</v>
      </c>
    </row>
    <row r="747" spans="1:16" x14ac:dyDescent="0.3">
      <c r="A747" t="s">
        <v>1414</v>
      </c>
      <c r="B747" t="s">
        <v>1415</v>
      </c>
      <c r="C747" s="1">
        <v>43969</v>
      </c>
      <c r="D747" t="s">
        <v>37</v>
      </c>
      <c r="E747">
        <v>4</v>
      </c>
      <c r="F747" s="3" t="s">
        <v>13</v>
      </c>
      <c r="G747" s="3" t="s">
        <v>13</v>
      </c>
      <c r="H747" s="3" t="str">
        <f>IF(cf_cl[[#This Row],[satisfaction_score]]&gt;=4,"Happy",IF(cf_cl[[#This Row],[satisfaction_score]]=3,"Neutral","Negative"))</f>
        <v>Happy</v>
      </c>
      <c r="I747" s="3" t="str">
        <f>IF(cf_cl[[#This Row],[satisfaction_score]]&lt;=2,"Low",IF(cf_cl[[#This Row],[satisfaction_score]]=3,"Medium","High"))</f>
        <v>High</v>
      </c>
      <c r="J747">
        <f>YEAR(cf_cl[[#This Row],[date_submitted]])</f>
        <v>2020</v>
      </c>
      <c r="K747" s="3" t="str">
        <f>TEXT(cf_cl[[#This Row],[date_submitted]],"mmm")</f>
        <v>May</v>
      </c>
      <c r="L747" s="3" t="str">
        <f t="shared" si="33"/>
        <v>Q2</v>
      </c>
      <c r="M747" s="3" t="str">
        <f t="shared" si="34"/>
        <v>Monday</v>
      </c>
      <c r="N747" s="3" t="str">
        <f t="shared" si="35"/>
        <v>No</v>
      </c>
      <c r="O747" s="3" t="str">
        <f>IF(COUNTIF($B:$B,B747)=1,"New Customer",
IF(COUNTIF($B:$B,B747)&lt;=3,"Returning Customer","Loyal Customer"))</f>
        <v>New Customer</v>
      </c>
      <c r="P747" s="3" t="str">
        <f>IF(cf_cl[[#This Row],[referred_claim]]="Yes","Referred","Not Referred")</f>
        <v>Not Referred</v>
      </c>
    </row>
    <row r="748" spans="1:16" x14ac:dyDescent="0.3">
      <c r="A748" t="s">
        <v>1416</v>
      </c>
      <c r="B748" t="s">
        <v>1417</v>
      </c>
      <c r="C748" s="1">
        <v>45016</v>
      </c>
      <c r="D748" t="s">
        <v>37</v>
      </c>
      <c r="E748">
        <v>5</v>
      </c>
      <c r="F748" s="3" t="s">
        <v>10</v>
      </c>
      <c r="G748" s="3" t="s">
        <v>10</v>
      </c>
      <c r="H748" s="3" t="str">
        <f>IF(cf_cl[[#This Row],[satisfaction_score]]&gt;=4,"Happy",IF(cf_cl[[#This Row],[satisfaction_score]]=3,"Neutral","Negative"))</f>
        <v>Happy</v>
      </c>
      <c r="I748" s="3" t="str">
        <f>IF(cf_cl[[#This Row],[satisfaction_score]]&lt;=2,"Low",IF(cf_cl[[#This Row],[satisfaction_score]]=3,"Medium","High"))</f>
        <v>High</v>
      </c>
      <c r="J748">
        <f>YEAR(cf_cl[[#This Row],[date_submitted]])</f>
        <v>2023</v>
      </c>
      <c r="K748" s="3" t="str">
        <f>TEXT(cf_cl[[#This Row],[date_submitted]],"mmm")</f>
        <v>Mar</v>
      </c>
      <c r="L748" s="3" t="str">
        <f t="shared" si="33"/>
        <v>Q1</v>
      </c>
      <c r="M748" s="3" t="str">
        <f t="shared" si="34"/>
        <v>Friday</v>
      </c>
      <c r="N748" s="3" t="str">
        <f t="shared" si="35"/>
        <v>No</v>
      </c>
      <c r="O748" s="3" t="str">
        <f>IF(COUNTIF($B:$B,B748)=1,"New Customer",
IF(COUNTIF($B:$B,B748)&lt;=3,"Returning Customer","Loyal Customer"))</f>
        <v>New Customer</v>
      </c>
      <c r="P748" s="3" t="str">
        <f>IF(cf_cl[[#This Row],[referred_claim]]="Yes","Referred","Not Referred")</f>
        <v>Referred</v>
      </c>
    </row>
    <row r="749" spans="1:16" x14ac:dyDescent="0.3">
      <c r="A749" t="s">
        <v>1418</v>
      </c>
      <c r="B749" t="s">
        <v>1419</v>
      </c>
      <c r="C749" s="1">
        <v>44754</v>
      </c>
      <c r="D749" t="s">
        <v>25</v>
      </c>
      <c r="E749">
        <v>4</v>
      </c>
      <c r="F749" s="3" t="s">
        <v>13</v>
      </c>
      <c r="G749" s="3" t="s">
        <v>10</v>
      </c>
      <c r="H749" s="3" t="str">
        <f>IF(cf_cl[[#This Row],[satisfaction_score]]&gt;=4,"Happy",IF(cf_cl[[#This Row],[satisfaction_score]]=3,"Neutral","Negative"))</f>
        <v>Happy</v>
      </c>
      <c r="I749" s="3" t="str">
        <f>IF(cf_cl[[#This Row],[satisfaction_score]]&lt;=2,"Low",IF(cf_cl[[#This Row],[satisfaction_score]]=3,"Medium","High"))</f>
        <v>High</v>
      </c>
      <c r="J749">
        <f>YEAR(cf_cl[[#This Row],[date_submitted]])</f>
        <v>2022</v>
      </c>
      <c r="K749" s="3" t="str">
        <f>TEXT(cf_cl[[#This Row],[date_submitted]],"mmm")</f>
        <v>Jul</v>
      </c>
      <c r="L749" s="3" t="str">
        <f t="shared" si="33"/>
        <v>Q3</v>
      </c>
      <c r="M749" s="3" t="str">
        <f t="shared" si="34"/>
        <v>Tuesday</v>
      </c>
      <c r="N749" s="3" t="str">
        <f t="shared" si="35"/>
        <v>No</v>
      </c>
      <c r="O749" s="3" t="str">
        <f>IF(COUNTIF($B:$B,B749)=1,"New Customer",
IF(COUNTIF($B:$B,B749)&lt;=3,"Returning Customer","Loyal Customer"))</f>
        <v>New Customer</v>
      </c>
      <c r="P749" s="3" t="str">
        <f>IF(cf_cl[[#This Row],[referred_claim]]="Yes","Referred","Not Referred")</f>
        <v>Referred</v>
      </c>
    </row>
    <row r="750" spans="1:16" x14ac:dyDescent="0.3">
      <c r="A750" t="s">
        <v>1420</v>
      </c>
      <c r="B750" t="s">
        <v>1421</v>
      </c>
      <c r="C750" s="1">
        <v>44442</v>
      </c>
      <c r="D750" t="s">
        <v>31</v>
      </c>
      <c r="E750">
        <v>3</v>
      </c>
      <c r="F750" s="3" t="s">
        <v>10</v>
      </c>
      <c r="G750" s="3" t="s">
        <v>10</v>
      </c>
      <c r="H750" s="3" t="str">
        <f>IF(cf_cl[[#This Row],[satisfaction_score]]&gt;=4,"Happy",IF(cf_cl[[#This Row],[satisfaction_score]]=3,"Neutral","Negative"))</f>
        <v>Neutral</v>
      </c>
      <c r="I750" s="3" t="str">
        <f>IF(cf_cl[[#This Row],[satisfaction_score]]&lt;=2,"Low",IF(cf_cl[[#This Row],[satisfaction_score]]=3,"Medium","High"))</f>
        <v>Medium</v>
      </c>
      <c r="J750">
        <f>YEAR(cf_cl[[#This Row],[date_submitted]])</f>
        <v>2021</v>
      </c>
      <c r="K750" s="3" t="str">
        <f>TEXT(cf_cl[[#This Row],[date_submitted]],"mmm")</f>
        <v>Sep</v>
      </c>
      <c r="L750" s="3" t="str">
        <f t="shared" si="33"/>
        <v>Q3</v>
      </c>
      <c r="M750" s="3" t="str">
        <f t="shared" si="34"/>
        <v>Friday</v>
      </c>
      <c r="N750" s="3" t="str">
        <f t="shared" si="35"/>
        <v>No</v>
      </c>
      <c r="O750" s="3" t="str">
        <f>IF(COUNTIF($B:$B,B750)=1,"New Customer",
IF(COUNTIF($B:$B,B750)&lt;=3,"Returning Customer","Loyal Customer"))</f>
        <v>New Customer</v>
      </c>
      <c r="P750" s="3" t="str">
        <f>IF(cf_cl[[#This Row],[referred_claim]]="Yes","Referred","Not Referred")</f>
        <v>Referred</v>
      </c>
    </row>
    <row r="751" spans="1:16" x14ac:dyDescent="0.3">
      <c r="A751" t="s">
        <v>1422</v>
      </c>
      <c r="B751" t="s">
        <v>1423</v>
      </c>
      <c r="C751" s="1">
        <v>44680</v>
      </c>
      <c r="D751" t="s">
        <v>19</v>
      </c>
      <c r="E751">
        <v>2</v>
      </c>
      <c r="F751" s="3" t="s">
        <v>10</v>
      </c>
      <c r="G751" s="3" t="s">
        <v>13</v>
      </c>
      <c r="H751" s="3" t="str">
        <f>IF(cf_cl[[#This Row],[satisfaction_score]]&gt;=4,"Happy",IF(cf_cl[[#This Row],[satisfaction_score]]=3,"Neutral","Negative"))</f>
        <v>Negative</v>
      </c>
      <c r="I751" s="3" t="str">
        <f>IF(cf_cl[[#This Row],[satisfaction_score]]&lt;=2,"Low",IF(cf_cl[[#This Row],[satisfaction_score]]=3,"Medium","High"))</f>
        <v>Low</v>
      </c>
      <c r="J751">
        <f>YEAR(cf_cl[[#This Row],[date_submitted]])</f>
        <v>2022</v>
      </c>
      <c r="K751" s="3" t="str">
        <f>TEXT(cf_cl[[#This Row],[date_submitted]],"mmm")</f>
        <v>Apr</v>
      </c>
      <c r="L751" s="3" t="str">
        <f t="shared" si="33"/>
        <v>Q2</v>
      </c>
      <c r="M751" s="3" t="str">
        <f t="shared" si="34"/>
        <v>Friday</v>
      </c>
      <c r="N751" s="3" t="str">
        <f t="shared" si="35"/>
        <v>Yes</v>
      </c>
      <c r="O751" s="3" t="str">
        <f>IF(COUNTIF($B:$B,B751)=1,"New Customer",
IF(COUNTIF($B:$B,B751)&lt;=3,"Returning Customer","Loyal Customer"))</f>
        <v>New Customer</v>
      </c>
      <c r="P751" s="3" t="str">
        <f>IF(cf_cl[[#This Row],[referred_claim]]="Yes","Referred","Not Referred")</f>
        <v>Not Referred</v>
      </c>
    </row>
    <row r="752" spans="1:16" x14ac:dyDescent="0.3">
      <c r="A752" t="s">
        <v>1424</v>
      </c>
      <c r="B752" t="s">
        <v>1425</v>
      </c>
      <c r="C752" s="1">
        <v>44667</v>
      </c>
      <c r="D752" t="s">
        <v>25</v>
      </c>
      <c r="E752">
        <v>5</v>
      </c>
      <c r="F752" s="3" t="s">
        <v>13</v>
      </c>
      <c r="G752" s="3" t="s">
        <v>13</v>
      </c>
      <c r="H752" s="3" t="str">
        <f>IF(cf_cl[[#This Row],[satisfaction_score]]&gt;=4,"Happy",IF(cf_cl[[#This Row],[satisfaction_score]]=3,"Neutral","Negative"))</f>
        <v>Happy</v>
      </c>
      <c r="I752" s="3" t="str">
        <f>IF(cf_cl[[#This Row],[satisfaction_score]]&lt;=2,"Low",IF(cf_cl[[#This Row],[satisfaction_score]]=3,"Medium","High"))</f>
        <v>High</v>
      </c>
      <c r="J752">
        <f>YEAR(cf_cl[[#This Row],[date_submitted]])</f>
        <v>2022</v>
      </c>
      <c r="K752" s="3" t="str">
        <f>TEXT(cf_cl[[#This Row],[date_submitted]],"mmm")</f>
        <v>Apr</v>
      </c>
      <c r="L752" s="3" t="str">
        <f t="shared" si="33"/>
        <v>Q2</v>
      </c>
      <c r="M752" s="3" t="str">
        <f t="shared" si="34"/>
        <v>Saturday</v>
      </c>
      <c r="N752" s="3" t="str">
        <f t="shared" si="35"/>
        <v>No</v>
      </c>
      <c r="O752" s="3" t="str">
        <f>IF(COUNTIF($B:$B,B752)=1,"New Customer",
IF(COUNTIF($B:$B,B752)&lt;=3,"Returning Customer","Loyal Customer"))</f>
        <v>New Customer</v>
      </c>
      <c r="P752" s="3" t="str">
        <f>IF(cf_cl[[#This Row],[referred_claim]]="Yes","Referred","Not Referred")</f>
        <v>Not Referred</v>
      </c>
    </row>
    <row r="753" spans="1:16" x14ac:dyDescent="0.3">
      <c r="A753" t="s">
        <v>1426</v>
      </c>
      <c r="B753" t="s">
        <v>1427</v>
      </c>
      <c r="C753" s="1">
        <v>43834</v>
      </c>
      <c r="D753" t="s">
        <v>25</v>
      </c>
      <c r="E753">
        <v>5</v>
      </c>
      <c r="F753" s="3" t="s">
        <v>13</v>
      </c>
      <c r="G753" s="3" t="s">
        <v>10</v>
      </c>
      <c r="H753" s="3" t="str">
        <f>IF(cf_cl[[#This Row],[satisfaction_score]]&gt;=4,"Happy",IF(cf_cl[[#This Row],[satisfaction_score]]=3,"Neutral","Negative"))</f>
        <v>Happy</v>
      </c>
      <c r="I753" s="3" t="str">
        <f>IF(cf_cl[[#This Row],[satisfaction_score]]&lt;=2,"Low",IF(cf_cl[[#This Row],[satisfaction_score]]=3,"Medium","High"))</f>
        <v>High</v>
      </c>
      <c r="J753">
        <f>YEAR(cf_cl[[#This Row],[date_submitted]])</f>
        <v>2020</v>
      </c>
      <c r="K753" s="3" t="str">
        <f>TEXT(cf_cl[[#This Row],[date_submitted]],"mmm")</f>
        <v>Jan</v>
      </c>
      <c r="L753" s="3" t="str">
        <f t="shared" si="33"/>
        <v>Q1</v>
      </c>
      <c r="M753" s="3" t="str">
        <f t="shared" si="34"/>
        <v>Saturday</v>
      </c>
      <c r="N753" s="3" t="str">
        <f t="shared" si="35"/>
        <v>No</v>
      </c>
      <c r="O753" s="3" t="str">
        <f>IF(COUNTIF($B:$B,B753)=1,"New Customer",
IF(COUNTIF($B:$B,B753)&lt;=3,"Returning Customer","Loyal Customer"))</f>
        <v>New Customer</v>
      </c>
      <c r="P753" s="3" t="str">
        <f>IF(cf_cl[[#This Row],[referred_claim]]="Yes","Referred","Not Referred")</f>
        <v>Referred</v>
      </c>
    </row>
    <row r="754" spans="1:16" x14ac:dyDescent="0.3">
      <c r="A754" t="s">
        <v>1428</v>
      </c>
      <c r="B754" t="s">
        <v>900</v>
      </c>
      <c r="C754" s="1">
        <v>44588</v>
      </c>
      <c r="D754" t="s">
        <v>68</v>
      </c>
      <c r="E754">
        <v>2</v>
      </c>
      <c r="F754" s="3" t="s">
        <v>10</v>
      </c>
      <c r="G754" s="3" t="s">
        <v>13</v>
      </c>
      <c r="H754" s="3" t="str">
        <f>IF(cf_cl[[#This Row],[satisfaction_score]]&gt;=4,"Happy",IF(cf_cl[[#This Row],[satisfaction_score]]=3,"Neutral","Negative"))</f>
        <v>Negative</v>
      </c>
      <c r="I754" s="3" t="str">
        <f>IF(cf_cl[[#This Row],[satisfaction_score]]&lt;=2,"Low",IF(cf_cl[[#This Row],[satisfaction_score]]=3,"Medium","High"))</f>
        <v>Low</v>
      </c>
      <c r="J754">
        <f>YEAR(cf_cl[[#This Row],[date_submitted]])</f>
        <v>2022</v>
      </c>
      <c r="K754" s="3" t="str">
        <f>TEXT(cf_cl[[#This Row],[date_submitted]],"mmm")</f>
        <v>Jan</v>
      </c>
      <c r="L754" s="3" t="str">
        <f t="shared" si="33"/>
        <v>Q1</v>
      </c>
      <c r="M754" s="3" t="str">
        <f t="shared" si="34"/>
        <v>Thursday</v>
      </c>
      <c r="N754" s="3" t="str">
        <f t="shared" si="35"/>
        <v>Yes</v>
      </c>
      <c r="O754" s="3" t="str">
        <f>IF(COUNTIF($B:$B,B754)=1,"New Customer",
IF(COUNTIF($B:$B,B754)&lt;=3,"Returning Customer","Loyal Customer"))</f>
        <v>Returning Customer</v>
      </c>
      <c r="P754" s="3" t="str">
        <f>IF(cf_cl[[#This Row],[referred_claim]]="Yes","Referred","Not Referred")</f>
        <v>Not Referred</v>
      </c>
    </row>
    <row r="755" spans="1:16" x14ac:dyDescent="0.3">
      <c r="A755" t="s">
        <v>1429</v>
      </c>
      <c r="B755" t="s">
        <v>1430</v>
      </c>
      <c r="C755" s="1">
        <v>45138</v>
      </c>
      <c r="D755" t="s">
        <v>9</v>
      </c>
      <c r="E755">
        <v>2</v>
      </c>
      <c r="F755" s="3" t="s">
        <v>13</v>
      </c>
      <c r="G755" s="3" t="s">
        <v>10</v>
      </c>
      <c r="H755" s="3" t="str">
        <f>IF(cf_cl[[#This Row],[satisfaction_score]]&gt;=4,"Happy",IF(cf_cl[[#This Row],[satisfaction_score]]=3,"Neutral","Negative"))</f>
        <v>Negative</v>
      </c>
      <c r="I755" s="3" t="str">
        <f>IF(cf_cl[[#This Row],[satisfaction_score]]&lt;=2,"Low",IF(cf_cl[[#This Row],[satisfaction_score]]=3,"Medium","High"))</f>
        <v>Low</v>
      </c>
      <c r="J755">
        <f>YEAR(cf_cl[[#This Row],[date_submitted]])</f>
        <v>2023</v>
      </c>
      <c r="K755" s="3" t="str">
        <f>TEXT(cf_cl[[#This Row],[date_submitted]],"mmm")</f>
        <v>Jul</v>
      </c>
      <c r="L755" s="3" t="str">
        <f t="shared" si="33"/>
        <v>Q3</v>
      </c>
      <c r="M755" s="3" t="str">
        <f t="shared" si="34"/>
        <v>Monday</v>
      </c>
      <c r="N755" s="3" t="str">
        <f t="shared" si="35"/>
        <v>Yes</v>
      </c>
      <c r="O755" s="3" t="str">
        <f>IF(COUNTIF($B:$B,B755)=1,"New Customer",
IF(COUNTIF($B:$B,B755)&lt;=3,"Returning Customer","Loyal Customer"))</f>
        <v>New Customer</v>
      </c>
      <c r="P755" s="3" t="str">
        <f>IF(cf_cl[[#This Row],[referred_claim]]="Yes","Referred","Not Referred")</f>
        <v>Referred</v>
      </c>
    </row>
    <row r="756" spans="1:16" x14ac:dyDescent="0.3">
      <c r="A756" t="s">
        <v>1431</v>
      </c>
      <c r="B756" t="s">
        <v>1432</v>
      </c>
      <c r="C756" s="1">
        <v>43853</v>
      </c>
      <c r="D756" t="s">
        <v>83</v>
      </c>
      <c r="E756">
        <v>3</v>
      </c>
      <c r="F756" s="3" t="s">
        <v>13</v>
      </c>
      <c r="G756" s="3" t="s">
        <v>10</v>
      </c>
      <c r="H756" s="3" t="str">
        <f>IF(cf_cl[[#This Row],[satisfaction_score]]&gt;=4,"Happy",IF(cf_cl[[#This Row],[satisfaction_score]]=3,"Neutral","Negative"))</f>
        <v>Neutral</v>
      </c>
      <c r="I756" s="3" t="str">
        <f>IF(cf_cl[[#This Row],[satisfaction_score]]&lt;=2,"Low",IF(cf_cl[[#This Row],[satisfaction_score]]=3,"Medium","High"))</f>
        <v>Medium</v>
      </c>
      <c r="J756">
        <f>YEAR(cf_cl[[#This Row],[date_submitted]])</f>
        <v>2020</v>
      </c>
      <c r="K756" s="3" t="str">
        <f>TEXT(cf_cl[[#This Row],[date_submitted]],"mmm")</f>
        <v>Jan</v>
      </c>
      <c r="L756" s="3" t="str">
        <f t="shared" si="33"/>
        <v>Q1</v>
      </c>
      <c r="M756" s="3" t="str">
        <f t="shared" si="34"/>
        <v>Thursday</v>
      </c>
      <c r="N756" s="3" t="str">
        <f t="shared" si="35"/>
        <v>No</v>
      </c>
      <c r="O756" s="3" t="str">
        <f>IF(COUNTIF($B:$B,B756)=1,"New Customer",
IF(COUNTIF($B:$B,B756)&lt;=3,"Returning Customer","Loyal Customer"))</f>
        <v>New Customer</v>
      </c>
      <c r="P756" s="3" t="str">
        <f>IF(cf_cl[[#This Row],[referred_claim]]="Yes","Referred","Not Referred")</f>
        <v>Referred</v>
      </c>
    </row>
    <row r="757" spans="1:16" x14ac:dyDescent="0.3">
      <c r="A757" t="s">
        <v>1433</v>
      </c>
      <c r="B757" t="s">
        <v>1434</v>
      </c>
      <c r="C757" s="1">
        <v>44186</v>
      </c>
      <c r="D757" t="s">
        <v>19</v>
      </c>
      <c r="E757">
        <v>2</v>
      </c>
      <c r="F757" s="3" t="s">
        <v>13</v>
      </c>
      <c r="G757" s="3" t="s">
        <v>10</v>
      </c>
      <c r="H757" s="3" t="str">
        <f>IF(cf_cl[[#This Row],[satisfaction_score]]&gt;=4,"Happy",IF(cf_cl[[#This Row],[satisfaction_score]]=3,"Neutral","Negative"))</f>
        <v>Negative</v>
      </c>
      <c r="I757" s="3" t="str">
        <f>IF(cf_cl[[#This Row],[satisfaction_score]]&lt;=2,"Low",IF(cf_cl[[#This Row],[satisfaction_score]]=3,"Medium","High"))</f>
        <v>Low</v>
      </c>
      <c r="J757">
        <f>YEAR(cf_cl[[#This Row],[date_submitted]])</f>
        <v>2020</v>
      </c>
      <c r="K757" s="3" t="str">
        <f>TEXT(cf_cl[[#This Row],[date_submitted]],"mmm")</f>
        <v>Dec</v>
      </c>
      <c r="L757" s="3" t="str">
        <f t="shared" si="33"/>
        <v>Q4</v>
      </c>
      <c r="M757" s="3" t="str">
        <f t="shared" si="34"/>
        <v>Monday</v>
      </c>
      <c r="N757" s="3" t="str">
        <f t="shared" si="35"/>
        <v>Yes</v>
      </c>
      <c r="O757" s="3" t="str">
        <f>IF(COUNTIF($B:$B,B757)=1,"New Customer",
IF(COUNTIF($B:$B,B757)&lt;=3,"Returning Customer","Loyal Customer"))</f>
        <v>New Customer</v>
      </c>
      <c r="P757" s="3" t="str">
        <f>IF(cf_cl[[#This Row],[referred_claim]]="Yes","Referred","Not Referred")</f>
        <v>Referred</v>
      </c>
    </row>
    <row r="758" spans="1:16" x14ac:dyDescent="0.3">
      <c r="A758" t="s">
        <v>1435</v>
      </c>
      <c r="B758" t="s">
        <v>1436</v>
      </c>
      <c r="C758" s="1">
        <v>44846</v>
      </c>
      <c r="D758" t="s">
        <v>28</v>
      </c>
      <c r="E758">
        <v>4</v>
      </c>
      <c r="F758" s="3" t="s">
        <v>13</v>
      </c>
      <c r="G758" s="3" t="s">
        <v>10</v>
      </c>
      <c r="H758" s="3" t="str">
        <f>IF(cf_cl[[#This Row],[satisfaction_score]]&gt;=4,"Happy",IF(cf_cl[[#This Row],[satisfaction_score]]=3,"Neutral","Negative"))</f>
        <v>Happy</v>
      </c>
      <c r="I758" s="3" t="str">
        <f>IF(cf_cl[[#This Row],[satisfaction_score]]&lt;=2,"Low",IF(cf_cl[[#This Row],[satisfaction_score]]=3,"Medium","High"))</f>
        <v>High</v>
      </c>
      <c r="J758">
        <f>YEAR(cf_cl[[#This Row],[date_submitted]])</f>
        <v>2022</v>
      </c>
      <c r="K758" s="3" t="str">
        <f>TEXT(cf_cl[[#This Row],[date_submitted]],"mmm")</f>
        <v>Oct</v>
      </c>
      <c r="L758" s="3" t="str">
        <f t="shared" si="33"/>
        <v>Q4</v>
      </c>
      <c r="M758" s="3" t="str">
        <f t="shared" si="34"/>
        <v>Wednesday</v>
      </c>
      <c r="N758" s="3" t="str">
        <f t="shared" si="35"/>
        <v>No</v>
      </c>
      <c r="O758" s="3" t="str">
        <f>IF(COUNTIF($B:$B,B758)=1,"New Customer",
IF(COUNTIF($B:$B,B758)&lt;=3,"Returning Customer","Loyal Customer"))</f>
        <v>New Customer</v>
      </c>
      <c r="P758" s="3" t="str">
        <f>IF(cf_cl[[#This Row],[referred_claim]]="Yes","Referred","Not Referred")</f>
        <v>Referred</v>
      </c>
    </row>
    <row r="759" spans="1:16" x14ac:dyDescent="0.3">
      <c r="A759" t="s">
        <v>1437</v>
      </c>
      <c r="B759" t="s">
        <v>1438</v>
      </c>
      <c r="C759" s="1">
        <v>44998</v>
      </c>
      <c r="D759" t="s">
        <v>9</v>
      </c>
      <c r="E759">
        <v>2</v>
      </c>
      <c r="F759" s="3" t="s">
        <v>13</v>
      </c>
      <c r="G759" s="3" t="s">
        <v>10</v>
      </c>
      <c r="H759" s="3" t="str">
        <f>IF(cf_cl[[#This Row],[satisfaction_score]]&gt;=4,"Happy",IF(cf_cl[[#This Row],[satisfaction_score]]=3,"Neutral","Negative"))</f>
        <v>Negative</v>
      </c>
      <c r="I759" s="3" t="str">
        <f>IF(cf_cl[[#This Row],[satisfaction_score]]&lt;=2,"Low",IF(cf_cl[[#This Row],[satisfaction_score]]=3,"Medium","High"))</f>
        <v>Low</v>
      </c>
      <c r="J759">
        <f>YEAR(cf_cl[[#This Row],[date_submitted]])</f>
        <v>2023</v>
      </c>
      <c r="K759" s="3" t="str">
        <f>TEXT(cf_cl[[#This Row],[date_submitted]],"mmm")</f>
        <v>Mar</v>
      </c>
      <c r="L759" s="3" t="str">
        <f t="shared" si="33"/>
        <v>Q1</v>
      </c>
      <c r="M759" s="3" t="str">
        <f t="shared" si="34"/>
        <v>Monday</v>
      </c>
      <c r="N759" s="3" t="str">
        <f t="shared" si="35"/>
        <v>Yes</v>
      </c>
      <c r="O759" s="3" t="str">
        <f>IF(COUNTIF($B:$B,B759)=1,"New Customer",
IF(COUNTIF($B:$B,B759)&lt;=3,"Returning Customer","Loyal Customer"))</f>
        <v>Returning Customer</v>
      </c>
      <c r="P759" s="3" t="str">
        <f>IF(cf_cl[[#This Row],[referred_claim]]="Yes","Referred","Not Referred")</f>
        <v>Referred</v>
      </c>
    </row>
    <row r="760" spans="1:16" x14ac:dyDescent="0.3">
      <c r="A760" t="s">
        <v>1439</v>
      </c>
      <c r="B760" t="s">
        <v>1239</v>
      </c>
      <c r="C760" s="1">
        <v>44504</v>
      </c>
      <c r="D760" t="s">
        <v>25</v>
      </c>
      <c r="E760">
        <v>4</v>
      </c>
      <c r="F760" s="3" t="s">
        <v>10</v>
      </c>
      <c r="G760" s="3" t="s">
        <v>10</v>
      </c>
      <c r="H760" s="3" t="str">
        <f>IF(cf_cl[[#This Row],[satisfaction_score]]&gt;=4,"Happy",IF(cf_cl[[#This Row],[satisfaction_score]]=3,"Neutral","Negative"))</f>
        <v>Happy</v>
      </c>
      <c r="I760" s="3" t="str">
        <f>IF(cf_cl[[#This Row],[satisfaction_score]]&lt;=2,"Low",IF(cf_cl[[#This Row],[satisfaction_score]]=3,"Medium","High"))</f>
        <v>High</v>
      </c>
      <c r="J760">
        <f>YEAR(cf_cl[[#This Row],[date_submitted]])</f>
        <v>2021</v>
      </c>
      <c r="K760" s="3" t="str">
        <f>TEXT(cf_cl[[#This Row],[date_submitted]],"mmm")</f>
        <v>Nov</v>
      </c>
      <c r="L760" s="3" t="str">
        <f t="shared" si="33"/>
        <v>Q4</v>
      </c>
      <c r="M760" s="3" t="str">
        <f t="shared" si="34"/>
        <v>Thursday</v>
      </c>
      <c r="N760" s="3" t="str">
        <f t="shared" si="35"/>
        <v>No</v>
      </c>
      <c r="O760" s="3" t="str">
        <f>IF(COUNTIF($B:$B,B760)=1,"New Customer",
IF(COUNTIF($B:$B,B760)&lt;=3,"Returning Customer","Loyal Customer"))</f>
        <v>Returning Customer</v>
      </c>
      <c r="P760" s="3" t="str">
        <f>IF(cf_cl[[#This Row],[referred_claim]]="Yes","Referred","Not Referred")</f>
        <v>Referred</v>
      </c>
    </row>
    <row r="761" spans="1:16" x14ac:dyDescent="0.3">
      <c r="A761" t="s">
        <v>1440</v>
      </c>
      <c r="B761" t="s">
        <v>580</v>
      </c>
      <c r="C761" s="1">
        <v>45213</v>
      </c>
      <c r="D761" t="s">
        <v>25</v>
      </c>
      <c r="E761">
        <v>4</v>
      </c>
      <c r="F761" s="3" t="s">
        <v>10</v>
      </c>
      <c r="G761" s="3" t="s">
        <v>13</v>
      </c>
      <c r="H761" s="3" t="str">
        <f>IF(cf_cl[[#This Row],[satisfaction_score]]&gt;=4,"Happy",IF(cf_cl[[#This Row],[satisfaction_score]]=3,"Neutral","Negative"))</f>
        <v>Happy</v>
      </c>
      <c r="I761" s="3" t="str">
        <f>IF(cf_cl[[#This Row],[satisfaction_score]]&lt;=2,"Low",IF(cf_cl[[#This Row],[satisfaction_score]]=3,"Medium","High"))</f>
        <v>High</v>
      </c>
      <c r="J761">
        <f>YEAR(cf_cl[[#This Row],[date_submitted]])</f>
        <v>2023</v>
      </c>
      <c r="K761" s="3" t="str">
        <f>TEXT(cf_cl[[#This Row],[date_submitted]],"mmm")</f>
        <v>Oct</v>
      </c>
      <c r="L761" s="3" t="str">
        <f t="shared" si="33"/>
        <v>Q4</v>
      </c>
      <c r="M761" s="3" t="str">
        <f t="shared" si="34"/>
        <v>Saturday</v>
      </c>
      <c r="N761" s="3" t="str">
        <f t="shared" si="35"/>
        <v>No</v>
      </c>
      <c r="O761" s="3" t="str">
        <f>IF(COUNTIF($B:$B,B761)=1,"New Customer",
IF(COUNTIF($B:$B,B761)&lt;=3,"Returning Customer","Loyal Customer"))</f>
        <v>Returning Customer</v>
      </c>
      <c r="P761" s="3" t="str">
        <f>IF(cf_cl[[#This Row],[referred_claim]]="Yes","Referred","Not Referred")</f>
        <v>Not Referred</v>
      </c>
    </row>
    <row r="762" spans="1:16" x14ac:dyDescent="0.3">
      <c r="A762" t="s">
        <v>1441</v>
      </c>
      <c r="B762" t="s">
        <v>1442</v>
      </c>
      <c r="C762" s="1">
        <v>44408</v>
      </c>
      <c r="D762" t="s">
        <v>22</v>
      </c>
      <c r="E762">
        <v>5</v>
      </c>
      <c r="F762" s="3" t="s">
        <v>13</v>
      </c>
      <c r="G762" s="3" t="s">
        <v>10</v>
      </c>
      <c r="H762" s="3" t="str">
        <f>IF(cf_cl[[#This Row],[satisfaction_score]]&gt;=4,"Happy",IF(cf_cl[[#This Row],[satisfaction_score]]=3,"Neutral","Negative"))</f>
        <v>Happy</v>
      </c>
      <c r="I762" s="3" t="str">
        <f>IF(cf_cl[[#This Row],[satisfaction_score]]&lt;=2,"Low",IF(cf_cl[[#This Row],[satisfaction_score]]=3,"Medium","High"))</f>
        <v>High</v>
      </c>
      <c r="J762">
        <f>YEAR(cf_cl[[#This Row],[date_submitted]])</f>
        <v>2021</v>
      </c>
      <c r="K762" s="3" t="str">
        <f>TEXT(cf_cl[[#This Row],[date_submitted]],"mmm")</f>
        <v>Jul</v>
      </c>
      <c r="L762" s="3" t="str">
        <f t="shared" si="33"/>
        <v>Q3</v>
      </c>
      <c r="M762" s="3" t="str">
        <f t="shared" si="34"/>
        <v>Saturday</v>
      </c>
      <c r="N762" s="3" t="str">
        <f t="shared" si="35"/>
        <v>No</v>
      </c>
      <c r="O762" s="3" t="str">
        <f>IF(COUNTIF($B:$B,B762)=1,"New Customer",
IF(COUNTIF($B:$B,B762)&lt;=3,"Returning Customer","Loyal Customer"))</f>
        <v>New Customer</v>
      </c>
      <c r="P762" s="3" t="str">
        <f>IF(cf_cl[[#This Row],[referred_claim]]="Yes","Referred","Not Referred")</f>
        <v>Referred</v>
      </c>
    </row>
    <row r="763" spans="1:16" x14ac:dyDescent="0.3">
      <c r="A763" t="s">
        <v>1443</v>
      </c>
      <c r="B763" t="s">
        <v>1444</v>
      </c>
      <c r="C763" s="1">
        <v>44481</v>
      </c>
      <c r="D763" t="s">
        <v>16</v>
      </c>
      <c r="E763">
        <v>5</v>
      </c>
      <c r="F763" s="3" t="s">
        <v>10</v>
      </c>
      <c r="G763" s="3" t="s">
        <v>10</v>
      </c>
      <c r="H763" s="3" t="str">
        <f>IF(cf_cl[[#This Row],[satisfaction_score]]&gt;=4,"Happy",IF(cf_cl[[#This Row],[satisfaction_score]]=3,"Neutral","Negative"))</f>
        <v>Happy</v>
      </c>
      <c r="I763" s="3" t="str">
        <f>IF(cf_cl[[#This Row],[satisfaction_score]]&lt;=2,"Low",IF(cf_cl[[#This Row],[satisfaction_score]]=3,"Medium","High"))</f>
        <v>High</v>
      </c>
      <c r="J763">
        <f>YEAR(cf_cl[[#This Row],[date_submitted]])</f>
        <v>2021</v>
      </c>
      <c r="K763" s="3" t="str">
        <f>TEXT(cf_cl[[#This Row],[date_submitted]],"mmm")</f>
        <v>Oct</v>
      </c>
      <c r="L763" s="3" t="str">
        <f t="shared" si="33"/>
        <v>Q4</v>
      </c>
      <c r="M763" s="3" t="str">
        <f t="shared" si="34"/>
        <v>Tuesday</v>
      </c>
      <c r="N763" s="3" t="str">
        <f t="shared" si="35"/>
        <v>No</v>
      </c>
      <c r="O763" s="3" t="str">
        <f>IF(COUNTIF($B:$B,B763)=1,"New Customer",
IF(COUNTIF($B:$B,B763)&lt;=3,"Returning Customer","Loyal Customer"))</f>
        <v>New Customer</v>
      </c>
      <c r="P763" s="3" t="str">
        <f>IF(cf_cl[[#This Row],[referred_claim]]="Yes","Referred","Not Referred")</f>
        <v>Referred</v>
      </c>
    </row>
    <row r="764" spans="1:16" x14ac:dyDescent="0.3">
      <c r="A764" t="s">
        <v>1445</v>
      </c>
      <c r="B764" t="s">
        <v>1348</v>
      </c>
      <c r="C764" s="1">
        <v>44339</v>
      </c>
      <c r="D764" t="s">
        <v>9</v>
      </c>
      <c r="E764">
        <v>1</v>
      </c>
      <c r="F764" s="3" t="s">
        <v>13</v>
      </c>
      <c r="G764" s="3" t="s">
        <v>13</v>
      </c>
      <c r="H764" s="3" t="str">
        <f>IF(cf_cl[[#This Row],[satisfaction_score]]&gt;=4,"Happy",IF(cf_cl[[#This Row],[satisfaction_score]]=3,"Neutral","Negative"))</f>
        <v>Negative</v>
      </c>
      <c r="I764" s="3" t="str">
        <f>IF(cf_cl[[#This Row],[satisfaction_score]]&lt;=2,"Low",IF(cf_cl[[#This Row],[satisfaction_score]]=3,"Medium","High"))</f>
        <v>Low</v>
      </c>
      <c r="J764">
        <f>YEAR(cf_cl[[#This Row],[date_submitted]])</f>
        <v>2021</v>
      </c>
      <c r="K764" s="3" t="str">
        <f>TEXT(cf_cl[[#This Row],[date_submitted]],"mmm")</f>
        <v>May</v>
      </c>
      <c r="L764" s="3" t="str">
        <f t="shared" si="33"/>
        <v>Q2</v>
      </c>
      <c r="M764" s="3" t="str">
        <f t="shared" si="34"/>
        <v>Sunday</v>
      </c>
      <c r="N764" s="3" t="str">
        <f t="shared" si="35"/>
        <v>Yes</v>
      </c>
      <c r="O764" s="3" t="str">
        <f>IF(COUNTIF($B:$B,B764)=1,"New Customer",
IF(COUNTIF($B:$B,B764)&lt;=3,"Returning Customer","Loyal Customer"))</f>
        <v>Returning Customer</v>
      </c>
      <c r="P764" s="3" t="str">
        <f>IF(cf_cl[[#This Row],[referred_claim]]="Yes","Referred","Not Referred")</f>
        <v>Not Referred</v>
      </c>
    </row>
    <row r="765" spans="1:16" x14ac:dyDescent="0.3">
      <c r="A765" t="s">
        <v>1446</v>
      </c>
      <c r="B765" t="s">
        <v>1447</v>
      </c>
      <c r="C765" s="1">
        <v>44077</v>
      </c>
      <c r="D765" t="s">
        <v>16</v>
      </c>
      <c r="E765">
        <v>5</v>
      </c>
      <c r="F765" s="3" t="s">
        <v>13</v>
      </c>
      <c r="G765" s="3" t="s">
        <v>13</v>
      </c>
      <c r="H765" s="3" t="str">
        <f>IF(cf_cl[[#This Row],[satisfaction_score]]&gt;=4,"Happy",IF(cf_cl[[#This Row],[satisfaction_score]]=3,"Neutral","Negative"))</f>
        <v>Happy</v>
      </c>
      <c r="I765" s="3" t="str">
        <f>IF(cf_cl[[#This Row],[satisfaction_score]]&lt;=2,"Low",IF(cf_cl[[#This Row],[satisfaction_score]]=3,"Medium","High"))</f>
        <v>High</v>
      </c>
      <c r="J765">
        <f>YEAR(cf_cl[[#This Row],[date_submitted]])</f>
        <v>2020</v>
      </c>
      <c r="K765" s="3" t="str">
        <f>TEXT(cf_cl[[#This Row],[date_submitted]],"mmm")</f>
        <v>Sep</v>
      </c>
      <c r="L765" s="3" t="str">
        <f t="shared" si="33"/>
        <v>Q3</v>
      </c>
      <c r="M765" s="3" t="str">
        <f t="shared" si="34"/>
        <v>Thursday</v>
      </c>
      <c r="N765" s="3" t="str">
        <f t="shared" si="35"/>
        <v>No</v>
      </c>
      <c r="O765" s="3" t="str">
        <f>IF(COUNTIF($B:$B,B765)=1,"New Customer",
IF(COUNTIF($B:$B,B765)&lt;=3,"Returning Customer","Loyal Customer"))</f>
        <v>New Customer</v>
      </c>
      <c r="P765" s="3" t="str">
        <f>IF(cf_cl[[#This Row],[referred_claim]]="Yes","Referred","Not Referred")</f>
        <v>Not Referred</v>
      </c>
    </row>
    <row r="766" spans="1:16" x14ac:dyDescent="0.3">
      <c r="A766" t="s">
        <v>1448</v>
      </c>
      <c r="B766" t="s">
        <v>1449</v>
      </c>
      <c r="C766" s="1">
        <v>44277</v>
      </c>
      <c r="D766" t="s">
        <v>31</v>
      </c>
      <c r="E766">
        <v>1</v>
      </c>
      <c r="F766" s="3" t="s">
        <v>13</v>
      </c>
      <c r="G766" s="3" t="s">
        <v>10</v>
      </c>
      <c r="H766" s="3" t="str">
        <f>IF(cf_cl[[#This Row],[satisfaction_score]]&gt;=4,"Happy",IF(cf_cl[[#This Row],[satisfaction_score]]=3,"Neutral","Negative"))</f>
        <v>Negative</v>
      </c>
      <c r="I766" s="3" t="str">
        <f>IF(cf_cl[[#This Row],[satisfaction_score]]&lt;=2,"Low",IF(cf_cl[[#This Row],[satisfaction_score]]=3,"Medium","High"))</f>
        <v>Low</v>
      </c>
      <c r="J766">
        <f>YEAR(cf_cl[[#This Row],[date_submitted]])</f>
        <v>2021</v>
      </c>
      <c r="K766" s="3" t="str">
        <f>TEXT(cf_cl[[#This Row],[date_submitted]],"mmm")</f>
        <v>Mar</v>
      </c>
      <c r="L766" s="3" t="str">
        <f t="shared" si="33"/>
        <v>Q1</v>
      </c>
      <c r="M766" s="3" t="str">
        <f t="shared" si="34"/>
        <v>Monday</v>
      </c>
      <c r="N766" s="3" t="str">
        <f t="shared" si="35"/>
        <v>Yes</v>
      </c>
      <c r="O766" s="3" t="str">
        <f>IF(COUNTIF($B:$B,B766)=1,"New Customer",
IF(COUNTIF($B:$B,B766)&lt;=3,"Returning Customer","Loyal Customer"))</f>
        <v>New Customer</v>
      </c>
      <c r="P766" s="3" t="str">
        <f>IF(cf_cl[[#This Row],[referred_claim]]="Yes","Referred","Not Referred")</f>
        <v>Referred</v>
      </c>
    </row>
    <row r="767" spans="1:16" x14ac:dyDescent="0.3">
      <c r="A767" t="s">
        <v>1450</v>
      </c>
      <c r="B767" t="s">
        <v>1451</v>
      </c>
      <c r="C767" s="1">
        <v>45280</v>
      </c>
      <c r="D767" t="s">
        <v>31</v>
      </c>
      <c r="E767">
        <v>3</v>
      </c>
      <c r="F767" s="3" t="s">
        <v>10</v>
      </c>
      <c r="G767" s="3" t="s">
        <v>10</v>
      </c>
      <c r="H767" s="3" t="str">
        <f>IF(cf_cl[[#This Row],[satisfaction_score]]&gt;=4,"Happy",IF(cf_cl[[#This Row],[satisfaction_score]]=3,"Neutral","Negative"))</f>
        <v>Neutral</v>
      </c>
      <c r="I767" s="3" t="str">
        <f>IF(cf_cl[[#This Row],[satisfaction_score]]&lt;=2,"Low",IF(cf_cl[[#This Row],[satisfaction_score]]=3,"Medium","High"))</f>
        <v>Medium</v>
      </c>
      <c r="J767">
        <f>YEAR(cf_cl[[#This Row],[date_submitted]])</f>
        <v>2023</v>
      </c>
      <c r="K767" s="3" t="str">
        <f>TEXT(cf_cl[[#This Row],[date_submitted]],"mmm")</f>
        <v>Dec</v>
      </c>
      <c r="L767" s="3" t="str">
        <f t="shared" si="33"/>
        <v>Q4</v>
      </c>
      <c r="M767" s="3" t="str">
        <f t="shared" si="34"/>
        <v>Wednesday</v>
      </c>
      <c r="N767" s="3" t="str">
        <f t="shared" si="35"/>
        <v>No</v>
      </c>
      <c r="O767" s="3" t="str">
        <f>IF(COUNTIF($B:$B,B767)=1,"New Customer",
IF(COUNTIF($B:$B,B767)&lt;=3,"Returning Customer","Loyal Customer"))</f>
        <v>New Customer</v>
      </c>
      <c r="P767" s="3" t="str">
        <f>IF(cf_cl[[#This Row],[referred_claim]]="Yes","Referred","Not Referred")</f>
        <v>Referred</v>
      </c>
    </row>
    <row r="768" spans="1:16" x14ac:dyDescent="0.3">
      <c r="A768" t="s">
        <v>1452</v>
      </c>
      <c r="B768" t="s">
        <v>1453</v>
      </c>
      <c r="C768" s="1">
        <v>44967</v>
      </c>
      <c r="D768" t="s">
        <v>83</v>
      </c>
      <c r="E768">
        <v>2</v>
      </c>
      <c r="F768" s="3" t="s">
        <v>10</v>
      </c>
      <c r="G768" s="3" t="s">
        <v>10</v>
      </c>
      <c r="H768" s="3" t="str">
        <f>IF(cf_cl[[#This Row],[satisfaction_score]]&gt;=4,"Happy",IF(cf_cl[[#This Row],[satisfaction_score]]=3,"Neutral","Negative"))</f>
        <v>Negative</v>
      </c>
      <c r="I768" s="3" t="str">
        <f>IF(cf_cl[[#This Row],[satisfaction_score]]&lt;=2,"Low",IF(cf_cl[[#This Row],[satisfaction_score]]=3,"Medium","High"))</f>
        <v>Low</v>
      </c>
      <c r="J768">
        <f>YEAR(cf_cl[[#This Row],[date_submitted]])</f>
        <v>2023</v>
      </c>
      <c r="K768" s="3" t="str">
        <f>TEXT(cf_cl[[#This Row],[date_submitted]],"mmm")</f>
        <v>Feb</v>
      </c>
      <c r="L768" s="3" t="str">
        <f t="shared" si="33"/>
        <v>Q1</v>
      </c>
      <c r="M768" s="3" t="str">
        <f t="shared" si="34"/>
        <v>Friday</v>
      </c>
      <c r="N768" s="3" t="str">
        <f t="shared" si="35"/>
        <v>Yes</v>
      </c>
      <c r="O768" s="3" t="str">
        <f>IF(COUNTIF($B:$B,B768)=1,"New Customer",
IF(COUNTIF($B:$B,B768)&lt;=3,"Returning Customer","Loyal Customer"))</f>
        <v>New Customer</v>
      </c>
      <c r="P768" s="3" t="str">
        <f>IF(cf_cl[[#This Row],[referred_claim]]="Yes","Referred","Not Referred")</f>
        <v>Referred</v>
      </c>
    </row>
    <row r="769" spans="1:16" x14ac:dyDescent="0.3">
      <c r="A769" t="s">
        <v>1454</v>
      </c>
      <c r="B769" t="s">
        <v>1087</v>
      </c>
      <c r="C769" s="1">
        <v>43944</v>
      </c>
      <c r="D769" t="s">
        <v>28</v>
      </c>
      <c r="E769">
        <v>4</v>
      </c>
      <c r="F769" s="3" t="s">
        <v>10</v>
      </c>
      <c r="G769" s="3" t="s">
        <v>10</v>
      </c>
      <c r="H769" s="3" t="str">
        <f>IF(cf_cl[[#This Row],[satisfaction_score]]&gt;=4,"Happy",IF(cf_cl[[#This Row],[satisfaction_score]]=3,"Neutral","Negative"))</f>
        <v>Happy</v>
      </c>
      <c r="I769" s="3" t="str">
        <f>IF(cf_cl[[#This Row],[satisfaction_score]]&lt;=2,"Low",IF(cf_cl[[#This Row],[satisfaction_score]]=3,"Medium","High"))</f>
        <v>High</v>
      </c>
      <c r="J769">
        <f>YEAR(cf_cl[[#This Row],[date_submitted]])</f>
        <v>2020</v>
      </c>
      <c r="K769" s="3" t="str">
        <f>TEXT(cf_cl[[#This Row],[date_submitted]],"mmm")</f>
        <v>Apr</v>
      </c>
      <c r="L769" s="3" t="str">
        <f t="shared" si="33"/>
        <v>Q2</v>
      </c>
      <c r="M769" s="3" t="str">
        <f t="shared" si="34"/>
        <v>Thursday</v>
      </c>
      <c r="N769" s="3" t="str">
        <f t="shared" si="35"/>
        <v>No</v>
      </c>
      <c r="O769" s="3" t="str">
        <f>IF(COUNTIF($B:$B,B769)=1,"New Customer",
IF(COUNTIF($B:$B,B769)&lt;=3,"Returning Customer","Loyal Customer"))</f>
        <v>Returning Customer</v>
      </c>
      <c r="P769" s="3" t="str">
        <f>IF(cf_cl[[#This Row],[referred_claim]]="Yes","Referred","Not Referred")</f>
        <v>Referred</v>
      </c>
    </row>
    <row r="770" spans="1:16" x14ac:dyDescent="0.3">
      <c r="A770" t="s">
        <v>1455</v>
      </c>
      <c r="B770" t="s">
        <v>1363</v>
      </c>
      <c r="C770" s="1">
        <v>44051</v>
      </c>
      <c r="D770" t="s">
        <v>25</v>
      </c>
      <c r="E770">
        <v>4</v>
      </c>
      <c r="F770" s="3" t="s">
        <v>13</v>
      </c>
      <c r="G770" s="3" t="s">
        <v>10</v>
      </c>
      <c r="H770" s="3" t="str">
        <f>IF(cf_cl[[#This Row],[satisfaction_score]]&gt;=4,"Happy",IF(cf_cl[[#This Row],[satisfaction_score]]=3,"Neutral","Negative"))</f>
        <v>Happy</v>
      </c>
      <c r="I770" s="3" t="str">
        <f>IF(cf_cl[[#This Row],[satisfaction_score]]&lt;=2,"Low",IF(cf_cl[[#This Row],[satisfaction_score]]=3,"Medium","High"))</f>
        <v>High</v>
      </c>
      <c r="J770">
        <f>YEAR(cf_cl[[#This Row],[date_submitted]])</f>
        <v>2020</v>
      </c>
      <c r="K770" s="3" t="str">
        <f>TEXT(cf_cl[[#This Row],[date_submitted]],"mmm")</f>
        <v>Aug</v>
      </c>
      <c r="L770" s="3" t="str">
        <f t="shared" ref="L770:L833" si="36">"Q"&amp;ROUNDUP(MONTH(C770)/3,0)</f>
        <v>Q3</v>
      </c>
      <c r="M770" s="3" t="str">
        <f t="shared" ref="M770:M833" si="37">TEXT(C770,"dddd")</f>
        <v>Saturday</v>
      </c>
      <c r="N770" s="3" t="str">
        <f t="shared" ref="N770:N833" si="38">IF(E770&lt;=2,"Yes","No")</f>
        <v>No</v>
      </c>
      <c r="O770" s="3" t="str">
        <f>IF(COUNTIF($B:$B,B770)=1,"New Customer",
IF(COUNTIF($B:$B,B770)&lt;=3,"Returning Customer","Loyal Customer"))</f>
        <v>Returning Customer</v>
      </c>
      <c r="P770" s="3" t="str">
        <f>IF(cf_cl[[#This Row],[referred_claim]]="Yes","Referred","Not Referred")</f>
        <v>Referred</v>
      </c>
    </row>
    <row r="771" spans="1:16" x14ac:dyDescent="0.3">
      <c r="A771" t="s">
        <v>1456</v>
      </c>
      <c r="B771" t="s">
        <v>313</v>
      </c>
      <c r="C771" s="1">
        <v>43929</v>
      </c>
      <c r="D771" t="s">
        <v>28</v>
      </c>
      <c r="E771">
        <v>4</v>
      </c>
      <c r="F771" s="3" t="s">
        <v>13</v>
      </c>
      <c r="G771" s="3" t="s">
        <v>13</v>
      </c>
      <c r="H771" s="3" t="str">
        <f>IF(cf_cl[[#This Row],[satisfaction_score]]&gt;=4,"Happy",IF(cf_cl[[#This Row],[satisfaction_score]]=3,"Neutral","Negative"))</f>
        <v>Happy</v>
      </c>
      <c r="I771" s="3" t="str">
        <f>IF(cf_cl[[#This Row],[satisfaction_score]]&lt;=2,"Low",IF(cf_cl[[#This Row],[satisfaction_score]]=3,"Medium","High"))</f>
        <v>High</v>
      </c>
      <c r="J771">
        <f>YEAR(cf_cl[[#This Row],[date_submitted]])</f>
        <v>2020</v>
      </c>
      <c r="K771" s="3" t="str">
        <f>TEXT(cf_cl[[#This Row],[date_submitted]],"mmm")</f>
        <v>Apr</v>
      </c>
      <c r="L771" s="3" t="str">
        <f t="shared" si="36"/>
        <v>Q2</v>
      </c>
      <c r="M771" s="3" t="str">
        <f t="shared" si="37"/>
        <v>Wednesday</v>
      </c>
      <c r="N771" s="3" t="str">
        <f t="shared" si="38"/>
        <v>No</v>
      </c>
      <c r="O771" s="3" t="str">
        <f>IF(COUNTIF($B:$B,B771)=1,"New Customer",
IF(COUNTIF($B:$B,B771)&lt;=3,"Returning Customer","Loyal Customer"))</f>
        <v>Returning Customer</v>
      </c>
      <c r="P771" s="3" t="str">
        <f>IF(cf_cl[[#This Row],[referred_claim]]="Yes","Referred","Not Referred")</f>
        <v>Not Referred</v>
      </c>
    </row>
    <row r="772" spans="1:16" x14ac:dyDescent="0.3">
      <c r="A772" t="s">
        <v>1457</v>
      </c>
      <c r="B772" t="s">
        <v>415</v>
      </c>
      <c r="C772" s="1">
        <v>44578</v>
      </c>
      <c r="D772" t="s">
        <v>83</v>
      </c>
      <c r="E772">
        <v>3</v>
      </c>
      <c r="F772" s="3" t="s">
        <v>13</v>
      </c>
      <c r="G772" s="3" t="s">
        <v>13</v>
      </c>
      <c r="H772" s="3" t="str">
        <f>IF(cf_cl[[#This Row],[satisfaction_score]]&gt;=4,"Happy",IF(cf_cl[[#This Row],[satisfaction_score]]=3,"Neutral","Negative"))</f>
        <v>Neutral</v>
      </c>
      <c r="I772" s="3" t="str">
        <f>IF(cf_cl[[#This Row],[satisfaction_score]]&lt;=2,"Low",IF(cf_cl[[#This Row],[satisfaction_score]]=3,"Medium","High"))</f>
        <v>Medium</v>
      </c>
      <c r="J772">
        <f>YEAR(cf_cl[[#This Row],[date_submitted]])</f>
        <v>2022</v>
      </c>
      <c r="K772" s="3" t="str">
        <f>TEXT(cf_cl[[#This Row],[date_submitted]],"mmm")</f>
        <v>Jan</v>
      </c>
      <c r="L772" s="3" t="str">
        <f t="shared" si="36"/>
        <v>Q1</v>
      </c>
      <c r="M772" s="3" t="str">
        <f t="shared" si="37"/>
        <v>Monday</v>
      </c>
      <c r="N772" s="3" t="str">
        <f t="shared" si="38"/>
        <v>No</v>
      </c>
      <c r="O772" s="3" t="str">
        <f>IF(COUNTIF($B:$B,B772)=1,"New Customer",
IF(COUNTIF($B:$B,B772)&lt;=3,"Returning Customer","Loyal Customer"))</f>
        <v>Returning Customer</v>
      </c>
      <c r="P772" s="3" t="str">
        <f>IF(cf_cl[[#This Row],[referred_claim]]="Yes","Referred","Not Referred")</f>
        <v>Not Referred</v>
      </c>
    </row>
    <row r="773" spans="1:16" x14ac:dyDescent="0.3">
      <c r="A773" t="s">
        <v>1458</v>
      </c>
      <c r="B773" t="s">
        <v>1459</v>
      </c>
      <c r="C773" s="1">
        <v>44866</v>
      </c>
      <c r="D773" t="s">
        <v>83</v>
      </c>
      <c r="E773">
        <v>1</v>
      </c>
      <c r="F773" s="3" t="s">
        <v>13</v>
      </c>
      <c r="G773" s="3" t="s">
        <v>13</v>
      </c>
      <c r="H773" s="3" t="str">
        <f>IF(cf_cl[[#This Row],[satisfaction_score]]&gt;=4,"Happy",IF(cf_cl[[#This Row],[satisfaction_score]]=3,"Neutral","Negative"))</f>
        <v>Negative</v>
      </c>
      <c r="I773" s="3" t="str">
        <f>IF(cf_cl[[#This Row],[satisfaction_score]]&lt;=2,"Low",IF(cf_cl[[#This Row],[satisfaction_score]]=3,"Medium","High"))</f>
        <v>Low</v>
      </c>
      <c r="J773">
        <f>YEAR(cf_cl[[#This Row],[date_submitted]])</f>
        <v>2022</v>
      </c>
      <c r="K773" s="3" t="str">
        <f>TEXT(cf_cl[[#This Row],[date_submitted]],"mmm")</f>
        <v>Nov</v>
      </c>
      <c r="L773" s="3" t="str">
        <f t="shared" si="36"/>
        <v>Q4</v>
      </c>
      <c r="M773" s="3" t="str">
        <f t="shared" si="37"/>
        <v>Tuesday</v>
      </c>
      <c r="N773" s="3" t="str">
        <f t="shared" si="38"/>
        <v>Yes</v>
      </c>
      <c r="O773" s="3" t="str">
        <f>IF(COUNTIF($B:$B,B773)=1,"New Customer",
IF(COUNTIF($B:$B,B773)&lt;=3,"Returning Customer","Loyal Customer"))</f>
        <v>New Customer</v>
      </c>
      <c r="P773" s="3" t="str">
        <f>IF(cf_cl[[#This Row],[referred_claim]]="Yes","Referred","Not Referred")</f>
        <v>Not Referred</v>
      </c>
    </row>
    <row r="774" spans="1:16" x14ac:dyDescent="0.3">
      <c r="A774" t="s">
        <v>1460</v>
      </c>
      <c r="B774" t="s">
        <v>449</v>
      </c>
      <c r="C774" s="1">
        <v>43863</v>
      </c>
      <c r="D774" t="s">
        <v>68</v>
      </c>
      <c r="E774">
        <v>2</v>
      </c>
      <c r="F774" s="3" t="s">
        <v>10</v>
      </c>
      <c r="G774" s="3" t="s">
        <v>13</v>
      </c>
      <c r="H774" s="3" t="str">
        <f>IF(cf_cl[[#This Row],[satisfaction_score]]&gt;=4,"Happy",IF(cf_cl[[#This Row],[satisfaction_score]]=3,"Neutral","Negative"))</f>
        <v>Negative</v>
      </c>
      <c r="I774" s="3" t="str">
        <f>IF(cf_cl[[#This Row],[satisfaction_score]]&lt;=2,"Low",IF(cf_cl[[#This Row],[satisfaction_score]]=3,"Medium","High"))</f>
        <v>Low</v>
      </c>
      <c r="J774">
        <f>YEAR(cf_cl[[#This Row],[date_submitted]])</f>
        <v>2020</v>
      </c>
      <c r="K774" s="3" t="str">
        <f>TEXT(cf_cl[[#This Row],[date_submitted]],"mmm")</f>
        <v>Feb</v>
      </c>
      <c r="L774" s="3" t="str">
        <f t="shared" si="36"/>
        <v>Q1</v>
      </c>
      <c r="M774" s="3" t="str">
        <f t="shared" si="37"/>
        <v>Sunday</v>
      </c>
      <c r="N774" s="3" t="str">
        <f t="shared" si="38"/>
        <v>Yes</v>
      </c>
      <c r="O774" s="3" t="str">
        <f>IF(COUNTIF($B:$B,B774)=1,"New Customer",
IF(COUNTIF($B:$B,B774)&lt;=3,"Returning Customer","Loyal Customer"))</f>
        <v>Returning Customer</v>
      </c>
      <c r="P774" s="3" t="str">
        <f>IF(cf_cl[[#This Row],[referred_claim]]="Yes","Referred","Not Referred")</f>
        <v>Not Referred</v>
      </c>
    </row>
    <row r="775" spans="1:16" x14ac:dyDescent="0.3">
      <c r="A775" t="s">
        <v>1461</v>
      </c>
      <c r="B775" t="s">
        <v>1462</v>
      </c>
      <c r="C775" s="1">
        <v>44332</v>
      </c>
      <c r="D775" t="s">
        <v>19</v>
      </c>
      <c r="E775">
        <v>3</v>
      </c>
      <c r="F775" s="3" t="s">
        <v>13</v>
      </c>
      <c r="G775" s="3" t="s">
        <v>13</v>
      </c>
      <c r="H775" s="3" t="str">
        <f>IF(cf_cl[[#This Row],[satisfaction_score]]&gt;=4,"Happy",IF(cf_cl[[#This Row],[satisfaction_score]]=3,"Neutral","Negative"))</f>
        <v>Neutral</v>
      </c>
      <c r="I775" s="3" t="str">
        <f>IF(cf_cl[[#This Row],[satisfaction_score]]&lt;=2,"Low",IF(cf_cl[[#This Row],[satisfaction_score]]=3,"Medium","High"))</f>
        <v>Medium</v>
      </c>
      <c r="J775">
        <f>YEAR(cf_cl[[#This Row],[date_submitted]])</f>
        <v>2021</v>
      </c>
      <c r="K775" s="3" t="str">
        <f>TEXT(cf_cl[[#This Row],[date_submitted]],"mmm")</f>
        <v>May</v>
      </c>
      <c r="L775" s="3" t="str">
        <f t="shared" si="36"/>
        <v>Q2</v>
      </c>
      <c r="M775" s="3" t="str">
        <f t="shared" si="37"/>
        <v>Sunday</v>
      </c>
      <c r="N775" s="3" t="str">
        <f t="shared" si="38"/>
        <v>No</v>
      </c>
      <c r="O775" s="3" t="str">
        <f>IF(COUNTIF($B:$B,B775)=1,"New Customer",
IF(COUNTIF($B:$B,B775)&lt;=3,"Returning Customer","Loyal Customer"))</f>
        <v>New Customer</v>
      </c>
      <c r="P775" s="3" t="str">
        <f>IF(cf_cl[[#This Row],[referred_claim]]="Yes","Referred","Not Referred")</f>
        <v>Not Referred</v>
      </c>
    </row>
    <row r="776" spans="1:16" x14ac:dyDescent="0.3">
      <c r="A776" t="s">
        <v>1463</v>
      </c>
      <c r="B776" t="s">
        <v>1464</v>
      </c>
      <c r="C776" s="1">
        <v>45148</v>
      </c>
      <c r="D776" t="s">
        <v>37</v>
      </c>
      <c r="E776">
        <v>4</v>
      </c>
      <c r="F776" s="3" t="s">
        <v>13</v>
      </c>
      <c r="G776" s="3" t="s">
        <v>10</v>
      </c>
      <c r="H776" s="3" t="str">
        <f>IF(cf_cl[[#This Row],[satisfaction_score]]&gt;=4,"Happy",IF(cf_cl[[#This Row],[satisfaction_score]]=3,"Neutral","Negative"))</f>
        <v>Happy</v>
      </c>
      <c r="I776" s="3" t="str">
        <f>IF(cf_cl[[#This Row],[satisfaction_score]]&lt;=2,"Low",IF(cf_cl[[#This Row],[satisfaction_score]]=3,"Medium","High"))</f>
        <v>High</v>
      </c>
      <c r="J776">
        <f>YEAR(cf_cl[[#This Row],[date_submitted]])</f>
        <v>2023</v>
      </c>
      <c r="K776" s="3" t="str">
        <f>TEXT(cf_cl[[#This Row],[date_submitted]],"mmm")</f>
        <v>Aug</v>
      </c>
      <c r="L776" s="3" t="str">
        <f t="shared" si="36"/>
        <v>Q3</v>
      </c>
      <c r="M776" s="3" t="str">
        <f t="shared" si="37"/>
        <v>Thursday</v>
      </c>
      <c r="N776" s="3" t="str">
        <f t="shared" si="38"/>
        <v>No</v>
      </c>
      <c r="O776" s="3" t="str">
        <f>IF(COUNTIF($B:$B,B776)=1,"New Customer",
IF(COUNTIF($B:$B,B776)&lt;=3,"Returning Customer","Loyal Customer"))</f>
        <v>New Customer</v>
      </c>
      <c r="P776" s="3" t="str">
        <f>IF(cf_cl[[#This Row],[referred_claim]]="Yes","Referred","Not Referred")</f>
        <v>Referred</v>
      </c>
    </row>
    <row r="777" spans="1:16" x14ac:dyDescent="0.3">
      <c r="A777" t="s">
        <v>1465</v>
      </c>
      <c r="B777" t="s">
        <v>1466</v>
      </c>
      <c r="C777" s="1">
        <v>45126</v>
      </c>
      <c r="D777" t="s">
        <v>9</v>
      </c>
      <c r="E777">
        <v>1</v>
      </c>
      <c r="F777" s="3" t="s">
        <v>13</v>
      </c>
      <c r="G777" s="3" t="s">
        <v>10</v>
      </c>
      <c r="H777" s="3" t="str">
        <f>IF(cf_cl[[#This Row],[satisfaction_score]]&gt;=4,"Happy",IF(cf_cl[[#This Row],[satisfaction_score]]=3,"Neutral","Negative"))</f>
        <v>Negative</v>
      </c>
      <c r="I777" s="3" t="str">
        <f>IF(cf_cl[[#This Row],[satisfaction_score]]&lt;=2,"Low",IF(cf_cl[[#This Row],[satisfaction_score]]=3,"Medium","High"))</f>
        <v>Low</v>
      </c>
      <c r="J777">
        <f>YEAR(cf_cl[[#This Row],[date_submitted]])</f>
        <v>2023</v>
      </c>
      <c r="K777" s="3" t="str">
        <f>TEXT(cf_cl[[#This Row],[date_submitted]],"mmm")</f>
        <v>Jul</v>
      </c>
      <c r="L777" s="3" t="str">
        <f t="shared" si="36"/>
        <v>Q3</v>
      </c>
      <c r="M777" s="3" t="str">
        <f t="shared" si="37"/>
        <v>Wednesday</v>
      </c>
      <c r="N777" s="3" t="str">
        <f t="shared" si="38"/>
        <v>Yes</v>
      </c>
      <c r="O777" s="3" t="str">
        <f>IF(COUNTIF($B:$B,B777)=1,"New Customer",
IF(COUNTIF($B:$B,B777)&lt;=3,"Returning Customer","Loyal Customer"))</f>
        <v>New Customer</v>
      </c>
      <c r="P777" s="3" t="str">
        <f>IF(cf_cl[[#This Row],[referred_claim]]="Yes","Referred","Not Referred")</f>
        <v>Referred</v>
      </c>
    </row>
    <row r="778" spans="1:16" x14ac:dyDescent="0.3">
      <c r="A778" t="s">
        <v>1467</v>
      </c>
      <c r="B778" t="s">
        <v>1468</v>
      </c>
      <c r="C778" s="1">
        <v>45127</v>
      </c>
      <c r="D778" t="s">
        <v>22</v>
      </c>
      <c r="E778">
        <v>4</v>
      </c>
      <c r="F778" s="3" t="s">
        <v>10</v>
      </c>
      <c r="G778" s="3" t="s">
        <v>13</v>
      </c>
      <c r="H778" s="3" t="str">
        <f>IF(cf_cl[[#This Row],[satisfaction_score]]&gt;=4,"Happy",IF(cf_cl[[#This Row],[satisfaction_score]]=3,"Neutral","Negative"))</f>
        <v>Happy</v>
      </c>
      <c r="I778" s="3" t="str">
        <f>IF(cf_cl[[#This Row],[satisfaction_score]]&lt;=2,"Low",IF(cf_cl[[#This Row],[satisfaction_score]]=3,"Medium","High"))</f>
        <v>High</v>
      </c>
      <c r="J778">
        <f>YEAR(cf_cl[[#This Row],[date_submitted]])</f>
        <v>2023</v>
      </c>
      <c r="K778" s="3" t="str">
        <f>TEXT(cf_cl[[#This Row],[date_submitted]],"mmm")</f>
        <v>Jul</v>
      </c>
      <c r="L778" s="3" t="str">
        <f t="shared" si="36"/>
        <v>Q3</v>
      </c>
      <c r="M778" s="3" t="str">
        <f t="shared" si="37"/>
        <v>Thursday</v>
      </c>
      <c r="N778" s="3" t="str">
        <f t="shared" si="38"/>
        <v>No</v>
      </c>
      <c r="O778" s="3" t="str">
        <f>IF(COUNTIF($B:$B,B778)=1,"New Customer",
IF(COUNTIF($B:$B,B778)&lt;=3,"Returning Customer","Loyal Customer"))</f>
        <v>New Customer</v>
      </c>
      <c r="P778" s="3" t="str">
        <f>IF(cf_cl[[#This Row],[referred_claim]]="Yes","Referred","Not Referred")</f>
        <v>Not Referred</v>
      </c>
    </row>
    <row r="779" spans="1:16" x14ac:dyDescent="0.3">
      <c r="A779" t="s">
        <v>1469</v>
      </c>
      <c r="B779" t="s">
        <v>1470</v>
      </c>
      <c r="C779" s="1">
        <v>43991</v>
      </c>
      <c r="D779" t="s">
        <v>37</v>
      </c>
      <c r="E779">
        <v>3</v>
      </c>
      <c r="F779" s="3" t="s">
        <v>10</v>
      </c>
      <c r="G779" s="3" t="s">
        <v>13</v>
      </c>
      <c r="H779" s="3" t="str">
        <f>IF(cf_cl[[#This Row],[satisfaction_score]]&gt;=4,"Happy",IF(cf_cl[[#This Row],[satisfaction_score]]=3,"Neutral","Negative"))</f>
        <v>Neutral</v>
      </c>
      <c r="I779" s="3" t="str">
        <f>IF(cf_cl[[#This Row],[satisfaction_score]]&lt;=2,"Low",IF(cf_cl[[#This Row],[satisfaction_score]]=3,"Medium","High"))</f>
        <v>Medium</v>
      </c>
      <c r="J779">
        <f>YEAR(cf_cl[[#This Row],[date_submitted]])</f>
        <v>2020</v>
      </c>
      <c r="K779" s="3" t="str">
        <f>TEXT(cf_cl[[#This Row],[date_submitted]],"mmm")</f>
        <v>Jun</v>
      </c>
      <c r="L779" s="3" t="str">
        <f t="shared" si="36"/>
        <v>Q2</v>
      </c>
      <c r="M779" s="3" t="str">
        <f t="shared" si="37"/>
        <v>Tuesday</v>
      </c>
      <c r="N779" s="3" t="str">
        <f t="shared" si="38"/>
        <v>No</v>
      </c>
      <c r="O779" s="3" t="str">
        <f>IF(COUNTIF($B:$B,B779)=1,"New Customer",
IF(COUNTIF($B:$B,B779)&lt;=3,"Returning Customer","Loyal Customer"))</f>
        <v>New Customer</v>
      </c>
      <c r="P779" s="3" t="str">
        <f>IF(cf_cl[[#This Row],[referred_claim]]="Yes","Referred","Not Referred")</f>
        <v>Not Referred</v>
      </c>
    </row>
    <row r="780" spans="1:16" x14ac:dyDescent="0.3">
      <c r="A780" t="s">
        <v>1471</v>
      </c>
      <c r="B780" t="s">
        <v>1472</v>
      </c>
      <c r="C780" s="1">
        <v>45098</v>
      </c>
      <c r="D780" t="s">
        <v>83</v>
      </c>
      <c r="E780">
        <v>1</v>
      </c>
      <c r="F780" s="3" t="s">
        <v>10</v>
      </c>
      <c r="G780" s="3" t="s">
        <v>10</v>
      </c>
      <c r="H780" s="3" t="str">
        <f>IF(cf_cl[[#This Row],[satisfaction_score]]&gt;=4,"Happy",IF(cf_cl[[#This Row],[satisfaction_score]]=3,"Neutral","Negative"))</f>
        <v>Negative</v>
      </c>
      <c r="I780" s="3" t="str">
        <f>IF(cf_cl[[#This Row],[satisfaction_score]]&lt;=2,"Low",IF(cf_cl[[#This Row],[satisfaction_score]]=3,"Medium","High"))</f>
        <v>Low</v>
      </c>
      <c r="J780">
        <f>YEAR(cf_cl[[#This Row],[date_submitted]])</f>
        <v>2023</v>
      </c>
      <c r="K780" s="3" t="str">
        <f>TEXT(cf_cl[[#This Row],[date_submitted]],"mmm")</f>
        <v>Jun</v>
      </c>
      <c r="L780" s="3" t="str">
        <f t="shared" si="36"/>
        <v>Q2</v>
      </c>
      <c r="M780" s="3" t="str">
        <f t="shared" si="37"/>
        <v>Wednesday</v>
      </c>
      <c r="N780" s="3" t="str">
        <f t="shared" si="38"/>
        <v>Yes</v>
      </c>
      <c r="O780" s="3" t="str">
        <f>IF(COUNTIF($B:$B,B780)=1,"New Customer",
IF(COUNTIF($B:$B,B780)&lt;=3,"Returning Customer","Loyal Customer"))</f>
        <v>New Customer</v>
      </c>
      <c r="P780" s="3" t="str">
        <f>IF(cf_cl[[#This Row],[referred_claim]]="Yes","Referred","Not Referred")</f>
        <v>Referred</v>
      </c>
    </row>
    <row r="781" spans="1:16" x14ac:dyDescent="0.3">
      <c r="A781" t="s">
        <v>1473</v>
      </c>
      <c r="B781" t="s">
        <v>1474</v>
      </c>
      <c r="C781" s="1">
        <v>44057</v>
      </c>
      <c r="D781" t="s">
        <v>28</v>
      </c>
      <c r="E781">
        <v>5</v>
      </c>
      <c r="F781" s="3" t="s">
        <v>13</v>
      </c>
      <c r="G781" s="3" t="s">
        <v>13</v>
      </c>
      <c r="H781" s="3" t="str">
        <f>IF(cf_cl[[#This Row],[satisfaction_score]]&gt;=4,"Happy",IF(cf_cl[[#This Row],[satisfaction_score]]=3,"Neutral","Negative"))</f>
        <v>Happy</v>
      </c>
      <c r="I781" s="3" t="str">
        <f>IF(cf_cl[[#This Row],[satisfaction_score]]&lt;=2,"Low",IF(cf_cl[[#This Row],[satisfaction_score]]=3,"Medium","High"))</f>
        <v>High</v>
      </c>
      <c r="J781">
        <f>YEAR(cf_cl[[#This Row],[date_submitted]])</f>
        <v>2020</v>
      </c>
      <c r="K781" s="3" t="str">
        <f>TEXT(cf_cl[[#This Row],[date_submitted]],"mmm")</f>
        <v>Aug</v>
      </c>
      <c r="L781" s="3" t="str">
        <f t="shared" si="36"/>
        <v>Q3</v>
      </c>
      <c r="M781" s="3" t="str">
        <f t="shared" si="37"/>
        <v>Friday</v>
      </c>
      <c r="N781" s="3" t="str">
        <f t="shared" si="38"/>
        <v>No</v>
      </c>
      <c r="O781" s="3" t="str">
        <f>IF(COUNTIF($B:$B,B781)=1,"New Customer",
IF(COUNTIF($B:$B,B781)&lt;=3,"Returning Customer","Loyal Customer"))</f>
        <v>New Customer</v>
      </c>
      <c r="P781" s="3" t="str">
        <f>IF(cf_cl[[#This Row],[referred_claim]]="Yes","Referred","Not Referred")</f>
        <v>Not Referred</v>
      </c>
    </row>
    <row r="782" spans="1:16" x14ac:dyDescent="0.3">
      <c r="A782" t="s">
        <v>1475</v>
      </c>
      <c r="B782" t="s">
        <v>1476</v>
      </c>
      <c r="C782" s="1">
        <v>44869</v>
      </c>
      <c r="D782" t="s">
        <v>31</v>
      </c>
      <c r="E782">
        <v>3</v>
      </c>
      <c r="F782" s="3" t="s">
        <v>10</v>
      </c>
      <c r="G782" s="3" t="s">
        <v>10</v>
      </c>
      <c r="H782" s="3" t="str">
        <f>IF(cf_cl[[#This Row],[satisfaction_score]]&gt;=4,"Happy",IF(cf_cl[[#This Row],[satisfaction_score]]=3,"Neutral","Negative"))</f>
        <v>Neutral</v>
      </c>
      <c r="I782" s="3" t="str">
        <f>IF(cf_cl[[#This Row],[satisfaction_score]]&lt;=2,"Low",IF(cf_cl[[#This Row],[satisfaction_score]]=3,"Medium","High"))</f>
        <v>Medium</v>
      </c>
      <c r="J782">
        <f>YEAR(cf_cl[[#This Row],[date_submitted]])</f>
        <v>2022</v>
      </c>
      <c r="K782" s="3" t="str">
        <f>TEXT(cf_cl[[#This Row],[date_submitted]],"mmm")</f>
        <v>Nov</v>
      </c>
      <c r="L782" s="3" t="str">
        <f t="shared" si="36"/>
        <v>Q4</v>
      </c>
      <c r="M782" s="3" t="str">
        <f t="shared" si="37"/>
        <v>Friday</v>
      </c>
      <c r="N782" s="3" t="str">
        <f t="shared" si="38"/>
        <v>No</v>
      </c>
      <c r="O782" s="3" t="str">
        <f>IF(COUNTIF($B:$B,B782)=1,"New Customer",
IF(COUNTIF($B:$B,B782)&lt;=3,"Returning Customer","Loyal Customer"))</f>
        <v>New Customer</v>
      </c>
      <c r="P782" s="3" t="str">
        <f>IF(cf_cl[[#This Row],[referred_claim]]="Yes","Referred","Not Referred")</f>
        <v>Referred</v>
      </c>
    </row>
    <row r="783" spans="1:16" x14ac:dyDescent="0.3">
      <c r="A783" t="s">
        <v>1477</v>
      </c>
      <c r="B783" t="s">
        <v>1478</v>
      </c>
      <c r="C783" s="1">
        <v>43875</v>
      </c>
      <c r="D783" t="s">
        <v>83</v>
      </c>
      <c r="E783">
        <v>2</v>
      </c>
      <c r="F783" s="3" t="s">
        <v>13</v>
      </c>
      <c r="G783" s="3" t="s">
        <v>10</v>
      </c>
      <c r="H783" s="3" t="str">
        <f>IF(cf_cl[[#This Row],[satisfaction_score]]&gt;=4,"Happy",IF(cf_cl[[#This Row],[satisfaction_score]]=3,"Neutral","Negative"))</f>
        <v>Negative</v>
      </c>
      <c r="I783" s="3" t="str">
        <f>IF(cf_cl[[#This Row],[satisfaction_score]]&lt;=2,"Low",IF(cf_cl[[#This Row],[satisfaction_score]]=3,"Medium","High"))</f>
        <v>Low</v>
      </c>
      <c r="J783">
        <f>YEAR(cf_cl[[#This Row],[date_submitted]])</f>
        <v>2020</v>
      </c>
      <c r="K783" s="3" t="str">
        <f>TEXT(cf_cl[[#This Row],[date_submitted]],"mmm")</f>
        <v>Feb</v>
      </c>
      <c r="L783" s="3" t="str">
        <f t="shared" si="36"/>
        <v>Q1</v>
      </c>
      <c r="M783" s="3" t="str">
        <f t="shared" si="37"/>
        <v>Friday</v>
      </c>
      <c r="N783" s="3" t="str">
        <f t="shared" si="38"/>
        <v>Yes</v>
      </c>
      <c r="O783" s="3" t="str">
        <f>IF(COUNTIF($B:$B,B783)=1,"New Customer",
IF(COUNTIF($B:$B,B783)&lt;=3,"Returning Customer","Loyal Customer"))</f>
        <v>New Customer</v>
      </c>
      <c r="P783" s="3" t="str">
        <f>IF(cf_cl[[#This Row],[referred_claim]]="Yes","Referred","Not Referred")</f>
        <v>Referred</v>
      </c>
    </row>
    <row r="784" spans="1:16" x14ac:dyDescent="0.3">
      <c r="A784" t="s">
        <v>1479</v>
      </c>
      <c r="B784" t="s">
        <v>1480</v>
      </c>
      <c r="C784" s="1">
        <v>44101</v>
      </c>
      <c r="D784" t="s">
        <v>83</v>
      </c>
      <c r="E784">
        <v>1</v>
      </c>
      <c r="F784" s="3" t="s">
        <v>13</v>
      </c>
      <c r="G784" s="3" t="s">
        <v>13</v>
      </c>
      <c r="H784" s="3" t="str">
        <f>IF(cf_cl[[#This Row],[satisfaction_score]]&gt;=4,"Happy",IF(cf_cl[[#This Row],[satisfaction_score]]=3,"Neutral","Negative"))</f>
        <v>Negative</v>
      </c>
      <c r="I784" s="3" t="str">
        <f>IF(cf_cl[[#This Row],[satisfaction_score]]&lt;=2,"Low",IF(cf_cl[[#This Row],[satisfaction_score]]=3,"Medium","High"))</f>
        <v>Low</v>
      </c>
      <c r="J784">
        <f>YEAR(cf_cl[[#This Row],[date_submitted]])</f>
        <v>2020</v>
      </c>
      <c r="K784" s="3" t="str">
        <f>TEXT(cf_cl[[#This Row],[date_submitted]],"mmm")</f>
        <v>Sep</v>
      </c>
      <c r="L784" s="3" t="str">
        <f t="shared" si="36"/>
        <v>Q3</v>
      </c>
      <c r="M784" s="3" t="str">
        <f t="shared" si="37"/>
        <v>Sunday</v>
      </c>
      <c r="N784" s="3" t="str">
        <f t="shared" si="38"/>
        <v>Yes</v>
      </c>
      <c r="O784" s="3" t="str">
        <f>IF(COUNTIF($B:$B,B784)=1,"New Customer",
IF(COUNTIF($B:$B,B784)&lt;=3,"Returning Customer","Loyal Customer"))</f>
        <v>New Customer</v>
      </c>
      <c r="P784" s="3" t="str">
        <f>IF(cf_cl[[#This Row],[referred_claim]]="Yes","Referred","Not Referred")</f>
        <v>Not Referred</v>
      </c>
    </row>
    <row r="785" spans="1:16" x14ac:dyDescent="0.3">
      <c r="A785" t="s">
        <v>1481</v>
      </c>
      <c r="B785" t="s">
        <v>941</v>
      </c>
      <c r="C785" s="1">
        <v>44535</v>
      </c>
      <c r="D785" t="s">
        <v>25</v>
      </c>
      <c r="E785">
        <v>5</v>
      </c>
      <c r="F785" s="3" t="s">
        <v>13</v>
      </c>
      <c r="G785" s="3" t="s">
        <v>10</v>
      </c>
      <c r="H785" s="3" t="str">
        <f>IF(cf_cl[[#This Row],[satisfaction_score]]&gt;=4,"Happy",IF(cf_cl[[#This Row],[satisfaction_score]]=3,"Neutral","Negative"))</f>
        <v>Happy</v>
      </c>
      <c r="I785" s="3" t="str">
        <f>IF(cf_cl[[#This Row],[satisfaction_score]]&lt;=2,"Low",IF(cf_cl[[#This Row],[satisfaction_score]]=3,"Medium","High"))</f>
        <v>High</v>
      </c>
      <c r="J785">
        <f>YEAR(cf_cl[[#This Row],[date_submitted]])</f>
        <v>2021</v>
      </c>
      <c r="K785" s="3" t="str">
        <f>TEXT(cf_cl[[#This Row],[date_submitted]],"mmm")</f>
        <v>Dec</v>
      </c>
      <c r="L785" s="3" t="str">
        <f t="shared" si="36"/>
        <v>Q4</v>
      </c>
      <c r="M785" s="3" t="str">
        <f t="shared" si="37"/>
        <v>Sunday</v>
      </c>
      <c r="N785" s="3" t="str">
        <f t="shared" si="38"/>
        <v>No</v>
      </c>
      <c r="O785" s="3" t="str">
        <f>IF(COUNTIF($B:$B,B785)=1,"New Customer",
IF(COUNTIF($B:$B,B785)&lt;=3,"Returning Customer","Loyal Customer"))</f>
        <v>Returning Customer</v>
      </c>
      <c r="P785" s="3" t="str">
        <f>IF(cf_cl[[#This Row],[referred_claim]]="Yes","Referred","Not Referred")</f>
        <v>Referred</v>
      </c>
    </row>
    <row r="786" spans="1:16" x14ac:dyDescent="0.3">
      <c r="A786" t="s">
        <v>1482</v>
      </c>
      <c r="B786" t="s">
        <v>1483</v>
      </c>
      <c r="C786" s="1">
        <v>45203</v>
      </c>
      <c r="D786" t="s">
        <v>19</v>
      </c>
      <c r="E786">
        <v>2</v>
      </c>
      <c r="F786" s="3" t="s">
        <v>13</v>
      </c>
      <c r="G786" s="3" t="s">
        <v>10</v>
      </c>
      <c r="H786" s="3" t="str">
        <f>IF(cf_cl[[#This Row],[satisfaction_score]]&gt;=4,"Happy",IF(cf_cl[[#This Row],[satisfaction_score]]=3,"Neutral","Negative"))</f>
        <v>Negative</v>
      </c>
      <c r="I786" s="3" t="str">
        <f>IF(cf_cl[[#This Row],[satisfaction_score]]&lt;=2,"Low",IF(cf_cl[[#This Row],[satisfaction_score]]=3,"Medium","High"))</f>
        <v>Low</v>
      </c>
      <c r="J786">
        <f>YEAR(cf_cl[[#This Row],[date_submitted]])</f>
        <v>2023</v>
      </c>
      <c r="K786" s="3" t="str">
        <f>TEXT(cf_cl[[#This Row],[date_submitted]],"mmm")</f>
        <v>Oct</v>
      </c>
      <c r="L786" s="3" t="str">
        <f t="shared" si="36"/>
        <v>Q4</v>
      </c>
      <c r="M786" s="3" t="str">
        <f t="shared" si="37"/>
        <v>Wednesday</v>
      </c>
      <c r="N786" s="3" t="str">
        <f t="shared" si="38"/>
        <v>Yes</v>
      </c>
      <c r="O786" s="3" t="str">
        <f>IF(COUNTIF($B:$B,B786)=1,"New Customer",
IF(COUNTIF($B:$B,B786)&lt;=3,"Returning Customer","Loyal Customer"))</f>
        <v>New Customer</v>
      </c>
      <c r="P786" s="3" t="str">
        <f>IF(cf_cl[[#This Row],[referred_claim]]="Yes","Referred","Not Referred")</f>
        <v>Referred</v>
      </c>
    </row>
    <row r="787" spans="1:16" x14ac:dyDescent="0.3">
      <c r="A787" t="s">
        <v>1484</v>
      </c>
      <c r="B787" t="s">
        <v>1485</v>
      </c>
      <c r="C787" s="1">
        <v>43950</v>
      </c>
      <c r="D787" t="s">
        <v>28</v>
      </c>
      <c r="E787">
        <v>5</v>
      </c>
      <c r="F787" s="3" t="s">
        <v>10</v>
      </c>
      <c r="G787" s="3" t="s">
        <v>13</v>
      </c>
      <c r="H787" s="3" t="str">
        <f>IF(cf_cl[[#This Row],[satisfaction_score]]&gt;=4,"Happy",IF(cf_cl[[#This Row],[satisfaction_score]]=3,"Neutral","Negative"))</f>
        <v>Happy</v>
      </c>
      <c r="I787" s="3" t="str">
        <f>IF(cf_cl[[#This Row],[satisfaction_score]]&lt;=2,"Low",IF(cf_cl[[#This Row],[satisfaction_score]]=3,"Medium","High"))</f>
        <v>High</v>
      </c>
      <c r="J787">
        <f>YEAR(cf_cl[[#This Row],[date_submitted]])</f>
        <v>2020</v>
      </c>
      <c r="K787" s="3" t="str">
        <f>TEXT(cf_cl[[#This Row],[date_submitted]],"mmm")</f>
        <v>Apr</v>
      </c>
      <c r="L787" s="3" t="str">
        <f t="shared" si="36"/>
        <v>Q2</v>
      </c>
      <c r="M787" s="3" t="str">
        <f t="shared" si="37"/>
        <v>Wednesday</v>
      </c>
      <c r="N787" s="3" t="str">
        <f t="shared" si="38"/>
        <v>No</v>
      </c>
      <c r="O787" s="3" t="str">
        <f>IF(COUNTIF($B:$B,B787)=1,"New Customer",
IF(COUNTIF($B:$B,B787)&lt;=3,"Returning Customer","Loyal Customer"))</f>
        <v>New Customer</v>
      </c>
      <c r="P787" s="3" t="str">
        <f>IF(cf_cl[[#This Row],[referred_claim]]="Yes","Referred","Not Referred")</f>
        <v>Not Referred</v>
      </c>
    </row>
    <row r="788" spans="1:16" x14ac:dyDescent="0.3">
      <c r="A788" t="s">
        <v>1486</v>
      </c>
      <c r="B788" t="s">
        <v>1076</v>
      </c>
      <c r="C788" s="1">
        <v>44255</v>
      </c>
      <c r="D788" t="s">
        <v>16</v>
      </c>
      <c r="E788">
        <v>5</v>
      </c>
      <c r="F788" s="3" t="s">
        <v>13</v>
      </c>
      <c r="G788" s="3" t="s">
        <v>10</v>
      </c>
      <c r="H788" s="3" t="str">
        <f>IF(cf_cl[[#This Row],[satisfaction_score]]&gt;=4,"Happy",IF(cf_cl[[#This Row],[satisfaction_score]]=3,"Neutral","Negative"))</f>
        <v>Happy</v>
      </c>
      <c r="I788" s="3" t="str">
        <f>IF(cf_cl[[#This Row],[satisfaction_score]]&lt;=2,"Low",IF(cf_cl[[#This Row],[satisfaction_score]]=3,"Medium","High"))</f>
        <v>High</v>
      </c>
      <c r="J788">
        <f>YEAR(cf_cl[[#This Row],[date_submitted]])</f>
        <v>2021</v>
      </c>
      <c r="K788" s="3" t="str">
        <f>TEXT(cf_cl[[#This Row],[date_submitted]],"mmm")</f>
        <v>Feb</v>
      </c>
      <c r="L788" s="3" t="str">
        <f t="shared" si="36"/>
        <v>Q1</v>
      </c>
      <c r="M788" s="3" t="str">
        <f t="shared" si="37"/>
        <v>Sunday</v>
      </c>
      <c r="N788" s="3" t="str">
        <f t="shared" si="38"/>
        <v>No</v>
      </c>
      <c r="O788" s="3" t="str">
        <f>IF(COUNTIF($B:$B,B788)=1,"New Customer",
IF(COUNTIF($B:$B,B788)&lt;=3,"Returning Customer","Loyal Customer"))</f>
        <v>Returning Customer</v>
      </c>
      <c r="P788" s="3" t="str">
        <f>IF(cf_cl[[#This Row],[referred_claim]]="Yes","Referred","Not Referred")</f>
        <v>Referred</v>
      </c>
    </row>
    <row r="789" spans="1:16" x14ac:dyDescent="0.3">
      <c r="A789" t="s">
        <v>1487</v>
      </c>
      <c r="B789" t="s">
        <v>1488</v>
      </c>
      <c r="C789" s="1">
        <v>45239</v>
      </c>
      <c r="D789" t="s">
        <v>68</v>
      </c>
      <c r="E789">
        <v>2</v>
      </c>
      <c r="F789" s="3" t="s">
        <v>13</v>
      </c>
      <c r="G789" s="3" t="s">
        <v>10</v>
      </c>
      <c r="H789" s="3" t="str">
        <f>IF(cf_cl[[#This Row],[satisfaction_score]]&gt;=4,"Happy",IF(cf_cl[[#This Row],[satisfaction_score]]=3,"Neutral","Negative"))</f>
        <v>Negative</v>
      </c>
      <c r="I789" s="3" t="str">
        <f>IF(cf_cl[[#This Row],[satisfaction_score]]&lt;=2,"Low",IF(cf_cl[[#This Row],[satisfaction_score]]=3,"Medium","High"))</f>
        <v>Low</v>
      </c>
      <c r="J789">
        <f>YEAR(cf_cl[[#This Row],[date_submitted]])</f>
        <v>2023</v>
      </c>
      <c r="K789" s="3" t="str">
        <f>TEXT(cf_cl[[#This Row],[date_submitted]],"mmm")</f>
        <v>Nov</v>
      </c>
      <c r="L789" s="3" t="str">
        <f t="shared" si="36"/>
        <v>Q4</v>
      </c>
      <c r="M789" s="3" t="str">
        <f t="shared" si="37"/>
        <v>Thursday</v>
      </c>
      <c r="N789" s="3" t="str">
        <f t="shared" si="38"/>
        <v>Yes</v>
      </c>
      <c r="O789" s="3" t="str">
        <f>IF(COUNTIF($B:$B,B789)=1,"New Customer",
IF(COUNTIF($B:$B,B789)&lt;=3,"Returning Customer","Loyal Customer"))</f>
        <v>New Customer</v>
      </c>
      <c r="P789" s="3" t="str">
        <f>IF(cf_cl[[#This Row],[referred_claim]]="Yes","Referred","Not Referred")</f>
        <v>Referred</v>
      </c>
    </row>
    <row r="790" spans="1:16" x14ac:dyDescent="0.3">
      <c r="A790" t="s">
        <v>1489</v>
      </c>
      <c r="B790" t="s">
        <v>668</v>
      </c>
      <c r="C790" s="1">
        <v>44757</v>
      </c>
      <c r="D790" t="s">
        <v>25</v>
      </c>
      <c r="E790">
        <v>5</v>
      </c>
      <c r="F790" s="3" t="s">
        <v>10</v>
      </c>
      <c r="G790" s="3" t="s">
        <v>13</v>
      </c>
      <c r="H790" s="3" t="str">
        <f>IF(cf_cl[[#This Row],[satisfaction_score]]&gt;=4,"Happy",IF(cf_cl[[#This Row],[satisfaction_score]]=3,"Neutral","Negative"))</f>
        <v>Happy</v>
      </c>
      <c r="I790" s="3" t="str">
        <f>IF(cf_cl[[#This Row],[satisfaction_score]]&lt;=2,"Low",IF(cf_cl[[#This Row],[satisfaction_score]]=3,"Medium","High"))</f>
        <v>High</v>
      </c>
      <c r="J790">
        <f>YEAR(cf_cl[[#This Row],[date_submitted]])</f>
        <v>2022</v>
      </c>
      <c r="K790" s="3" t="str">
        <f>TEXT(cf_cl[[#This Row],[date_submitted]],"mmm")</f>
        <v>Jul</v>
      </c>
      <c r="L790" s="3" t="str">
        <f t="shared" si="36"/>
        <v>Q3</v>
      </c>
      <c r="M790" s="3" t="str">
        <f t="shared" si="37"/>
        <v>Friday</v>
      </c>
      <c r="N790" s="3" t="str">
        <f t="shared" si="38"/>
        <v>No</v>
      </c>
      <c r="O790" s="3" t="str">
        <f>IF(COUNTIF($B:$B,B790)=1,"New Customer",
IF(COUNTIF($B:$B,B790)&lt;=3,"Returning Customer","Loyal Customer"))</f>
        <v>Loyal Customer</v>
      </c>
      <c r="P790" s="3" t="str">
        <f>IF(cf_cl[[#This Row],[referred_claim]]="Yes","Referred","Not Referred")</f>
        <v>Not Referred</v>
      </c>
    </row>
    <row r="791" spans="1:16" x14ac:dyDescent="0.3">
      <c r="A791" t="s">
        <v>1490</v>
      </c>
      <c r="B791" t="s">
        <v>1491</v>
      </c>
      <c r="C791" s="1">
        <v>44604</v>
      </c>
      <c r="D791" t="s">
        <v>31</v>
      </c>
      <c r="E791">
        <v>2</v>
      </c>
      <c r="F791" s="3" t="s">
        <v>10</v>
      </c>
      <c r="G791" s="3" t="s">
        <v>13</v>
      </c>
      <c r="H791" s="3" t="str">
        <f>IF(cf_cl[[#This Row],[satisfaction_score]]&gt;=4,"Happy",IF(cf_cl[[#This Row],[satisfaction_score]]=3,"Neutral","Negative"))</f>
        <v>Negative</v>
      </c>
      <c r="I791" s="3" t="str">
        <f>IF(cf_cl[[#This Row],[satisfaction_score]]&lt;=2,"Low",IF(cf_cl[[#This Row],[satisfaction_score]]=3,"Medium","High"))</f>
        <v>Low</v>
      </c>
      <c r="J791">
        <f>YEAR(cf_cl[[#This Row],[date_submitted]])</f>
        <v>2022</v>
      </c>
      <c r="K791" s="3" t="str">
        <f>TEXT(cf_cl[[#This Row],[date_submitted]],"mmm")</f>
        <v>Feb</v>
      </c>
      <c r="L791" s="3" t="str">
        <f t="shared" si="36"/>
        <v>Q1</v>
      </c>
      <c r="M791" s="3" t="str">
        <f t="shared" si="37"/>
        <v>Saturday</v>
      </c>
      <c r="N791" s="3" t="str">
        <f t="shared" si="38"/>
        <v>Yes</v>
      </c>
      <c r="O791" s="3" t="str">
        <f>IF(COUNTIF($B:$B,B791)=1,"New Customer",
IF(COUNTIF($B:$B,B791)&lt;=3,"Returning Customer","Loyal Customer"))</f>
        <v>Returning Customer</v>
      </c>
      <c r="P791" s="3" t="str">
        <f>IF(cf_cl[[#This Row],[referred_claim]]="Yes","Referred","Not Referred")</f>
        <v>Not Referred</v>
      </c>
    </row>
    <row r="792" spans="1:16" x14ac:dyDescent="0.3">
      <c r="A792" t="s">
        <v>1492</v>
      </c>
      <c r="B792" t="s">
        <v>1493</v>
      </c>
      <c r="C792" s="1">
        <v>43833</v>
      </c>
      <c r="D792" t="s">
        <v>83</v>
      </c>
      <c r="E792">
        <v>3</v>
      </c>
      <c r="F792" s="3" t="s">
        <v>10</v>
      </c>
      <c r="G792" s="3" t="s">
        <v>10</v>
      </c>
      <c r="H792" s="3" t="str">
        <f>IF(cf_cl[[#This Row],[satisfaction_score]]&gt;=4,"Happy",IF(cf_cl[[#This Row],[satisfaction_score]]=3,"Neutral","Negative"))</f>
        <v>Neutral</v>
      </c>
      <c r="I792" s="3" t="str">
        <f>IF(cf_cl[[#This Row],[satisfaction_score]]&lt;=2,"Low",IF(cf_cl[[#This Row],[satisfaction_score]]=3,"Medium","High"))</f>
        <v>Medium</v>
      </c>
      <c r="J792">
        <f>YEAR(cf_cl[[#This Row],[date_submitted]])</f>
        <v>2020</v>
      </c>
      <c r="K792" s="3" t="str">
        <f>TEXT(cf_cl[[#This Row],[date_submitted]],"mmm")</f>
        <v>Jan</v>
      </c>
      <c r="L792" s="3" t="str">
        <f t="shared" si="36"/>
        <v>Q1</v>
      </c>
      <c r="M792" s="3" t="str">
        <f t="shared" si="37"/>
        <v>Friday</v>
      </c>
      <c r="N792" s="3" t="str">
        <f t="shared" si="38"/>
        <v>No</v>
      </c>
      <c r="O792" s="3" t="str">
        <f>IF(COUNTIF($B:$B,B792)=1,"New Customer",
IF(COUNTIF($B:$B,B792)&lt;=3,"Returning Customer","Loyal Customer"))</f>
        <v>New Customer</v>
      </c>
      <c r="P792" s="3" t="str">
        <f>IF(cf_cl[[#This Row],[referred_claim]]="Yes","Referred","Not Referred")</f>
        <v>Referred</v>
      </c>
    </row>
    <row r="793" spans="1:16" x14ac:dyDescent="0.3">
      <c r="A793" t="s">
        <v>1494</v>
      </c>
      <c r="B793" t="s">
        <v>1495</v>
      </c>
      <c r="C793" s="1">
        <v>44895</v>
      </c>
      <c r="D793" t="s">
        <v>37</v>
      </c>
      <c r="E793">
        <v>4</v>
      </c>
      <c r="F793" s="3" t="s">
        <v>10</v>
      </c>
      <c r="G793" s="3" t="s">
        <v>10</v>
      </c>
      <c r="H793" s="3" t="str">
        <f>IF(cf_cl[[#This Row],[satisfaction_score]]&gt;=4,"Happy",IF(cf_cl[[#This Row],[satisfaction_score]]=3,"Neutral","Negative"))</f>
        <v>Happy</v>
      </c>
      <c r="I793" s="3" t="str">
        <f>IF(cf_cl[[#This Row],[satisfaction_score]]&lt;=2,"Low",IF(cf_cl[[#This Row],[satisfaction_score]]=3,"Medium","High"))</f>
        <v>High</v>
      </c>
      <c r="J793">
        <f>YEAR(cf_cl[[#This Row],[date_submitted]])</f>
        <v>2022</v>
      </c>
      <c r="K793" s="3" t="str">
        <f>TEXT(cf_cl[[#This Row],[date_submitted]],"mmm")</f>
        <v>Nov</v>
      </c>
      <c r="L793" s="3" t="str">
        <f t="shared" si="36"/>
        <v>Q4</v>
      </c>
      <c r="M793" s="3" t="str">
        <f t="shared" si="37"/>
        <v>Wednesday</v>
      </c>
      <c r="N793" s="3" t="str">
        <f t="shared" si="38"/>
        <v>No</v>
      </c>
      <c r="O793" s="3" t="str">
        <f>IF(COUNTIF($B:$B,B793)=1,"New Customer",
IF(COUNTIF($B:$B,B793)&lt;=3,"Returning Customer","Loyal Customer"))</f>
        <v>New Customer</v>
      </c>
      <c r="P793" s="3" t="str">
        <f>IF(cf_cl[[#This Row],[referred_claim]]="Yes","Referred","Not Referred")</f>
        <v>Referred</v>
      </c>
    </row>
    <row r="794" spans="1:16" x14ac:dyDescent="0.3">
      <c r="A794" t="s">
        <v>1496</v>
      </c>
      <c r="B794" t="s">
        <v>1497</v>
      </c>
      <c r="C794" s="1">
        <v>44788</v>
      </c>
      <c r="D794" t="s">
        <v>25</v>
      </c>
      <c r="E794">
        <v>4</v>
      </c>
      <c r="F794" s="3" t="s">
        <v>10</v>
      </c>
      <c r="G794" s="3" t="s">
        <v>13</v>
      </c>
      <c r="H794" s="3" t="str">
        <f>IF(cf_cl[[#This Row],[satisfaction_score]]&gt;=4,"Happy",IF(cf_cl[[#This Row],[satisfaction_score]]=3,"Neutral","Negative"))</f>
        <v>Happy</v>
      </c>
      <c r="I794" s="3" t="str">
        <f>IF(cf_cl[[#This Row],[satisfaction_score]]&lt;=2,"Low",IF(cf_cl[[#This Row],[satisfaction_score]]=3,"Medium","High"))</f>
        <v>High</v>
      </c>
      <c r="J794">
        <f>YEAR(cf_cl[[#This Row],[date_submitted]])</f>
        <v>2022</v>
      </c>
      <c r="K794" s="3" t="str">
        <f>TEXT(cf_cl[[#This Row],[date_submitted]],"mmm")</f>
        <v>Aug</v>
      </c>
      <c r="L794" s="3" t="str">
        <f t="shared" si="36"/>
        <v>Q3</v>
      </c>
      <c r="M794" s="3" t="str">
        <f t="shared" si="37"/>
        <v>Monday</v>
      </c>
      <c r="N794" s="3" t="str">
        <f t="shared" si="38"/>
        <v>No</v>
      </c>
      <c r="O794" s="3" t="str">
        <f>IF(COUNTIF($B:$B,B794)=1,"New Customer",
IF(COUNTIF($B:$B,B794)&lt;=3,"Returning Customer","Loyal Customer"))</f>
        <v>New Customer</v>
      </c>
      <c r="P794" s="3" t="str">
        <f>IF(cf_cl[[#This Row],[referred_claim]]="Yes","Referred","Not Referred")</f>
        <v>Not Referred</v>
      </c>
    </row>
    <row r="795" spans="1:16" x14ac:dyDescent="0.3">
      <c r="A795" t="s">
        <v>1498</v>
      </c>
      <c r="B795" t="s">
        <v>1499</v>
      </c>
      <c r="C795" s="1">
        <v>44308</v>
      </c>
      <c r="D795" t="s">
        <v>31</v>
      </c>
      <c r="E795">
        <v>2</v>
      </c>
      <c r="F795" s="3" t="s">
        <v>13</v>
      </c>
      <c r="G795" s="3" t="s">
        <v>10</v>
      </c>
      <c r="H795" s="3" t="str">
        <f>IF(cf_cl[[#This Row],[satisfaction_score]]&gt;=4,"Happy",IF(cf_cl[[#This Row],[satisfaction_score]]=3,"Neutral","Negative"))</f>
        <v>Negative</v>
      </c>
      <c r="I795" s="3" t="str">
        <f>IF(cf_cl[[#This Row],[satisfaction_score]]&lt;=2,"Low",IF(cf_cl[[#This Row],[satisfaction_score]]=3,"Medium","High"))</f>
        <v>Low</v>
      </c>
      <c r="J795">
        <f>YEAR(cf_cl[[#This Row],[date_submitted]])</f>
        <v>2021</v>
      </c>
      <c r="K795" s="3" t="str">
        <f>TEXT(cf_cl[[#This Row],[date_submitted]],"mmm")</f>
        <v>Apr</v>
      </c>
      <c r="L795" s="3" t="str">
        <f t="shared" si="36"/>
        <v>Q2</v>
      </c>
      <c r="M795" s="3" t="str">
        <f t="shared" si="37"/>
        <v>Thursday</v>
      </c>
      <c r="N795" s="3" t="str">
        <f t="shared" si="38"/>
        <v>Yes</v>
      </c>
      <c r="O795" s="3" t="str">
        <f>IF(COUNTIF($B:$B,B795)=1,"New Customer",
IF(COUNTIF($B:$B,B795)&lt;=3,"Returning Customer","Loyal Customer"))</f>
        <v>New Customer</v>
      </c>
      <c r="P795" s="3" t="str">
        <f>IF(cf_cl[[#This Row],[referred_claim]]="Yes","Referred","Not Referred")</f>
        <v>Referred</v>
      </c>
    </row>
    <row r="796" spans="1:16" x14ac:dyDescent="0.3">
      <c r="A796" t="s">
        <v>1500</v>
      </c>
      <c r="B796" t="s">
        <v>1501</v>
      </c>
      <c r="C796" s="1">
        <v>44101</v>
      </c>
      <c r="D796" t="s">
        <v>22</v>
      </c>
      <c r="E796">
        <v>4</v>
      </c>
      <c r="F796" s="3" t="s">
        <v>13</v>
      </c>
      <c r="G796" s="3" t="s">
        <v>10</v>
      </c>
      <c r="H796" s="3" t="str">
        <f>IF(cf_cl[[#This Row],[satisfaction_score]]&gt;=4,"Happy",IF(cf_cl[[#This Row],[satisfaction_score]]=3,"Neutral","Negative"))</f>
        <v>Happy</v>
      </c>
      <c r="I796" s="3" t="str">
        <f>IF(cf_cl[[#This Row],[satisfaction_score]]&lt;=2,"Low",IF(cf_cl[[#This Row],[satisfaction_score]]=3,"Medium","High"))</f>
        <v>High</v>
      </c>
      <c r="J796">
        <f>YEAR(cf_cl[[#This Row],[date_submitted]])</f>
        <v>2020</v>
      </c>
      <c r="K796" s="3" t="str">
        <f>TEXT(cf_cl[[#This Row],[date_submitted]],"mmm")</f>
        <v>Sep</v>
      </c>
      <c r="L796" s="3" t="str">
        <f t="shared" si="36"/>
        <v>Q3</v>
      </c>
      <c r="M796" s="3" t="str">
        <f t="shared" si="37"/>
        <v>Sunday</v>
      </c>
      <c r="N796" s="3" t="str">
        <f t="shared" si="38"/>
        <v>No</v>
      </c>
      <c r="O796" s="3" t="str">
        <f>IF(COUNTIF($B:$B,B796)=1,"New Customer",
IF(COUNTIF($B:$B,B796)&lt;=3,"Returning Customer","Loyal Customer"))</f>
        <v>Returning Customer</v>
      </c>
      <c r="P796" s="3" t="str">
        <f>IF(cf_cl[[#This Row],[referred_claim]]="Yes","Referred","Not Referred")</f>
        <v>Referred</v>
      </c>
    </row>
    <row r="797" spans="1:16" x14ac:dyDescent="0.3">
      <c r="A797" t="s">
        <v>1502</v>
      </c>
      <c r="B797" t="s">
        <v>670</v>
      </c>
      <c r="C797" s="1">
        <v>44771</v>
      </c>
      <c r="D797" t="s">
        <v>37</v>
      </c>
      <c r="E797">
        <v>5</v>
      </c>
      <c r="F797" s="3" t="s">
        <v>10</v>
      </c>
      <c r="G797" s="3" t="s">
        <v>10</v>
      </c>
      <c r="H797" s="3" t="str">
        <f>IF(cf_cl[[#This Row],[satisfaction_score]]&gt;=4,"Happy",IF(cf_cl[[#This Row],[satisfaction_score]]=3,"Neutral","Negative"))</f>
        <v>Happy</v>
      </c>
      <c r="I797" s="3" t="str">
        <f>IF(cf_cl[[#This Row],[satisfaction_score]]&lt;=2,"Low",IF(cf_cl[[#This Row],[satisfaction_score]]=3,"Medium","High"))</f>
        <v>High</v>
      </c>
      <c r="J797">
        <f>YEAR(cf_cl[[#This Row],[date_submitted]])</f>
        <v>2022</v>
      </c>
      <c r="K797" s="3" t="str">
        <f>TEXT(cf_cl[[#This Row],[date_submitted]],"mmm")</f>
        <v>Jul</v>
      </c>
      <c r="L797" s="3" t="str">
        <f t="shared" si="36"/>
        <v>Q3</v>
      </c>
      <c r="M797" s="3" t="str">
        <f t="shared" si="37"/>
        <v>Friday</v>
      </c>
      <c r="N797" s="3" t="str">
        <f t="shared" si="38"/>
        <v>No</v>
      </c>
      <c r="O797" s="3" t="str">
        <f>IF(COUNTIF($B:$B,B797)=1,"New Customer",
IF(COUNTIF($B:$B,B797)&lt;=3,"Returning Customer","Loyal Customer"))</f>
        <v>Returning Customer</v>
      </c>
      <c r="P797" s="3" t="str">
        <f>IF(cf_cl[[#This Row],[referred_claim]]="Yes","Referred","Not Referred")</f>
        <v>Referred</v>
      </c>
    </row>
    <row r="798" spans="1:16" x14ac:dyDescent="0.3">
      <c r="A798" t="s">
        <v>1503</v>
      </c>
      <c r="B798" t="s">
        <v>1504</v>
      </c>
      <c r="C798" s="1">
        <v>44665</v>
      </c>
      <c r="D798" t="s">
        <v>16</v>
      </c>
      <c r="E798">
        <v>5</v>
      </c>
      <c r="F798" s="3" t="s">
        <v>10</v>
      </c>
      <c r="G798" s="3" t="s">
        <v>10</v>
      </c>
      <c r="H798" s="3" t="str">
        <f>IF(cf_cl[[#This Row],[satisfaction_score]]&gt;=4,"Happy",IF(cf_cl[[#This Row],[satisfaction_score]]=3,"Neutral","Negative"))</f>
        <v>Happy</v>
      </c>
      <c r="I798" s="3" t="str">
        <f>IF(cf_cl[[#This Row],[satisfaction_score]]&lt;=2,"Low",IF(cf_cl[[#This Row],[satisfaction_score]]=3,"Medium","High"))</f>
        <v>High</v>
      </c>
      <c r="J798">
        <f>YEAR(cf_cl[[#This Row],[date_submitted]])</f>
        <v>2022</v>
      </c>
      <c r="K798" s="3" t="str">
        <f>TEXT(cf_cl[[#This Row],[date_submitted]],"mmm")</f>
        <v>Apr</v>
      </c>
      <c r="L798" s="3" t="str">
        <f t="shared" si="36"/>
        <v>Q2</v>
      </c>
      <c r="M798" s="3" t="str">
        <f t="shared" si="37"/>
        <v>Thursday</v>
      </c>
      <c r="N798" s="3" t="str">
        <f t="shared" si="38"/>
        <v>No</v>
      </c>
      <c r="O798" s="3" t="str">
        <f>IF(COUNTIF($B:$B,B798)=1,"New Customer",
IF(COUNTIF($B:$B,B798)&lt;=3,"Returning Customer","Loyal Customer"))</f>
        <v>New Customer</v>
      </c>
      <c r="P798" s="3" t="str">
        <f>IF(cf_cl[[#This Row],[referred_claim]]="Yes","Referred","Not Referred")</f>
        <v>Referred</v>
      </c>
    </row>
    <row r="799" spans="1:16" x14ac:dyDescent="0.3">
      <c r="A799" t="s">
        <v>1505</v>
      </c>
      <c r="B799" t="s">
        <v>1506</v>
      </c>
      <c r="C799" s="1">
        <v>44802</v>
      </c>
      <c r="D799" t="s">
        <v>16</v>
      </c>
      <c r="E799">
        <v>5</v>
      </c>
      <c r="F799" s="3" t="s">
        <v>13</v>
      </c>
      <c r="G799" s="3" t="s">
        <v>10</v>
      </c>
      <c r="H799" s="3" t="str">
        <f>IF(cf_cl[[#This Row],[satisfaction_score]]&gt;=4,"Happy",IF(cf_cl[[#This Row],[satisfaction_score]]=3,"Neutral","Negative"))</f>
        <v>Happy</v>
      </c>
      <c r="I799" s="3" t="str">
        <f>IF(cf_cl[[#This Row],[satisfaction_score]]&lt;=2,"Low",IF(cf_cl[[#This Row],[satisfaction_score]]=3,"Medium","High"))</f>
        <v>High</v>
      </c>
      <c r="J799">
        <f>YEAR(cf_cl[[#This Row],[date_submitted]])</f>
        <v>2022</v>
      </c>
      <c r="K799" s="3" t="str">
        <f>TEXT(cf_cl[[#This Row],[date_submitted]],"mmm")</f>
        <v>Aug</v>
      </c>
      <c r="L799" s="3" t="str">
        <f t="shared" si="36"/>
        <v>Q3</v>
      </c>
      <c r="M799" s="3" t="str">
        <f t="shared" si="37"/>
        <v>Monday</v>
      </c>
      <c r="N799" s="3" t="str">
        <f t="shared" si="38"/>
        <v>No</v>
      </c>
      <c r="O799" s="3" t="str">
        <f>IF(COUNTIF($B:$B,B799)=1,"New Customer",
IF(COUNTIF($B:$B,B799)&lt;=3,"Returning Customer","Loyal Customer"))</f>
        <v>New Customer</v>
      </c>
      <c r="P799" s="3" t="str">
        <f>IF(cf_cl[[#This Row],[referred_claim]]="Yes","Referred","Not Referred")</f>
        <v>Referred</v>
      </c>
    </row>
    <row r="800" spans="1:16" x14ac:dyDescent="0.3">
      <c r="A800" t="s">
        <v>1507</v>
      </c>
      <c r="B800" t="s">
        <v>1508</v>
      </c>
      <c r="C800" s="1">
        <v>44039</v>
      </c>
      <c r="D800" t="s">
        <v>22</v>
      </c>
      <c r="E800">
        <v>4</v>
      </c>
      <c r="F800" s="3" t="s">
        <v>10</v>
      </c>
      <c r="G800" s="3" t="s">
        <v>13</v>
      </c>
      <c r="H800" s="3" t="str">
        <f>IF(cf_cl[[#This Row],[satisfaction_score]]&gt;=4,"Happy",IF(cf_cl[[#This Row],[satisfaction_score]]=3,"Neutral","Negative"))</f>
        <v>Happy</v>
      </c>
      <c r="I800" s="3" t="str">
        <f>IF(cf_cl[[#This Row],[satisfaction_score]]&lt;=2,"Low",IF(cf_cl[[#This Row],[satisfaction_score]]=3,"Medium","High"))</f>
        <v>High</v>
      </c>
      <c r="J800">
        <f>YEAR(cf_cl[[#This Row],[date_submitted]])</f>
        <v>2020</v>
      </c>
      <c r="K800" s="3" t="str">
        <f>TEXT(cf_cl[[#This Row],[date_submitted]],"mmm")</f>
        <v>Jul</v>
      </c>
      <c r="L800" s="3" t="str">
        <f t="shared" si="36"/>
        <v>Q3</v>
      </c>
      <c r="M800" s="3" t="str">
        <f t="shared" si="37"/>
        <v>Monday</v>
      </c>
      <c r="N800" s="3" t="str">
        <f t="shared" si="38"/>
        <v>No</v>
      </c>
      <c r="O800" s="3" t="str">
        <f>IF(COUNTIF($B:$B,B800)=1,"New Customer",
IF(COUNTIF($B:$B,B800)&lt;=3,"Returning Customer","Loyal Customer"))</f>
        <v>New Customer</v>
      </c>
      <c r="P800" s="3" t="str">
        <f>IF(cf_cl[[#This Row],[referred_claim]]="Yes","Referred","Not Referred")</f>
        <v>Not Referred</v>
      </c>
    </row>
    <row r="801" spans="1:16" x14ac:dyDescent="0.3">
      <c r="A801" t="s">
        <v>1509</v>
      </c>
      <c r="B801" t="s">
        <v>1510</v>
      </c>
      <c r="C801" s="1">
        <v>44575</v>
      </c>
      <c r="D801" t="s">
        <v>68</v>
      </c>
      <c r="E801">
        <v>2</v>
      </c>
      <c r="F801" s="3" t="s">
        <v>10</v>
      </c>
      <c r="G801" s="3" t="s">
        <v>10</v>
      </c>
      <c r="H801" s="3" t="str">
        <f>IF(cf_cl[[#This Row],[satisfaction_score]]&gt;=4,"Happy",IF(cf_cl[[#This Row],[satisfaction_score]]=3,"Neutral","Negative"))</f>
        <v>Negative</v>
      </c>
      <c r="I801" s="3" t="str">
        <f>IF(cf_cl[[#This Row],[satisfaction_score]]&lt;=2,"Low",IF(cf_cl[[#This Row],[satisfaction_score]]=3,"Medium","High"))</f>
        <v>Low</v>
      </c>
      <c r="J801">
        <f>YEAR(cf_cl[[#This Row],[date_submitted]])</f>
        <v>2022</v>
      </c>
      <c r="K801" s="3" t="str">
        <f>TEXT(cf_cl[[#This Row],[date_submitted]],"mmm")</f>
        <v>Jan</v>
      </c>
      <c r="L801" s="3" t="str">
        <f t="shared" si="36"/>
        <v>Q1</v>
      </c>
      <c r="M801" s="3" t="str">
        <f t="shared" si="37"/>
        <v>Friday</v>
      </c>
      <c r="N801" s="3" t="str">
        <f t="shared" si="38"/>
        <v>Yes</v>
      </c>
      <c r="O801" s="3" t="str">
        <f>IF(COUNTIF($B:$B,B801)=1,"New Customer",
IF(COUNTIF($B:$B,B801)&lt;=3,"Returning Customer","Loyal Customer"))</f>
        <v>New Customer</v>
      </c>
      <c r="P801" s="3" t="str">
        <f>IF(cf_cl[[#This Row],[referred_claim]]="Yes","Referred","Not Referred")</f>
        <v>Referred</v>
      </c>
    </row>
    <row r="802" spans="1:16" x14ac:dyDescent="0.3">
      <c r="A802" t="s">
        <v>1511</v>
      </c>
      <c r="B802" t="s">
        <v>1512</v>
      </c>
      <c r="C802" s="1">
        <v>44839</v>
      </c>
      <c r="D802" t="s">
        <v>22</v>
      </c>
      <c r="E802">
        <v>5</v>
      </c>
      <c r="F802" s="3" t="s">
        <v>10</v>
      </c>
      <c r="G802" s="3" t="s">
        <v>10</v>
      </c>
      <c r="H802" s="3" t="str">
        <f>IF(cf_cl[[#This Row],[satisfaction_score]]&gt;=4,"Happy",IF(cf_cl[[#This Row],[satisfaction_score]]=3,"Neutral","Negative"))</f>
        <v>Happy</v>
      </c>
      <c r="I802" s="3" t="str">
        <f>IF(cf_cl[[#This Row],[satisfaction_score]]&lt;=2,"Low",IF(cf_cl[[#This Row],[satisfaction_score]]=3,"Medium","High"))</f>
        <v>High</v>
      </c>
      <c r="J802">
        <f>YEAR(cf_cl[[#This Row],[date_submitted]])</f>
        <v>2022</v>
      </c>
      <c r="K802" s="3" t="str">
        <f>TEXT(cf_cl[[#This Row],[date_submitted]],"mmm")</f>
        <v>Oct</v>
      </c>
      <c r="L802" s="3" t="str">
        <f t="shared" si="36"/>
        <v>Q4</v>
      </c>
      <c r="M802" s="3" t="str">
        <f t="shared" si="37"/>
        <v>Wednesday</v>
      </c>
      <c r="N802" s="3" t="str">
        <f t="shared" si="38"/>
        <v>No</v>
      </c>
      <c r="O802" s="3" t="str">
        <f>IF(COUNTIF($B:$B,B802)=1,"New Customer",
IF(COUNTIF($B:$B,B802)&lt;=3,"Returning Customer","Loyal Customer"))</f>
        <v>New Customer</v>
      </c>
      <c r="P802" s="3" t="str">
        <f>IF(cf_cl[[#This Row],[referred_claim]]="Yes","Referred","Not Referred")</f>
        <v>Referred</v>
      </c>
    </row>
    <row r="803" spans="1:16" x14ac:dyDescent="0.3">
      <c r="A803" t="s">
        <v>1513</v>
      </c>
      <c r="B803" t="s">
        <v>1514</v>
      </c>
      <c r="C803" s="1">
        <v>44106</v>
      </c>
      <c r="D803" t="s">
        <v>28</v>
      </c>
      <c r="E803">
        <v>5</v>
      </c>
      <c r="F803" s="3" t="s">
        <v>10</v>
      </c>
      <c r="G803" s="3" t="s">
        <v>13</v>
      </c>
      <c r="H803" s="3" t="str">
        <f>IF(cf_cl[[#This Row],[satisfaction_score]]&gt;=4,"Happy",IF(cf_cl[[#This Row],[satisfaction_score]]=3,"Neutral","Negative"))</f>
        <v>Happy</v>
      </c>
      <c r="I803" s="3" t="str">
        <f>IF(cf_cl[[#This Row],[satisfaction_score]]&lt;=2,"Low",IF(cf_cl[[#This Row],[satisfaction_score]]=3,"Medium","High"))</f>
        <v>High</v>
      </c>
      <c r="J803">
        <f>YEAR(cf_cl[[#This Row],[date_submitted]])</f>
        <v>2020</v>
      </c>
      <c r="K803" s="3" t="str">
        <f>TEXT(cf_cl[[#This Row],[date_submitted]],"mmm")</f>
        <v>Oct</v>
      </c>
      <c r="L803" s="3" t="str">
        <f t="shared" si="36"/>
        <v>Q4</v>
      </c>
      <c r="M803" s="3" t="str">
        <f t="shared" si="37"/>
        <v>Friday</v>
      </c>
      <c r="N803" s="3" t="str">
        <f t="shared" si="38"/>
        <v>No</v>
      </c>
      <c r="O803" s="3" t="str">
        <f>IF(COUNTIF($B:$B,B803)=1,"New Customer",
IF(COUNTIF($B:$B,B803)&lt;=3,"Returning Customer","Loyal Customer"))</f>
        <v>New Customer</v>
      </c>
      <c r="P803" s="3" t="str">
        <f>IF(cf_cl[[#This Row],[referred_claim]]="Yes","Referred","Not Referred")</f>
        <v>Not Referred</v>
      </c>
    </row>
    <row r="804" spans="1:16" x14ac:dyDescent="0.3">
      <c r="A804" t="s">
        <v>1515</v>
      </c>
      <c r="B804" t="s">
        <v>621</v>
      </c>
      <c r="C804" s="1">
        <v>44655</v>
      </c>
      <c r="D804" t="s">
        <v>22</v>
      </c>
      <c r="E804">
        <v>4</v>
      </c>
      <c r="F804" s="3" t="s">
        <v>13</v>
      </c>
      <c r="G804" s="3" t="s">
        <v>13</v>
      </c>
      <c r="H804" s="3" t="str">
        <f>IF(cf_cl[[#This Row],[satisfaction_score]]&gt;=4,"Happy",IF(cf_cl[[#This Row],[satisfaction_score]]=3,"Neutral","Negative"))</f>
        <v>Happy</v>
      </c>
      <c r="I804" s="3" t="str">
        <f>IF(cf_cl[[#This Row],[satisfaction_score]]&lt;=2,"Low",IF(cf_cl[[#This Row],[satisfaction_score]]=3,"Medium","High"))</f>
        <v>High</v>
      </c>
      <c r="J804">
        <f>YEAR(cf_cl[[#This Row],[date_submitted]])</f>
        <v>2022</v>
      </c>
      <c r="K804" s="3" t="str">
        <f>TEXT(cf_cl[[#This Row],[date_submitted]],"mmm")</f>
        <v>Apr</v>
      </c>
      <c r="L804" s="3" t="str">
        <f t="shared" si="36"/>
        <v>Q2</v>
      </c>
      <c r="M804" s="3" t="str">
        <f t="shared" si="37"/>
        <v>Monday</v>
      </c>
      <c r="N804" s="3" t="str">
        <f t="shared" si="38"/>
        <v>No</v>
      </c>
      <c r="O804" s="3" t="str">
        <f>IF(COUNTIF($B:$B,B804)=1,"New Customer",
IF(COUNTIF($B:$B,B804)&lt;=3,"Returning Customer","Loyal Customer"))</f>
        <v>Returning Customer</v>
      </c>
      <c r="P804" s="3" t="str">
        <f>IF(cf_cl[[#This Row],[referred_claim]]="Yes","Referred","Not Referred")</f>
        <v>Not Referred</v>
      </c>
    </row>
    <row r="805" spans="1:16" x14ac:dyDescent="0.3">
      <c r="A805" t="s">
        <v>1516</v>
      </c>
      <c r="B805" t="s">
        <v>1517</v>
      </c>
      <c r="C805" s="1">
        <v>44562</v>
      </c>
      <c r="D805" t="s">
        <v>28</v>
      </c>
      <c r="E805">
        <v>5</v>
      </c>
      <c r="F805" s="3" t="s">
        <v>13</v>
      </c>
      <c r="G805" s="3" t="s">
        <v>13</v>
      </c>
      <c r="H805" s="3" t="str">
        <f>IF(cf_cl[[#This Row],[satisfaction_score]]&gt;=4,"Happy",IF(cf_cl[[#This Row],[satisfaction_score]]=3,"Neutral","Negative"))</f>
        <v>Happy</v>
      </c>
      <c r="I805" s="3" t="str">
        <f>IF(cf_cl[[#This Row],[satisfaction_score]]&lt;=2,"Low",IF(cf_cl[[#This Row],[satisfaction_score]]=3,"Medium","High"))</f>
        <v>High</v>
      </c>
      <c r="J805">
        <f>YEAR(cf_cl[[#This Row],[date_submitted]])</f>
        <v>2022</v>
      </c>
      <c r="K805" s="3" t="str">
        <f>TEXT(cf_cl[[#This Row],[date_submitted]],"mmm")</f>
        <v>Jan</v>
      </c>
      <c r="L805" s="3" t="str">
        <f t="shared" si="36"/>
        <v>Q1</v>
      </c>
      <c r="M805" s="3" t="str">
        <f t="shared" si="37"/>
        <v>Saturday</v>
      </c>
      <c r="N805" s="3" t="str">
        <f t="shared" si="38"/>
        <v>No</v>
      </c>
      <c r="O805" s="3" t="str">
        <f>IF(COUNTIF($B:$B,B805)=1,"New Customer",
IF(COUNTIF($B:$B,B805)&lt;=3,"Returning Customer","Loyal Customer"))</f>
        <v>New Customer</v>
      </c>
      <c r="P805" s="3" t="str">
        <f>IF(cf_cl[[#This Row],[referred_claim]]="Yes","Referred","Not Referred")</f>
        <v>Not Referred</v>
      </c>
    </row>
    <row r="806" spans="1:16" x14ac:dyDescent="0.3">
      <c r="A806" t="s">
        <v>1518</v>
      </c>
      <c r="B806" t="s">
        <v>1519</v>
      </c>
      <c r="C806" s="1">
        <v>43897</v>
      </c>
      <c r="D806" t="s">
        <v>37</v>
      </c>
      <c r="E806">
        <v>4</v>
      </c>
      <c r="F806" s="3" t="s">
        <v>13</v>
      </c>
      <c r="G806" s="3" t="s">
        <v>10</v>
      </c>
      <c r="H806" s="3" t="str">
        <f>IF(cf_cl[[#This Row],[satisfaction_score]]&gt;=4,"Happy",IF(cf_cl[[#This Row],[satisfaction_score]]=3,"Neutral","Negative"))</f>
        <v>Happy</v>
      </c>
      <c r="I806" s="3" t="str">
        <f>IF(cf_cl[[#This Row],[satisfaction_score]]&lt;=2,"Low",IF(cf_cl[[#This Row],[satisfaction_score]]=3,"Medium","High"))</f>
        <v>High</v>
      </c>
      <c r="J806">
        <f>YEAR(cf_cl[[#This Row],[date_submitted]])</f>
        <v>2020</v>
      </c>
      <c r="K806" s="3" t="str">
        <f>TEXT(cf_cl[[#This Row],[date_submitted]],"mmm")</f>
        <v>Mar</v>
      </c>
      <c r="L806" s="3" t="str">
        <f t="shared" si="36"/>
        <v>Q1</v>
      </c>
      <c r="M806" s="3" t="str">
        <f t="shared" si="37"/>
        <v>Saturday</v>
      </c>
      <c r="N806" s="3" t="str">
        <f t="shared" si="38"/>
        <v>No</v>
      </c>
      <c r="O806" s="3" t="str">
        <f>IF(COUNTIF($B:$B,B806)=1,"New Customer",
IF(COUNTIF($B:$B,B806)&lt;=3,"Returning Customer","Loyal Customer"))</f>
        <v>New Customer</v>
      </c>
      <c r="P806" s="3" t="str">
        <f>IF(cf_cl[[#This Row],[referred_claim]]="Yes","Referred","Not Referred")</f>
        <v>Referred</v>
      </c>
    </row>
    <row r="807" spans="1:16" x14ac:dyDescent="0.3">
      <c r="A807" t="s">
        <v>1520</v>
      </c>
      <c r="B807" t="s">
        <v>1521</v>
      </c>
      <c r="C807" s="1">
        <v>45151</v>
      </c>
      <c r="D807" t="s">
        <v>19</v>
      </c>
      <c r="E807">
        <v>2</v>
      </c>
      <c r="F807" s="3" t="s">
        <v>10</v>
      </c>
      <c r="G807" s="3" t="s">
        <v>10</v>
      </c>
      <c r="H807" s="3" t="str">
        <f>IF(cf_cl[[#This Row],[satisfaction_score]]&gt;=4,"Happy",IF(cf_cl[[#This Row],[satisfaction_score]]=3,"Neutral","Negative"))</f>
        <v>Negative</v>
      </c>
      <c r="I807" s="3" t="str">
        <f>IF(cf_cl[[#This Row],[satisfaction_score]]&lt;=2,"Low",IF(cf_cl[[#This Row],[satisfaction_score]]=3,"Medium","High"))</f>
        <v>Low</v>
      </c>
      <c r="J807">
        <f>YEAR(cf_cl[[#This Row],[date_submitted]])</f>
        <v>2023</v>
      </c>
      <c r="K807" s="3" t="str">
        <f>TEXT(cf_cl[[#This Row],[date_submitted]],"mmm")</f>
        <v>Aug</v>
      </c>
      <c r="L807" s="3" t="str">
        <f t="shared" si="36"/>
        <v>Q3</v>
      </c>
      <c r="M807" s="3" t="str">
        <f t="shared" si="37"/>
        <v>Sunday</v>
      </c>
      <c r="N807" s="3" t="str">
        <f t="shared" si="38"/>
        <v>Yes</v>
      </c>
      <c r="O807" s="3" t="str">
        <f>IF(COUNTIF($B:$B,B807)=1,"New Customer",
IF(COUNTIF($B:$B,B807)&lt;=3,"Returning Customer","Loyal Customer"))</f>
        <v>Returning Customer</v>
      </c>
      <c r="P807" s="3" t="str">
        <f>IF(cf_cl[[#This Row],[referred_claim]]="Yes","Referred","Not Referred")</f>
        <v>Referred</v>
      </c>
    </row>
    <row r="808" spans="1:16" x14ac:dyDescent="0.3">
      <c r="A808" t="s">
        <v>1522</v>
      </c>
      <c r="B808" t="s">
        <v>515</v>
      </c>
      <c r="C808" s="1">
        <v>45025</v>
      </c>
      <c r="D808" t="s">
        <v>83</v>
      </c>
      <c r="E808">
        <v>2</v>
      </c>
      <c r="F808" s="3" t="s">
        <v>13</v>
      </c>
      <c r="G808" s="3" t="s">
        <v>10</v>
      </c>
      <c r="H808" s="3" t="str">
        <f>IF(cf_cl[[#This Row],[satisfaction_score]]&gt;=4,"Happy",IF(cf_cl[[#This Row],[satisfaction_score]]=3,"Neutral","Negative"))</f>
        <v>Negative</v>
      </c>
      <c r="I808" s="3" t="str">
        <f>IF(cf_cl[[#This Row],[satisfaction_score]]&lt;=2,"Low",IF(cf_cl[[#This Row],[satisfaction_score]]=3,"Medium","High"))</f>
        <v>Low</v>
      </c>
      <c r="J808">
        <f>YEAR(cf_cl[[#This Row],[date_submitted]])</f>
        <v>2023</v>
      </c>
      <c r="K808" s="3" t="str">
        <f>TEXT(cf_cl[[#This Row],[date_submitted]],"mmm")</f>
        <v>Apr</v>
      </c>
      <c r="L808" s="3" t="str">
        <f t="shared" si="36"/>
        <v>Q2</v>
      </c>
      <c r="M808" s="3" t="str">
        <f t="shared" si="37"/>
        <v>Sunday</v>
      </c>
      <c r="N808" s="3" t="str">
        <f t="shared" si="38"/>
        <v>Yes</v>
      </c>
      <c r="O808" s="3" t="str">
        <f>IF(COUNTIF($B:$B,B808)=1,"New Customer",
IF(COUNTIF($B:$B,B808)&lt;=3,"Returning Customer","Loyal Customer"))</f>
        <v>Returning Customer</v>
      </c>
      <c r="P808" s="3" t="str">
        <f>IF(cf_cl[[#This Row],[referred_claim]]="Yes","Referred","Not Referred")</f>
        <v>Referred</v>
      </c>
    </row>
    <row r="809" spans="1:16" x14ac:dyDescent="0.3">
      <c r="A809" t="s">
        <v>1523</v>
      </c>
      <c r="B809" t="s">
        <v>1524</v>
      </c>
      <c r="C809" s="1">
        <v>44574</v>
      </c>
      <c r="D809" t="s">
        <v>28</v>
      </c>
      <c r="E809">
        <v>5</v>
      </c>
      <c r="F809" s="3" t="s">
        <v>13</v>
      </c>
      <c r="G809" s="3" t="s">
        <v>13</v>
      </c>
      <c r="H809" s="3" t="str">
        <f>IF(cf_cl[[#This Row],[satisfaction_score]]&gt;=4,"Happy",IF(cf_cl[[#This Row],[satisfaction_score]]=3,"Neutral","Negative"))</f>
        <v>Happy</v>
      </c>
      <c r="I809" s="3" t="str">
        <f>IF(cf_cl[[#This Row],[satisfaction_score]]&lt;=2,"Low",IF(cf_cl[[#This Row],[satisfaction_score]]=3,"Medium","High"))</f>
        <v>High</v>
      </c>
      <c r="J809">
        <f>YEAR(cf_cl[[#This Row],[date_submitted]])</f>
        <v>2022</v>
      </c>
      <c r="K809" s="3" t="str">
        <f>TEXT(cf_cl[[#This Row],[date_submitted]],"mmm")</f>
        <v>Jan</v>
      </c>
      <c r="L809" s="3" t="str">
        <f t="shared" si="36"/>
        <v>Q1</v>
      </c>
      <c r="M809" s="3" t="str">
        <f t="shared" si="37"/>
        <v>Thursday</v>
      </c>
      <c r="N809" s="3" t="str">
        <f t="shared" si="38"/>
        <v>No</v>
      </c>
      <c r="O809" s="3" t="str">
        <f>IF(COUNTIF($B:$B,B809)=1,"New Customer",
IF(COUNTIF($B:$B,B809)&lt;=3,"Returning Customer","Loyal Customer"))</f>
        <v>New Customer</v>
      </c>
      <c r="P809" s="3" t="str">
        <f>IF(cf_cl[[#This Row],[referred_claim]]="Yes","Referred","Not Referred")</f>
        <v>Not Referred</v>
      </c>
    </row>
    <row r="810" spans="1:16" x14ac:dyDescent="0.3">
      <c r="A810" t="s">
        <v>1525</v>
      </c>
      <c r="B810" t="s">
        <v>1526</v>
      </c>
      <c r="C810" s="1">
        <v>43992</v>
      </c>
      <c r="D810" t="s">
        <v>22</v>
      </c>
      <c r="E810">
        <v>4</v>
      </c>
      <c r="F810" s="3" t="s">
        <v>10</v>
      </c>
      <c r="G810" s="3" t="s">
        <v>13</v>
      </c>
      <c r="H810" s="3" t="str">
        <f>IF(cf_cl[[#This Row],[satisfaction_score]]&gt;=4,"Happy",IF(cf_cl[[#This Row],[satisfaction_score]]=3,"Neutral","Negative"))</f>
        <v>Happy</v>
      </c>
      <c r="I810" s="3" t="str">
        <f>IF(cf_cl[[#This Row],[satisfaction_score]]&lt;=2,"Low",IF(cf_cl[[#This Row],[satisfaction_score]]=3,"Medium","High"))</f>
        <v>High</v>
      </c>
      <c r="J810">
        <f>YEAR(cf_cl[[#This Row],[date_submitted]])</f>
        <v>2020</v>
      </c>
      <c r="K810" s="3" t="str">
        <f>TEXT(cf_cl[[#This Row],[date_submitted]],"mmm")</f>
        <v>Jun</v>
      </c>
      <c r="L810" s="3" t="str">
        <f t="shared" si="36"/>
        <v>Q2</v>
      </c>
      <c r="M810" s="3" t="str">
        <f t="shared" si="37"/>
        <v>Wednesday</v>
      </c>
      <c r="N810" s="3" t="str">
        <f t="shared" si="38"/>
        <v>No</v>
      </c>
      <c r="O810" s="3" t="str">
        <f>IF(COUNTIF($B:$B,B810)=1,"New Customer",
IF(COUNTIF($B:$B,B810)&lt;=3,"Returning Customer","Loyal Customer"))</f>
        <v>New Customer</v>
      </c>
      <c r="P810" s="3" t="str">
        <f>IF(cf_cl[[#This Row],[referred_claim]]="Yes","Referred","Not Referred")</f>
        <v>Not Referred</v>
      </c>
    </row>
    <row r="811" spans="1:16" x14ac:dyDescent="0.3">
      <c r="A811" t="s">
        <v>1527</v>
      </c>
      <c r="B811" t="s">
        <v>1528</v>
      </c>
      <c r="C811" s="1">
        <v>44716</v>
      </c>
      <c r="D811" t="s">
        <v>19</v>
      </c>
      <c r="E811">
        <v>3</v>
      </c>
      <c r="F811" s="3" t="s">
        <v>13</v>
      </c>
      <c r="G811" s="3" t="s">
        <v>10</v>
      </c>
      <c r="H811" s="3" t="str">
        <f>IF(cf_cl[[#This Row],[satisfaction_score]]&gt;=4,"Happy",IF(cf_cl[[#This Row],[satisfaction_score]]=3,"Neutral","Negative"))</f>
        <v>Neutral</v>
      </c>
      <c r="I811" s="3" t="str">
        <f>IF(cf_cl[[#This Row],[satisfaction_score]]&lt;=2,"Low",IF(cf_cl[[#This Row],[satisfaction_score]]=3,"Medium","High"))</f>
        <v>Medium</v>
      </c>
      <c r="J811">
        <f>YEAR(cf_cl[[#This Row],[date_submitted]])</f>
        <v>2022</v>
      </c>
      <c r="K811" s="3" t="str">
        <f>TEXT(cf_cl[[#This Row],[date_submitted]],"mmm")</f>
        <v>Jun</v>
      </c>
      <c r="L811" s="3" t="str">
        <f t="shared" si="36"/>
        <v>Q2</v>
      </c>
      <c r="M811" s="3" t="str">
        <f t="shared" si="37"/>
        <v>Saturday</v>
      </c>
      <c r="N811" s="3" t="str">
        <f t="shared" si="38"/>
        <v>No</v>
      </c>
      <c r="O811" s="3" t="str">
        <f>IF(COUNTIF($B:$B,B811)=1,"New Customer",
IF(COUNTIF($B:$B,B811)&lt;=3,"Returning Customer","Loyal Customer"))</f>
        <v>New Customer</v>
      </c>
      <c r="P811" s="3" t="str">
        <f>IF(cf_cl[[#This Row],[referred_claim]]="Yes","Referred","Not Referred")</f>
        <v>Referred</v>
      </c>
    </row>
    <row r="812" spans="1:16" x14ac:dyDescent="0.3">
      <c r="A812" t="s">
        <v>1529</v>
      </c>
      <c r="B812" t="s">
        <v>1530</v>
      </c>
      <c r="C812" s="1">
        <v>44802</v>
      </c>
      <c r="D812" t="s">
        <v>31</v>
      </c>
      <c r="E812">
        <v>2</v>
      </c>
      <c r="F812" s="3" t="s">
        <v>10</v>
      </c>
      <c r="G812" s="3" t="s">
        <v>10</v>
      </c>
      <c r="H812" s="3" t="str">
        <f>IF(cf_cl[[#This Row],[satisfaction_score]]&gt;=4,"Happy",IF(cf_cl[[#This Row],[satisfaction_score]]=3,"Neutral","Negative"))</f>
        <v>Negative</v>
      </c>
      <c r="I812" s="3" t="str">
        <f>IF(cf_cl[[#This Row],[satisfaction_score]]&lt;=2,"Low",IF(cf_cl[[#This Row],[satisfaction_score]]=3,"Medium","High"))</f>
        <v>Low</v>
      </c>
      <c r="J812">
        <f>YEAR(cf_cl[[#This Row],[date_submitted]])</f>
        <v>2022</v>
      </c>
      <c r="K812" s="3" t="str">
        <f>TEXT(cf_cl[[#This Row],[date_submitted]],"mmm")</f>
        <v>Aug</v>
      </c>
      <c r="L812" s="3" t="str">
        <f t="shared" si="36"/>
        <v>Q3</v>
      </c>
      <c r="M812" s="3" t="str">
        <f t="shared" si="37"/>
        <v>Monday</v>
      </c>
      <c r="N812" s="3" t="str">
        <f t="shared" si="38"/>
        <v>Yes</v>
      </c>
      <c r="O812" s="3" t="str">
        <f>IF(COUNTIF($B:$B,B812)=1,"New Customer",
IF(COUNTIF($B:$B,B812)&lt;=3,"Returning Customer","Loyal Customer"))</f>
        <v>New Customer</v>
      </c>
      <c r="P812" s="3" t="str">
        <f>IF(cf_cl[[#This Row],[referred_claim]]="Yes","Referred","Not Referred")</f>
        <v>Referred</v>
      </c>
    </row>
    <row r="813" spans="1:16" x14ac:dyDescent="0.3">
      <c r="A813" t="s">
        <v>1531</v>
      </c>
      <c r="B813" t="s">
        <v>588</v>
      </c>
      <c r="C813" s="1">
        <v>45255</v>
      </c>
      <c r="D813" t="s">
        <v>9</v>
      </c>
      <c r="E813">
        <v>1</v>
      </c>
      <c r="F813" s="3" t="s">
        <v>10</v>
      </c>
      <c r="G813" s="3" t="s">
        <v>10</v>
      </c>
      <c r="H813" s="3" t="str">
        <f>IF(cf_cl[[#This Row],[satisfaction_score]]&gt;=4,"Happy",IF(cf_cl[[#This Row],[satisfaction_score]]=3,"Neutral","Negative"))</f>
        <v>Negative</v>
      </c>
      <c r="I813" s="3" t="str">
        <f>IF(cf_cl[[#This Row],[satisfaction_score]]&lt;=2,"Low",IF(cf_cl[[#This Row],[satisfaction_score]]=3,"Medium","High"))</f>
        <v>Low</v>
      </c>
      <c r="J813">
        <f>YEAR(cf_cl[[#This Row],[date_submitted]])</f>
        <v>2023</v>
      </c>
      <c r="K813" s="3" t="str">
        <f>TEXT(cf_cl[[#This Row],[date_submitted]],"mmm")</f>
        <v>Nov</v>
      </c>
      <c r="L813" s="3" t="str">
        <f t="shared" si="36"/>
        <v>Q4</v>
      </c>
      <c r="M813" s="3" t="str">
        <f t="shared" si="37"/>
        <v>Saturday</v>
      </c>
      <c r="N813" s="3" t="str">
        <f t="shared" si="38"/>
        <v>Yes</v>
      </c>
      <c r="O813" s="3" t="str">
        <f>IF(COUNTIF($B:$B,B813)=1,"New Customer",
IF(COUNTIF($B:$B,B813)&lt;=3,"Returning Customer","Loyal Customer"))</f>
        <v>Returning Customer</v>
      </c>
      <c r="P813" s="3" t="str">
        <f>IF(cf_cl[[#This Row],[referred_claim]]="Yes","Referred","Not Referred")</f>
        <v>Referred</v>
      </c>
    </row>
    <row r="814" spans="1:16" x14ac:dyDescent="0.3">
      <c r="A814" t="s">
        <v>1532</v>
      </c>
      <c r="B814" t="s">
        <v>1533</v>
      </c>
      <c r="C814" s="1">
        <v>44907</v>
      </c>
      <c r="D814" t="s">
        <v>19</v>
      </c>
      <c r="E814">
        <v>3</v>
      </c>
      <c r="F814" s="3" t="s">
        <v>10</v>
      </c>
      <c r="G814" s="3" t="s">
        <v>10</v>
      </c>
      <c r="H814" s="3" t="str">
        <f>IF(cf_cl[[#This Row],[satisfaction_score]]&gt;=4,"Happy",IF(cf_cl[[#This Row],[satisfaction_score]]=3,"Neutral","Negative"))</f>
        <v>Neutral</v>
      </c>
      <c r="I814" s="3" t="str">
        <f>IF(cf_cl[[#This Row],[satisfaction_score]]&lt;=2,"Low",IF(cf_cl[[#This Row],[satisfaction_score]]=3,"Medium","High"))</f>
        <v>Medium</v>
      </c>
      <c r="J814">
        <f>YEAR(cf_cl[[#This Row],[date_submitted]])</f>
        <v>2022</v>
      </c>
      <c r="K814" s="3" t="str">
        <f>TEXT(cf_cl[[#This Row],[date_submitted]],"mmm")</f>
        <v>Dec</v>
      </c>
      <c r="L814" s="3" t="str">
        <f t="shared" si="36"/>
        <v>Q4</v>
      </c>
      <c r="M814" s="3" t="str">
        <f t="shared" si="37"/>
        <v>Monday</v>
      </c>
      <c r="N814" s="3" t="str">
        <f t="shared" si="38"/>
        <v>No</v>
      </c>
      <c r="O814" s="3" t="str">
        <f>IF(COUNTIF($B:$B,B814)=1,"New Customer",
IF(COUNTIF($B:$B,B814)&lt;=3,"Returning Customer","Loyal Customer"))</f>
        <v>New Customer</v>
      </c>
      <c r="P814" s="3" t="str">
        <f>IF(cf_cl[[#This Row],[referred_claim]]="Yes","Referred","Not Referred")</f>
        <v>Referred</v>
      </c>
    </row>
    <row r="815" spans="1:16" x14ac:dyDescent="0.3">
      <c r="A815" t="s">
        <v>1534</v>
      </c>
      <c r="B815" t="s">
        <v>1535</v>
      </c>
      <c r="C815" s="1">
        <v>45012</v>
      </c>
      <c r="D815" t="s">
        <v>68</v>
      </c>
      <c r="E815">
        <v>1</v>
      </c>
      <c r="F815" s="3" t="s">
        <v>13</v>
      </c>
      <c r="G815" s="3" t="s">
        <v>13</v>
      </c>
      <c r="H815" s="3" t="str">
        <f>IF(cf_cl[[#This Row],[satisfaction_score]]&gt;=4,"Happy",IF(cf_cl[[#This Row],[satisfaction_score]]=3,"Neutral","Negative"))</f>
        <v>Negative</v>
      </c>
      <c r="I815" s="3" t="str">
        <f>IF(cf_cl[[#This Row],[satisfaction_score]]&lt;=2,"Low",IF(cf_cl[[#This Row],[satisfaction_score]]=3,"Medium","High"))</f>
        <v>Low</v>
      </c>
      <c r="J815">
        <f>YEAR(cf_cl[[#This Row],[date_submitted]])</f>
        <v>2023</v>
      </c>
      <c r="K815" s="3" t="str">
        <f>TEXT(cf_cl[[#This Row],[date_submitted]],"mmm")</f>
        <v>Mar</v>
      </c>
      <c r="L815" s="3" t="str">
        <f t="shared" si="36"/>
        <v>Q1</v>
      </c>
      <c r="M815" s="3" t="str">
        <f t="shared" si="37"/>
        <v>Monday</v>
      </c>
      <c r="N815" s="3" t="str">
        <f t="shared" si="38"/>
        <v>Yes</v>
      </c>
      <c r="O815" s="3" t="str">
        <f>IF(COUNTIF($B:$B,B815)=1,"New Customer",
IF(COUNTIF($B:$B,B815)&lt;=3,"Returning Customer","Loyal Customer"))</f>
        <v>New Customer</v>
      </c>
      <c r="P815" s="3" t="str">
        <f>IF(cf_cl[[#This Row],[referred_claim]]="Yes","Referred","Not Referred")</f>
        <v>Not Referred</v>
      </c>
    </row>
    <row r="816" spans="1:16" x14ac:dyDescent="0.3">
      <c r="A816" t="s">
        <v>1536</v>
      </c>
      <c r="B816" t="s">
        <v>1537</v>
      </c>
      <c r="C816" s="1">
        <v>44192</v>
      </c>
      <c r="D816" t="s">
        <v>83</v>
      </c>
      <c r="E816">
        <v>3</v>
      </c>
      <c r="F816" s="3" t="s">
        <v>10</v>
      </c>
      <c r="G816" s="3" t="s">
        <v>10</v>
      </c>
      <c r="H816" s="3" t="str">
        <f>IF(cf_cl[[#This Row],[satisfaction_score]]&gt;=4,"Happy",IF(cf_cl[[#This Row],[satisfaction_score]]=3,"Neutral","Negative"))</f>
        <v>Neutral</v>
      </c>
      <c r="I816" s="3" t="str">
        <f>IF(cf_cl[[#This Row],[satisfaction_score]]&lt;=2,"Low",IF(cf_cl[[#This Row],[satisfaction_score]]=3,"Medium","High"))</f>
        <v>Medium</v>
      </c>
      <c r="J816">
        <f>YEAR(cf_cl[[#This Row],[date_submitted]])</f>
        <v>2020</v>
      </c>
      <c r="K816" s="3" t="str">
        <f>TEXT(cf_cl[[#This Row],[date_submitted]],"mmm")</f>
        <v>Dec</v>
      </c>
      <c r="L816" s="3" t="str">
        <f t="shared" si="36"/>
        <v>Q4</v>
      </c>
      <c r="M816" s="3" t="str">
        <f t="shared" si="37"/>
        <v>Sunday</v>
      </c>
      <c r="N816" s="3" t="str">
        <f t="shared" si="38"/>
        <v>No</v>
      </c>
      <c r="O816" s="3" t="str">
        <f>IF(COUNTIF($B:$B,B816)=1,"New Customer",
IF(COUNTIF($B:$B,B816)&lt;=3,"Returning Customer","Loyal Customer"))</f>
        <v>New Customer</v>
      </c>
      <c r="P816" s="3" t="str">
        <f>IF(cf_cl[[#This Row],[referred_claim]]="Yes","Referred","Not Referred")</f>
        <v>Referred</v>
      </c>
    </row>
    <row r="817" spans="1:16" x14ac:dyDescent="0.3">
      <c r="A817" t="s">
        <v>1538</v>
      </c>
      <c r="B817" t="s">
        <v>615</v>
      </c>
      <c r="C817" s="1">
        <v>45148</v>
      </c>
      <c r="D817" t="s">
        <v>83</v>
      </c>
      <c r="E817">
        <v>1</v>
      </c>
      <c r="F817" s="3" t="s">
        <v>10</v>
      </c>
      <c r="G817" s="3" t="s">
        <v>10</v>
      </c>
      <c r="H817" s="3" t="str">
        <f>IF(cf_cl[[#This Row],[satisfaction_score]]&gt;=4,"Happy",IF(cf_cl[[#This Row],[satisfaction_score]]=3,"Neutral","Negative"))</f>
        <v>Negative</v>
      </c>
      <c r="I817" s="3" t="str">
        <f>IF(cf_cl[[#This Row],[satisfaction_score]]&lt;=2,"Low",IF(cf_cl[[#This Row],[satisfaction_score]]=3,"Medium","High"))</f>
        <v>Low</v>
      </c>
      <c r="J817">
        <f>YEAR(cf_cl[[#This Row],[date_submitted]])</f>
        <v>2023</v>
      </c>
      <c r="K817" s="3" t="str">
        <f>TEXT(cf_cl[[#This Row],[date_submitted]],"mmm")</f>
        <v>Aug</v>
      </c>
      <c r="L817" s="3" t="str">
        <f t="shared" si="36"/>
        <v>Q3</v>
      </c>
      <c r="M817" s="3" t="str">
        <f t="shared" si="37"/>
        <v>Thursday</v>
      </c>
      <c r="N817" s="3" t="str">
        <f t="shared" si="38"/>
        <v>Yes</v>
      </c>
      <c r="O817" s="3" t="str">
        <f>IF(COUNTIF($B:$B,B817)=1,"New Customer",
IF(COUNTIF($B:$B,B817)&lt;=3,"Returning Customer","Loyal Customer"))</f>
        <v>Returning Customer</v>
      </c>
      <c r="P817" s="3" t="str">
        <f>IF(cf_cl[[#This Row],[referred_claim]]="Yes","Referred","Not Referred")</f>
        <v>Referred</v>
      </c>
    </row>
    <row r="818" spans="1:16" x14ac:dyDescent="0.3">
      <c r="A818" t="s">
        <v>1539</v>
      </c>
      <c r="B818" t="s">
        <v>640</v>
      </c>
      <c r="C818" s="1">
        <v>45145</v>
      </c>
      <c r="D818" t="s">
        <v>31</v>
      </c>
      <c r="E818">
        <v>1</v>
      </c>
      <c r="F818" s="3" t="s">
        <v>10</v>
      </c>
      <c r="G818" s="3" t="s">
        <v>10</v>
      </c>
      <c r="H818" s="3" t="str">
        <f>IF(cf_cl[[#This Row],[satisfaction_score]]&gt;=4,"Happy",IF(cf_cl[[#This Row],[satisfaction_score]]=3,"Neutral","Negative"))</f>
        <v>Negative</v>
      </c>
      <c r="I818" s="3" t="str">
        <f>IF(cf_cl[[#This Row],[satisfaction_score]]&lt;=2,"Low",IF(cf_cl[[#This Row],[satisfaction_score]]=3,"Medium","High"))</f>
        <v>Low</v>
      </c>
      <c r="J818">
        <f>YEAR(cf_cl[[#This Row],[date_submitted]])</f>
        <v>2023</v>
      </c>
      <c r="K818" s="3" t="str">
        <f>TEXT(cf_cl[[#This Row],[date_submitted]],"mmm")</f>
        <v>Aug</v>
      </c>
      <c r="L818" s="3" t="str">
        <f t="shared" si="36"/>
        <v>Q3</v>
      </c>
      <c r="M818" s="3" t="str">
        <f t="shared" si="37"/>
        <v>Monday</v>
      </c>
      <c r="N818" s="3" t="str">
        <f t="shared" si="38"/>
        <v>Yes</v>
      </c>
      <c r="O818" s="3" t="str">
        <f>IF(COUNTIF($B:$B,B818)=1,"New Customer",
IF(COUNTIF($B:$B,B818)&lt;=3,"Returning Customer","Loyal Customer"))</f>
        <v>Returning Customer</v>
      </c>
      <c r="P818" s="3" t="str">
        <f>IF(cf_cl[[#This Row],[referred_claim]]="Yes","Referred","Not Referred")</f>
        <v>Referred</v>
      </c>
    </row>
    <row r="819" spans="1:16" x14ac:dyDescent="0.3">
      <c r="A819" t="s">
        <v>1540</v>
      </c>
      <c r="B819" t="s">
        <v>1541</v>
      </c>
      <c r="C819" s="1">
        <v>44894</v>
      </c>
      <c r="D819" t="s">
        <v>28</v>
      </c>
      <c r="E819">
        <v>5</v>
      </c>
      <c r="F819" s="3" t="s">
        <v>13</v>
      </c>
      <c r="G819" s="3" t="s">
        <v>13</v>
      </c>
      <c r="H819" s="3" t="str">
        <f>IF(cf_cl[[#This Row],[satisfaction_score]]&gt;=4,"Happy",IF(cf_cl[[#This Row],[satisfaction_score]]=3,"Neutral","Negative"))</f>
        <v>Happy</v>
      </c>
      <c r="I819" s="3" t="str">
        <f>IF(cf_cl[[#This Row],[satisfaction_score]]&lt;=2,"Low",IF(cf_cl[[#This Row],[satisfaction_score]]=3,"Medium","High"))</f>
        <v>High</v>
      </c>
      <c r="J819">
        <f>YEAR(cf_cl[[#This Row],[date_submitted]])</f>
        <v>2022</v>
      </c>
      <c r="K819" s="3" t="str">
        <f>TEXT(cf_cl[[#This Row],[date_submitted]],"mmm")</f>
        <v>Nov</v>
      </c>
      <c r="L819" s="3" t="str">
        <f t="shared" si="36"/>
        <v>Q4</v>
      </c>
      <c r="M819" s="3" t="str">
        <f t="shared" si="37"/>
        <v>Tuesday</v>
      </c>
      <c r="N819" s="3" t="str">
        <f t="shared" si="38"/>
        <v>No</v>
      </c>
      <c r="O819" s="3" t="str">
        <f>IF(COUNTIF($B:$B,B819)=1,"New Customer",
IF(COUNTIF($B:$B,B819)&lt;=3,"Returning Customer","Loyal Customer"))</f>
        <v>New Customer</v>
      </c>
      <c r="P819" s="3" t="str">
        <f>IF(cf_cl[[#This Row],[referred_claim]]="Yes","Referred","Not Referred")</f>
        <v>Not Referred</v>
      </c>
    </row>
    <row r="820" spans="1:16" x14ac:dyDescent="0.3">
      <c r="A820" t="s">
        <v>1542</v>
      </c>
      <c r="B820" t="s">
        <v>1543</v>
      </c>
      <c r="C820" s="1">
        <v>44843</v>
      </c>
      <c r="D820" t="s">
        <v>19</v>
      </c>
      <c r="E820">
        <v>2</v>
      </c>
      <c r="F820" s="3" t="s">
        <v>10</v>
      </c>
      <c r="G820" s="3" t="s">
        <v>13</v>
      </c>
      <c r="H820" s="3" t="str">
        <f>IF(cf_cl[[#This Row],[satisfaction_score]]&gt;=4,"Happy",IF(cf_cl[[#This Row],[satisfaction_score]]=3,"Neutral","Negative"))</f>
        <v>Negative</v>
      </c>
      <c r="I820" s="3" t="str">
        <f>IF(cf_cl[[#This Row],[satisfaction_score]]&lt;=2,"Low",IF(cf_cl[[#This Row],[satisfaction_score]]=3,"Medium","High"))</f>
        <v>Low</v>
      </c>
      <c r="J820">
        <f>YEAR(cf_cl[[#This Row],[date_submitted]])</f>
        <v>2022</v>
      </c>
      <c r="K820" s="3" t="str">
        <f>TEXT(cf_cl[[#This Row],[date_submitted]],"mmm")</f>
        <v>Oct</v>
      </c>
      <c r="L820" s="3" t="str">
        <f t="shared" si="36"/>
        <v>Q4</v>
      </c>
      <c r="M820" s="3" t="str">
        <f t="shared" si="37"/>
        <v>Sunday</v>
      </c>
      <c r="N820" s="3" t="str">
        <f t="shared" si="38"/>
        <v>Yes</v>
      </c>
      <c r="O820" s="3" t="str">
        <f>IF(COUNTIF($B:$B,B820)=1,"New Customer",
IF(COUNTIF($B:$B,B820)&lt;=3,"Returning Customer","Loyal Customer"))</f>
        <v>New Customer</v>
      </c>
      <c r="P820" s="3" t="str">
        <f>IF(cf_cl[[#This Row],[referred_claim]]="Yes","Referred","Not Referred")</f>
        <v>Not Referred</v>
      </c>
    </row>
    <row r="821" spans="1:16" x14ac:dyDescent="0.3">
      <c r="A821" t="s">
        <v>1544</v>
      </c>
      <c r="B821" t="s">
        <v>1545</v>
      </c>
      <c r="C821" s="1">
        <v>44402</v>
      </c>
      <c r="D821" t="s">
        <v>83</v>
      </c>
      <c r="E821">
        <v>2</v>
      </c>
      <c r="F821" s="3" t="s">
        <v>13</v>
      </c>
      <c r="G821" s="3" t="s">
        <v>13</v>
      </c>
      <c r="H821" s="3" t="str">
        <f>IF(cf_cl[[#This Row],[satisfaction_score]]&gt;=4,"Happy",IF(cf_cl[[#This Row],[satisfaction_score]]=3,"Neutral","Negative"))</f>
        <v>Negative</v>
      </c>
      <c r="I821" s="3" t="str">
        <f>IF(cf_cl[[#This Row],[satisfaction_score]]&lt;=2,"Low",IF(cf_cl[[#This Row],[satisfaction_score]]=3,"Medium","High"))</f>
        <v>Low</v>
      </c>
      <c r="J821">
        <f>YEAR(cf_cl[[#This Row],[date_submitted]])</f>
        <v>2021</v>
      </c>
      <c r="K821" s="3" t="str">
        <f>TEXT(cf_cl[[#This Row],[date_submitted]],"mmm")</f>
        <v>Jul</v>
      </c>
      <c r="L821" s="3" t="str">
        <f t="shared" si="36"/>
        <v>Q3</v>
      </c>
      <c r="M821" s="3" t="str">
        <f t="shared" si="37"/>
        <v>Sunday</v>
      </c>
      <c r="N821" s="3" t="str">
        <f t="shared" si="38"/>
        <v>Yes</v>
      </c>
      <c r="O821" s="3" t="str">
        <f>IF(COUNTIF($B:$B,B821)=1,"New Customer",
IF(COUNTIF($B:$B,B821)&lt;=3,"Returning Customer","Loyal Customer"))</f>
        <v>New Customer</v>
      </c>
      <c r="P821" s="3" t="str">
        <f>IF(cf_cl[[#This Row],[referred_claim]]="Yes","Referred","Not Referred")</f>
        <v>Not Referred</v>
      </c>
    </row>
    <row r="822" spans="1:16" x14ac:dyDescent="0.3">
      <c r="A822" t="s">
        <v>1546</v>
      </c>
      <c r="B822" t="s">
        <v>311</v>
      </c>
      <c r="C822" s="1">
        <v>44424</v>
      </c>
      <c r="D822" t="s">
        <v>9</v>
      </c>
      <c r="E822">
        <v>1</v>
      </c>
      <c r="F822" s="3" t="s">
        <v>13</v>
      </c>
      <c r="G822" s="3" t="s">
        <v>13</v>
      </c>
      <c r="H822" s="3" t="str">
        <f>IF(cf_cl[[#This Row],[satisfaction_score]]&gt;=4,"Happy",IF(cf_cl[[#This Row],[satisfaction_score]]=3,"Neutral","Negative"))</f>
        <v>Negative</v>
      </c>
      <c r="I822" s="3" t="str">
        <f>IF(cf_cl[[#This Row],[satisfaction_score]]&lt;=2,"Low",IF(cf_cl[[#This Row],[satisfaction_score]]=3,"Medium","High"))</f>
        <v>Low</v>
      </c>
      <c r="J822">
        <f>YEAR(cf_cl[[#This Row],[date_submitted]])</f>
        <v>2021</v>
      </c>
      <c r="K822" s="3" t="str">
        <f>TEXT(cf_cl[[#This Row],[date_submitted]],"mmm")</f>
        <v>Aug</v>
      </c>
      <c r="L822" s="3" t="str">
        <f t="shared" si="36"/>
        <v>Q3</v>
      </c>
      <c r="M822" s="3" t="str">
        <f t="shared" si="37"/>
        <v>Monday</v>
      </c>
      <c r="N822" s="3" t="str">
        <f t="shared" si="38"/>
        <v>Yes</v>
      </c>
      <c r="O822" s="3" t="str">
        <f>IF(COUNTIF($B:$B,B822)=1,"New Customer",
IF(COUNTIF($B:$B,B822)&lt;=3,"Returning Customer","Loyal Customer"))</f>
        <v>Returning Customer</v>
      </c>
      <c r="P822" s="3" t="str">
        <f>IF(cf_cl[[#This Row],[referred_claim]]="Yes","Referred","Not Referred")</f>
        <v>Not Referred</v>
      </c>
    </row>
    <row r="823" spans="1:16" x14ac:dyDescent="0.3">
      <c r="A823" t="s">
        <v>1547</v>
      </c>
      <c r="B823" t="s">
        <v>1017</v>
      </c>
      <c r="C823" s="1">
        <v>44579</v>
      </c>
      <c r="D823" t="s">
        <v>22</v>
      </c>
      <c r="E823">
        <v>5</v>
      </c>
      <c r="F823" s="3" t="s">
        <v>13</v>
      </c>
      <c r="G823" s="3" t="s">
        <v>13</v>
      </c>
      <c r="H823" s="3" t="str">
        <f>IF(cf_cl[[#This Row],[satisfaction_score]]&gt;=4,"Happy",IF(cf_cl[[#This Row],[satisfaction_score]]=3,"Neutral","Negative"))</f>
        <v>Happy</v>
      </c>
      <c r="I823" s="3" t="str">
        <f>IF(cf_cl[[#This Row],[satisfaction_score]]&lt;=2,"Low",IF(cf_cl[[#This Row],[satisfaction_score]]=3,"Medium","High"))</f>
        <v>High</v>
      </c>
      <c r="J823">
        <f>YEAR(cf_cl[[#This Row],[date_submitted]])</f>
        <v>2022</v>
      </c>
      <c r="K823" s="3" t="str">
        <f>TEXT(cf_cl[[#This Row],[date_submitted]],"mmm")</f>
        <v>Jan</v>
      </c>
      <c r="L823" s="3" t="str">
        <f t="shared" si="36"/>
        <v>Q1</v>
      </c>
      <c r="M823" s="3" t="str">
        <f t="shared" si="37"/>
        <v>Tuesday</v>
      </c>
      <c r="N823" s="3" t="str">
        <f t="shared" si="38"/>
        <v>No</v>
      </c>
      <c r="O823" s="3" t="str">
        <f>IF(COUNTIF($B:$B,B823)=1,"New Customer",
IF(COUNTIF($B:$B,B823)&lt;=3,"Returning Customer","Loyal Customer"))</f>
        <v>Returning Customer</v>
      </c>
      <c r="P823" s="3" t="str">
        <f>IF(cf_cl[[#This Row],[referred_claim]]="Yes","Referred","Not Referred")</f>
        <v>Not Referred</v>
      </c>
    </row>
    <row r="824" spans="1:16" x14ac:dyDescent="0.3">
      <c r="A824" t="s">
        <v>1548</v>
      </c>
      <c r="B824" t="s">
        <v>1549</v>
      </c>
      <c r="C824" s="1">
        <v>44805</v>
      </c>
      <c r="D824" t="s">
        <v>37</v>
      </c>
      <c r="E824">
        <v>4</v>
      </c>
      <c r="F824" s="3" t="s">
        <v>10</v>
      </c>
      <c r="G824" s="3" t="s">
        <v>13</v>
      </c>
      <c r="H824" s="3" t="str">
        <f>IF(cf_cl[[#This Row],[satisfaction_score]]&gt;=4,"Happy",IF(cf_cl[[#This Row],[satisfaction_score]]=3,"Neutral","Negative"))</f>
        <v>Happy</v>
      </c>
      <c r="I824" s="3" t="str">
        <f>IF(cf_cl[[#This Row],[satisfaction_score]]&lt;=2,"Low",IF(cf_cl[[#This Row],[satisfaction_score]]=3,"Medium","High"))</f>
        <v>High</v>
      </c>
      <c r="J824">
        <f>YEAR(cf_cl[[#This Row],[date_submitted]])</f>
        <v>2022</v>
      </c>
      <c r="K824" s="3" t="str">
        <f>TEXT(cf_cl[[#This Row],[date_submitted]],"mmm")</f>
        <v>Sep</v>
      </c>
      <c r="L824" s="3" t="str">
        <f t="shared" si="36"/>
        <v>Q3</v>
      </c>
      <c r="M824" s="3" t="str">
        <f t="shared" si="37"/>
        <v>Thursday</v>
      </c>
      <c r="N824" s="3" t="str">
        <f t="shared" si="38"/>
        <v>No</v>
      </c>
      <c r="O824" s="3" t="str">
        <f>IF(COUNTIF($B:$B,B824)=1,"New Customer",
IF(COUNTIF($B:$B,B824)&lt;=3,"Returning Customer","Loyal Customer"))</f>
        <v>New Customer</v>
      </c>
      <c r="P824" s="3" t="str">
        <f>IF(cf_cl[[#This Row],[referred_claim]]="Yes","Referred","Not Referred")</f>
        <v>Not Referred</v>
      </c>
    </row>
    <row r="825" spans="1:16" x14ac:dyDescent="0.3">
      <c r="A825" t="s">
        <v>1550</v>
      </c>
      <c r="B825" t="s">
        <v>1551</v>
      </c>
      <c r="C825" s="1">
        <v>44364</v>
      </c>
      <c r="D825" t="s">
        <v>28</v>
      </c>
      <c r="E825">
        <v>4</v>
      </c>
      <c r="F825" s="3" t="s">
        <v>10</v>
      </c>
      <c r="G825" s="3" t="s">
        <v>10</v>
      </c>
      <c r="H825" s="3" t="str">
        <f>IF(cf_cl[[#This Row],[satisfaction_score]]&gt;=4,"Happy",IF(cf_cl[[#This Row],[satisfaction_score]]=3,"Neutral","Negative"))</f>
        <v>Happy</v>
      </c>
      <c r="I825" s="3" t="str">
        <f>IF(cf_cl[[#This Row],[satisfaction_score]]&lt;=2,"Low",IF(cf_cl[[#This Row],[satisfaction_score]]=3,"Medium","High"))</f>
        <v>High</v>
      </c>
      <c r="J825">
        <f>YEAR(cf_cl[[#This Row],[date_submitted]])</f>
        <v>2021</v>
      </c>
      <c r="K825" s="3" t="str">
        <f>TEXT(cf_cl[[#This Row],[date_submitted]],"mmm")</f>
        <v>Jun</v>
      </c>
      <c r="L825" s="3" t="str">
        <f t="shared" si="36"/>
        <v>Q2</v>
      </c>
      <c r="M825" s="3" t="str">
        <f t="shared" si="37"/>
        <v>Thursday</v>
      </c>
      <c r="N825" s="3" t="str">
        <f t="shared" si="38"/>
        <v>No</v>
      </c>
      <c r="O825" s="3" t="str">
        <f>IF(COUNTIF($B:$B,B825)=1,"New Customer",
IF(COUNTIF($B:$B,B825)&lt;=3,"Returning Customer","Loyal Customer"))</f>
        <v>New Customer</v>
      </c>
      <c r="P825" s="3" t="str">
        <f>IF(cf_cl[[#This Row],[referred_claim]]="Yes","Referred","Not Referred")</f>
        <v>Referred</v>
      </c>
    </row>
    <row r="826" spans="1:16" x14ac:dyDescent="0.3">
      <c r="A826" t="s">
        <v>1552</v>
      </c>
      <c r="B826" t="s">
        <v>105</v>
      </c>
      <c r="C826" s="1">
        <v>44810</v>
      </c>
      <c r="D826" t="s">
        <v>37</v>
      </c>
      <c r="E826">
        <v>3</v>
      </c>
      <c r="F826" s="3" t="s">
        <v>13</v>
      </c>
      <c r="G826" s="3" t="s">
        <v>10</v>
      </c>
      <c r="H826" s="3" t="str">
        <f>IF(cf_cl[[#This Row],[satisfaction_score]]&gt;=4,"Happy",IF(cf_cl[[#This Row],[satisfaction_score]]=3,"Neutral","Negative"))</f>
        <v>Neutral</v>
      </c>
      <c r="I826" s="3" t="str">
        <f>IF(cf_cl[[#This Row],[satisfaction_score]]&lt;=2,"Low",IF(cf_cl[[#This Row],[satisfaction_score]]=3,"Medium","High"))</f>
        <v>Medium</v>
      </c>
      <c r="J826">
        <f>YEAR(cf_cl[[#This Row],[date_submitted]])</f>
        <v>2022</v>
      </c>
      <c r="K826" s="3" t="str">
        <f>TEXT(cf_cl[[#This Row],[date_submitted]],"mmm")</f>
        <v>Sep</v>
      </c>
      <c r="L826" s="3" t="str">
        <f t="shared" si="36"/>
        <v>Q3</v>
      </c>
      <c r="M826" s="3" t="str">
        <f t="shared" si="37"/>
        <v>Tuesday</v>
      </c>
      <c r="N826" s="3" t="str">
        <f t="shared" si="38"/>
        <v>No</v>
      </c>
      <c r="O826" s="3" t="str">
        <f>IF(COUNTIF($B:$B,B826)=1,"New Customer",
IF(COUNTIF($B:$B,B826)&lt;=3,"Returning Customer","Loyal Customer"))</f>
        <v>Returning Customer</v>
      </c>
      <c r="P826" s="3" t="str">
        <f>IF(cf_cl[[#This Row],[referred_claim]]="Yes","Referred","Not Referred")</f>
        <v>Referred</v>
      </c>
    </row>
    <row r="827" spans="1:16" x14ac:dyDescent="0.3">
      <c r="A827" t="s">
        <v>1553</v>
      </c>
      <c r="B827" t="s">
        <v>1554</v>
      </c>
      <c r="C827" s="1">
        <v>44619</v>
      </c>
      <c r="D827" t="s">
        <v>83</v>
      </c>
      <c r="E827">
        <v>1</v>
      </c>
      <c r="F827" s="3" t="s">
        <v>13</v>
      </c>
      <c r="G827" s="3" t="s">
        <v>13</v>
      </c>
      <c r="H827" s="3" t="str">
        <f>IF(cf_cl[[#This Row],[satisfaction_score]]&gt;=4,"Happy",IF(cf_cl[[#This Row],[satisfaction_score]]=3,"Neutral","Negative"))</f>
        <v>Negative</v>
      </c>
      <c r="I827" s="3" t="str">
        <f>IF(cf_cl[[#This Row],[satisfaction_score]]&lt;=2,"Low",IF(cf_cl[[#This Row],[satisfaction_score]]=3,"Medium","High"))</f>
        <v>Low</v>
      </c>
      <c r="J827">
        <f>YEAR(cf_cl[[#This Row],[date_submitted]])</f>
        <v>2022</v>
      </c>
      <c r="K827" s="3" t="str">
        <f>TEXT(cf_cl[[#This Row],[date_submitted]],"mmm")</f>
        <v>Feb</v>
      </c>
      <c r="L827" s="3" t="str">
        <f t="shared" si="36"/>
        <v>Q1</v>
      </c>
      <c r="M827" s="3" t="str">
        <f t="shared" si="37"/>
        <v>Sunday</v>
      </c>
      <c r="N827" s="3" t="str">
        <f t="shared" si="38"/>
        <v>Yes</v>
      </c>
      <c r="O827" s="3" t="str">
        <f>IF(COUNTIF($B:$B,B827)=1,"New Customer",
IF(COUNTIF($B:$B,B827)&lt;=3,"Returning Customer","Loyal Customer"))</f>
        <v>New Customer</v>
      </c>
      <c r="P827" s="3" t="str">
        <f>IF(cf_cl[[#This Row],[referred_claim]]="Yes","Referred","Not Referred")</f>
        <v>Not Referred</v>
      </c>
    </row>
    <row r="828" spans="1:16" x14ac:dyDescent="0.3">
      <c r="A828" t="s">
        <v>1555</v>
      </c>
      <c r="B828" t="s">
        <v>1556</v>
      </c>
      <c r="C828" s="1">
        <v>45154</v>
      </c>
      <c r="D828" t="s">
        <v>16</v>
      </c>
      <c r="E828">
        <v>4</v>
      </c>
      <c r="F828" s="3" t="s">
        <v>10</v>
      </c>
      <c r="G828" s="3" t="s">
        <v>13</v>
      </c>
      <c r="H828" s="3" t="str">
        <f>IF(cf_cl[[#This Row],[satisfaction_score]]&gt;=4,"Happy",IF(cf_cl[[#This Row],[satisfaction_score]]=3,"Neutral","Negative"))</f>
        <v>Happy</v>
      </c>
      <c r="I828" s="3" t="str">
        <f>IF(cf_cl[[#This Row],[satisfaction_score]]&lt;=2,"Low",IF(cf_cl[[#This Row],[satisfaction_score]]=3,"Medium","High"))</f>
        <v>High</v>
      </c>
      <c r="J828">
        <f>YEAR(cf_cl[[#This Row],[date_submitted]])</f>
        <v>2023</v>
      </c>
      <c r="K828" s="3" t="str">
        <f>TEXT(cf_cl[[#This Row],[date_submitted]],"mmm")</f>
        <v>Aug</v>
      </c>
      <c r="L828" s="3" t="str">
        <f t="shared" si="36"/>
        <v>Q3</v>
      </c>
      <c r="M828" s="3" t="str">
        <f t="shared" si="37"/>
        <v>Wednesday</v>
      </c>
      <c r="N828" s="3" t="str">
        <f t="shared" si="38"/>
        <v>No</v>
      </c>
      <c r="O828" s="3" t="str">
        <f>IF(COUNTIF($B:$B,B828)=1,"New Customer",
IF(COUNTIF($B:$B,B828)&lt;=3,"Returning Customer","Loyal Customer"))</f>
        <v>New Customer</v>
      </c>
      <c r="P828" s="3" t="str">
        <f>IF(cf_cl[[#This Row],[referred_claim]]="Yes","Referred","Not Referred")</f>
        <v>Not Referred</v>
      </c>
    </row>
    <row r="829" spans="1:16" x14ac:dyDescent="0.3">
      <c r="A829" t="s">
        <v>1557</v>
      </c>
      <c r="B829" t="s">
        <v>1558</v>
      </c>
      <c r="C829" s="1">
        <v>44388</v>
      </c>
      <c r="D829" t="s">
        <v>9</v>
      </c>
      <c r="E829">
        <v>1</v>
      </c>
      <c r="F829" s="3" t="s">
        <v>13</v>
      </c>
      <c r="G829" s="3" t="s">
        <v>10</v>
      </c>
      <c r="H829" s="3" t="str">
        <f>IF(cf_cl[[#This Row],[satisfaction_score]]&gt;=4,"Happy",IF(cf_cl[[#This Row],[satisfaction_score]]=3,"Neutral","Negative"))</f>
        <v>Negative</v>
      </c>
      <c r="I829" s="3" t="str">
        <f>IF(cf_cl[[#This Row],[satisfaction_score]]&lt;=2,"Low",IF(cf_cl[[#This Row],[satisfaction_score]]=3,"Medium","High"))</f>
        <v>Low</v>
      </c>
      <c r="J829">
        <f>YEAR(cf_cl[[#This Row],[date_submitted]])</f>
        <v>2021</v>
      </c>
      <c r="K829" s="3" t="str">
        <f>TEXT(cf_cl[[#This Row],[date_submitted]],"mmm")</f>
        <v>Jul</v>
      </c>
      <c r="L829" s="3" t="str">
        <f t="shared" si="36"/>
        <v>Q3</v>
      </c>
      <c r="M829" s="3" t="str">
        <f t="shared" si="37"/>
        <v>Sunday</v>
      </c>
      <c r="N829" s="3" t="str">
        <f t="shared" si="38"/>
        <v>Yes</v>
      </c>
      <c r="O829" s="3" t="str">
        <f>IF(COUNTIF($B:$B,B829)=1,"New Customer",
IF(COUNTIF($B:$B,B829)&lt;=3,"Returning Customer","Loyal Customer"))</f>
        <v>New Customer</v>
      </c>
      <c r="P829" s="3" t="str">
        <f>IF(cf_cl[[#This Row],[referred_claim]]="Yes","Referred","Not Referred")</f>
        <v>Referred</v>
      </c>
    </row>
    <row r="830" spans="1:16" x14ac:dyDescent="0.3">
      <c r="A830" t="s">
        <v>1559</v>
      </c>
      <c r="B830" t="s">
        <v>666</v>
      </c>
      <c r="C830" s="1">
        <v>44174</v>
      </c>
      <c r="D830" t="s">
        <v>25</v>
      </c>
      <c r="E830">
        <v>5</v>
      </c>
      <c r="F830" s="3" t="s">
        <v>13</v>
      </c>
      <c r="G830" s="3" t="s">
        <v>13</v>
      </c>
      <c r="H830" s="3" t="str">
        <f>IF(cf_cl[[#This Row],[satisfaction_score]]&gt;=4,"Happy",IF(cf_cl[[#This Row],[satisfaction_score]]=3,"Neutral","Negative"))</f>
        <v>Happy</v>
      </c>
      <c r="I830" s="3" t="str">
        <f>IF(cf_cl[[#This Row],[satisfaction_score]]&lt;=2,"Low",IF(cf_cl[[#This Row],[satisfaction_score]]=3,"Medium","High"))</f>
        <v>High</v>
      </c>
      <c r="J830">
        <f>YEAR(cf_cl[[#This Row],[date_submitted]])</f>
        <v>2020</v>
      </c>
      <c r="K830" s="3" t="str">
        <f>TEXT(cf_cl[[#This Row],[date_submitted]],"mmm")</f>
        <v>Dec</v>
      </c>
      <c r="L830" s="3" t="str">
        <f t="shared" si="36"/>
        <v>Q4</v>
      </c>
      <c r="M830" s="3" t="str">
        <f t="shared" si="37"/>
        <v>Wednesday</v>
      </c>
      <c r="N830" s="3" t="str">
        <f t="shared" si="38"/>
        <v>No</v>
      </c>
      <c r="O830" s="3" t="str">
        <f>IF(COUNTIF($B:$B,B830)=1,"New Customer",
IF(COUNTIF($B:$B,B830)&lt;=3,"Returning Customer","Loyal Customer"))</f>
        <v>Returning Customer</v>
      </c>
      <c r="P830" s="3" t="str">
        <f>IF(cf_cl[[#This Row],[referred_claim]]="Yes","Referred","Not Referred")</f>
        <v>Not Referred</v>
      </c>
    </row>
    <row r="831" spans="1:16" x14ac:dyDescent="0.3">
      <c r="A831" t="s">
        <v>1560</v>
      </c>
      <c r="B831" t="s">
        <v>970</v>
      </c>
      <c r="C831" s="1">
        <v>44067</v>
      </c>
      <c r="D831" t="s">
        <v>16</v>
      </c>
      <c r="E831">
        <v>5</v>
      </c>
      <c r="F831" s="3" t="s">
        <v>10</v>
      </c>
      <c r="G831" s="3" t="s">
        <v>10</v>
      </c>
      <c r="H831" s="3" t="str">
        <f>IF(cf_cl[[#This Row],[satisfaction_score]]&gt;=4,"Happy",IF(cf_cl[[#This Row],[satisfaction_score]]=3,"Neutral","Negative"))</f>
        <v>Happy</v>
      </c>
      <c r="I831" s="3" t="str">
        <f>IF(cf_cl[[#This Row],[satisfaction_score]]&lt;=2,"Low",IF(cf_cl[[#This Row],[satisfaction_score]]=3,"Medium","High"))</f>
        <v>High</v>
      </c>
      <c r="J831">
        <f>YEAR(cf_cl[[#This Row],[date_submitted]])</f>
        <v>2020</v>
      </c>
      <c r="K831" s="3" t="str">
        <f>TEXT(cf_cl[[#This Row],[date_submitted]],"mmm")</f>
        <v>Aug</v>
      </c>
      <c r="L831" s="3" t="str">
        <f t="shared" si="36"/>
        <v>Q3</v>
      </c>
      <c r="M831" s="3" t="str">
        <f t="shared" si="37"/>
        <v>Monday</v>
      </c>
      <c r="N831" s="3" t="str">
        <f t="shared" si="38"/>
        <v>No</v>
      </c>
      <c r="O831" s="3" t="str">
        <f>IF(COUNTIF($B:$B,B831)=1,"New Customer",
IF(COUNTIF($B:$B,B831)&lt;=3,"Returning Customer","Loyal Customer"))</f>
        <v>Returning Customer</v>
      </c>
      <c r="P831" s="3" t="str">
        <f>IF(cf_cl[[#This Row],[referred_claim]]="Yes","Referred","Not Referred")</f>
        <v>Referred</v>
      </c>
    </row>
    <row r="832" spans="1:16" x14ac:dyDescent="0.3">
      <c r="A832" t="s">
        <v>1561</v>
      </c>
      <c r="B832" t="s">
        <v>1562</v>
      </c>
      <c r="C832" s="1">
        <v>44306</v>
      </c>
      <c r="D832" t="s">
        <v>25</v>
      </c>
      <c r="E832">
        <v>5</v>
      </c>
      <c r="F832" s="3" t="s">
        <v>10</v>
      </c>
      <c r="G832" s="3" t="s">
        <v>13</v>
      </c>
      <c r="H832" s="3" t="str">
        <f>IF(cf_cl[[#This Row],[satisfaction_score]]&gt;=4,"Happy",IF(cf_cl[[#This Row],[satisfaction_score]]=3,"Neutral","Negative"))</f>
        <v>Happy</v>
      </c>
      <c r="I832" s="3" t="str">
        <f>IF(cf_cl[[#This Row],[satisfaction_score]]&lt;=2,"Low",IF(cf_cl[[#This Row],[satisfaction_score]]=3,"Medium","High"))</f>
        <v>High</v>
      </c>
      <c r="J832">
        <f>YEAR(cf_cl[[#This Row],[date_submitted]])</f>
        <v>2021</v>
      </c>
      <c r="K832" s="3" t="str">
        <f>TEXT(cf_cl[[#This Row],[date_submitted]],"mmm")</f>
        <v>Apr</v>
      </c>
      <c r="L832" s="3" t="str">
        <f t="shared" si="36"/>
        <v>Q2</v>
      </c>
      <c r="M832" s="3" t="str">
        <f t="shared" si="37"/>
        <v>Tuesday</v>
      </c>
      <c r="N832" s="3" t="str">
        <f t="shared" si="38"/>
        <v>No</v>
      </c>
      <c r="O832" s="3" t="str">
        <f>IF(COUNTIF($B:$B,B832)=1,"New Customer",
IF(COUNTIF($B:$B,B832)&lt;=3,"Returning Customer","Loyal Customer"))</f>
        <v>New Customer</v>
      </c>
      <c r="P832" s="3" t="str">
        <f>IF(cf_cl[[#This Row],[referred_claim]]="Yes","Referred","Not Referred")</f>
        <v>Not Referred</v>
      </c>
    </row>
    <row r="833" spans="1:16" x14ac:dyDescent="0.3">
      <c r="A833" t="s">
        <v>1563</v>
      </c>
      <c r="B833" t="s">
        <v>1564</v>
      </c>
      <c r="C833" s="1">
        <v>44930</v>
      </c>
      <c r="D833" t="s">
        <v>37</v>
      </c>
      <c r="E833">
        <v>3</v>
      </c>
      <c r="F833" s="3" t="s">
        <v>10</v>
      </c>
      <c r="G833" s="3" t="s">
        <v>13</v>
      </c>
      <c r="H833" s="3" t="str">
        <f>IF(cf_cl[[#This Row],[satisfaction_score]]&gt;=4,"Happy",IF(cf_cl[[#This Row],[satisfaction_score]]=3,"Neutral","Negative"))</f>
        <v>Neutral</v>
      </c>
      <c r="I833" s="3" t="str">
        <f>IF(cf_cl[[#This Row],[satisfaction_score]]&lt;=2,"Low",IF(cf_cl[[#This Row],[satisfaction_score]]=3,"Medium","High"))</f>
        <v>Medium</v>
      </c>
      <c r="J833">
        <f>YEAR(cf_cl[[#This Row],[date_submitted]])</f>
        <v>2023</v>
      </c>
      <c r="K833" s="3" t="str">
        <f>TEXT(cf_cl[[#This Row],[date_submitted]],"mmm")</f>
        <v>Jan</v>
      </c>
      <c r="L833" s="3" t="str">
        <f t="shared" si="36"/>
        <v>Q1</v>
      </c>
      <c r="M833" s="3" t="str">
        <f t="shared" si="37"/>
        <v>Wednesday</v>
      </c>
      <c r="N833" s="3" t="str">
        <f t="shared" si="38"/>
        <v>No</v>
      </c>
      <c r="O833" s="3" t="str">
        <f>IF(COUNTIF($B:$B,B833)=1,"New Customer",
IF(COUNTIF($B:$B,B833)&lt;=3,"Returning Customer","Loyal Customer"))</f>
        <v>New Customer</v>
      </c>
      <c r="P833" s="3" t="str">
        <f>IF(cf_cl[[#This Row],[referred_claim]]="Yes","Referred","Not Referred")</f>
        <v>Not Referred</v>
      </c>
    </row>
    <row r="834" spans="1:16" x14ac:dyDescent="0.3">
      <c r="A834" t="s">
        <v>1565</v>
      </c>
      <c r="B834" t="s">
        <v>1566</v>
      </c>
      <c r="C834" s="1">
        <v>44383</v>
      </c>
      <c r="D834" t="s">
        <v>37</v>
      </c>
      <c r="E834">
        <v>3</v>
      </c>
      <c r="F834" s="3" t="s">
        <v>10</v>
      </c>
      <c r="G834" s="3" t="s">
        <v>10</v>
      </c>
      <c r="H834" s="3" t="str">
        <f>IF(cf_cl[[#This Row],[satisfaction_score]]&gt;=4,"Happy",IF(cf_cl[[#This Row],[satisfaction_score]]=3,"Neutral","Negative"))</f>
        <v>Neutral</v>
      </c>
      <c r="I834" s="3" t="str">
        <f>IF(cf_cl[[#This Row],[satisfaction_score]]&lt;=2,"Low",IF(cf_cl[[#This Row],[satisfaction_score]]=3,"Medium","High"))</f>
        <v>Medium</v>
      </c>
      <c r="J834">
        <f>YEAR(cf_cl[[#This Row],[date_submitted]])</f>
        <v>2021</v>
      </c>
      <c r="K834" s="3" t="str">
        <f>TEXT(cf_cl[[#This Row],[date_submitted]],"mmm")</f>
        <v>Jul</v>
      </c>
      <c r="L834" s="3" t="str">
        <f t="shared" ref="L834:L897" si="39">"Q"&amp;ROUNDUP(MONTH(C834)/3,0)</f>
        <v>Q3</v>
      </c>
      <c r="M834" s="3" t="str">
        <f t="shared" ref="M834:M897" si="40">TEXT(C834,"dddd")</f>
        <v>Tuesday</v>
      </c>
      <c r="N834" s="3" t="str">
        <f t="shared" ref="N834:N897" si="41">IF(E834&lt;=2,"Yes","No")</f>
        <v>No</v>
      </c>
      <c r="O834" s="3" t="str">
        <f>IF(COUNTIF($B:$B,B834)=1,"New Customer",
IF(COUNTIF($B:$B,B834)&lt;=3,"Returning Customer","Loyal Customer"))</f>
        <v>New Customer</v>
      </c>
      <c r="P834" s="3" t="str">
        <f>IF(cf_cl[[#This Row],[referred_claim]]="Yes","Referred","Not Referred")</f>
        <v>Referred</v>
      </c>
    </row>
    <row r="835" spans="1:16" x14ac:dyDescent="0.3">
      <c r="A835" t="s">
        <v>1567</v>
      </c>
      <c r="B835" t="s">
        <v>1568</v>
      </c>
      <c r="C835" s="1">
        <v>45138</v>
      </c>
      <c r="D835" t="s">
        <v>19</v>
      </c>
      <c r="E835">
        <v>3</v>
      </c>
      <c r="F835" s="3" t="s">
        <v>13</v>
      </c>
      <c r="G835" s="3" t="s">
        <v>13</v>
      </c>
      <c r="H835" s="3" t="str">
        <f>IF(cf_cl[[#This Row],[satisfaction_score]]&gt;=4,"Happy",IF(cf_cl[[#This Row],[satisfaction_score]]=3,"Neutral","Negative"))</f>
        <v>Neutral</v>
      </c>
      <c r="I835" s="3" t="str">
        <f>IF(cf_cl[[#This Row],[satisfaction_score]]&lt;=2,"Low",IF(cf_cl[[#This Row],[satisfaction_score]]=3,"Medium","High"))</f>
        <v>Medium</v>
      </c>
      <c r="J835">
        <f>YEAR(cf_cl[[#This Row],[date_submitted]])</f>
        <v>2023</v>
      </c>
      <c r="K835" s="3" t="str">
        <f>TEXT(cf_cl[[#This Row],[date_submitted]],"mmm")</f>
        <v>Jul</v>
      </c>
      <c r="L835" s="3" t="str">
        <f t="shared" si="39"/>
        <v>Q3</v>
      </c>
      <c r="M835" s="3" t="str">
        <f t="shared" si="40"/>
        <v>Monday</v>
      </c>
      <c r="N835" s="3" t="str">
        <f t="shared" si="41"/>
        <v>No</v>
      </c>
      <c r="O835" s="3" t="str">
        <f>IF(COUNTIF($B:$B,B835)=1,"New Customer",
IF(COUNTIF($B:$B,B835)&lt;=3,"Returning Customer","Loyal Customer"))</f>
        <v>New Customer</v>
      </c>
      <c r="P835" s="3" t="str">
        <f>IF(cf_cl[[#This Row],[referred_claim]]="Yes","Referred","Not Referred")</f>
        <v>Not Referred</v>
      </c>
    </row>
    <row r="836" spans="1:16" x14ac:dyDescent="0.3">
      <c r="A836" t="s">
        <v>1569</v>
      </c>
      <c r="B836" t="s">
        <v>1570</v>
      </c>
      <c r="C836" s="1">
        <v>44236</v>
      </c>
      <c r="D836" t="s">
        <v>83</v>
      </c>
      <c r="E836">
        <v>2</v>
      </c>
      <c r="F836" s="3" t="s">
        <v>10</v>
      </c>
      <c r="G836" s="3" t="s">
        <v>10</v>
      </c>
      <c r="H836" s="3" t="str">
        <f>IF(cf_cl[[#This Row],[satisfaction_score]]&gt;=4,"Happy",IF(cf_cl[[#This Row],[satisfaction_score]]=3,"Neutral","Negative"))</f>
        <v>Negative</v>
      </c>
      <c r="I836" s="3" t="str">
        <f>IF(cf_cl[[#This Row],[satisfaction_score]]&lt;=2,"Low",IF(cf_cl[[#This Row],[satisfaction_score]]=3,"Medium","High"))</f>
        <v>Low</v>
      </c>
      <c r="J836">
        <f>YEAR(cf_cl[[#This Row],[date_submitted]])</f>
        <v>2021</v>
      </c>
      <c r="K836" s="3" t="str">
        <f>TEXT(cf_cl[[#This Row],[date_submitted]],"mmm")</f>
        <v>Feb</v>
      </c>
      <c r="L836" s="3" t="str">
        <f t="shared" si="39"/>
        <v>Q1</v>
      </c>
      <c r="M836" s="3" t="str">
        <f t="shared" si="40"/>
        <v>Tuesday</v>
      </c>
      <c r="N836" s="3" t="str">
        <f t="shared" si="41"/>
        <v>Yes</v>
      </c>
      <c r="O836" s="3" t="str">
        <f>IF(COUNTIF($B:$B,B836)=1,"New Customer",
IF(COUNTIF($B:$B,B836)&lt;=3,"Returning Customer","Loyal Customer"))</f>
        <v>New Customer</v>
      </c>
      <c r="P836" s="3" t="str">
        <f>IF(cf_cl[[#This Row],[referred_claim]]="Yes","Referred","Not Referred")</f>
        <v>Referred</v>
      </c>
    </row>
    <row r="837" spans="1:16" x14ac:dyDescent="0.3">
      <c r="A837" t="s">
        <v>1571</v>
      </c>
      <c r="B837" t="s">
        <v>1223</v>
      </c>
      <c r="C837" s="1">
        <v>44959</v>
      </c>
      <c r="D837" t="s">
        <v>19</v>
      </c>
      <c r="E837">
        <v>2</v>
      </c>
      <c r="F837" s="3" t="s">
        <v>13</v>
      </c>
      <c r="G837" s="3" t="s">
        <v>13</v>
      </c>
      <c r="H837" s="3" t="str">
        <f>IF(cf_cl[[#This Row],[satisfaction_score]]&gt;=4,"Happy",IF(cf_cl[[#This Row],[satisfaction_score]]=3,"Neutral","Negative"))</f>
        <v>Negative</v>
      </c>
      <c r="I837" s="3" t="str">
        <f>IF(cf_cl[[#This Row],[satisfaction_score]]&lt;=2,"Low",IF(cf_cl[[#This Row],[satisfaction_score]]=3,"Medium","High"))</f>
        <v>Low</v>
      </c>
      <c r="J837">
        <f>YEAR(cf_cl[[#This Row],[date_submitted]])</f>
        <v>2023</v>
      </c>
      <c r="K837" s="3" t="str">
        <f>TEXT(cf_cl[[#This Row],[date_submitted]],"mmm")</f>
        <v>Feb</v>
      </c>
      <c r="L837" s="3" t="str">
        <f t="shared" si="39"/>
        <v>Q1</v>
      </c>
      <c r="M837" s="3" t="str">
        <f t="shared" si="40"/>
        <v>Thursday</v>
      </c>
      <c r="N837" s="3" t="str">
        <f t="shared" si="41"/>
        <v>Yes</v>
      </c>
      <c r="O837" s="3" t="str">
        <f>IF(COUNTIF($B:$B,B837)=1,"New Customer",
IF(COUNTIF($B:$B,B837)&lt;=3,"Returning Customer","Loyal Customer"))</f>
        <v>Returning Customer</v>
      </c>
      <c r="P837" s="3" t="str">
        <f>IF(cf_cl[[#This Row],[referred_claim]]="Yes","Referred","Not Referred")</f>
        <v>Not Referred</v>
      </c>
    </row>
    <row r="838" spans="1:16" x14ac:dyDescent="0.3">
      <c r="A838" t="s">
        <v>1572</v>
      </c>
      <c r="B838" t="s">
        <v>1573</v>
      </c>
      <c r="C838" s="1">
        <v>44573</v>
      </c>
      <c r="D838" t="s">
        <v>19</v>
      </c>
      <c r="E838">
        <v>2</v>
      </c>
      <c r="F838" s="3" t="s">
        <v>13</v>
      </c>
      <c r="G838" s="3" t="s">
        <v>10</v>
      </c>
      <c r="H838" s="3" t="str">
        <f>IF(cf_cl[[#This Row],[satisfaction_score]]&gt;=4,"Happy",IF(cf_cl[[#This Row],[satisfaction_score]]=3,"Neutral","Negative"))</f>
        <v>Negative</v>
      </c>
      <c r="I838" s="3" t="str">
        <f>IF(cf_cl[[#This Row],[satisfaction_score]]&lt;=2,"Low",IF(cf_cl[[#This Row],[satisfaction_score]]=3,"Medium","High"))</f>
        <v>Low</v>
      </c>
      <c r="J838">
        <f>YEAR(cf_cl[[#This Row],[date_submitted]])</f>
        <v>2022</v>
      </c>
      <c r="K838" s="3" t="str">
        <f>TEXT(cf_cl[[#This Row],[date_submitted]],"mmm")</f>
        <v>Jan</v>
      </c>
      <c r="L838" s="3" t="str">
        <f t="shared" si="39"/>
        <v>Q1</v>
      </c>
      <c r="M838" s="3" t="str">
        <f t="shared" si="40"/>
        <v>Wednesday</v>
      </c>
      <c r="N838" s="3" t="str">
        <f t="shared" si="41"/>
        <v>Yes</v>
      </c>
      <c r="O838" s="3" t="str">
        <f>IF(COUNTIF($B:$B,B838)=1,"New Customer",
IF(COUNTIF($B:$B,B838)&lt;=3,"Returning Customer","Loyal Customer"))</f>
        <v>New Customer</v>
      </c>
      <c r="P838" s="3" t="str">
        <f>IF(cf_cl[[#This Row],[referred_claim]]="Yes","Referred","Not Referred")</f>
        <v>Referred</v>
      </c>
    </row>
    <row r="839" spans="1:16" x14ac:dyDescent="0.3">
      <c r="A839" t="s">
        <v>1574</v>
      </c>
      <c r="B839" t="s">
        <v>1575</v>
      </c>
      <c r="C839" s="1">
        <v>44881</v>
      </c>
      <c r="D839" t="s">
        <v>19</v>
      </c>
      <c r="E839">
        <v>3</v>
      </c>
      <c r="F839" s="3" t="s">
        <v>10</v>
      </c>
      <c r="G839" s="3" t="s">
        <v>13</v>
      </c>
      <c r="H839" s="3" t="str">
        <f>IF(cf_cl[[#This Row],[satisfaction_score]]&gt;=4,"Happy",IF(cf_cl[[#This Row],[satisfaction_score]]=3,"Neutral","Negative"))</f>
        <v>Neutral</v>
      </c>
      <c r="I839" s="3" t="str">
        <f>IF(cf_cl[[#This Row],[satisfaction_score]]&lt;=2,"Low",IF(cf_cl[[#This Row],[satisfaction_score]]=3,"Medium","High"))</f>
        <v>Medium</v>
      </c>
      <c r="J839">
        <f>YEAR(cf_cl[[#This Row],[date_submitted]])</f>
        <v>2022</v>
      </c>
      <c r="K839" s="3" t="str">
        <f>TEXT(cf_cl[[#This Row],[date_submitted]],"mmm")</f>
        <v>Nov</v>
      </c>
      <c r="L839" s="3" t="str">
        <f t="shared" si="39"/>
        <v>Q4</v>
      </c>
      <c r="M839" s="3" t="str">
        <f t="shared" si="40"/>
        <v>Wednesday</v>
      </c>
      <c r="N839" s="3" t="str">
        <f t="shared" si="41"/>
        <v>No</v>
      </c>
      <c r="O839" s="3" t="str">
        <f>IF(COUNTIF($B:$B,B839)=1,"New Customer",
IF(COUNTIF($B:$B,B839)&lt;=3,"Returning Customer","Loyal Customer"))</f>
        <v>New Customer</v>
      </c>
      <c r="P839" s="3" t="str">
        <f>IF(cf_cl[[#This Row],[referred_claim]]="Yes","Referred","Not Referred")</f>
        <v>Not Referred</v>
      </c>
    </row>
    <row r="840" spans="1:16" x14ac:dyDescent="0.3">
      <c r="A840" t="s">
        <v>1576</v>
      </c>
      <c r="B840" t="s">
        <v>1577</v>
      </c>
      <c r="C840" s="1">
        <v>45229</v>
      </c>
      <c r="D840" t="s">
        <v>28</v>
      </c>
      <c r="E840">
        <v>5</v>
      </c>
      <c r="F840" s="3" t="s">
        <v>10</v>
      </c>
      <c r="G840" s="3" t="s">
        <v>10</v>
      </c>
      <c r="H840" s="3" t="str">
        <f>IF(cf_cl[[#This Row],[satisfaction_score]]&gt;=4,"Happy",IF(cf_cl[[#This Row],[satisfaction_score]]=3,"Neutral","Negative"))</f>
        <v>Happy</v>
      </c>
      <c r="I840" s="3" t="str">
        <f>IF(cf_cl[[#This Row],[satisfaction_score]]&lt;=2,"Low",IF(cf_cl[[#This Row],[satisfaction_score]]=3,"Medium","High"))</f>
        <v>High</v>
      </c>
      <c r="J840">
        <f>YEAR(cf_cl[[#This Row],[date_submitted]])</f>
        <v>2023</v>
      </c>
      <c r="K840" s="3" t="str">
        <f>TEXT(cf_cl[[#This Row],[date_submitted]],"mmm")</f>
        <v>Oct</v>
      </c>
      <c r="L840" s="3" t="str">
        <f t="shared" si="39"/>
        <v>Q4</v>
      </c>
      <c r="M840" s="3" t="str">
        <f t="shared" si="40"/>
        <v>Monday</v>
      </c>
      <c r="N840" s="3" t="str">
        <f t="shared" si="41"/>
        <v>No</v>
      </c>
      <c r="O840" s="3" t="str">
        <f>IF(COUNTIF($B:$B,B840)=1,"New Customer",
IF(COUNTIF($B:$B,B840)&lt;=3,"Returning Customer","Loyal Customer"))</f>
        <v>New Customer</v>
      </c>
      <c r="P840" s="3" t="str">
        <f>IF(cf_cl[[#This Row],[referred_claim]]="Yes","Referred","Not Referred")</f>
        <v>Referred</v>
      </c>
    </row>
    <row r="841" spans="1:16" x14ac:dyDescent="0.3">
      <c r="A841" t="s">
        <v>1578</v>
      </c>
      <c r="B841" t="s">
        <v>1579</v>
      </c>
      <c r="C841" s="1">
        <v>43839</v>
      </c>
      <c r="D841" t="s">
        <v>37</v>
      </c>
      <c r="E841">
        <v>5</v>
      </c>
      <c r="F841" s="3" t="s">
        <v>10</v>
      </c>
      <c r="G841" s="3" t="s">
        <v>13</v>
      </c>
      <c r="H841" s="3" t="str">
        <f>IF(cf_cl[[#This Row],[satisfaction_score]]&gt;=4,"Happy",IF(cf_cl[[#This Row],[satisfaction_score]]=3,"Neutral","Negative"))</f>
        <v>Happy</v>
      </c>
      <c r="I841" s="3" t="str">
        <f>IF(cf_cl[[#This Row],[satisfaction_score]]&lt;=2,"Low",IF(cf_cl[[#This Row],[satisfaction_score]]=3,"Medium","High"))</f>
        <v>High</v>
      </c>
      <c r="J841">
        <f>YEAR(cf_cl[[#This Row],[date_submitted]])</f>
        <v>2020</v>
      </c>
      <c r="K841" s="3" t="str">
        <f>TEXT(cf_cl[[#This Row],[date_submitted]],"mmm")</f>
        <v>Jan</v>
      </c>
      <c r="L841" s="3" t="str">
        <f t="shared" si="39"/>
        <v>Q1</v>
      </c>
      <c r="M841" s="3" t="str">
        <f t="shared" si="40"/>
        <v>Thursday</v>
      </c>
      <c r="N841" s="3" t="str">
        <f t="shared" si="41"/>
        <v>No</v>
      </c>
      <c r="O841" s="3" t="str">
        <f>IF(COUNTIF($B:$B,B841)=1,"New Customer",
IF(COUNTIF($B:$B,B841)&lt;=3,"Returning Customer","Loyal Customer"))</f>
        <v>New Customer</v>
      </c>
      <c r="P841" s="3" t="str">
        <f>IF(cf_cl[[#This Row],[referred_claim]]="Yes","Referred","Not Referred")</f>
        <v>Not Referred</v>
      </c>
    </row>
    <row r="842" spans="1:16" x14ac:dyDescent="0.3">
      <c r="A842" t="s">
        <v>1580</v>
      </c>
      <c r="B842" t="s">
        <v>1581</v>
      </c>
      <c r="C842" s="1">
        <v>43924</v>
      </c>
      <c r="D842" t="s">
        <v>28</v>
      </c>
      <c r="E842">
        <v>5</v>
      </c>
      <c r="F842" s="3" t="s">
        <v>10</v>
      </c>
      <c r="G842" s="3" t="s">
        <v>13</v>
      </c>
      <c r="H842" s="3" t="str">
        <f>IF(cf_cl[[#This Row],[satisfaction_score]]&gt;=4,"Happy",IF(cf_cl[[#This Row],[satisfaction_score]]=3,"Neutral","Negative"))</f>
        <v>Happy</v>
      </c>
      <c r="I842" s="3" t="str">
        <f>IF(cf_cl[[#This Row],[satisfaction_score]]&lt;=2,"Low",IF(cf_cl[[#This Row],[satisfaction_score]]=3,"Medium","High"))</f>
        <v>High</v>
      </c>
      <c r="J842">
        <f>YEAR(cf_cl[[#This Row],[date_submitted]])</f>
        <v>2020</v>
      </c>
      <c r="K842" s="3" t="str">
        <f>TEXT(cf_cl[[#This Row],[date_submitted]],"mmm")</f>
        <v>Apr</v>
      </c>
      <c r="L842" s="3" t="str">
        <f t="shared" si="39"/>
        <v>Q2</v>
      </c>
      <c r="M842" s="3" t="str">
        <f t="shared" si="40"/>
        <v>Friday</v>
      </c>
      <c r="N842" s="3" t="str">
        <f t="shared" si="41"/>
        <v>No</v>
      </c>
      <c r="O842" s="3" t="str">
        <f>IF(COUNTIF($B:$B,B842)=1,"New Customer",
IF(COUNTIF($B:$B,B842)&lt;=3,"Returning Customer","Loyal Customer"))</f>
        <v>New Customer</v>
      </c>
      <c r="P842" s="3" t="str">
        <f>IF(cf_cl[[#This Row],[referred_claim]]="Yes","Referred","Not Referred")</f>
        <v>Not Referred</v>
      </c>
    </row>
    <row r="843" spans="1:16" x14ac:dyDescent="0.3">
      <c r="A843" t="s">
        <v>1582</v>
      </c>
      <c r="B843" t="s">
        <v>1583</v>
      </c>
      <c r="C843" s="1">
        <v>45063</v>
      </c>
      <c r="D843" t="s">
        <v>22</v>
      </c>
      <c r="E843">
        <v>5</v>
      </c>
      <c r="F843" s="3" t="s">
        <v>10</v>
      </c>
      <c r="G843" s="3" t="s">
        <v>13</v>
      </c>
      <c r="H843" s="3" t="str">
        <f>IF(cf_cl[[#This Row],[satisfaction_score]]&gt;=4,"Happy",IF(cf_cl[[#This Row],[satisfaction_score]]=3,"Neutral","Negative"))</f>
        <v>Happy</v>
      </c>
      <c r="I843" s="3" t="str">
        <f>IF(cf_cl[[#This Row],[satisfaction_score]]&lt;=2,"Low",IF(cf_cl[[#This Row],[satisfaction_score]]=3,"Medium","High"))</f>
        <v>High</v>
      </c>
      <c r="J843">
        <f>YEAR(cf_cl[[#This Row],[date_submitted]])</f>
        <v>2023</v>
      </c>
      <c r="K843" s="3" t="str">
        <f>TEXT(cf_cl[[#This Row],[date_submitted]],"mmm")</f>
        <v>May</v>
      </c>
      <c r="L843" s="3" t="str">
        <f t="shared" si="39"/>
        <v>Q2</v>
      </c>
      <c r="M843" s="3" t="str">
        <f t="shared" si="40"/>
        <v>Wednesday</v>
      </c>
      <c r="N843" s="3" t="str">
        <f t="shared" si="41"/>
        <v>No</v>
      </c>
      <c r="O843" s="3" t="str">
        <f>IF(COUNTIF($B:$B,B843)=1,"New Customer",
IF(COUNTIF($B:$B,B843)&lt;=3,"Returning Customer","Loyal Customer"))</f>
        <v>New Customer</v>
      </c>
      <c r="P843" s="3" t="str">
        <f>IF(cf_cl[[#This Row],[referred_claim]]="Yes","Referred","Not Referred")</f>
        <v>Not Referred</v>
      </c>
    </row>
    <row r="844" spans="1:16" x14ac:dyDescent="0.3">
      <c r="A844" t="s">
        <v>1584</v>
      </c>
      <c r="B844" t="s">
        <v>1585</v>
      </c>
      <c r="C844" s="1">
        <v>44877</v>
      </c>
      <c r="D844" t="s">
        <v>83</v>
      </c>
      <c r="E844">
        <v>1</v>
      </c>
      <c r="F844" s="3" t="s">
        <v>10</v>
      </c>
      <c r="G844" s="3" t="s">
        <v>10</v>
      </c>
      <c r="H844" s="3" t="str">
        <f>IF(cf_cl[[#This Row],[satisfaction_score]]&gt;=4,"Happy",IF(cf_cl[[#This Row],[satisfaction_score]]=3,"Neutral","Negative"))</f>
        <v>Negative</v>
      </c>
      <c r="I844" s="3" t="str">
        <f>IF(cf_cl[[#This Row],[satisfaction_score]]&lt;=2,"Low",IF(cf_cl[[#This Row],[satisfaction_score]]=3,"Medium","High"))</f>
        <v>Low</v>
      </c>
      <c r="J844">
        <f>YEAR(cf_cl[[#This Row],[date_submitted]])</f>
        <v>2022</v>
      </c>
      <c r="K844" s="3" t="str">
        <f>TEXT(cf_cl[[#This Row],[date_submitted]],"mmm")</f>
        <v>Nov</v>
      </c>
      <c r="L844" s="3" t="str">
        <f t="shared" si="39"/>
        <v>Q4</v>
      </c>
      <c r="M844" s="3" t="str">
        <f t="shared" si="40"/>
        <v>Saturday</v>
      </c>
      <c r="N844" s="3" t="str">
        <f t="shared" si="41"/>
        <v>Yes</v>
      </c>
      <c r="O844" s="3" t="str">
        <f>IF(COUNTIF($B:$B,B844)=1,"New Customer",
IF(COUNTIF($B:$B,B844)&lt;=3,"Returning Customer","Loyal Customer"))</f>
        <v>New Customer</v>
      </c>
      <c r="P844" s="3" t="str">
        <f>IF(cf_cl[[#This Row],[referred_claim]]="Yes","Referred","Not Referred")</f>
        <v>Referred</v>
      </c>
    </row>
    <row r="845" spans="1:16" x14ac:dyDescent="0.3">
      <c r="A845" t="s">
        <v>1586</v>
      </c>
      <c r="B845" t="s">
        <v>1190</v>
      </c>
      <c r="C845" s="1">
        <v>44851</v>
      </c>
      <c r="D845" t="s">
        <v>28</v>
      </c>
      <c r="E845">
        <v>4</v>
      </c>
      <c r="F845" s="3" t="s">
        <v>10</v>
      </c>
      <c r="G845" s="3" t="s">
        <v>13</v>
      </c>
      <c r="H845" s="3" t="str">
        <f>IF(cf_cl[[#This Row],[satisfaction_score]]&gt;=4,"Happy",IF(cf_cl[[#This Row],[satisfaction_score]]=3,"Neutral","Negative"))</f>
        <v>Happy</v>
      </c>
      <c r="I845" s="3" t="str">
        <f>IF(cf_cl[[#This Row],[satisfaction_score]]&lt;=2,"Low",IF(cf_cl[[#This Row],[satisfaction_score]]=3,"Medium","High"))</f>
        <v>High</v>
      </c>
      <c r="J845">
        <f>YEAR(cf_cl[[#This Row],[date_submitted]])</f>
        <v>2022</v>
      </c>
      <c r="K845" s="3" t="str">
        <f>TEXT(cf_cl[[#This Row],[date_submitted]],"mmm")</f>
        <v>Oct</v>
      </c>
      <c r="L845" s="3" t="str">
        <f t="shared" si="39"/>
        <v>Q4</v>
      </c>
      <c r="M845" s="3" t="str">
        <f t="shared" si="40"/>
        <v>Monday</v>
      </c>
      <c r="N845" s="3" t="str">
        <f t="shared" si="41"/>
        <v>No</v>
      </c>
      <c r="O845" s="3" t="str">
        <f>IF(COUNTIF($B:$B,B845)=1,"New Customer",
IF(COUNTIF($B:$B,B845)&lt;=3,"Returning Customer","Loyal Customer"))</f>
        <v>Returning Customer</v>
      </c>
      <c r="P845" s="3" t="str">
        <f>IF(cf_cl[[#This Row],[referred_claim]]="Yes","Referred","Not Referred")</f>
        <v>Not Referred</v>
      </c>
    </row>
    <row r="846" spans="1:16" x14ac:dyDescent="0.3">
      <c r="A846" t="s">
        <v>1587</v>
      </c>
      <c r="B846" t="s">
        <v>1588</v>
      </c>
      <c r="C846" s="1">
        <v>44982</v>
      </c>
      <c r="D846" t="s">
        <v>68</v>
      </c>
      <c r="E846">
        <v>1</v>
      </c>
      <c r="F846" s="3" t="s">
        <v>13</v>
      </c>
      <c r="G846" s="3" t="s">
        <v>10</v>
      </c>
      <c r="H846" s="3" t="str">
        <f>IF(cf_cl[[#This Row],[satisfaction_score]]&gt;=4,"Happy",IF(cf_cl[[#This Row],[satisfaction_score]]=3,"Neutral","Negative"))</f>
        <v>Negative</v>
      </c>
      <c r="I846" s="3" t="str">
        <f>IF(cf_cl[[#This Row],[satisfaction_score]]&lt;=2,"Low",IF(cf_cl[[#This Row],[satisfaction_score]]=3,"Medium","High"))</f>
        <v>Low</v>
      </c>
      <c r="J846">
        <f>YEAR(cf_cl[[#This Row],[date_submitted]])</f>
        <v>2023</v>
      </c>
      <c r="K846" s="3" t="str">
        <f>TEXT(cf_cl[[#This Row],[date_submitted]],"mmm")</f>
        <v>Feb</v>
      </c>
      <c r="L846" s="3" t="str">
        <f t="shared" si="39"/>
        <v>Q1</v>
      </c>
      <c r="M846" s="3" t="str">
        <f t="shared" si="40"/>
        <v>Saturday</v>
      </c>
      <c r="N846" s="3" t="str">
        <f t="shared" si="41"/>
        <v>Yes</v>
      </c>
      <c r="O846" s="3" t="str">
        <f>IF(COUNTIF($B:$B,B846)=1,"New Customer",
IF(COUNTIF($B:$B,B846)&lt;=3,"Returning Customer","Loyal Customer"))</f>
        <v>Returning Customer</v>
      </c>
      <c r="P846" s="3" t="str">
        <f>IF(cf_cl[[#This Row],[referred_claim]]="Yes","Referred","Not Referred")</f>
        <v>Referred</v>
      </c>
    </row>
    <row r="847" spans="1:16" x14ac:dyDescent="0.3">
      <c r="A847" t="s">
        <v>1589</v>
      </c>
      <c r="B847" t="s">
        <v>1590</v>
      </c>
      <c r="C847" s="1">
        <v>44111</v>
      </c>
      <c r="D847" t="s">
        <v>37</v>
      </c>
      <c r="E847">
        <v>3</v>
      </c>
      <c r="F847" s="3" t="s">
        <v>13</v>
      </c>
      <c r="G847" s="3" t="s">
        <v>10</v>
      </c>
      <c r="H847" s="3" t="str">
        <f>IF(cf_cl[[#This Row],[satisfaction_score]]&gt;=4,"Happy",IF(cf_cl[[#This Row],[satisfaction_score]]=3,"Neutral","Negative"))</f>
        <v>Neutral</v>
      </c>
      <c r="I847" s="3" t="str">
        <f>IF(cf_cl[[#This Row],[satisfaction_score]]&lt;=2,"Low",IF(cf_cl[[#This Row],[satisfaction_score]]=3,"Medium","High"))</f>
        <v>Medium</v>
      </c>
      <c r="J847">
        <f>YEAR(cf_cl[[#This Row],[date_submitted]])</f>
        <v>2020</v>
      </c>
      <c r="K847" s="3" t="str">
        <f>TEXT(cf_cl[[#This Row],[date_submitted]],"mmm")</f>
        <v>Oct</v>
      </c>
      <c r="L847" s="3" t="str">
        <f t="shared" si="39"/>
        <v>Q4</v>
      </c>
      <c r="M847" s="3" t="str">
        <f t="shared" si="40"/>
        <v>Wednesday</v>
      </c>
      <c r="N847" s="3" t="str">
        <f t="shared" si="41"/>
        <v>No</v>
      </c>
      <c r="O847" s="3" t="str">
        <f>IF(COUNTIF($B:$B,B847)=1,"New Customer",
IF(COUNTIF($B:$B,B847)&lt;=3,"Returning Customer","Loyal Customer"))</f>
        <v>New Customer</v>
      </c>
      <c r="P847" s="3" t="str">
        <f>IF(cf_cl[[#This Row],[referred_claim]]="Yes","Referred","Not Referred")</f>
        <v>Referred</v>
      </c>
    </row>
    <row r="848" spans="1:16" x14ac:dyDescent="0.3">
      <c r="A848" t="s">
        <v>1591</v>
      </c>
      <c r="B848" t="s">
        <v>1592</v>
      </c>
      <c r="C848" s="1">
        <v>44459</v>
      </c>
      <c r="D848" t="s">
        <v>28</v>
      </c>
      <c r="E848">
        <v>4</v>
      </c>
      <c r="F848" s="3" t="s">
        <v>10</v>
      </c>
      <c r="G848" s="3" t="s">
        <v>13</v>
      </c>
      <c r="H848" s="3" t="str">
        <f>IF(cf_cl[[#This Row],[satisfaction_score]]&gt;=4,"Happy",IF(cf_cl[[#This Row],[satisfaction_score]]=3,"Neutral","Negative"))</f>
        <v>Happy</v>
      </c>
      <c r="I848" s="3" t="str">
        <f>IF(cf_cl[[#This Row],[satisfaction_score]]&lt;=2,"Low",IF(cf_cl[[#This Row],[satisfaction_score]]=3,"Medium","High"))</f>
        <v>High</v>
      </c>
      <c r="J848">
        <f>YEAR(cf_cl[[#This Row],[date_submitted]])</f>
        <v>2021</v>
      </c>
      <c r="K848" s="3" t="str">
        <f>TEXT(cf_cl[[#This Row],[date_submitted]],"mmm")</f>
        <v>Sep</v>
      </c>
      <c r="L848" s="3" t="str">
        <f t="shared" si="39"/>
        <v>Q3</v>
      </c>
      <c r="M848" s="3" t="str">
        <f t="shared" si="40"/>
        <v>Monday</v>
      </c>
      <c r="N848" s="3" t="str">
        <f t="shared" si="41"/>
        <v>No</v>
      </c>
      <c r="O848" s="3" t="str">
        <f>IF(COUNTIF($B:$B,B848)=1,"New Customer",
IF(COUNTIF($B:$B,B848)&lt;=3,"Returning Customer","Loyal Customer"))</f>
        <v>New Customer</v>
      </c>
      <c r="P848" s="3" t="str">
        <f>IF(cf_cl[[#This Row],[referred_claim]]="Yes","Referred","Not Referred")</f>
        <v>Not Referred</v>
      </c>
    </row>
    <row r="849" spans="1:16" x14ac:dyDescent="0.3">
      <c r="A849" t="s">
        <v>1593</v>
      </c>
      <c r="B849" t="s">
        <v>1594</v>
      </c>
      <c r="C849" s="1">
        <v>44416</v>
      </c>
      <c r="D849" t="s">
        <v>16</v>
      </c>
      <c r="E849">
        <v>5</v>
      </c>
      <c r="F849" s="3" t="s">
        <v>13</v>
      </c>
      <c r="G849" s="3" t="s">
        <v>10</v>
      </c>
      <c r="H849" s="3" t="str">
        <f>IF(cf_cl[[#This Row],[satisfaction_score]]&gt;=4,"Happy",IF(cf_cl[[#This Row],[satisfaction_score]]=3,"Neutral","Negative"))</f>
        <v>Happy</v>
      </c>
      <c r="I849" s="3" t="str">
        <f>IF(cf_cl[[#This Row],[satisfaction_score]]&lt;=2,"Low",IF(cf_cl[[#This Row],[satisfaction_score]]=3,"Medium","High"))</f>
        <v>High</v>
      </c>
      <c r="J849">
        <f>YEAR(cf_cl[[#This Row],[date_submitted]])</f>
        <v>2021</v>
      </c>
      <c r="K849" s="3" t="str">
        <f>TEXT(cf_cl[[#This Row],[date_submitted]],"mmm")</f>
        <v>Aug</v>
      </c>
      <c r="L849" s="3" t="str">
        <f t="shared" si="39"/>
        <v>Q3</v>
      </c>
      <c r="M849" s="3" t="str">
        <f t="shared" si="40"/>
        <v>Sunday</v>
      </c>
      <c r="N849" s="3" t="str">
        <f t="shared" si="41"/>
        <v>No</v>
      </c>
      <c r="O849" s="3" t="str">
        <f>IF(COUNTIF($B:$B,B849)=1,"New Customer",
IF(COUNTIF($B:$B,B849)&lt;=3,"Returning Customer","Loyal Customer"))</f>
        <v>New Customer</v>
      </c>
      <c r="P849" s="3" t="str">
        <f>IF(cf_cl[[#This Row],[referred_claim]]="Yes","Referred","Not Referred")</f>
        <v>Referred</v>
      </c>
    </row>
    <row r="850" spans="1:16" x14ac:dyDescent="0.3">
      <c r="A850" t="s">
        <v>1595</v>
      </c>
      <c r="B850" t="s">
        <v>1596</v>
      </c>
      <c r="C850" s="1">
        <v>44542</v>
      </c>
      <c r="D850" t="s">
        <v>22</v>
      </c>
      <c r="E850">
        <v>5</v>
      </c>
      <c r="F850" s="3" t="s">
        <v>10</v>
      </c>
      <c r="G850" s="3" t="s">
        <v>13</v>
      </c>
      <c r="H850" s="3" t="str">
        <f>IF(cf_cl[[#This Row],[satisfaction_score]]&gt;=4,"Happy",IF(cf_cl[[#This Row],[satisfaction_score]]=3,"Neutral","Negative"))</f>
        <v>Happy</v>
      </c>
      <c r="I850" s="3" t="str">
        <f>IF(cf_cl[[#This Row],[satisfaction_score]]&lt;=2,"Low",IF(cf_cl[[#This Row],[satisfaction_score]]=3,"Medium","High"))</f>
        <v>High</v>
      </c>
      <c r="J850">
        <f>YEAR(cf_cl[[#This Row],[date_submitted]])</f>
        <v>2021</v>
      </c>
      <c r="K850" s="3" t="str">
        <f>TEXT(cf_cl[[#This Row],[date_submitted]],"mmm")</f>
        <v>Dec</v>
      </c>
      <c r="L850" s="3" t="str">
        <f t="shared" si="39"/>
        <v>Q4</v>
      </c>
      <c r="M850" s="3" t="str">
        <f t="shared" si="40"/>
        <v>Sunday</v>
      </c>
      <c r="N850" s="3" t="str">
        <f t="shared" si="41"/>
        <v>No</v>
      </c>
      <c r="O850" s="3" t="str">
        <f>IF(COUNTIF($B:$B,B850)=1,"New Customer",
IF(COUNTIF($B:$B,B850)&lt;=3,"Returning Customer","Loyal Customer"))</f>
        <v>New Customer</v>
      </c>
      <c r="P850" s="3" t="str">
        <f>IF(cf_cl[[#This Row],[referred_claim]]="Yes","Referred","Not Referred")</f>
        <v>Not Referred</v>
      </c>
    </row>
    <row r="851" spans="1:16" x14ac:dyDescent="0.3">
      <c r="A851" t="s">
        <v>1597</v>
      </c>
      <c r="B851" t="s">
        <v>1598</v>
      </c>
      <c r="C851" s="1">
        <v>43978</v>
      </c>
      <c r="D851" t="s">
        <v>25</v>
      </c>
      <c r="E851">
        <v>4</v>
      </c>
      <c r="F851" s="3" t="s">
        <v>13</v>
      </c>
      <c r="G851" s="3" t="s">
        <v>13</v>
      </c>
      <c r="H851" s="3" t="str">
        <f>IF(cf_cl[[#This Row],[satisfaction_score]]&gt;=4,"Happy",IF(cf_cl[[#This Row],[satisfaction_score]]=3,"Neutral","Negative"))</f>
        <v>Happy</v>
      </c>
      <c r="I851" s="3" t="str">
        <f>IF(cf_cl[[#This Row],[satisfaction_score]]&lt;=2,"Low",IF(cf_cl[[#This Row],[satisfaction_score]]=3,"Medium","High"))</f>
        <v>High</v>
      </c>
      <c r="J851">
        <f>YEAR(cf_cl[[#This Row],[date_submitted]])</f>
        <v>2020</v>
      </c>
      <c r="K851" s="3" t="str">
        <f>TEXT(cf_cl[[#This Row],[date_submitted]],"mmm")</f>
        <v>May</v>
      </c>
      <c r="L851" s="3" t="str">
        <f t="shared" si="39"/>
        <v>Q2</v>
      </c>
      <c r="M851" s="3" t="str">
        <f t="shared" si="40"/>
        <v>Wednesday</v>
      </c>
      <c r="N851" s="3" t="str">
        <f t="shared" si="41"/>
        <v>No</v>
      </c>
      <c r="O851" s="3" t="str">
        <f>IF(COUNTIF($B:$B,B851)=1,"New Customer",
IF(COUNTIF($B:$B,B851)&lt;=3,"Returning Customer","Loyal Customer"))</f>
        <v>New Customer</v>
      </c>
      <c r="P851" s="3" t="str">
        <f>IF(cf_cl[[#This Row],[referred_claim]]="Yes","Referred","Not Referred")</f>
        <v>Not Referred</v>
      </c>
    </row>
    <row r="852" spans="1:16" x14ac:dyDescent="0.3">
      <c r="A852" t="s">
        <v>1599</v>
      </c>
      <c r="B852" t="s">
        <v>1600</v>
      </c>
      <c r="C852" s="1">
        <v>44430</v>
      </c>
      <c r="D852" t="s">
        <v>31</v>
      </c>
      <c r="E852">
        <v>1</v>
      </c>
      <c r="F852" s="3" t="s">
        <v>10</v>
      </c>
      <c r="G852" s="3" t="s">
        <v>13</v>
      </c>
      <c r="H852" s="3" t="str">
        <f>IF(cf_cl[[#This Row],[satisfaction_score]]&gt;=4,"Happy",IF(cf_cl[[#This Row],[satisfaction_score]]=3,"Neutral","Negative"))</f>
        <v>Negative</v>
      </c>
      <c r="I852" s="3" t="str">
        <f>IF(cf_cl[[#This Row],[satisfaction_score]]&lt;=2,"Low",IF(cf_cl[[#This Row],[satisfaction_score]]=3,"Medium","High"))</f>
        <v>Low</v>
      </c>
      <c r="J852">
        <f>YEAR(cf_cl[[#This Row],[date_submitted]])</f>
        <v>2021</v>
      </c>
      <c r="K852" s="3" t="str">
        <f>TEXT(cf_cl[[#This Row],[date_submitted]],"mmm")</f>
        <v>Aug</v>
      </c>
      <c r="L852" s="3" t="str">
        <f t="shared" si="39"/>
        <v>Q3</v>
      </c>
      <c r="M852" s="3" t="str">
        <f t="shared" si="40"/>
        <v>Sunday</v>
      </c>
      <c r="N852" s="3" t="str">
        <f t="shared" si="41"/>
        <v>Yes</v>
      </c>
      <c r="O852" s="3" t="str">
        <f>IF(COUNTIF($B:$B,B852)=1,"New Customer",
IF(COUNTIF($B:$B,B852)&lt;=3,"Returning Customer","Loyal Customer"))</f>
        <v>New Customer</v>
      </c>
      <c r="P852" s="3" t="str">
        <f>IF(cf_cl[[#This Row],[referred_claim]]="Yes","Referred","Not Referred")</f>
        <v>Not Referred</v>
      </c>
    </row>
    <row r="853" spans="1:16" x14ac:dyDescent="0.3">
      <c r="A853" t="s">
        <v>1601</v>
      </c>
      <c r="B853" t="s">
        <v>1602</v>
      </c>
      <c r="C853" s="1">
        <v>44066</v>
      </c>
      <c r="D853" t="s">
        <v>83</v>
      </c>
      <c r="E853">
        <v>3</v>
      </c>
      <c r="F853" s="3" t="s">
        <v>13</v>
      </c>
      <c r="G853" s="3" t="s">
        <v>10</v>
      </c>
      <c r="H853" s="3" t="str">
        <f>IF(cf_cl[[#This Row],[satisfaction_score]]&gt;=4,"Happy",IF(cf_cl[[#This Row],[satisfaction_score]]=3,"Neutral","Negative"))</f>
        <v>Neutral</v>
      </c>
      <c r="I853" s="3" t="str">
        <f>IF(cf_cl[[#This Row],[satisfaction_score]]&lt;=2,"Low",IF(cf_cl[[#This Row],[satisfaction_score]]=3,"Medium","High"))</f>
        <v>Medium</v>
      </c>
      <c r="J853">
        <f>YEAR(cf_cl[[#This Row],[date_submitted]])</f>
        <v>2020</v>
      </c>
      <c r="K853" s="3" t="str">
        <f>TEXT(cf_cl[[#This Row],[date_submitted]],"mmm")</f>
        <v>Aug</v>
      </c>
      <c r="L853" s="3" t="str">
        <f t="shared" si="39"/>
        <v>Q3</v>
      </c>
      <c r="M853" s="3" t="str">
        <f t="shared" si="40"/>
        <v>Sunday</v>
      </c>
      <c r="N853" s="3" t="str">
        <f t="shared" si="41"/>
        <v>No</v>
      </c>
      <c r="O853" s="3" t="str">
        <f>IF(COUNTIF($B:$B,B853)=1,"New Customer",
IF(COUNTIF($B:$B,B853)&lt;=3,"Returning Customer","Loyal Customer"))</f>
        <v>New Customer</v>
      </c>
      <c r="P853" s="3" t="str">
        <f>IF(cf_cl[[#This Row],[referred_claim]]="Yes","Referred","Not Referred")</f>
        <v>Referred</v>
      </c>
    </row>
    <row r="854" spans="1:16" x14ac:dyDescent="0.3">
      <c r="A854" t="s">
        <v>1603</v>
      </c>
      <c r="B854" t="s">
        <v>148</v>
      </c>
      <c r="C854" s="1">
        <v>44825</v>
      </c>
      <c r="D854" t="s">
        <v>68</v>
      </c>
      <c r="E854">
        <v>2</v>
      </c>
      <c r="F854" s="3" t="s">
        <v>10</v>
      </c>
      <c r="G854" s="3" t="s">
        <v>10</v>
      </c>
      <c r="H854" s="3" t="str">
        <f>IF(cf_cl[[#This Row],[satisfaction_score]]&gt;=4,"Happy",IF(cf_cl[[#This Row],[satisfaction_score]]=3,"Neutral","Negative"))</f>
        <v>Negative</v>
      </c>
      <c r="I854" s="3" t="str">
        <f>IF(cf_cl[[#This Row],[satisfaction_score]]&lt;=2,"Low",IF(cf_cl[[#This Row],[satisfaction_score]]=3,"Medium","High"))</f>
        <v>Low</v>
      </c>
      <c r="J854">
        <f>YEAR(cf_cl[[#This Row],[date_submitted]])</f>
        <v>2022</v>
      </c>
      <c r="K854" s="3" t="str">
        <f>TEXT(cf_cl[[#This Row],[date_submitted]],"mmm")</f>
        <v>Sep</v>
      </c>
      <c r="L854" s="3" t="str">
        <f t="shared" si="39"/>
        <v>Q3</v>
      </c>
      <c r="M854" s="3" t="str">
        <f t="shared" si="40"/>
        <v>Wednesday</v>
      </c>
      <c r="N854" s="3" t="str">
        <f t="shared" si="41"/>
        <v>Yes</v>
      </c>
      <c r="O854" s="3" t="str">
        <f>IF(COUNTIF($B:$B,B854)=1,"New Customer",
IF(COUNTIF($B:$B,B854)&lt;=3,"Returning Customer","Loyal Customer"))</f>
        <v>Returning Customer</v>
      </c>
      <c r="P854" s="3" t="str">
        <f>IF(cf_cl[[#This Row],[referred_claim]]="Yes","Referred","Not Referred")</f>
        <v>Referred</v>
      </c>
    </row>
    <row r="855" spans="1:16" x14ac:dyDescent="0.3">
      <c r="A855" t="s">
        <v>1604</v>
      </c>
      <c r="B855" t="s">
        <v>1605</v>
      </c>
      <c r="C855" s="1">
        <v>44227</v>
      </c>
      <c r="D855" t="s">
        <v>31</v>
      </c>
      <c r="E855">
        <v>1</v>
      </c>
      <c r="F855" s="3" t="s">
        <v>13</v>
      </c>
      <c r="G855" s="3" t="s">
        <v>10</v>
      </c>
      <c r="H855" s="3" t="str">
        <f>IF(cf_cl[[#This Row],[satisfaction_score]]&gt;=4,"Happy",IF(cf_cl[[#This Row],[satisfaction_score]]=3,"Neutral","Negative"))</f>
        <v>Negative</v>
      </c>
      <c r="I855" s="3" t="str">
        <f>IF(cf_cl[[#This Row],[satisfaction_score]]&lt;=2,"Low",IF(cf_cl[[#This Row],[satisfaction_score]]=3,"Medium","High"))</f>
        <v>Low</v>
      </c>
      <c r="J855">
        <f>YEAR(cf_cl[[#This Row],[date_submitted]])</f>
        <v>2021</v>
      </c>
      <c r="K855" s="3" t="str">
        <f>TEXT(cf_cl[[#This Row],[date_submitted]],"mmm")</f>
        <v>Jan</v>
      </c>
      <c r="L855" s="3" t="str">
        <f t="shared" si="39"/>
        <v>Q1</v>
      </c>
      <c r="M855" s="3" t="str">
        <f t="shared" si="40"/>
        <v>Sunday</v>
      </c>
      <c r="N855" s="3" t="str">
        <f t="shared" si="41"/>
        <v>Yes</v>
      </c>
      <c r="O855" s="3" t="str">
        <f>IF(COUNTIF($B:$B,B855)=1,"New Customer",
IF(COUNTIF($B:$B,B855)&lt;=3,"Returning Customer","Loyal Customer"))</f>
        <v>New Customer</v>
      </c>
      <c r="P855" s="3" t="str">
        <f>IF(cf_cl[[#This Row],[referred_claim]]="Yes","Referred","Not Referred")</f>
        <v>Referred</v>
      </c>
    </row>
    <row r="856" spans="1:16" x14ac:dyDescent="0.3">
      <c r="A856" t="s">
        <v>1606</v>
      </c>
      <c r="B856" t="s">
        <v>1607</v>
      </c>
      <c r="C856" s="1">
        <v>45031</v>
      </c>
      <c r="D856" t="s">
        <v>37</v>
      </c>
      <c r="E856">
        <v>3</v>
      </c>
      <c r="F856" s="3" t="s">
        <v>10</v>
      </c>
      <c r="G856" s="3" t="s">
        <v>10</v>
      </c>
      <c r="H856" s="3" t="str">
        <f>IF(cf_cl[[#This Row],[satisfaction_score]]&gt;=4,"Happy",IF(cf_cl[[#This Row],[satisfaction_score]]=3,"Neutral","Negative"))</f>
        <v>Neutral</v>
      </c>
      <c r="I856" s="3" t="str">
        <f>IF(cf_cl[[#This Row],[satisfaction_score]]&lt;=2,"Low",IF(cf_cl[[#This Row],[satisfaction_score]]=3,"Medium","High"))</f>
        <v>Medium</v>
      </c>
      <c r="J856">
        <f>YEAR(cf_cl[[#This Row],[date_submitted]])</f>
        <v>2023</v>
      </c>
      <c r="K856" s="3" t="str">
        <f>TEXT(cf_cl[[#This Row],[date_submitted]],"mmm")</f>
        <v>Apr</v>
      </c>
      <c r="L856" s="3" t="str">
        <f t="shared" si="39"/>
        <v>Q2</v>
      </c>
      <c r="M856" s="3" t="str">
        <f t="shared" si="40"/>
        <v>Saturday</v>
      </c>
      <c r="N856" s="3" t="str">
        <f t="shared" si="41"/>
        <v>No</v>
      </c>
      <c r="O856" s="3" t="str">
        <f>IF(COUNTIF($B:$B,B856)=1,"New Customer",
IF(COUNTIF($B:$B,B856)&lt;=3,"Returning Customer","Loyal Customer"))</f>
        <v>New Customer</v>
      </c>
      <c r="P856" s="3" t="str">
        <f>IF(cf_cl[[#This Row],[referred_claim]]="Yes","Referred","Not Referred")</f>
        <v>Referred</v>
      </c>
    </row>
    <row r="857" spans="1:16" x14ac:dyDescent="0.3">
      <c r="A857" t="s">
        <v>1608</v>
      </c>
      <c r="B857" t="s">
        <v>1609</v>
      </c>
      <c r="C857" s="1">
        <v>44859</v>
      </c>
      <c r="D857" t="s">
        <v>68</v>
      </c>
      <c r="E857">
        <v>1</v>
      </c>
      <c r="F857" s="3" t="s">
        <v>10</v>
      </c>
      <c r="G857" s="3" t="s">
        <v>10</v>
      </c>
      <c r="H857" s="3" t="str">
        <f>IF(cf_cl[[#This Row],[satisfaction_score]]&gt;=4,"Happy",IF(cf_cl[[#This Row],[satisfaction_score]]=3,"Neutral","Negative"))</f>
        <v>Negative</v>
      </c>
      <c r="I857" s="3" t="str">
        <f>IF(cf_cl[[#This Row],[satisfaction_score]]&lt;=2,"Low",IF(cf_cl[[#This Row],[satisfaction_score]]=3,"Medium","High"))</f>
        <v>Low</v>
      </c>
      <c r="J857">
        <f>YEAR(cf_cl[[#This Row],[date_submitted]])</f>
        <v>2022</v>
      </c>
      <c r="K857" s="3" t="str">
        <f>TEXT(cf_cl[[#This Row],[date_submitted]],"mmm")</f>
        <v>Oct</v>
      </c>
      <c r="L857" s="3" t="str">
        <f t="shared" si="39"/>
        <v>Q4</v>
      </c>
      <c r="M857" s="3" t="str">
        <f t="shared" si="40"/>
        <v>Tuesday</v>
      </c>
      <c r="N857" s="3" t="str">
        <f t="shared" si="41"/>
        <v>Yes</v>
      </c>
      <c r="O857" s="3" t="str">
        <f>IF(COUNTIF($B:$B,B857)=1,"New Customer",
IF(COUNTIF($B:$B,B857)&lt;=3,"Returning Customer","Loyal Customer"))</f>
        <v>New Customer</v>
      </c>
      <c r="P857" s="3" t="str">
        <f>IF(cf_cl[[#This Row],[referred_claim]]="Yes","Referred","Not Referred")</f>
        <v>Referred</v>
      </c>
    </row>
    <row r="858" spans="1:16" x14ac:dyDescent="0.3">
      <c r="A858" t="s">
        <v>1610</v>
      </c>
      <c r="B858" t="s">
        <v>1491</v>
      </c>
      <c r="C858" s="1">
        <v>44400</v>
      </c>
      <c r="D858" t="s">
        <v>37</v>
      </c>
      <c r="E858">
        <v>4</v>
      </c>
      <c r="F858" s="3" t="s">
        <v>10</v>
      </c>
      <c r="G858" s="3" t="s">
        <v>10</v>
      </c>
      <c r="H858" s="3" t="str">
        <f>IF(cf_cl[[#This Row],[satisfaction_score]]&gt;=4,"Happy",IF(cf_cl[[#This Row],[satisfaction_score]]=3,"Neutral","Negative"))</f>
        <v>Happy</v>
      </c>
      <c r="I858" s="3" t="str">
        <f>IF(cf_cl[[#This Row],[satisfaction_score]]&lt;=2,"Low",IF(cf_cl[[#This Row],[satisfaction_score]]=3,"Medium","High"))</f>
        <v>High</v>
      </c>
      <c r="J858">
        <f>YEAR(cf_cl[[#This Row],[date_submitted]])</f>
        <v>2021</v>
      </c>
      <c r="K858" s="3" t="str">
        <f>TEXT(cf_cl[[#This Row],[date_submitted]],"mmm")</f>
        <v>Jul</v>
      </c>
      <c r="L858" s="3" t="str">
        <f t="shared" si="39"/>
        <v>Q3</v>
      </c>
      <c r="M858" s="3" t="str">
        <f t="shared" si="40"/>
        <v>Friday</v>
      </c>
      <c r="N858" s="3" t="str">
        <f t="shared" si="41"/>
        <v>No</v>
      </c>
      <c r="O858" s="3" t="str">
        <f>IF(COUNTIF($B:$B,B858)=1,"New Customer",
IF(COUNTIF($B:$B,B858)&lt;=3,"Returning Customer","Loyal Customer"))</f>
        <v>Returning Customer</v>
      </c>
      <c r="P858" s="3" t="str">
        <f>IF(cf_cl[[#This Row],[referred_claim]]="Yes","Referred","Not Referred")</f>
        <v>Referred</v>
      </c>
    </row>
    <row r="859" spans="1:16" x14ac:dyDescent="0.3">
      <c r="A859" t="s">
        <v>1611</v>
      </c>
      <c r="B859" t="s">
        <v>1612</v>
      </c>
      <c r="C859" s="1">
        <v>44288</v>
      </c>
      <c r="D859" t="s">
        <v>83</v>
      </c>
      <c r="E859">
        <v>2</v>
      </c>
      <c r="F859" s="3" t="s">
        <v>10</v>
      </c>
      <c r="G859" s="3" t="s">
        <v>13</v>
      </c>
      <c r="H859" s="3" t="str">
        <f>IF(cf_cl[[#This Row],[satisfaction_score]]&gt;=4,"Happy",IF(cf_cl[[#This Row],[satisfaction_score]]=3,"Neutral","Negative"))</f>
        <v>Negative</v>
      </c>
      <c r="I859" s="3" t="str">
        <f>IF(cf_cl[[#This Row],[satisfaction_score]]&lt;=2,"Low",IF(cf_cl[[#This Row],[satisfaction_score]]=3,"Medium","High"))</f>
        <v>Low</v>
      </c>
      <c r="J859">
        <f>YEAR(cf_cl[[#This Row],[date_submitted]])</f>
        <v>2021</v>
      </c>
      <c r="K859" s="3" t="str">
        <f>TEXT(cf_cl[[#This Row],[date_submitted]],"mmm")</f>
        <v>Apr</v>
      </c>
      <c r="L859" s="3" t="str">
        <f t="shared" si="39"/>
        <v>Q2</v>
      </c>
      <c r="M859" s="3" t="str">
        <f t="shared" si="40"/>
        <v>Friday</v>
      </c>
      <c r="N859" s="3" t="str">
        <f t="shared" si="41"/>
        <v>Yes</v>
      </c>
      <c r="O859" s="3" t="str">
        <f>IF(COUNTIF($B:$B,B859)=1,"New Customer",
IF(COUNTIF($B:$B,B859)&lt;=3,"Returning Customer","Loyal Customer"))</f>
        <v>New Customer</v>
      </c>
      <c r="P859" s="3" t="str">
        <f>IF(cf_cl[[#This Row],[referred_claim]]="Yes","Referred","Not Referred")</f>
        <v>Not Referred</v>
      </c>
    </row>
    <row r="860" spans="1:16" x14ac:dyDescent="0.3">
      <c r="A860" t="s">
        <v>1613</v>
      </c>
      <c r="B860" t="s">
        <v>1614</v>
      </c>
      <c r="C860" s="1">
        <v>44265</v>
      </c>
      <c r="D860" t="s">
        <v>68</v>
      </c>
      <c r="E860">
        <v>2</v>
      </c>
      <c r="F860" s="3" t="s">
        <v>10</v>
      </c>
      <c r="G860" s="3" t="s">
        <v>10</v>
      </c>
      <c r="H860" s="3" t="str">
        <f>IF(cf_cl[[#This Row],[satisfaction_score]]&gt;=4,"Happy",IF(cf_cl[[#This Row],[satisfaction_score]]=3,"Neutral","Negative"))</f>
        <v>Negative</v>
      </c>
      <c r="I860" s="3" t="str">
        <f>IF(cf_cl[[#This Row],[satisfaction_score]]&lt;=2,"Low",IF(cf_cl[[#This Row],[satisfaction_score]]=3,"Medium","High"))</f>
        <v>Low</v>
      </c>
      <c r="J860">
        <f>YEAR(cf_cl[[#This Row],[date_submitted]])</f>
        <v>2021</v>
      </c>
      <c r="K860" s="3" t="str">
        <f>TEXT(cf_cl[[#This Row],[date_submitted]],"mmm")</f>
        <v>Mar</v>
      </c>
      <c r="L860" s="3" t="str">
        <f t="shared" si="39"/>
        <v>Q1</v>
      </c>
      <c r="M860" s="3" t="str">
        <f t="shared" si="40"/>
        <v>Wednesday</v>
      </c>
      <c r="N860" s="3" t="str">
        <f t="shared" si="41"/>
        <v>Yes</v>
      </c>
      <c r="O860" s="3" t="str">
        <f>IF(COUNTIF($B:$B,B860)=1,"New Customer",
IF(COUNTIF($B:$B,B860)&lt;=3,"Returning Customer","Loyal Customer"))</f>
        <v>New Customer</v>
      </c>
      <c r="P860" s="3" t="str">
        <f>IF(cf_cl[[#This Row],[referred_claim]]="Yes","Referred","Not Referred")</f>
        <v>Referred</v>
      </c>
    </row>
    <row r="861" spans="1:16" x14ac:dyDescent="0.3">
      <c r="A861" t="s">
        <v>1615</v>
      </c>
      <c r="B861" t="s">
        <v>1616</v>
      </c>
      <c r="C861" s="1">
        <v>43915</v>
      </c>
      <c r="D861" t="s">
        <v>83</v>
      </c>
      <c r="E861">
        <v>2</v>
      </c>
      <c r="F861" s="3" t="s">
        <v>10</v>
      </c>
      <c r="G861" s="3" t="s">
        <v>13</v>
      </c>
      <c r="H861" s="3" t="str">
        <f>IF(cf_cl[[#This Row],[satisfaction_score]]&gt;=4,"Happy",IF(cf_cl[[#This Row],[satisfaction_score]]=3,"Neutral","Negative"))</f>
        <v>Negative</v>
      </c>
      <c r="I861" s="3" t="str">
        <f>IF(cf_cl[[#This Row],[satisfaction_score]]&lt;=2,"Low",IF(cf_cl[[#This Row],[satisfaction_score]]=3,"Medium","High"))</f>
        <v>Low</v>
      </c>
      <c r="J861">
        <f>YEAR(cf_cl[[#This Row],[date_submitted]])</f>
        <v>2020</v>
      </c>
      <c r="K861" s="3" t="str">
        <f>TEXT(cf_cl[[#This Row],[date_submitted]],"mmm")</f>
        <v>Mar</v>
      </c>
      <c r="L861" s="3" t="str">
        <f t="shared" si="39"/>
        <v>Q1</v>
      </c>
      <c r="M861" s="3" t="str">
        <f t="shared" si="40"/>
        <v>Wednesday</v>
      </c>
      <c r="N861" s="3" t="str">
        <f t="shared" si="41"/>
        <v>Yes</v>
      </c>
      <c r="O861" s="3" t="str">
        <f>IF(COUNTIF($B:$B,B861)=1,"New Customer",
IF(COUNTIF($B:$B,B861)&lt;=3,"Returning Customer","Loyal Customer"))</f>
        <v>New Customer</v>
      </c>
      <c r="P861" s="3" t="str">
        <f>IF(cf_cl[[#This Row],[referred_claim]]="Yes","Referred","Not Referred")</f>
        <v>Not Referred</v>
      </c>
    </row>
    <row r="862" spans="1:16" x14ac:dyDescent="0.3">
      <c r="A862" t="s">
        <v>1617</v>
      </c>
      <c r="B862" t="s">
        <v>1618</v>
      </c>
      <c r="C862" s="1">
        <v>44114</v>
      </c>
      <c r="D862" t="s">
        <v>28</v>
      </c>
      <c r="E862">
        <v>5</v>
      </c>
      <c r="F862" s="3" t="s">
        <v>13</v>
      </c>
      <c r="G862" s="3" t="s">
        <v>13</v>
      </c>
      <c r="H862" s="3" t="str">
        <f>IF(cf_cl[[#This Row],[satisfaction_score]]&gt;=4,"Happy",IF(cf_cl[[#This Row],[satisfaction_score]]=3,"Neutral","Negative"))</f>
        <v>Happy</v>
      </c>
      <c r="I862" s="3" t="str">
        <f>IF(cf_cl[[#This Row],[satisfaction_score]]&lt;=2,"Low",IF(cf_cl[[#This Row],[satisfaction_score]]=3,"Medium","High"))</f>
        <v>High</v>
      </c>
      <c r="J862">
        <f>YEAR(cf_cl[[#This Row],[date_submitted]])</f>
        <v>2020</v>
      </c>
      <c r="K862" s="3" t="str">
        <f>TEXT(cf_cl[[#This Row],[date_submitted]],"mmm")</f>
        <v>Oct</v>
      </c>
      <c r="L862" s="3" t="str">
        <f t="shared" si="39"/>
        <v>Q4</v>
      </c>
      <c r="M862" s="3" t="str">
        <f t="shared" si="40"/>
        <v>Saturday</v>
      </c>
      <c r="N862" s="3" t="str">
        <f t="shared" si="41"/>
        <v>No</v>
      </c>
      <c r="O862" s="3" t="str">
        <f>IF(COUNTIF($B:$B,B862)=1,"New Customer",
IF(COUNTIF($B:$B,B862)&lt;=3,"Returning Customer","Loyal Customer"))</f>
        <v>New Customer</v>
      </c>
      <c r="P862" s="3" t="str">
        <f>IF(cf_cl[[#This Row],[referred_claim]]="Yes","Referred","Not Referred")</f>
        <v>Not Referred</v>
      </c>
    </row>
    <row r="863" spans="1:16" x14ac:dyDescent="0.3">
      <c r="A863" t="s">
        <v>1619</v>
      </c>
      <c r="B863" t="s">
        <v>1620</v>
      </c>
      <c r="C863" s="1">
        <v>44816</v>
      </c>
      <c r="D863" t="s">
        <v>68</v>
      </c>
      <c r="E863">
        <v>2</v>
      </c>
      <c r="F863" s="3" t="s">
        <v>10</v>
      </c>
      <c r="G863" s="3" t="s">
        <v>10</v>
      </c>
      <c r="H863" s="3" t="str">
        <f>IF(cf_cl[[#This Row],[satisfaction_score]]&gt;=4,"Happy",IF(cf_cl[[#This Row],[satisfaction_score]]=3,"Neutral","Negative"))</f>
        <v>Negative</v>
      </c>
      <c r="I863" s="3" t="str">
        <f>IF(cf_cl[[#This Row],[satisfaction_score]]&lt;=2,"Low",IF(cf_cl[[#This Row],[satisfaction_score]]=3,"Medium","High"))</f>
        <v>Low</v>
      </c>
      <c r="J863">
        <f>YEAR(cf_cl[[#This Row],[date_submitted]])</f>
        <v>2022</v>
      </c>
      <c r="K863" s="3" t="str">
        <f>TEXT(cf_cl[[#This Row],[date_submitted]],"mmm")</f>
        <v>Sep</v>
      </c>
      <c r="L863" s="3" t="str">
        <f t="shared" si="39"/>
        <v>Q3</v>
      </c>
      <c r="M863" s="3" t="str">
        <f t="shared" si="40"/>
        <v>Monday</v>
      </c>
      <c r="N863" s="3" t="str">
        <f t="shared" si="41"/>
        <v>Yes</v>
      </c>
      <c r="O863" s="3" t="str">
        <f>IF(COUNTIF($B:$B,B863)=1,"New Customer",
IF(COUNTIF($B:$B,B863)&lt;=3,"Returning Customer","Loyal Customer"))</f>
        <v>New Customer</v>
      </c>
      <c r="P863" s="3" t="str">
        <f>IF(cf_cl[[#This Row],[referred_claim]]="Yes","Referred","Not Referred")</f>
        <v>Referred</v>
      </c>
    </row>
    <row r="864" spans="1:16" x14ac:dyDescent="0.3">
      <c r="A864" t="s">
        <v>1621</v>
      </c>
      <c r="B864" t="s">
        <v>1622</v>
      </c>
      <c r="C864" s="1">
        <v>44417</v>
      </c>
      <c r="D864" t="s">
        <v>68</v>
      </c>
      <c r="E864">
        <v>2</v>
      </c>
      <c r="F864" s="3" t="s">
        <v>13</v>
      </c>
      <c r="G864" s="3" t="s">
        <v>10</v>
      </c>
      <c r="H864" s="3" t="str">
        <f>IF(cf_cl[[#This Row],[satisfaction_score]]&gt;=4,"Happy",IF(cf_cl[[#This Row],[satisfaction_score]]=3,"Neutral","Negative"))</f>
        <v>Negative</v>
      </c>
      <c r="I864" s="3" t="str">
        <f>IF(cf_cl[[#This Row],[satisfaction_score]]&lt;=2,"Low",IF(cf_cl[[#This Row],[satisfaction_score]]=3,"Medium","High"))</f>
        <v>Low</v>
      </c>
      <c r="J864">
        <f>YEAR(cf_cl[[#This Row],[date_submitted]])</f>
        <v>2021</v>
      </c>
      <c r="K864" s="3" t="str">
        <f>TEXT(cf_cl[[#This Row],[date_submitted]],"mmm")</f>
        <v>Aug</v>
      </c>
      <c r="L864" s="3" t="str">
        <f t="shared" si="39"/>
        <v>Q3</v>
      </c>
      <c r="M864" s="3" t="str">
        <f t="shared" si="40"/>
        <v>Monday</v>
      </c>
      <c r="N864" s="3" t="str">
        <f t="shared" si="41"/>
        <v>Yes</v>
      </c>
      <c r="O864" s="3" t="str">
        <f>IF(COUNTIF($B:$B,B864)=1,"New Customer",
IF(COUNTIF($B:$B,B864)&lt;=3,"Returning Customer","Loyal Customer"))</f>
        <v>New Customer</v>
      </c>
      <c r="P864" s="3" t="str">
        <f>IF(cf_cl[[#This Row],[referred_claim]]="Yes","Referred","Not Referred")</f>
        <v>Referred</v>
      </c>
    </row>
    <row r="865" spans="1:16" x14ac:dyDescent="0.3">
      <c r="A865" t="s">
        <v>1623</v>
      </c>
      <c r="B865" t="s">
        <v>1624</v>
      </c>
      <c r="C865" s="1">
        <v>45145</v>
      </c>
      <c r="D865" t="s">
        <v>37</v>
      </c>
      <c r="E865">
        <v>3</v>
      </c>
      <c r="F865" s="3" t="s">
        <v>10</v>
      </c>
      <c r="G865" s="3" t="s">
        <v>10</v>
      </c>
      <c r="H865" s="3" t="str">
        <f>IF(cf_cl[[#This Row],[satisfaction_score]]&gt;=4,"Happy",IF(cf_cl[[#This Row],[satisfaction_score]]=3,"Neutral","Negative"))</f>
        <v>Neutral</v>
      </c>
      <c r="I865" s="3" t="str">
        <f>IF(cf_cl[[#This Row],[satisfaction_score]]&lt;=2,"Low",IF(cf_cl[[#This Row],[satisfaction_score]]=3,"Medium","High"))</f>
        <v>Medium</v>
      </c>
      <c r="J865">
        <f>YEAR(cf_cl[[#This Row],[date_submitted]])</f>
        <v>2023</v>
      </c>
      <c r="K865" s="3" t="str">
        <f>TEXT(cf_cl[[#This Row],[date_submitted]],"mmm")</f>
        <v>Aug</v>
      </c>
      <c r="L865" s="3" t="str">
        <f t="shared" si="39"/>
        <v>Q3</v>
      </c>
      <c r="M865" s="3" t="str">
        <f t="shared" si="40"/>
        <v>Monday</v>
      </c>
      <c r="N865" s="3" t="str">
        <f t="shared" si="41"/>
        <v>No</v>
      </c>
      <c r="O865" s="3" t="str">
        <f>IF(COUNTIF($B:$B,B865)=1,"New Customer",
IF(COUNTIF($B:$B,B865)&lt;=3,"Returning Customer","Loyal Customer"))</f>
        <v>New Customer</v>
      </c>
      <c r="P865" s="3" t="str">
        <f>IF(cf_cl[[#This Row],[referred_claim]]="Yes","Referred","Not Referred")</f>
        <v>Referred</v>
      </c>
    </row>
    <row r="866" spans="1:16" x14ac:dyDescent="0.3">
      <c r="A866" t="s">
        <v>1625</v>
      </c>
      <c r="B866" t="s">
        <v>615</v>
      </c>
      <c r="C866" s="1">
        <v>44155</v>
      </c>
      <c r="D866" t="s">
        <v>16</v>
      </c>
      <c r="E866">
        <v>4</v>
      </c>
      <c r="F866" s="3" t="s">
        <v>13</v>
      </c>
      <c r="G866" s="3" t="s">
        <v>10</v>
      </c>
      <c r="H866" s="3" t="str">
        <f>IF(cf_cl[[#This Row],[satisfaction_score]]&gt;=4,"Happy",IF(cf_cl[[#This Row],[satisfaction_score]]=3,"Neutral","Negative"))</f>
        <v>Happy</v>
      </c>
      <c r="I866" s="3" t="str">
        <f>IF(cf_cl[[#This Row],[satisfaction_score]]&lt;=2,"Low",IF(cf_cl[[#This Row],[satisfaction_score]]=3,"Medium","High"))</f>
        <v>High</v>
      </c>
      <c r="J866">
        <f>YEAR(cf_cl[[#This Row],[date_submitted]])</f>
        <v>2020</v>
      </c>
      <c r="K866" s="3" t="str">
        <f>TEXT(cf_cl[[#This Row],[date_submitted]],"mmm")</f>
        <v>Nov</v>
      </c>
      <c r="L866" s="3" t="str">
        <f t="shared" si="39"/>
        <v>Q4</v>
      </c>
      <c r="M866" s="3" t="str">
        <f t="shared" si="40"/>
        <v>Friday</v>
      </c>
      <c r="N866" s="3" t="str">
        <f t="shared" si="41"/>
        <v>No</v>
      </c>
      <c r="O866" s="3" t="str">
        <f>IF(COUNTIF($B:$B,B866)=1,"New Customer",
IF(COUNTIF($B:$B,B866)&lt;=3,"Returning Customer","Loyal Customer"))</f>
        <v>Returning Customer</v>
      </c>
      <c r="P866" s="3" t="str">
        <f>IF(cf_cl[[#This Row],[referred_claim]]="Yes","Referred","Not Referred")</f>
        <v>Referred</v>
      </c>
    </row>
    <row r="867" spans="1:16" x14ac:dyDescent="0.3">
      <c r="A867" t="s">
        <v>1626</v>
      </c>
      <c r="B867" t="s">
        <v>244</v>
      </c>
      <c r="C867" s="1">
        <v>44109</v>
      </c>
      <c r="D867" t="s">
        <v>9</v>
      </c>
      <c r="E867">
        <v>1</v>
      </c>
      <c r="F867" s="3" t="s">
        <v>10</v>
      </c>
      <c r="G867" s="3" t="s">
        <v>13</v>
      </c>
      <c r="H867" s="3" t="str">
        <f>IF(cf_cl[[#This Row],[satisfaction_score]]&gt;=4,"Happy",IF(cf_cl[[#This Row],[satisfaction_score]]=3,"Neutral","Negative"))</f>
        <v>Negative</v>
      </c>
      <c r="I867" s="3" t="str">
        <f>IF(cf_cl[[#This Row],[satisfaction_score]]&lt;=2,"Low",IF(cf_cl[[#This Row],[satisfaction_score]]=3,"Medium","High"))</f>
        <v>Low</v>
      </c>
      <c r="J867">
        <f>YEAR(cf_cl[[#This Row],[date_submitted]])</f>
        <v>2020</v>
      </c>
      <c r="K867" s="3" t="str">
        <f>TEXT(cf_cl[[#This Row],[date_submitted]],"mmm")</f>
        <v>Oct</v>
      </c>
      <c r="L867" s="3" t="str">
        <f t="shared" si="39"/>
        <v>Q4</v>
      </c>
      <c r="M867" s="3" t="str">
        <f t="shared" si="40"/>
        <v>Monday</v>
      </c>
      <c r="N867" s="3" t="str">
        <f t="shared" si="41"/>
        <v>Yes</v>
      </c>
      <c r="O867" s="3" t="str">
        <f>IF(COUNTIF($B:$B,B867)=1,"New Customer",
IF(COUNTIF($B:$B,B867)&lt;=3,"Returning Customer","Loyal Customer"))</f>
        <v>Returning Customer</v>
      </c>
      <c r="P867" s="3" t="str">
        <f>IF(cf_cl[[#This Row],[referred_claim]]="Yes","Referred","Not Referred")</f>
        <v>Not Referred</v>
      </c>
    </row>
    <row r="868" spans="1:16" x14ac:dyDescent="0.3">
      <c r="A868" t="s">
        <v>1627</v>
      </c>
      <c r="B868" t="s">
        <v>1628</v>
      </c>
      <c r="C868" s="1">
        <v>44036</v>
      </c>
      <c r="D868" t="s">
        <v>31</v>
      </c>
      <c r="E868">
        <v>2</v>
      </c>
      <c r="F868" s="3" t="s">
        <v>13</v>
      </c>
      <c r="G868" s="3" t="s">
        <v>13</v>
      </c>
      <c r="H868" s="3" t="str">
        <f>IF(cf_cl[[#This Row],[satisfaction_score]]&gt;=4,"Happy",IF(cf_cl[[#This Row],[satisfaction_score]]=3,"Neutral","Negative"))</f>
        <v>Negative</v>
      </c>
      <c r="I868" s="3" t="str">
        <f>IF(cf_cl[[#This Row],[satisfaction_score]]&lt;=2,"Low",IF(cf_cl[[#This Row],[satisfaction_score]]=3,"Medium","High"))</f>
        <v>Low</v>
      </c>
      <c r="J868">
        <f>YEAR(cf_cl[[#This Row],[date_submitted]])</f>
        <v>2020</v>
      </c>
      <c r="K868" s="3" t="str">
        <f>TEXT(cf_cl[[#This Row],[date_submitted]],"mmm")</f>
        <v>Jul</v>
      </c>
      <c r="L868" s="3" t="str">
        <f t="shared" si="39"/>
        <v>Q3</v>
      </c>
      <c r="M868" s="3" t="str">
        <f t="shared" si="40"/>
        <v>Friday</v>
      </c>
      <c r="N868" s="3" t="str">
        <f t="shared" si="41"/>
        <v>Yes</v>
      </c>
      <c r="O868" s="3" t="str">
        <f>IF(COUNTIF($B:$B,B868)=1,"New Customer",
IF(COUNTIF($B:$B,B868)&lt;=3,"Returning Customer","Loyal Customer"))</f>
        <v>New Customer</v>
      </c>
      <c r="P868" s="3" t="str">
        <f>IF(cf_cl[[#This Row],[referred_claim]]="Yes","Referred","Not Referred")</f>
        <v>Not Referred</v>
      </c>
    </row>
    <row r="869" spans="1:16" x14ac:dyDescent="0.3">
      <c r="A869" t="s">
        <v>1629</v>
      </c>
      <c r="B869" t="s">
        <v>822</v>
      </c>
      <c r="C869" s="1">
        <v>44456</v>
      </c>
      <c r="D869" t="s">
        <v>37</v>
      </c>
      <c r="E869">
        <v>3</v>
      </c>
      <c r="F869" s="3" t="s">
        <v>13</v>
      </c>
      <c r="G869" s="3" t="s">
        <v>10</v>
      </c>
      <c r="H869" s="3" t="str">
        <f>IF(cf_cl[[#This Row],[satisfaction_score]]&gt;=4,"Happy",IF(cf_cl[[#This Row],[satisfaction_score]]=3,"Neutral","Negative"))</f>
        <v>Neutral</v>
      </c>
      <c r="I869" s="3" t="str">
        <f>IF(cf_cl[[#This Row],[satisfaction_score]]&lt;=2,"Low",IF(cf_cl[[#This Row],[satisfaction_score]]=3,"Medium","High"))</f>
        <v>Medium</v>
      </c>
      <c r="J869">
        <f>YEAR(cf_cl[[#This Row],[date_submitted]])</f>
        <v>2021</v>
      </c>
      <c r="K869" s="3" t="str">
        <f>TEXT(cf_cl[[#This Row],[date_submitted]],"mmm")</f>
        <v>Sep</v>
      </c>
      <c r="L869" s="3" t="str">
        <f t="shared" si="39"/>
        <v>Q3</v>
      </c>
      <c r="M869" s="3" t="str">
        <f t="shared" si="40"/>
        <v>Friday</v>
      </c>
      <c r="N869" s="3" t="str">
        <f t="shared" si="41"/>
        <v>No</v>
      </c>
      <c r="O869" s="3" t="str">
        <f>IF(COUNTIF($B:$B,B869)=1,"New Customer",
IF(COUNTIF($B:$B,B869)&lt;=3,"Returning Customer","Loyal Customer"))</f>
        <v>Returning Customer</v>
      </c>
      <c r="P869" s="3" t="str">
        <f>IF(cf_cl[[#This Row],[referred_claim]]="Yes","Referred","Not Referred")</f>
        <v>Referred</v>
      </c>
    </row>
    <row r="870" spans="1:16" x14ac:dyDescent="0.3">
      <c r="A870" t="s">
        <v>1630</v>
      </c>
      <c r="B870" t="s">
        <v>1631</v>
      </c>
      <c r="C870" s="1">
        <v>43882</v>
      </c>
      <c r="D870" t="s">
        <v>83</v>
      </c>
      <c r="E870">
        <v>1</v>
      </c>
      <c r="F870" s="3" t="s">
        <v>10</v>
      </c>
      <c r="G870" s="3" t="s">
        <v>10</v>
      </c>
      <c r="H870" s="3" t="str">
        <f>IF(cf_cl[[#This Row],[satisfaction_score]]&gt;=4,"Happy",IF(cf_cl[[#This Row],[satisfaction_score]]=3,"Neutral","Negative"))</f>
        <v>Negative</v>
      </c>
      <c r="I870" s="3" t="str">
        <f>IF(cf_cl[[#This Row],[satisfaction_score]]&lt;=2,"Low",IF(cf_cl[[#This Row],[satisfaction_score]]=3,"Medium","High"))</f>
        <v>Low</v>
      </c>
      <c r="J870">
        <f>YEAR(cf_cl[[#This Row],[date_submitted]])</f>
        <v>2020</v>
      </c>
      <c r="K870" s="3" t="str">
        <f>TEXT(cf_cl[[#This Row],[date_submitted]],"mmm")</f>
        <v>Feb</v>
      </c>
      <c r="L870" s="3" t="str">
        <f t="shared" si="39"/>
        <v>Q1</v>
      </c>
      <c r="M870" s="3" t="str">
        <f t="shared" si="40"/>
        <v>Friday</v>
      </c>
      <c r="N870" s="3" t="str">
        <f t="shared" si="41"/>
        <v>Yes</v>
      </c>
      <c r="O870" s="3" t="str">
        <f>IF(COUNTIF($B:$B,B870)=1,"New Customer",
IF(COUNTIF($B:$B,B870)&lt;=3,"Returning Customer","Loyal Customer"))</f>
        <v>New Customer</v>
      </c>
      <c r="P870" s="3" t="str">
        <f>IF(cf_cl[[#This Row],[referred_claim]]="Yes","Referred","Not Referred")</f>
        <v>Referred</v>
      </c>
    </row>
    <row r="871" spans="1:16" x14ac:dyDescent="0.3">
      <c r="A871" t="s">
        <v>1632</v>
      </c>
      <c r="B871" t="s">
        <v>1633</v>
      </c>
      <c r="C871" s="1">
        <v>44422</v>
      </c>
      <c r="D871" t="s">
        <v>19</v>
      </c>
      <c r="E871">
        <v>2</v>
      </c>
      <c r="F871" s="3" t="s">
        <v>10</v>
      </c>
      <c r="G871" s="3" t="s">
        <v>13</v>
      </c>
      <c r="H871" s="3" t="str">
        <f>IF(cf_cl[[#This Row],[satisfaction_score]]&gt;=4,"Happy",IF(cf_cl[[#This Row],[satisfaction_score]]=3,"Neutral","Negative"))</f>
        <v>Negative</v>
      </c>
      <c r="I871" s="3" t="str">
        <f>IF(cf_cl[[#This Row],[satisfaction_score]]&lt;=2,"Low",IF(cf_cl[[#This Row],[satisfaction_score]]=3,"Medium","High"))</f>
        <v>Low</v>
      </c>
      <c r="J871">
        <f>YEAR(cf_cl[[#This Row],[date_submitted]])</f>
        <v>2021</v>
      </c>
      <c r="K871" s="3" t="str">
        <f>TEXT(cf_cl[[#This Row],[date_submitted]],"mmm")</f>
        <v>Aug</v>
      </c>
      <c r="L871" s="3" t="str">
        <f t="shared" si="39"/>
        <v>Q3</v>
      </c>
      <c r="M871" s="3" t="str">
        <f t="shared" si="40"/>
        <v>Saturday</v>
      </c>
      <c r="N871" s="3" t="str">
        <f t="shared" si="41"/>
        <v>Yes</v>
      </c>
      <c r="O871" s="3" t="str">
        <f>IF(COUNTIF($B:$B,B871)=1,"New Customer",
IF(COUNTIF($B:$B,B871)&lt;=3,"Returning Customer","Loyal Customer"))</f>
        <v>New Customer</v>
      </c>
      <c r="P871" s="3" t="str">
        <f>IF(cf_cl[[#This Row],[referred_claim]]="Yes","Referred","Not Referred")</f>
        <v>Not Referred</v>
      </c>
    </row>
    <row r="872" spans="1:16" x14ac:dyDescent="0.3">
      <c r="A872" t="s">
        <v>1634</v>
      </c>
      <c r="B872" t="s">
        <v>130</v>
      </c>
      <c r="C872" s="1">
        <v>45058</v>
      </c>
      <c r="D872" t="s">
        <v>22</v>
      </c>
      <c r="E872">
        <v>4</v>
      </c>
      <c r="F872" s="3" t="s">
        <v>13</v>
      </c>
      <c r="G872" s="3" t="s">
        <v>10</v>
      </c>
      <c r="H872" s="3" t="str">
        <f>IF(cf_cl[[#This Row],[satisfaction_score]]&gt;=4,"Happy",IF(cf_cl[[#This Row],[satisfaction_score]]=3,"Neutral","Negative"))</f>
        <v>Happy</v>
      </c>
      <c r="I872" s="3" t="str">
        <f>IF(cf_cl[[#This Row],[satisfaction_score]]&lt;=2,"Low",IF(cf_cl[[#This Row],[satisfaction_score]]=3,"Medium","High"))</f>
        <v>High</v>
      </c>
      <c r="J872">
        <f>YEAR(cf_cl[[#This Row],[date_submitted]])</f>
        <v>2023</v>
      </c>
      <c r="K872" s="3" t="str">
        <f>TEXT(cf_cl[[#This Row],[date_submitted]],"mmm")</f>
        <v>May</v>
      </c>
      <c r="L872" s="3" t="str">
        <f t="shared" si="39"/>
        <v>Q2</v>
      </c>
      <c r="M872" s="3" t="str">
        <f t="shared" si="40"/>
        <v>Friday</v>
      </c>
      <c r="N872" s="3" t="str">
        <f t="shared" si="41"/>
        <v>No</v>
      </c>
      <c r="O872" s="3" t="str">
        <f>IF(COUNTIF($B:$B,B872)=1,"New Customer",
IF(COUNTIF($B:$B,B872)&lt;=3,"Returning Customer","Loyal Customer"))</f>
        <v>Returning Customer</v>
      </c>
      <c r="P872" s="3" t="str">
        <f>IF(cf_cl[[#This Row],[referred_claim]]="Yes","Referred","Not Referred")</f>
        <v>Referred</v>
      </c>
    </row>
    <row r="873" spans="1:16" x14ac:dyDescent="0.3">
      <c r="A873" t="s">
        <v>1635</v>
      </c>
      <c r="B873" t="s">
        <v>1636</v>
      </c>
      <c r="C873" s="1">
        <v>44839</v>
      </c>
      <c r="D873" t="s">
        <v>31</v>
      </c>
      <c r="E873">
        <v>3</v>
      </c>
      <c r="F873" s="3" t="s">
        <v>13</v>
      </c>
      <c r="G873" s="3" t="s">
        <v>10</v>
      </c>
      <c r="H873" s="3" t="str">
        <f>IF(cf_cl[[#This Row],[satisfaction_score]]&gt;=4,"Happy",IF(cf_cl[[#This Row],[satisfaction_score]]=3,"Neutral","Negative"))</f>
        <v>Neutral</v>
      </c>
      <c r="I873" s="3" t="str">
        <f>IF(cf_cl[[#This Row],[satisfaction_score]]&lt;=2,"Low",IF(cf_cl[[#This Row],[satisfaction_score]]=3,"Medium","High"))</f>
        <v>Medium</v>
      </c>
      <c r="J873">
        <f>YEAR(cf_cl[[#This Row],[date_submitted]])</f>
        <v>2022</v>
      </c>
      <c r="K873" s="3" t="str">
        <f>TEXT(cf_cl[[#This Row],[date_submitted]],"mmm")</f>
        <v>Oct</v>
      </c>
      <c r="L873" s="3" t="str">
        <f t="shared" si="39"/>
        <v>Q4</v>
      </c>
      <c r="M873" s="3" t="str">
        <f t="shared" si="40"/>
        <v>Wednesday</v>
      </c>
      <c r="N873" s="3" t="str">
        <f t="shared" si="41"/>
        <v>No</v>
      </c>
      <c r="O873" s="3" t="str">
        <f>IF(COUNTIF($B:$B,B873)=1,"New Customer",
IF(COUNTIF($B:$B,B873)&lt;=3,"Returning Customer","Loyal Customer"))</f>
        <v>New Customer</v>
      </c>
      <c r="P873" s="3" t="str">
        <f>IF(cf_cl[[#This Row],[referred_claim]]="Yes","Referred","Not Referred")</f>
        <v>Referred</v>
      </c>
    </row>
    <row r="874" spans="1:16" x14ac:dyDescent="0.3">
      <c r="A874" t="s">
        <v>1637</v>
      </c>
      <c r="B874" t="s">
        <v>1638</v>
      </c>
      <c r="C874" s="1">
        <v>44136</v>
      </c>
      <c r="D874" t="s">
        <v>68</v>
      </c>
      <c r="E874">
        <v>1</v>
      </c>
      <c r="F874" s="3" t="s">
        <v>10</v>
      </c>
      <c r="G874" s="3" t="s">
        <v>10</v>
      </c>
      <c r="H874" s="3" t="str">
        <f>IF(cf_cl[[#This Row],[satisfaction_score]]&gt;=4,"Happy",IF(cf_cl[[#This Row],[satisfaction_score]]=3,"Neutral","Negative"))</f>
        <v>Negative</v>
      </c>
      <c r="I874" s="3" t="str">
        <f>IF(cf_cl[[#This Row],[satisfaction_score]]&lt;=2,"Low",IF(cf_cl[[#This Row],[satisfaction_score]]=3,"Medium","High"))</f>
        <v>Low</v>
      </c>
      <c r="J874">
        <f>YEAR(cf_cl[[#This Row],[date_submitted]])</f>
        <v>2020</v>
      </c>
      <c r="K874" s="3" t="str">
        <f>TEXT(cf_cl[[#This Row],[date_submitted]],"mmm")</f>
        <v>Nov</v>
      </c>
      <c r="L874" s="3" t="str">
        <f t="shared" si="39"/>
        <v>Q4</v>
      </c>
      <c r="M874" s="3" t="str">
        <f t="shared" si="40"/>
        <v>Sunday</v>
      </c>
      <c r="N874" s="3" t="str">
        <f t="shared" si="41"/>
        <v>Yes</v>
      </c>
      <c r="O874" s="3" t="str">
        <f>IF(COUNTIF($B:$B,B874)=1,"New Customer",
IF(COUNTIF($B:$B,B874)&lt;=3,"Returning Customer","Loyal Customer"))</f>
        <v>Returning Customer</v>
      </c>
      <c r="P874" s="3" t="str">
        <f>IF(cf_cl[[#This Row],[referred_claim]]="Yes","Referred","Not Referred")</f>
        <v>Referred</v>
      </c>
    </row>
    <row r="875" spans="1:16" x14ac:dyDescent="0.3">
      <c r="A875" t="s">
        <v>1639</v>
      </c>
      <c r="B875" t="s">
        <v>172</v>
      </c>
      <c r="C875" s="1">
        <v>44367</v>
      </c>
      <c r="D875" t="s">
        <v>19</v>
      </c>
      <c r="E875">
        <v>3</v>
      </c>
      <c r="F875" s="3" t="s">
        <v>10</v>
      </c>
      <c r="G875" s="3" t="s">
        <v>10</v>
      </c>
      <c r="H875" s="3" t="str">
        <f>IF(cf_cl[[#This Row],[satisfaction_score]]&gt;=4,"Happy",IF(cf_cl[[#This Row],[satisfaction_score]]=3,"Neutral","Negative"))</f>
        <v>Neutral</v>
      </c>
      <c r="I875" s="3" t="str">
        <f>IF(cf_cl[[#This Row],[satisfaction_score]]&lt;=2,"Low",IF(cf_cl[[#This Row],[satisfaction_score]]=3,"Medium","High"))</f>
        <v>Medium</v>
      </c>
      <c r="J875">
        <f>YEAR(cf_cl[[#This Row],[date_submitted]])</f>
        <v>2021</v>
      </c>
      <c r="K875" s="3" t="str">
        <f>TEXT(cf_cl[[#This Row],[date_submitted]],"mmm")</f>
        <v>Jun</v>
      </c>
      <c r="L875" s="3" t="str">
        <f t="shared" si="39"/>
        <v>Q2</v>
      </c>
      <c r="M875" s="3" t="str">
        <f t="shared" si="40"/>
        <v>Sunday</v>
      </c>
      <c r="N875" s="3" t="str">
        <f t="shared" si="41"/>
        <v>No</v>
      </c>
      <c r="O875" s="3" t="str">
        <f>IF(COUNTIF($B:$B,B875)=1,"New Customer",
IF(COUNTIF($B:$B,B875)&lt;=3,"Returning Customer","Loyal Customer"))</f>
        <v>Returning Customer</v>
      </c>
      <c r="P875" s="3" t="str">
        <f>IF(cf_cl[[#This Row],[referred_claim]]="Yes","Referred","Not Referred")</f>
        <v>Referred</v>
      </c>
    </row>
    <row r="876" spans="1:16" x14ac:dyDescent="0.3">
      <c r="A876" t="s">
        <v>1640</v>
      </c>
      <c r="B876" t="s">
        <v>1641</v>
      </c>
      <c r="C876" s="1">
        <v>45082</v>
      </c>
      <c r="D876" t="s">
        <v>19</v>
      </c>
      <c r="E876">
        <v>2</v>
      </c>
      <c r="F876" s="3" t="s">
        <v>10</v>
      </c>
      <c r="G876" s="3" t="s">
        <v>13</v>
      </c>
      <c r="H876" s="3" t="str">
        <f>IF(cf_cl[[#This Row],[satisfaction_score]]&gt;=4,"Happy",IF(cf_cl[[#This Row],[satisfaction_score]]=3,"Neutral","Negative"))</f>
        <v>Negative</v>
      </c>
      <c r="I876" s="3" t="str">
        <f>IF(cf_cl[[#This Row],[satisfaction_score]]&lt;=2,"Low",IF(cf_cl[[#This Row],[satisfaction_score]]=3,"Medium","High"))</f>
        <v>Low</v>
      </c>
      <c r="J876">
        <f>YEAR(cf_cl[[#This Row],[date_submitted]])</f>
        <v>2023</v>
      </c>
      <c r="K876" s="3" t="str">
        <f>TEXT(cf_cl[[#This Row],[date_submitted]],"mmm")</f>
        <v>Jun</v>
      </c>
      <c r="L876" s="3" t="str">
        <f t="shared" si="39"/>
        <v>Q2</v>
      </c>
      <c r="M876" s="3" t="str">
        <f t="shared" si="40"/>
        <v>Monday</v>
      </c>
      <c r="N876" s="3" t="str">
        <f t="shared" si="41"/>
        <v>Yes</v>
      </c>
      <c r="O876" s="3" t="str">
        <f>IF(COUNTIF($B:$B,B876)=1,"New Customer",
IF(COUNTIF($B:$B,B876)&lt;=3,"Returning Customer","Loyal Customer"))</f>
        <v>New Customer</v>
      </c>
      <c r="P876" s="3" t="str">
        <f>IF(cf_cl[[#This Row],[referred_claim]]="Yes","Referred","Not Referred")</f>
        <v>Not Referred</v>
      </c>
    </row>
    <row r="877" spans="1:16" x14ac:dyDescent="0.3">
      <c r="A877" t="s">
        <v>1642</v>
      </c>
      <c r="B877" t="s">
        <v>1643</v>
      </c>
      <c r="C877" s="1">
        <v>44923</v>
      </c>
      <c r="D877" t="s">
        <v>83</v>
      </c>
      <c r="E877">
        <v>2</v>
      </c>
      <c r="F877" s="3" t="s">
        <v>13</v>
      </c>
      <c r="G877" s="3" t="s">
        <v>10</v>
      </c>
      <c r="H877" s="3" t="str">
        <f>IF(cf_cl[[#This Row],[satisfaction_score]]&gt;=4,"Happy",IF(cf_cl[[#This Row],[satisfaction_score]]=3,"Neutral","Negative"))</f>
        <v>Negative</v>
      </c>
      <c r="I877" s="3" t="str">
        <f>IF(cf_cl[[#This Row],[satisfaction_score]]&lt;=2,"Low",IF(cf_cl[[#This Row],[satisfaction_score]]=3,"Medium","High"))</f>
        <v>Low</v>
      </c>
      <c r="J877">
        <f>YEAR(cf_cl[[#This Row],[date_submitted]])</f>
        <v>2022</v>
      </c>
      <c r="K877" s="3" t="str">
        <f>TEXT(cf_cl[[#This Row],[date_submitted]],"mmm")</f>
        <v>Dec</v>
      </c>
      <c r="L877" s="3" t="str">
        <f t="shared" si="39"/>
        <v>Q4</v>
      </c>
      <c r="M877" s="3" t="str">
        <f t="shared" si="40"/>
        <v>Wednesday</v>
      </c>
      <c r="N877" s="3" t="str">
        <f t="shared" si="41"/>
        <v>Yes</v>
      </c>
      <c r="O877" s="3" t="str">
        <f>IF(COUNTIF($B:$B,B877)=1,"New Customer",
IF(COUNTIF($B:$B,B877)&lt;=3,"Returning Customer","Loyal Customer"))</f>
        <v>New Customer</v>
      </c>
      <c r="P877" s="3" t="str">
        <f>IF(cf_cl[[#This Row],[referred_claim]]="Yes","Referred","Not Referred")</f>
        <v>Referred</v>
      </c>
    </row>
    <row r="878" spans="1:16" x14ac:dyDescent="0.3">
      <c r="A878" t="s">
        <v>1644</v>
      </c>
      <c r="B878" t="s">
        <v>1645</v>
      </c>
      <c r="C878" s="1">
        <v>44534</v>
      </c>
      <c r="D878" t="s">
        <v>16</v>
      </c>
      <c r="E878">
        <v>5</v>
      </c>
      <c r="F878" s="3" t="s">
        <v>13</v>
      </c>
      <c r="G878" s="3" t="s">
        <v>13</v>
      </c>
      <c r="H878" s="3" t="str">
        <f>IF(cf_cl[[#This Row],[satisfaction_score]]&gt;=4,"Happy",IF(cf_cl[[#This Row],[satisfaction_score]]=3,"Neutral","Negative"))</f>
        <v>Happy</v>
      </c>
      <c r="I878" s="3" t="str">
        <f>IF(cf_cl[[#This Row],[satisfaction_score]]&lt;=2,"Low",IF(cf_cl[[#This Row],[satisfaction_score]]=3,"Medium","High"))</f>
        <v>High</v>
      </c>
      <c r="J878">
        <f>YEAR(cf_cl[[#This Row],[date_submitted]])</f>
        <v>2021</v>
      </c>
      <c r="K878" s="3" t="str">
        <f>TEXT(cf_cl[[#This Row],[date_submitted]],"mmm")</f>
        <v>Dec</v>
      </c>
      <c r="L878" s="3" t="str">
        <f t="shared" si="39"/>
        <v>Q4</v>
      </c>
      <c r="M878" s="3" t="str">
        <f t="shared" si="40"/>
        <v>Saturday</v>
      </c>
      <c r="N878" s="3" t="str">
        <f t="shared" si="41"/>
        <v>No</v>
      </c>
      <c r="O878" s="3" t="str">
        <f>IF(COUNTIF($B:$B,B878)=1,"New Customer",
IF(COUNTIF($B:$B,B878)&lt;=3,"Returning Customer","Loyal Customer"))</f>
        <v>New Customer</v>
      </c>
      <c r="P878" s="3" t="str">
        <f>IF(cf_cl[[#This Row],[referred_claim]]="Yes","Referred","Not Referred")</f>
        <v>Not Referred</v>
      </c>
    </row>
    <row r="879" spans="1:16" x14ac:dyDescent="0.3">
      <c r="A879" t="s">
        <v>1646</v>
      </c>
      <c r="B879" t="s">
        <v>1647</v>
      </c>
      <c r="C879" s="1">
        <v>44457</v>
      </c>
      <c r="D879" t="s">
        <v>16</v>
      </c>
      <c r="E879">
        <v>5</v>
      </c>
      <c r="F879" s="3" t="s">
        <v>10</v>
      </c>
      <c r="G879" s="3" t="s">
        <v>13</v>
      </c>
      <c r="H879" s="3" t="str">
        <f>IF(cf_cl[[#This Row],[satisfaction_score]]&gt;=4,"Happy",IF(cf_cl[[#This Row],[satisfaction_score]]=3,"Neutral","Negative"))</f>
        <v>Happy</v>
      </c>
      <c r="I879" s="3" t="str">
        <f>IF(cf_cl[[#This Row],[satisfaction_score]]&lt;=2,"Low",IF(cf_cl[[#This Row],[satisfaction_score]]=3,"Medium","High"))</f>
        <v>High</v>
      </c>
      <c r="J879">
        <f>YEAR(cf_cl[[#This Row],[date_submitted]])</f>
        <v>2021</v>
      </c>
      <c r="K879" s="3" t="str">
        <f>TEXT(cf_cl[[#This Row],[date_submitted]],"mmm")</f>
        <v>Sep</v>
      </c>
      <c r="L879" s="3" t="str">
        <f t="shared" si="39"/>
        <v>Q3</v>
      </c>
      <c r="M879" s="3" t="str">
        <f t="shared" si="40"/>
        <v>Saturday</v>
      </c>
      <c r="N879" s="3" t="str">
        <f t="shared" si="41"/>
        <v>No</v>
      </c>
      <c r="O879" s="3" t="str">
        <f>IF(COUNTIF($B:$B,B879)=1,"New Customer",
IF(COUNTIF($B:$B,B879)&lt;=3,"Returning Customer","Loyal Customer"))</f>
        <v>New Customer</v>
      </c>
      <c r="P879" s="3" t="str">
        <f>IF(cf_cl[[#This Row],[referred_claim]]="Yes","Referred","Not Referred")</f>
        <v>Not Referred</v>
      </c>
    </row>
    <row r="880" spans="1:16" x14ac:dyDescent="0.3">
      <c r="A880" t="s">
        <v>1648</v>
      </c>
      <c r="B880" t="s">
        <v>1649</v>
      </c>
      <c r="C880" s="1">
        <v>44131</v>
      </c>
      <c r="D880" t="s">
        <v>9</v>
      </c>
      <c r="E880">
        <v>2</v>
      </c>
      <c r="F880" s="3" t="s">
        <v>13</v>
      </c>
      <c r="G880" s="3" t="s">
        <v>10</v>
      </c>
      <c r="H880" s="3" t="str">
        <f>IF(cf_cl[[#This Row],[satisfaction_score]]&gt;=4,"Happy",IF(cf_cl[[#This Row],[satisfaction_score]]=3,"Neutral","Negative"))</f>
        <v>Negative</v>
      </c>
      <c r="I880" s="3" t="str">
        <f>IF(cf_cl[[#This Row],[satisfaction_score]]&lt;=2,"Low",IF(cf_cl[[#This Row],[satisfaction_score]]=3,"Medium","High"))</f>
        <v>Low</v>
      </c>
      <c r="J880">
        <f>YEAR(cf_cl[[#This Row],[date_submitted]])</f>
        <v>2020</v>
      </c>
      <c r="K880" s="3" t="str">
        <f>TEXT(cf_cl[[#This Row],[date_submitted]],"mmm")</f>
        <v>Oct</v>
      </c>
      <c r="L880" s="3" t="str">
        <f t="shared" si="39"/>
        <v>Q4</v>
      </c>
      <c r="M880" s="3" t="str">
        <f t="shared" si="40"/>
        <v>Tuesday</v>
      </c>
      <c r="N880" s="3" t="str">
        <f t="shared" si="41"/>
        <v>Yes</v>
      </c>
      <c r="O880" s="3" t="str">
        <f>IF(COUNTIF($B:$B,B880)=1,"New Customer",
IF(COUNTIF($B:$B,B880)&lt;=3,"Returning Customer","Loyal Customer"))</f>
        <v>New Customer</v>
      </c>
      <c r="P880" s="3" t="str">
        <f>IF(cf_cl[[#This Row],[referred_claim]]="Yes","Referred","Not Referred")</f>
        <v>Referred</v>
      </c>
    </row>
    <row r="881" spans="1:16" x14ac:dyDescent="0.3">
      <c r="A881" t="s">
        <v>1650</v>
      </c>
      <c r="B881" t="s">
        <v>1651</v>
      </c>
      <c r="C881" s="1">
        <v>44249</v>
      </c>
      <c r="D881" t="s">
        <v>68</v>
      </c>
      <c r="E881">
        <v>1</v>
      </c>
      <c r="F881" s="3" t="s">
        <v>13</v>
      </c>
      <c r="G881" s="3" t="s">
        <v>10</v>
      </c>
      <c r="H881" s="3" t="str">
        <f>IF(cf_cl[[#This Row],[satisfaction_score]]&gt;=4,"Happy",IF(cf_cl[[#This Row],[satisfaction_score]]=3,"Neutral","Negative"))</f>
        <v>Negative</v>
      </c>
      <c r="I881" s="3" t="str">
        <f>IF(cf_cl[[#This Row],[satisfaction_score]]&lt;=2,"Low",IF(cf_cl[[#This Row],[satisfaction_score]]=3,"Medium","High"))</f>
        <v>Low</v>
      </c>
      <c r="J881">
        <f>YEAR(cf_cl[[#This Row],[date_submitted]])</f>
        <v>2021</v>
      </c>
      <c r="K881" s="3" t="str">
        <f>TEXT(cf_cl[[#This Row],[date_submitted]],"mmm")</f>
        <v>Feb</v>
      </c>
      <c r="L881" s="3" t="str">
        <f t="shared" si="39"/>
        <v>Q1</v>
      </c>
      <c r="M881" s="3" t="str">
        <f t="shared" si="40"/>
        <v>Monday</v>
      </c>
      <c r="N881" s="3" t="str">
        <f t="shared" si="41"/>
        <v>Yes</v>
      </c>
      <c r="O881" s="3" t="str">
        <f>IF(COUNTIF($B:$B,B881)=1,"New Customer",
IF(COUNTIF($B:$B,B881)&lt;=3,"Returning Customer","Loyal Customer"))</f>
        <v>New Customer</v>
      </c>
      <c r="P881" s="3" t="str">
        <f>IF(cf_cl[[#This Row],[referred_claim]]="Yes","Referred","Not Referred")</f>
        <v>Referred</v>
      </c>
    </row>
    <row r="882" spans="1:16" x14ac:dyDescent="0.3">
      <c r="A882" t="s">
        <v>1652</v>
      </c>
      <c r="B882" t="s">
        <v>1653</v>
      </c>
      <c r="C882" s="1">
        <v>45210</v>
      </c>
      <c r="D882" t="s">
        <v>9</v>
      </c>
      <c r="E882">
        <v>2</v>
      </c>
      <c r="F882" s="3" t="s">
        <v>13</v>
      </c>
      <c r="G882" s="3" t="s">
        <v>13</v>
      </c>
      <c r="H882" s="3" t="str">
        <f>IF(cf_cl[[#This Row],[satisfaction_score]]&gt;=4,"Happy",IF(cf_cl[[#This Row],[satisfaction_score]]=3,"Neutral","Negative"))</f>
        <v>Negative</v>
      </c>
      <c r="I882" s="3" t="str">
        <f>IF(cf_cl[[#This Row],[satisfaction_score]]&lt;=2,"Low",IF(cf_cl[[#This Row],[satisfaction_score]]=3,"Medium","High"))</f>
        <v>Low</v>
      </c>
      <c r="J882">
        <f>YEAR(cf_cl[[#This Row],[date_submitted]])</f>
        <v>2023</v>
      </c>
      <c r="K882" s="3" t="str">
        <f>TEXT(cf_cl[[#This Row],[date_submitted]],"mmm")</f>
        <v>Oct</v>
      </c>
      <c r="L882" s="3" t="str">
        <f t="shared" si="39"/>
        <v>Q4</v>
      </c>
      <c r="M882" s="3" t="str">
        <f t="shared" si="40"/>
        <v>Wednesday</v>
      </c>
      <c r="N882" s="3" t="str">
        <f t="shared" si="41"/>
        <v>Yes</v>
      </c>
      <c r="O882" s="3" t="str">
        <f>IF(COUNTIF($B:$B,B882)=1,"New Customer",
IF(COUNTIF($B:$B,B882)&lt;=3,"Returning Customer","Loyal Customer"))</f>
        <v>New Customer</v>
      </c>
      <c r="P882" s="3" t="str">
        <f>IF(cf_cl[[#This Row],[referred_claim]]="Yes","Referred","Not Referred")</f>
        <v>Not Referred</v>
      </c>
    </row>
    <row r="883" spans="1:16" x14ac:dyDescent="0.3">
      <c r="A883" t="s">
        <v>1654</v>
      </c>
      <c r="B883" t="s">
        <v>1655</v>
      </c>
      <c r="C883" s="1">
        <v>45126</v>
      </c>
      <c r="D883" t="s">
        <v>83</v>
      </c>
      <c r="E883">
        <v>3</v>
      </c>
      <c r="F883" s="3" t="s">
        <v>10</v>
      </c>
      <c r="G883" s="3" t="s">
        <v>13</v>
      </c>
      <c r="H883" s="3" t="str">
        <f>IF(cf_cl[[#This Row],[satisfaction_score]]&gt;=4,"Happy",IF(cf_cl[[#This Row],[satisfaction_score]]=3,"Neutral","Negative"))</f>
        <v>Neutral</v>
      </c>
      <c r="I883" s="3" t="str">
        <f>IF(cf_cl[[#This Row],[satisfaction_score]]&lt;=2,"Low",IF(cf_cl[[#This Row],[satisfaction_score]]=3,"Medium","High"))</f>
        <v>Medium</v>
      </c>
      <c r="J883">
        <f>YEAR(cf_cl[[#This Row],[date_submitted]])</f>
        <v>2023</v>
      </c>
      <c r="K883" s="3" t="str">
        <f>TEXT(cf_cl[[#This Row],[date_submitted]],"mmm")</f>
        <v>Jul</v>
      </c>
      <c r="L883" s="3" t="str">
        <f t="shared" si="39"/>
        <v>Q3</v>
      </c>
      <c r="M883" s="3" t="str">
        <f t="shared" si="40"/>
        <v>Wednesday</v>
      </c>
      <c r="N883" s="3" t="str">
        <f t="shared" si="41"/>
        <v>No</v>
      </c>
      <c r="O883" s="3" t="str">
        <f>IF(COUNTIF($B:$B,B883)=1,"New Customer",
IF(COUNTIF($B:$B,B883)&lt;=3,"Returning Customer","Loyal Customer"))</f>
        <v>New Customer</v>
      </c>
      <c r="P883" s="3" t="str">
        <f>IF(cf_cl[[#This Row],[referred_claim]]="Yes","Referred","Not Referred")</f>
        <v>Not Referred</v>
      </c>
    </row>
    <row r="884" spans="1:16" x14ac:dyDescent="0.3">
      <c r="A884" t="s">
        <v>1656</v>
      </c>
      <c r="B884" t="s">
        <v>1657</v>
      </c>
      <c r="C884" s="1">
        <v>44020</v>
      </c>
      <c r="D884" t="s">
        <v>37</v>
      </c>
      <c r="E884">
        <v>4</v>
      </c>
      <c r="F884" s="3" t="s">
        <v>10</v>
      </c>
      <c r="G884" s="3" t="s">
        <v>10</v>
      </c>
      <c r="H884" s="3" t="str">
        <f>IF(cf_cl[[#This Row],[satisfaction_score]]&gt;=4,"Happy",IF(cf_cl[[#This Row],[satisfaction_score]]=3,"Neutral","Negative"))</f>
        <v>Happy</v>
      </c>
      <c r="I884" s="3" t="str">
        <f>IF(cf_cl[[#This Row],[satisfaction_score]]&lt;=2,"Low",IF(cf_cl[[#This Row],[satisfaction_score]]=3,"Medium","High"))</f>
        <v>High</v>
      </c>
      <c r="J884">
        <f>YEAR(cf_cl[[#This Row],[date_submitted]])</f>
        <v>2020</v>
      </c>
      <c r="K884" s="3" t="str">
        <f>TEXT(cf_cl[[#This Row],[date_submitted]],"mmm")</f>
        <v>Jul</v>
      </c>
      <c r="L884" s="3" t="str">
        <f t="shared" si="39"/>
        <v>Q3</v>
      </c>
      <c r="M884" s="3" t="str">
        <f t="shared" si="40"/>
        <v>Wednesday</v>
      </c>
      <c r="N884" s="3" t="str">
        <f t="shared" si="41"/>
        <v>No</v>
      </c>
      <c r="O884" s="3" t="str">
        <f>IF(COUNTIF($B:$B,B884)=1,"New Customer",
IF(COUNTIF($B:$B,B884)&lt;=3,"Returning Customer","Loyal Customer"))</f>
        <v>New Customer</v>
      </c>
      <c r="P884" s="3" t="str">
        <f>IF(cf_cl[[#This Row],[referred_claim]]="Yes","Referred","Not Referred")</f>
        <v>Referred</v>
      </c>
    </row>
    <row r="885" spans="1:16" x14ac:dyDescent="0.3">
      <c r="A885" t="s">
        <v>1658</v>
      </c>
      <c r="B885" t="s">
        <v>1659</v>
      </c>
      <c r="C885" s="1">
        <v>44628</v>
      </c>
      <c r="D885" t="s">
        <v>22</v>
      </c>
      <c r="E885">
        <v>4</v>
      </c>
      <c r="F885" s="3" t="s">
        <v>13</v>
      </c>
      <c r="G885" s="3" t="s">
        <v>10</v>
      </c>
      <c r="H885" s="3" t="str">
        <f>IF(cf_cl[[#This Row],[satisfaction_score]]&gt;=4,"Happy",IF(cf_cl[[#This Row],[satisfaction_score]]=3,"Neutral","Negative"))</f>
        <v>Happy</v>
      </c>
      <c r="I885" s="3" t="str">
        <f>IF(cf_cl[[#This Row],[satisfaction_score]]&lt;=2,"Low",IF(cf_cl[[#This Row],[satisfaction_score]]=3,"Medium","High"))</f>
        <v>High</v>
      </c>
      <c r="J885">
        <f>YEAR(cf_cl[[#This Row],[date_submitted]])</f>
        <v>2022</v>
      </c>
      <c r="K885" s="3" t="str">
        <f>TEXT(cf_cl[[#This Row],[date_submitted]],"mmm")</f>
        <v>Mar</v>
      </c>
      <c r="L885" s="3" t="str">
        <f t="shared" si="39"/>
        <v>Q1</v>
      </c>
      <c r="M885" s="3" t="str">
        <f t="shared" si="40"/>
        <v>Tuesday</v>
      </c>
      <c r="N885" s="3" t="str">
        <f t="shared" si="41"/>
        <v>No</v>
      </c>
      <c r="O885" s="3" t="str">
        <f>IF(COUNTIF($B:$B,B885)=1,"New Customer",
IF(COUNTIF($B:$B,B885)&lt;=3,"Returning Customer","Loyal Customer"))</f>
        <v>New Customer</v>
      </c>
      <c r="P885" s="3" t="str">
        <f>IF(cf_cl[[#This Row],[referred_claim]]="Yes","Referred","Not Referred")</f>
        <v>Referred</v>
      </c>
    </row>
    <row r="886" spans="1:16" x14ac:dyDescent="0.3">
      <c r="A886" t="s">
        <v>1660</v>
      </c>
      <c r="B886" t="s">
        <v>1661</v>
      </c>
      <c r="C886" s="1">
        <v>44691</v>
      </c>
      <c r="D886" t="s">
        <v>22</v>
      </c>
      <c r="E886">
        <v>4</v>
      </c>
      <c r="F886" s="3" t="s">
        <v>13</v>
      </c>
      <c r="G886" s="3" t="s">
        <v>13</v>
      </c>
      <c r="H886" s="3" t="str">
        <f>IF(cf_cl[[#This Row],[satisfaction_score]]&gt;=4,"Happy",IF(cf_cl[[#This Row],[satisfaction_score]]=3,"Neutral","Negative"))</f>
        <v>Happy</v>
      </c>
      <c r="I886" s="3" t="str">
        <f>IF(cf_cl[[#This Row],[satisfaction_score]]&lt;=2,"Low",IF(cf_cl[[#This Row],[satisfaction_score]]=3,"Medium","High"))</f>
        <v>High</v>
      </c>
      <c r="J886">
        <f>YEAR(cf_cl[[#This Row],[date_submitted]])</f>
        <v>2022</v>
      </c>
      <c r="K886" s="3" t="str">
        <f>TEXT(cf_cl[[#This Row],[date_submitted]],"mmm")</f>
        <v>May</v>
      </c>
      <c r="L886" s="3" t="str">
        <f t="shared" si="39"/>
        <v>Q2</v>
      </c>
      <c r="M886" s="3" t="str">
        <f t="shared" si="40"/>
        <v>Tuesday</v>
      </c>
      <c r="N886" s="3" t="str">
        <f t="shared" si="41"/>
        <v>No</v>
      </c>
      <c r="O886" s="3" t="str">
        <f>IF(COUNTIF($B:$B,B886)=1,"New Customer",
IF(COUNTIF($B:$B,B886)&lt;=3,"Returning Customer","Loyal Customer"))</f>
        <v>New Customer</v>
      </c>
      <c r="P886" s="3" t="str">
        <f>IF(cf_cl[[#This Row],[referred_claim]]="Yes","Referred","Not Referred")</f>
        <v>Not Referred</v>
      </c>
    </row>
    <row r="887" spans="1:16" x14ac:dyDescent="0.3">
      <c r="A887" t="s">
        <v>1662</v>
      </c>
      <c r="B887" t="s">
        <v>1663</v>
      </c>
      <c r="C887" s="1">
        <v>44741</v>
      </c>
      <c r="D887" t="s">
        <v>28</v>
      </c>
      <c r="E887">
        <v>5</v>
      </c>
      <c r="F887" s="3" t="s">
        <v>13</v>
      </c>
      <c r="G887" s="3" t="s">
        <v>13</v>
      </c>
      <c r="H887" s="3" t="str">
        <f>IF(cf_cl[[#This Row],[satisfaction_score]]&gt;=4,"Happy",IF(cf_cl[[#This Row],[satisfaction_score]]=3,"Neutral","Negative"))</f>
        <v>Happy</v>
      </c>
      <c r="I887" s="3" t="str">
        <f>IF(cf_cl[[#This Row],[satisfaction_score]]&lt;=2,"Low",IF(cf_cl[[#This Row],[satisfaction_score]]=3,"Medium","High"))</f>
        <v>High</v>
      </c>
      <c r="J887">
        <f>YEAR(cf_cl[[#This Row],[date_submitted]])</f>
        <v>2022</v>
      </c>
      <c r="K887" s="3" t="str">
        <f>TEXT(cf_cl[[#This Row],[date_submitted]],"mmm")</f>
        <v>Jun</v>
      </c>
      <c r="L887" s="3" t="str">
        <f t="shared" si="39"/>
        <v>Q2</v>
      </c>
      <c r="M887" s="3" t="str">
        <f t="shared" si="40"/>
        <v>Wednesday</v>
      </c>
      <c r="N887" s="3" t="str">
        <f t="shared" si="41"/>
        <v>No</v>
      </c>
      <c r="O887" s="3" t="str">
        <f>IF(COUNTIF($B:$B,B887)=1,"New Customer",
IF(COUNTIF($B:$B,B887)&lt;=3,"Returning Customer","Loyal Customer"))</f>
        <v>New Customer</v>
      </c>
      <c r="P887" s="3" t="str">
        <f>IF(cf_cl[[#This Row],[referred_claim]]="Yes","Referred","Not Referred")</f>
        <v>Not Referred</v>
      </c>
    </row>
    <row r="888" spans="1:16" x14ac:dyDescent="0.3">
      <c r="A888" t="s">
        <v>1664</v>
      </c>
      <c r="B888" t="s">
        <v>1665</v>
      </c>
      <c r="C888" s="1">
        <v>44809</v>
      </c>
      <c r="D888" t="s">
        <v>25</v>
      </c>
      <c r="E888">
        <v>5</v>
      </c>
      <c r="F888" s="3" t="s">
        <v>10</v>
      </c>
      <c r="G888" s="3" t="s">
        <v>13</v>
      </c>
      <c r="H888" s="3" t="str">
        <f>IF(cf_cl[[#This Row],[satisfaction_score]]&gt;=4,"Happy",IF(cf_cl[[#This Row],[satisfaction_score]]=3,"Neutral","Negative"))</f>
        <v>Happy</v>
      </c>
      <c r="I888" s="3" t="str">
        <f>IF(cf_cl[[#This Row],[satisfaction_score]]&lt;=2,"Low",IF(cf_cl[[#This Row],[satisfaction_score]]=3,"Medium","High"))</f>
        <v>High</v>
      </c>
      <c r="J888">
        <f>YEAR(cf_cl[[#This Row],[date_submitted]])</f>
        <v>2022</v>
      </c>
      <c r="K888" s="3" t="str">
        <f>TEXT(cf_cl[[#This Row],[date_submitted]],"mmm")</f>
        <v>Sep</v>
      </c>
      <c r="L888" s="3" t="str">
        <f t="shared" si="39"/>
        <v>Q3</v>
      </c>
      <c r="M888" s="3" t="str">
        <f t="shared" si="40"/>
        <v>Monday</v>
      </c>
      <c r="N888" s="3" t="str">
        <f t="shared" si="41"/>
        <v>No</v>
      </c>
      <c r="O888" s="3" t="str">
        <f>IF(COUNTIF($B:$B,B888)=1,"New Customer",
IF(COUNTIF($B:$B,B888)&lt;=3,"Returning Customer","Loyal Customer"))</f>
        <v>New Customer</v>
      </c>
      <c r="P888" s="3" t="str">
        <f>IF(cf_cl[[#This Row],[referred_claim]]="Yes","Referred","Not Referred")</f>
        <v>Not Referred</v>
      </c>
    </row>
    <row r="889" spans="1:16" x14ac:dyDescent="0.3">
      <c r="A889" t="s">
        <v>1666</v>
      </c>
      <c r="B889" t="s">
        <v>840</v>
      </c>
      <c r="C889" s="1">
        <v>45105</v>
      </c>
      <c r="D889" t="s">
        <v>22</v>
      </c>
      <c r="E889">
        <v>5</v>
      </c>
      <c r="F889" s="3" t="s">
        <v>10</v>
      </c>
      <c r="G889" s="3" t="s">
        <v>10</v>
      </c>
      <c r="H889" s="3" t="str">
        <f>IF(cf_cl[[#This Row],[satisfaction_score]]&gt;=4,"Happy",IF(cf_cl[[#This Row],[satisfaction_score]]=3,"Neutral","Negative"))</f>
        <v>Happy</v>
      </c>
      <c r="I889" s="3" t="str">
        <f>IF(cf_cl[[#This Row],[satisfaction_score]]&lt;=2,"Low",IF(cf_cl[[#This Row],[satisfaction_score]]=3,"Medium","High"))</f>
        <v>High</v>
      </c>
      <c r="J889">
        <f>YEAR(cf_cl[[#This Row],[date_submitted]])</f>
        <v>2023</v>
      </c>
      <c r="K889" s="3" t="str">
        <f>TEXT(cf_cl[[#This Row],[date_submitted]],"mmm")</f>
        <v>Jun</v>
      </c>
      <c r="L889" s="3" t="str">
        <f t="shared" si="39"/>
        <v>Q2</v>
      </c>
      <c r="M889" s="3" t="str">
        <f t="shared" si="40"/>
        <v>Wednesday</v>
      </c>
      <c r="N889" s="3" t="str">
        <f t="shared" si="41"/>
        <v>No</v>
      </c>
      <c r="O889" s="3" t="str">
        <f>IF(COUNTIF($B:$B,B889)=1,"New Customer",
IF(COUNTIF($B:$B,B889)&lt;=3,"Returning Customer","Loyal Customer"))</f>
        <v>Returning Customer</v>
      </c>
      <c r="P889" s="3" t="str">
        <f>IF(cf_cl[[#This Row],[referred_claim]]="Yes","Referred","Not Referred")</f>
        <v>Referred</v>
      </c>
    </row>
    <row r="890" spans="1:16" x14ac:dyDescent="0.3">
      <c r="A890" t="s">
        <v>1667</v>
      </c>
      <c r="B890" t="s">
        <v>1668</v>
      </c>
      <c r="C890" s="1">
        <v>44306</v>
      </c>
      <c r="D890" t="s">
        <v>9</v>
      </c>
      <c r="E890">
        <v>1</v>
      </c>
      <c r="F890" s="3" t="s">
        <v>13</v>
      </c>
      <c r="G890" s="3" t="s">
        <v>13</v>
      </c>
      <c r="H890" s="3" t="str">
        <f>IF(cf_cl[[#This Row],[satisfaction_score]]&gt;=4,"Happy",IF(cf_cl[[#This Row],[satisfaction_score]]=3,"Neutral","Negative"))</f>
        <v>Negative</v>
      </c>
      <c r="I890" s="3" t="str">
        <f>IF(cf_cl[[#This Row],[satisfaction_score]]&lt;=2,"Low",IF(cf_cl[[#This Row],[satisfaction_score]]=3,"Medium","High"))</f>
        <v>Low</v>
      </c>
      <c r="J890">
        <f>YEAR(cf_cl[[#This Row],[date_submitted]])</f>
        <v>2021</v>
      </c>
      <c r="K890" s="3" t="str">
        <f>TEXT(cf_cl[[#This Row],[date_submitted]],"mmm")</f>
        <v>Apr</v>
      </c>
      <c r="L890" s="3" t="str">
        <f t="shared" si="39"/>
        <v>Q2</v>
      </c>
      <c r="M890" s="3" t="str">
        <f t="shared" si="40"/>
        <v>Tuesday</v>
      </c>
      <c r="N890" s="3" t="str">
        <f t="shared" si="41"/>
        <v>Yes</v>
      </c>
      <c r="O890" s="3" t="str">
        <f>IF(COUNTIF($B:$B,B890)=1,"New Customer",
IF(COUNTIF($B:$B,B890)&lt;=3,"Returning Customer","Loyal Customer"))</f>
        <v>New Customer</v>
      </c>
      <c r="P890" s="3" t="str">
        <f>IF(cf_cl[[#This Row],[referred_claim]]="Yes","Referred","Not Referred")</f>
        <v>Not Referred</v>
      </c>
    </row>
    <row r="891" spans="1:16" x14ac:dyDescent="0.3">
      <c r="A891" t="s">
        <v>1669</v>
      </c>
      <c r="B891" t="s">
        <v>1670</v>
      </c>
      <c r="C891" s="1">
        <v>44520</v>
      </c>
      <c r="D891" t="s">
        <v>68</v>
      </c>
      <c r="E891">
        <v>2</v>
      </c>
      <c r="F891" s="3" t="s">
        <v>10</v>
      </c>
      <c r="G891" s="3" t="s">
        <v>10</v>
      </c>
      <c r="H891" s="3" t="str">
        <f>IF(cf_cl[[#This Row],[satisfaction_score]]&gt;=4,"Happy",IF(cf_cl[[#This Row],[satisfaction_score]]=3,"Neutral","Negative"))</f>
        <v>Negative</v>
      </c>
      <c r="I891" s="3" t="str">
        <f>IF(cf_cl[[#This Row],[satisfaction_score]]&lt;=2,"Low",IF(cf_cl[[#This Row],[satisfaction_score]]=3,"Medium","High"))</f>
        <v>Low</v>
      </c>
      <c r="J891">
        <f>YEAR(cf_cl[[#This Row],[date_submitted]])</f>
        <v>2021</v>
      </c>
      <c r="K891" s="3" t="str">
        <f>TEXT(cf_cl[[#This Row],[date_submitted]],"mmm")</f>
        <v>Nov</v>
      </c>
      <c r="L891" s="3" t="str">
        <f t="shared" si="39"/>
        <v>Q4</v>
      </c>
      <c r="M891" s="3" t="str">
        <f t="shared" si="40"/>
        <v>Saturday</v>
      </c>
      <c r="N891" s="3" t="str">
        <f t="shared" si="41"/>
        <v>Yes</v>
      </c>
      <c r="O891" s="3" t="str">
        <f>IF(COUNTIF($B:$B,B891)=1,"New Customer",
IF(COUNTIF($B:$B,B891)&lt;=3,"Returning Customer","Loyal Customer"))</f>
        <v>New Customer</v>
      </c>
      <c r="P891" s="3" t="str">
        <f>IF(cf_cl[[#This Row],[referred_claim]]="Yes","Referred","Not Referred")</f>
        <v>Referred</v>
      </c>
    </row>
    <row r="892" spans="1:16" x14ac:dyDescent="0.3">
      <c r="A892" t="s">
        <v>1671</v>
      </c>
      <c r="B892" t="s">
        <v>128</v>
      </c>
      <c r="C892" s="1">
        <v>44959</v>
      </c>
      <c r="D892" t="s">
        <v>9</v>
      </c>
      <c r="E892">
        <v>2</v>
      </c>
      <c r="F892" s="3" t="s">
        <v>13</v>
      </c>
      <c r="G892" s="3" t="s">
        <v>10</v>
      </c>
      <c r="H892" s="3" t="str">
        <f>IF(cf_cl[[#This Row],[satisfaction_score]]&gt;=4,"Happy",IF(cf_cl[[#This Row],[satisfaction_score]]=3,"Neutral","Negative"))</f>
        <v>Negative</v>
      </c>
      <c r="I892" s="3" t="str">
        <f>IF(cf_cl[[#This Row],[satisfaction_score]]&lt;=2,"Low",IF(cf_cl[[#This Row],[satisfaction_score]]=3,"Medium","High"))</f>
        <v>Low</v>
      </c>
      <c r="J892">
        <f>YEAR(cf_cl[[#This Row],[date_submitted]])</f>
        <v>2023</v>
      </c>
      <c r="K892" s="3" t="str">
        <f>TEXT(cf_cl[[#This Row],[date_submitted]],"mmm")</f>
        <v>Feb</v>
      </c>
      <c r="L892" s="3" t="str">
        <f t="shared" si="39"/>
        <v>Q1</v>
      </c>
      <c r="M892" s="3" t="str">
        <f t="shared" si="40"/>
        <v>Thursday</v>
      </c>
      <c r="N892" s="3" t="str">
        <f t="shared" si="41"/>
        <v>Yes</v>
      </c>
      <c r="O892" s="3" t="str">
        <f>IF(COUNTIF($B:$B,B892)=1,"New Customer",
IF(COUNTIF($B:$B,B892)&lt;=3,"Returning Customer","Loyal Customer"))</f>
        <v>Returning Customer</v>
      </c>
      <c r="P892" s="3" t="str">
        <f>IF(cf_cl[[#This Row],[referred_claim]]="Yes","Referred","Not Referred")</f>
        <v>Referred</v>
      </c>
    </row>
    <row r="893" spans="1:16" x14ac:dyDescent="0.3">
      <c r="A893" t="s">
        <v>1672</v>
      </c>
      <c r="B893" t="s">
        <v>178</v>
      </c>
      <c r="C893" s="1">
        <v>44364</v>
      </c>
      <c r="D893" t="s">
        <v>25</v>
      </c>
      <c r="E893">
        <v>4</v>
      </c>
      <c r="F893" s="3" t="s">
        <v>10</v>
      </c>
      <c r="G893" s="3" t="s">
        <v>10</v>
      </c>
      <c r="H893" s="3" t="str">
        <f>IF(cf_cl[[#This Row],[satisfaction_score]]&gt;=4,"Happy",IF(cf_cl[[#This Row],[satisfaction_score]]=3,"Neutral","Negative"))</f>
        <v>Happy</v>
      </c>
      <c r="I893" s="3" t="str">
        <f>IF(cf_cl[[#This Row],[satisfaction_score]]&lt;=2,"Low",IF(cf_cl[[#This Row],[satisfaction_score]]=3,"Medium","High"))</f>
        <v>High</v>
      </c>
      <c r="J893">
        <f>YEAR(cf_cl[[#This Row],[date_submitted]])</f>
        <v>2021</v>
      </c>
      <c r="K893" s="3" t="str">
        <f>TEXT(cf_cl[[#This Row],[date_submitted]],"mmm")</f>
        <v>Jun</v>
      </c>
      <c r="L893" s="3" t="str">
        <f t="shared" si="39"/>
        <v>Q2</v>
      </c>
      <c r="M893" s="3" t="str">
        <f t="shared" si="40"/>
        <v>Thursday</v>
      </c>
      <c r="N893" s="3" t="str">
        <f t="shared" si="41"/>
        <v>No</v>
      </c>
      <c r="O893" s="3" t="str">
        <f>IF(COUNTIF($B:$B,B893)=1,"New Customer",
IF(COUNTIF($B:$B,B893)&lt;=3,"Returning Customer","Loyal Customer"))</f>
        <v>Returning Customer</v>
      </c>
      <c r="P893" s="3" t="str">
        <f>IF(cf_cl[[#This Row],[referred_claim]]="Yes","Referred","Not Referred")</f>
        <v>Referred</v>
      </c>
    </row>
    <row r="894" spans="1:16" x14ac:dyDescent="0.3">
      <c r="A894" t="s">
        <v>1673</v>
      </c>
      <c r="B894" t="s">
        <v>1674</v>
      </c>
      <c r="C894" s="1">
        <v>44225</v>
      </c>
      <c r="D894" t="s">
        <v>9</v>
      </c>
      <c r="E894">
        <v>2</v>
      </c>
      <c r="F894" s="3" t="s">
        <v>10</v>
      </c>
      <c r="G894" s="3" t="s">
        <v>10</v>
      </c>
      <c r="H894" s="3" t="str">
        <f>IF(cf_cl[[#This Row],[satisfaction_score]]&gt;=4,"Happy",IF(cf_cl[[#This Row],[satisfaction_score]]=3,"Neutral","Negative"))</f>
        <v>Negative</v>
      </c>
      <c r="I894" s="3" t="str">
        <f>IF(cf_cl[[#This Row],[satisfaction_score]]&lt;=2,"Low",IF(cf_cl[[#This Row],[satisfaction_score]]=3,"Medium","High"))</f>
        <v>Low</v>
      </c>
      <c r="J894">
        <f>YEAR(cf_cl[[#This Row],[date_submitted]])</f>
        <v>2021</v>
      </c>
      <c r="K894" s="3" t="str">
        <f>TEXT(cf_cl[[#This Row],[date_submitted]],"mmm")</f>
        <v>Jan</v>
      </c>
      <c r="L894" s="3" t="str">
        <f t="shared" si="39"/>
        <v>Q1</v>
      </c>
      <c r="M894" s="3" t="str">
        <f t="shared" si="40"/>
        <v>Friday</v>
      </c>
      <c r="N894" s="3" t="str">
        <f t="shared" si="41"/>
        <v>Yes</v>
      </c>
      <c r="O894" s="3" t="str">
        <f>IF(COUNTIF($B:$B,B894)=1,"New Customer",
IF(COUNTIF($B:$B,B894)&lt;=3,"Returning Customer","Loyal Customer"))</f>
        <v>New Customer</v>
      </c>
      <c r="P894" s="3" t="str">
        <f>IF(cf_cl[[#This Row],[referred_claim]]="Yes","Referred","Not Referred")</f>
        <v>Referred</v>
      </c>
    </row>
    <row r="895" spans="1:16" x14ac:dyDescent="0.3">
      <c r="A895" t="s">
        <v>1675</v>
      </c>
      <c r="B895" t="s">
        <v>876</v>
      </c>
      <c r="C895" s="1">
        <v>43896</v>
      </c>
      <c r="D895" t="s">
        <v>68</v>
      </c>
      <c r="E895">
        <v>1</v>
      </c>
      <c r="F895" s="3" t="s">
        <v>10</v>
      </c>
      <c r="G895" s="3" t="s">
        <v>13</v>
      </c>
      <c r="H895" s="3" t="str">
        <f>IF(cf_cl[[#This Row],[satisfaction_score]]&gt;=4,"Happy",IF(cf_cl[[#This Row],[satisfaction_score]]=3,"Neutral","Negative"))</f>
        <v>Negative</v>
      </c>
      <c r="I895" s="3" t="str">
        <f>IF(cf_cl[[#This Row],[satisfaction_score]]&lt;=2,"Low",IF(cf_cl[[#This Row],[satisfaction_score]]=3,"Medium","High"))</f>
        <v>Low</v>
      </c>
      <c r="J895">
        <f>YEAR(cf_cl[[#This Row],[date_submitted]])</f>
        <v>2020</v>
      </c>
      <c r="K895" s="3" t="str">
        <f>TEXT(cf_cl[[#This Row],[date_submitted]],"mmm")</f>
        <v>Mar</v>
      </c>
      <c r="L895" s="3" t="str">
        <f t="shared" si="39"/>
        <v>Q1</v>
      </c>
      <c r="M895" s="3" t="str">
        <f t="shared" si="40"/>
        <v>Friday</v>
      </c>
      <c r="N895" s="3" t="str">
        <f t="shared" si="41"/>
        <v>Yes</v>
      </c>
      <c r="O895" s="3" t="str">
        <f>IF(COUNTIF($B:$B,B895)=1,"New Customer",
IF(COUNTIF($B:$B,B895)&lt;=3,"Returning Customer","Loyal Customer"))</f>
        <v>Returning Customer</v>
      </c>
      <c r="P895" s="3" t="str">
        <f>IF(cf_cl[[#This Row],[referred_claim]]="Yes","Referred","Not Referred")</f>
        <v>Not Referred</v>
      </c>
    </row>
    <row r="896" spans="1:16" x14ac:dyDescent="0.3">
      <c r="A896" t="s">
        <v>1676</v>
      </c>
      <c r="B896" t="s">
        <v>1005</v>
      </c>
      <c r="C896" s="1">
        <v>44189</v>
      </c>
      <c r="D896" t="s">
        <v>9</v>
      </c>
      <c r="E896">
        <v>3</v>
      </c>
      <c r="F896" s="3" t="s">
        <v>10</v>
      </c>
      <c r="G896" s="3" t="s">
        <v>13</v>
      </c>
      <c r="H896" s="3" t="str">
        <f>IF(cf_cl[[#This Row],[satisfaction_score]]&gt;=4,"Happy",IF(cf_cl[[#This Row],[satisfaction_score]]=3,"Neutral","Negative"))</f>
        <v>Neutral</v>
      </c>
      <c r="I896" s="3" t="str">
        <f>IF(cf_cl[[#This Row],[satisfaction_score]]&lt;=2,"Low",IF(cf_cl[[#This Row],[satisfaction_score]]=3,"Medium","High"))</f>
        <v>Medium</v>
      </c>
      <c r="J896">
        <f>YEAR(cf_cl[[#This Row],[date_submitted]])</f>
        <v>2020</v>
      </c>
      <c r="K896" s="3" t="str">
        <f>TEXT(cf_cl[[#This Row],[date_submitted]],"mmm")</f>
        <v>Dec</v>
      </c>
      <c r="L896" s="3" t="str">
        <f t="shared" si="39"/>
        <v>Q4</v>
      </c>
      <c r="M896" s="3" t="str">
        <f t="shared" si="40"/>
        <v>Thursday</v>
      </c>
      <c r="N896" s="3" t="str">
        <f t="shared" si="41"/>
        <v>No</v>
      </c>
      <c r="O896" s="3" t="str">
        <f>IF(COUNTIF($B:$B,B896)=1,"New Customer",
IF(COUNTIF($B:$B,B896)&lt;=3,"Returning Customer","Loyal Customer"))</f>
        <v>Returning Customer</v>
      </c>
      <c r="P896" s="3" t="str">
        <f>IF(cf_cl[[#This Row],[referred_claim]]="Yes","Referred","Not Referred")</f>
        <v>Not Referred</v>
      </c>
    </row>
    <row r="897" spans="1:16" x14ac:dyDescent="0.3">
      <c r="A897" t="s">
        <v>1677</v>
      </c>
      <c r="B897" t="s">
        <v>1678</v>
      </c>
      <c r="C897" s="1">
        <v>44934</v>
      </c>
      <c r="D897" t="s">
        <v>25</v>
      </c>
      <c r="E897">
        <v>5</v>
      </c>
      <c r="F897" s="3" t="s">
        <v>13</v>
      </c>
      <c r="G897" s="3" t="s">
        <v>13</v>
      </c>
      <c r="H897" s="3" t="str">
        <f>IF(cf_cl[[#This Row],[satisfaction_score]]&gt;=4,"Happy",IF(cf_cl[[#This Row],[satisfaction_score]]=3,"Neutral","Negative"))</f>
        <v>Happy</v>
      </c>
      <c r="I897" s="3" t="str">
        <f>IF(cf_cl[[#This Row],[satisfaction_score]]&lt;=2,"Low",IF(cf_cl[[#This Row],[satisfaction_score]]=3,"Medium","High"))</f>
        <v>High</v>
      </c>
      <c r="J897">
        <f>YEAR(cf_cl[[#This Row],[date_submitted]])</f>
        <v>2023</v>
      </c>
      <c r="K897" s="3" t="str">
        <f>TEXT(cf_cl[[#This Row],[date_submitted]],"mmm")</f>
        <v>Jan</v>
      </c>
      <c r="L897" s="3" t="str">
        <f t="shared" si="39"/>
        <v>Q1</v>
      </c>
      <c r="M897" s="3" t="str">
        <f t="shared" si="40"/>
        <v>Sunday</v>
      </c>
      <c r="N897" s="3" t="str">
        <f t="shared" si="41"/>
        <v>No</v>
      </c>
      <c r="O897" s="3" t="str">
        <f>IF(COUNTIF($B:$B,B897)=1,"New Customer",
IF(COUNTIF($B:$B,B897)&lt;=3,"Returning Customer","Loyal Customer"))</f>
        <v>New Customer</v>
      </c>
      <c r="P897" s="3" t="str">
        <f>IF(cf_cl[[#This Row],[referred_claim]]="Yes","Referred","Not Referred")</f>
        <v>Not Referred</v>
      </c>
    </row>
    <row r="898" spans="1:16" x14ac:dyDescent="0.3">
      <c r="A898" t="s">
        <v>1679</v>
      </c>
      <c r="B898" t="s">
        <v>1680</v>
      </c>
      <c r="C898" s="1">
        <v>43832</v>
      </c>
      <c r="D898" t="s">
        <v>28</v>
      </c>
      <c r="E898">
        <v>4</v>
      </c>
      <c r="F898" s="3" t="s">
        <v>13</v>
      </c>
      <c r="G898" s="3" t="s">
        <v>10</v>
      </c>
      <c r="H898" s="3" t="str">
        <f>IF(cf_cl[[#This Row],[satisfaction_score]]&gt;=4,"Happy",IF(cf_cl[[#This Row],[satisfaction_score]]=3,"Neutral","Negative"))</f>
        <v>Happy</v>
      </c>
      <c r="I898" s="3" t="str">
        <f>IF(cf_cl[[#This Row],[satisfaction_score]]&lt;=2,"Low",IF(cf_cl[[#This Row],[satisfaction_score]]=3,"Medium","High"))</f>
        <v>High</v>
      </c>
      <c r="J898">
        <f>YEAR(cf_cl[[#This Row],[date_submitted]])</f>
        <v>2020</v>
      </c>
      <c r="K898" s="3" t="str">
        <f>TEXT(cf_cl[[#This Row],[date_submitted]],"mmm")</f>
        <v>Jan</v>
      </c>
      <c r="L898" s="3" t="str">
        <f t="shared" ref="L898:L961" si="42">"Q"&amp;ROUNDUP(MONTH(C898)/3,0)</f>
        <v>Q1</v>
      </c>
      <c r="M898" s="3" t="str">
        <f t="shared" ref="M898:M961" si="43">TEXT(C898,"dddd")</f>
        <v>Thursday</v>
      </c>
      <c r="N898" s="3" t="str">
        <f t="shared" ref="N898:N961" si="44">IF(E898&lt;=2,"Yes","No")</f>
        <v>No</v>
      </c>
      <c r="O898" s="3" t="str">
        <f>IF(COUNTIF($B:$B,B898)=1,"New Customer",
IF(COUNTIF($B:$B,B898)&lt;=3,"Returning Customer","Loyal Customer"))</f>
        <v>New Customer</v>
      </c>
      <c r="P898" s="3" t="str">
        <f>IF(cf_cl[[#This Row],[referred_claim]]="Yes","Referred","Not Referred")</f>
        <v>Referred</v>
      </c>
    </row>
    <row r="899" spans="1:16" x14ac:dyDescent="0.3">
      <c r="A899" t="s">
        <v>1681</v>
      </c>
      <c r="B899" t="s">
        <v>650</v>
      </c>
      <c r="C899" s="1">
        <v>44412</v>
      </c>
      <c r="D899" t="s">
        <v>19</v>
      </c>
      <c r="E899">
        <v>3</v>
      </c>
      <c r="F899" s="3" t="s">
        <v>13</v>
      </c>
      <c r="G899" s="3" t="s">
        <v>10</v>
      </c>
      <c r="H899" s="3" t="str">
        <f>IF(cf_cl[[#This Row],[satisfaction_score]]&gt;=4,"Happy",IF(cf_cl[[#This Row],[satisfaction_score]]=3,"Neutral","Negative"))</f>
        <v>Neutral</v>
      </c>
      <c r="I899" s="3" t="str">
        <f>IF(cf_cl[[#This Row],[satisfaction_score]]&lt;=2,"Low",IF(cf_cl[[#This Row],[satisfaction_score]]=3,"Medium","High"))</f>
        <v>Medium</v>
      </c>
      <c r="J899">
        <f>YEAR(cf_cl[[#This Row],[date_submitted]])</f>
        <v>2021</v>
      </c>
      <c r="K899" s="3" t="str">
        <f>TEXT(cf_cl[[#This Row],[date_submitted]],"mmm")</f>
        <v>Aug</v>
      </c>
      <c r="L899" s="3" t="str">
        <f t="shared" si="42"/>
        <v>Q3</v>
      </c>
      <c r="M899" s="3" t="str">
        <f t="shared" si="43"/>
        <v>Wednesday</v>
      </c>
      <c r="N899" s="3" t="str">
        <f t="shared" si="44"/>
        <v>No</v>
      </c>
      <c r="O899" s="3" t="str">
        <f>IF(COUNTIF($B:$B,B899)=1,"New Customer",
IF(COUNTIF($B:$B,B899)&lt;=3,"Returning Customer","Loyal Customer"))</f>
        <v>Returning Customer</v>
      </c>
      <c r="P899" s="3" t="str">
        <f>IF(cf_cl[[#This Row],[referred_claim]]="Yes","Referred","Not Referred")</f>
        <v>Referred</v>
      </c>
    </row>
    <row r="900" spans="1:16" x14ac:dyDescent="0.3">
      <c r="A900" t="s">
        <v>1682</v>
      </c>
      <c r="B900" t="s">
        <v>1683</v>
      </c>
      <c r="C900" s="1">
        <v>44471</v>
      </c>
      <c r="D900" t="s">
        <v>19</v>
      </c>
      <c r="E900">
        <v>3</v>
      </c>
      <c r="F900" s="3" t="s">
        <v>13</v>
      </c>
      <c r="G900" s="3" t="s">
        <v>10</v>
      </c>
      <c r="H900" s="3" t="str">
        <f>IF(cf_cl[[#This Row],[satisfaction_score]]&gt;=4,"Happy",IF(cf_cl[[#This Row],[satisfaction_score]]=3,"Neutral","Negative"))</f>
        <v>Neutral</v>
      </c>
      <c r="I900" s="3" t="str">
        <f>IF(cf_cl[[#This Row],[satisfaction_score]]&lt;=2,"Low",IF(cf_cl[[#This Row],[satisfaction_score]]=3,"Medium","High"))</f>
        <v>Medium</v>
      </c>
      <c r="J900">
        <f>YEAR(cf_cl[[#This Row],[date_submitted]])</f>
        <v>2021</v>
      </c>
      <c r="K900" s="3" t="str">
        <f>TEXT(cf_cl[[#This Row],[date_submitted]],"mmm")</f>
        <v>Oct</v>
      </c>
      <c r="L900" s="3" t="str">
        <f t="shared" si="42"/>
        <v>Q4</v>
      </c>
      <c r="M900" s="3" t="str">
        <f t="shared" si="43"/>
        <v>Saturday</v>
      </c>
      <c r="N900" s="3" t="str">
        <f t="shared" si="44"/>
        <v>No</v>
      </c>
      <c r="O900" s="3" t="str">
        <f>IF(COUNTIF($B:$B,B900)=1,"New Customer",
IF(COUNTIF($B:$B,B900)&lt;=3,"Returning Customer","Loyal Customer"))</f>
        <v>New Customer</v>
      </c>
      <c r="P900" s="3" t="str">
        <f>IF(cf_cl[[#This Row],[referred_claim]]="Yes","Referred","Not Referred")</f>
        <v>Referred</v>
      </c>
    </row>
    <row r="901" spans="1:16" x14ac:dyDescent="0.3">
      <c r="A901" t="s">
        <v>1684</v>
      </c>
      <c r="B901" t="s">
        <v>1685</v>
      </c>
      <c r="C901" s="1">
        <v>45110</v>
      </c>
      <c r="D901" t="s">
        <v>19</v>
      </c>
      <c r="E901">
        <v>2</v>
      </c>
      <c r="F901" s="3" t="s">
        <v>13</v>
      </c>
      <c r="G901" s="3" t="s">
        <v>10</v>
      </c>
      <c r="H901" s="3" t="str">
        <f>IF(cf_cl[[#This Row],[satisfaction_score]]&gt;=4,"Happy",IF(cf_cl[[#This Row],[satisfaction_score]]=3,"Neutral","Negative"))</f>
        <v>Negative</v>
      </c>
      <c r="I901" s="3" t="str">
        <f>IF(cf_cl[[#This Row],[satisfaction_score]]&lt;=2,"Low",IF(cf_cl[[#This Row],[satisfaction_score]]=3,"Medium","High"))</f>
        <v>Low</v>
      </c>
      <c r="J901">
        <f>YEAR(cf_cl[[#This Row],[date_submitted]])</f>
        <v>2023</v>
      </c>
      <c r="K901" s="3" t="str">
        <f>TEXT(cf_cl[[#This Row],[date_submitted]],"mmm")</f>
        <v>Jul</v>
      </c>
      <c r="L901" s="3" t="str">
        <f t="shared" si="42"/>
        <v>Q3</v>
      </c>
      <c r="M901" s="3" t="str">
        <f t="shared" si="43"/>
        <v>Monday</v>
      </c>
      <c r="N901" s="3" t="str">
        <f t="shared" si="44"/>
        <v>Yes</v>
      </c>
      <c r="O901" s="3" t="str">
        <f>IF(COUNTIF($B:$B,B901)=1,"New Customer",
IF(COUNTIF($B:$B,B901)&lt;=3,"Returning Customer","Loyal Customer"))</f>
        <v>New Customer</v>
      </c>
      <c r="P901" s="3" t="str">
        <f>IF(cf_cl[[#This Row],[referred_claim]]="Yes","Referred","Not Referred")</f>
        <v>Referred</v>
      </c>
    </row>
    <row r="902" spans="1:16" x14ac:dyDescent="0.3">
      <c r="A902" t="s">
        <v>1686</v>
      </c>
      <c r="B902" t="s">
        <v>45</v>
      </c>
      <c r="C902" s="1">
        <v>44094</v>
      </c>
      <c r="D902" t="s">
        <v>22</v>
      </c>
      <c r="E902">
        <v>4</v>
      </c>
      <c r="F902" s="3" t="s">
        <v>13</v>
      </c>
      <c r="G902" s="3" t="s">
        <v>10</v>
      </c>
      <c r="H902" s="3" t="str">
        <f>IF(cf_cl[[#This Row],[satisfaction_score]]&gt;=4,"Happy",IF(cf_cl[[#This Row],[satisfaction_score]]=3,"Neutral","Negative"))</f>
        <v>Happy</v>
      </c>
      <c r="I902" s="3" t="str">
        <f>IF(cf_cl[[#This Row],[satisfaction_score]]&lt;=2,"Low",IF(cf_cl[[#This Row],[satisfaction_score]]=3,"Medium","High"))</f>
        <v>High</v>
      </c>
      <c r="J902">
        <f>YEAR(cf_cl[[#This Row],[date_submitted]])</f>
        <v>2020</v>
      </c>
      <c r="K902" s="3" t="str">
        <f>TEXT(cf_cl[[#This Row],[date_submitted]],"mmm")</f>
        <v>Sep</v>
      </c>
      <c r="L902" s="3" t="str">
        <f t="shared" si="42"/>
        <v>Q3</v>
      </c>
      <c r="M902" s="3" t="str">
        <f t="shared" si="43"/>
        <v>Sunday</v>
      </c>
      <c r="N902" s="3" t="str">
        <f t="shared" si="44"/>
        <v>No</v>
      </c>
      <c r="O902" s="3" t="str">
        <f>IF(COUNTIF($B:$B,B902)=1,"New Customer",
IF(COUNTIF($B:$B,B902)&lt;=3,"Returning Customer","Loyal Customer"))</f>
        <v>Returning Customer</v>
      </c>
      <c r="P902" s="3" t="str">
        <f>IF(cf_cl[[#This Row],[referred_claim]]="Yes","Referred","Not Referred")</f>
        <v>Referred</v>
      </c>
    </row>
    <row r="903" spans="1:16" x14ac:dyDescent="0.3">
      <c r="A903" t="s">
        <v>1687</v>
      </c>
      <c r="B903" t="s">
        <v>1688</v>
      </c>
      <c r="C903" s="1">
        <v>44486</v>
      </c>
      <c r="D903" t="s">
        <v>37</v>
      </c>
      <c r="E903">
        <v>3</v>
      </c>
      <c r="F903" s="3" t="s">
        <v>10</v>
      </c>
      <c r="G903" s="3" t="s">
        <v>10</v>
      </c>
      <c r="H903" s="3" t="str">
        <f>IF(cf_cl[[#This Row],[satisfaction_score]]&gt;=4,"Happy",IF(cf_cl[[#This Row],[satisfaction_score]]=3,"Neutral","Negative"))</f>
        <v>Neutral</v>
      </c>
      <c r="I903" s="3" t="str">
        <f>IF(cf_cl[[#This Row],[satisfaction_score]]&lt;=2,"Low",IF(cf_cl[[#This Row],[satisfaction_score]]=3,"Medium","High"))</f>
        <v>Medium</v>
      </c>
      <c r="J903">
        <f>YEAR(cf_cl[[#This Row],[date_submitted]])</f>
        <v>2021</v>
      </c>
      <c r="K903" s="3" t="str">
        <f>TEXT(cf_cl[[#This Row],[date_submitted]],"mmm")</f>
        <v>Oct</v>
      </c>
      <c r="L903" s="3" t="str">
        <f t="shared" si="42"/>
        <v>Q4</v>
      </c>
      <c r="M903" s="3" t="str">
        <f t="shared" si="43"/>
        <v>Sunday</v>
      </c>
      <c r="N903" s="3" t="str">
        <f t="shared" si="44"/>
        <v>No</v>
      </c>
      <c r="O903" s="3" t="str">
        <f>IF(COUNTIF($B:$B,B903)=1,"New Customer",
IF(COUNTIF($B:$B,B903)&lt;=3,"Returning Customer","Loyal Customer"))</f>
        <v>New Customer</v>
      </c>
      <c r="P903" s="3" t="str">
        <f>IF(cf_cl[[#This Row],[referred_claim]]="Yes","Referred","Not Referred")</f>
        <v>Referred</v>
      </c>
    </row>
    <row r="904" spans="1:16" x14ac:dyDescent="0.3">
      <c r="A904" t="s">
        <v>1689</v>
      </c>
      <c r="B904" t="s">
        <v>1690</v>
      </c>
      <c r="C904" s="1">
        <v>44586</v>
      </c>
      <c r="D904" t="s">
        <v>68</v>
      </c>
      <c r="E904">
        <v>2</v>
      </c>
      <c r="F904" s="3" t="s">
        <v>10</v>
      </c>
      <c r="G904" s="3" t="s">
        <v>10</v>
      </c>
      <c r="H904" s="3" t="str">
        <f>IF(cf_cl[[#This Row],[satisfaction_score]]&gt;=4,"Happy",IF(cf_cl[[#This Row],[satisfaction_score]]=3,"Neutral","Negative"))</f>
        <v>Negative</v>
      </c>
      <c r="I904" s="3" t="str">
        <f>IF(cf_cl[[#This Row],[satisfaction_score]]&lt;=2,"Low",IF(cf_cl[[#This Row],[satisfaction_score]]=3,"Medium","High"))</f>
        <v>Low</v>
      </c>
      <c r="J904">
        <f>YEAR(cf_cl[[#This Row],[date_submitted]])</f>
        <v>2022</v>
      </c>
      <c r="K904" s="3" t="str">
        <f>TEXT(cf_cl[[#This Row],[date_submitted]],"mmm")</f>
        <v>Jan</v>
      </c>
      <c r="L904" s="3" t="str">
        <f t="shared" si="42"/>
        <v>Q1</v>
      </c>
      <c r="M904" s="3" t="str">
        <f t="shared" si="43"/>
        <v>Tuesday</v>
      </c>
      <c r="N904" s="3" t="str">
        <f t="shared" si="44"/>
        <v>Yes</v>
      </c>
      <c r="O904" s="3" t="str">
        <f>IF(COUNTIF($B:$B,B904)=1,"New Customer",
IF(COUNTIF($B:$B,B904)&lt;=3,"Returning Customer","Loyal Customer"))</f>
        <v>New Customer</v>
      </c>
      <c r="P904" s="3" t="str">
        <f>IF(cf_cl[[#This Row],[referred_claim]]="Yes","Referred","Not Referred")</f>
        <v>Referred</v>
      </c>
    </row>
    <row r="905" spans="1:16" x14ac:dyDescent="0.3">
      <c r="A905" t="s">
        <v>1691</v>
      </c>
      <c r="B905" t="s">
        <v>1692</v>
      </c>
      <c r="C905" s="1">
        <v>45073</v>
      </c>
      <c r="D905" t="s">
        <v>19</v>
      </c>
      <c r="E905">
        <v>3</v>
      </c>
      <c r="F905" s="3" t="s">
        <v>13</v>
      </c>
      <c r="G905" s="3" t="s">
        <v>13</v>
      </c>
      <c r="H905" s="3" t="str">
        <f>IF(cf_cl[[#This Row],[satisfaction_score]]&gt;=4,"Happy",IF(cf_cl[[#This Row],[satisfaction_score]]=3,"Neutral","Negative"))</f>
        <v>Neutral</v>
      </c>
      <c r="I905" s="3" t="str">
        <f>IF(cf_cl[[#This Row],[satisfaction_score]]&lt;=2,"Low",IF(cf_cl[[#This Row],[satisfaction_score]]=3,"Medium","High"))</f>
        <v>Medium</v>
      </c>
      <c r="J905">
        <f>YEAR(cf_cl[[#This Row],[date_submitted]])</f>
        <v>2023</v>
      </c>
      <c r="K905" s="3" t="str">
        <f>TEXT(cf_cl[[#This Row],[date_submitted]],"mmm")</f>
        <v>May</v>
      </c>
      <c r="L905" s="3" t="str">
        <f t="shared" si="42"/>
        <v>Q2</v>
      </c>
      <c r="M905" s="3" t="str">
        <f t="shared" si="43"/>
        <v>Saturday</v>
      </c>
      <c r="N905" s="3" t="str">
        <f t="shared" si="44"/>
        <v>No</v>
      </c>
      <c r="O905" s="3" t="str">
        <f>IF(COUNTIF($B:$B,B905)=1,"New Customer",
IF(COUNTIF($B:$B,B905)&lt;=3,"Returning Customer","Loyal Customer"))</f>
        <v>New Customer</v>
      </c>
      <c r="P905" s="3" t="str">
        <f>IF(cf_cl[[#This Row],[referred_claim]]="Yes","Referred","Not Referred")</f>
        <v>Not Referred</v>
      </c>
    </row>
    <row r="906" spans="1:16" x14ac:dyDescent="0.3">
      <c r="A906" t="s">
        <v>1693</v>
      </c>
      <c r="B906" t="s">
        <v>1221</v>
      </c>
      <c r="C906" s="1">
        <v>45183</v>
      </c>
      <c r="D906" t="s">
        <v>9</v>
      </c>
      <c r="E906">
        <v>3</v>
      </c>
      <c r="F906" s="3" t="s">
        <v>10</v>
      </c>
      <c r="G906" s="3" t="s">
        <v>10</v>
      </c>
      <c r="H906" s="3" t="str">
        <f>IF(cf_cl[[#This Row],[satisfaction_score]]&gt;=4,"Happy",IF(cf_cl[[#This Row],[satisfaction_score]]=3,"Neutral","Negative"))</f>
        <v>Neutral</v>
      </c>
      <c r="I906" s="3" t="str">
        <f>IF(cf_cl[[#This Row],[satisfaction_score]]&lt;=2,"Low",IF(cf_cl[[#This Row],[satisfaction_score]]=3,"Medium","High"))</f>
        <v>Medium</v>
      </c>
      <c r="J906">
        <f>YEAR(cf_cl[[#This Row],[date_submitted]])</f>
        <v>2023</v>
      </c>
      <c r="K906" s="3" t="str">
        <f>TEXT(cf_cl[[#This Row],[date_submitted]],"mmm")</f>
        <v>Sep</v>
      </c>
      <c r="L906" s="3" t="str">
        <f t="shared" si="42"/>
        <v>Q3</v>
      </c>
      <c r="M906" s="3" t="str">
        <f t="shared" si="43"/>
        <v>Thursday</v>
      </c>
      <c r="N906" s="3" t="str">
        <f t="shared" si="44"/>
        <v>No</v>
      </c>
      <c r="O906" s="3" t="str">
        <f>IF(COUNTIF($B:$B,B906)=1,"New Customer",
IF(COUNTIF($B:$B,B906)&lt;=3,"Returning Customer","Loyal Customer"))</f>
        <v>Returning Customer</v>
      </c>
      <c r="P906" s="3" t="str">
        <f>IF(cf_cl[[#This Row],[referred_claim]]="Yes","Referred","Not Referred")</f>
        <v>Referred</v>
      </c>
    </row>
    <row r="907" spans="1:16" x14ac:dyDescent="0.3">
      <c r="A907" t="s">
        <v>1694</v>
      </c>
      <c r="B907" t="s">
        <v>1695</v>
      </c>
      <c r="C907" s="1">
        <v>43857</v>
      </c>
      <c r="D907" t="s">
        <v>22</v>
      </c>
      <c r="E907">
        <v>4</v>
      </c>
      <c r="F907" s="3" t="s">
        <v>13</v>
      </c>
      <c r="G907" s="3" t="s">
        <v>13</v>
      </c>
      <c r="H907" s="3" t="str">
        <f>IF(cf_cl[[#This Row],[satisfaction_score]]&gt;=4,"Happy",IF(cf_cl[[#This Row],[satisfaction_score]]=3,"Neutral","Negative"))</f>
        <v>Happy</v>
      </c>
      <c r="I907" s="3" t="str">
        <f>IF(cf_cl[[#This Row],[satisfaction_score]]&lt;=2,"Low",IF(cf_cl[[#This Row],[satisfaction_score]]=3,"Medium","High"))</f>
        <v>High</v>
      </c>
      <c r="J907">
        <f>YEAR(cf_cl[[#This Row],[date_submitted]])</f>
        <v>2020</v>
      </c>
      <c r="K907" s="3" t="str">
        <f>TEXT(cf_cl[[#This Row],[date_submitted]],"mmm")</f>
        <v>Jan</v>
      </c>
      <c r="L907" s="3" t="str">
        <f t="shared" si="42"/>
        <v>Q1</v>
      </c>
      <c r="M907" s="3" t="str">
        <f t="shared" si="43"/>
        <v>Monday</v>
      </c>
      <c r="N907" s="3" t="str">
        <f t="shared" si="44"/>
        <v>No</v>
      </c>
      <c r="O907" s="3" t="str">
        <f>IF(COUNTIF($B:$B,B907)=1,"New Customer",
IF(COUNTIF($B:$B,B907)&lt;=3,"Returning Customer","Loyal Customer"))</f>
        <v>New Customer</v>
      </c>
      <c r="P907" s="3" t="str">
        <f>IF(cf_cl[[#This Row],[referred_claim]]="Yes","Referred","Not Referred")</f>
        <v>Not Referred</v>
      </c>
    </row>
    <row r="908" spans="1:16" x14ac:dyDescent="0.3">
      <c r="A908" t="s">
        <v>1696</v>
      </c>
      <c r="B908" t="s">
        <v>1697</v>
      </c>
      <c r="C908" s="1">
        <v>44182</v>
      </c>
      <c r="D908" t="s">
        <v>9</v>
      </c>
      <c r="E908">
        <v>1</v>
      </c>
      <c r="F908" s="3" t="s">
        <v>10</v>
      </c>
      <c r="G908" s="3" t="s">
        <v>13</v>
      </c>
      <c r="H908" s="3" t="str">
        <f>IF(cf_cl[[#This Row],[satisfaction_score]]&gt;=4,"Happy",IF(cf_cl[[#This Row],[satisfaction_score]]=3,"Neutral","Negative"))</f>
        <v>Negative</v>
      </c>
      <c r="I908" s="3" t="str">
        <f>IF(cf_cl[[#This Row],[satisfaction_score]]&lt;=2,"Low",IF(cf_cl[[#This Row],[satisfaction_score]]=3,"Medium","High"))</f>
        <v>Low</v>
      </c>
      <c r="J908">
        <f>YEAR(cf_cl[[#This Row],[date_submitted]])</f>
        <v>2020</v>
      </c>
      <c r="K908" s="3" t="str">
        <f>TEXT(cf_cl[[#This Row],[date_submitted]],"mmm")</f>
        <v>Dec</v>
      </c>
      <c r="L908" s="3" t="str">
        <f t="shared" si="42"/>
        <v>Q4</v>
      </c>
      <c r="M908" s="3" t="str">
        <f t="shared" si="43"/>
        <v>Thursday</v>
      </c>
      <c r="N908" s="3" t="str">
        <f t="shared" si="44"/>
        <v>Yes</v>
      </c>
      <c r="O908" s="3" t="str">
        <f>IF(COUNTIF($B:$B,B908)=1,"New Customer",
IF(COUNTIF($B:$B,B908)&lt;=3,"Returning Customer","Loyal Customer"))</f>
        <v>New Customer</v>
      </c>
      <c r="P908" s="3" t="str">
        <f>IF(cf_cl[[#This Row],[referred_claim]]="Yes","Referred","Not Referred")</f>
        <v>Not Referred</v>
      </c>
    </row>
    <row r="909" spans="1:16" x14ac:dyDescent="0.3">
      <c r="A909" t="s">
        <v>1698</v>
      </c>
      <c r="B909" t="s">
        <v>1699</v>
      </c>
      <c r="C909" s="1">
        <v>44031</v>
      </c>
      <c r="D909" t="s">
        <v>19</v>
      </c>
      <c r="E909">
        <v>2</v>
      </c>
      <c r="F909" s="3" t="s">
        <v>13</v>
      </c>
      <c r="G909" s="3" t="s">
        <v>13</v>
      </c>
      <c r="H909" s="3" t="str">
        <f>IF(cf_cl[[#This Row],[satisfaction_score]]&gt;=4,"Happy",IF(cf_cl[[#This Row],[satisfaction_score]]=3,"Neutral","Negative"))</f>
        <v>Negative</v>
      </c>
      <c r="I909" s="3" t="str">
        <f>IF(cf_cl[[#This Row],[satisfaction_score]]&lt;=2,"Low",IF(cf_cl[[#This Row],[satisfaction_score]]=3,"Medium","High"))</f>
        <v>Low</v>
      </c>
      <c r="J909">
        <f>YEAR(cf_cl[[#This Row],[date_submitted]])</f>
        <v>2020</v>
      </c>
      <c r="K909" s="3" t="str">
        <f>TEXT(cf_cl[[#This Row],[date_submitted]],"mmm")</f>
        <v>Jul</v>
      </c>
      <c r="L909" s="3" t="str">
        <f t="shared" si="42"/>
        <v>Q3</v>
      </c>
      <c r="M909" s="3" t="str">
        <f t="shared" si="43"/>
        <v>Sunday</v>
      </c>
      <c r="N909" s="3" t="str">
        <f t="shared" si="44"/>
        <v>Yes</v>
      </c>
      <c r="O909" s="3" t="str">
        <f>IF(COUNTIF($B:$B,B909)=1,"New Customer",
IF(COUNTIF($B:$B,B909)&lt;=3,"Returning Customer","Loyal Customer"))</f>
        <v>New Customer</v>
      </c>
      <c r="P909" s="3" t="str">
        <f>IF(cf_cl[[#This Row],[referred_claim]]="Yes","Referred","Not Referred")</f>
        <v>Not Referred</v>
      </c>
    </row>
    <row r="910" spans="1:16" x14ac:dyDescent="0.3">
      <c r="A910" t="s">
        <v>1700</v>
      </c>
      <c r="B910" t="s">
        <v>932</v>
      </c>
      <c r="C910" s="1">
        <v>43982</v>
      </c>
      <c r="D910" t="s">
        <v>16</v>
      </c>
      <c r="E910">
        <v>4</v>
      </c>
      <c r="F910" s="3" t="s">
        <v>13</v>
      </c>
      <c r="G910" s="3" t="s">
        <v>10</v>
      </c>
      <c r="H910" s="3" t="str">
        <f>IF(cf_cl[[#This Row],[satisfaction_score]]&gt;=4,"Happy",IF(cf_cl[[#This Row],[satisfaction_score]]=3,"Neutral","Negative"))</f>
        <v>Happy</v>
      </c>
      <c r="I910" s="3" t="str">
        <f>IF(cf_cl[[#This Row],[satisfaction_score]]&lt;=2,"Low",IF(cf_cl[[#This Row],[satisfaction_score]]=3,"Medium","High"))</f>
        <v>High</v>
      </c>
      <c r="J910">
        <f>YEAR(cf_cl[[#This Row],[date_submitted]])</f>
        <v>2020</v>
      </c>
      <c r="K910" s="3" t="str">
        <f>TEXT(cf_cl[[#This Row],[date_submitted]],"mmm")</f>
        <v>May</v>
      </c>
      <c r="L910" s="3" t="str">
        <f t="shared" si="42"/>
        <v>Q2</v>
      </c>
      <c r="M910" s="3" t="str">
        <f t="shared" si="43"/>
        <v>Sunday</v>
      </c>
      <c r="N910" s="3" t="str">
        <f t="shared" si="44"/>
        <v>No</v>
      </c>
      <c r="O910" s="3" t="str">
        <f>IF(COUNTIF($B:$B,B910)=1,"New Customer",
IF(COUNTIF($B:$B,B910)&lt;=3,"Returning Customer","Loyal Customer"))</f>
        <v>Returning Customer</v>
      </c>
      <c r="P910" s="3" t="str">
        <f>IF(cf_cl[[#This Row],[referred_claim]]="Yes","Referred","Not Referred")</f>
        <v>Referred</v>
      </c>
    </row>
    <row r="911" spans="1:16" x14ac:dyDescent="0.3">
      <c r="A911" t="s">
        <v>1701</v>
      </c>
      <c r="B911" t="s">
        <v>1702</v>
      </c>
      <c r="C911" s="1">
        <v>45268</v>
      </c>
      <c r="D911" t="s">
        <v>28</v>
      </c>
      <c r="E911">
        <v>5</v>
      </c>
      <c r="F911" s="3" t="s">
        <v>13</v>
      </c>
      <c r="G911" s="3" t="s">
        <v>13</v>
      </c>
      <c r="H911" s="3" t="str">
        <f>IF(cf_cl[[#This Row],[satisfaction_score]]&gt;=4,"Happy",IF(cf_cl[[#This Row],[satisfaction_score]]=3,"Neutral","Negative"))</f>
        <v>Happy</v>
      </c>
      <c r="I911" s="3" t="str">
        <f>IF(cf_cl[[#This Row],[satisfaction_score]]&lt;=2,"Low",IF(cf_cl[[#This Row],[satisfaction_score]]=3,"Medium","High"))</f>
        <v>High</v>
      </c>
      <c r="J911">
        <f>YEAR(cf_cl[[#This Row],[date_submitted]])</f>
        <v>2023</v>
      </c>
      <c r="K911" s="3" t="str">
        <f>TEXT(cf_cl[[#This Row],[date_submitted]],"mmm")</f>
        <v>Dec</v>
      </c>
      <c r="L911" s="3" t="str">
        <f t="shared" si="42"/>
        <v>Q4</v>
      </c>
      <c r="M911" s="3" t="str">
        <f t="shared" si="43"/>
        <v>Friday</v>
      </c>
      <c r="N911" s="3" t="str">
        <f t="shared" si="44"/>
        <v>No</v>
      </c>
      <c r="O911" s="3" t="str">
        <f>IF(COUNTIF($B:$B,B911)=1,"New Customer",
IF(COUNTIF($B:$B,B911)&lt;=3,"Returning Customer","Loyal Customer"))</f>
        <v>New Customer</v>
      </c>
      <c r="P911" s="3" t="str">
        <f>IF(cf_cl[[#This Row],[referred_claim]]="Yes","Referred","Not Referred")</f>
        <v>Not Referred</v>
      </c>
    </row>
    <row r="912" spans="1:16" x14ac:dyDescent="0.3">
      <c r="A912" t="s">
        <v>1703</v>
      </c>
      <c r="B912" t="s">
        <v>1704</v>
      </c>
      <c r="C912" s="1">
        <v>44132</v>
      </c>
      <c r="D912" t="s">
        <v>31</v>
      </c>
      <c r="E912">
        <v>3</v>
      </c>
      <c r="F912" s="3" t="s">
        <v>10</v>
      </c>
      <c r="G912" s="3" t="s">
        <v>13</v>
      </c>
      <c r="H912" s="3" t="str">
        <f>IF(cf_cl[[#This Row],[satisfaction_score]]&gt;=4,"Happy",IF(cf_cl[[#This Row],[satisfaction_score]]=3,"Neutral","Negative"))</f>
        <v>Neutral</v>
      </c>
      <c r="I912" s="3" t="str">
        <f>IF(cf_cl[[#This Row],[satisfaction_score]]&lt;=2,"Low",IF(cf_cl[[#This Row],[satisfaction_score]]=3,"Medium","High"))</f>
        <v>Medium</v>
      </c>
      <c r="J912">
        <f>YEAR(cf_cl[[#This Row],[date_submitted]])</f>
        <v>2020</v>
      </c>
      <c r="K912" s="3" t="str">
        <f>TEXT(cf_cl[[#This Row],[date_submitted]],"mmm")</f>
        <v>Oct</v>
      </c>
      <c r="L912" s="3" t="str">
        <f t="shared" si="42"/>
        <v>Q4</v>
      </c>
      <c r="M912" s="3" t="str">
        <f t="shared" si="43"/>
        <v>Wednesday</v>
      </c>
      <c r="N912" s="3" t="str">
        <f t="shared" si="44"/>
        <v>No</v>
      </c>
      <c r="O912" s="3" t="str">
        <f>IF(COUNTIF($B:$B,B912)=1,"New Customer",
IF(COUNTIF($B:$B,B912)&lt;=3,"Returning Customer","Loyal Customer"))</f>
        <v>New Customer</v>
      </c>
      <c r="P912" s="3" t="str">
        <f>IF(cf_cl[[#This Row],[referred_claim]]="Yes","Referred","Not Referred")</f>
        <v>Not Referred</v>
      </c>
    </row>
    <row r="913" spans="1:16" x14ac:dyDescent="0.3">
      <c r="A913" t="s">
        <v>1705</v>
      </c>
      <c r="B913" t="s">
        <v>1706</v>
      </c>
      <c r="C913" s="1">
        <v>44798</v>
      </c>
      <c r="D913" t="s">
        <v>31</v>
      </c>
      <c r="E913">
        <v>3</v>
      </c>
      <c r="F913" s="3" t="s">
        <v>10</v>
      </c>
      <c r="G913" s="3" t="s">
        <v>13</v>
      </c>
      <c r="H913" s="3" t="str">
        <f>IF(cf_cl[[#This Row],[satisfaction_score]]&gt;=4,"Happy",IF(cf_cl[[#This Row],[satisfaction_score]]=3,"Neutral","Negative"))</f>
        <v>Neutral</v>
      </c>
      <c r="I913" s="3" t="str">
        <f>IF(cf_cl[[#This Row],[satisfaction_score]]&lt;=2,"Low",IF(cf_cl[[#This Row],[satisfaction_score]]=3,"Medium","High"))</f>
        <v>Medium</v>
      </c>
      <c r="J913">
        <f>YEAR(cf_cl[[#This Row],[date_submitted]])</f>
        <v>2022</v>
      </c>
      <c r="K913" s="3" t="str">
        <f>TEXT(cf_cl[[#This Row],[date_submitted]],"mmm")</f>
        <v>Aug</v>
      </c>
      <c r="L913" s="3" t="str">
        <f t="shared" si="42"/>
        <v>Q3</v>
      </c>
      <c r="M913" s="3" t="str">
        <f t="shared" si="43"/>
        <v>Thursday</v>
      </c>
      <c r="N913" s="3" t="str">
        <f t="shared" si="44"/>
        <v>No</v>
      </c>
      <c r="O913" s="3" t="str">
        <f>IF(COUNTIF($B:$B,B913)=1,"New Customer",
IF(COUNTIF($B:$B,B913)&lt;=3,"Returning Customer","Loyal Customer"))</f>
        <v>New Customer</v>
      </c>
      <c r="P913" s="3" t="str">
        <f>IF(cf_cl[[#This Row],[referred_claim]]="Yes","Referred","Not Referred")</f>
        <v>Not Referred</v>
      </c>
    </row>
    <row r="914" spans="1:16" x14ac:dyDescent="0.3">
      <c r="A914" t="s">
        <v>1707</v>
      </c>
      <c r="B914" t="s">
        <v>1708</v>
      </c>
      <c r="C914" s="1">
        <v>43937</v>
      </c>
      <c r="D914" t="s">
        <v>19</v>
      </c>
      <c r="E914">
        <v>2</v>
      </c>
      <c r="F914" s="3" t="s">
        <v>10</v>
      </c>
      <c r="G914" s="3" t="s">
        <v>10</v>
      </c>
      <c r="H914" s="3" t="str">
        <f>IF(cf_cl[[#This Row],[satisfaction_score]]&gt;=4,"Happy",IF(cf_cl[[#This Row],[satisfaction_score]]=3,"Neutral","Negative"))</f>
        <v>Negative</v>
      </c>
      <c r="I914" s="3" t="str">
        <f>IF(cf_cl[[#This Row],[satisfaction_score]]&lt;=2,"Low",IF(cf_cl[[#This Row],[satisfaction_score]]=3,"Medium","High"))</f>
        <v>Low</v>
      </c>
      <c r="J914">
        <f>YEAR(cf_cl[[#This Row],[date_submitted]])</f>
        <v>2020</v>
      </c>
      <c r="K914" s="3" t="str">
        <f>TEXT(cf_cl[[#This Row],[date_submitted]],"mmm")</f>
        <v>Apr</v>
      </c>
      <c r="L914" s="3" t="str">
        <f t="shared" si="42"/>
        <v>Q2</v>
      </c>
      <c r="M914" s="3" t="str">
        <f t="shared" si="43"/>
        <v>Thursday</v>
      </c>
      <c r="N914" s="3" t="str">
        <f t="shared" si="44"/>
        <v>Yes</v>
      </c>
      <c r="O914" s="3" t="str">
        <f>IF(COUNTIF($B:$B,B914)=1,"New Customer",
IF(COUNTIF($B:$B,B914)&lt;=3,"Returning Customer","Loyal Customer"))</f>
        <v>New Customer</v>
      </c>
      <c r="P914" s="3" t="str">
        <f>IF(cf_cl[[#This Row],[referred_claim]]="Yes","Referred","Not Referred")</f>
        <v>Referred</v>
      </c>
    </row>
    <row r="915" spans="1:16" x14ac:dyDescent="0.3">
      <c r="A915" t="s">
        <v>1709</v>
      </c>
      <c r="B915" t="s">
        <v>1588</v>
      </c>
      <c r="C915" s="1">
        <v>43837</v>
      </c>
      <c r="D915" t="s">
        <v>16</v>
      </c>
      <c r="E915">
        <v>5</v>
      </c>
      <c r="F915" s="3" t="s">
        <v>10</v>
      </c>
      <c r="G915" s="3" t="s">
        <v>10</v>
      </c>
      <c r="H915" s="3" t="str">
        <f>IF(cf_cl[[#This Row],[satisfaction_score]]&gt;=4,"Happy",IF(cf_cl[[#This Row],[satisfaction_score]]=3,"Neutral","Negative"))</f>
        <v>Happy</v>
      </c>
      <c r="I915" s="3" t="str">
        <f>IF(cf_cl[[#This Row],[satisfaction_score]]&lt;=2,"Low",IF(cf_cl[[#This Row],[satisfaction_score]]=3,"Medium","High"))</f>
        <v>High</v>
      </c>
      <c r="J915">
        <f>YEAR(cf_cl[[#This Row],[date_submitted]])</f>
        <v>2020</v>
      </c>
      <c r="K915" s="3" t="str">
        <f>TEXT(cf_cl[[#This Row],[date_submitted]],"mmm")</f>
        <v>Jan</v>
      </c>
      <c r="L915" s="3" t="str">
        <f t="shared" si="42"/>
        <v>Q1</v>
      </c>
      <c r="M915" s="3" t="str">
        <f t="shared" si="43"/>
        <v>Tuesday</v>
      </c>
      <c r="N915" s="3" t="str">
        <f t="shared" si="44"/>
        <v>No</v>
      </c>
      <c r="O915" s="3" t="str">
        <f>IF(COUNTIF($B:$B,B915)=1,"New Customer",
IF(COUNTIF($B:$B,B915)&lt;=3,"Returning Customer","Loyal Customer"))</f>
        <v>Returning Customer</v>
      </c>
      <c r="P915" s="3" t="str">
        <f>IF(cf_cl[[#This Row],[referred_claim]]="Yes","Referred","Not Referred")</f>
        <v>Referred</v>
      </c>
    </row>
    <row r="916" spans="1:16" x14ac:dyDescent="0.3">
      <c r="A916" t="s">
        <v>1710</v>
      </c>
      <c r="B916" t="s">
        <v>1401</v>
      </c>
      <c r="C916" s="1">
        <v>43913</v>
      </c>
      <c r="D916" t="s">
        <v>68</v>
      </c>
      <c r="E916">
        <v>2</v>
      </c>
      <c r="F916" s="3" t="s">
        <v>10</v>
      </c>
      <c r="G916" s="3" t="s">
        <v>13</v>
      </c>
      <c r="H916" s="3" t="str">
        <f>IF(cf_cl[[#This Row],[satisfaction_score]]&gt;=4,"Happy",IF(cf_cl[[#This Row],[satisfaction_score]]=3,"Neutral","Negative"))</f>
        <v>Negative</v>
      </c>
      <c r="I916" s="3" t="str">
        <f>IF(cf_cl[[#This Row],[satisfaction_score]]&lt;=2,"Low",IF(cf_cl[[#This Row],[satisfaction_score]]=3,"Medium","High"))</f>
        <v>Low</v>
      </c>
      <c r="J916">
        <f>YEAR(cf_cl[[#This Row],[date_submitted]])</f>
        <v>2020</v>
      </c>
      <c r="K916" s="3" t="str">
        <f>TEXT(cf_cl[[#This Row],[date_submitted]],"mmm")</f>
        <v>Mar</v>
      </c>
      <c r="L916" s="3" t="str">
        <f t="shared" si="42"/>
        <v>Q1</v>
      </c>
      <c r="M916" s="3" t="str">
        <f t="shared" si="43"/>
        <v>Monday</v>
      </c>
      <c r="N916" s="3" t="str">
        <f t="shared" si="44"/>
        <v>Yes</v>
      </c>
      <c r="O916" s="3" t="str">
        <f>IF(COUNTIF($B:$B,B916)=1,"New Customer",
IF(COUNTIF($B:$B,B916)&lt;=3,"Returning Customer","Loyal Customer"))</f>
        <v>Returning Customer</v>
      </c>
      <c r="P916" s="3" t="str">
        <f>IF(cf_cl[[#This Row],[referred_claim]]="Yes","Referred","Not Referred")</f>
        <v>Not Referred</v>
      </c>
    </row>
    <row r="917" spans="1:16" x14ac:dyDescent="0.3">
      <c r="A917" t="s">
        <v>1711</v>
      </c>
      <c r="B917" t="s">
        <v>1712</v>
      </c>
      <c r="C917" s="1">
        <v>43996</v>
      </c>
      <c r="D917" t="s">
        <v>9</v>
      </c>
      <c r="E917">
        <v>3</v>
      </c>
      <c r="F917" s="3" t="s">
        <v>10</v>
      </c>
      <c r="G917" s="3" t="s">
        <v>13</v>
      </c>
      <c r="H917" s="3" t="str">
        <f>IF(cf_cl[[#This Row],[satisfaction_score]]&gt;=4,"Happy",IF(cf_cl[[#This Row],[satisfaction_score]]=3,"Neutral","Negative"))</f>
        <v>Neutral</v>
      </c>
      <c r="I917" s="3" t="str">
        <f>IF(cf_cl[[#This Row],[satisfaction_score]]&lt;=2,"Low",IF(cf_cl[[#This Row],[satisfaction_score]]=3,"Medium","High"))</f>
        <v>Medium</v>
      </c>
      <c r="J917">
        <f>YEAR(cf_cl[[#This Row],[date_submitted]])</f>
        <v>2020</v>
      </c>
      <c r="K917" s="3" t="str">
        <f>TEXT(cf_cl[[#This Row],[date_submitted]],"mmm")</f>
        <v>Jun</v>
      </c>
      <c r="L917" s="3" t="str">
        <f t="shared" si="42"/>
        <v>Q2</v>
      </c>
      <c r="M917" s="3" t="str">
        <f t="shared" si="43"/>
        <v>Sunday</v>
      </c>
      <c r="N917" s="3" t="str">
        <f t="shared" si="44"/>
        <v>No</v>
      </c>
      <c r="O917" s="3" t="str">
        <f>IF(COUNTIF($B:$B,B917)=1,"New Customer",
IF(COUNTIF($B:$B,B917)&lt;=3,"Returning Customer","Loyal Customer"))</f>
        <v>New Customer</v>
      </c>
      <c r="P917" s="3" t="str">
        <f>IF(cf_cl[[#This Row],[referred_claim]]="Yes","Referred","Not Referred")</f>
        <v>Not Referred</v>
      </c>
    </row>
    <row r="918" spans="1:16" x14ac:dyDescent="0.3">
      <c r="A918" t="s">
        <v>1713</v>
      </c>
      <c r="B918" t="s">
        <v>1714</v>
      </c>
      <c r="C918" s="1">
        <v>44333</v>
      </c>
      <c r="D918" t="s">
        <v>19</v>
      </c>
      <c r="E918">
        <v>3</v>
      </c>
      <c r="F918" s="3" t="s">
        <v>10</v>
      </c>
      <c r="G918" s="3" t="s">
        <v>10</v>
      </c>
      <c r="H918" s="3" t="str">
        <f>IF(cf_cl[[#This Row],[satisfaction_score]]&gt;=4,"Happy",IF(cf_cl[[#This Row],[satisfaction_score]]=3,"Neutral","Negative"))</f>
        <v>Neutral</v>
      </c>
      <c r="I918" s="3" t="str">
        <f>IF(cf_cl[[#This Row],[satisfaction_score]]&lt;=2,"Low",IF(cf_cl[[#This Row],[satisfaction_score]]=3,"Medium","High"))</f>
        <v>Medium</v>
      </c>
      <c r="J918">
        <f>YEAR(cf_cl[[#This Row],[date_submitted]])</f>
        <v>2021</v>
      </c>
      <c r="K918" s="3" t="str">
        <f>TEXT(cf_cl[[#This Row],[date_submitted]],"mmm")</f>
        <v>May</v>
      </c>
      <c r="L918" s="3" t="str">
        <f t="shared" si="42"/>
        <v>Q2</v>
      </c>
      <c r="M918" s="3" t="str">
        <f t="shared" si="43"/>
        <v>Monday</v>
      </c>
      <c r="N918" s="3" t="str">
        <f t="shared" si="44"/>
        <v>No</v>
      </c>
      <c r="O918" s="3" t="str">
        <f>IF(COUNTIF($B:$B,B918)=1,"New Customer",
IF(COUNTIF($B:$B,B918)&lt;=3,"Returning Customer","Loyal Customer"))</f>
        <v>New Customer</v>
      </c>
      <c r="P918" s="3" t="str">
        <f>IF(cf_cl[[#This Row],[referred_claim]]="Yes","Referred","Not Referred")</f>
        <v>Referred</v>
      </c>
    </row>
    <row r="919" spans="1:16" x14ac:dyDescent="0.3">
      <c r="A919" t="s">
        <v>1715</v>
      </c>
      <c r="B919" t="s">
        <v>1716</v>
      </c>
      <c r="C919" s="1">
        <v>44982</v>
      </c>
      <c r="D919" t="s">
        <v>31</v>
      </c>
      <c r="E919">
        <v>1</v>
      </c>
      <c r="F919" s="3" t="s">
        <v>10</v>
      </c>
      <c r="G919" s="3" t="s">
        <v>10</v>
      </c>
      <c r="H919" s="3" t="str">
        <f>IF(cf_cl[[#This Row],[satisfaction_score]]&gt;=4,"Happy",IF(cf_cl[[#This Row],[satisfaction_score]]=3,"Neutral","Negative"))</f>
        <v>Negative</v>
      </c>
      <c r="I919" s="3" t="str">
        <f>IF(cf_cl[[#This Row],[satisfaction_score]]&lt;=2,"Low",IF(cf_cl[[#This Row],[satisfaction_score]]=3,"Medium","High"))</f>
        <v>Low</v>
      </c>
      <c r="J919">
        <f>YEAR(cf_cl[[#This Row],[date_submitted]])</f>
        <v>2023</v>
      </c>
      <c r="K919" s="3" t="str">
        <f>TEXT(cf_cl[[#This Row],[date_submitted]],"mmm")</f>
        <v>Feb</v>
      </c>
      <c r="L919" s="3" t="str">
        <f t="shared" si="42"/>
        <v>Q1</v>
      </c>
      <c r="M919" s="3" t="str">
        <f t="shared" si="43"/>
        <v>Saturday</v>
      </c>
      <c r="N919" s="3" t="str">
        <f t="shared" si="44"/>
        <v>Yes</v>
      </c>
      <c r="O919" s="3" t="str">
        <f>IF(COUNTIF($B:$B,B919)=1,"New Customer",
IF(COUNTIF($B:$B,B919)&lt;=3,"Returning Customer","Loyal Customer"))</f>
        <v>New Customer</v>
      </c>
      <c r="P919" s="3" t="str">
        <f>IF(cf_cl[[#This Row],[referred_claim]]="Yes","Referred","Not Referred")</f>
        <v>Referred</v>
      </c>
    </row>
    <row r="920" spans="1:16" x14ac:dyDescent="0.3">
      <c r="A920" t="s">
        <v>1717</v>
      </c>
      <c r="B920" t="s">
        <v>435</v>
      </c>
      <c r="C920" s="1">
        <v>44467</v>
      </c>
      <c r="D920" t="s">
        <v>68</v>
      </c>
      <c r="E920">
        <v>1</v>
      </c>
      <c r="F920" s="3" t="s">
        <v>13</v>
      </c>
      <c r="G920" s="3" t="s">
        <v>10</v>
      </c>
      <c r="H920" s="3" t="str">
        <f>IF(cf_cl[[#This Row],[satisfaction_score]]&gt;=4,"Happy",IF(cf_cl[[#This Row],[satisfaction_score]]=3,"Neutral","Negative"))</f>
        <v>Negative</v>
      </c>
      <c r="I920" s="3" t="str">
        <f>IF(cf_cl[[#This Row],[satisfaction_score]]&lt;=2,"Low",IF(cf_cl[[#This Row],[satisfaction_score]]=3,"Medium","High"))</f>
        <v>Low</v>
      </c>
      <c r="J920">
        <f>YEAR(cf_cl[[#This Row],[date_submitted]])</f>
        <v>2021</v>
      </c>
      <c r="K920" s="3" t="str">
        <f>TEXT(cf_cl[[#This Row],[date_submitted]],"mmm")</f>
        <v>Sep</v>
      </c>
      <c r="L920" s="3" t="str">
        <f t="shared" si="42"/>
        <v>Q3</v>
      </c>
      <c r="M920" s="3" t="str">
        <f t="shared" si="43"/>
        <v>Tuesday</v>
      </c>
      <c r="N920" s="3" t="str">
        <f t="shared" si="44"/>
        <v>Yes</v>
      </c>
      <c r="O920" s="3" t="str">
        <f>IF(COUNTIF($B:$B,B920)=1,"New Customer",
IF(COUNTIF($B:$B,B920)&lt;=3,"Returning Customer","Loyal Customer"))</f>
        <v>Returning Customer</v>
      </c>
      <c r="P920" s="3" t="str">
        <f>IF(cf_cl[[#This Row],[referred_claim]]="Yes","Referred","Not Referred")</f>
        <v>Referred</v>
      </c>
    </row>
    <row r="921" spans="1:16" x14ac:dyDescent="0.3">
      <c r="A921" t="s">
        <v>1718</v>
      </c>
      <c r="B921" t="s">
        <v>1719</v>
      </c>
      <c r="C921" s="1">
        <v>44318</v>
      </c>
      <c r="D921" t="s">
        <v>37</v>
      </c>
      <c r="E921">
        <v>3</v>
      </c>
      <c r="F921" s="3" t="s">
        <v>13</v>
      </c>
      <c r="G921" s="3" t="s">
        <v>10</v>
      </c>
      <c r="H921" s="3" t="str">
        <f>IF(cf_cl[[#This Row],[satisfaction_score]]&gt;=4,"Happy",IF(cf_cl[[#This Row],[satisfaction_score]]=3,"Neutral","Negative"))</f>
        <v>Neutral</v>
      </c>
      <c r="I921" s="3" t="str">
        <f>IF(cf_cl[[#This Row],[satisfaction_score]]&lt;=2,"Low",IF(cf_cl[[#This Row],[satisfaction_score]]=3,"Medium","High"))</f>
        <v>Medium</v>
      </c>
      <c r="J921">
        <f>YEAR(cf_cl[[#This Row],[date_submitted]])</f>
        <v>2021</v>
      </c>
      <c r="K921" s="3" t="str">
        <f>TEXT(cf_cl[[#This Row],[date_submitted]],"mmm")</f>
        <v>May</v>
      </c>
      <c r="L921" s="3" t="str">
        <f t="shared" si="42"/>
        <v>Q2</v>
      </c>
      <c r="M921" s="3" t="str">
        <f t="shared" si="43"/>
        <v>Sunday</v>
      </c>
      <c r="N921" s="3" t="str">
        <f t="shared" si="44"/>
        <v>No</v>
      </c>
      <c r="O921" s="3" t="str">
        <f>IF(COUNTIF($B:$B,B921)=1,"New Customer",
IF(COUNTIF($B:$B,B921)&lt;=3,"Returning Customer","Loyal Customer"))</f>
        <v>New Customer</v>
      </c>
      <c r="P921" s="3" t="str">
        <f>IF(cf_cl[[#This Row],[referred_claim]]="Yes","Referred","Not Referred")</f>
        <v>Referred</v>
      </c>
    </row>
    <row r="922" spans="1:16" x14ac:dyDescent="0.3">
      <c r="A922" t="s">
        <v>1720</v>
      </c>
      <c r="B922" t="s">
        <v>1721</v>
      </c>
      <c r="C922" s="1">
        <v>44005</v>
      </c>
      <c r="D922" t="s">
        <v>28</v>
      </c>
      <c r="E922">
        <v>4</v>
      </c>
      <c r="F922" s="3" t="s">
        <v>10</v>
      </c>
      <c r="G922" s="3" t="s">
        <v>13</v>
      </c>
      <c r="H922" s="3" t="str">
        <f>IF(cf_cl[[#This Row],[satisfaction_score]]&gt;=4,"Happy",IF(cf_cl[[#This Row],[satisfaction_score]]=3,"Neutral","Negative"))</f>
        <v>Happy</v>
      </c>
      <c r="I922" s="3" t="str">
        <f>IF(cf_cl[[#This Row],[satisfaction_score]]&lt;=2,"Low",IF(cf_cl[[#This Row],[satisfaction_score]]=3,"Medium","High"))</f>
        <v>High</v>
      </c>
      <c r="J922">
        <f>YEAR(cf_cl[[#This Row],[date_submitted]])</f>
        <v>2020</v>
      </c>
      <c r="K922" s="3" t="str">
        <f>TEXT(cf_cl[[#This Row],[date_submitted]],"mmm")</f>
        <v>Jun</v>
      </c>
      <c r="L922" s="3" t="str">
        <f t="shared" si="42"/>
        <v>Q2</v>
      </c>
      <c r="M922" s="3" t="str">
        <f t="shared" si="43"/>
        <v>Tuesday</v>
      </c>
      <c r="N922" s="3" t="str">
        <f t="shared" si="44"/>
        <v>No</v>
      </c>
      <c r="O922" s="3" t="str">
        <f>IF(COUNTIF($B:$B,B922)=1,"New Customer",
IF(COUNTIF($B:$B,B922)&lt;=3,"Returning Customer","Loyal Customer"))</f>
        <v>New Customer</v>
      </c>
      <c r="P922" s="3" t="str">
        <f>IF(cf_cl[[#This Row],[referred_claim]]="Yes","Referred","Not Referred")</f>
        <v>Not Referred</v>
      </c>
    </row>
    <row r="923" spans="1:16" x14ac:dyDescent="0.3">
      <c r="A923" t="s">
        <v>1722</v>
      </c>
      <c r="B923" t="s">
        <v>1723</v>
      </c>
      <c r="C923" s="1">
        <v>45290</v>
      </c>
      <c r="D923" t="s">
        <v>68</v>
      </c>
      <c r="E923">
        <v>1</v>
      </c>
      <c r="F923" s="3" t="s">
        <v>10</v>
      </c>
      <c r="G923" s="3" t="s">
        <v>10</v>
      </c>
      <c r="H923" s="3" t="str">
        <f>IF(cf_cl[[#This Row],[satisfaction_score]]&gt;=4,"Happy",IF(cf_cl[[#This Row],[satisfaction_score]]=3,"Neutral","Negative"))</f>
        <v>Negative</v>
      </c>
      <c r="I923" s="3" t="str">
        <f>IF(cf_cl[[#This Row],[satisfaction_score]]&lt;=2,"Low",IF(cf_cl[[#This Row],[satisfaction_score]]=3,"Medium","High"))</f>
        <v>Low</v>
      </c>
      <c r="J923">
        <f>YEAR(cf_cl[[#This Row],[date_submitted]])</f>
        <v>2023</v>
      </c>
      <c r="K923" s="3" t="str">
        <f>TEXT(cf_cl[[#This Row],[date_submitted]],"mmm")</f>
        <v>Dec</v>
      </c>
      <c r="L923" s="3" t="str">
        <f t="shared" si="42"/>
        <v>Q4</v>
      </c>
      <c r="M923" s="3" t="str">
        <f t="shared" si="43"/>
        <v>Saturday</v>
      </c>
      <c r="N923" s="3" t="str">
        <f t="shared" si="44"/>
        <v>Yes</v>
      </c>
      <c r="O923" s="3" t="str">
        <f>IF(COUNTIF($B:$B,B923)=1,"New Customer",
IF(COUNTIF($B:$B,B923)&lt;=3,"Returning Customer","Loyal Customer"))</f>
        <v>New Customer</v>
      </c>
      <c r="P923" s="3" t="str">
        <f>IF(cf_cl[[#This Row],[referred_claim]]="Yes","Referred","Not Referred")</f>
        <v>Referred</v>
      </c>
    </row>
    <row r="924" spans="1:16" x14ac:dyDescent="0.3">
      <c r="A924" t="s">
        <v>1724</v>
      </c>
      <c r="B924" t="s">
        <v>1638</v>
      </c>
      <c r="C924" s="1">
        <v>43911</v>
      </c>
      <c r="D924" t="s">
        <v>68</v>
      </c>
      <c r="E924">
        <v>1</v>
      </c>
      <c r="F924" s="3" t="s">
        <v>10</v>
      </c>
      <c r="G924" s="3" t="s">
        <v>13</v>
      </c>
      <c r="H924" s="3" t="str">
        <f>IF(cf_cl[[#This Row],[satisfaction_score]]&gt;=4,"Happy",IF(cf_cl[[#This Row],[satisfaction_score]]=3,"Neutral","Negative"))</f>
        <v>Negative</v>
      </c>
      <c r="I924" s="3" t="str">
        <f>IF(cf_cl[[#This Row],[satisfaction_score]]&lt;=2,"Low",IF(cf_cl[[#This Row],[satisfaction_score]]=3,"Medium","High"))</f>
        <v>Low</v>
      </c>
      <c r="J924">
        <f>YEAR(cf_cl[[#This Row],[date_submitted]])</f>
        <v>2020</v>
      </c>
      <c r="K924" s="3" t="str">
        <f>TEXT(cf_cl[[#This Row],[date_submitted]],"mmm")</f>
        <v>Mar</v>
      </c>
      <c r="L924" s="3" t="str">
        <f t="shared" si="42"/>
        <v>Q1</v>
      </c>
      <c r="M924" s="3" t="str">
        <f t="shared" si="43"/>
        <v>Saturday</v>
      </c>
      <c r="N924" s="3" t="str">
        <f t="shared" si="44"/>
        <v>Yes</v>
      </c>
      <c r="O924" s="3" t="str">
        <f>IF(COUNTIF($B:$B,B924)=1,"New Customer",
IF(COUNTIF($B:$B,B924)&lt;=3,"Returning Customer","Loyal Customer"))</f>
        <v>Returning Customer</v>
      </c>
      <c r="P924" s="3" t="str">
        <f>IF(cf_cl[[#This Row],[referred_claim]]="Yes","Referred","Not Referred")</f>
        <v>Not Referred</v>
      </c>
    </row>
    <row r="925" spans="1:16" x14ac:dyDescent="0.3">
      <c r="A925" t="s">
        <v>1725</v>
      </c>
      <c r="B925" t="s">
        <v>1726</v>
      </c>
      <c r="C925" s="1">
        <v>44680</v>
      </c>
      <c r="D925" t="s">
        <v>22</v>
      </c>
      <c r="E925">
        <v>4</v>
      </c>
      <c r="F925" s="3" t="s">
        <v>10</v>
      </c>
      <c r="G925" s="3" t="s">
        <v>13</v>
      </c>
      <c r="H925" s="3" t="str">
        <f>IF(cf_cl[[#This Row],[satisfaction_score]]&gt;=4,"Happy",IF(cf_cl[[#This Row],[satisfaction_score]]=3,"Neutral","Negative"))</f>
        <v>Happy</v>
      </c>
      <c r="I925" s="3" t="str">
        <f>IF(cf_cl[[#This Row],[satisfaction_score]]&lt;=2,"Low",IF(cf_cl[[#This Row],[satisfaction_score]]=3,"Medium","High"))</f>
        <v>High</v>
      </c>
      <c r="J925">
        <f>YEAR(cf_cl[[#This Row],[date_submitted]])</f>
        <v>2022</v>
      </c>
      <c r="K925" s="3" t="str">
        <f>TEXT(cf_cl[[#This Row],[date_submitted]],"mmm")</f>
        <v>Apr</v>
      </c>
      <c r="L925" s="3" t="str">
        <f t="shared" si="42"/>
        <v>Q2</v>
      </c>
      <c r="M925" s="3" t="str">
        <f t="shared" si="43"/>
        <v>Friday</v>
      </c>
      <c r="N925" s="3" t="str">
        <f t="shared" si="44"/>
        <v>No</v>
      </c>
      <c r="O925" s="3" t="str">
        <f>IF(COUNTIF($B:$B,B925)=1,"New Customer",
IF(COUNTIF($B:$B,B925)&lt;=3,"Returning Customer","Loyal Customer"))</f>
        <v>New Customer</v>
      </c>
      <c r="P925" s="3" t="str">
        <f>IF(cf_cl[[#This Row],[referred_claim]]="Yes","Referred","Not Referred")</f>
        <v>Not Referred</v>
      </c>
    </row>
    <row r="926" spans="1:16" x14ac:dyDescent="0.3">
      <c r="A926" t="s">
        <v>1727</v>
      </c>
      <c r="B926" t="s">
        <v>1728</v>
      </c>
      <c r="C926" s="1">
        <v>44984</v>
      </c>
      <c r="D926" t="s">
        <v>37</v>
      </c>
      <c r="E926">
        <v>4</v>
      </c>
      <c r="F926" s="3" t="s">
        <v>13</v>
      </c>
      <c r="G926" s="3" t="s">
        <v>10</v>
      </c>
      <c r="H926" s="3" t="str">
        <f>IF(cf_cl[[#This Row],[satisfaction_score]]&gt;=4,"Happy",IF(cf_cl[[#This Row],[satisfaction_score]]=3,"Neutral","Negative"))</f>
        <v>Happy</v>
      </c>
      <c r="I926" s="3" t="str">
        <f>IF(cf_cl[[#This Row],[satisfaction_score]]&lt;=2,"Low",IF(cf_cl[[#This Row],[satisfaction_score]]=3,"Medium","High"))</f>
        <v>High</v>
      </c>
      <c r="J926">
        <f>YEAR(cf_cl[[#This Row],[date_submitted]])</f>
        <v>2023</v>
      </c>
      <c r="K926" s="3" t="str">
        <f>TEXT(cf_cl[[#This Row],[date_submitted]],"mmm")</f>
        <v>Feb</v>
      </c>
      <c r="L926" s="3" t="str">
        <f t="shared" si="42"/>
        <v>Q1</v>
      </c>
      <c r="M926" s="3" t="str">
        <f t="shared" si="43"/>
        <v>Monday</v>
      </c>
      <c r="N926" s="3" t="str">
        <f t="shared" si="44"/>
        <v>No</v>
      </c>
      <c r="O926" s="3" t="str">
        <f>IF(COUNTIF($B:$B,B926)=1,"New Customer",
IF(COUNTIF($B:$B,B926)&lt;=3,"Returning Customer","Loyal Customer"))</f>
        <v>New Customer</v>
      </c>
      <c r="P926" s="3" t="str">
        <f>IF(cf_cl[[#This Row],[referred_claim]]="Yes","Referred","Not Referred")</f>
        <v>Referred</v>
      </c>
    </row>
    <row r="927" spans="1:16" x14ac:dyDescent="0.3">
      <c r="A927" t="s">
        <v>1729</v>
      </c>
      <c r="B927" t="s">
        <v>1730</v>
      </c>
      <c r="C927" s="1">
        <v>45263</v>
      </c>
      <c r="D927" t="s">
        <v>16</v>
      </c>
      <c r="E927">
        <v>4</v>
      </c>
      <c r="F927" s="3" t="s">
        <v>10</v>
      </c>
      <c r="G927" s="3" t="s">
        <v>13</v>
      </c>
      <c r="H927" s="3" t="str">
        <f>IF(cf_cl[[#This Row],[satisfaction_score]]&gt;=4,"Happy",IF(cf_cl[[#This Row],[satisfaction_score]]=3,"Neutral","Negative"))</f>
        <v>Happy</v>
      </c>
      <c r="I927" s="3" t="str">
        <f>IF(cf_cl[[#This Row],[satisfaction_score]]&lt;=2,"Low",IF(cf_cl[[#This Row],[satisfaction_score]]=3,"Medium","High"))</f>
        <v>High</v>
      </c>
      <c r="J927">
        <f>YEAR(cf_cl[[#This Row],[date_submitted]])</f>
        <v>2023</v>
      </c>
      <c r="K927" s="3" t="str">
        <f>TEXT(cf_cl[[#This Row],[date_submitted]],"mmm")</f>
        <v>Dec</v>
      </c>
      <c r="L927" s="3" t="str">
        <f t="shared" si="42"/>
        <v>Q4</v>
      </c>
      <c r="M927" s="3" t="str">
        <f t="shared" si="43"/>
        <v>Sunday</v>
      </c>
      <c r="N927" s="3" t="str">
        <f t="shared" si="44"/>
        <v>No</v>
      </c>
      <c r="O927" s="3" t="str">
        <f>IF(COUNTIF($B:$B,B927)=1,"New Customer",
IF(COUNTIF($B:$B,B927)&lt;=3,"Returning Customer","Loyal Customer"))</f>
        <v>New Customer</v>
      </c>
      <c r="P927" s="3" t="str">
        <f>IF(cf_cl[[#This Row],[referred_claim]]="Yes","Referred","Not Referred")</f>
        <v>Not Referred</v>
      </c>
    </row>
    <row r="928" spans="1:16" x14ac:dyDescent="0.3">
      <c r="A928" t="s">
        <v>1731</v>
      </c>
      <c r="B928" t="s">
        <v>1732</v>
      </c>
      <c r="C928" s="1">
        <v>44661</v>
      </c>
      <c r="D928" t="s">
        <v>83</v>
      </c>
      <c r="E928">
        <v>3</v>
      </c>
      <c r="F928" s="3" t="s">
        <v>13</v>
      </c>
      <c r="G928" s="3" t="s">
        <v>10</v>
      </c>
      <c r="H928" s="3" t="str">
        <f>IF(cf_cl[[#This Row],[satisfaction_score]]&gt;=4,"Happy",IF(cf_cl[[#This Row],[satisfaction_score]]=3,"Neutral","Negative"))</f>
        <v>Neutral</v>
      </c>
      <c r="I928" s="3" t="str">
        <f>IF(cf_cl[[#This Row],[satisfaction_score]]&lt;=2,"Low",IF(cf_cl[[#This Row],[satisfaction_score]]=3,"Medium","High"))</f>
        <v>Medium</v>
      </c>
      <c r="J928">
        <f>YEAR(cf_cl[[#This Row],[date_submitted]])</f>
        <v>2022</v>
      </c>
      <c r="K928" s="3" t="str">
        <f>TEXT(cf_cl[[#This Row],[date_submitted]],"mmm")</f>
        <v>Apr</v>
      </c>
      <c r="L928" s="3" t="str">
        <f t="shared" si="42"/>
        <v>Q2</v>
      </c>
      <c r="M928" s="3" t="str">
        <f t="shared" si="43"/>
        <v>Sunday</v>
      </c>
      <c r="N928" s="3" t="str">
        <f t="shared" si="44"/>
        <v>No</v>
      </c>
      <c r="O928" s="3" t="str">
        <f>IF(COUNTIF($B:$B,B928)=1,"New Customer",
IF(COUNTIF($B:$B,B928)&lt;=3,"Returning Customer","Loyal Customer"))</f>
        <v>New Customer</v>
      </c>
      <c r="P928" s="3" t="str">
        <f>IF(cf_cl[[#This Row],[referred_claim]]="Yes","Referred","Not Referred")</f>
        <v>Referred</v>
      </c>
    </row>
    <row r="929" spans="1:16" x14ac:dyDescent="0.3">
      <c r="A929" t="s">
        <v>1733</v>
      </c>
      <c r="B929" t="s">
        <v>1148</v>
      </c>
      <c r="C929" s="1">
        <v>43934</v>
      </c>
      <c r="D929" t="s">
        <v>22</v>
      </c>
      <c r="E929">
        <v>4</v>
      </c>
      <c r="F929" s="3" t="s">
        <v>13</v>
      </c>
      <c r="G929" s="3" t="s">
        <v>13</v>
      </c>
      <c r="H929" s="3" t="str">
        <f>IF(cf_cl[[#This Row],[satisfaction_score]]&gt;=4,"Happy",IF(cf_cl[[#This Row],[satisfaction_score]]=3,"Neutral","Negative"))</f>
        <v>Happy</v>
      </c>
      <c r="I929" s="3" t="str">
        <f>IF(cf_cl[[#This Row],[satisfaction_score]]&lt;=2,"Low",IF(cf_cl[[#This Row],[satisfaction_score]]=3,"Medium","High"))</f>
        <v>High</v>
      </c>
      <c r="J929">
        <f>YEAR(cf_cl[[#This Row],[date_submitted]])</f>
        <v>2020</v>
      </c>
      <c r="K929" s="3" t="str">
        <f>TEXT(cf_cl[[#This Row],[date_submitted]],"mmm")</f>
        <v>Apr</v>
      </c>
      <c r="L929" s="3" t="str">
        <f t="shared" si="42"/>
        <v>Q2</v>
      </c>
      <c r="M929" s="3" t="str">
        <f t="shared" si="43"/>
        <v>Monday</v>
      </c>
      <c r="N929" s="3" t="str">
        <f t="shared" si="44"/>
        <v>No</v>
      </c>
      <c r="O929" s="3" t="str">
        <f>IF(COUNTIF($B:$B,B929)=1,"New Customer",
IF(COUNTIF($B:$B,B929)&lt;=3,"Returning Customer","Loyal Customer"))</f>
        <v>Returning Customer</v>
      </c>
      <c r="P929" s="3" t="str">
        <f>IF(cf_cl[[#This Row],[referred_claim]]="Yes","Referred","Not Referred")</f>
        <v>Not Referred</v>
      </c>
    </row>
    <row r="930" spans="1:16" x14ac:dyDescent="0.3">
      <c r="A930" t="s">
        <v>1734</v>
      </c>
      <c r="B930" t="s">
        <v>1735</v>
      </c>
      <c r="C930" s="1">
        <v>45053</v>
      </c>
      <c r="D930" t="s">
        <v>9</v>
      </c>
      <c r="E930">
        <v>1</v>
      </c>
      <c r="F930" s="3" t="s">
        <v>13</v>
      </c>
      <c r="G930" s="3" t="s">
        <v>10</v>
      </c>
      <c r="H930" s="3" t="str">
        <f>IF(cf_cl[[#This Row],[satisfaction_score]]&gt;=4,"Happy",IF(cf_cl[[#This Row],[satisfaction_score]]=3,"Neutral","Negative"))</f>
        <v>Negative</v>
      </c>
      <c r="I930" s="3" t="str">
        <f>IF(cf_cl[[#This Row],[satisfaction_score]]&lt;=2,"Low",IF(cf_cl[[#This Row],[satisfaction_score]]=3,"Medium","High"))</f>
        <v>Low</v>
      </c>
      <c r="J930">
        <f>YEAR(cf_cl[[#This Row],[date_submitted]])</f>
        <v>2023</v>
      </c>
      <c r="K930" s="3" t="str">
        <f>TEXT(cf_cl[[#This Row],[date_submitted]],"mmm")</f>
        <v>May</v>
      </c>
      <c r="L930" s="3" t="str">
        <f t="shared" si="42"/>
        <v>Q2</v>
      </c>
      <c r="M930" s="3" t="str">
        <f t="shared" si="43"/>
        <v>Sunday</v>
      </c>
      <c r="N930" s="3" t="str">
        <f t="shared" si="44"/>
        <v>Yes</v>
      </c>
      <c r="O930" s="3" t="str">
        <f>IF(COUNTIF($B:$B,B930)=1,"New Customer",
IF(COUNTIF($B:$B,B930)&lt;=3,"Returning Customer","Loyal Customer"))</f>
        <v>New Customer</v>
      </c>
      <c r="P930" s="3" t="str">
        <f>IF(cf_cl[[#This Row],[referred_claim]]="Yes","Referred","Not Referred")</f>
        <v>Referred</v>
      </c>
    </row>
    <row r="931" spans="1:16" x14ac:dyDescent="0.3">
      <c r="A931" t="s">
        <v>1736</v>
      </c>
      <c r="B931" t="s">
        <v>1737</v>
      </c>
      <c r="C931" s="1">
        <v>44616</v>
      </c>
      <c r="D931" t="s">
        <v>68</v>
      </c>
      <c r="E931">
        <v>1</v>
      </c>
      <c r="F931" s="3" t="s">
        <v>13</v>
      </c>
      <c r="G931" s="3" t="s">
        <v>10</v>
      </c>
      <c r="H931" s="3" t="str">
        <f>IF(cf_cl[[#This Row],[satisfaction_score]]&gt;=4,"Happy",IF(cf_cl[[#This Row],[satisfaction_score]]=3,"Neutral","Negative"))</f>
        <v>Negative</v>
      </c>
      <c r="I931" s="3" t="str">
        <f>IF(cf_cl[[#This Row],[satisfaction_score]]&lt;=2,"Low",IF(cf_cl[[#This Row],[satisfaction_score]]=3,"Medium","High"))</f>
        <v>Low</v>
      </c>
      <c r="J931">
        <f>YEAR(cf_cl[[#This Row],[date_submitted]])</f>
        <v>2022</v>
      </c>
      <c r="K931" s="3" t="str">
        <f>TEXT(cf_cl[[#This Row],[date_submitted]],"mmm")</f>
        <v>Feb</v>
      </c>
      <c r="L931" s="3" t="str">
        <f t="shared" si="42"/>
        <v>Q1</v>
      </c>
      <c r="M931" s="3" t="str">
        <f t="shared" si="43"/>
        <v>Thursday</v>
      </c>
      <c r="N931" s="3" t="str">
        <f t="shared" si="44"/>
        <v>Yes</v>
      </c>
      <c r="O931" s="3" t="str">
        <f>IF(COUNTIF($B:$B,B931)=1,"New Customer",
IF(COUNTIF($B:$B,B931)&lt;=3,"Returning Customer","Loyal Customer"))</f>
        <v>New Customer</v>
      </c>
      <c r="P931" s="3" t="str">
        <f>IF(cf_cl[[#This Row],[referred_claim]]="Yes","Referred","Not Referred")</f>
        <v>Referred</v>
      </c>
    </row>
    <row r="932" spans="1:16" x14ac:dyDescent="0.3">
      <c r="A932" t="s">
        <v>1738</v>
      </c>
      <c r="B932" t="s">
        <v>1739</v>
      </c>
      <c r="C932" s="1">
        <v>43993</v>
      </c>
      <c r="D932" t="s">
        <v>68</v>
      </c>
      <c r="E932">
        <v>2</v>
      </c>
      <c r="F932" s="3" t="s">
        <v>13</v>
      </c>
      <c r="G932" s="3" t="s">
        <v>13</v>
      </c>
      <c r="H932" s="3" t="str">
        <f>IF(cf_cl[[#This Row],[satisfaction_score]]&gt;=4,"Happy",IF(cf_cl[[#This Row],[satisfaction_score]]=3,"Neutral","Negative"))</f>
        <v>Negative</v>
      </c>
      <c r="I932" s="3" t="str">
        <f>IF(cf_cl[[#This Row],[satisfaction_score]]&lt;=2,"Low",IF(cf_cl[[#This Row],[satisfaction_score]]=3,"Medium","High"))</f>
        <v>Low</v>
      </c>
      <c r="J932">
        <f>YEAR(cf_cl[[#This Row],[date_submitted]])</f>
        <v>2020</v>
      </c>
      <c r="K932" s="3" t="str">
        <f>TEXT(cf_cl[[#This Row],[date_submitted]],"mmm")</f>
        <v>Jun</v>
      </c>
      <c r="L932" s="3" t="str">
        <f t="shared" si="42"/>
        <v>Q2</v>
      </c>
      <c r="M932" s="3" t="str">
        <f t="shared" si="43"/>
        <v>Thursday</v>
      </c>
      <c r="N932" s="3" t="str">
        <f t="shared" si="44"/>
        <v>Yes</v>
      </c>
      <c r="O932" s="3" t="str">
        <f>IF(COUNTIF($B:$B,B932)=1,"New Customer",
IF(COUNTIF($B:$B,B932)&lt;=3,"Returning Customer","Loyal Customer"))</f>
        <v>New Customer</v>
      </c>
      <c r="P932" s="3" t="str">
        <f>IF(cf_cl[[#This Row],[referred_claim]]="Yes","Referred","Not Referred")</f>
        <v>Not Referred</v>
      </c>
    </row>
    <row r="933" spans="1:16" x14ac:dyDescent="0.3">
      <c r="A933" t="s">
        <v>1740</v>
      </c>
      <c r="B933" t="s">
        <v>1741</v>
      </c>
      <c r="C933" s="1">
        <v>43857</v>
      </c>
      <c r="D933" t="s">
        <v>68</v>
      </c>
      <c r="E933">
        <v>2</v>
      </c>
      <c r="F933" s="3" t="s">
        <v>13</v>
      </c>
      <c r="G933" s="3" t="s">
        <v>13</v>
      </c>
      <c r="H933" s="3" t="str">
        <f>IF(cf_cl[[#This Row],[satisfaction_score]]&gt;=4,"Happy",IF(cf_cl[[#This Row],[satisfaction_score]]=3,"Neutral","Negative"))</f>
        <v>Negative</v>
      </c>
      <c r="I933" s="3" t="str">
        <f>IF(cf_cl[[#This Row],[satisfaction_score]]&lt;=2,"Low",IF(cf_cl[[#This Row],[satisfaction_score]]=3,"Medium","High"))</f>
        <v>Low</v>
      </c>
      <c r="J933">
        <f>YEAR(cf_cl[[#This Row],[date_submitted]])</f>
        <v>2020</v>
      </c>
      <c r="K933" s="3" t="str">
        <f>TEXT(cf_cl[[#This Row],[date_submitted]],"mmm")</f>
        <v>Jan</v>
      </c>
      <c r="L933" s="3" t="str">
        <f t="shared" si="42"/>
        <v>Q1</v>
      </c>
      <c r="M933" s="3" t="str">
        <f t="shared" si="43"/>
        <v>Monday</v>
      </c>
      <c r="N933" s="3" t="str">
        <f t="shared" si="44"/>
        <v>Yes</v>
      </c>
      <c r="O933" s="3" t="str">
        <f>IF(COUNTIF($B:$B,B933)=1,"New Customer",
IF(COUNTIF($B:$B,B933)&lt;=3,"Returning Customer","Loyal Customer"))</f>
        <v>New Customer</v>
      </c>
      <c r="P933" s="3" t="str">
        <f>IF(cf_cl[[#This Row],[referred_claim]]="Yes","Referred","Not Referred")</f>
        <v>Not Referred</v>
      </c>
    </row>
    <row r="934" spans="1:16" x14ac:dyDescent="0.3">
      <c r="A934" t="s">
        <v>1742</v>
      </c>
      <c r="B934" t="s">
        <v>1743</v>
      </c>
      <c r="C934" s="1">
        <v>44298</v>
      </c>
      <c r="D934" t="s">
        <v>68</v>
      </c>
      <c r="E934">
        <v>1</v>
      </c>
      <c r="F934" s="3" t="s">
        <v>10</v>
      </c>
      <c r="G934" s="3" t="s">
        <v>13</v>
      </c>
      <c r="H934" s="3" t="str">
        <f>IF(cf_cl[[#This Row],[satisfaction_score]]&gt;=4,"Happy",IF(cf_cl[[#This Row],[satisfaction_score]]=3,"Neutral","Negative"))</f>
        <v>Negative</v>
      </c>
      <c r="I934" s="3" t="str">
        <f>IF(cf_cl[[#This Row],[satisfaction_score]]&lt;=2,"Low",IF(cf_cl[[#This Row],[satisfaction_score]]=3,"Medium","High"))</f>
        <v>Low</v>
      </c>
      <c r="J934">
        <f>YEAR(cf_cl[[#This Row],[date_submitted]])</f>
        <v>2021</v>
      </c>
      <c r="K934" s="3" t="str">
        <f>TEXT(cf_cl[[#This Row],[date_submitted]],"mmm")</f>
        <v>Apr</v>
      </c>
      <c r="L934" s="3" t="str">
        <f t="shared" si="42"/>
        <v>Q2</v>
      </c>
      <c r="M934" s="3" t="str">
        <f t="shared" si="43"/>
        <v>Monday</v>
      </c>
      <c r="N934" s="3" t="str">
        <f t="shared" si="44"/>
        <v>Yes</v>
      </c>
      <c r="O934" s="3" t="str">
        <f>IF(COUNTIF($B:$B,B934)=1,"New Customer",
IF(COUNTIF($B:$B,B934)&lt;=3,"Returning Customer","Loyal Customer"))</f>
        <v>New Customer</v>
      </c>
      <c r="P934" s="3" t="str">
        <f>IF(cf_cl[[#This Row],[referred_claim]]="Yes","Referred","Not Referred")</f>
        <v>Not Referred</v>
      </c>
    </row>
    <row r="935" spans="1:16" x14ac:dyDescent="0.3">
      <c r="A935" t="s">
        <v>1744</v>
      </c>
      <c r="B935" t="s">
        <v>1745</v>
      </c>
      <c r="C935" s="1">
        <v>45022</v>
      </c>
      <c r="D935" t="s">
        <v>31</v>
      </c>
      <c r="E935">
        <v>1</v>
      </c>
      <c r="F935" s="3" t="s">
        <v>13</v>
      </c>
      <c r="G935" s="3" t="s">
        <v>13</v>
      </c>
      <c r="H935" s="3" t="str">
        <f>IF(cf_cl[[#This Row],[satisfaction_score]]&gt;=4,"Happy",IF(cf_cl[[#This Row],[satisfaction_score]]=3,"Neutral","Negative"))</f>
        <v>Negative</v>
      </c>
      <c r="I935" s="3" t="str">
        <f>IF(cf_cl[[#This Row],[satisfaction_score]]&lt;=2,"Low",IF(cf_cl[[#This Row],[satisfaction_score]]=3,"Medium","High"))</f>
        <v>Low</v>
      </c>
      <c r="J935">
        <f>YEAR(cf_cl[[#This Row],[date_submitted]])</f>
        <v>2023</v>
      </c>
      <c r="K935" s="3" t="str">
        <f>TEXT(cf_cl[[#This Row],[date_submitted]],"mmm")</f>
        <v>Apr</v>
      </c>
      <c r="L935" s="3" t="str">
        <f t="shared" si="42"/>
        <v>Q2</v>
      </c>
      <c r="M935" s="3" t="str">
        <f t="shared" si="43"/>
        <v>Thursday</v>
      </c>
      <c r="N935" s="3" t="str">
        <f t="shared" si="44"/>
        <v>Yes</v>
      </c>
      <c r="O935" s="3" t="str">
        <f>IF(COUNTIF($B:$B,B935)=1,"New Customer",
IF(COUNTIF($B:$B,B935)&lt;=3,"Returning Customer","Loyal Customer"))</f>
        <v>New Customer</v>
      </c>
      <c r="P935" s="3" t="str">
        <f>IF(cf_cl[[#This Row],[referred_claim]]="Yes","Referred","Not Referred")</f>
        <v>Not Referred</v>
      </c>
    </row>
    <row r="936" spans="1:16" x14ac:dyDescent="0.3">
      <c r="A936" t="s">
        <v>1746</v>
      </c>
      <c r="B936" t="s">
        <v>1747</v>
      </c>
      <c r="C936" s="1">
        <v>44001</v>
      </c>
      <c r="D936" t="s">
        <v>16</v>
      </c>
      <c r="E936">
        <v>4</v>
      </c>
      <c r="F936" s="3" t="s">
        <v>13</v>
      </c>
      <c r="G936" s="3" t="s">
        <v>13</v>
      </c>
      <c r="H936" s="3" t="str">
        <f>IF(cf_cl[[#This Row],[satisfaction_score]]&gt;=4,"Happy",IF(cf_cl[[#This Row],[satisfaction_score]]=3,"Neutral","Negative"))</f>
        <v>Happy</v>
      </c>
      <c r="I936" s="3" t="str">
        <f>IF(cf_cl[[#This Row],[satisfaction_score]]&lt;=2,"Low",IF(cf_cl[[#This Row],[satisfaction_score]]=3,"Medium","High"))</f>
        <v>High</v>
      </c>
      <c r="J936">
        <f>YEAR(cf_cl[[#This Row],[date_submitted]])</f>
        <v>2020</v>
      </c>
      <c r="K936" s="3" t="str">
        <f>TEXT(cf_cl[[#This Row],[date_submitted]],"mmm")</f>
        <v>Jun</v>
      </c>
      <c r="L936" s="3" t="str">
        <f t="shared" si="42"/>
        <v>Q2</v>
      </c>
      <c r="M936" s="3" t="str">
        <f t="shared" si="43"/>
        <v>Friday</v>
      </c>
      <c r="N936" s="3" t="str">
        <f t="shared" si="44"/>
        <v>No</v>
      </c>
      <c r="O936" s="3" t="str">
        <f>IF(COUNTIF($B:$B,B936)=1,"New Customer",
IF(COUNTIF($B:$B,B936)&lt;=3,"Returning Customer","Loyal Customer"))</f>
        <v>New Customer</v>
      </c>
      <c r="P936" s="3" t="str">
        <f>IF(cf_cl[[#This Row],[referred_claim]]="Yes","Referred","Not Referred")</f>
        <v>Not Referred</v>
      </c>
    </row>
    <row r="937" spans="1:16" x14ac:dyDescent="0.3">
      <c r="A937" t="s">
        <v>1748</v>
      </c>
      <c r="B937" t="s">
        <v>285</v>
      </c>
      <c r="C937" s="1">
        <v>44681</v>
      </c>
      <c r="D937" t="s">
        <v>19</v>
      </c>
      <c r="E937">
        <v>2</v>
      </c>
      <c r="F937" s="3" t="s">
        <v>10</v>
      </c>
      <c r="G937" s="3" t="s">
        <v>10</v>
      </c>
      <c r="H937" s="3" t="str">
        <f>IF(cf_cl[[#This Row],[satisfaction_score]]&gt;=4,"Happy",IF(cf_cl[[#This Row],[satisfaction_score]]=3,"Neutral","Negative"))</f>
        <v>Negative</v>
      </c>
      <c r="I937" s="3" t="str">
        <f>IF(cf_cl[[#This Row],[satisfaction_score]]&lt;=2,"Low",IF(cf_cl[[#This Row],[satisfaction_score]]=3,"Medium","High"))</f>
        <v>Low</v>
      </c>
      <c r="J937">
        <f>YEAR(cf_cl[[#This Row],[date_submitted]])</f>
        <v>2022</v>
      </c>
      <c r="K937" s="3" t="str">
        <f>TEXT(cf_cl[[#This Row],[date_submitted]],"mmm")</f>
        <v>Apr</v>
      </c>
      <c r="L937" s="3" t="str">
        <f t="shared" si="42"/>
        <v>Q2</v>
      </c>
      <c r="M937" s="3" t="str">
        <f t="shared" si="43"/>
        <v>Saturday</v>
      </c>
      <c r="N937" s="3" t="str">
        <f t="shared" si="44"/>
        <v>Yes</v>
      </c>
      <c r="O937" s="3" t="str">
        <f>IF(COUNTIF($B:$B,B937)=1,"New Customer",
IF(COUNTIF($B:$B,B937)&lt;=3,"Returning Customer","Loyal Customer"))</f>
        <v>Returning Customer</v>
      </c>
      <c r="P937" s="3" t="str">
        <f>IF(cf_cl[[#This Row],[referred_claim]]="Yes","Referred","Not Referred")</f>
        <v>Referred</v>
      </c>
    </row>
    <row r="938" spans="1:16" x14ac:dyDescent="0.3">
      <c r="A938" t="s">
        <v>1749</v>
      </c>
      <c r="B938" t="s">
        <v>1750</v>
      </c>
      <c r="C938" s="1">
        <v>44724</v>
      </c>
      <c r="D938" t="s">
        <v>28</v>
      </c>
      <c r="E938">
        <v>4</v>
      </c>
      <c r="F938" s="3" t="s">
        <v>13</v>
      </c>
      <c r="G938" s="3" t="s">
        <v>13</v>
      </c>
      <c r="H938" s="3" t="str">
        <f>IF(cf_cl[[#This Row],[satisfaction_score]]&gt;=4,"Happy",IF(cf_cl[[#This Row],[satisfaction_score]]=3,"Neutral","Negative"))</f>
        <v>Happy</v>
      </c>
      <c r="I938" s="3" t="str">
        <f>IF(cf_cl[[#This Row],[satisfaction_score]]&lt;=2,"Low",IF(cf_cl[[#This Row],[satisfaction_score]]=3,"Medium","High"))</f>
        <v>High</v>
      </c>
      <c r="J938">
        <f>YEAR(cf_cl[[#This Row],[date_submitted]])</f>
        <v>2022</v>
      </c>
      <c r="K938" s="3" t="str">
        <f>TEXT(cf_cl[[#This Row],[date_submitted]],"mmm")</f>
        <v>Jun</v>
      </c>
      <c r="L938" s="3" t="str">
        <f t="shared" si="42"/>
        <v>Q2</v>
      </c>
      <c r="M938" s="3" t="str">
        <f t="shared" si="43"/>
        <v>Sunday</v>
      </c>
      <c r="N938" s="3" t="str">
        <f t="shared" si="44"/>
        <v>No</v>
      </c>
      <c r="O938" s="3" t="str">
        <f>IF(COUNTIF($B:$B,B938)=1,"New Customer",
IF(COUNTIF($B:$B,B938)&lt;=3,"Returning Customer","Loyal Customer"))</f>
        <v>New Customer</v>
      </c>
      <c r="P938" s="3" t="str">
        <f>IF(cf_cl[[#This Row],[referred_claim]]="Yes","Referred","Not Referred")</f>
        <v>Not Referred</v>
      </c>
    </row>
    <row r="939" spans="1:16" x14ac:dyDescent="0.3">
      <c r="A939" t="s">
        <v>1751</v>
      </c>
      <c r="B939" t="s">
        <v>772</v>
      </c>
      <c r="C939" s="1">
        <v>43894</v>
      </c>
      <c r="D939" t="s">
        <v>9</v>
      </c>
      <c r="E939">
        <v>3</v>
      </c>
      <c r="F939" s="3" t="s">
        <v>13</v>
      </c>
      <c r="G939" s="3" t="s">
        <v>10</v>
      </c>
      <c r="H939" s="3" t="str">
        <f>IF(cf_cl[[#This Row],[satisfaction_score]]&gt;=4,"Happy",IF(cf_cl[[#This Row],[satisfaction_score]]=3,"Neutral","Negative"))</f>
        <v>Neutral</v>
      </c>
      <c r="I939" s="3" t="str">
        <f>IF(cf_cl[[#This Row],[satisfaction_score]]&lt;=2,"Low",IF(cf_cl[[#This Row],[satisfaction_score]]=3,"Medium","High"))</f>
        <v>Medium</v>
      </c>
      <c r="J939">
        <f>YEAR(cf_cl[[#This Row],[date_submitted]])</f>
        <v>2020</v>
      </c>
      <c r="K939" s="3" t="str">
        <f>TEXT(cf_cl[[#This Row],[date_submitted]],"mmm")</f>
        <v>Mar</v>
      </c>
      <c r="L939" s="3" t="str">
        <f t="shared" si="42"/>
        <v>Q1</v>
      </c>
      <c r="M939" s="3" t="str">
        <f t="shared" si="43"/>
        <v>Wednesday</v>
      </c>
      <c r="N939" s="3" t="str">
        <f t="shared" si="44"/>
        <v>No</v>
      </c>
      <c r="O939" s="3" t="str">
        <f>IF(COUNTIF($B:$B,B939)=1,"New Customer",
IF(COUNTIF($B:$B,B939)&lt;=3,"Returning Customer","Loyal Customer"))</f>
        <v>Returning Customer</v>
      </c>
      <c r="P939" s="3" t="str">
        <f>IF(cf_cl[[#This Row],[referred_claim]]="Yes","Referred","Not Referred")</f>
        <v>Referred</v>
      </c>
    </row>
    <row r="940" spans="1:16" x14ac:dyDescent="0.3">
      <c r="A940" t="s">
        <v>1752</v>
      </c>
      <c r="B940" t="s">
        <v>580</v>
      </c>
      <c r="C940" s="1">
        <v>44142</v>
      </c>
      <c r="D940" t="s">
        <v>83</v>
      </c>
      <c r="E940">
        <v>1</v>
      </c>
      <c r="F940" s="3" t="s">
        <v>13</v>
      </c>
      <c r="G940" s="3" t="s">
        <v>13</v>
      </c>
      <c r="H940" s="3" t="str">
        <f>IF(cf_cl[[#This Row],[satisfaction_score]]&gt;=4,"Happy",IF(cf_cl[[#This Row],[satisfaction_score]]=3,"Neutral","Negative"))</f>
        <v>Negative</v>
      </c>
      <c r="I940" s="3" t="str">
        <f>IF(cf_cl[[#This Row],[satisfaction_score]]&lt;=2,"Low",IF(cf_cl[[#This Row],[satisfaction_score]]=3,"Medium","High"))</f>
        <v>Low</v>
      </c>
      <c r="J940">
        <f>YEAR(cf_cl[[#This Row],[date_submitted]])</f>
        <v>2020</v>
      </c>
      <c r="K940" s="3" t="str">
        <f>TEXT(cf_cl[[#This Row],[date_submitted]],"mmm")</f>
        <v>Nov</v>
      </c>
      <c r="L940" s="3" t="str">
        <f t="shared" si="42"/>
        <v>Q4</v>
      </c>
      <c r="M940" s="3" t="str">
        <f t="shared" si="43"/>
        <v>Saturday</v>
      </c>
      <c r="N940" s="3" t="str">
        <f t="shared" si="44"/>
        <v>Yes</v>
      </c>
      <c r="O940" s="3" t="str">
        <f>IF(COUNTIF($B:$B,B940)=1,"New Customer",
IF(COUNTIF($B:$B,B940)&lt;=3,"Returning Customer","Loyal Customer"))</f>
        <v>Returning Customer</v>
      </c>
      <c r="P940" s="3" t="str">
        <f>IF(cf_cl[[#This Row],[referred_claim]]="Yes","Referred","Not Referred")</f>
        <v>Not Referred</v>
      </c>
    </row>
    <row r="941" spans="1:16" x14ac:dyDescent="0.3">
      <c r="A941" t="s">
        <v>1753</v>
      </c>
      <c r="B941" t="s">
        <v>1037</v>
      </c>
      <c r="C941" s="1">
        <v>44366</v>
      </c>
      <c r="D941" t="s">
        <v>31</v>
      </c>
      <c r="E941">
        <v>3</v>
      </c>
      <c r="F941" s="3" t="s">
        <v>10</v>
      </c>
      <c r="G941" s="3" t="s">
        <v>13</v>
      </c>
      <c r="H941" s="3" t="str">
        <f>IF(cf_cl[[#This Row],[satisfaction_score]]&gt;=4,"Happy",IF(cf_cl[[#This Row],[satisfaction_score]]=3,"Neutral","Negative"))</f>
        <v>Neutral</v>
      </c>
      <c r="I941" s="3" t="str">
        <f>IF(cf_cl[[#This Row],[satisfaction_score]]&lt;=2,"Low",IF(cf_cl[[#This Row],[satisfaction_score]]=3,"Medium","High"))</f>
        <v>Medium</v>
      </c>
      <c r="J941">
        <f>YEAR(cf_cl[[#This Row],[date_submitted]])</f>
        <v>2021</v>
      </c>
      <c r="K941" s="3" t="str">
        <f>TEXT(cf_cl[[#This Row],[date_submitted]],"mmm")</f>
        <v>Jun</v>
      </c>
      <c r="L941" s="3" t="str">
        <f t="shared" si="42"/>
        <v>Q2</v>
      </c>
      <c r="M941" s="3" t="str">
        <f t="shared" si="43"/>
        <v>Saturday</v>
      </c>
      <c r="N941" s="3" t="str">
        <f t="shared" si="44"/>
        <v>No</v>
      </c>
      <c r="O941" s="3" t="str">
        <f>IF(COUNTIF($B:$B,B941)=1,"New Customer",
IF(COUNTIF($B:$B,B941)&lt;=3,"Returning Customer","Loyal Customer"))</f>
        <v>Returning Customer</v>
      </c>
      <c r="P941" s="3" t="str">
        <f>IF(cf_cl[[#This Row],[referred_claim]]="Yes","Referred","Not Referred")</f>
        <v>Not Referred</v>
      </c>
    </row>
    <row r="942" spans="1:16" x14ac:dyDescent="0.3">
      <c r="A942" t="s">
        <v>1754</v>
      </c>
      <c r="B942" t="s">
        <v>1755</v>
      </c>
      <c r="C942" s="1">
        <v>44074</v>
      </c>
      <c r="D942" t="s">
        <v>9</v>
      </c>
      <c r="E942">
        <v>3</v>
      </c>
      <c r="F942" s="3" t="s">
        <v>13</v>
      </c>
      <c r="G942" s="3" t="s">
        <v>10</v>
      </c>
      <c r="H942" s="3" t="str">
        <f>IF(cf_cl[[#This Row],[satisfaction_score]]&gt;=4,"Happy",IF(cf_cl[[#This Row],[satisfaction_score]]=3,"Neutral","Negative"))</f>
        <v>Neutral</v>
      </c>
      <c r="I942" s="3" t="str">
        <f>IF(cf_cl[[#This Row],[satisfaction_score]]&lt;=2,"Low",IF(cf_cl[[#This Row],[satisfaction_score]]=3,"Medium","High"))</f>
        <v>Medium</v>
      </c>
      <c r="J942">
        <f>YEAR(cf_cl[[#This Row],[date_submitted]])</f>
        <v>2020</v>
      </c>
      <c r="K942" s="3" t="str">
        <f>TEXT(cf_cl[[#This Row],[date_submitted]],"mmm")</f>
        <v>Aug</v>
      </c>
      <c r="L942" s="3" t="str">
        <f t="shared" si="42"/>
        <v>Q3</v>
      </c>
      <c r="M942" s="3" t="str">
        <f t="shared" si="43"/>
        <v>Monday</v>
      </c>
      <c r="N942" s="3" t="str">
        <f t="shared" si="44"/>
        <v>No</v>
      </c>
      <c r="O942" s="3" t="str">
        <f>IF(COUNTIF($B:$B,B942)=1,"New Customer",
IF(COUNTIF($B:$B,B942)&lt;=3,"Returning Customer","Loyal Customer"))</f>
        <v>New Customer</v>
      </c>
      <c r="P942" s="3" t="str">
        <f>IF(cf_cl[[#This Row],[referred_claim]]="Yes","Referred","Not Referred")</f>
        <v>Referred</v>
      </c>
    </row>
    <row r="943" spans="1:16" x14ac:dyDescent="0.3">
      <c r="A943" t="s">
        <v>1756</v>
      </c>
      <c r="B943" t="s">
        <v>1022</v>
      </c>
      <c r="C943" s="1">
        <v>44882</v>
      </c>
      <c r="D943" t="s">
        <v>22</v>
      </c>
      <c r="E943">
        <v>4</v>
      </c>
      <c r="F943" s="3" t="s">
        <v>10</v>
      </c>
      <c r="G943" s="3" t="s">
        <v>10</v>
      </c>
      <c r="H943" s="3" t="str">
        <f>IF(cf_cl[[#This Row],[satisfaction_score]]&gt;=4,"Happy",IF(cf_cl[[#This Row],[satisfaction_score]]=3,"Neutral","Negative"))</f>
        <v>Happy</v>
      </c>
      <c r="I943" s="3" t="str">
        <f>IF(cf_cl[[#This Row],[satisfaction_score]]&lt;=2,"Low",IF(cf_cl[[#This Row],[satisfaction_score]]=3,"Medium","High"))</f>
        <v>High</v>
      </c>
      <c r="J943">
        <f>YEAR(cf_cl[[#This Row],[date_submitted]])</f>
        <v>2022</v>
      </c>
      <c r="K943" s="3" t="str">
        <f>TEXT(cf_cl[[#This Row],[date_submitted]],"mmm")</f>
        <v>Nov</v>
      </c>
      <c r="L943" s="3" t="str">
        <f t="shared" si="42"/>
        <v>Q4</v>
      </c>
      <c r="M943" s="3" t="str">
        <f t="shared" si="43"/>
        <v>Thursday</v>
      </c>
      <c r="N943" s="3" t="str">
        <f t="shared" si="44"/>
        <v>No</v>
      </c>
      <c r="O943" s="3" t="str">
        <f>IF(COUNTIF($B:$B,B943)=1,"New Customer",
IF(COUNTIF($B:$B,B943)&lt;=3,"Returning Customer","Loyal Customer"))</f>
        <v>Returning Customer</v>
      </c>
      <c r="P943" s="3" t="str">
        <f>IF(cf_cl[[#This Row],[referred_claim]]="Yes","Referred","Not Referred")</f>
        <v>Referred</v>
      </c>
    </row>
    <row r="944" spans="1:16" x14ac:dyDescent="0.3">
      <c r="A944" t="s">
        <v>1757</v>
      </c>
      <c r="B944" t="s">
        <v>1501</v>
      </c>
      <c r="C944" s="1">
        <v>44735</v>
      </c>
      <c r="D944" t="s">
        <v>68</v>
      </c>
      <c r="E944">
        <v>2</v>
      </c>
      <c r="F944" s="3" t="s">
        <v>10</v>
      </c>
      <c r="G944" s="3" t="s">
        <v>10</v>
      </c>
      <c r="H944" s="3" t="str">
        <f>IF(cf_cl[[#This Row],[satisfaction_score]]&gt;=4,"Happy",IF(cf_cl[[#This Row],[satisfaction_score]]=3,"Neutral","Negative"))</f>
        <v>Negative</v>
      </c>
      <c r="I944" s="3" t="str">
        <f>IF(cf_cl[[#This Row],[satisfaction_score]]&lt;=2,"Low",IF(cf_cl[[#This Row],[satisfaction_score]]=3,"Medium","High"))</f>
        <v>Low</v>
      </c>
      <c r="J944">
        <f>YEAR(cf_cl[[#This Row],[date_submitted]])</f>
        <v>2022</v>
      </c>
      <c r="K944" s="3" t="str">
        <f>TEXT(cf_cl[[#This Row],[date_submitted]],"mmm")</f>
        <v>Jun</v>
      </c>
      <c r="L944" s="3" t="str">
        <f t="shared" si="42"/>
        <v>Q2</v>
      </c>
      <c r="M944" s="3" t="str">
        <f t="shared" si="43"/>
        <v>Thursday</v>
      </c>
      <c r="N944" s="3" t="str">
        <f t="shared" si="44"/>
        <v>Yes</v>
      </c>
      <c r="O944" s="3" t="str">
        <f>IF(COUNTIF($B:$B,B944)=1,"New Customer",
IF(COUNTIF($B:$B,B944)&lt;=3,"Returning Customer","Loyal Customer"))</f>
        <v>Returning Customer</v>
      </c>
      <c r="P944" s="3" t="str">
        <f>IF(cf_cl[[#This Row],[referred_claim]]="Yes","Referred","Not Referred")</f>
        <v>Referred</v>
      </c>
    </row>
    <row r="945" spans="1:16" x14ac:dyDescent="0.3">
      <c r="A945" t="s">
        <v>1758</v>
      </c>
      <c r="B945" t="s">
        <v>747</v>
      </c>
      <c r="C945" s="1">
        <v>45218</v>
      </c>
      <c r="D945" t="s">
        <v>9</v>
      </c>
      <c r="E945">
        <v>1</v>
      </c>
      <c r="F945" s="3" t="s">
        <v>13</v>
      </c>
      <c r="G945" s="3" t="s">
        <v>13</v>
      </c>
      <c r="H945" s="3" t="str">
        <f>IF(cf_cl[[#This Row],[satisfaction_score]]&gt;=4,"Happy",IF(cf_cl[[#This Row],[satisfaction_score]]=3,"Neutral","Negative"))</f>
        <v>Negative</v>
      </c>
      <c r="I945" s="3" t="str">
        <f>IF(cf_cl[[#This Row],[satisfaction_score]]&lt;=2,"Low",IF(cf_cl[[#This Row],[satisfaction_score]]=3,"Medium","High"))</f>
        <v>Low</v>
      </c>
      <c r="J945">
        <f>YEAR(cf_cl[[#This Row],[date_submitted]])</f>
        <v>2023</v>
      </c>
      <c r="K945" s="3" t="str">
        <f>TEXT(cf_cl[[#This Row],[date_submitted]],"mmm")</f>
        <v>Oct</v>
      </c>
      <c r="L945" s="3" t="str">
        <f t="shared" si="42"/>
        <v>Q4</v>
      </c>
      <c r="M945" s="3" t="str">
        <f t="shared" si="43"/>
        <v>Thursday</v>
      </c>
      <c r="N945" s="3" t="str">
        <f t="shared" si="44"/>
        <v>Yes</v>
      </c>
      <c r="O945" s="3" t="str">
        <f>IF(COUNTIF($B:$B,B945)=1,"New Customer",
IF(COUNTIF($B:$B,B945)&lt;=3,"Returning Customer","Loyal Customer"))</f>
        <v>Returning Customer</v>
      </c>
      <c r="P945" s="3" t="str">
        <f>IF(cf_cl[[#This Row],[referred_claim]]="Yes","Referred","Not Referred")</f>
        <v>Not Referred</v>
      </c>
    </row>
    <row r="946" spans="1:16" x14ac:dyDescent="0.3">
      <c r="A946" t="s">
        <v>1759</v>
      </c>
      <c r="B946" t="s">
        <v>1390</v>
      </c>
      <c r="C946" s="1">
        <v>44391</v>
      </c>
      <c r="D946" t="s">
        <v>68</v>
      </c>
      <c r="E946">
        <v>1</v>
      </c>
      <c r="F946" s="3" t="s">
        <v>10</v>
      </c>
      <c r="G946" s="3" t="s">
        <v>10</v>
      </c>
      <c r="H946" s="3" t="str">
        <f>IF(cf_cl[[#This Row],[satisfaction_score]]&gt;=4,"Happy",IF(cf_cl[[#This Row],[satisfaction_score]]=3,"Neutral","Negative"))</f>
        <v>Negative</v>
      </c>
      <c r="I946" s="3" t="str">
        <f>IF(cf_cl[[#This Row],[satisfaction_score]]&lt;=2,"Low",IF(cf_cl[[#This Row],[satisfaction_score]]=3,"Medium","High"))</f>
        <v>Low</v>
      </c>
      <c r="J946">
        <f>YEAR(cf_cl[[#This Row],[date_submitted]])</f>
        <v>2021</v>
      </c>
      <c r="K946" s="3" t="str">
        <f>TEXT(cf_cl[[#This Row],[date_submitted]],"mmm")</f>
        <v>Jul</v>
      </c>
      <c r="L946" s="3" t="str">
        <f t="shared" si="42"/>
        <v>Q3</v>
      </c>
      <c r="M946" s="3" t="str">
        <f t="shared" si="43"/>
        <v>Wednesday</v>
      </c>
      <c r="N946" s="3" t="str">
        <f t="shared" si="44"/>
        <v>Yes</v>
      </c>
      <c r="O946" s="3" t="str">
        <f>IF(COUNTIF($B:$B,B946)=1,"New Customer",
IF(COUNTIF($B:$B,B946)&lt;=3,"Returning Customer","Loyal Customer"))</f>
        <v>Returning Customer</v>
      </c>
      <c r="P946" s="3" t="str">
        <f>IF(cf_cl[[#This Row],[referred_claim]]="Yes","Referred","Not Referred")</f>
        <v>Referred</v>
      </c>
    </row>
    <row r="947" spans="1:16" x14ac:dyDescent="0.3">
      <c r="A947" t="s">
        <v>1760</v>
      </c>
      <c r="B947" t="s">
        <v>1761</v>
      </c>
      <c r="C947" s="1">
        <v>44099</v>
      </c>
      <c r="D947" t="s">
        <v>9</v>
      </c>
      <c r="E947">
        <v>2</v>
      </c>
      <c r="F947" s="3" t="s">
        <v>10</v>
      </c>
      <c r="G947" s="3" t="s">
        <v>13</v>
      </c>
      <c r="H947" s="3" t="str">
        <f>IF(cf_cl[[#This Row],[satisfaction_score]]&gt;=4,"Happy",IF(cf_cl[[#This Row],[satisfaction_score]]=3,"Neutral","Negative"))</f>
        <v>Negative</v>
      </c>
      <c r="I947" s="3" t="str">
        <f>IF(cf_cl[[#This Row],[satisfaction_score]]&lt;=2,"Low",IF(cf_cl[[#This Row],[satisfaction_score]]=3,"Medium","High"))</f>
        <v>Low</v>
      </c>
      <c r="J947">
        <f>YEAR(cf_cl[[#This Row],[date_submitted]])</f>
        <v>2020</v>
      </c>
      <c r="K947" s="3" t="str">
        <f>TEXT(cf_cl[[#This Row],[date_submitted]],"mmm")</f>
        <v>Sep</v>
      </c>
      <c r="L947" s="3" t="str">
        <f t="shared" si="42"/>
        <v>Q3</v>
      </c>
      <c r="M947" s="3" t="str">
        <f t="shared" si="43"/>
        <v>Friday</v>
      </c>
      <c r="N947" s="3" t="str">
        <f t="shared" si="44"/>
        <v>Yes</v>
      </c>
      <c r="O947" s="3" t="str">
        <f>IF(COUNTIF($B:$B,B947)=1,"New Customer",
IF(COUNTIF($B:$B,B947)&lt;=3,"Returning Customer","Loyal Customer"))</f>
        <v>New Customer</v>
      </c>
      <c r="P947" s="3" t="str">
        <f>IF(cf_cl[[#This Row],[referred_claim]]="Yes","Referred","Not Referred")</f>
        <v>Not Referred</v>
      </c>
    </row>
    <row r="948" spans="1:16" x14ac:dyDescent="0.3">
      <c r="A948" t="s">
        <v>1762</v>
      </c>
      <c r="B948" t="s">
        <v>1169</v>
      </c>
      <c r="C948" s="1">
        <v>43865</v>
      </c>
      <c r="D948" t="s">
        <v>16</v>
      </c>
      <c r="E948">
        <v>4</v>
      </c>
      <c r="F948" s="3" t="s">
        <v>10</v>
      </c>
      <c r="G948" s="3" t="s">
        <v>13</v>
      </c>
      <c r="H948" s="3" t="str">
        <f>IF(cf_cl[[#This Row],[satisfaction_score]]&gt;=4,"Happy",IF(cf_cl[[#This Row],[satisfaction_score]]=3,"Neutral","Negative"))</f>
        <v>Happy</v>
      </c>
      <c r="I948" s="3" t="str">
        <f>IF(cf_cl[[#This Row],[satisfaction_score]]&lt;=2,"Low",IF(cf_cl[[#This Row],[satisfaction_score]]=3,"Medium","High"))</f>
        <v>High</v>
      </c>
      <c r="J948">
        <f>YEAR(cf_cl[[#This Row],[date_submitted]])</f>
        <v>2020</v>
      </c>
      <c r="K948" s="3" t="str">
        <f>TEXT(cf_cl[[#This Row],[date_submitted]],"mmm")</f>
        <v>Feb</v>
      </c>
      <c r="L948" s="3" t="str">
        <f t="shared" si="42"/>
        <v>Q1</v>
      </c>
      <c r="M948" s="3" t="str">
        <f t="shared" si="43"/>
        <v>Tuesday</v>
      </c>
      <c r="N948" s="3" t="str">
        <f t="shared" si="44"/>
        <v>No</v>
      </c>
      <c r="O948" s="3" t="str">
        <f>IF(COUNTIF($B:$B,B948)=1,"New Customer",
IF(COUNTIF($B:$B,B948)&lt;=3,"Returning Customer","Loyal Customer"))</f>
        <v>Returning Customer</v>
      </c>
      <c r="P948" s="3" t="str">
        <f>IF(cf_cl[[#This Row],[referred_claim]]="Yes","Referred","Not Referred")</f>
        <v>Not Referred</v>
      </c>
    </row>
    <row r="949" spans="1:16" x14ac:dyDescent="0.3">
      <c r="A949" t="s">
        <v>1763</v>
      </c>
      <c r="B949" t="s">
        <v>1056</v>
      </c>
      <c r="C949" s="1">
        <v>44224</v>
      </c>
      <c r="D949" t="s">
        <v>16</v>
      </c>
      <c r="E949">
        <v>4</v>
      </c>
      <c r="F949" s="3" t="s">
        <v>10</v>
      </c>
      <c r="G949" s="3" t="s">
        <v>13</v>
      </c>
      <c r="H949" s="3" t="str">
        <f>IF(cf_cl[[#This Row],[satisfaction_score]]&gt;=4,"Happy",IF(cf_cl[[#This Row],[satisfaction_score]]=3,"Neutral","Negative"))</f>
        <v>Happy</v>
      </c>
      <c r="I949" s="3" t="str">
        <f>IF(cf_cl[[#This Row],[satisfaction_score]]&lt;=2,"Low",IF(cf_cl[[#This Row],[satisfaction_score]]=3,"Medium","High"))</f>
        <v>High</v>
      </c>
      <c r="J949">
        <f>YEAR(cf_cl[[#This Row],[date_submitted]])</f>
        <v>2021</v>
      </c>
      <c r="K949" s="3" t="str">
        <f>TEXT(cf_cl[[#This Row],[date_submitted]],"mmm")</f>
        <v>Jan</v>
      </c>
      <c r="L949" s="3" t="str">
        <f t="shared" si="42"/>
        <v>Q1</v>
      </c>
      <c r="M949" s="3" t="str">
        <f t="shared" si="43"/>
        <v>Thursday</v>
      </c>
      <c r="N949" s="3" t="str">
        <f t="shared" si="44"/>
        <v>No</v>
      </c>
      <c r="O949" s="3" t="str">
        <f>IF(COUNTIF($B:$B,B949)=1,"New Customer",
IF(COUNTIF($B:$B,B949)&lt;=3,"Returning Customer","Loyal Customer"))</f>
        <v>Returning Customer</v>
      </c>
      <c r="P949" s="3" t="str">
        <f>IF(cf_cl[[#This Row],[referred_claim]]="Yes","Referred","Not Referred")</f>
        <v>Not Referred</v>
      </c>
    </row>
    <row r="950" spans="1:16" x14ac:dyDescent="0.3">
      <c r="A950" t="s">
        <v>1764</v>
      </c>
      <c r="B950" t="s">
        <v>991</v>
      </c>
      <c r="C950" s="1">
        <v>44522</v>
      </c>
      <c r="D950" t="s">
        <v>28</v>
      </c>
      <c r="E950">
        <v>5</v>
      </c>
      <c r="F950" s="3" t="s">
        <v>13</v>
      </c>
      <c r="G950" s="3" t="s">
        <v>13</v>
      </c>
      <c r="H950" s="3" t="str">
        <f>IF(cf_cl[[#This Row],[satisfaction_score]]&gt;=4,"Happy",IF(cf_cl[[#This Row],[satisfaction_score]]=3,"Neutral","Negative"))</f>
        <v>Happy</v>
      </c>
      <c r="I950" s="3" t="str">
        <f>IF(cf_cl[[#This Row],[satisfaction_score]]&lt;=2,"Low",IF(cf_cl[[#This Row],[satisfaction_score]]=3,"Medium","High"))</f>
        <v>High</v>
      </c>
      <c r="J950">
        <f>YEAR(cf_cl[[#This Row],[date_submitted]])</f>
        <v>2021</v>
      </c>
      <c r="K950" s="3" t="str">
        <f>TEXT(cf_cl[[#This Row],[date_submitted]],"mmm")</f>
        <v>Nov</v>
      </c>
      <c r="L950" s="3" t="str">
        <f t="shared" si="42"/>
        <v>Q4</v>
      </c>
      <c r="M950" s="3" t="str">
        <f t="shared" si="43"/>
        <v>Monday</v>
      </c>
      <c r="N950" s="3" t="str">
        <f t="shared" si="44"/>
        <v>No</v>
      </c>
      <c r="O950" s="3" t="str">
        <f>IF(COUNTIF($B:$B,B950)=1,"New Customer",
IF(COUNTIF($B:$B,B950)&lt;=3,"Returning Customer","Loyal Customer"))</f>
        <v>Returning Customer</v>
      </c>
      <c r="P950" s="3" t="str">
        <f>IF(cf_cl[[#This Row],[referred_claim]]="Yes","Referred","Not Referred")</f>
        <v>Not Referred</v>
      </c>
    </row>
    <row r="951" spans="1:16" x14ac:dyDescent="0.3">
      <c r="A951" t="s">
        <v>1765</v>
      </c>
      <c r="B951" t="s">
        <v>1766</v>
      </c>
      <c r="C951" s="1">
        <v>44658</v>
      </c>
      <c r="D951" t="s">
        <v>28</v>
      </c>
      <c r="E951">
        <v>4</v>
      </c>
      <c r="F951" s="3" t="s">
        <v>10</v>
      </c>
      <c r="G951" s="3" t="s">
        <v>10</v>
      </c>
      <c r="H951" s="3" t="str">
        <f>IF(cf_cl[[#This Row],[satisfaction_score]]&gt;=4,"Happy",IF(cf_cl[[#This Row],[satisfaction_score]]=3,"Neutral","Negative"))</f>
        <v>Happy</v>
      </c>
      <c r="I951" s="3" t="str">
        <f>IF(cf_cl[[#This Row],[satisfaction_score]]&lt;=2,"Low",IF(cf_cl[[#This Row],[satisfaction_score]]=3,"Medium","High"))</f>
        <v>High</v>
      </c>
      <c r="J951">
        <f>YEAR(cf_cl[[#This Row],[date_submitted]])</f>
        <v>2022</v>
      </c>
      <c r="K951" s="3" t="str">
        <f>TEXT(cf_cl[[#This Row],[date_submitted]],"mmm")</f>
        <v>Apr</v>
      </c>
      <c r="L951" s="3" t="str">
        <f t="shared" si="42"/>
        <v>Q2</v>
      </c>
      <c r="M951" s="3" t="str">
        <f t="shared" si="43"/>
        <v>Thursday</v>
      </c>
      <c r="N951" s="3" t="str">
        <f t="shared" si="44"/>
        <v>No</v>
      </c>
      <c r="O951" s="3" t="str">
        <f>IF(COUNTIF($B:$B,B951)=1,"New Customer",
IF(COUNTIF($B:$B,B951)&lt;=3,"Returning Customer","Loyal Customer"))</f>
        <v>New Customer</v>
      </c>
      <c r="P951" s="3" t="str">
        <f>IF(cf_cl[[#This Row],[referred_claim]]="Yes","Referred","Not Referred")</f>
        <v>Referred</v>
      </c>
    </row>
    <row r="952" spans="1:16" x14ac:dyDescent="0.3">
      <c r="A952" t="s">
        <v>1767</v>
      </c>
      <c r="B952" t="s">
        <v>1768</v>
      </c>
      <c r="C952" s="1">
        <v>44826</v>
      </c>
      <c r="D952" t="s">
        <v>31</v>
      </c>
      <c r="E952">
        <v>1</v>
      </c>
      <c r="F952" s="3" t="s">
        <v>13</v>
      </c>
      <c r="G952" s="3" t="s">
        <v>10</v>
      </c>
      <c r="H952" s="3" t="str">
        <f>IF(cf_cl[[#This Row],[satisfaction_score]]&gt;=4,"Happy",IF(cf_cl[[#This Row],[satisfaction_score]]=3,"Neutral","Negative"))</f>
        <v>Negative</v>
      </c>
      <c r="I952" s="3" t="str">
        <f>IF(cf_cl[[#This Row],[satisfaction_score]]&lt;=2,"Low",IF(cf_cl[[#This Row],[satisfaction_score]]=3,"Medium","High"))</f>
        <v>Low</v>
      </c>
      <c r="J952">
        <f>YEAR(cf_cl[[#This Row],[date_submitted]])</f>
        <v>2022</v>
      </c>
      <c r="K952" s="3" t="str">
        <f>TEXT(cf_cl[[#This Row],[date_submitted]],"mmm")</f>
        <v>Sep</v>
      </c>
      <c r="L952" s="3" t="str">
        <f t="shared" si="42"/>
        <v>Q3</v>
      </c>
      <c r="M952" s="3" t="str">
        <f t="shared" si="43"/>
        <v>Thursday</v>
      </c>
      <c r="N952" s="3" t="str">
        <f t="shared" si="44"/>
        <v>Yes</v>
      </c>
      <c r="O952" s="3" t="str">
        <f>IF(COUNTIF($B:$B,B952)=1,"New Customer",
IF(COUNTIF($B:$B,B952)&lt;=3,"Returning Customer","Loyal Customer"))</f>
        <v>New Customer</v>
      </c>
      <c r="P952" s="3" t="str">
        <f>IF(cf_cl[[#This Row],[referred_claim]]="Yes","Referred","Not Referred")</f>
        <v>Referred</v>
      </c>
    </row>
    <row r="953" spans="1:16" x14ac:dyDescent="0.3">
      <c r="A953" t="s">
        <v>1769</v>
      </c>
      <c r="B953" t="s">
        <v>1521</v>
      </c>
      <c r="C953" s="1">
        <v>44086</v>
      </c>
      <c r="D953" t="s">
        <v>16</v>
      </c>
      <c r="E953">
        <v>4</v>
      </c>
      <c r="F953" s="3" t="s">
        <v>10</v>
      </c>
      <c r="G953" s="3" t="s">
        <v>13</v>
      </c>
      <c r="H953" s="3" t="str">
        <f>IF(cf_cl[[#This Row],[satisfaction_score]]&gt;=4,"Happy",IF(cf_cl[[#This Row],[satisfaction_score]]=3,"Neutral","Negative"))</f>
        <v>Happy</v>
      </c>
      <c r="I953" s="3" t="str">
        <f>IF(cf_cl[[#This Row],[satisfaction_score]]&lt;=2,"Low",IF(cf_cl[[#This Row],[satisfaction_score]]=3,"Medium","High"))</f>
        <v>High</v>
      </c>
      <c r="J953">
        <f>YEAR(cf_cl[[#This Row],[date_submitted]])</f>
        <v>2020</v>
      </c>
      <c r="K953" s="3" t="str">
        <f>TEXT(cf_cl[[#This Row],[date_submitted]],"mmm")</f>
        <v>Sep</v>
      </c>
      <c r="L953" s="3" t="str">
        <f t="shared" si="42"/>
        <v>Q3</v>
      </c>
      <c r="M953" s="3" t="str">
        <f t="shared" si="43"/>
        <v>Saturday</v>
      </c>
      <c r="N953" s="3" t="str">
        <f t="shared" si="44"/>
        <v>No</v>
      </c>
      <c r="O953" s="3" t="str">
        <f>IF(COUNTIF($B:$B,B953)=1,"New Customer",
IF(COUNTIF($B:$B,B953)&lt;=3,"Returning Customer","Loyal Customer"))</f>
        <v>Returning Customer</v>
      </c>
      <c r="P953" s="3" t="str">
        <f>IF(cf_cl[[#This Row],[referred_claim]]="Yes","Referred","Not Referred")</f>
        <v>Not Referred</v>
      </c>
    </row>
    <row r="954" spans="1:16" x14ac:dyDescent="0.3">
      <c r="A954" t="s">
        <v>1770</v>
      </c>
      <c r="B954" t="s">
        <v>1771</v>
      </c>
      <c r="C954" s="1">
        <v>44929</v>
      </c>
      <c r="D954" t="s">
        <v>9</v>
      </c>
      <c r="E954">
        <v>3</v>
      </c>
      <c r="F954" s="3" t="s">
        <v>10</v>
      </c>
      <c r="G954" s="3" t="s">
        <v>10</v>
      </c>
      <c r="H954" s="3" t="str">
        <f>IF(cf_cl[[#This Row],[satisfaction_score]]&gt;=4,"Happy",IF(cf_cl[[#This Row],[satisfaction_score]]=3,"Neutral","Negative"))</f>
        <v>Neutral</v>
      </c>
      <c r="I954" s="3" t="str">
        <f>IF(cf_cl[[#This Row],[satisfaction_score]]&lt;=2,"Low",IF(cf_cl[[#This Row],[satisfaction_score]]=3,"Medium","High"))</f>
        <v>Medium</v>
      </c>
      <c r="J954">
        <f>YEAR(cf_cl[[#This Row],[date_submitted]])</f>
        <v>2023</v>
      </c>
      <c r="K954" s="3" t="str">
        <f>TEXT(cf_cl[[#This Row],[date_submitted]],"mmm")</f>
        <v>Jan</v>
      </c>
      <c r="L954" s="3" t="str">
        <f t="shared" si="42"/>
        <v>Q1</v>
      </c>
      <c r="M954" s="3" t="str">
        <f t="shared" si="43"/>
        <v>Tuesday</v>
      </c>
      <c r="N954" s="3" t="str">
        <f t="shared" si="44"/>
        <v>No</v>
      </c>
      <c r="O954" s="3" t="str">
        <f>IF(COUNTIF($B:$B,B954)=1,"New Customer",
IF(COUNTIF($B:$B,B954)&lt;=3,"Returning Customer","Loyal Customer"))</f>
        <v>New Customer</v>
      </c>
      <c r="P954" s="3" t="str">
        <f>IF(cf_cl[[#This Row],[referred_claim]]="Yes","Referred","Not Referred")</f>
        <v>Referred</v>
      </c>
    </row>
    <row r="955" spans="1:16" x14ac:dyDescent="0.3">
      <c r="A955" t="s">
        <v>1772</v>
      </c>
      <c r="B955" t="s">
        <v>1773</v>
      </c>
      <c r="C955" s="1">
        <v>44036</v>
      </c>
      <c r="D955" t="s">
        <v>9</v>
      </c>
      <c r="E955">
        <v>3</v>
      </c>
      <c r="F955" s="3" t="s">
        <v>13</v>
      </c>
      <c r="G955" s="3" t="s">
        <v>13</v>
      </c>
      <c r="H955" s="3" t="str">
        <f>IF(cf_cl[[#This Row],[satisfaction_score]]&gt;=4,"Happy",IF(cf_cl[[#This Row],[satisfaction_score]]=3,"Neutral","Negative"))</f>
        <v>Neutral</v>
      </c>
      <c r="I955" s="3" t="str">
        <f>IF(cf_cl[[#This Row],[satisfaction_score]]&lt;=2,"Low",IF(cf_cl[[#This Row],[satisfaction_score]]=3,"Medium","High"))</f>
        <v>Medium</v>
      </c>
      <c r="J955">
        <f>YEAR(cf_cl[[#This Row],[date_submitted]])</f>
        <v>2020</v>
      </c>
      <c r="K955" s="3" t="str">
        <f>TEXT(cf_cl[[#This Row],[date_submitted]],"mmm")</f>
        <v>Jul</v>
      </c>
      <c r="L955" s="3" t="str">
        <f t="shared" si="42"/>
        <v>Q3</v>
      </c>
      <c r="M955" s="3" t="str">
        <f t="shared" si="43"/>
        <v>Friday</v>
      </c>
      <c r="N955" s="3" t="str">
        <f t="shared" si="44"/>
        <v>No</v>
      </c>
      <c r="O955" s="3" t="str">
        <f>IF(COUNTIF($B:$B,B955)=1,"New Customer",
IF(COUNTIF($B:$B,B955)&lt;=3,"Returning Customer","Loyal Customer"))</f>
        <v>Returning Customer</v>
      </c>
      <c r="P955" s="3" t="str">
        <f>IF(cf_cl[[#This Row],[referred_claim]]="Yes","Referred","Not Referred")</f>
        <v>Not Referred</v>
      </c>
    </row>
    <row r="956" spans="1:16" x14ac:dyDescent="0.3">
      <c r="A956" t="s">
        <v>1774</v>
      </c>
      <c r="B956" t="s">
        <v>1775</v>
      </c>
      <c r="C956" s="1">
        <v>44715</v>
      </c>
      <c r="D956" t="s">
        <v>16</v>
      </c>
      <c r="E956">
        <v>5</v>
      </c>
      <c r="F956" s="3" t="s">
        <v>10</v>
      </c>
      <c r="G956" s="3" t="s">
        <v>10</v>
      </c>
      <c r="H956" s="3" t="str">
        <f>IF(cf_cl[[#This Row],[satisfaction_score]]&gt;=4,"Happy",IF(cf_cl[[#This Row],[satisfaction_score]]=3,"Neutral","Negative"))</f>
        <v>Happy</v>
      </c>
      <c r="I956" s="3" t="str">
        <f>IF(cf_cl[[#This Row],[satisfaction_score]]&lt;=2,"Low",IF(cf_cl[[#This Row],[satisfaction_score]]=3,"Medium","High"))</f>
        <v>High</v>
      </c>
      <c r="J956">
        <f>YEAR(cf_cl[[#This Row],[date_submitted]])</f>
        <v>2022</v>
      </c>
      <c r="K956" s="3" t="str">
        <f>TEXT(cf_cl[[#This Row],[date_submitted]],"mmm")</f>
        <v>Jun</v>
      </c>
      <c r="L956" s="3" t="str">
        <f t="shared" si="42"/>
        <v>Q2</v>
      </c>
      <c r="M956" s="3" t="str">
        <f t="shared" si="43"/>
        <v>Friday</v>
      </c>
      <c r="N956" s="3" t="str">
        <f t="shared" si="44"/>
        <v>No</v>
      </c>
      <c r="O956" s="3" t="str">
        <f>IF(COUNTIF($B:$B,B956)=1,"New Customer",
IF(COUNTIF($B:$B,B956)&lt;=3,"Returning Customer","Loyal Customer"))</f>
        <v>New Customer</v>
      </c>
      <c r="P956" s="3" t="str">
        <f>IF(cf_cl[[#This Row],[referred_claim]]="Yes","Referred","Not Referred")</f>
        <v>Referred</v>
      </c>
    </row>
    <row r="957" spans="1:16" x14ac:dyDescent="0.3">
      <c r="A957" t="s">
        <v>1776</v>
      </c>
      <c r="B957" t="s">
        <v>1438</v>
      </c>
      <c r="C957" s="1">
        <v>44428</v>
      </c>
      <c r="D957" t="s">
        <v>28</v>
      </c>
      <c r="E957">
        <v>5</v>
      </c>
      <c r="F957" s="3" t="s">
        <v>13</v>
      </c>
      <c r="G957" s="3" t="s">
        <v>10</v>
      </c>
      <c r="H957" s="3" t="str">
        <f>IF(cf_cl[[#This Row],[satisfaction_score]]&gt;=4,"Happy",IF(cf_cl[[#This Row],[satisfaction_score]]=3,"Neutral","Negative"))</f>
        <v>Happy</v>
      </c>
      <c r="I957" s="3" t="str">
        <f>IF(cf_cl[[#This Row],[satisfaction_score]]&lt;=2,"Low",IF(cf_cl[[#This Row],[satisfaction_score]]=3,"Medium","High"))</f>
        <v>High</v>
      </c>
      <c r="J957">
        <f>YEAR(cf_cl[[#This Row],[date_submitted]])</f>
        <v>2021</v>
      </c>
      <c r="K957" s="3" t="str">
        <f>TEXT(cf_cl[[#This Row],[date_submitted]],"mmm")</f>
        <v>Aug</v>
      </c>
      <c r="L957" s="3" t="str">
        <f t="shared" si="42"/>
        <v>Q3</v>
      </c>
      <c r="M957" s="3" t="str">
        <f t="shared" si="43"/>
        <v>Friday</v>
      </c>
      <c r="N957" s="3" t="str">
        <f t="shared" si="44"/>
        <v>No</v>
      </c>
      <c r="O957" s="3" t="str">
        <f>IF(COUNTIF($B:$B,B957)=1,"New Customer",
IF(COUNTIF($B:$B,B957)&lt;=3,"Returning Customer","Loyal Customer"))</f>
        <v>Returning Customer</v>
      </c>
      <c r="P957" s="3" t="str">
        <f>IF(cf_cl[[#This Row],[referred_claim]]="Yes","Referred","Not Referred")</f>
        <v>Referred</v>
      </c>
    </row>
    <row r="958" spans="1:16" x14ac:dyDescent="0.3">
      <c r="A958" t="s">
        <v>1777</v>
      </c>
      <c r="B958" t="s">
        <v>672</v>
      </c>
      <c r="C958" s="1">
        <v>44699</v>
      </c>
      <c r="D958" t="s">
        <v>22</v>
      </c>
      <c r="E958">
        <v>5</v>
      </c>
      <c r="F958" s="3" t="s">
        <v>13</v>
      </c>
      <c r="G958" s="3" t="s">
        <v>10</v>
      </c>
      <c r="H958" s="3" t="str">
        <f>IF(cf_cl[[#This Row],[satisfaction_score]]&gt;=4,"Happy",IF(cf_cl[[#This Row],[satisfaction_score]]=3,"Neutral","Negative"))</f>
        <v>Happy</v>
      </c>
      <c r="I958" s="3" t="str">
        <f>IF(cf_cl[[#This Row],[satisfaction_score]]&lt;=2,"Low",IF(cf_cl[[#This Row],[satisfaction_score]]=3,"Medium","High"))</f>
        <v>High</v>
      </c>
      <c r="J958">
        <f>YEAR(cf_cl[[#This Row],[date_submitted]])</f>
        <v>2022</v>
      </c>
      <c r="K958" s="3" t="str">
        <f>TEXT(cf_cl[[#This Row],[date_submitted]],"mmm")</f>
        <v>May</v>
      </c>
      <c r="L958" s="3" t="str">
        <f t="shared" si="42"/>
        <v>Q2</v>
      </c>
      <c r="M958" s="3" t="str">
        <f t="shared" si="43"/>
        <v>Wednesday</v>
      </c>
      <c r="N958" s="3" t="str">
        <f t="shared" si="44"/>
        <v>No</v>
      </c>
      <c r="O958" s="3" t="str">
        <f>IF(COUNTIF($B:$B,B958)=1,"New Customer",
IF(COUNTIF($B:$B,B958)&lt;=3,"Returning Customer","Loyal Customer"))</f>
        <v>Returning Customer</v>
      </c>
      <c r="P958" s="3" t="str">
        <f>IF(cf_cl[[#This Row],[referred_claim]]="Yes","Referred","Not Referred")</f>
        <v>Referred</v>
      </c>
    </row>
    <row r="959" spans="1:16" x14ac:dyDescent="0.3">
      <c r="A959" t="s">
        <v>1778</v>
      </c>
      <c r="B959" t="s">
        <v>1779</v>
      </c>
      <c r="C959" s="1">
        <v>44837</v>
      </c>
      <c r="D959" t="s">
        <v>68</v>
      </c>
      <c r="E959">
        <v>2</v>
      </c>
      <c r="F959" s="3" t="s">
        <v>13</v>
      </c>
      <c r="G959" s="3" t="s">
        <v>13</v>
      </c>
      <c r="H959" s="3" t="str">
        <f>IF(cf_cl[[#This Row],[satisfaction_score]]&gt;=4,"Happy",IF(cf_cl[[#This Row],[satisfaction_score]]=3,"Neutral","Negative"))</f>
        <v>Negative</v>
      </c>
      <c r="I959" s="3" t="str">
        <f>IF(cf_cl[[#This Row],[satisfaction_score]]&lt;=2,"Low",IF(cf_cl[[#This Row],[satisfaction_score]]=3,"Medium","High"))</f>
        <v>Low</v>
      </c>
      <c r="J959">
        <f>YEAR(cf_cl[[#This Row],[date_submitted]])</f>
        <v>2022</v>
      </c>
      <c r="K959" s="3" t="str">
        <f>TEXT(cf_cl[[#This Row],[date_submitted]],"mmm")</f>
        <v>Oct</v>
      </c>
      <c r="L959" s="3" t="str">
        <f t="shared" si="42"/>
        <v>Q4</v>
      </c>
      <c r="M959" s="3" t="str">
        <f t="shared" si="43"/>
        <v>Monday</v>
      </c>
      <c r="N959" s="3" t="str">
        <f t="shared" si="44"/>
        <v>Yes</v>
      </c>
      <c r="O959" s="3" t="str">
        <f>IF(COUNTIF($B:$B,B959)=1,"New Customer",
IF(COUNTIF($B:$B,B959)&lt;=3,"Returning Customer","Loyal Customer"))</f>
        <v>New Customer</v>
      </c>
      <c r="P959" s="3" t="str">
        <f>IF(cf_cl[[#This Row],[referred_claim]]="Yes","Referred","Not Referred")</f>
        <v>Not Referred</v>
      </c>
    </row>
    <row r="960" spans="1:16" x14ac:dyDescent="0.3">
      <c r="A960" t="s">
        <v>1780</v>
      </c>
      <c r="B960" t="s">
        <v>182</v>
      </c>
      <c r="C960" s="1">
        <v>44605</v>
      </c>
      <c r="D960" t="s">
        <v>19</v>
      </c>
      <c r="E960">
        <v>3</v>
      </c>
      <c r="F960" s="3" t="s">
        <v>13</v>
      </c>
      <c r="G960" s="3" t="s">
        <v>13</v>
      </c>
      <c r="H960" s="3" t="str">
        <f>IF(cf_cl[[#This Row],[satisfaction_score]]&gt;=4,"Happy",IF(cf_cl[[#This Row],[satisfaction_score]]=3,"Neutral","Negative"))</f>
        <v>Neutral</v>
      </c>
      <c r="I960" s="3" t="str">
        <f>IF(cf_cl[[#This Row],[satisfaction_score]]&lt;=2,"Low",IF(cf_cl[[#This Row],[satisfaction_score]]=3,"Medium","High"))</f>
        <v>Medium</v>
      </c>
      <c r="J960">
        <f>YEAR(cf_cl[[#This Row],[date_submitted]])</f>
        <v>2022</v>
      </c>
      <c r="K960" s="3" t="str">
        <f>TEXT(cf_cl[[#This Row],[date_submitted]],"mmm")</f>
        <v>Feb</v>
      </c>
      <c r="L960" s="3" t="str">
        <f t="shared" si="42"/>
        <v>Q1</v>
      </c>
      <c r="M960" s="3" t="str">
        <f t="shared" si="43"/>
        <v>Sunday</v>
      </c>
      <c r="N960" s="3" t="str">
        <f t="shared" si="44"/>
        <v>No</v>
      </c>
      <c r="O960" s="3" t="str">
        <f>IF(COUNTIF($B:$B,B960)=1,"New Customer",
IF(COUNTIF($B:$B,B960)&lt;=3,"Returning Customer","Loyal Customer"))</f>
        <v>Returning Customer</v>
      </c>
      <c r="P960" s="3" t="str">
        <f>IF(cf_cl[[#This Row],[referred_claim]]="Yes","Referred","Not Referred")</f>
        <v>Not Referred</v>
      </c>
    </row>
    <row r="961" spans="1:16" x14ac:dyDescent="0.3">
      <c r="A961" t="s">
        <v>1781</v>
      </c>
      <c r="B961" t="s">
        <v>1782</v>
      </c>
      <c r="C961" s="1">
        <v>44717</v>
      </c>
      <c r="D961" t="s">
        <v>28</v>
      </c>
      <c r="E961">
        <v>4</v>
      </c>
      <c r="F961" s="3" t="s">
        <v>13</v>
      </c>
      <c r="G961" s="3" t="s">
        <v>10</v>
      </c>
      <c r="H961" s="3" t="str">
        <f>IF(cf_cl[[#This Row],[satisfaction_score]]&gt;=4,"Happy",IF(cf_cl[[#This Row],[satisfaction_score]]=3,"Neutral","Negative"))</f>
        <v>Happy</v>
      </c>
      <c r="I961" s="3" t="str">
        <f>IF(cf_cl[[#This Row],[satisfaction_score]]&lt;=2,"Low",IF(cf_cl[[#This Row],[satisfaction_score]]=3,"Medium","High"))</f>
        <v>High</v>
      </c>
      <c r="J961">
        <f>YEAR(cf_cl[[#This Row],[date_submitted]])</f>
        <v>2022</v>
      </c>
      <c r="K961" s="3" t="str">
        <f>TEXT(cf_cl[[#This Row],[date_submitted]],"mmm")</f>
        <v>Jun</v>
      </c>
      <c r="L961" s="3" t="str">
        <f t="shared" si="42"/>
        <v>Q2</v>
      </c>
      <c r="M961" s="3" t="str">
        <f t="shared" si="43"/>
        <v>Sunday</v>
      </c>
      <c r="N961" s="3" t="str">
        <f t="shared" si="44"/>
        <v>No</v>
      </c>
      <c r="O961" s="3" t="str">
        <f>IF(COUNTIF($B:$B,B961)=1,"New Customer",
IF(COUNTIF($B:$B,B961)&lt;=3,"Returning Customer","Loyal Customer"))</f>
        <v>New Customer</v>
      </c>
      <c r="P961" s="3" t="str">
        <f>IF(cf_cl[[#This Row],[referred_claim]]="Yes","Referred","Not Referred")</f>
        <v>Referred</v>
      </c>
    </row>
    <row r="962" spans="1:16" x14ac:dyDescent="0.3">
      <c r="A962" t="s">
        <v>1783</v>
      </c>
      <c r="B962" t="s">
        <v>790</v>
      </c>
      <c r="C962" s="1">
        <v>44799</v>
      </c>
      <c r="D962" t="s">
        <v>68</v>
      </c>
      <c r="E962">
        <v>1</v>
      </c>
      <c r="F962" s="3" t="s">
        <v>13</v>
      </c>
      <c r="G962" s="3" t="s">
        <v>13</v>
      </c>
      <c r="H962" s="3" t="str">
        <f>IF(cf_cl[[#This Row],[satisfaction_score]]&gt;=4,"Happy",IF(cf_cl[[#This Row],[satisfaction_score]]=3,"Neutral","Negative"))</f>
        <v>Negative</v>
      </c>
      <c r="I962" s="3" t="str">
        <f>IF(cf_cl[[#This Row],[satisfaction_score]]&lt;=2,"Low",IF(cf_cl[[#This Row],[satisfaction_score]]=3,"Medium","High"))</f>
        <v>Low</v>
      </c>
      <c r="J962">
        <f>YEAR(cf_cl[[#This Row],[date_submitted]])</f>
        <v>2022</v>
      </c>
      <c r="K962" s="3" t="str">
        <f>TEXT(cf_cl[[#This Row],[date_submitted]],"mmm")</f>
        <v>Aug</v>
      </c>
      <c r="L962" s="3" t="str">
        <f t="shared" ref="L962:L1001" si="45">"Q"&amp;ROUNDUP(MONTH(C962)/3,0)</f>
        <v>Q3</v>
      </c>
      <c r="M962" s="3" t="str">
        <f t="shared" ref="M962:M1001" si="46">TEXT(C962,"dddd")</f>
        <v>Friday</v>
      </c>
      <c r="N962" s="3" t="str">
        <f t="shared" ref="N962:N1001" si="47">IF(E962&lt;=2,"Yes","No")</f>
        <v>Yes</v>
      </c>
      <c r="O962" s="3" t="str">
        <f>IF(COUNTIF($B:$B,B962)=1,"New Customer",
IF(COUNTIF($B:$B,B962)&lt;=3,"Returning Customer","Loyal Customer"))</f>
        <v>Returning Customer</v>
      </c>
      <c r="P962" s="3" t="str">
        <f>IF(cf_cl[[#This Row],[referred_claim]]="Yes","Referred","Not Referred")</f>
        <v>Not Referred</v>
      </c>
    </row>
    <row r="963" spans="1:16" x14ac:dyDescent="0.3">
      <c r="A963" t="s">
        <v>1784</v>
      </c>
      <c r="B963" t="s">
        <v>1785</v>
      </c>
      <c r="C963" s="1">
        <v>44946</v>
      </c>
      <c r="D963" t="s">
        <v>28</v>
      </c>
      <c r="E963">
        <v>5</v>
      </c>
      <c r="F963" s="3" t="s">
        <v>10</v>
      </c>
      <c r="G963" s="3" t="s">
        <v>13</v>
      </c>
      <c r="H963" s="3" t="str">
        <f>IF(cf_cl[[#This Row],[satisfaction_score]]&gt;=4,"Happy",IF(cf_cl[[#This Row],[satisfaction_score]]=3,"Neutral","Negative"))</f>
        <v>Happy</v>
      </c>
      <c r="I963" s="3" t="str">
        <f>IF(cf_cl[[#This Row],[satisfaction_score]]&lt;=2,"Low",IF(cf_cl[[#This Row],[satisfaction_score]]=3,"Medium","High"))</f>
        <v>High</v>
      </c>
      <c r="J963">
        <f>YEAR(cf_cl[[#This Row],[date_submitted]])</f>
        <v>2023</v>
      </c>
      <c r="K963" s="3" t="str">
        <f>TEXT(cf_cl[[#This Row],[date_submitted]],"mmm")</f>
        <v>Jan</v>
      </c>
      <c r="L963" s="3" t="str">
        <f t="shared" si="45"/>
        <v>Q1</v>
      </c>
      <c r="M963" s="3" t="str">
        <f t="shared" si="46"/>
        <v>Friday</v>
      </c>
      <c r="N963" s="3" t="str">
        <f t="shared" si="47"/>
        <v>No</v>
      </c>
      <c r="O963" s="3" t="str">
        <f>IF(COUNTIF($B:$B,B963)=1,"New Customer",
IF(COUNTIF($B:$B,B963)&lt;=3,"Returning Customer","Loyal Customer"))</f>
        <v>New Customer</v>
      </c>
      <c r="P963" s="3" t="str">
        <f>IF(cf_cl[[#This Row],[referred_claim]]="Yes","Referred","Not Referred")</f>
        <v>Not Referred</v>
      </c>
    </row>
    <row r="964" spans="1:16" x14ac:dyDescent="0.3">
      <c r="A964" t="s">
        <v>1786</v>
      </c>
      <c r="B964" t="s">
        <v>1787</v>
      </c>
      <c r="C964" s="1">
        <v>44789</v>
      </c>
      <c r="D964" t="s">
        <v>16</v>
      </c>
      <c r="E964">
        <v>5</v>
      </c>
      <c r="F964" s="3" t="s">
        <v>13</v>
      </c>
      <c r="G964" s="3" t="s">
        <v>10</v>
      </c>
      <c r="H964" s="3" t="str">
        <f>IF(cf_cl[[#This Row],[satisfaction_score]]&gt;=4,"Happy",IF(cf_cl[[#This Row],[satisfaction_score]]=3,"Neutral","Negative"))</f>
        <v>Happy</v>
      </c>
      <c r="I964" s="3" t="str">
        <f>IF(cf_cl[[#This Row],[satisfaction_score]]&lt;=2,"Low",IF(cf_cl[[#This Row],[satisfaction_score]]=3,"Medium","High"))</f>
        <v>High</v>
      </c>
      <c r="J964">
        <f>YEAR(cf_cl[[#This Row],[date_submitted]])</f>
        <v>2022</v>
      </c>
      <c r="K964" s="3" t="str">
        <f>TEXT(cf_cl[[#This Row],[date_submitted]],"mmm")</f>
        <v>Aug</v>
      </c>
      <c r="L964" s="3" t="str">
        <f t="shared" si="45"/>
        <v>Q3</v>
      </c>
      <c r="M964" s="3" t="str">
        <f t="shared" si="46"/>
        <v>Tuesday</v>
      </c>
      <c r="N964" s="3" t="str">
        <f t="shared" si="47"/>
        <v>No</v>
      </c>
      <c r="O964" s="3" t="str">
        <f>IF(COUNTIF($B:$B,B964)=1,"New Customer",
IF(COUNTIF($B:$B,B964)&lt;=3,"Returning Customer","Loyal Customer"))</f>
        <v>New Customer</v>
      </c>
      <c r="P964" s="3" t="str">
        <f>IF(cf_cl[[#This Row],[referred_claim]]="Yes","Referred","Not Referred")</f>
        <v>Referred</v>
      </c>
    </row>
    <row r="965" spans="1:16" x14ac:dyDescent="0.3">
      <c r="A965" t="s">
        <v>1788</v>
      </c>
      <c r="B965" t="s">
        <v>564</v>
      </c>
      <c r="C965" s="1">
        <v>44757</v>
      </c>
      <c r="D965" t="s">
        <v>16</v>
      </c>
      <c r="E965">
        <v>5</v>
      </c>
      <c r="F965" s="3" t="s">
        <v>10</v>
      </c>
      <c r="G965" s="3" t="s">
        <v>10</v>
      </c>
      <c r="H965" s="3" t="str">
        <f>IF(cf_cl[[#This Row],[satisfaction_score]]&gt;=4,"Happy",IF(cf_cl[[#This Row],[satisfaction_score]]=3,"Neutral","Negative"))</f>
        <v>Happy</v>
      </c>
      <c r="I965" s="3" t="str">
        <f>IF(cf_cl[[#This Row],[satisfaction_score]]&lt;=2,"Low",IF(cf_cl[[#This Row],[satisfaction_score]]=3,"Medium","High"))</f>
        <v>High</v>
      </c>
      <c r="J965">
        <f>YEAR(cf_cl[[#This Row],[date_submitted]])</f>
        <v>2022</v>
      </c>
      <c r="K965" s="3" t="str">
        <f>TEXT(cf_cl[[#This Row],[date_submitted]],"mmm")</f>
        <v>Jul</v>
      </c>
      <c r="L965" s="3" t="str">
        <f t="shared" si="45"/>
        <v>Q3</v>
      </c>
      <c r="M965" s="3" t="str">
        <f t="shared" si="46"/>
        <v>Friday</v>
      </c>
      <c r="N965" s="3" t="str">
        <f t="shared" si="47"/>
        <v>No</v>
      </c>
      <c r="O965" s="3" t="str">
        <f>IF(COUNTIF($B:$B,B965)=1,"New Customer",
IF(COUNTIF($B:$B,B965)&lt;=3,"Returning Customer","Loyal Customer"))</f>
        <v>Returning Customer</v>
      </c>
      <c r="P965" s="3" t="str">
        <f>IF(cf_cl[[#This Row],[referred_claim]]="Yes","Referred","Not Referred")</f>
        <v>Referred</v>
      </c>
    </row>
    <row r="966" spans="1:16" x14ac:dyDescent="0.3">
      <c r="A966" t="s">
        <v>1789</v>
      </c>
      <c r="B966" t="s">
        <v>1790</v>
      </c>
      <c r="C966" s="1">
        <v>44223</v>
      </c>
      <c r="D966" t="s">
        <v>25</v>
      </c>
      <c r="E966">
        <v>4</v>
      </c>
      <c r="F966" s="3" t="s">
        <v>13</v>
      </c>
      <c r="G966" s="3" t="s">
        <v>13</v>
      </c>
      <c r="H966" s="3" t="str">
        <f>IF(cf_cl[[#This Row],[satisfaction_score]]&gt;=4,"Happy",IF(cf_cl[[#This Row],[satisfaction_score]]=3,"Neutral","Negative"))</f>
        <v>Happy</v>
      </c>
      <c r="I966" s="3" t="str">
        <f>IF(cf_cl[[#This Row],[satisfaction_score]]&lt;=2,"Low",IF(cf_cl[[#This Row],[satisfaction_score]]=3,"Medium","High"))</f>
        <v>High</v>
      </c>
      <c r="J966">
        <f>YEAR(cf_cl[[#This Row],[date_submitted]])</f>
        <v>2021</v>
      </c>
      <c r="K966" s="3" t="str">
        <f>TEXT(cf_cl[[#This Row],[date_submitted]],"mmm")</f>
        <v>Jan</v>
      </c>
      <c r="L966" s="3" t="str">
        <f t="shared" si="45"/>
        <v>Q1</v>
      </c>
      <c r="M966" s="3" t="str">
        <f t="shared" si="46"/>
        <v>Wednesday</v>
      </c>
      <c r="N966" s="3" t="str">
        <f t="shared" si="47"/>
        <v>No</v>
      </c>
      <c r="O966" s="3" t="str">
        <f>IF(COUNTIF($B:$B,B966)=1,"New Customer",
IF(COUNTIF($B:$B,B966)&lt;=3,"Returning Customer","Loyal Customer"))</f>
        <v>New Customer</v>
      </c>
      <c r="P966" s="3" t="str">
        <f>IF(cf_cl[[#This Row],[referred_claim]]="Yes","Referred","Not Referred")</f>
        <v>Not Referred</v>
      </c>
    </row>
    <row r="967" spans="1:16" x14ac:dyDescent="0.3">
      <c r="A967" t="s">
        <v>1791</v>
      </c>
      <c r="B967" t="s">
        <v>1792</v>
      </c>
      <c r="C967" s="1">
        <v>44572</v>
      </c>
      <c r="D967" t="s">
        <v>37</v>
      </c>
      <c r="E967">
        <v>3</v>
      </c>
      <c r="F967" s="3" t="s">
        <v>10</v>
      </c>
      <c r="G967" s="3" t="s">
        <v>10</v>
      </c>
      <c r="H967" s="3" t="str">
        <f>IF(cf_cl[[#This Row],[satisfaction_score]]&gt;=4,"Happy",IF(cf_cl[[#This Row],[satisfaction_score]]=3,"Neutral","Negative"))</f>
        <v>Neutral</v>
      </c>
      <c r="I967" s="3" t="str">
        <f>IF(cf_cl[[#This Row],[satisfaction_score]]&lt;=2,"Low",IF(cf_cl[[#This Row],[satisfaction_score]]=3,"Medium","High"))</f>
        <v>Medium</v>
      </c>
      <c r="J967">
        <f>YEAR(cf_cl[[#This Row],[date_submitted]])</f>
        <v>2022</v>
      </c>
      <c r="K967" s="3" t="str">
        <f>TEXT(cf_cl[[#This Row],[date_submitted]],"mmm")</f>
        <v>Jan</v>
      </c>
      <c r="L967" s="3" t="str">
        <f t="shared" si="45"/>
        <v>Q1</v>
      </c>
      <c r="M967" s="3" t="str">
        <f t="shared" si="46"/>
        <v>Tuesday</v>
      </c>
      <c r="N967" s="3" t="str">
        <f t="shared" si="47"/>
        <v>No</v>
      </c>
      <c r="O967" s="3" t="str">
        <f>IF(COUNTIF($B:$B,B967)=1,"New Customer",
IF(COUNTIF($B:$B,B967)&lt;=3,"Returning Customer","Loyal Customer"))</f>
        <v>New Customer</v>
      </c>
      <c r="P967" s="3" t="str">
        <f>IF(cf_cl[[#This Row],[referred_claim]]="Yes","Referred","Not Referred")</f>
        <v>Referred</v>
      </c>
    </row>
    <row r="968" spans="1:16" x14ac:dyDescent="0.3">
      <c r="A968" t="s">
        <v>1793</v>
      </c>
      <c r="B968" t="s">
        <v>1794</v>
      </c>
      <c r="C968" s="1">
        <v>44095</v>
      </c>
      <c r="D968" t="s">
        <v>9</v>
      </c>
      <c r="E968">
        <v>2</v>
      </c>
      <c r="F968" s="3" t="s">
        <v>13</v>
      </c>
      <c r="G968" s="3" t="s">
        <v>10</v>
      </c>
      <c r="H968" s="3" t="str">
        <f>IF(cf_cl[[#This Row],[satisfaction_score]]&gt;=4,"Happy",IF(cf_cl[[#This Row],[satisfaction_score]]=3,"Neutral","Negative"))</f>
        <v>Negative</v>
      </c>
      <c r="I968" s="3" t="str">
        <f>IF(cf_cl[[#This Row],[satisfaction_score]]&lt;=2,"Low",IF(cf_cl[[#This Row],[satisfaction_score]]=3,"Medium","High"))</f>
        <v>Low</v>
      </c>
      <c r="J968">
        <f>YEAR(cf_cl[[#This Row],[date_submitted]])</f>
        <v>2020</v>
      </c>
      <c r="K968" s="3" t="str">
        <f>TEXT(cf_cl[[#This Row],[date_submitted]],"mmm")</f>
        <v>Sep</v>
      </c>
      <c r="L968" s="3" t="str">
        <f t="shared" si="45"/>
        <v>Q3</v>
      </c>
      <c r="M968" s="3" t="str">
        <f t="shared" si="46"/>
        <v>Monday</v>
      </c>
      <c r="N968" s="3" t="str">
        <f t="shared" si="47"/>
        <v>Yes</v>
      </c>
      <c r="O968" s="3" t="str">
        <f>IF(COUNTIF($B:$B,B968)=1,"New Customer",
IF(COUNTIF($B:$B,B968)&lt;=3,"Returning Customer","Loyal Customer"))</f>
        <v>New Customer</v>
      </c>
      <c r="P968" s="3" t="str">
        <f>IF(cf_cl[[#This Row],[referred_claim]]="Yes","Referred","Not Referred")</f>
        <v>Referred</v>
      </c>
    </row>
    <row r="969" spans="1:16" x14ac:dyDescent="0.3">
      <c r="A969" t="s">
        <v>1795</v>
      </c>
      <c r="B969" t="s">
        <v>1796</v>
      </c>
      <c r="C969" s="1">
        <v>44690</v>
      </c>
      <c r="D969" t="s">
        <v>25</v>
      </c>
      <c r="E969">
        <v>5</v>
      </c>
      <c r="F969" s="3" t="s">
        <v>13</v>
      </c>
      <c r="G969" s="3" t="s">
        <v>10</v>
      </c>
      <c r="H969" s="3" t="str">
        <f>IF(cf_cl[[#This Row],[satisfaction_score]]&gt;=4,"Happy",IF(cf_cl[[#This Row],[satisfaction_score]]=3,"Neutral","Negative"))</f>
        <v>Happy</v>
      </c>
      <c r="I969" s="3" t="str">
        <f>IF(cf_cl[[#This Row],[satisfaction_score]]&lt;=2,"Low",IF(cf_cl[[#This Row],[satisfaction_score]]=3,"Medium","High"))</f>
        <v>High</v>
      </c>
      <c r="J969">
        <f>YEAR(cf_cl[[#This Row],[date_submitted]])</f>
        <v>2022</v>
      </c>
      <c r="K969" s="3" t="str">
        <f>TEXT(cf_cl[[#This Row],[date_submitted]],"mmm")</f>
        <v>May</v>
      </c>
      <c r="L969" s="3" t="str">
        <f t="shared" si="45"/>
        <v>Q2</v>
      </c>
      <c r="M969" s="3" t="str">
        <f t="shared" si="46"/>
        <v>Monday</v>
      </c>
      <c r="N969" s="3" t="str">
        <f t="shared" si="47"/>
        <v>No</v>
      </c>
      <c r="O969" s="3" t="str">
        <f>IF(COUNTIF($B:$B,B969)=1,"New Customer",
IF(COUNTIF($B:$B,B969)&lt;=3,"Returning Customer","Loyal Customer"))</f>
        <v>New Customer</v>
      </c>
      <c r="P969" s="3" t="str">
        <f>IF(cf_cl[[#This Row],[referred_claim]]="Yes","Referred","Not Referred")</f>
        <v>Referred</v>
      </c>
    </row>
    <row r="970" spans="1:16" x14ac:dyDescent="0.3">
      <c r="A970" t="s">
        <v>1797</v>
      </c>
      <c r="B970" t="s">
        <v>293</v>
      </c>
      <c r="C970" s="1">
        <v>43967</v>
      </c>
      <c r="D970" t="s">
        <v>31</v>
      </c>
      <c r="E970">
        <v>1</v>
      </c>
      <c r="F970" s="3" t="s">
        <v>13</v>
      </c>
      <c r="G970" s="3" t="s">
        <v>10</v>
      </c>
      <c r="H970" s="3" t="str">
        <f>IF(cf_cl[[#This Row],[satisfaction_score]]&gt;=4,"Happy",IF(cf_cl[[#This Row],[satisfaction_score]]=3,"Neutral","Negative"))</f>
        <v>Negative</v>
      </c>
      <c r="I970" s="3" t="str">
        <f>IF(cf_cl[[#This Row],[satisfaction_score]]&lt;=2,"Low",IF(cf_cl[[#This Row],[satisfaction_score]]=3,"Medium","High"))</f>
        <v>Low</v>
      </c>
      <c r="J970">
        <f>YEAR(cf_cl[[#This Row],[date_submitted]])</f>
        <v>2020</v>
      </c>
      <c r="K970" s="3" t="str">
        <f>TEXT(cf_cl[[#This Row],[date_submitted]],"mmm")</f>
        <v>May</v>
      </c>
      <c r="L970" s="3" t="str">
        <f t="shared" si="45"/>
        <v>Q2</v>
      </c>
      <c r="M970" s="3" t="str">
        <f t="shared" si="46"/>
        <v>Saturday</v>
      </c>
      <c r="N970" s="3" t="str">
        <f t="shared" si="47"/>
        <v>Yes</v>
      </c>
      <c r="O970" s="3" t="str">
        <f>IF(COUNTIF($B:$B,B970)=1,"New Customer",
IF(COUNTIF($B:$B,B970)&lt;=3,"Returning Customer","Loyal Customer"))</f>
        <v>Loyal Customer</v>
      </c>
      <c r="P970" s="3" t="str">
        <f>IF(cf_cl[[#This Row],[referred_claim]]="Yes","Referred","Not Referred")</f>
        <v>Referred</v>
      </c>
    </row>
    <row r="971" spans="1:16" x14ac:dyDescent="0.3">
      <c r="A971" t="s">
        <v>1798</v>
      </c>
      <c r="B971" t="s">
        <v>1269</v>
      </c>
      <c r="C971" s="1">
        <v>44106</v>
      </c>
      <c r="D971" t="s">
        <v>31</v>
      </c>
      <c r="E971">
        <v>2</v>
      </c>
      <c r="F971" s="3" t="s">
        <v>13</v>
      </c>
      <c r="G971" s="3" t="s">
        <v>13</v>
      </c>
      <c r="H971" s="3" t="str">
        <f>IF(cf_cl[[#This Row],[satisfaction_score]]&gt;=4,"Happy",IF(cf_cl[[#This Row],[satisfaction_score]]=3,"Neutral","Negative"))</f>
        <v>Negative</v>
      </c>
      <c r="I971" s="3" t="str">
        <f>IF(cf_cl[[#This Row],[satisfaction_score]]&lt;=2,"Low",IF(cf_cl[[#This Row],[satisfaction_score]]=3,"Medium","High"))</f>
        <v>Low</v>
      </c>
      <c r="J971">
        <f>YEAR(cf_cl[[#This Row],[date_submitted]])</f>
        <v>2020</v>
      </c>
      <c r="K971" s="3" t="str">
        <f>TEXT(cf_cl[[#This Row],[date_submitted]],"mmm")</f>
        <v>Oct</v>
      </c>
      <c r="L971" s="3" t="str">
        <f t="shared" si="45"/>
        <v>Q4</v>
      </c>
      <c r="M971" s="3" t="str">
        <f t="shared" si="46"/>
        <v>Friday</v>
      </c>
      <c r="N971" s="3" t="str">
        <f t="shared" si="47"/>
        <v>Yes</v>
      </c>
      <c r="O971" s="3" t="str">
        <f>IF(COUNTIF($B:$B,B971)=1,"New Customer",
IF(COUNTIF($B:$B,B971)&lt;=3,"Returning Customer","Loyal Customer"))</f>
        <v>Returning Customer</v>
      </c>
      <c r="P971" s="3" t="str">
        <f>IF(cf_cl[[#This Row],[referred_claim]]="Yes","Referred","Not Referred")</f>
        <v>Not Referred</v>
      </c>
    </row>
    <row r="972" spans="1:16" x14ac:dyDescent="0.3">
      <c r="A972" t="s">
        <v>1799</v>
      </c>
      <c r="B972" t="s">
        <v>1800</v>
      </c>
      <c r="C972" s="1">
        <v>44958</v>
      </c>
      <c r="D972" t="s">
        <v>83</v>
      </c>
      <c r="E972">
        <v>3</v>
      </c>
      <c r="F972" s="3" t="s">
        <v>10</v>
      </c>
      <c r="G972" s="3" t="s">
        <v>10</v>
      </c>
      <c r="H972" s="3" t="str">
        <f>IF(cf_cl[[#This Row],[satisfaction_score]]&gt;=4,"Happy",IF(cf_cl[[#This Row],[satisfaction_score]]=3,"Neutral","Negative"))</f>
        <v>Neutral</v>
      </c>
      <c r="I972" s="3" t="str">
        <f>IF(cf_cl[[#This Row],[satisfaction_score]]&lt;=2,"Low",IF(cf_cl[[#This Row],[satisfaction_score]]=3,"Medium","High"))</f>
        <v>Medium</v>
      </c>
      <c r="J972">
        <f>YEAR(cf_cl[[#This Row],[date_submitted]])</f>
        <v>2023</v>
      </c>
      <c r="K972" s="3" t="str">
        <f>TEXT(cf_cl[[#This Row],[date_submitted]],"mmm")</f>
        <v>Feb</v>
      </c>
      <c r="L972" s="3" t="str">
        <f t="shared" si="45"/>
        <v>Q1</v>
      </c>
      <c r="M972" s="3" t="str">
        <f t="shared" si="46"/>
        <v>Wednesday</v>
      </c>
      <c r="N972" s="3" t="str">
        <f t="shared" si="47"/>
        <v>No</v>
      </c>
      <c r="O972" s="3" t="str">
        <f>IF(COUNTIF($B:$B,B972)=1,"New Customer",
IF(COUNTIF($B:$B,B972)&lt;=3,"Returning Customer","Loyal Customer"))</f>
        <v>New Customer</v>
      </c>
      <c r="P972" s="3" t="str">
        <f>IF(cf_cl[[#This Row],[referred_claim]]="Yes","Referred","Not Referred")</f>
        <v>Referred</v>
      </c>
    </row>
    <row r="973" spans="1:16" x14ac:dyDescent="0.3">
      <c r="A973" t="s">
        <v>1801</v>
      </c>
      <c r="B973" t="s">
        <v>1802</v>
      </c>
      <c r="C973" s="1">
        <v>43931</v>
      </c>
      <c r="D973" t="s">
        <v>25</v>
      </c>
      <c r="E973">
        <v>4</v>
      </c>
      <c r="F973" s="3" t="s">
        <v>10</v>
      </c>
      <c r="G973" s="3" t="s">
        <v>10</v>
      </c>
      <c r="H973" s="3" t="str">
        <f>IF(cf_cl[[#This Row],[satisfaction_score]]&gt;=4,"Happy",IF(cf_cl[[#This Row],[satisfaction_score]]=3,"Neutral","Negative"))</f>
        <v>Happy</v>
      </c>
      <c r="I973" s="3" t="str">
        <f>IF(cf_cl[[#This Row],[satisfaction_score]]&lt;=2,"Low",IF(cf_cl[[#This Row],[satisfaction_score]]=3,"Medium","High"))</f>
        <v>High</v>
      </c>
      <c r="J973">
        <f>YEAR(cf_cl[[#This Row],[date_submitted]])</f>
        <v>2020</v>
      </c>
      <c r="K973" s="3" t="str">
        <f>TEXT(cf_cl[[#This Row],[date_submitted]],"mmm")</f>
        <v>Apr</v>
      </c>
      <c r="L973" s="3" t="str">
        <f t="shared" si="45"/>
        <v>Q2</v>
      </c>
      <c r="M973" s="3" t="str">
        <f t="shared" si="46"/>
        <v>Friday</v>
      </c>
      <c r="N973" s="3" t="str">
        <f t="shared" si="47"/>
        <v>No</v>
      </c>
      <c r="O973" s="3" t="str">
        <f>IF(COUNTIF($B:$B,B973)=1,"New Customer",
IF(COUNTIF($B:$B,B973)&lt;=3,"Returning Customer","Loyal Customer"))</f>
        <v>New Customer</v>
      </c>
      <c r="P973" s="3" t="str">
        <f>IF(cf_cl[[#This Row],[referred_claim]]="Yes","Referred","Not Referred")</f>
        <v>Referred</v>
      </c>
    </row>
    <row r="974" spans="1:16" x14ac:dyDescent="0.3">
      <c r="A974" t="s">
        <v>1803</v>
      </c>
      <c r="B974" t="s">
        <v>1804</v>
      </c>
      <c r="C974" s="1">
        <v>44242</v>
      </c>
      <c r="D974" t="s">
        <v>16</v>
      </c>
      <c r="E974">
        <v>4</v>
      </c>
      <c r="F974" s="3" t="s">
        <v>10</v>
      </c>
      <c r="G974" s="3" t="s">
        <v>13</v>
      </c>
      <c r="H974" s="3" t="str">
        <f>IF(cf_cl[[#This Row],[satisfaction_score]]&gt;=4,"Happy",IF(cf_cl[[#This Row],[satisfaction_score]]=3,"Neutral","Negative"))</f>
        <v>Happy</v>
      </c>
      <c r="I974" s="3" t="str">
        <f>IF(cf_cl[[#This Row],[satisfaction_score]]&lt;=2,"Low",IF(cf_cl[[#This Row],[satisfaction_score]]=3,"Medium","High"))</f>
        <v>High</v>
      </c>
      <c r="J974">
        <f>YEAR(cf_cl[[#This Row],[date_submitted]])</f>
        <v>2021</v>
      </c>
      <c r="K974" s="3" t="str">
        <f>TEXT(cf_cl[[#This Row],[date_submitted]],"mmm")</f>
        <v>Feb</v>
      </c>
      <c r="L974" s="3" t="str">
        <f t="shared" si="45"/>
        <v>Q1</v>
      </c>
      <c r="M974" s="3" t="str">
        <f t="shared" si="46"/>
        <v>Monday</v>
      </c>
      <c r="N974" s="3" t="str">
        <f t="shared" si="47"/>
        <v>No</v>
      </c>
      <c r="O974" s="3" t="str">
        <f>IF(COUNTIF($B:$B,B974)=1,"New Customer",
IF(COUNTIF($B:$B,B974)&lt;=3,"Returning Customer","Loyal Customer"))</f>
        <v>New Customer</v>
      </c>
      <c r="P974" s="3" t="str">
        <f>IF(cf_cl[[#This Row],[referred_claim]]="Yes","Referred","Not Referred")</f>
        <v>Not Referred</v>
      </c>
    </row>
    <row r="975" spans="1:16" x14ac:dyDescent="0.3">
      <c r="A975" t="s">
        <v>1805</v>
      </c>
      <c r="B975" t="s">
        <v>1806</v>
      </c>
      <c r="C975" s="1">
        <v>43867</v>
      </c>
      <c r="D975" t="s">
        <v>83</v>
      </c>
      <c r="E975">
        <v>3</v>
      </c>
      <c r="F975" s="3" t="s">
        <v>10</v>
      </c>
      <c r="G975" s="3" t="s">
        <v>10</v>
      </c>
      <c r="H975" s="3" t="str">
        <f>IF(cf_cl[[#This Row],[satisfaction_score]]&gt;=4,"Happy",IF(cf_cl[[#This Row],[satisfaction_score]]=3,"Neutral","Negative"))</f>
        <v>Neutral</v>
      </c>
      <c r="I975" s="3" t="str">
        <f>IF(cf_cl[[#This Row],[satisfaction_score]]&lt;=2,"Low",IF(cf_cl[[#This Row],[satisfaction_score]]=3,"Medium","High"))</f>
        <v>Medium</v>
      </c>
      <c r="J975">
        <f>YEAR(cf_cl[[#This Row],[date_submitted]])</f>
        <v>2020</v>
      </c>
      <c r="K975" s="3" t="str">
        <f>TEXT(cf_cl[[#This Row],[date_submitted]],"mmm")</f>
        <v>Feb</v>
      </c>
      <c r="L975" s="3" t="str">
        <f t="shared" si="45"/>
        <v>Q1</v>
      </c>
      <c r="M975" s="3" t="str">
        <f t="shared" si="46"/>
        <v>Thursday</v>
      </c>
      <c r="N975" s="3" t="str">
        <f t="shared" si="47"/>
        <v>No</v>
      </c>
      <c r="O975" s="3" t="str">
        <f>IF(COUNTIF($B:$B,B975)=1,"New Customer",
IF(COUNTIF($B:$B,B975)&lt;=3,"Returning Customer","Loyal Customer"))</f>
        <v>New Customer</v>
      </c>
      <c r="P975" s="3" t="str">
        <f>IF(cf_cl[[#This Row],[referred_claim]]="Yes","Referred","Not Referred")</f>
        <v>Referred</v>
      </c>
    </row>
    <row r="976" spans="1:16" x14ac:dyDescent="0.3">
      <c r="A976" t="s">
        <v>1807</v>
      </c>
      <c r="B976" t="s">
        <v>289</v>
      </c>
      <c r="C976" s="1">
        <v>44569</v>
      </c>
      <c r="D976" t="s">
        <v>68</v>
      </c>
      <c r="E976">
        <v>1</v>
      </c>
      <c r="F976" s="3" t="s">
        <v>10</v>
      </c>
      <c r="G976" s="3" t="s">
        <v>10</v>
      </c>
      <c r="H976" s="3" t="str">
        <f>IF(cf_cl[[#This Row],[satisfaction_score]]&gt;=4,"Happy",IF(cf_cl[[#This Row],[satisfaction_score]]=3,"Neutral","Negative"))</f>
        <v>Negative</v>
      </c>
      <c r="I976" s="3" t="str">
        <f>IF(cf_cl[[#This Row],[satisfaction_score]]&lt;=2,"Low",IF(cf_cl[[#This Row],[satisfaction_score]]=3,"Medium","High"))</f>
        <v>Low</v>
      </c>
      <c r="J976">
        <f>YEAR(cf_cl[[#This Row],[date_submitted]])</f>
        <v>2022</v>
      </c>
      <c r="K976" s="3" t="str">
        <f>TEXT(cf_cl[[#This Row],[date_submitted]],"mmm")</f>
        <v>Jan</v>
      </c>
      <c r="L976" s="3" t="str">
        <f t="shared" si="45"/>
        <v>Q1</v>
      </c>
      <c r="M976" s="3" t="str">
        <f t="shared" si="46"/>
        <v>Saturday</v>
      </c>
      <c r="N976" s="3" t="str">
        <f t="shared" si="47"/>
        <v>Yes</v>
      </c>
      <c r="O976" s="3" t="str">
        <f>IF(COUNTIF($B:$B,B976)=1,"New Customer",
IF(COUNTIF($B:$B,B976)&lt;=3,"Returning Customer","Loyal Customer"))</f>
        <v>Returning Customer</v>
      </c>
      <c r="P976" s="3" t="str">
        <f>IF(cf_cl[[#This Row],[referred_claim]]="Yes","Referred","Not Referred")</f>
        <v>Referred</v>
      </c>
    </row>
    <row r="977" spans="1:16" x14ac:dyDescent="0.3">
      <c r="A977" t="s">
        <v>1808</v>
      </c>
      <c r="B977" t="s">
        <v>1773</v>
      </c>
      <c r="C977" s="1">
        <v>44943</v>
      </c>
      <c r="D977" t="s">
        <v>9</v>
      </c>
      <c r="E977">
        <v>3</v>
      </c>
      <c r="F977" s="3" t="s">
        <v>13</v>
      </c>
      <c r="G977" s="3" t="s">
        <v>10</v>
      </c>
      <c r="H977" s="3" t="str">
        <f>IF(cf_cl[[#This Row],[satisfaction_score]]&gt;=4,"Happy",IF(cf_cl[[#This Row],[satisfaction_score]]=3,"Neutral","Negative"))</f>
        <v>Neutral</v>
      </c>
      <c r="I977" s="3" t="str">
        <f>IF(cf_cl[[#This Row],[satisfaction_score]]&lt;=2,"Low",IF(cf_cl[[#This Row],[satisfaction_score]]=3,"Medium","High"))</f>
        <v>Medium</v>
      </c>
      <c r="J977">
        <f>YEAR(cf_cl[[#This Row],[date_submitted]])</f>
        <v>2023</v>
      </c>
      <c r="K977" s="3" t="str">
        <f>TEXT(cf_cl[[#This Row],[date_submitted]],"mmm")</f>
        <v>Jan</v>
      </c>
      <c r="L977" s="3" t="str">
        <f t="shared" si="45"/>
        <v>Q1</v>
      </c>
      <c r="M977" s="3" t="str">
        <f t="shared" si="46"/>
        <v>Tuesday</v>
      </c>
      <c r="N977" s="3" t="str">
        <f t="shared" si="47"/>
        <v>No</v>
      </c>
      <c r="O977" s="3" t="str">
        <f>IF(COUNTIF($B:$B,B977)=1,"New Customer",
IF(COUNTIF($B:$B,B977)&lt;=3,"Returning Customer","Loyal Customer"))</f>
        <v>Returning Customer</v>
      </c>
      <c r="P977" s="3" t="str">
        <f>IF(cf_cl[[#This Row],[referred_claim]]="Yes","Referred","Not Referred")</f>
        <v>Referred</v>
      </c>
    </row>
    <row r="978" spans="1:16" x14ac:dyDescent="0.3">
      <c r="A978" t="s">
        <v>1809</v>
      </c>
      <c r="B978" t="s">
        <v>861</v>
      </c>
      <c r="C978" s="1">
        <v>44589</v>
      </c>
      <c r="D978" t="s">
        <v>19</v>
      </c>
      <c r="E978">
        <v>3</v>
      </c>
      <c r="F978" s="3" t="s">
        <v>13</v>
      </c>
      <c r="G978" s="3" t="s">
        <v>10</v>
      </c>
      <c r="H978" s="3" t="str">
        <f>IF(cf_cl[[#This Row],[satisfaction_score]]&gt;=4,"Happy",IF(cf_cl[[#This Row],[satisfaction_score]]=3,"Neutral","Negative"))</f>
        <v>Neutral</v>
      </c>
      <c r="I978" s="3" t="str">
        <f>IF(cf_cl[[#This Row],[satisfaction_score]]&lt;=2,"Low",IF(cf_cl[[#This Row],[satisfaction_score]]=3,"Medium","High"))</f>
        <v>Medium</v>
      </c>
      <c r="J978">
        <f>YEAR(cf_cl[[#This Row],[date_submitted]])</f>
        <v>2022</v>
      </c>
      <c r="K978" s="3" t="str">
        <f>TEXT(cf_cl[[#This Row],[date_submitted]],"mmm")</f>
        <v>Jan</v>
      </c>
      <c r="L978" s="3" t="str">
        <f t="shared" si="45"/>
        <v>Q1</v>
      </c>
      <c r="M978" s="3" t="str">
        <f t="shared" si="46"/>
        <v>Friday</v>
      </c>
      <c r="N978" s="3" t="str">
        <f t="shared" si="47"/>
        <v>No</v>
      </c>
      <c r="O978" s="3" t="str">
        <f>IF(COUNTIF($B:$B,B978)=1,"New Customer",
IF(COUNTIF($B:$B,B978)&lt;=3,"Returning Customer","Loyal Customer"))</f>
        <v>Returning Customer</v>
      </c>
      <c r="P978" s="3" t="str">
        <f>IF(cf_cl[[#This Row],[referred_claim]]="Yes","Referred","Not Referred")</f>
        <v>Referred</v>
      </c>
    </row>
    <row r="979" spans="1:16" x14ac:dyDescent="0.3">
      <c r="A979" t="s">
        <v>1810</v>
      </c>
      <c r="B979" t="s">
        <v>1811</v>
      </c>
      <c r="C979" s="1">
        <v>44825</v>
      </c>
      <c r="D979" t="s">
        <v>28</v>
      </c>
      <c r="E979">
        <v>4</v>
      </c>
      <c r="F979" s="3" t="s">
        <v>10</v>
      </c>
      <c r="G979" s="3" t="s">
        <v>10</v>
      </c>
      <c r="H979" s="3" t="str">
        <f>IF(cf_cl[[#This Row],[satisfaction_score]]&gt;=4,"Happy",IF(cf_cl[[#This Row],[satisfaction_score]]=3,"Neutral","Negative"))</f>
        <v>Happy</v>
      </c>
      <c r="I979" s="3" t="str">
        <f>IF(cf_cl[[#This Row],[satisfaction_score]]&lt;=2,"Low",IF(cf_cl[[#This Row],[satisfaction_score]]=3,"Medium","High"))</f>
        <v>High</v>
      </c>
      <c r="J979">
        <f>YEAR(cf_cl[[#This Row],[date_submitted]])</f>
        <v>2022</v>
      </c>
      <c r="K979" s="3" t="str">
        <f>TEXT(cf_cl[[#This Row],[date_submitted]],"mmm")</f>
        <v>Sep</v>
      </c>
      <c r="L979" s="3" t="str">
        <f t="shared" si="45"/>
        <v>Q3</v>
      </c>
      <c r="M979" s="3" t="str">
        <f t="shared" si="46"/>
        <v>Wednesday</v>
      </c>
      <c r="N979" s="3" t="str">
        <f t="shared" si="47"/>
        <v>No</v>
      </c>
      <c r="O979" s="3" t="str">
        <f>IF(COUNTIF($B:$B,B979)=1,"New Customer",
IF(COUNTIF($B:$B,B979)&lt;=3,"Returning Customer","Loyal Customer"))</f>
        <v>New Customer</v>
      </c>
      <c r="P979" s="3" t="str">
        <f>IF(cf_cl[[#This Row],[referred_claim]]="Yes","Referred","Not Referred")</f>
        <v>Referred</v>
      </c>
    </row>
    <row r="980" spans="1:16" x14ac:dyDescent="0.3">
      <c r="A980" t="s">
        <v>1812</v>
      </c>
      <c r="B980" t="s">
        <v>1813</v>
      </c>
      <c r="C980" s="1">
        <v>44240</v>
      </c>
      <c r="D980" t="s">
        <v>25</v>
      </c>
      <c r="E980">
        <v>5</v>
      </c>
      <c r="F980" s="3" t="s">
        <v>10</v>
      </c>
      <c r="G980" s="3" t="s">
        <v>13</v>
      </c>
      <c r="H980" s="3" t="str">
        <f>IF(cf_cl[[#This Row],[satisfaction_score]]&gt;=4,"Happy",IF(cf_cl[[#This Row],[satisfaction_score]]=3,"Neutral","Negative"))</f>
        <v>Happy</v>
      </c>
      <c r="I980" s="3" t="str">
        <f>IF(cf_cl[[#This Row],[satisfaction_score]]&lt;=2,"Low",IF(cf_cl[[#This Row],[satisfaction_score]]=3,"Medium","High"))</f>
        <v>High</v>
      </c>
      <c r="J980">
        <f>YEAR(cf_cl[[#This Row],[date_submitted]])</f>
        <v>2021</v>
      </c>
      <c r="K980" s="3" t="str">
        <f>TEXT(cf_cl[[#This Row],[date_submitted]],"mmm")</f>
        <v>Feb</v>
      </c>
      <c r="L980" s="3" t="str">
        <f t="shared" si="45"/>
        <v>Q1</v>
      </c>
      <c r="M980" s="3" t="str">
        <f t="shared" si="46"/>
        <v>Saturday</v>
      </c>
      <c r="N980" s="3" t="str">
        <f t="shared" si="47"/>
        <v>No</v>
      </c>
      <c r="O980" s="3" t="str">
        <f>IF(COUNTIF($B:$B,B980)=1,"New Customer",
IF(COUNTIF($B:$B,B980)&lt;=3,"Returning Customer","Loyal Customer"))</f>
        <v>New Customer</v>
      </c>
      <c r="P980" s="3" t="str">
        <f>IF(cf_cl[[#This Row],[referred_claim]]="Yes","Referred","Not Referred")</f>
        <v>Not Referred</v>
      </c>
    </row>
    <row r="981" spans="1:16" x14ac:dyDescent="0.3">
      <c r="A981" t="s">
        <v>1814</v>
      </c>
      <c r="B981" t="s">
        <v>1815</v>
      </c>
      <c r="C981" s="1">
        <v>44943</v>
      </c>
      <c r="D981" t="s">
        <v>16</v>
      </c>
      <c r="E981">
        <v>5</v>
      </c>
      <c r="F981" s="3" t="s">
        <v>10</v>
      </c>
      <c r="G981" s="3" t="s">
        <v>13</v>
      </c>
      <c r="H981" s="3" t="str">
        <f>IF(cf_cl[[#This Row],[satisfaction_score]]&gt;=4,"Happy",IF(cf_cl[[#This Row],[satisfaction_score]]=3,"Neutral","Negative"))</f>
        <v>Happy</v>
      </c>
      <c r="I981" s="3" t="str">
        <f>IF(cf_cl[[#This Row],[satisfaction_score]]&lt;=2,"Low",IF(cf_cl[[#This Row],[satisfaction_score]]=3,"Medium","High"))</f>
        <v>High</v>
      </c>
      <c r="J981">
        <f>YEAR(cf_cl[[#This Row],[date_submitted]])</f>
        <v>2023</v>
      </c>
      <c r="K981" s="3" t="str">
        <f>TEXT(cf_cl[[#This Row],[date_submitted]],"mmm")</f>
        <v>Jan</v>
      </c>
      <c r="L981" s="3" t="str">
        <f t="shared" si="45"/>
        <v>Q1</v>
      </c>
      <c r="M981" s="3" t="str">
        <f t="shared" si="46"/>
        <v>Tuesday</v>
      </c>
      <c r="N981" s="3" t="str">
        <f t="shared" si="47"/>
        <v>No</v>
      </c>
      <c r="O981" s="3" t="str">
        <f>IF(COUNTIF($B:$B,B981)=1,"New Customer",
IF(COUNTIF($B:$B,B981)&lt;=3,"Returning Customer","Loyal Customer"))</f>
        <v>New Customer</v>
      </c>
      <c r="P981" s="3" t="str">
        <f>IF(cf_cl[[#This Row],[referred_claim]]="Yes","Referred","Not Referred")</f>
        <v>Not Referred</v>
      </c>
    </row>
    <row r="982" spans="1:16" x14ac:dyDescent="0.3">
      <c r="A982" t="s">
        <v>1816</v>
      </c>
      <c r="B982" t="s">
        <v>1817</v>
      </c>
      <c r="C982" s="1">
        <v>44612</v>
      </c>
      <c r="D982" t="s">
        <v>28</v>
      </c>
      <c r="E982">
        <v>5</v>
      </c>
      <c r="F982" s="3" t="s">
        <v>13</v>
      </c>
      <c r="G982" s="3" t="s">
        <v>13</v>
      </c>
      <c r="H982" s="3" t="str">
        <f>IF(cf_cl[[#This Row],[satisfaction_score]]&gt;=4,"Happy",IF(cf_cl[[#This Row],[satisfaction_score]]=3,"Neutral","Negative"))</f>
        <v>Happy</v>
      </c>
      <c r="I982" s="3" t="str">
        <f>IF(cf_cl[[#This Row],[satisfaction_score]]&lt;=2,"Low",IF(cf_cl[[#This Row],[satisfaction_score]]=3,"Medium","High"))</f>
        <v>High</v>
      </c>
      <c r="J982">
        <f>YEAR(cf_cl[[#This Row],[date_submitted]])</f>
        <v>2022</v>
      </c>
      <c r="K982" s="3" t="str">
        <f>TEXT(cf_cl[[#This Row],[date_submitted]],"mmm")</f>
        <v>Feb</v>
      </c>
      <c r="L982" s="3" t="str">
        <f t="shared" si="45"/>
        <v>Q1</v>
      </c>
      <c r="M982" s="3" t="str">
        <f t="shared" si="46"/>
        <v>Sunday</v>
      </c>
      <c r="N982" s="3" t="str">
        <f t="shared" si="47"/>
        <v>No</v>
      </c>
      <c r="O982" s="3" t="str">
        <f>IF(COUNTIF($B:$B,B982)=1,"New Customer",
IF(COUNTIF($B:$B,B982)&lt;=3,"Returning Customer","Loyal Customer"))</f>
        <v>New Customer</v>
      </c>
      <c r="P982" s="3" t="str">
        <f>IF(cf_cl[[#This Row],[referred_claim]]="Yes","Referred","Not Referred")</f>
        <v>Not Referred</v>
      </c>
    </row>
    <row r="983" spans="1:16" x14ac:dyDescent="0.3">
      <c r="A983" t="s">
        <v>1818</v>
      </c>
      <c r="B983" t="s">
        <v>896</v>
      </c>
      <c r="C983" s="1">
        <v>45193</v>
      </c>
      <c r="D983" t="s">
        <v>68</v>
      </c>
      <c r="E983">
        <v>1</v>
      </c>
      <c r="F983" s="3" t="s">
        <v>13</v>
      </c>
      <c r="G983" s="3" t="s">
        <v>13</v>
      </c>
      <c r="H983" s="3" t="str">
        <f>IF(cf_cl[[#This Row],[satisfaction_score]]&gt;=4,"Happy",IF(cf_cl[[#This Row],[satisfaction_score]]=3,"Neutral","Negative"))</f>
        <v>Negative</v>
      </c>
      <c r="I983" s="3" t="str">
        <f>IF(cf_cl[[#This Row],[satisfaction_score]]&lt;=2,"Low",IF(cf_cl[[#This Row],[satisfaction_score]]=3,"Medium","High"))</f>
        <v>Low</v>
      </c>
      <c r="J983">
        <f>YEAR(cf_cl[[#This Row],[date_submitted]])</f>
        <v>2023</v>
      </c>
      <c r="K983" s="3" t="str">
        <f>TEXT(cf_cl[[#This Row],[date_submitted]],"mmm")</f>
        <v>Sep</v>
      </c>
      <c r="L983" s="3" t="str">
        <f t="shared" si="45"/>
        <v>Q3</v>
      </c>
      <c r="M983" s="3" t="str">
        <f t="shared" si="46"/>
        <v>Sunday</v>
      </c>
      <c r="N983" s="3" t="str">
        <f t="shared" si="47"/>
        <v>Yes</v>
      </c>
      <c r="O983" s="3" t="str">
        <f>IF(COUNTIF($B:$B,B983)=1,"New Customer",
IF(COUNTIF($B:$B,B983)&lt;=3,"Returning Customer","Loyal Customer"))</f>
        <v>Returning Customer</v>
      </c>
      <c r="P983" s="3" t="str">
        <f>IF(cf_cl[[#This Row],[referred_claim]]="Yes","Referred","Not Referred")</f>
        <v>Not Referred</v>
      </c>
    </row>
    <row r="984" spans="1:16" x14ac:dyDescent="0.3">
      <c r="A984" t="s">
        <v>1819</v>
      </c>
      <c r="B984" t="s">
        <v>1820</v>
      </c>
      <c r="C984" s="1">
        <v>44543</v>
      </c>
      <c r="D984" t="s">
        <v>22</v>
      </c>
      <c r="E984">
        <v>5</v>
      </c>
      <c r="F984" s="3" t="s">
        <v>10</v>
      </c>
      <c r="G984" s="3" t="s">
        <v>10</v>
      </c>
      <c r="H984" s="3" t="str">
        <f>IF(cf_cl[[#This Row],[satisfaction_score]]&gt;=4,"Happy",IF(cf_cl[[#This Row],[satisfaction_score]]=3,"Neutral","Negative"))</f>
        <v>Happy</v>
      </c>
      <c r="I984" s="3" t="str">
        <f>IF(cf_cl[[#This Row],[satisfaction_score]]&lt;=2,"Low",IF(cf_cl[[#This Row],[satisfaction_score]]=3,"Medium","High"))</f>
        <v>High</v>
      </c>
      <c r="J984">
        <f>YEAR(cf_cl[[#This Row],[date_submitted]])</f>
        <v>2021</v>
      </c>
      <c r="K984" s="3" t="str">
        <f>TEXT(cf_cl[[#This Row],[date_submitted]],"mmm")</f>
        <v>Dec</v>
      </c>
      <c r="L984" s="3" t="str">
        <f t="shared" si="45"/>
        <v>Q4</v>
      </c>
      <c r="M984" s="3" t="str">
        <f t="shared" si="46"/>
        <v>Monday</v>
      </c>
      <c r="N984" s="3" t="str">
        <f t="shared" si="47"/>
        <v>No</v>
      </c>
      <c r="O984" s="3" t="str">
        <f>IF(COUNTIF($B:$B,B984)=1,"New Customer",
IF(COUNTIF($B:$B,B984)&lt;=3,"Returning Customer","Loyal Customer"))</f>
        <v>New Customer</v>
      </c>
      <c r="P984" s="3" t="str">
        <f>IF(cf_cl[[#This Row],[referred_claim]]="Yes","Referred","Not Referred")</f>
        <v>Referred</v>
      </c>
    </row>
    <row r="985" spans="1:16" x14ac:dyDescent="0.3">
      <c r="A985" t="s">
        <v>1821</v>
      </c>
      <c r="B985" t="s">
        <v>1396</v>
      </c>
      <c r="C985" s="1">
        <v>44343</v>
      </c>
      <c r="D985" t="s">
        <v>28</v>
      </c>
      <c r="E985">
        <v>5</v>
      </c>
      <c r="F985" s="3" t="s">
        <v>13</v>
      </c>
      <c r="G985" s="3" t="s">
        <v>10</v>
      </c>
      <c r="H985" s="3" t="str">
        <f>IF(cf_cl[[#This Row],[satisfaction_score]]&gt;=4,"Happy",IF(cf_cl[[#This Row],[satisfaction_score]]=3,"Neutral","Negative"))</f>
        <v>Happy</v>
      </c>
      <c r="I985" s="3" t="str">
        <f>IF(cf_cl[[#This Row],[satisfaction_score]]&lt;=2,"Low",IF(cf_cl[[#This Row],[satisfaction_score]]=3,"Medium","High"))</f>
        <v>High</v>
      </c>
      <c r="J985">
        <f>YEAR(cf_cl[[#This Row],[date_submitted]])</f>
        <v>2021</v>
      </c>
      <c r="K985" s="3" t="str">
        <f>TEXT(cf_cl[[#This Row],[date_submitted]],"mmm")</f>
        <v>May</v>
      </c>
      <c r="L985" s="3" t="str">
        <f t="shared" si="45"/>
        <v>Q2</v>
      </c>
      <c r="M985" s="3" t="str">
        <f t="shared" si="46"/>
        <v>Thursday</v>
      </c>
      <c r="N985" s="3" t="str">
        <f t="shared" si="47"/>
        <v>No</v>
      </c>
      <c r="O985" s="3" t="str">
        <f>IF(COUNTIF($B:$B,B985)=1,"New Customer",
IF(COUNTIF($B:$B,B985)&lt;=3,"Returning Customer","Loyal Customer"))</f>
        <v>Returning Customer</v>
      </c>
      <c r="P985" s="3" t="str">
        <f>IF(cf_cl[[#This Row],[referred_claim]]="Yes","Referred","Not Referred")</f>
        <v>Referred</v>
      </c>
    </row>
    <row r="986" spans="1:16" x14ac:dyDescent="0.3">
      <c r="A986" t="s">
        <v>1822</v>
      </c>
      <c r="B986" t="s">
        <v>391</v>
      </c>
      <c r="C986" s="1">
        <v>44389</v>
      </c>
      <c r="D986" t="s">
        <v>83</v>
      </c>
      <c r="E986">
        <v>1</v>
      </c>
      <c r="F986" s="3" t="s">
        <v>10</v>
      </c>
      <c r="G986" s="3" t="s">
        <v>10</v>
      </c>
      <c r="H986" s="3" t="str">
        <f>IF(cf_cl[[#This Row],[satisfaction_score]]&gt;=4,"Happy",IF(cf_cl[[#This Row],[satisfaction_score]]=3,"Neutral","Negative"))</f>
        <v>Negative</v>
      </c>
      <c r="I986" s="3" t="str">
        <f>IF(cf_cl[[#This Row],[satisfaction_score]]&lt;=2,"Low",IF(cf_cl[[#This Row],[satisfaction_score]]=3,"Medium","High"))</f>
        <v>Low</v>
      </c>
      <c r="J986">
        <f>YEAR(cf_cl[[#This Row],[date_submitted]])</f>
        <v>2021</v>
      </c>
      <c r="K986" s="3" t="str">
        <f>TEXT(cf_cl[[#This Row],[date_submitted]],"mmm")</f>
        <v>Jul</v>
      </c>
      <c r="L986" s="3" t="str">
        <f t="shared" si="45"/>
        <v>Q3</v>
      </c>
      <c r="M986" s="3" t="str">
        <f t="shared" si="46"/>
        <v>Monday</v>
      </c>
      <c r="N986" s="3" t="str">
        <f t="shared" si="47"/>
        <v>Yes</v>
      </c>
      <c r="O986" s="3" t="str">
        <f>IF(COUNTIF($B:$B,B986)=1,"New Customer",
IF(COUNTIF($B:$B,B986)&lt;=3,"Returning Customer","Loyal Customer"))</f>
        <v>Returning Customer</v>
      </c>
      <c r="P986" s="3" t="str">
        <f>IF(cf_cl[[#This Row],[referred_claim]]="Yes","Referred","Not Referred")</f>
        <v>Referred</v>
      </c>
    </row>
    <row r="987" spans="1:16" x14ac:dyDescent="0.3">
      <c r="A987" t="s">
        <v>1823</v>
      </c>
      <c r="B987" t="s">
        <v>1824</v>
      </c>
      <c r="C987" s="1">
        <v>44575</v>
      </c>
      <c r="D987" t="s">
        <v>16</v>
      </c>
      <c r="E987">
        <v>4</v>
      </c>
      <c r="F987" s="3" t="s">
        <v>10</v>
      </c>
      <c r="G987" s="3" t="s">
        <v>10</v>
      </c>
      <c r="H987" s="3" t="str">
        <f>IF(cf_cl[[#This Row],[satisfaction_score]]&gt;=4,"Happy",IF(cf_cl[[#This Row],[satisfaction_score]]=3,"Neutral","Negative"))</f>
        <v>Happy</v>
      </c>
      <c r="I987" s="3" t="str">
        <f>IF(cf_cl[[#This Row],[satisfaction_score]]&lt;=2,"Low",IF(cf_cl[[#This Row],[satisfaction_score]]=3,"Medium","High"))</f>
        <v>High</v>
      </c>
      <c r="J987">
        <f>YEAR(cf_cl[[#This Row],[date_submitted]])</f>
        <v>2022</v>
      </c>
      <c r="K987" s="3" t="str">
        <f>TEXT(cf_cl[[#This Row],[date_submitted]],"mmm")</f>
        <v>Jan</v>
      </c>
      <c r="L987" s="3" t="str">
        <f t="shared" si="45"/>
        <v>Q1</v>
      </c>
      <c r="M987" s="3" t="str">
        <f t="shared" si="46"/>
        <v>Friday</v>
      </c>
      <c r="N987" s="3" t="str">
        <f t="shared" si="47"/>
        <v>No</v>
      </c>
      <c r="O987" s="3" t="str">
        <f>IF(COUNTIF($B:$B,B987)=1,"New Customer",
IF(COUNTIF($B:$B,B987)&lt;=3,"Returning Customer","Loyal Customer"))</f>
        <v>New Customer</v>
      </c>
      <c r="P987" s="3" t="str">
        <f>IF(cf_cl[[#This Row],[referred_claim]]="Yes","Referred","Not Referred")</f>
        <v>Referred</v>
      </c>
    </row>
    <row r="988" spans="1:16" x14ac:dyDescent="0.3">
      <c r="A988" t="s">
        <v>1825</v>
      </c>
      <c r="B988" t="s">
        <v>1826</v>
      </c>
      <c r="C988" s="1">
        <v>44729</v>
      </c>
      <c r="D988" t="s">
        <v>37</v>
      </c>
      <c r="E988">
        <v>4</v>
      </c>
      <c r="F988" s="3" t="s">
        <v>13</v>
      </c>
      <c r="G988" s="3" t="s">
        <v>10</v>
      </c>
      <c r="H988" s="3" t="str">
        <f>IF(cf_cl[[#This Row],[satisfaction_score]]&gt;=4,"Happy",IF(cf_cl[[#This Row],[satisfaction_score]]=3,"Neutral","Negative"))</f>
        <v>Happy</v>
      </c>
      <c r="I988" s="3" t="str">
        <f>IF(cf_cl[[#This Row],[satisfaction_score]]&lt;=2,"Low",IF(cf_cl[[#This Row],[satisfaction_score]]=3,"Medium","High"))</f>
        <v>High</v>
      </c>
      <c r="J988">
        <f>YEAR(cf_cl[[#This Row],[date_submitted]])</f>
        <v>2022</v>
      </c>
      <c r="K988" s="3" t="str">
        <f>TEXT(cf_cl[[#This Row],[date_submitted]],"mmm")</f>
        <v>Jun</v>
      </c>
      <c r="L988" s="3" t="str">
        <f t="shared" si="45"/>
        <v>Q2</v>
      </c>
      <c r="M988" s="3" t="str">
        <f t="shared" si="46"/>
        <v>Friday</v>
      </c>
      <c r="N988" s="3" t="str">
        <f t="shared" si="47"/>
        <v>No</v>
      </c>
      <c r="O988" s="3" t="str">
        <f>IF(COUNTIF($B:$B,B988)=1,"New Customer",
IF(COUNTIF($B:$B,B988)&lt;=3,"Returning Customer","Loyal Customer"))</f>
        <v>New Customer</v>
      </c>
      <c r="P988" s="3" t="str">
        <f>IF(cf_cl[[#This Row],[referred_claim]]="Yes","Referred","Not Referred")</f>
        <v>Referred</v>
      </c>
    </row>
    <row r="989" spans="1:16" x14ac:dyDescent="0.3">
      <c r="A989" t="s">
        <v>1827</v>
      </c>
      <c r="B989" t="s">
        <v>930</v>
      </c>
      <c r="C989" s="1">
        <v>44993</v>
      </c>
      <c r="D989" t="s">
        <v>25</v>
      </c>
      <c r="E989">
        <v>4</v>
      </c>
      <c r="F989" s="3" t="s">
        <v>13</v>
      </c>
      <c r="G989" s="3" t="s">
        <v>13</v>
      </c>
      <c r="H989" s="3" t="str">
        <f>IF(cf_cl[[#This Row],[satisfaction_score]]&gt;=4,"Happy",IF(cf_cl[[#This Row],[satisfaction_score]]=3,"Neutral","Negative"))</f>
        <v>Happy</v>
      </c>
      <c r="I989" s="3" t="str">
        <f>IF(cf_cl[[#This Row],[satisfaction_score]]&lt;=2,"Low",IF(cf_cl[[#This Row],[satisfaction_score]]=3,"Medium","High"))</f>
        <v>High</v>
      </c>
      <c r="J989">
        <f>YEAR(cf_cl[[#This Row],[date_submitted]])</f>
        <v>2023</v>
      </c>
      <c r="K989" s="3" t="str">
        <f>TEXT(cf_cl[[#This Row],[date_submitted]],"mmm")</f>
        <v>Mar</v>
      </c>
      <c r="L989" s="3" t="str">
        <f t="shared" si="45"/>
        <v>Q1</v>
      </c>
      <c r="M989" s="3" t="str">
        <f t="shared" si="46"/>
        <v>Wednesday</v>
      </c>
      <c r="N989" s="3" t="str">
        <f t="shared" si="47"/>
        <v>No</v>
      </c>
      <c r="O989" s="3" t="str">
        <f>IF(COUNTIF($B:$B,B989)=1,"New Customer",
IF(COUNTIF($B:$B,B989)&lt;=3,"Returning Customer","Loyal Customer"))</f>
        <v>Returning Customer</v>
      </c>
      <c r="P989" s="3" t="str">
        <f>IF(cf_cl[[#This Row],[referred_claim]]="Yes","Referred","Not Referred")</f>
        <v>Not Referred</v>
      </c>
    </row>
    <row r="990" spans="1:16" x14ac:dyDescent="0.3">
      <c r="A990" t="s">
        <v>1828</v>
      </c>
      <c r="B990" t="s">
        <v>1829</v>
      </c>
      <c r="C990" s="1">
        <v>44664</v>
      </c>
      <c r="D990" t="s">
        <v>31</v>
      </c>
      <c r="E990">
        <v>1</v>
      </c>
      <c r="F990" s="3" t="s">
        <v>10</v>
      </c>
      <c r="G990" s="3" t="s">
        <v>13</v>
      </c>
      <c r="H990" s="3" t="str">
        <f>IF(cf_cl[[#This Row],[satisfaction_score]]&gt;=4,"Happy",IF(cf_cl[[#This Row],[satisfaction_score]]=3,"Neutral","Negative"))</f>
        <v>Negative</v>
      </c>
      <c r="I990" s="3" t="str">
        <f>IF(cf_cl[[#This Row],[satisfaction_score]]&lt;=2,"Low",IF(cf_cl[[#This Row],[satisfaction_score]]=3,"Medium","High"))</f>
        <v>Low</v>
      </c>
      <c r="J990">
        <f>YEAR(cf_cl[[#This Row],[date_submitted]])</f>
        <v>2022</v>
      </c>
      <c r="K990" s="3" t="str">
        <f>TEXT(cf_cl[[#This Row],[date_submitted]],"mmm")</f>
        <v>Apr</v>
      </c>
      <c r="L990" s="3" t="str">
        <f t="shared" si="45"/>
        <v>Q2</v>
      </c>
      <c r="M990" s="3" t="str">
        <f t="shared" si="46"/>
        <v>Wednesday</v>
      </c>
      <c r="N990" s="3" t="str">
        <f t="shared" si="47"/>
        <v>Yes</v>
      </c>
      <c r="O990" s="3" t="str">
        <f>IF(COUNTIF($B:$B,B990)=1,"New Customer",
IF(COUNTIF($B:$B,B990)&lt;=3,"Returning Customer","Loyal Customer"))</f>
        <v>New Customer</v>
      </c>
      <c r="P990" s="3" t="str">
        <f>IF(cf_cl[[#This Row],[referred_claim]]="Yes","Referred","Not Referred")</f>
        <v>Not Referred</v>
      </c>
    </row>
    <row r="991" spans="1:16" x14ac:dyDescent="0.3">
      <c r="A991" t="s">
        <v>1830</v>
      </c>
      <c r="B991" t="s">
        <v>1831</v>
      </c>
      <c r="C991" s="1">
        <v>44322</v>
      </c>
      <c r="D991" t="s">
        <v>83</v>
      </c>
      <c r="E991">
        <v>2</v>
      </c>
      <c r="F991" s="3" t="s">
        <v>10</v>
      </c>
      <c r="G991" s="3" t="s">
        <v>10</v>
      </c>
      <c r="H991" s="3" t="str">
        <f>IF(cf_cl[[#This Row],[satisfaction_score]]&gt;=4,"Happy",IF(cf_cl[[#This Row],[satisfaction_score]]=3,"Neutral","Negative"))</f>
        <v>Negative</v>
      </c>
      <c r="I991" s="3" t="str">
        <f>IF(cf_cl[[#This Row],[satisfaction_score]]&lt;=2,"Low",IF(cf_cl[[#This Row],[satisfaction_score]]=3,"Medium","High"))</f>
        <v>Low</v>
      </c>
      <c r="J991">
        <f>YEAR(cf_cl[[#This Row],[date_submitted]])</f>
        <v>2021</v>
      </c>
      <c r="K991" s="3" t="str">
        <f>TEXT(cf_cl[[#This Row],[date_submitted]],"mmm")</f>
        <v>May</v>
      </c>
      <c r="L991" s="3" t="str">
        <f t="shared" si="45"/>
        <v>Q2</v>
      </c>
      <c r="M991" s="3" t="str">
        <f t="shared" si="46"/>
        <v>Thursday</v>
      </c>
      <c r="N991" s="3" t="str">
        <f t="shared" si="47"/>
        <v>Yes</v>
      </c>
      <c r="O991" s="3" t="str">
        <f>IF(COUNTIF($B:$B,B991)=1,"New Customer",
IF(COUNTIF($B:$B,B991)&lt;=3,"Returning Customer","Loyal Customer"))</f>
        <v>New Customer</v>
      </c>
      <c r="P991" s="3" t="str">
        <f>IF(cf_cl[[#This Row],[referred_claim]]="Yes","Referred","Not Referred")</f>
        <v>Referred</v>
      </c>
    </row>
    <row r="992" spans="1:16" x14ac:dyDescent="0.3">
      <c r="A992" t="s">
        <v>1832</v>
      </c>
      <c r="B992" t="s">
        <v>654</v>
      </c>
      <c r="C992" s="1">
        <v>44494</v>
      </c>
      <c r="D992" t="s">
        <v>68</v>
      </c>
      <c r="E992">
        <v>1</v>
      </c>
      <c r="F992" s="3" t="s">
        <v>13</v>
      </c>
      <c r="G992" s="3" t="s">
        <v>10</v>
      </c>
      <c r="H992" s="3" t="str">
        <f>IF(cf_cl[[#This Row],[satisfaction_score]]&gt;=4,"Happy",IF(cf_cl[[#This Row],[satisfaction_score]]=3,"Neutral","Negative"))</f>
        <v>Negative</v>
      </c>
      <c r="I992" s="3" t="str">
        <f>IF(cf_cl[[#This Row],[satisfaction_score]]&lt;=2,"Low",IF(cf_cl[[#This Row],[satisfaction_score]]=3,"Medium","High"))</f>
        <v>Low</v>
      </c>
      <c r="J992">
        <f>YEAR(cf_cl[[#This Row],[date_submitted]])</f>
        <v>2021</v>
      </c>
      <c r="K992" s="3" t="str">
        <f>TEXT(cf_cl[[#This Row],[date_submitted]],"mmm")</f>
        <v>Oct</v>
      </c>
      <c r="L992" s="3" t="str">
        <f t="shared" si="45"/>
        <v>Q4</v>
      </c>
      <c r="M992" s="3" t="str">
        <f t="shared" si="46"/>
        <v>Monday</v>
      </c>
      <c r="N992" s="3" t="str">
        <f t="shared" si="47"/>
        <v>Yes</v>
      </c>
      <c r="O992" s="3" t="str">
        <f>IF(COUNTIF($B:$B,B992)=1,"New Customer",
IF(COUNTIF($B:$B,B992)&lt;=3,"Returning Customer","Loyal Customer"))</f>
        <v>Returning Customer</v>
      </c>
      <c r="P992" s="3" t="str">
        <f>IF(cf_cl[[#This Row],[referred_claim]]="Yes","Referred","Not Referred")</f>
        <v>Referred</v>
      </c>
    </row>
    <row r="993" spans="1:16" x14ac:dyDescent="0.3">
      <c r="A993" t="s">
        <v>1833</v>
      </c>
      <c r="B993" t="s">
        <v>770</v>
      </c>
      <c r="C993" s="1">
        <v>43926</v>
      </c>
      <c r="D993" t="s">
        <v>9</v>
      </c>
      <c r="E993">
        <v>2</v>
      </c>
      <c r="F993" s="3" t="s">
        <v>13</v>
      </c>
      <c r="G993" s="3" t="s">
        <v>10</v>
      </c>
      <c r="H993" s="3" t="str">
        <f>IF(cf_cl[[#This Row],[satisfaction_score]]&gt;=4,"Happy",IF(cf_cl[[#This Row],[satisfaction_score]]=3,"Neutral","Negative"))</f>
        <v>Negative</v>
      </c>
      <c r="I993" s="3" t="str">
        <f>IF(cf_cl[[#This Row],[satisfaction_score]]&lt;=2,"Low",IF(cf_cl[[#This Row],[satisfaction_score]]=3,"Medium","High"))</f>
        <v>Low</v>
      </c>
      <c r="J993">
        <f>YEAR(cf_cl[[#This Row],[date_submitted]])</f>
        <v>2020</v>
      </c>
      <c r="K993" s="3" t="str">
        <f>TEXT(cf_cl[[#This Row],[date_submitted]],"mmm")</f>
        <v>Apr</v>
      </c>
      <c r="L993" s="3" t="str">
        <f t="shared" si="45"/>
        <v>Q2</v>
      </c>
      <c r="M993" s="3" t="str">
        <f t="shared" si="46"/>
        <v>Sunday</v>
      </c>
      <c r="N993" s="3" t="str">
        <f t="shared" si="47"/>
        <v>Yes</v>
      </c>
      <c r="O993" s="3" t="str">
        <f>IF(COUNTIF($B:$B,B993)=1,"New Customer",
IF(COUNTIF($B:$B,B993)&lt;=3,"Returning Customer","Loyal Customer"))</f>
        <v>Returning Customer</v>
      </c>
      <c r="P993" s="3" t="str">
        <f>IF(cf_cl[[#This Row],[referred_claim]]="Yes","Referred","Not Referred")</f>
        <v>Referred</v>
      </c>
    </row>
    <row r="994" spans="1:16" x14ac:dyDescent="0.3">
      <c r="A994" t="s">
        <v>1834</v>
      </c>
      <c r="B994" t="s">
        <v>1835</v>
      </c>
      <c r="C994" s="1">
        <v>44841</v>
      </c>
      <c r="D994" t="s">
        <v>25</v>
      </c>
      <c r="E994">
        <v>4</v>
      </c>
      <c r="F994" s="3" t="s">
        <v>13</v>
      </c>
      <c r="G994" s="3" t="s">
        <v>10</v>
      </c>
      <c r="H994" s="3" t="str">
        <f>IF(cf_cl[[#This Row],[satisfaction_score]]&gt;=4,"Happy",IF(cf_cl[[#This Row],[satisfaction_score]]=3,"Neutral","Negative"))</f>
        <v>Happy</v>
      </c>
      <c r="I994" s="3" t="str">
        <f>IF(cf_cl[[#This Row],[satisfaction_score]]&lt;=2,"Low",IF(cf_cl[[#This Row],[satisfaction_score]]=3,"Medium","High"))</f>
        <v>High</v>
      </c>
      <c r="J994">
        <f>YEAR(cf_cl[[#This Row],[date_submitted]])</f>
        <v>2022</v>
      </c>
      <c r="K994" s="3" t="str">
        <f>TEXT(cf_cl[[#This Row],[date_submitted]],"mmm")</f>
        <v>Oct</v>
      </c>
      <c r="L994" s="3" t="str">
        <f t="shared" si="45"/>
        <v>Q4</v>
      </c>
      <c r="M994" s="3" t="str">
        <f t="shared" si="46"/>
        <v>Friday</v>
      </c>
      <c r="N994" s="3" t="str">
        <f t="shared" si="47"/>
        <v>No</v>
      </c>
      <c r="O994" s="3" t="str">
        <f>IF(COUNTIF($B:$B,B994)=1,"New Customer",
IF(COUNTIF($B:$B,B994)&lt;=3,"Returning Customer","Loyal Customer"))</f>
        <v>New Customer</v>
      </c>
      <c r="P994" s="3" t="str">
        <f>IF(cf_cl[[#This Row],[referred_claim]]="Yes","Referred","Not Referred")</f>
        <v>Referred</v>
      </c>
    </row>
    <row r="995" spans="1:16" x14ac:dyDescent="0.3">
      <c r="A995" t="s">
        <v>1836</v>
      </c>
      <c r="B995" t="s">
        <v>1837</v>
      </c>
      <c r="C995" s="1">
        <v>45121</v>
      </c>
      <c r="D995" t="s">
        <v>68</v>
      </c>
      <c r="E995">
        <v>1</v>
      </c>
      <c r="F995" s="3" t="s">
        <v>13</v>
      </c>
      <c r="G995" s="3" t="s">
        <v>10</v>
      </c>
      <c r="H995" s="3" t="str">
        <f>IF(cf_cl[[#This Row],[satisfaction_score]]&gt;=4,"Happy",IF(cf_cl[[#This Row],[satisfaction_score]]=3,"Neutral","Negative"))</f>
        <v>Negative</v>
      </c>
      <c r="I995" s="3" t="str">
        <f>IF(cf_cl[[#This Row],[satisfaction_score]]&lt;=2,"Low",IF(cf_cl[[#This Row],[satisfaction_score]]=3,"Medium","High"))</f>
        <v>Low</v>
      </c>
      <c r="J995">
        <f>YEAR(cf_cl[[#This Row],[date_submitted]])</f>
        <v>2023</v>
      </c>
      <c r="K995" s="3" t="str">
        <f>TEXT(cf_cl[[#This Row],[date_submitted]],"mmm")</f>
        <v>Jul</v>
      </c>
      <c r="L995" s="3" t="str">
        <f t="shared" si="45"/>
        <v>Q3</v>
      </c>
      <c r="M995" s="3" t="str">
        <f t="shared" si="46"/>
        <v>Friday</v>
      </c>
      <c r="N995" s="3" t="str">
        <f t="shared" si="47"/>
        <v>Yes</v>
      </c>
      <c r="O995" s="3" t="str">
        <f>IF(COUNTIF($B:$B,B995)=1,"New Customer",
IF(COUNTIF($B:$B,B995)&lt;=3,"Returning Customer","Loyal Customer"))</f>
        <v>New Customer</v>
      </c>
      <c r="P995" s="3" t="str">
        <f>IF(cf_cl[[#This Row],[referred_claim]]="Yes","Referred","Not Referred")</f>
        <v>Referred</v>
      </c>
    </row>
    <row r="996" spans="1:16" x14ac:dyDescent="0.3">
      <c r="A996" t="s">
        <v>1838</v>
      </c>
      <c r="B996" t="s">
        <v>1839</v>
      </c>
      <c r="C996" s="1">
        <v>44793</v>
      </c>
      <c r="D996" t="s">
        <v>83</v>
      </c>
      <c r="E996">
        <v>1</v>
      </c>
      <c r="F996" s="3" t="s">
        <v>10</v>
      </c>
      <c r="G996" s="3" t="s">
        <v>13</v>
      </c>
      <c r="H996" s="3" t="str">
        <f>IF(cf_cl[[#This Row],[satisfaction_score]]&gt;=4,"Happy",IF(cf_cl[[#This Row],[satisfaction_score]]=3,"Neutral","Negative"))</f>
        <v>Negative</v>
      </c>
      <c r="I996" s="3" t="str">
        <f>IF(cf_cl[[#This Row],[satisfaction_score]]&lt;=2,"Low",IF(cf_cl[[#This Row],[satisfaction_score]]=3,"Medium","High"))</f>
        <v>Low</v>
      </c>
      <c r="J996">
        <f>YEAR(cf_cl[[#This Row],[date_submitted]])</f>
        <v>2022</v>
      </c>
      <c r="K996" s="3" t="str">
        <f>TEXT(cf_cl[[#This Row],[date_submitted]],"mmm")</f>
        <v>Aug</v>
      </c>
      <c r="L996" s="3" t="str">
        <f t="shared" si="45"/>
        <v>Q3</v>
      </c>
      <c r="M996" s="3" t="str">
        <f t="shared" si="46"/>
        <v>Saturday</v>
      </c>
      <c r="N996" s="3" t="str">
        <f t="shared" si="47"/>
        <v>Yes</v>
      </c>
      <c r="O996" s="3" t="str">
        <f>IF(COUNTIF($B:$B,B996)=1,"New Customer",
IF(COUNTIF($B:$B,B996)&lt;=3,"Returning Customer","Loyal Customer"))</f>
        <v>New Customer</v>
      </c>
      <c r="P996" s="3" t="str">
        <f>IF(cf_cl[[#This Row],[referred_claim]]="Yes","Referred","Not Referred")</f>
        <v>Not Referred</v>
      </c>
    </row>
    <row r="997" spans="1:16" x14ac:dyDescent="0.3">
      <c r="A997" t="s">
        <v>1840</v>
      </c>
      <c r="B997" t="s">
        <v>1841</v>
      </c>
      <c r="C997" s="1">
        <v>44326</v>
      </c>
      <c r="D997" t="s">
        <v>28</v>
      </c>
      <c r="E997">
        <v>4</v>
      </c>
      <c r="F997" s="3" t="s">
        <v>10</v>
      </c>
      <c r="G997" s="3" t="s">
        <v>13</v>
      </c>
      <c r="H997" s="3" t="str">
        <f>IF(cf_cl[[#This Row],[satisfaction_score]]&gt;=4,"Happy",IF(cf_cl[[#This Row],[satisfaction_score]]=3,"Neutral","Negative"))</f>
        <v>Happy</v>
      </c>
      <c r="I997" s="3" t="str">
        <f>IF(cf_cl[[#This Row],[satisfaction_score]]&lt;=2,"Low",IF(cf_cl[[#This Row],[satisfaction_score]]=3,"Medium","High"))</f>
        <v>High</v>
      </c>
      <c r="J997">
        <f>YEAR(cf_cl[[#This Row],[date_submitted]])</f>
        <v>2021</v>
      </c>
      <c r="K997" s="3" t="str">
        <f>TEXT(cf_cl[[#This Row],[date_submitted]],"mmm")</f>
        <v>May</v>
      </c>
      <c r="L997" s="3" t="str">
        <f t="shared" si="45"/>
        <v>Q2</v>
      </c>
      <c r="M997" s="3" t="str">
        <f t="shared" si="46"/>
        <v>Monday</v>
      </c>
      <c r="N997" s="3" t="str">
        <f t="shared" si="47"/>
        <v>No</v>
      </c>
      <c r="O997" s="3" t="str">
        <f>IF(COUNTIF($B:$B,B997)=1,"New Customer",
IF(COUNTIF($B:$B,B997)&lt;=3,"Returning Customer","Loyal Customer"))</f>
        <v>New Customer</v>
      </c>
      <c r="P997" s="3" t="str">
        <f>IF(cf_cl[[#This Row],[referred_claim]]="Yes","Referred","Not Referred")</f>
        <v>Not Referred</v>
      </c>
    </row>
    <row r="998" spans="1:16" x14ac:dyDescent="0.3">
      <c r="A998" t="s">
        <v>1842</v>
      </c>
      <c r="B998" t="s">
        <v>158</v>
      </c>
      <c r="C998" s="1">
        <v>44722</v>
      </c>
      <c r="D998" t="s">
        <v>19</v>
      </c>
      <c r="E998">
        <v>3</v>
      </c>
      <c r="F998" s="3" t="s">
        <v>10</v>
      </c>
      <c r="G998" s="3" t="s">
        <v>13</v>
      </c>
      <c r="H998" s="3" t="str">
        <f>IF(cf_cl[[#This Row],[satisfaction_score]]&gt;=4,"Happy",IF(cf_cl[[#This Row],[satisfaction_score]]=3,"Neutral","Negative"))</f>
        <v>Neutral</v>
      </c>
      <c r="I998" s="3" t="str">
        <f>IF(cf_cl[[#This Row],[satisfaction_score]]&lt;=2,"Low",IF(cf_cl[[#This Row],[satisfaction_score]]=3,"Medium","High"))</f>
        <v>Medium</v>
      </c>
      <c r="J998">
        <f>YEAR(cf_cl[[#This Row],[date_submitted]])</f>
        <v>2022</v>
      </c>
      <c r="K998" s="3" t="str">
        <f>TEXT(cf_cl[[#This Row],[date_submitted]],"mmm")</f>
        <v>Jun</v>
      </c>
      <c r="L998" s="3" t="str">
        <f t="shared" si="45"/>
        <v>Q2</v>
      </c>
      <c r="M998" s="3" t="str">
        <f t="shared" si="46"/>
        <v>Friday</v>
      </c>
      <c r="N998" s="3" t="str">
        <f t="shared" si="47"/>
        <v>No</v>
      </c>
      <c r="O998" s="3" t="str">
        <f>IF(COUNTIF($B:$B,B998)=1,"New Customer",
IF(COUNTIF($B:$B,B998)&lt;=3,"Returning Customer","Loyal Customer"))</f>
        <v>Returning Customer</v>
      </c>
      <c r="P998" s="3" t="str">
        <f>IF(cf_cl[[#This Row],[referred_claim]]="Yes","Referred","Not Referred")</f>
        <v>Not Referred</v>
      </c>
    </row>
    <row r="999" spans="1:16" x14ac:dyDescent="0.3">
      <c r="A999" t="s">
        <v>1843</v>
      </c>
      <c r="B999" t="s">
        <v>1844</v>
      </c>
      <c r="C999" s="1">
        <v>44381</v>
      </c>
      <c r="D999" t="s">
        <v>19</v>
      </c>
      <c r="E999">
        <v>2</v>
      </c>
      <c r="F999" s="3" t="s">
        <v>13</v>
      </c>
      <c r="G999" s="3" t="s">
        <v>13</v>
      </c>
      <c r="H999" s="3" t="str">
        <f>IF(cf_cl[[#This Row],[satisfaction_score]]&gt;=4,"Happy",IF(cf_cl[[#This Row],[satisfaction_score]]=3,"Neutral","Negative"))</f>
        <v>Negative</v>
      </c>
      <c r="I999" s="3" t="str">
        <f>IF(cf_cl[[#This Row],[satisfaction_score]]&lt;=2,"Low",IF(cf_cl[[#This Row],[satisfaction_score]]=3,"Medium","High"))</f>
        <v>Low</v>
      </c>
      <c r="J999">
        <f>YEAR(cf_cl[[#This Row],[date_submitted]])</f>
        <v>2021</v>
      </c>
      <c r="K999" s="3" t="str">
        <f>TEXT(cf_cl[[#This Row],[date_submitted]],"mmm")</f>
        <v>Jul</v>
      </c>
      <c r="L999" s="3" t="str">
        <f t="shared" si="45"/>
        <v>Q3</v>
      </c>
      <c r="M999" s="3" t="str">
        <f t="shared" si="46"/>
        <v>Sunday</v>
      </c>
      <c r="N999" s="3" t="str">
        <f t="shared" si="47"/>
        <v>Yes</v>
      </c>
      <c r="O999" s="3" t="str">
        <f>IF(COUNTIF($B:$B,B999)=1,"New Customer",
IF(COUNTIF($B:$B,B999)&lt;=3,"Returning Customer","Loyal Customer"))</f>
        <v>New Customer</v>
      </c>
      <c r="P999" s="3" t="str">
        <f>IF(cf_cl[[#This Row],[referred_claim]]="Yes","Referred","Not Referred")</f>
        <v>Not Referred</v>
      </c>
    </row>
    <row r="1000" spans="1:16" x14ac:dyDescent="0.3">
      <c r="A1000" t="s">
        <v>1845</v>
      </c>
      <c r="B1000" t="s">
        <v>1846</v>
      </c>
      <c r="C1000" s="1">
        <v>44520</v>
      </c>
      <c r="D1000" t="s">
        <v>25</v>
      </c>
      <c r="E1000">
        <v>4</v>
      </c>
      <c r="F1000" s="3" t="s">
        <v>13</v>
      </c>
      <c r="G1000" s="3" t="s">
        <v>10</v>
      </c>
      <c r="H1000" s="3" t="str">
        <f>IF(cf_cl[[#This Row],[satisfaction_score]]&gt;=4,"Happy",IF(cf_cl[[#This Row],[satisfaction_score]]=3,"Neutral","Negative"))</f>
        <v>Happy</v>
      </c>
      <c r="I1000" s="3" t="str">
        <f>IF(cf_cl[[#This Row],[satisfaction_score]]&lt;=2,"Low",IF(cf_cl[[#This Row],[satisfaction_score]]=3,"Medium","High"))</f>
        <v>High</v>
      </c>
      <c r="J1000">
        <f>YEAR(cf_cl[[#This Row],[date_submitted]])</f>
        <v>2021</v>
      </c>
      <c r="K1000" s="3" t="str">
        <f>TEXT(cf_cl[[#This Row],[date_submitted]],"mmm")</f>
        <v>Nov</v>
      </c>
      <c r="L1000" s="3" t="str">
        <f t="shared" si="45"/>
        <v>Q4</v>
      </c>
      <c r="M1000" s="3" t="str">
        <f t="shared" si="46"/>
        <v>Saturday</v>
      </c>
      <c r="N1000" s="3" t="str">
        <f t="shared" si="47"/>
        <v>No</v>
      </c>
      <c r="O1000" s="3" t="str">
        <f>IF(COUNTIF($B:$B,B1000)=1,"New Customer",
IF(COUNTIF($B:$B,B1000)&lt;=3,"Returning Customer","Loyal Customer"))</f>
        <v>New Customer</v>
      </c>
      <c r="P1000" s="3" t="str">
        <f>IF(cf_cl[[#This Row],[referred_claim]]="Yes","Referred","Not Referred")</f>
        <v>Referred</v>
      </c>
    </row>
    <row r="1001" spans="1:16" x14ac:dyDescent="0.3">
      <c r="A1001" t="s">
        <v>1847</v>
      </c>
      <c r="B1001" t="s">
        <v>1848</v>
      </c>
      <c r="C1001" s="1">
        <v>45005</v>
      </c>
      <c r="D1001" t="s">
        <v>22</v>
      </c>
      <c r="E1001">
        <v>5</v>
      </c>
      <c r="F1001" s="3" t="s">
        <v>10</v>
      </c>
      <c r="G1001" s="3" t="s">
        <v>13</v>
      </c>
      <c r="H1001" s="3" t="str">
        <f>IF(cf_cl[[#This Row],[satisfaction_score]]&gt;=4,"Happy",IF(cf_cl[[#This Row],[satisfaction_score]]=3,"Neutral","Negative"))</f>
        <v>Happy</v>
      </c>
      <c r="I1001" s="3" t="str">
        <f>IF(cf_cl[[#This Row],[satisfaction_score]]&lt;=2,"Low",IF(cf_cl[[#This Row],[satisfaction_score]]=3,"Medium","High"))</f>
        <v>High</v>
      </c>
      <c r="J1001">
        <f>YEAR(cf_cl[[#This Row],[date_submitted]])</f>
        <v>2023</v>
      </c>
      <c r="K1001" s="3" t="str">
        <f>TEXT(cf_cl[[#This Row],[date_submitted]],"mmm")</f>
        <v>Mar</v>
      </c>
      <c r="L1001" s="3" t="str">
        <f t="shared" si="45"/>
        <v>Q1</v>
      </c>
      <c r="M1001" s="3" t="str">
        <f t="shared" si="46"/>
        <v>Monday</v>
      </c>
      <c r="N1001" s="3" t="str">
        <f t="shared" si="47"/>
        <v>No</v>
      </c>
      <c r="O1001" s="3" t="str">
        <f>IF(COUNTIF($B:$B,B1001)=1,"New Customer",
IF(COUNTIF($B:$B,B1001)&lt;=3,"Returning Customer","Loyal Customer"))</f>
        <v>New Customer</v>
      </c>
      <c r="P1001" s="3" t="str">
        <f>IF(cf_cl[[#This Row],[referred_claim]]="Yes","Referred","Not Referred")</f>
        <v>Not Referred</v>
      </c>
    </row>
    <row r="1002" spans="1:16" x14ac:dyDescent="0.3">
      <c r="C1002" s="1"/>
      <c r="F1002" s="3"/>
      <c r="G1002" s="3"/>
      <c r="H1002" s="3"/>
      <c r="I1002" s="3"/>
      <c r="K1002" s="3"/>
      <c r="L1002" s="3"/>
      <c r="M1002" s="3"/>
      <c r="N1002" s="3"/>
      <c r="O1002" s="3"/>
      <c r="P1002" s="3"/>
    </row>
  </sheetData>
  <conditionalFormatting sqref="H2:H1002">
    <cfRule type="cellIs" dxfId="10" priority="5" operator="equal">
      <formula>"Negative"</formula>
    </cfRule>
    <cfRule type="cellIs" dxfId="9" priority="6" operator="equal">
      <formula>"Neutral"</formula>
    </cfRule>
    <cfRule type="cellIs" dxfId="8" priority="7" operator="equal">
      <formula>"Happy"</formula>
    </cfRule>
  </conditionalFormatting>
  <conditionalFormatting sqref="E2:E1001">
    <cfRule type="colorScale" priority="4">
      <colorScale>
        <cfvo type="min"/>
        <cfvo type="percentile" val="50"/>
        <cfvo type="max"/>
        <color rgb="FFF8696B"/>
        <color rgb="FFFFEB84"/>
        <color rgb="FF63BE7B"/>
      </colorScale>
    </cfRule>
  </conditionalFormatting>
  <conditionalFormatting sqref="I2:I1001">
    <cfRule type="cellIs" dxfId="0" priority="3" operator="equal">
      <formula>"High"</formula>
    </cfRule>
    <cfRule type="cellIs" dxfId="1" priority="2" operator="equal">
      <formula>"Medium"</formula>
    </cfRule>
    <cfRule type="cellIs" dxfId="2" priority="1" operator="equal">
      <formula>"Low"</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FA20F-4199-43F3-8AE5-CCE7B8967448}">
  <dimension ref="B1:Q66"/>
  <sheetViews>
    <sheetView showGridLines="0" topLeftCell="A10" zoomScale="70" zoomScaleNormal="70" workbookViewId="0">
      <selection activeCell="S1" sqref="S1"/>
    </sheetView>
  </sheetViews>
  <sheetFormatPr defaultRowHeight="14.4" x14ac:dyDescent="0.3"/>
  <cols>
    <col min="1" max="1" width="8.88671875" style="4"/>
    <col min="2" max="2" width="13.44140625" style="4" bestFit="1" customWidth="1"/>
    <col min="3" max="3" width="26" style="4" bestFit="1" customWidth="1"/>
    <col min="4" max="4" width="8.88671875" style="4" bestFit="1" customWidth="1"/>
    <col min="5" max="5" width="7.6640625" style="4" bestFit="1" customWidth="1"/>
    <col min="6" max="6" width="14.88671875" style="4" bestFit="1" customWidth="1"/>
    <col min="7" max="7" width="13.44140625" style="4" bestFit="1" customWidth="1"/>
    <col min="8" max="8" width="36.109375" style="4" bestFit="1" customWidth="1"/>
    <col min="9" max="9" width="13.44140625" style="4" bestFit="1" customWidth="1"/>
    <col min="10" max="10" width="27.5546875" style="4" bestFit="1" customWidth="1"/>
    <col min="11" max="11" width="10.44140625" style="4" bestFit="1" customWidth="1"/>
    <col min="12" max="12" width="13.44140625" style="4" bestFit="1" customWidth="1"/>
    <col min="13" max="13" width="26.33203125" style="4" bestFit="1" customWidth="1"/>
    <col min="14" max="14" width="16.44140625" style="4" bestFit="1" customWidth="1"/>
    <col min="15" max="15" width="11.6640625" style="4" bestFit="1" customWidth="1"/>
    <col min="16" max="16" width="12.44140625" style="4" customWidth="1"/>
    <col min="17" max="17" width="14.88671875" style="4" bestFit="1" customWidth="1"/>
    <col min="18" max="832" width="10.44140625" style="4" bestFit="1" customWidth="1"/>
    <col min="833" max="833" width="10.77734375" style="4" bestFit="1" customWidth="1"/>
    <col min="834" max="16384" width="8.88671875" style="4"/>
  </cols>
  <sheetData>
    <row r="1" spans="2:13" ht="15" thickBot="1" x14ac:dyDescent="0.35"/>
    <row r="2" spans="2:13" ht="26.4" thickBot="1" x14ac:dyDescent="0.55000000000000004">
      <c r="E2" s="42" t="s">
        <v>2623</v>
      </c>
      <c r="F2" s="43"/>
      <c r="G2" s="43"/>
      <c r="H2" s="43"/>
      <c r="I2" s="43"/>
      <c r="J2" s="44"/>
    </row>
    <row r="7" spans="2:13" ht="18" x14ac:dyDescent="0.35">
      <c r="B7" s="45" t="s">
        <v>2589</v>
      </c>
      <c r="C7" s="46"/>
      <c r="G7" s="45" t="s">
        <v>2591</v>
      </c>
      <c r="H7" s="46"/>
      <c r="L7" s="45" t="s">
        <v>2592</v>
      </c>
      <c r="M7" s="46"/>
    </row>
    <row r="9" spans="2:13" x14ac:dyDescent="0.3">
      <c r="B9" s="11" t="s">
        <v>2583</v>
      </c>
      <c r="C9" s="11" t="s">
        <v>2588</v>
      </c>
      <c r="G9" s="11" t="s">
        <v>2583</v>
      </c>
      <c r="H9" s="11" t="s">
        <v>2590</v>
      </c>
      <c r="L9" s="11" t="s">
        <v>2583</v>
      </c>
      <c r="M9" s="11" t="s">
        <v>2588</v>
      </c>
    </row>
    <row r="10" spans="2:13" x14ac:dyDescent="0.3">
      <c r="B10" s="12" t="s">
        <v>2584</v>
      </c>
      <c r="C10" s="8">
        <v>464</v>
      </c>
      <c r="G10" s="12" t="s">
        <v>2584</v>
      </c>
      <c r="H10" s="19">
        <v>4.5323275862068968</v>
      </c>
      <c r="L10" s="12" t="s">
        <v>2593</v>
      </c>
      <c r="M10" s="8">
        <v>105</v>
      </c>
    </row>
    <row r="11" spans="2:13" x14ac:dyDescent="0.3">
      <c r="B11" s="15" t="s">
        <v>2585</v>
      </c>
      <c r="C11" s="9">
        <v>339</v>
      </c>
      <c r="G11" s="15" t="s">
        <v>2585</v>
      </c>
      <c r="H11" s="20">
        <v>1.5604719764011798</v>
      </c>
      <c r="L11" s="15" t="s">
        <v>2594</v>
      </c>
      <c r="M11" s="9">
        <v>84</v>
      </c>
    </row>
    <row r="12" spans="2:13" x14ac:dyDescent="0.3">
      <c r="B12" s="13" t="s">
        <v>2586</v>
      </c>
      <c r="C12" s="9">
        <v>197</v>
      </c>
      <c r="G12" s="13" t="s">
        <v>2586</v>
      </c>
      <c r="H12" s="9">
        <v>3</v>
      </c>
      <c r="L12" s="15" t="s">
        <v>2595</v>
      </c>
      <c r="M12" s="9">
        <v>66</v>
      </c>
    </row>
    <row r="13" spans="2:13" x14ac:dyDescent="0.3">
      <c r="B13" s="14" t="s">
        <v>2587</v>
      </c>
      <c r="C13" s="10">
        <v>1000</v>
      </c>
      <c r="G13" s="14" t="s">
        <v>2587</v>
      </c>
      <c r="H13" s="10">
        <v>3.2229999999999999</v>
      </c>
      <c r="L13" s="15" t="s">
        <v>2596</v>
      </c>
      <c r="M13" s="9">
        <v>76</v>
      </c>
    </row>
    <row r="14" spans="2:13" x14ac:dyDescent="0.3">
      <c r="L14" s="15" t="s">
        <v>2597</v>
      </c>
      <c r="M14" s="9">
        <v>78</v>
      </c>
    </row>
    <row r="15" spans="2:13" x14ac:dyDescent="0.3">
      <c r="L15" s="15" t="s">
        <v>2598</v>
      </c>
      <c r="M15" s="9">
        <v>88</v>
      </c>
    </row>
    <row r="16" spans="2:13" x14ac:dyDescent="0.3">
      <c r="L16" s="15" t="s">
        <v>2599</v>
      </c>
      <c r="M16" s="9">
        <v>87</v>
      </c>
    </row>
    <row r="17" spans="2:13" x14ac:dyDescent="0.3">
      <c r="L17" s="15" t="s">
        <v>2600</v>
      </c>
      <c r="M17" s="9">
        <v>89</v>
      </c>
    </row>
    <row r="18" spans="2:13" x14ac:dyDescent="0.3">
      <c r="L18" s="15" t="s">
        <v>2601</v>
      </c>
      <c r="M18" s="9">
        <v>80</v>
      </c>
    </row>
    <row r="19" spans="2:13" x14ac:dyDescent="0.3">
      <c r="L19" s="15" t="s">
        <v>2602</v>
      </c>
      <c r="M19" s="9">
        <v>92</v>
      </c>
    </row>
    <row r="20" spans="2:13" x14ac:dyDescent="0.3">
      <c r="L20" s="15" t="s">
        <v>2603</v>
      </c>
      <c r="M20" s="9">
        <v>83</v>
      </c>
    </row>
    <row r="21" spans="2:13" x14ac:dyDescent="0.3">
      <c r="L21" s="13" t="s">
        <v>2604</v>
      </c>
      <c r="M21" s="9">
        <v>72</v>
      </c>
    </row>
    <row r="22" spans="2:13" x14ac:dyDescent="0.3">
      <c r="L22" s="14" t="s">
        <v>2587</v>
      </c>
      <c r="M22" s="10">
        <v>1000</v>
      </c>
    </row>
    <row r="27" spans="2:13" ht="18" x14ac:dyDescent="0.35">
      <c r="B27" s="45" t="s">
        <v>2605</v>
      </c>
      <c r="C27" s="46"/>
      <c r="G27" s="45" t="s">
        <v>2606</v>
      </c>
      <c r="H27" s="46"/>
      <c r="L27" s="45" t="s">
        <v>2611</v>
      </c>
      <c r="M27" s="46"/>
    </row>
    <row r="29" spans="2:13" x14ac:dyDescent="0.3">
      <c r="B29" s="11" t="s">
        <v>2583</v>
      </c>
      <c r="C29" s="11" t="s">
        <v>2588</v>
      </c>
      <c r="G29" s="11" t="s">
        <v>2583</v>
      </c>
      <c r="H29" s="11" t="s">
        <v>2588</v>
      </c>
      <c r="L29" s="11" t="s">
        <v>2583</v>
      </c>
      <c r="M29" s="11" t="s">
        <v>2588</v>
      </c>
    </row>
    <row r="30" spans="2:13" x14ac:dyDescent="0.3">
      <c r="B30" s="12">
        <v>2020</v>
      </c>
      <c r="C30" s="8">
        <v>244</v>
      </c>
      <c r="G30" s="12" t="s">
        <v>2607</v>
      </c>
      <c r="H30" s="8">
        <v>255</v>
      </c>
      <c r="L30" s="12" t="s">
        <v>13</v>
      </c>
      <c r="M30" s="8">
        <v>661</v>
      </c>
    </row>
    <row r="31" spans="2:13" x14ac:dyDescent="0.3">
      <c r="B31" s="15">
        <v>2021</v>
      </c>
      <c r="C31" s="9">
        <v>256</v>
      </c>
      <c r="G31" s="15" t="s">
        <v>2608</v>
      </c>
      <c r="H31" s="9">
        <v>242</v>
      </c>
      <c r="L31" s="13" t="s">
        <v>10</v>
      </c>
      <c r="M31" s="9">
        <v>339</v>
      </c>
    </row>
    <row r="32" spans="2:13" x14ac:dyDescent="0.3">
      <c r="B32" s="15">
        <v>2022</v>
      </c>
      <c r="C32" s="9">
        <v>265</v>
      </c>
      <c r="G32" s="15" t="s">
        <v>2609</v>
      </c>
      <c r="H32" s="9">
        <v>256</v>
      </c>
      <c r="L32" s="14" t="s">
        <v>2587</v>
      </c>
      <c r="M32" s="10">
        <v>1000</v>
      </c>
    </row>
    <row r="33" spans="2:13" x14ac:dyDescent="0.3">
      <c r="B33" s="13">
        <v>2023</v>
      </c>
      <c r="C33" s="9">
        <v>235</v>
      </c>
      <c r="G33" s="13" t="s">
        <v>2610</v>
      </c>
      <c r="H33" s="9">
        <v>247</v>
      </c>
    </row>
    <row r="34" spans="2:13" x14ac:dyDescent="0.3">
      <c r="B34" s="14" t="s">
        <v>2587</v>
      </c>
      <c r="C34" s="10">
        <v>1000</v>
      </c>
      <c r="G34" s="14" t="s">
        <v>2587</v>
      </c>
      <c r="H34" s="10">
        <v>1000</v>
      </c>
    </row>
    <row r="39" spans="2:13" ht="18" x14ac:dyDescent="0.35">
      <c r="B39" s="45" t="s">
        <v>2612</v>
      </c>
      <c r="C39" s="46"/>
      <c r="G39" s="45" t="s">
        <v>2613</v>
      </c>
      <c r="H39" s="46"/>
      <c r="L39" s="45" t="s">
        <v>2614</v>
      </c>
      <c r="M39" s="46"/>
    </row>
    <row r="41" spans="2:13" x14ac:dyDescent="0.3">
      <c r="B41" s="11" t="s">
        <v>2583</v>
      </c>
      <c r="C41" s="11" t="s">
        <v>2588</v>
      </c>
      <c r="G41" s="11" t="s">
        <v>2583</v>
      </c>
      <c r="H41" s="11" t="s">
        <v>2588</v>
      </c>
      <c r="L41" s="11" t="s">
        <v>2583</v>
      </c>
      <c r="M41" s="11" t="s">
        <v>2588</v>
      </c>
    </row>
    <row r="42" spans="2:13" x14ac:dyDescent="0.3">
      <c r="B42" s="12" t="s">
        <v>13</v>
      </c>
      <c r="C42" s="8">
        <v>482</v>
      </c>
      <c r="G42" s="12" t="s">
        <v>13</v>
      </c>
      <c r="H42" s="8">
        <v>504</v>
      </c>
      <c r="L42" s="12" t="s">
        <v>2615</v>
      </c>
      <c r="M42" s="8">
        <v>464</v>
      </c>
    </row>
    <row r="43" spans="2:13" x14ac:dyDescent="0.3">
      <c r="B43" s="13" t="s">
        <v>10</v>
      </c>
      <c r="C43" s="9">
        <v>518</v>
      </c>
      <c r="G43" s="13" t="s">
        <v>10</v>
      </c>
      <c r="H43" s="9">
        <v>496</v>
      </c>
      <c r="L43" s="15" t="s">
        <v>2616</v>
      </c>
      <c r="M43" s="9">
        <v>339</v>
      </c>
    </row>
    <row r="44" spans="2:13" x14ac:dyDescent="0.3">
      <c r="B44" s="14" t="s">
        <v>2587</v>
      </c>
      <c r="C44" s="10">
        <v>1000</v>
      </c>
      <c r="G44" s="14" t="s">
        <v>2587</v>
      </c>
      <c r="H44" s="10">
        <v>1000</v>
      </c>
      <c r="L44" s="13" t="s">
        <v>2617</v>
      </c>
      <c r="M44" s="9">
        <v>197</v>
      </c>
    </row>
    <row r="45" spans="2:13" x14ac:dyDescent="0.3">
      <c r="L45" s="14" t="s">
        <v>2587</v>
      </c>
      <c r="M45" s="10">
        <v>1000</v>
      </c>
    </row>
    <row r="50" spans="2:17" ht="18" x14ac:dyDescent="0.35">
      <c r="B50" s="45" t="s">
        <v>2618</v>
      </c>
      <c r="C50" s="46"/>
      <c r="I50" s="45" t="s">
        <v>2620</v>
      </c>
      <c r="J50" s="46"/>
      <c r="M50" s="45" t="s">
        <v>2622</v>
      </c>
      <c r="N50" s="47"/>
      <c r="O50" s="46"/>
    </row>
    <row r="52" spans="2:17" x14ac:dyDescent="0.3">
      <c r="B52" s="11" t="s">
        <v>2588</v>
      </c>
      <c r="C52" s="11" t="s">
        <v>2619</v>
      </c>
      <c r="D52" s="16"/>
      <c r="E52" s="17"/>
      <c r="F52" s="18"/>
      <c r="I52" s="11" t="s">
        <v>2583</v>
      </c>
      <c r="J52" s="11" t="s">
        <v>2590</v>
      </c>
      <c r="M52" s="11" t="s">
        <v>2621</v>
      </c>
      <c r="N52" s="11" t="s">
        <v>2619</v>
      </c>
      <c r="O52" s="16"/>
      <c r="P52" s="17"/>
      <c r="Q52" s="18"/>
    </row>
    <row r="53" spans="2:17" x14ac:dyDescent="0.3">
      <c r="B53" s="11" t="s">
        <v>2583</v>
      </c>
      <c r="C53" s="16" t="s">
        <v>2584</v>
      </c>
      <c r="D53" s="17" t="s">
        <v>2585</v>
      </c>
      <c r="E53" s="18" t="s">
        <v>2586</v>
      </c>
      <c r="F53" s="11" t="s">
        <v>2587</v>
      </c>
      <c r="I53" s="12">
        <v>2020</v>
      </c>
      <c r="J53" s="19">
        <v>3.278688524590164</v>
      </c>
      <c r="M53" s="11" t="s">
        <v>2583</v>
      </c>
      <c r="N53" s="16" t="s">
        <v>2584</v>
      </c>
      <c r="O53" s="17" t="s">
        <v>2585</v>
      </c>
      <c r="P53" s="18" t="s">
        <v>2586</v>
      </c>
      <c r="Q53" s="11" t="s">
        <v>2587</v>
      </c>
    </row>
    <row r="54" spans="2:17" x14ac:dyDescent="0.3">
      <c r="B54" s="12" t="s">
        <v>2593</v>
      </c>
      <c r="C54" s="31">
        <v>46</v>
      </c>
      <c r="D54" s="32">
        <v>39</v>
      </c>
      <c r="E54" s="32">
        <v>20</v>
      </c>
      <c r="F54" s="33">
        <v>105</v>
      </c>
      <c r="I54" s="15">
        <v>2021</v>
      </c>
      <c r="J54" s="20">
        <v>3.21875</v>
      </c>
      <c r="M54" s="12" t="s">
        <v>13</v>
      </c>
      <c r="N54" s="22">
        <v>220</v>
      </c>
      <c r="O54" s="23">
        <v>168</v>
      </c>
      <c r="P54" s="23">
        <v>94</v>
      </c>
      <c r="Q54" s="24">
        <v>482</v>
      </c>
    </row>
    <row r="55" spans="2:17" x14ac:dyDescent="0.3">
      <c r="B55" s="15" t="s">
        <v>2594</v>
      </c>
      <c r="C55" s="34">
        <v>40</v>
      </c>
      <c r="D55" s="4">
        <v>28</v>
      </c>
      <c r="E55" s="4">
        <v>16</v>
      </c>
      <c r="F55" s="28">
        <v>84</v>
      </c>
      <c r="I55" s="15">
        <v>2022</v>
      </c>
      <c r="J55" s="20">
        <v>3.2641509433962264</v>
      </c>
      <c r="M55" s="13" t="s">
        <v>10</v>
      </c>
      <c r="N55" s="25">
        <v>244</v>
      </c>
      <c r="O55" s="36">
        <v>171</v>
      </c>
      <c r="P55" s="36">
        <v>103</v>
      </c>
      <c r="Q55" s="5">
        <v>518</v>
      </c>
    </row>
    <row r="56" spans="2:17" x14ac:dyDescent="0.3">
      <c r="B56" s="15" t="s">
        <v>2595</v>
      </c>
      <c r="C56" s="34">
        <v>32</v>
      </c>
      <c r="D56" s="4">
        <v>23</v>
      </c>
      <c r="E56" s="4">
        <v>11</v>
      </c>
      <c r="F56" s="28">
        <v>66</v>
      </c>
      <c r="I56" s="13">
        <v>2023</v>
      </c>
      <c r="J56" s="20">
        <v>3.1234042553191488</v>
      </c>
      <c r="M56" s="14" t="s">
        <v>2587</v>
      </c>
      <c r="N56" s="26">
        <v>464</v>
      </c>
      <c r="O56" s="7">
        <v>339</v>
      </c>
      <c r="P56" s="7">
        <v>197</v>
      </c>
      <c r="Q56" s="6">
        <v>1000</v>
      </c>
    </row>
    <row r="57" spans="2:17" x14ac:dyDescent="0.3">
      <c r="B57" s="15" t="s">
        <v>2596</v>
      </c>
      <c r="C57" s="34">
        <v>40</v>
      </c>
      <c r="D57" s="4">
        <v>28</v>
      </c>
      <c r="E57" s="4">
        <v>8</v>
      </c>
      <c r="F57" s="28">
        <v>76</v>
      </c>
      <c r="I57" s="14" t="s">
        <v>2587</v>
      </c>
      <c r="J57" s="21">
        <v>3.2229999999999999</v>
      </c>
    </row>
    <row r="58" spans="2:17" x14ac:dyDescent="0.3">
      <c r="B58" s="15" t="s">
        <v>2597</v>
      </c>
      <c r="C58" s="34">
        <v>37</v>
      </c>
      <c r="D58" s="4">
        <v>27</v>
      </c>
      <c r="E58" s="4">
        <v>14</v>
      </c>
      <c r="F58" s="28">
        <v>78</v>
      </c>
    </row>
    <row r="59" spans="2:17" x14ac:dyDescent="0.3">
      <c r="B59" s="15" t="s">
        <v>2598</v>
      </c>
      <c r="C59" s="34">
        <v>35</v>
      </c>
      <c r="D59" s="4">
        <v>33</v>
      </c>
      <c r="E59" s="4">
        <v>20</v>
      </c>
      <c r="F59" s="28">
        <v>88</v>
      </c>
    </row>
    <row r="60" spans="2:17" x14ac:dyDescent="0.3">
      <c r="B60" s="15" t="s">
        <v>2599</v>
      </c>
      <c r="C60" s="34">
        <v>34</v>
      </c>
      <c r="D60" s="4">
        <v>32</v>
      </c>
      <c r="E60" s="4">
        <v>21</v>
      </c>
      <c r="F60" s="28">
        <v>87</v>
      </c>
    </row>
    <row r="61" spans="2:17" x14ac:dyDescent="0.3">
      <c r="B61" s="15" t="s">
        <v>2600</v>
      </c>
      <c r="C61" s="34">
        <v>39</v>
      </c>
      <c r="D61" s="4">
        <v>34</v>
      </c>
      <c r="E61" s="4">
        <v>16</v>
      </c>
      <c r="F61" s="28">
        <v>89</v>
      </c>
    </row>
    <row r="62" spans="2:17" x14ac:dyDescent="0.3">
      <c r="B62" s="15" t="s">
        <v>2601</v>
      </c>
      <c r="C62" s="34">
        <v>41</v>
      </c>
      <c r="D62" s="4">
        <v>22</v>
      </c>
      <c r="E62" s="4">
        <v>17</v>
      </c>
      <c r="F62" s="28">
        <v>80</v>
      </c>
    </row>
    <row r="63" spans="2:17" x14ac:dyDescent="0.3">
      <c r="B63" s="15" t="s">
        <v>2602</v>
      </c>
      <c r="C63" s="34">
        <v>50</v>
      </c>
      <c r="D63" s="4">
        <v>21</v>
      </c>
      <c r="E63" s="4">
        <v>21</v>
      </c>
      <c r="F63" s="28">
        <v>92</v>
      </c>
    </row>
    <row r="64" spans="2:17" x14ac:dyDescent="0.3">
      <c r="B64" s="15" t="s">
        <v>2603</v>
      </c>
      <c r="C64" s="34">
        <v>38</v>
      </c>
      <c r="D64" s="4">
        <v>32</v>
      </c>
      <c r="E64" s="4">
        <v>13</v>
      </c>
      <c r="F64" s="28">
        <v>83</v>
      </c>
    </row>
    <row r="65" spans="2:6" x14ac:dyDescent="0.3">
      <c r="B65" s="13" t="s">
        <v>2604</v>
      </c>
      <c r="C65" s="34">
        <v>32</v>
      </c>
      <c r="D65" s="4">
        <v>20</v>
      </c>
      <c r="E65" s="4">
        <v>20</v>
      </c>
      <c r="F65" s="28">
        <v>72</v>
      </c>
    </row>
    <row r="66" spans="2:6" x14ac:dyDescent="0.3">
      <c r="B66" s="14" t="s">
        <v>2587</v>
      </c>
      <c r="C66" s="35">
        <v>464</v>
      </c>
      <c r="D66" s="30">
        <v>339</v>
      </c>
      <c r="E66" s="30">
        <v>197</v>
      </c>
      <c r="F66" s="29">
        <v>1000</v>
      </c>
    </row>
  </sheetData>
  <mergeCells count="13">
    <mergeCell ref="E2:J2"/>
    <mergeCell ref="B39:C39"/>
    <mergeCell ref="G39:H39"/>
    <mergeCell ref="L39:M39"/>
    <mergeCell ref="B50:C50"/>
    <mergeCell ref="M50:O50"/>
    <mergeCell ref="I50:J50"/>
    <mergeCell ref="B7:C7"/>
    <mergeCell ref="G7:H7"/>
    <mergeCell ref="L7:M7"/>
    <mergeCell ref="B27:C27"/>
    <mergeCell ref="G27:H27"/>
    <mergeCell ref="L27:M2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643BB-2B6E-45C2-B1A4-F94A3A2D9861}">
  <dimension ref="D1:S53"/>
  <sheetViews>
    <sheetView showGridLines="0" workbookViewId="0">
      <selection activeCell="J7" sqref="J7"/>
    </sheetView>
  </sheetViews>
  <sheetFormatPr defaultRowHeight="14.4" x14ac:dyDescent="0.3"/>
  <cols>
    <col min="1" max="16384" width="8.88671875" style="27"/>
  </cols>
  <sheetData>
    <row r="1" spans="4:19" ht="15" thickBot="1" x14ac:dyDescent="0.35"/>
    <row r="2" spans="4:19" ht="26.4" thickBot="1" x14ac:dyDescent="0.55000000000000004">
      <c r="H2" s="51" t="s">
        <v>2626</v>
      </c>
      <c r="I2" s="52"/>
      <c r="J2" s="52"/>
      <c r="K2" s="52"/>
      <c r="L2" s="52"/>
      <c r="M2" s="52"/>
      <c r="N2" s="52"/>
      <c r="O2" s="53"/>
    </row>
    <row r="14" spans="4:19" ht="21" x14ac:dyDescent="0.4">
      <c r="D14" s="48" t="s">
        <v>2589</v>
      </c>
      <c r="E14" s="49"/>
      <c r="F14" s="49"/>
      <c r="G14" s="49"/>
      <c r="H14" s="50"/>
      <c r="O14" s="48" t="s">
        <v>2592</v>
      </c>
      <c r="P14" s="49"/>
      <c r="Q14" s="49"/>
      <c r="R14" s="49"/>
      <c r="S14" s="50"/>
    </row>
    <row r="33" spans="4:19" ht="21" x14ac:dyDescent="0.4">
      <c r="D33" s="48" t="s">
        <v>2612</v>
      </c>
      <c r="E33" s="49"/>
      <c r="F33" s="49"/>
      <c r="G33" s="49"/>
      <c r="H33" s="50"/>
      <c r="O33" s="48" t="s">
        <v>2624</v>
      </c>
      <c r="P33" s="49"/>
      <c r="Q33" s="49"/>
      <c r="R33" s="49"/>
      <c r="S33" s="50"/>
    </row>
    <row r="53" spans="4:19" ht="21" x14ac:dyDescent="0.4">
      <c r="D53" s="48" t="s">
        <v>2614</v>
      </c>
      <c r="E53" s="49"/>
      <c r="F53" s="49"/>
      <c r="G53" s="49"/>
      <c r="H53" s="50"/>
      <c r="O53" s="48" t="s">
        <v>2625</v>
      </c>
      <c r="P53" s="49"/>
      <c r="Q53" s="49"/>
      <c r="R53" s="49"/>
      <c r="S53" s="50"/>
    </row>
  </sheetData>
  <mergeCells count="7">
    <mergeCell ref="D53:H53"/>
    <mergeCell ref="O53:S53"/>
    <mergeCell ref="H2:O2"/>
    <mergeCell ref="D14:H14"/>
    <mergeCell ref="O14:S14"/>
    <mergeCell ref="D33:H33"/>
    <mergeCell ref="O33:S3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65C63-A5A7-4D19-9523-2E72574DBD7C}">
  <dimension ref="D1:X74"/>
  <sheetViews>
    <sheetView topLeftCell="A55" workbookViewId="0">
      <selection activeCell="H78" sqref="H78"/>
    </sheetView>
  </sheetViews>
  <sheetFormatPr defaultRowHeight="14.4" x14ac:dyDescent="0.3"/>
  <cols>
    <col min="1" max="16384" width="8.88671875" style="37"/>
  </cols>
  <sheetData>
    <row r="1" spans="6:16" ht="15" thickBot="1" x14ac:dyDescent="0.35"/>
    <row r="2" spans="6:16" ht="29.4" thickBot="1" x14ac:dyDescent="0.6">
      <c r="H2" s="65" t="s">
        <v>2628</v>
      </c>
      <c r="I2" s="66"/>
      <c r="J2" s="66"/>
      <c r="K2" s="66"/>
      <c r="L2" s="66"/>
      <c r="M2" s="66"/>
      <c r="N2" s="67"/>
    </row>
    <row r="6" spans="6:16" x14ac:dyDescent="0.3">
      <c r="F6" s="56" t="s">
        <v>2627</v>
      </c>
      <c r="G6" s="57"/>
      <c r="H6" s="57"/>
      <c r="I6" s="57"/>
      <c r="J6" s="57"/>
      <c r="K6" s="57"/>
      <c r="L6" s="57"/>
      <c r="M6" s="57"/>
      <c r="N6" s="57"/>
      <c r="O6" s="57"/>
      <c r="P6" s="58"/>
    </row>
    <row r="7" spans="6:16" x14ac:dyDescent="0.3">
      <c r="F7" s="59"/>
      <c r="G7" s="60"/>
      <c r="H7" s="60"/>
      <c r="I7" s="60"/>
      <c r="J7" s="60"/>
      <c r="K7" s="60"/>
      <c r="L7" s="60"/>
      <c r="M7" s="60"/>
      <c r="N7" s="60"/>
      <c r="O7" s="60"/>
      <c r="P7" s="61"/>
    </row>
    <row r="8" spans="6:16" x14ac:dyDescent="0.3">
      <c r="F8" s="59"/>
      <c r="G8" s="60"/>
      <c r="H8" s="60"/>
      <c r="I8" s="60"/>
      <c r="J8" s="60"/>
      <c r="K8" s="60"/>
      <c r="L8" s="60"/>
      <c r="M8" s="60"/>
      <c r="N8" s="60"/>
      <c r="O8" s="60"/>
      <c r="P8" s="61"/>
    </row>
    <row r="9" spans="6:16" x14ac:dyDescent="0.3">
      <c r="F9" s="59"/>
      <c r="G9" s="60"/>
      <c r="H9" s="60"/>
      <c r="I9" s="60"/>
      <c r="J9" s="60"/>
      <c r="K9" s="60"/>
      <c r="L9" s="60"/>
      <c r="M9" s="60"/>
      <c r="N9" s="60"/>
      <c r="O9" s="60"/>
      <c r="P9" s="61"/>
    </row>
    <row r="10" spans="6:16" x14ac:dyDescent="0.3">
      <c r="F10" s="59"/>
      <c r="G10" s="60"/>
      <c r="H10" s="60"/>
      <c r="I10" s="60"/>
      <c r="J10" s="60"/>
      <c r="K10" s="60"/>
      <c r="L10" s="60"/>
      <c r="M10" s="60"/>
      <c r="N10" s="60"/>
      <c r="O10" s="60"/>
      <c r="P10" s="61"/>
    </row>
    <row r="11" spans="6:16" x14ac:dyDescent="0.3">
      <c r="F11" s="59"/>
      <c r="G11" s="60"/>
      <c r="H11" s="60"/>
      <c r="I11" s="60"/>
      <c r="J11" s="60"/>
      <c r="K11" s="60"/>
      <c r="L11" s="60"/>
      <c r="M11" s="60"/>
      <c r="N11" s="60"/>
      <c r="O11" s="60"/>
      <c r="P11" s="61"/>
    </row>
    <row r="12" spans="6:16" x14ac:dyDescent="0.3">
      <c r="F12" s="59"/>
      <c r="G12" s="60"/>
      <c r="H12" s="60"/>
      <c r="I12" s="60"/>
      <c r="J12" s="60"/>
      <c r="K12" s="60"/>
      <c r="L12" s="60"/>
      <c r="M12" s="60"/>
      <c r="N12" s="60"/>
      <c r="O12" s="60"/>
      <c r="P12" s="61"/>
    </row>
    <row r="13" spans="6:16" x14ac:dyDescent="0.3">
      <c r="F13" s="59"/>
      <c r="G13" s="60"/>
      <c r="H13" s="60"/>
      <c r="I13" s="60"/>
      <c r="J13" s="60"/>
      <c r="K13" s="60"/>
      <c r="L13" s="60"/>
      <c r="M13" s="60"/>
      <c r="N13" s="60"/>
      <c r="O13" s="60"/>
      <c r="P13" s="61"/>
    </row>
    <row r="14" spans="6:16" x14ac:dyDescent="0.3">
      <c r="F14" s="59"/>
      <c r="G14" s="60"/>
      <c r="H14" s="60"/>
      <c r="I14" s="60"/>
      <c r="J14" s="60"/>
      <c r="K14" s="60"/>
      <c r="L14" s="60"/>
      <c r="M14" s="60"/>
      <c r="N14" s="60"/>
      <c r="O14" s="60"/>
      <c r="P14" s="61"/>
    </row>
    <row r="15" spans="6:16" x14ac:dyDescent="0.3">
      <c r="F15" s="59"/>
      <c r="G15" s="60"/>
      <c r="H15" s="60"/>
      <c r="I15" s="60"/>
      <c r="J15" s="60"/>
      <c r="K15" s="60"/>
      <c r="L15" s="60"/>
      <c r="M15" s="60"/>
      <c r="N15" s="60"/>
      <c r="O15" s="60"/>
      <c r="P15" s="61"/>
    </row>
    <row r="16" spans="6:16" x14ac:dyDescent="0.3">
      <c r="F16" s="62"/>
      <c r="G16" s="63"/>
      <c r="H16" s="63"/>
      <c r="I16" s="63"/>
      <c r="J16" s="63"/>
      <c r="K16" s="63"/>
      <c r="L16" s="63"/>
      <c r="M16" s="63"/>
      <c r="N16" s="63"/>
      <c r="O16" s="63"/>
      <c r="P16" s="64"/>
    </row>
    <row r="19" spans="4:16" ht="21" x14ac:dyDescent="0.4">
      <c r="D19" s="68" t="s">
        <v>2629</v>
      </c>
      <c r="E19" s="69"/>
      <c r="F19" s="70"/>
    </row>
    <row r="21" spans="4:16" ht="16.2" thickBot="1" x14ac:dyDescent="0.35">
      <c r="D21" s="54" t="s">
        <v>2630</v>
      </c>
      <c r="E21" s="55"/>
      <c r="F21" s="55"/>
      <c r="G21" s="55"/>
    </row>
    <row r="23" spans="4:16" ht="15.6" x14ac:dyDescent="0.3">
      <c r="D23" s="38" t="s">
        <v>2632</v>
      </c>
      <c r="E23" s="38"/>
      <c r="F23" s="38"/>
      <c r="G23" s="38"/>
      <c r="H23" s="38"/>
      <c r="I23" s="38"/>
      <c r="J23" s="38"/>
      <c r="K23" s="38"/>
      <c r="L23" s="38"/>
      <c r="M23" s="38"/>
      <c r="N23" s="38"/>
      <c r="O23" s="38"/>
      <c r="P23" s="39"/>
    </row>
    <row r="24" spans="4:16" ht="15.6" x14ac:dyDescent="0.3">
      <c r="D24" s="38" t="s">
        <v>2633</v>
      </c>
      <c r="E24" s="38"/>
      <c r="F24" s="38"/>
      <c r="G24" s="38"/>
      <c r="H24" s="38"/>
      <c r="I24" s="38"/>
      <c r="J24" s="38"/>
      <c r="K24" s="38"/>
      <c r="L24" s="38"/>
      <c r="M24" s="38"/>
      <c r="N24" s="38"/>
      <c r="O24" s="38"/>
      <c r="P24" s="39"/>
    </row>
    <row r="25" spans="4:16" ht="15.6" x14ac:dyDescent="0.3">
      <c r="D25" s="38" t="s">
        <v>2634</v>
      </c>
      <c r="E25" s="38"/>
      <c r="F25" s="38"/>
      <c r="G25" s="38"/>
      <c r="H25" s="38"/>
      <c r="I25" s="38"/>
      <c r="J25" s="38"/>
      <c r="K25" s="38"/>
      <c r="L25" s="38"/>
      <c r="M25" s="38"/>
      <c r="N25" s="38"/>
      <c r="O25" s="38"/>
      <c r="P25" s="39"/>
    </row>
    <row r="26" spans="4:16" ht="15.6" x14ac:dyDescent="0.3">
      <c r="D26" s="38" t="s">
        <v>2631</v>
      </c>
      <c r="E26" s="38"/>
      <c r="F26" s="38"/>
      <c r="G26" s="38"/>
      <c r="H26" s="38"/>
      <c r="I26" s="38"/>
      <c r="J26" s="38"/>
      <c r="K26" s="38"/>
      <c r="L26" s="38"/>
      <c r="M26" s="38"/>
      <c r="N26" s="38"/>
      <c r="O26" s="38"/>
      <c r="P26" s="39"/>
    </row>
    <row r="28" spans="4:16" ht="18.600000000000001" thickBot="1" x14ac:dyDescent="0.4">
      <c r="D28" s="54" t="s">
        <v>2635</v>
      </c>
      <c r="E28" s="71"/>
      <c r="F28" s="71"/>
      <c r="G28" s="71"/>
      <c r="H28" s="71"/>
      <c r="I28" s="71"/>
    </row>
    <row r="30" spans="4:16" ht="15.6" x14ac:dyDescent="0.3">
      <c r="D30" s="38" t="s">
        <v>2636</v>
      </c>
      <c r="E30" s="38"/>
      <c r="F30" s="38"/>
      <c r="G30" s="38"/>
      <c r="H30" s="38"/>
      <c r="I30" s="38"/>
      <c r="J30" s="38"/>
      <c r="K30" s="38"/>
      <c r="L30" s="38"/>
      <c r="M30" s="38"/>
      <c r="N30" s="38"/>
      <c r="O30" s="38"/>
      <c r="P30" s="38"/>
    </row>
    <row r="31" spans="4:16" ht="15.6" x14ac:dyDescent="0.3">
      <c r="D31" s="38" t="s">
        <v>2637</v>
      </c>
      <c r="E31" s="38"/>
      <c r="F31" s="38"/>
      <c r="G31" s="38"/>
      <c r="H31" s="38"/>
      <c r="I31" s="38"/>
      <c r="J31" s="38"/>
      <c r="K31" s="38"/>
      <c r="L31" s="38"/>
      <c r="M31" s="38"/>
      <c r="N31" s="38"/>
      <c r="O31" s="38"/>
      <c r="P31" s="38"/>
    </row>
    <row r="32" spans="4:16" ht="15.6" x14ac:dyDescent="0.3">
      <c r="D32" s="38" t="s">
        <v>2638</v>
      </c>
      <c r="E32" s="38"/>
      <c r="F32" s="38"/>
      <c r="G32" s="38"/>
      <c r="H32" s="38"/>
      <c r="I32" s="38"/>
      <c r="J32" s="38"/>
      <c r="K32" s="38"/>
      <c r="L32" s="38"/>
      <c r="M32" s="38"/>
      <c r="N32" s="38"/>
      <c r="O32" s="38"/>
      <c r="P32" s="38"/>
    </row>
    <row r="34" spans="4:16" ht="16.2" thickBot="1" x14ac:dyDescent="0.35">
      <c r="D34" s="54" t="s">
        <v>2639</v>
      </c>
      <c r="E34" s="55"/>
      <c r="F34" s="55"/>
      <c r="G34" s="55"/>
      <c r="H34" s="55"/>
      <c r="I34" s="55"/>
    </row>
    <row r="36" spans="4:16" ht="15.6" x14ac:dyDescent="0.3">
      <c r="D36" s="38" t="s">
        <v>2640</v>
      </c>
      <c r="E36" s="38"/>
      <c r="F36" s="38"/>
      <c r="G36" s="38"/>
      <c r="H36" s="38"/>
      <c r="I36" s="38"/>
      <c r="J36" s="38"/>
      <c r="K36" s="38"/>
      <c r="L36" s="38"/>
    </row>
    <row r="37" spans="4:16" ht="15.6" x14ac:dyDescent="0.3">
      <c r="D37" s="38" t="s">
        <v>2641</v>
      </c>
      <c r="E37" s="38"/>
      <c r="F37" s="38"/>
      <c r="G37" s="38"/>
      <c r="H37" s="38"/>
      <c r="I37" s="38"/>
      <c r="J37" s="38"/>
      <c r="K37" s="38"/>
      <c r="L37" s="38"/>
    </row>
    <row r="38" spans="4:16" ht="15.6" x14ac:dyDescent="0.3">
      <c r="D38" s="38" t="s">
        <v>2642</v>
      </c>
      <c r="E38" s="38"/>
      <c r="F38" s="38"/>
      <c r="G38" s="38"/>
      <c r="H38" s="38"/>
      <c r="I38" s="38"/>
      <c r="J38" s="38"/>
      <c r="K38" s="38"/>
      <c r="L38" s="38"/>
    </row>
    <row r="39" spans="4:16" ht="15.6" x14ac:dyDescent="0.3">
      <c r="D39" s="38" t="s">
        <v>2643</v>
      </c>
      <c r="E39" s="38"/>
      <c r="F39" s="38"/>
      <c r="G39" s="38"/>
      <c r="H39" s="38"/>
      <c r="I39" s="38"/>
      <c r="J39" s="38"/>
      <c r="K39" s="38"/>
      <c r="L39" s="38"/>
    </row>
    <row r="41" spans="4:16" ht="16.2" thickBot="1" x14ac:dyDescent="0.35">
      <c r="D41" s="54" t="s">
        <v>2644</v>
      </c>
      <c r="E41" s="54"/>
      <c r="F41" s="54"/>
    </row>
    <row r="43" spans="4:16" ht="15.6" x14ac:dyDescent="0.3">
      <c r="D43" s="38" t="s">
        <v>2645</v>
      </c>
      <c r="E43" s="38"/>
      <c r="F43" s="38"/>
      <c r="G43" s="38"/>
      <c r="H43" s="38"/>
      <c r="I43" s="38"/>
      <c r="J43" s="38"/>
      <c r="K43" s="38"/>
      <c r="L43" s="38"/>
      <c r="M43" s="38"/>
      <c r="N43" s="38"/>
      <c r="O43" s="38"/>
      <c r="P43" s="38"/>
    </row>
    <row r="44" spans="4:16" ht="15.6" x14ac:dyDescent="0.3">
      <c r="D44" s="38" t="s">
        <v>2646</v>
      </c>
      <c r="E44" s="38"/>
      <c r="F44" s="38"/>
      <c r="G44" s="38"/>
      <c r="H44" s="38"/>
      <c r="I44" s="38"/>
      <c r="J44" s="38"/>
      <c r="K44" s="38"/>
      <c r="L44" s="38"/>
      <c r="M44" s="38"/>
      <c r="N44" s="38"/>
      <c r="O44" s="38"/>
      <c r="P44" s="38"/>
    </row>
    <row r="45" spans="4:16" ht="15.6" x14ac:dyDescent="0.3">
      <c r="D45" s="38" t="s">
        <v>2647</v>
      </c>
      <c r="E45" s="38"/>
      <c r="F45" s="38"/>
      <c r="G45" s="38"/>
      <c r="H45" s="38"/>
      <c r="I45" s="38"/>
      <c r="J45" s="38"/>
      <c r="K45" s="38"/>
      <c r="L45" s="38"/>
      <c r="M45" s="38"/>
      <c r="N45" s="38"/>
      <c r="O45" s="38"/>
      <c r="P45" s="38"/>
    </row>
    <row r="47" spans="4:16" ht="16.2" thickBot="1" x14ac:dyDescent="0.35">
      <c r="D47" s="54" t="s">
        <v>2648</v>
      </c>
      <c r="E47" s="54"/>
      <c r="F47" s="54"/>
    </row>
    <row r="49" spans="4:24" x14ac:dyDescent="0.3">
      <c r="D49" s="40" t="s">
        <v>2652</v>
      </c>
      <c r="E49" s="40"/>
      <c r="F49" s="40"/>
      <c r="G49" s="40"/>
      <c r="H49" s="40"/>
      <c r="I49" s="40"/>
      <c r="J49" s="40"/>
      <c r="K49" s="40"/>
      <c r="L49" s="40"/>
    </row>
    <row r="50" spans="4:24" x14ac:dyDescent="0.3">
      <c r="D50" s="40" t="s">
        <v>2653</v>
      </c>
      <c r="E50" s="40"/>
      <c r="F50" s="40"/>
      <c r="G50" s="40"/>
      <c r="H50" s="40"/>
      <c r="I50" s="40"/>
      <c r="J50" s="40"/>
      <c r="K50" s="40"/>
      <c r="L50" s="40"/>
    </row>
    <row r="51" spans="4:24" x14ac:dyDescent="0.3">
      <c r="D51" s="40" t="s">
        <v>2654</v>
      </c>
      <c r="E51" s="40"/>
      <c r="F51" s="40"/>
      <c r="G51" s="40"/>
      <c r="H51" s="40"/>
      <c r="I51" s="40"/>
      <c r="J51" s="40"/>
      <c r="K51" s="40"/>
      <c r="L51" s="40"/>
    </row>
    <row r="53" spans="4:24" ht="16.2" thickBot="1" x14ac:dyDescent="0.35">
      <c r="D53" s="54" t="s">
        <v>2649</v>
      </c>
      <c r="E53" s="54"/>
    </row>
    <row r="55" spans="4:24" ht="15.6" x14ac:dyDescent="0.3">
      <c r="D55" s="41" t="s">
        <v>2655</v>
      </c>
      <c r="E55" s="41"/>
      <c r="F55" s="41"/>
      <c r="G55" s="41"/>
      <c r="H55" s="41"/>
      <c r="I55" s="41"/>
      <c r="J55" s="41"/>
      <c r="K55" s="41"/>
      <c r="L55" s="41"/>
      <c r="M55" s="41"/>
      <c r="N55" s="41"/>
      <c r="O55" s="41"/>
      <c r="P55" s="41"/>
      <c r="Q55" s="41"/>
      <c r="R55" s="41"/>
      <c r="S55" s="41"/>
      <c r="T55" s="41"/>
      <c r="U55" s="41"/>
      <c r="V55" s="41"/>
      <c r="W55" s="41"/>
      <c r="X55" s="39"/>
    </row>
    <row r="56" spans="4:24" ht="15.6" x14ac:dyDescent="0.3">
      <c r="D56" s="41" t="s">
        <v>2656</v>
      </c>
      <c r="E56" s="41"/>
      <c r="F56" s="41"/>
      <c r="G56" s="41"/>
      <c r="H56" s="41"/>
      <c r="I56" s="41"/>
      <c r="J56" s="41"/>
      <c r="K56" s="41"/>
      <c r="L56" s="41"/>
      <c r="M56" s="41"/>
      <c r="N56" s="41"/>
      <c r="O56" s="41"/>
      <c r="P56" s="41"/>
      <c r="Q56" s="41"/>
      <c r="R56" s="41"/>
      <c r="S56" s="41"/>
      <c r="T56" s="41"/>
      <c r="U56" s="41"/>
      <c r="V56" s="41"/>
      <c r="W56" s="41"/>
      <c r="X56" s="39"/>
    </row>
    <row r="57" spans="4:24" ht="15.6" x14ac:dyDescent="0.3">
      <c r="D57" s="41" t="s">
        <v>2657</v>
      </c>
      <c r="E57" s="41"/>
      <c r="F57" s="41"/>
      <c r="G57" s="41"/>
      <c r="H57" s="41"/>
      <c r="I57" s="41"/>
      <c r="J57" s="41"/>
      <c r="K57" s="41"/>
      <c r="L57" s="41"/>
      <c r="M57" s="41"/>
      <c r="N57" s="41"/>
      <c r="O57" s="41"/>
      <c r="P57" s="41"/>
      <c r="Q57" s="41"/>
      <c r="R57" s="41"/>
      <c r="S57" s="41"/>
      <c r="T57" s="41"/>
      <c r="U57" s="41"/>
      <c r="V57" s="41"/>
      <c r="W57" s="41"/>
      <c r="X57" s="39"/>
    </row>
    <row r="59" spans="4:24" ht="16.2" thickBot="1" x14ac:dyDescent="0.35">
      <c r="D59" s="54" t="s">
        <v>2650</v>
      </c>
      <c r="E59" s="54"/>
    </row>
    <row r="61" spans="4:24" ht="15.6" x14ac:dyDescent="0.3">
      <c r="D61" s="38" t="s">
        <v>2658</v>
      </c>
      <c r="E61" s="38"/>
      <c r="F61" s="38"/>
      <c r="G61" s="38"/>
      <c r="H61" s="38"/>
      <c r="I61" s="38"/>
      <c r="J61" s="38"/>
      <c r="K61" s="38"/>
      <c r="L61" s="38"/>
      <c r="M61" s="38"/>
      <c r="N61" s="38"/>
      <c r="O61" s="38"/>
    </row>
    <row r="62" spans="4:24" ht="15.6" x14ac:dyDescent="0.3">
      <c r="D62" s="38" t="s">
        <v>2659</v>
      </c>
      <c r="E62" s="38"/>
      <c r="F62" s="38"/>
      <c r="G62" s="38"/>
      <c r="H62" s="38"/>
      <c r="I62" s="38"/>
      <c r="J62" s="38"/>
      <c r="K62" s="38"/>
      <c r="L62" s="38"/>
      <c r="M62" s="38"/>
      <c r="N62" s="38"/>
      <c r="O62" s="38"/>
    </row>
    <row r="64" spans="4:24" ht="16.2" thickBot="1" x14ac:dyDescent="0.35">
      <c r="D64" s="54" t="s">
        <v>2651</v>
      </c>
      <c r="E64" s="54"/>
      <c r="F64" s="54"/>
    </row>
    <row r="66" spans="4:17" x14ac:dyDescent="0.3">
      <c r="D66" s="40" t="s">
        <v>2660</v>
      </c>
      <c r="E66" s="40"/>
      <c r="F66" s="40"/>
      <c r="G66" s="40"/>
      <c r="H66" s="40"/>
      <c r="I66" s="40"/>
      <c r="J66" s="40"/>
      <c r="K66" s="40"/>
      <c r="L66" s="40"/>
      <c r="M66" s="40"/>
      <c r="N66" s="40"/>
      <c r="O66" s="40"/>
      <c r="P66" s="40"/>
      <c r="Q66" s="40"/>
    </row>
    <row r="67" spans="4:17" x14ac:dyDescent="0.3">
      <c r="D67" s="40" t="s">
        <v>2661</v>
      </c>
      <c r="E67" s="40"/>
      <c r="F67" s="40"/>
      <c r="G67" s="40"/>
      <c r="H67" s="40"/>
      <c r="I67" s="40"/>
      <c r="J67" s="40"/>
      <c r="K67" s="40"/>
      <c r="L67" s="40"/>
      <c r="M67" s="40"/>
      <c r="N67" s="40"/>
      <c r="O67" s="40"/>
      <c r="P67" s="40"/>
      <c r="Q67" s="40"/>
    </row>
    <row r="68" spans="4:17" x14ac:dyDescent="0.3">
      <c r="D68" s="40" t="s">
        <v>2662</v>
      </c>
      <c r="E68" s="40"/>
      <c r="F68" s="40"/>
      <c r="G68" s="40"/>
      <c r="H68" s="40"/>
      <c r="I68" s="40"/>
      <c r="J68" s="40"/>
      <c r="K68" s="40"/>
      <c r="L68" s="40"/>
      <c r="M68" s="40"/>
      <c r="N68" s="40"/>
      <c r="O68" s="40"/>
      <c r="P68" s="40"/>
      <c r="Q68" s="40"/>
    </row>
    <row r="70" spans="4:17" ht="16.2" thickBot="1" x14ac:dyDescent="0.35">
      <c r="D70" s="54" t="s">
        <v>2580</v>
      </c>
      <c r="E70" s="54"/>
      <c r="F70" s="54"/>
    </row>
    <row r="72" spans="4:17" ht="15.6" x14ac:dyDescent="0.3">
      <c r="D72" s="38" t="s">
        <v>2663</v>
      </c>
    </row>
    <row r="73" spans="4:17" ht="15.6" x14ac:dyDescent="0.3">
      <c r="D73" s="38" t="s">
        <v>2664</v>
      </c>
    </row>
    <row r="74" spans="4:17" ht="15.6" x14ac:dyDescent="0.3">
      <c r="D74" s="38" t="s">
        <v>2665</v>
      </c>
    </row>
  </sheetData>
  <mergeCells count="12">
    <mergeCell ref="F6:P16"/>
    <mergeCell ref="H2:N2"/>
    <mergeCell ref="D19:F19"/>
    <mergeCell ref="D21:G21"/>
    <mergeCell ref="D28:I28"/>
    <mergeCell ref="D70:F70"/>
    <mergeCell ref="D64:F64"/>
    <mergeCell ref="D34:I34"/>
    <mergeCell ref="D41:F41"/>
    <mergeCell ref="D47:F47"/>
    <mergeCell ref="D53:E53"/>
    <mergeCell ref="D59:E59"/>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FF415BD-8C08-4780-B352-921D64591B6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vt:lpstr>
      <vt:lpstr>Cleaned sheet</vt:lpstr>
      <vt:lpstr>Pivot_Analysis</vt:lpstr>
      <vt:lpstr>Dashboard</vt:lpstr>
      <vt:lpstr>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rohit barua</dc:creator>
  <cp:lastModifiedBy>rohit barua</cp:lastModifiedBy>
  <dcterms:created xsi:type="dcterms:W3CDTF">2026-07-27T17:37:53Z</dcterms:created>
  <dcterms:modified xsi:type="dcterms:W3CDTF">2026-07-28T17:04:52Z</dcterms:modified>
</cp:coreProperties>
</file>