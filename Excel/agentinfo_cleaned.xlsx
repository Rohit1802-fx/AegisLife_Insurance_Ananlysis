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147199D137C34A9C/Documents/"/>
    </mc:Choice>
  </mc:AlternateContent>
  <xr:revisionPtr revIDLastSave="911" documentId="8_{288C3F2D-5877-47D1-AAFD-B7C18246BEA3}" xr6:coauthVersionLast="47" xr6:coauthVersionMax="47" xr10:uidLastSave="{363B8DC9-1F34-405D-BC16-A1353AB3BE7A}"/>
  <bookViews>
    <workbookView xWindow="-108" yWindow="-108" windowWidth="23256" windowHeight="12456" activeTab="1" xr2:uid="{E357A769-48CB-4DAD-BFA1-1ABD74E6CF37}"/>
  </bookViews>
  <sheets>
    <sheet name="Raw_Data" sheetId="1" r:id="rId1"/>
    <sheet name="Agentinfo_Cleaned" sheetId="2" r:id="rId2"/>
    <sheet name="Pivot-Analysis" sheetId="6" r:id="rId3"/>
    <sheet name="Dashboard" sheetId="10" r:id="rId4"/>
    <sheet name="Insights" sheetId="12" r:id="rId5"/>
  </sheets>
  <definedNames>
    <definedName name="ExternalData_1" localSheetId="1" hidden="1">Agentinfo_Cleaned!$A$1:$G$301</definedName>
    <definedName name="Slicer_Experience_Years">#N/A</definedName>
    <definedName name="Slicer_fraud_association">#N/A</definedName>
    <definedName name="Slicer_join_date">#N/A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2" l="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629F1F-6C9A-43AF-A578-A5D8F56B1FDA}" keepAlive="1" name="Query - Cleaned" description="Connection to the 'Cleaned' query in the workbook." type="5" refreshedVersion="0" background="1" saveData="1">
    <dbPr connection="Provider=Microsoft.Mashup.OleDb.1;Data Source=$Workbook$;Location=Cleaned;Extended Properties=&quot;&quot;" command="SELECT * FROM [Cleaned]"/>
  </connection>
  <connection id="2" xr16:uid="{B018EBE9-E899-4013-9861-E5296194B753}"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<sst xmlns="http://schemas.openxmlformats.org/spreadsheetml/2006/main" count="1299" uniqueCount="360">
  <si>
    <t>agent_id</t>
  </si>
  <si>
    <t>region</t>
  </si>
  <si>
    <t>join_date</t>
  </si>
  <si>
    <t>total_policies_sold</t>
  </si>
  <si>
    <t>lapsed_policies</t>
  </si>
  <si>
    <t>avg_premium_sold</t>
  </si>
  <si>
    <t>fraud_association</t>
  </si>
  <si>
    <t>AGT5000</t>
  </si>
  <si>
    <t>North</t>
  </si>
  <si>
    <t>AGT5001</t>
  </si>
  <si>
    <t>AGT5002</t>
  </si>
  <si>
    <t>South</t>
  </si>
  <si>
    <t>AGT5003</t>
  </si>
  <si>
    <t>North-East</t>
  </si>
  <si>
    <t>AGT5004</t>
  </si>
  <si>
    <t>AGT5005</t>
  </si>
  <si>
    <t>West</t>
  </si>
  <si>
    <t>AGT5006</t>
  </si>
  <si>
    <t>AGT5007</t>
  </si>
  <si>
    <t>AGT5008</t>
  </si>
  <si>
    <t>AGT5009</t>
  </si>
  <si>
    <t>AGT5010</t>
  </si>
  <si>
    <t>Central</t>
  </si>
  <si>
    <t>AGT5011</t>
  </si>
  <si>
    <t>AGT5012</t>
  </si>
  <si>
    <t>AGT5013</t>
  </si>
  <si>
    <t>East</t>
  </si>
  <si>
    <t>AGT5014</t>
  </si>
  <si>
    <t>AGT5015</t>
  </si>
  <si>
    <t>AGT5016</t>
  </si>
  <si>
    <t>AGT5017</t>
  </si>
  <si>
    <t>AGT5018</t>
  </si>
  <si>
    <t>AGT5019</t>
  </si>
  <si>
    <t>AGT5020</t>
  </si>
  <si>
    <t>AGT5021</t>
  </si>
  <si>
    <t>AGT5022</t>
  </si>
  <si>
    <t>AGT5023</t>
  </si>
  <si>
    <t>AGT5024</t>
  </si>
  <si>
    <t>AGT5025</t>
  </si>
  <si>
    <t>AGT5026</t>
  </si>
  <si>
    <t>AGT5027</t>
  </si>
  <si>
    <t>AGT5028</t>
  </si>
  <si>
    <t>AGT5029</t>
  </si>
  <si>
    <t>AGT5030</t>
  </si>
  <si>
    <t>AGT5031</t>
  </si>
  <si>
    <t>AGT5032</t>
  </si>
  <si>
    <t>AGT5033</t>
  </si>
  <si>
    <t>AGT5034</t>
  </si>
  <si>
    <t>AGT5035</t>
  </si>
  <si>
    <t>AGT5036</t>
  </si>
  <si>
    <t>AGT5037</t>
  </si>
  <si>
    <t>AGT5038</t>
  </si>
  <si>
    <t>AGT5039</t>
  </si>
  <si>
    <t>AGT5040</t>
  </si>
  <si>
    <t>AGT5041</t>
  </si>
  <si>
    <t>AGT5042</t>
  </si>
  <si>
    <t>AGT5043</t>
  </si>
  <si>
    <t>AGT5044</t>
  </si>
  <si>
    <t>AGT5045</t>
  </si>
  <si>
    <t>AGT5046</t>
  </si>
  <si>
    <t>AGT5047</t>
  </si>
  <si>
    <t>AGT5048</t>
  </si>
  <si>
    <t>AGT5049</t>
  </si>
  <si>
    <t>AGT5050</t>
  </si>
  <si>
    <t>AGT5051</t>
  </si>
  <si>
    <t>AGT5052</t>
  </si>
  <si>
    <t>AGT5053</t>
  </si>
  <si>
    <t>AGT5054</t>
  </si>
  <si>
    <t>AGT5055</t>
  </si>
  <si>
    <t>AGT5056</t>
  </si>
  <si>
    <t>AGT5057</t>
  </si>
  <si>
    <t>AGT5058</t>
  </si>
  <si>
    <t>AGT5059</t>
  </si>
  <si>
    <t>AGT5060</t>
  </si>
  <si>
    <t>AGT5061</t>
  </si>
  <si>
    <t>AGT5062</t>
  </si>
  <si>
    <t>AGT5063</t>
  </si>
  <si>
    <t>AGT5064</t>
  </si>
  <si>
    <t>AGT5065</t>
  </si>
  <si>
    <t>AGT5066</t>
  </si>
  <si>
    <t>AGT5067</t>
  </si>
  <si>
    <t>AGT5068</t>
  </si>
  <si>
    <t>AGT5069</t>
  </si>
  <si>
    <t>AGT5070</t>
  </si>
  <si>
    <t>AGT5071</t>
  </si>
  <si>
    <t>AGT5072</t>
  </si>
  <si>
    <t>AGT5073</t>
  </si>
  <si>
    <t>AGT5074</t>
  </si>
  <si>
    <t>AGT5075</t>
  </si>
  <si>
    <t>AGT5076</t>
  </si>
  <si>
    <t>AGT5077</t>
  </si>
  <si>
    <t>AGT5078</t>
  </si>
  <si>
    <t>AGT5079</t>
  </si>
  <si>
    <t>AGT5080</t>
  </si>
  <si>
    <t>AGT5081</t>
  </si>
  <si>
    <t>AGT5082</t>
  </si>
  <si>
    <t>AGT5083</t>
  </si>
  <si>
    <t>AGT5084</t>
  </si>
  <si>
    <t>AGT5085</t>
  </si>
  <si>
    <t>AGT5086</t>
  </si>
  <si>
    <t>AGT5087</t>
  </si>
  <si>
    <t>AGT5088</t>
  </si>
  <si>
    <t>AGT5089</t>
  </si>
  <si>
    <t>AGT5090</t>
  </si>
  <si>
    <t>AGT5091</t>
  </si>
  <si>
    <t>AGT5092</t>
  </si>
  <si>
    <t>AGT5093</t>
  </si>
  <si>
    <t>AGT5094</t>
  </si>
  <si>
    <t>AGT5095</t>
  </si>
  <si>
    <t>AGT5096</t>
  </si>
  <si>
    <t>AGT5097</t>
  </si>
  <si>
    <t>AGT5098</t>
  </si>
  <si>
    <t>AGT5099</t>
  </si>
  <si>
    <t>AGT5100</t>
  </si>
  <si>
    <t>AGT5101</t>
  </si>
  <si>
    <t>AGT5102</t>
  </si>
  <si>
    <t>AGT5103</t>
  </si>
  <si>
    <t>AGT5104</t>
  </si>
  <si>
    <t>AGT5105</t>
  </si>
  <si>
    <t>AGT5106</t>
  </si>
  <si>
    <t>AGT5107</t>
  </si>
  <si>
    <t>AGT5108</t>
  </si>
  <si>
    <t>AGT5109</t>
  </si>
  <si>
    <t>AGT5110</t>
  </si>
  <si>
    <t>AGT5111</t>
  </si>
  <si>
    <t>AGT5112</t>
  </si>
  <si>
    <t>AGT5113</t>
  </si>
  <si>
    <t>AGT5114</t>
  </si>
  <si>
    <t>AGT5115</t>
  </si>
  <si>
    <t>AGT5116</t>
  </si>
  <si>
    <t>AGT5117</t>
  </si>
  <si>
    <t>AGT5118</t>
  </si>
  <si>
    <t>AGT5119</t>
  </si>
  <si>
    <t>AGT5120</t>
  </si>
  <si>
    <t>AGT5121</t>
  </si>
  <si>
    <t>AGT5122</t>
  </si>
  <si>
    <t>AGT5123</t>
  </si>
  <si>
    <t>AGT5124</t>
  </si>
  <si>
    <t>AGT5125</t>
  </si>
  <si>
    <t>AGT5126</t>
  </si>
  <si>
    <t>AGT5127</t>
  </si>
  <si>
    <t>AGT5128</t>
  </si>
  <si>
    <t>AGT5129</t>
  </si>
  <si>
    <t>AGT5130</t>
  </si>
  <si>
    <t>AGT5131</t>
  </si>
  <si>
    <t>AGT5132</t>
  </si>
  <si>
    <t>AGT5133</t>
  </si>
  <si>
    <t>AGT5134</t>
  </si>
  <si>
    <t>AGT5135</t>
  </si>
  <si>
    <t>AGT5136</t>
  </si>
  <si>
    <t>AGT5137</t>
  </si>
  <si>
    <t>AGT5138</t>
  </si>
  <si>
    <t>AGT5139</t>
  </si>
  <si>
    <t>AGT5140</t>
  </si>
  <si>
    <t>AGT5141</t>
  </si>
  <si>
    <t>AGT5142</t>
  </si>
  <si>
    <t>AGT5143</t>
  </si>
  <si>
    <t>AGT5144</t>
  </si>
  <si>
    <t>AGT5145</t>
  </si>
  <si>
    <t>AGT5146</t>
  </si>
  <si>
    <t>AGT5147</t>
  </si>
  <si>
    <t>AGT5148</t>
  </si>
  <si>
    <t>AGT5149</t>
  </si>
  <si>
    <t>AGT5150</t>
  </si>
  <si>
    <t>AGT5151</t>
  </si>
  <si>
    <t>AGT5152</t>
  </si>
  <si>
    <t>AGT5153</t>
  </si>
  <si>
    <t>AGT5154</t>
  </si>
  <si>
    <t>AGT5155</t>
  </si>
  <si>
    <t>AGT5156</t>
  </si>
  <si>
    <t>AGT5157</t>
  </si>
  <si>
    <t>AGT5158</t>
  </si>
  <si>
    <t>AGT5159</t>
  </si>
  <si>
    <t>AGT5160</t>
  </si>
  <si>
    <t>AGT5161</t>
  </si>
  <si>
    <t>AGT5162</t>
  </si>
  <si>
    <t>AGT5163</t>
  </si>
  <si>
    <t>AGT5164</t>
  </si>
  <si>
    <t>AGT5165</t>
  </si>
  <si>
    <t>AGT5166</t>
  </si>
  <si>
    <t>AGT5167</t>
  </si>
  <si>
    <t>AGT5168</t>
  </si>
  <si>
    <t>AGT5169</t>
  </si>
  <si>
    <t>AGT5170</t>
  </si>
  <si>
    <t>AGT5171</t>
  </si>
  <si>
    <t>AGT5172</t>
  </si>
  <si>
    <t>AGT5173</t>
  </si>
  <si>
    <t>AGT5174</t>
  </si>
  <si>
    <t>AGT5175</t>
  </si>
  <si>
    <t>AGT5176</t>
  </si>
  <si>
    <t>AGT5177</t>
  </si>
  <si>
    <t>AGT5178</t>
  </si>
  <si>
    <t>AGT5179</t>
  </si>
  <si>
    <t>AGT5180</t>
  </si>
  <si>
    <t>AGT5181</t>
  </si>
  <si>
    <t>AGT5182</t>
  </si>
  <si>
    <t>AGT5183</t>
  </si>
  <si>
    <t>AGT5184</t>
  </si>
  <si>
    <t>AGT5185</t>
  </si>
  <si>
    <t>AGT5186</t>
  </si>
  <si>
    <t>AGT5187</t>
  </si>
  <si>
    <t>AGT5188</t>
  </si>
  <si>
    <t>AGT5189</t>
  </si>
  <si>
    <t>AGT5190</t>
  </si>
  <si>
    <t>AGT5191</t>
  </si>
  <si>
    <t>AGT5192</t>
  </si>
  <si>
    <t>AGT5193</t>
  </si>
  <si>
    <t>AGT5194</t>
  </si>
  <si>
    <t>AGT5195</t>
  </si>
  <si>
    <t>AGT5196</t>
  </si>
  <si>
    <t>AGT5197</t>
  </si>
  <si>
    <t>AGT5198</t>
  </si>
  <si>
    <t>AGT5199</t>
  </si>
  <si>
    <t>AGT5200</t>
  </si>
  <si>
    <t>AGT5201</t>
  </si>
  <si>
    <t>AGT5202</t>
  </si>
  <si>
    <t>AGT5203</t>
  </si>
  <si>
    <t>AGT5204</t>
  </si>
  <si>
    <t>AGT5205</t>
  </si>
  <si>
    <t>AGT5206</t>
  </si>
  <si>
    <t>AGT5207</t>
  </si>
  <si>
    <t>AGT5208</t>
  </si>
  <si>
    <t>AGT5209</t>
  </si>
  <si>
    <t>AGT5210</t>
  </si>
  <si>
    <t>AGT5211</t>
  </si>
  <si>
    <t>AGT5212</t>
  </si>
  <si>
    <t>AGT5213</t>
  </si>
  <si>
    <t>AGT5214</t>
  </si>
  <si>
    <t>AGT5215</t>
  </si>
  <si>
    <t>AGT5216</t>
  </si>
  <si>
    <t>AGT5217</t>
  </si>
  <si>
    <t>AGT5218</t>
  </si>
  <si>
    <t>AGT5219</t>
  </si>
  <si>
    <t>AGT5220</t>
  </si>
  <si>
    <t>AGT5221</t>
  </si>
  <si>
    <t>AGT5222</t>
  </si>
  <si>
    <t>AGT5223</t>
  </si>
  <si>
    <t>AGT5224</t>
  </si>
  <si>
    <t>AGT5225</t>
  </si>
  <si>
    <t>AGT5226</t>
  </si>
  <si>
    <t>AGT5227</t>
  </si>
  <si>
    <t>AGT5228</t>
  </si>
  <si>
    <t>AGT5229</t>
  </si>
  <si>
    <t>AGT5230</t>
  </si>
  <si>
    <t>AGT5231</t>
  </si>
  <si>
    <t>AGT5232</t>
  </si>
  <si>
    <t>AGT5233</t>
  </si>
  <si>
    <t>AGT5234</t>
  </si>
  <si>
    <t>AGT5235</t>
  </si>
  <si>
    <t>AGT5236</t>
  </si>
  <si>
    <t>AGT5237</t>
  </si>
  <si>
    <t>AGT5238</t>
  </si>
  <si>
    <t>AGT5239</t>
  </si>
  <si>
    <t>AGT5240</t>
  </si>
  <si>
    <t>AGT5241</t>
  </si>
  <si>
    <t>AGT5242</t>
  </si>
  <si>
    <t>AGT5243</t>
  </si>
  <si>
    <t>AGT5244</t>
  </si>
  <si>
    <t>AGT5245</t>
  </si>
  <si>
    <t>AGT5246</t>
  </si>
  <si>
    <t>AGT5247</t>
  </si>
  <si>
    <t>AGT5248</t>
  </si>
  <si>
    <t>AGT5249</t>
  </si>
  <si>
    <t>AGT5250</t>
  </si>
  <si>
    <t>AGT5251</t>
  </si>
  <si>
    <t>AGT5252</t>
  </si>
  <si>
    <t>AGT5253</t>
  </si>
  <si>
    <t>AGT5254</t>
  </si>
  <si>
    <t>AGT5255</t>
  </si>
  <si>
    <t>AGT5256</t>
  </si>
  <si>
    <t>AGT5257</t>
  </si>
  <si>
    <t>AGT5258</t>
  </si>
  <si>
    <t>AGT5259</t>
  </si>
  <si>
    <t>AGT5260</t>
  </si>
  <si>
    <t>AGT5261</t>
  </si>
  <si>
    <t>AGT5262</t>
  </si>
  <si>
    <t>AGT5263</t>
  </si>
  <si>
    <t>AGT5264</t>
  </si>
  <si>
    <t>AGT5265</t>
  </si>
  <si>
    <t>AGT5266</t>
  </si>
  <si>
    <t>AGT5267</t>
  </si>
  <si>
    <t>AGT5268</t>
  </si>
  <si>
    <t>AGT5269</t>
  </si>
  <si>
    <t>AGT5270</t>
  </si>
  <si>
    <t>AGT5271</t>
  </si>
  <si>
    <t>AGT5272</t>
  </si>
  <si>
    <t>AGT5273</t>
  </si>
  <si>
    <t>AGT5274</t>
  </si>
  <si>
    <t>AGT5275</t>
  </si>
  <si>
    <t>AGT5276</t>
  </si>
  <si>
    <t>AGT5277</t>
  </si>
  <si>
    <t>AGT5278</t>
  </si>
  <si>
    <t>AGT5279</t>
  </si>
  <si>
    <t>AGT5280</t>
  </si>
  <si>
    <t>AGT5281</t>
  </si>
  <si>
    <t>AGT5282</t>
  </si>
  <si>
    <t>AGT5283</t>
  </si>
  <si>
    <t>AGT5284</t>
  </si>
  <si>
    <t>AGT5285</t>
  </si>
  <si>
    <t>AGT5286</t>
  </si>
  <si>
    <t>AGT5287</t>
  </si>
  <si>
    <t>AGT5288</t>
  </si>
  <si>
    <t>AGT5289</t>
  </si>
  <si>
    <t>AGT5290</t>
  </si>
  <si>
    <t>AGT5291</t>
  </si>
  <si>
    <t>AGT5292</t>
  </si>
  <si>
    <t>AGT5293</t>
  </si>
  <si>
    <t>AGT5294</t>
  </si>
  <si>
    <t>AGT5295</t>
  </si>
  <si>
    <t>AGT5296</t>
  </si>
  <si>
    <t>AGT5297</t>
  </si>
  <si>
    <t>AGT5298</t>
  </si>
  <si>
    <t>AGT5299</t>
  </si>
  <si>
    <t>Row Labels</t>
  </si>
  <si>
    <t>Grand Total</t>
  </si>
  <si>
    <t>Sum of lapsed_policies</t>
  </si>
  <si>
    <t>Average of avg_premium_sold</t>
  </si>
  <si>
    <t>Average of fraud_association</t>
  </si>
  <si>
    <t>Experience_Years</t>
  </si>
  <si>
    <t>Average of total_policies_sold</t>
  </si>
  <si>
    <t>Experience_Analysis</t>
  </si>
  <si>
    <t>Fraud vs SalesAnalysis</t>
  </si>
  <si>
    <t>Lapse Performance</t>
  </si>
  <si>
    <t>Count of agent_id</t>
  </si>
  <si>
    <t>Region-wise Agent</t>
  </si>
  <si>
    <t>Regional Risk Insights</t>
  </si>
  <si>
    <t>Agent Risk Intelligence Dashboard</t>
  </si>
  <si>
    <t>Key Business Insights</t>
  </si>
  <si>
    <t>Regional Risk Assessment</t>
  </si>
  <si>
    <t>The Agent Risk Intelligence Dashboard provides a comprehensive view of insurance agent performance and risk across different regions. It enables decision-makers to evaluate sales performance, premium generation, policy lapses, fraud trends, and agent experience from a single interactive dashboard. By comparing regional performance and filtering data using dynamic slicers, business leaders can quickly identify top-performing regions, detect potential fraud patterns, understand customer retention issues, and optimize agent allocation. This dashboard transforms raw insurance data into meaningful business insights that support smarter, data-driven decisions.</t>
  </si>
  <si>
    <t>1. Central records the highest average fraud association (5.00), indicating that this region requires stronger fraud monitoring and stricter claim verification.</t>
  </si>
  <si>
    <t>2. West also shows relatively high fraud exposure, making it another priority for risk management.</t>
  </si>
  <si>
    <t>3. South has the lowest fraud association (4.07), suggesting comparatively lower fraud risk.</t>
  </si>
  <si>
    <t>4. The overall average fraud score is 4.54, showing that fraud risk exists across all regions and should be continuously monitored.</t>
  </si>
  <si>
    <t>Increase fraud detection measures in Central and West, while using South practices as a benchmark for improving fraud prevention.</t>
  </si>
  <si>
    <t>1. North generates the highest average premium, making it the strongest revenue-contributing region.</t>
  </si>
  <si>
    <t>2. South closely follows, indicating consistently strong premium generation.</t>
  </si>
  <si>
    <t>3. West records the lowest premium, suggesting opportunities to improve sales strategies or target higher-value customers.</t>
  </si>
  <si>
    <t>Replicate successful sales strategies from North and South to improve premium generation in West.</t>
  </si>
  <si>
    <t>Experience Analysis</t>
  </si>
  <si>
    <t>1. Agents with 4 years of experience achieve the highest average policy sales (188.95).</t>
  </si>
  <si>
    <t>2. Sales remain relatively stable between 6–10 years, indicating consistent productivity.</t>
  </si>
  <si>
    <t>3. Agents with 3 years experience have the lowest sales, suggesting a learning curve during the early years.</t>
  </si>
  <si>
    <t>4. Sales slightly decline after 10 years, which may indicate the need for motivation or refreshed training.</t>
  </si>
  <si>
    <t>Focus on mentoring newer agents and introduce refresher training or incentives for highly experienced agents to sustain performance.</t>
  </si>
  <si>
    <t>Fraud vs Sales Analysis</t>
  </si>
  <si>
    <t>1. Policy sales vary across fraud score categories, with the highest average sales observed at fraud score 2.</t>
  </si>
  <si>
    <t>2. The lowest sales occur at fraud score 9, suggesting that higher fraud levels may be associated with reduced sales performance.</t>
  </si>
  <si>
    <t>3. No strong linear relationship is visible between fraud score and policy sales, indicating that additional factors likely influence sales.</t>
  </si>
  <si>
    <t>Investigate high-fraud categories to determine whether fraud controls are affecting sales performance or if other operational factors are involved.</t>
  </si>
  <si>
    <t>1. South experiences the highest number of policy lapses, indicating weaker customer retention.</t>
  </si>
  <si>
    <t>2. North also has a relatively high lapse count despite strong premium generation, suggesting opportunities to improve customer retention.</t>
  </si>
  <si>
    <t>3. West records the lowest policy lapses, reflecting stronger policy retention.</t>
  </si>
  <si>
    <t>Prioritize customer retention initiatives in South and North, and analyze the successful retention practices used in West.</t>
  </si>
  <si>
    <t>Region-wise Agent Distribution</t>
  </si>
  <si>
    <t>1.North has the largest agent workforce, supporting its strong premium performance.</t>
  </si>
  <si>
    <t>2. West has the fewest agents, which may partly explain its lower premium generation.</t>
  </si>
  <si>
    <t>3. Agent distribution is relatively balanced, though some regions have greater staffing than others.</t>
  </si>
  <si>
    <t>Evaluate whether increasing agent strength in West can improve premium generation and business growth.</t>
  </si>
  <si>
    <t>Pivot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</si>
</sst>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2" x14ac:knownFonts="1">
    <font>
      <sz val="11"/>
      <color theme="1"/>
      <name val="Calibri"/>
      <family val="2"/>
      <scheme val="minor"/>
    </font>
    <font>
      <b/>
      <sz val="11"/>
      <name val="Calibri"/>
      <family val="2"/>
    </font>
    <font>
      <b/>
      <sz val="11"/>
      <color theme="1"/>
      <name val="Calibri"/>
      <family val="2"/>
      <scheme val="minor"/>
    </font>
    <font>
      <sz val="12"/>
      <color theme="1"/>
      <name val="Calibri"/>
      <family val="2"/>
      <scheme val="minor"/>
    </font>
    <font>
      <b/>
      <sz val="18"/>
      <color theme="1"/>
      <name val="Calibri"/>
      <family val="2"/>
      <scheme val="minor"/>
    </font>
    <font>
      <b/>
      <sz val="36"/>
      <color theme="1"/>
      <name val="Arial"/>
      <family val="2"/>
    </font>
    <font>
      <b/>
      <sz val="11"/>
      <color theme="5" tint="-0.249977111117893"/>
      <name val="Calibri"/>
      <family val="2"/>
      <scheme val="minor"/>
    </font>
    <font>
      <sz val="11"/>
      <color theme="5" tint="-0.249977111117893"/>
      <name val="Calibri"/>
      <family val="2"/>
      <scheme val="minor"/>
    </font>
    <font>
      <b/>
      <sz val="12"/>
      <color theme="5" tint="-0.249977111117893"/>
      <name val="Calibri"/>
      <family val="2"/>
      <scheme val="minor"/>
    </font>
    <font>
      <b/>
      <sz val="18"/>
      <color theme="2" tint="-0.89999084444715716"/>
      <name val="Calibri"/>
      <family val="2"/>
      <scheme val="minor"/>
    </font>
    <font>
      <b/>
      <sz val="18"/>
      <color theme="8" tint="-0.499984740745262"/>
      <name val="Calibri"/>
      <family val="2"/>
      <scheme val="minor"/>
    </font>
    <font>
      <b/>
      <sz val="22"/>
      <color theme="1"/>
      <name val="Calibri"/>
      <family val="2"/>
      <scheme val="minor"/>
    </font>
  </fonts>
  <fills count="7">
    <fill>
      <patternFill patternType="none"/>
    </fill>
    <fill>
      <patternFill patternType="gray125"/>
    </fill>
    <fill>
      <patternFill patternType="solid">
        <fgColor theme="5" tint="0.59999389629810485"/>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7" tint="-0.249977111117893"/>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65">
    <xf numFmtId="0" fontId="0" fillId="0" borderId="0" xfId="0"/>
    <xf numFmtId="14" fontId="0" fillId="0" borderId="0" xfId="0" applyNumberFormat="1"/>
    <xf numFmtId="0" fontId="1" fillId="0" borderId="1" xfId="0" applyFont="1" applyBorder="1" applyAlignment="1">
      <alignment horizontal="center" vertical="top"/>
    </xf>
    <xf numFmtId="164" fontId="0" fillId="0" borderId="0" xfId="0" applyNumberFormat="1"/>
    <xf numFmtId="0" fontId="0" fillId="0" borderId="0" xfId="0" applyAlignment="1">
      <alignment vertical="center" wrapText="1"/>
    </xf>
    <xf numFmtId="0" fontId="0" fillId="2" borderId="0" xfId="0" applyFill="1"/>
    <xf numFmtId="0" fontId="4" fillId="2" borderId="0" xfId="0" applyFont="1" applyFill="1"/>
    <xf numFmtId="0" fontId="0" fillId="2" borderId="2" xfId="0" applyFill="1" applyBorder="1"/>
    <xf numFmtId="0" fontId="0" fillId="2" borderId="3" xfId="0" applyFill="1" applyBorder="1"/>
    <xf numFmtId="0" fontId="0" fillId="2" borderId="4" xfId="0" applyFill="1" applyBorder="1"/>
    <xf numFmtId="0" fontId="3" fillId="2" borderId="5" xfId="0" applyFont="1" applyFill="1" applyBorder="1" applyAlignment="1">
      <alignment vertical="top"/>
    </xf>
    <xf numFmtId="0" fontId="0" fillId="2" borderId="6" xfId="0" applyFill="1" applyBorder="1"/>
    <xf numFmtId="0" fontId="0" fillId="2" borderId="5" xfId="0" applyFill="1" applyBorder="1"/>
    <xf numFmtId="0" fontId="3" fillId="2" borderId="5" xfId="0" applyFont="1" applyFill="1" applyBorder="1"/>
    <xf numFmtId="0" fontId="0" fillId="2" borderId="7" xfId="0" applyFill="1" applyBorder="1"/>
    <xf numFmtId="0" fontId="0" fillId="2" borderId="8" xfId="0" applyFill="1" applyBorder="1"/>
    <xf numFmtId="0" fontId="0" fillId="2" borderId="9" xfId="0" applyFill="1" applyBorder="1"/>
    <xf numFmtId="0" fontId="3" fillId="2" borderId="2" xfId="0" applyFont="1" applyFill="1" applyBorder="1"/>
    <xf numFmtId="0" fontId="3" fillId="2" borderId="7" xfId="0" applyFont="1" applyFill="1" applyBorder="1"/>
    <xf numFmtId="0" fontId="6" fillId="2" borderId="0" xfId="0" applyFont="1" applyFill="1" applyAlignment="1">
      <alignment horizontal="left" vertical="center" indent="1"/>
    </xf>
    <xf numFmtId="0" fontId="6" fillId="2" borderId="0" xfId="0" applyFont="1" applyFill="1"/>
    <xf numFmtId="0" fontId="9" fillId="2" borderId="0" xfId="0" applyFont="1" applyFill="1"/>
    <xf numFmtId="0" fontId="0" fillId="3" borderId="0" xfId="0" applyFill="1"/>
    <xf numFmtId="2" fontId="0" fillId="3" borderId="18" xfId="0" applyNumberFormat="1" applyFill="1" applyBorder="1"/>
    <xf numFmtId="2" fontId="0" fillId="3" borderId="19" xfId="0" applyNumberFormat="1" applyFill="1" applyBorder="1"/>
    <xf numFmtId="2" fontId="0" fillId="3" borderId="20" xfId="0" applyNumberFormat="1" applyFill="1" applyBorder="1"/>
    <xf numFmtId="0" fontId="0" fillId="3" borderId="17" xfId="0" applyFill="1" applyBorder="1"/>
    <xf numFmtId="0" fontId="0" fillId="3" borderId="18" xfId="0" applyFill="1" applyBorder="1" applyAlignment="1">
      <alignment horizontal="left"/>
    </xf>
    <xf numFmtId="0" fontId="0" fillId="3" borderId="19" xfId="0" applyFill="1" applyBorder="1" applyAlignment="1">
      <alignment horizontal="left"/>
    </xf>
    <xf numFmtId="0" fontId="0" fillId="3" borderId="20" xfId="0" applyFill="1" applyBorder="1" applyAlignment="1">
      <alignment horizontal="left"/>
    </xf>
    <xf numFmtId="0" fontId="0" fillId="3" borderId="17" xfId="0" applyFill="1" applyBorder="1" applyAlignment="1">
      <alignment horizontal="left"/>
    </xf>
    <xf numFmtId="0" fontId="0" fillId="3" borderId="18" xfId="0" applyFill="1" applyBorder="1"/>
    <xf numFmtId="0" fontId="0" fillId="3" borderId="19" xfId="0" applyFill="1" applyBorder="1"/>
    <xf numFmtId="0" fontId="0" fillId="3" borderId="20" xfId="0" applyFill="1" applyBorder="1"/>
    <xf numFmtId="0" fontId="2" fillId="3" borderId="16" xfId="0" applyFont="1" applyFill="1" applyBorder="1" applyAlignment="1">
      <alignment horizontal="center"/>
    </xf>
    <xf numFmtId="0" fontId="0" fillId="3" borderId="16" xfId="0" applyFill="1" applyBorder="1" applyAlignment="1">
      <alignment horizontal="center"/>
    </xf>
    <xf numFmtId="0" fontId="11" fillId="6" borderId="22" xfId="0" applyFont="1" applyFill="1" applyBorder="1" applyAlignment="1">
      <alignment horizontal="center"/>
    </xf>
    <xf numFmtId="0" fontId="0" fillId="6" borderId="23" xfId="0" applyFill="1" applyBorder="1" applyAlignment="1">
      <alignment horizontal="center"/>
    </xf>
    <xf numFmtId="0" fontId="0" fillId="6" borderId="24" xfId="0" applyFill="1" applyBorder="1" applyAlignment="1">
      <alignment horizontal="center"/>
    </xf>
    <xf numFmtId="0" fontId="5" fillId="5" borderId="10" xfId="0" applyFont="1" applyFill="1" applyBorder="1" applyAlignment="1">
      <alignment horizontal="center"/>
    </xf>
    <xf numFmtId="0" fontId="0" fillId="5" borderId="21" xfId="0" applyFill="1" applyBorder="1" applyAlignment="1">
      <alignment horizontal="center"/>
    </xf>
    <xf numFmtId="0" fontId="0" fillId="5" borderId="11" xfId="0" applyFill="1" applyBorder="1" applyAlignment="1">
      <alignment horizontal="center"/>
    </xf>
    <xf numFmtId="0" fontId="0" fillId="5" borderId="12" xfId="0" applyFill="1" applyBorder="1" applyAlignment="1">
      <alignment horizontal="center"/>
    </xf>
    <xf numFmtId="0" fontId="0" fillId="5" borderId="0" xfId="0" applyFill="1" applyAlignment="1">
      <alignment horizontal="center"/>
    </xf>
    <xf numFmtId="0" fontId="0" fillId="5" borderId="13" xfId="0" applyFill="1" applyBorder="1" applyAlignment="1">
      <alignment horizontal="center"/>
    </xf>
    <xf numFmtId="0" fontId="0" fillId="5" borderId="14" xfId="0" applyFill="1" applyBorder="1" applyAlignment="1">
      <alignment horizontal="center"/>
    </xf>
    <xf numFmtId="0" fontId="0" fillId="5" borderId="16" xfId="0" applyFill="1" applyBorder="1" applyAlignment="1">
      <alignment horizontal="center"/>
    </xf>
    <xf numFmtId="0" fontId="0" fillId="5" borderId="15" xfId="0" applyFill="1" applyBorder="1" applyAlignment="1">
      <alignment horizontal="center"/>
    </xf>
    <xf numFmtId="0" fontId="10" fillId="4" borderId="10" xfId="0" applyFont="1" applyFill="1" applyBorder="1" applyAlignment="1">
      <alignment horizontal="center" vertical="center"/>
    </xf>
    <xf numFmtId="0" fontId="0" fillId="4" borderId="21" xfId="0" applyFill="1" applyBorder="1" applyAlignment="1">
      <alignment horizontal="center" vertical="center"/>
    </xf>
    <xf numFmtId="0" fontId="0" fillId="4" borderId="11" xfId="0" applyFill="1" applyBorder="1" applyAlignment="1">
      <alignment horizontal="center" vertical="center"/>
    </xf>
    <xf numFmtId="0" fontId="0" fillId="4" borderId="14" xfId="0" applyFill="1" applyBorder="1" applyAlignment="1">
      <alignment horizontal="center" vertical="center"/>
    </xf>
    <xf numFmtId="0" fontId="0" fillId="4" borderId="16" xfId="0" applyFill="1" applyBorder="1" applyAlignment="1">
      <alignment horizontal="center" vertical="center"/>
    </xf>
    <xf numFmtId="0" fontId="0" fillId="4" borderId="15" xfId="0" applyFill="1" applyBorder="1" applyAlignment="1">
      <alignment horizontal="center" vertical="center"/>
    </xf>
    <xf numFmtId="0" fontId="3" fillId="2" borderId="2" xfId="0" applyFont="1"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0" fillId="2" borderId="0" xfId="0" applyFill="1" applyAlignment="1">
      <alignment horizontal="center" vertical="center" wrapText="1"/>
    </xf>
    <xf numFmtId="0" fontId="0" fillId="2" borderId="6" xfId="0" applyFill="1" applyBorder="1" applyAlignment="1">
      <alignment horizontal="center" vertical="center" wrapText="1"/>
    </xf>
    <xf numFmtId="0" fontId="0" fillId="2" borderId="7" xfId="0" applyFill="1" applyBorder="1" applyAlignment="1">
      <alignment horizontal="center" vertical="center" wrapText="1"/>
    </xf>
    <xf numFmtId="0" fontId="0" fillId="2" borderId="8" xfId="0" applyFill="1" applyBorder="1" applyAlignment="1">
      <alignment horizontal="center" vertical="center" wrapText="1"/>
    </xf>
    <xf numFmtId="0" fontId="0" fillId="2" borderId="9" xfId="0" applyFill="1" applyBorder="1" applyAlignment="1">
      <alignment horizontal="center" vertical="center" wrapText="1"/>
    </xf>
    <xf numFmtId="0" fontId="8" fillId="2" borderId="0" xfId="0" applyFont="1" applyFill="1" applyAlignment="1">
      <alignment horizontal="center"/>
    </xf>
    <xf numFmtId="0" fontId="7" fillId="2" borderId="0" xfId="0" applyFont="1" applyFill="1" applyAlignment="1">
      <alignment horizontal="center"/>
    </xf>
  </cellXfs>
  <cellStyles count="1">
    <cellStyle name="Normal" xfId="0" builtinId="0"/>
  </cellStyles>
  <dxfs count="83">
    <dxf>
      <font>
        <color rgb="FF9C0006"/>
      </font>
      <fill>
        <patternFill>
          <bgColor rgb="FFFFC7CE"/>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numFmt numFmtId="0" formatCode="General"/>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[agentinfo_cleaned.xlsx]Pivot-Analysis!PivotTable10</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Regional Risk Insights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'Pivot-Analysis'!$C$9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'Pivot-Analysis'!$B$10:$B$16</c:f>
              <c:strCache>
                <c:ptCount val="6"/>
                <c:pt idx="0">
                  <c:v>Central</c:v>
                </c:pt>
                <c:pt idx="1">
                  <c:v>East</c:v>
                </c:pt>
                <c:pt idx="2">
                  <c:v>North</c:v>
                </c:pt>
                <c:pt idx="3">
                  <c:v>North-East</c:v>
                </c:pt>
                <c:pt idx="4">
                  <c:v>South</c:v>
                </c:pt>
                <c:pt idx="5">
                  <c:v>West</c:v>
                </c:pt>
              </c:strCache>
            </c:strRef>
          </c:cat>
          <c:val>
            <c:numRef>
              <c:f>'Pivot-Analysis'!$C$10:$C$16</c:f>
              <c:numCache>
                <c:formatCode>0.00</c:formatCode>
                <c:ptCount val="6"/>
                <c:pt idx="0">
                  <c:v>5</c:v>
                </c:pt>
                <c:pt idx="1">
                  <c:v>4.2037037037037033</c:v>
                </c:pt>
                <c:pt idx="2">
                  <c:v>4.6607142857142856</c:v>
                </c:pt>
                <c:pt idx="3">
                  <c:v>4.645833333333333</c:v>
                </c:pt>
                <c:pt idx="4">
                  <c:v>4.0740740740740744</c:v>
                </c:pt>
                <c:pt idx="5">
                  <c:v>4.8048780487804876</c:v>
                </c:pt>
              </c:numCache>
            </c:numRef>
          </c:val>
          <c:extLst>
            <c:ext xmlns:c16="http://schemas.microsoft.com/office/drawing/2014/chart" uri="{C3380CC4-5D6E-409C-BE32-E72D297353CC}">
              <c16:uniqueId val="{00000000-B375-4B69-9DBB-6B716F45AC37}"/>
            </c:ext>
          </c:extLst>
        </c:ser>
        <c:dLbls>
          <c:showLegendKey val="0"/>
          <c:showVal val="0"/>
          <c:showCatName val="0"/>
          <c:showSerName val="0"/>
          <c:showPercent val="0"/>
          <c:showBubbleSize val="0"/>
        </c:dLbls>
        <c:gapWidth val="65"/>
        <c:axId val="141187312"/>
        <c:axId val="141187792"/>
      </c:barChart>
      <c:catAx>
        <c:axId val="141187312"/>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1187792"/>
        <c:crosses val="autoZero"/>
        <c:auto val="1"/>
        <c:lblAlgn val="ctr"/>
        <c:lblOffset val="100"/>
        <c:noMultiLvlLbl val="0"/>
      </c:catAx>
      <c:valAx>
        <c:axId val="14118779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1187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[agentinfo_cleaned.xlsx]Pivot-Analysis!PivotTable12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Regional Risk Assessment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'Pivot-Analysis'!$C$27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'Pivot-Analysis'!$B$28:$B$34</c:f>
              <c:strCache>
                <c:ptCount val="6"/>
                <c:pt idx="0">
                  <c:v>Central</c:v>
                </c:pt>
                <c:pt idx="1">
                  <c:v>East</c:v>
                </c:pt>
                <c:pt idx="2">
                  <c:v>North</c:v>
                </c:pt>
                <c:pt idx="3">
                  <c:v>North-East</c:v>
                </c:pt>
                <c:pt idx="4">
                  <c:v>South</c:v>
                </c:pt>
                <c:pt idx="5">
                  <c:v>West</c:v>
                </c:pt>
              </c:strCache>
            </c:strRef>
          </c:cat>
          <c:val>
            <c:numRef>
              <c:f>'Pivot-Analysis'!$C$28:$C$34</c:f>
              <c:numCache>
                <c:formatCode>0.00</c:formatCode>
                <c:ptCount val="6"/>
                <c:pt idx="0">
                  <c:v>28102.675957446798</c:v>
                </c:pt>
                <c:pt idx="1">
                  <c:v>27558.040185185182</c:v>
                </c:pt>
                <c:pt idx="2">
                  <c:v>29685.533035714285</c:v>
                </c:pt>
                <c:pt idx="3">
                  <c:v>27202.456458333327</c:v>
                </c:pt>
                <c:pt idx="4">
                  <c:v>29105.628703703707</c:v>
                </c:pt>
                <c:pt idx="5">
                  <c:v>23121.749024390236</c:v>
                </c:pt>
              </c:numCache>
            </c:numRef>
          </c:val>
          <c:extLst>
            <c:ext xmlns:c16="http://schemas.microsoft.com/office/drawing/2014/chart" uri="{C3380CC4-5D6E-409C-BE32-E72D297353CC}">
              <c16:uniqueId val="{00000000-F1E1-4EF3-9F9A-D88E3B4837FC}"/>
            </c:ext>
          </c:extLst>
        </c:ser>
        <c:dLbls>
          <c:showLegendKey val="0"/>
          <c:showVal val="0"/>
          <c:showCatName val="0"/>
          <c:showSerName val="0"/>
          <c:showPercent val="0"/>
          <c:showBubbleSize val="0"/>
        </c:dLbls>
        <c:gapWidth val="65"/>
        <c:axId val="141227152"/>
        <c:axId val="141232432"/>
      </c:barChart>
      <c:catAx>
        <c:axId val="14122715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1232432"/>
        <c:crosses val="autoZero"/>
        <c:auto val="1"/>
        <c:lblAlgn val="ctr"/>
        <c:lblOffset val="100"/>
        <c:noMultiLvlLbl val="0"/>
      </c:catAx>
      <c:valAx>
        <c:axId val="14123243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122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[agentinfo_cleaned.xlsx]Pivot-Analysis!PivotTable14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Lapse Performance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'Pivot-Analysis'!$N$9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'Pivot-Analysis'!$M$10:$M$16</c:f>
              <c:strCache>
                <c:ptCount val="6"/>
                <c:pt idx="0">
                  <c:v>Central</c:v>
                </c:pt>
                <c:pt idx="1">
                  <c:v>East</c:v>
                </c:pt>
                <c:pt idx="2">
                  <c:v>North</c:v>
                </c:pt>
                <c:pt idx="3">
                  <c:v>North-East</c:v>
                </c:pt>
                <c:pt idx="4">
                  <c:v>South</c:v>
                </c:pt>
                <c:pt idx="5">
                  <c:v>West</c:v>
                </c:pt>
              </c:strCache>
            </c:strRef>
          </c:cat>
          <c:val>
            <c:numRef>
              <c:f>'Pivot-Analysis'!$N$10:$N$16</c:f>
              <c:numCache>
                <c:formatCode>General</c:formatCode>
                <c:ptCount val="6"/>
                <c:pt idx="0">
                  <c:v>1270</c:v>
                </c:pt>
                <c:pt idx="1">
                  <c:v>1372</c:v>
                </c:pt>
                <c:pt idx="2">
                  <c:v>1449</c:v>
                </c:pt>
                <c:pt idx="3">
                  <c:v>1169</c:v>
                </c:pt>
                <c:pt idx="4">
                  <c:v>1532</c:v>
                </c:pt>
                <c:pt idx="5">
                  <c:v>1074</c:v>
                </c:pt>
              </c:numCache>
            </c:numRef>
          </c:val>
          <c:extLst>
            <c:ext xmlns:c16="http://schemas.microsoft.com/office/drawing/2014/chart" uri="{C3380CC4-5D6E-409C-BE32-E72D297353CC}">
              <c16:uniqueId val="{00000000-DE56-48EC-8552-A3841D970D43}"/>
            </c:ext>
          </c:extLst>
        </c:ser>
        <c:dLbls>
          <c:showLegendKey val="0"/>
          <c:showVal val="0"/>
          <c:showCatName val="0"/>
          <c:showSerName val="0"/>
          <c:showPercent val="0"/>
          <c:showBubbleSize val="0"/>
        </c:dLbls>
        <c:gapWidth val="65"/>
        <c:axId val="221857520"/>
        <c:axId val="221851280"/>
      </c:barChart>
      <c:catAx>
        <c:axId val="2218575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21851280"/>
        <c:crosses val="autoZero"/>
        <c:auto val="1"/>
        <c:lblAlgn val="ctr"/>
        <c:lblOffset val="100"/>
        <c:noMultiLvlLbl val="0"/>
      </c:catAx>
      <c:valAx>
        <c:axId val="22185128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2185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[agentinfo_cleaned.xlsx]Pivot-Analysis!PivotTable15</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Region wise Agents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'Pivot-Analysis'!$N$27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6D8-4E45-9D5F-52705FD9559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6D8-4E45-9D5F-52705FD9559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6D8-4E45-9D5F-52705FD9559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6D8-4E45-9D5F-52705FD95596}"/>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6D8-4E45-9D5F-52705FD95596}"/>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06D8-4E45-9D5F-52705FD9559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'Pivot-Analysis'!$M$28:$M$34</c:f>
              <c:strCache>
                <c:ptCount val="6"/>
                <c:pt idx="0">
                  <c:v>Central</c:v>
                </c:pt>
                <c:pt idx="1">
                  <c:v>East</c:v>
                </c:pt>
                <c:pt idx="2">
                  <c:v>North</c:v>
                </c:pt>
                <c:pt idx="3">
                  <c:v>North-East</c:v>
                </c:pt>
                <c:pt idx="4">
                  <c:v>South</c:v>
                </c:pt>
                <c:pt idx="5">
                  <c:v>West</c:v>
                </c:pt>
              </c:strCache>
            </c:strRef>
          </c:cat>
          <c:val>
            <c:numRef>
              <c:f>'Pivot-Analysis'!$N$28:$N$34</c:f>
              <c:numCache>
                <c:formatCode>General</c:formatCode>
                <c:ptCount val="6"/>
                <c:pt idx="0">
                  <c:v>47</c:v>
                </c:pt>
                <c:pt idx="1">
                  <c:v>54</c:v>
                </c:pt>
                <c:pt idx="2">
                  <c:v>56</c:v>
                </c:pt>
                <c:pt idx="3">
                  <c:v>48</c:v>
                </c:pt>
                <c:pt idx="4">
                  <c:v>54</c:v>
                </c:pt>
                <c:pt idx="5">
                  <c:v>41</c:v>
                </c:pt>
              </c:numCache>
            </c:numRef>
          </c:val>
          <c:extLst>
            <c:ext xmlns:c16="http://schemas.microsoft.com/office/drawing/2014/chart" uri="{C3380CC4-5D6E-409C-BE32-E72D297353CC}">
              <c16:uniqueId val="{0000000C-06D8-4E45-9D5F-52705FD9559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[agentinfo_cleaned.xlsx]Pivot-Analysis!PivotTable13</c:name>
    <c:fmtId val="4"/>
  </c:pivotSource>
  <c:chart>
    <c:title>
      <c:tx>
        <c:rich>
          <a:bodyPr rot="0" spcFirstLastPara="1" vertOverflow="ellipsis" vert="horz" wrap="square" anchor="ctr" anchorCtr="1"/>
          <a:lstStyle/>
          <a:p>
            <a:pPr>
              <a:defRPr sz="1800" b="1" i="0" u="none" strike="noStrike" kern="1200" baseline="0">
                <a:ln>
                  <a:noFill/>
                </a:ln>
                <a:solidFill>
                  <a:schemeClr val="dk1">
                    <a:lumMod val="75000"/>
                    <a:lumOff val="25000"/>
                  </a:schemeClr>
                </a:solidFill>
                <a:latin typeface="+mn-lt"/>
                <a:ea typeface="+mn-ea"/>
                <a:cs typeface="+mn-cs"/>
              </a:defRPr>
            </a:pPr>
            <a:r>
              <a:rPr lang="en-US"/>
              <a:t>Fraud vs Sales Analysis</a:t>
            </a:r>
          </a:p>
        </c:rich>
      </c:tx>
      <c:overlay val="0"/>
      <c:spPr>
        <a:noFill/>
        <a:ln>
          <a:noFill/>
        </a:ln>
        <a:effectLst/>
      </c:spPr>
      <c:txPr>
        <a:bodyPr rot="0" spcFirstLastPara="1" vertOverflow="ellipsis" vert="horz" wrap="square" anchor="ctr" anchorCtr="1"/>
        <a:lstStyle/>
        <a:p>
          <a:pPr>
            <a:defRPr sz="1800" b="1" i="0" u="none" strike="noStrike" kern="1200" baseline="0">
              <a:ln>
                <a:noFill/>
              </a:ln>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'Pivot-Analysis'!$I$27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'Pivot-Analysis'!$H$28:$H$38</c:f>
              <c:strCache>
                <c:ptCount val="10"/>
                <c:pt idx="0">
                  <c:v>0</c:v>
                </c:pt>
                <c:pt idx="1">
                  <c:v>1</c:v>
                </c:pt>
                <c:pt idx="2">
                  <c:v>2</c:v>
                </c:pt>
                <c:pt idx="3">
                  <c:v>3</c:v>
                </c:pt>
                <c:pt idx="4">
                  <c:v>4</c:v>
                </c:pt>
                <c:pt idx="5">
                  <c:v>5</c:v>
                </c:pt>
                <c:pt idx="6">
                  <c:v>6</c:v>
                </c:pt>
                <c:pt idx="7">
                  <c:v>7</c:v>
                </c:pt>
                <c:pt idx="8">
                  <c:v>8</c:v>
                </c:pt>
                <c:pt idx="9">
                  <c:v>9</c:v>
                </c:pt>
              </c:strCache>
            </c:strRef>
          </c:cat>
          <c:val>
            <c:numRef>
              <c:f>'Pivot-Analysis'!$I$28:$I$38</c:f>
              <c:numCache>
                <c:formatCode>0.00</c:formatCode>
                <c:ptCount val="10"/>
                <c:pt idx="0">
                  <c:v>200.7037037037037</c:v>
                </c:pt>
                <c:pt idx="1">
                  <c:v>167.43333333333334</c:v>
                </c:pt>
                <c:pt idx="2">
                  <c:v>213</c:v>
                </c:pt>
                <c:pt idx="3">
                  <c:v>152.3125</c:v>
                </c:pt>
                <c:pt idx="4">
                  <c:v>174.63157894736841</c:v>
                </c:pt>
                <c:pt idx="5">
                  <c:v>174.45833333333334</c:v>
                </c:pt>
                <c:pt idx="6">
                  <c:v>189.61111111111111</c:v>
                </c:pt>
                <c:pt idx="7">
                  <c:v>182.34615384615384</c:v>
                </c:pt>
                <c:pt idx="8">
                  <c:v>157.85185185185185</c:v>
                </c:pt>
                <c:pt idx="9">
                  <c:v>153.72727272727272</c:v>
                </c:pt>
              </c:numCache>
            </c:numRef>
          </c:val>
          <c:extLst>
            <c:ext xmlns:c16="http://schemas.microsoft.com/office/drawing/2014/chart" uri="{C3380CC4-5D6E-409C-BE32-E72D297353CC}">
              <c16:uniqueId val="{00000000-8E2C-4B7A-9DFF-D722092345E6}"/>
            </c:ext>
          </c:extLst>
        </c:ser>
        <c:dLbls>
          <c:showLegendKey val="0"/>
          <c:showVal val="0"/>
          <c:showCatName val="0"/>
          <c:showSerName val="0"/>
          <c:showPercent val="0"/>
          <c:showBubbleSize val="0"/>
        </c:dLbls>
        <c:gapWidth val="65"/>
        <c:axId val="267369424"/>
        <c:axId val="267375664"/>
      </c:barChart>
      <c:catAx>
        <c:axId val="267369424"/>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ln>
                  <a:noFill/>
                </a:ln>
                <a:solidFill>
                  <a:schemeClr val="dk1">
                    <a:lumMod val="75000"/>
                    <a:lumOff val="25000"/>
                  </a:schemeClr>
                </a:solidFill>
                <a:latin typeface="+mn-lt"/>
                <a:ea typeface="+mn-ea"/>
                <a:cs typeface="+mn-cs"/>
              </a:defRPr>
            </a:pPr>
            <a:endParaRPr lang="en-US"/>
          </a:p>
        </c:txPr>
        <c:crossAx val="267375664"/>
        <c:crosses val="autoZero"/>
        <c:auto val="1"/>
        <c:lblAlgn val="ctr"/>
        <c:lblOffset val="100"/>
        <c:noMultiLvlLbl val="0"/>
      </c:catAx>
      <c:valAx>
        <c:axId val="267375664"/>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dk1">
                    <a:lumMod val="75000"/>
                    <a:lumOff val="25000"/>
                  </a:schemeClr>
                </a:solidFill>
                <a:latin typeface="+mn-lt"/>
                <a:ea typeface="+mn-ea"/>
                <a:cs typeface="+mn-cs"/>
              </a:defRPr>
            </a:pPr>
            <a:endParaRPr lang="en-US"/>
          </a:p>
        </c:txPr>
        <c:crossAx val="267369424"/>
        <c:crosses val="autoZero"/>
        <c:crossBetween val="between"/>
      </c:valAx>
      <c:spPr>
        <a:noFill/>
        <a:ln>
          <a:solidFill>
            <a:schemeClr val="bg2">
              <a:lumMod val="1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[agentinfo_cleaned.xlsx]Pivot-Analysis!PivotTable11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Experience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lumMod val="50000"/>
                <a:lumOff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'Pivot-Analysis'!$I$9</c:f>
              <c:strCache>
                <c:ptCount val="1"/>
                <c:pt idx="0">
                  <c:v>Total</c:v>
                </c:pt>
              </c:strCache>
            </c:strRef>
          </c:tx>
          <c:spPr>
            <a:ln w="28575" cap="rnd">
              <a:solidFill>
                <a:schemeClr val="tx1">
                  <a:lumMod val="50000"/>
                  <a:lumOff val="50000"/>
                </a:schemeClr>
              </a:solidFill>
              <a:round/>
            </a:ln>
            <a:effectLst/>
          </c:spPr>
          <c:marker>
            <c:symbol val="circle"/>
            <c:size val="5"/>
            <c:spPr>
              <a:solidFill>
                <a:schemeClr val="accent1"/>
              </a:solidFill>
              <a:ln w="9525">
                <a:solidFill>
                  <a:schemeClr val="accent1"/>
                </a:solidFill>
              </a:ln>
              <a:effectLst/>
            </c:spPr>
          </c:marker>
          <c:cat>
            <c:strRef>
              <c:f>'Pivot-Analysis'!$H$10:$H$19</c:f>
              <c:strCache>
                <c:ptCount val="9"/>
                <c:pt idx="0">
                  <c:v>3</c:v>
                </c:pt>
                <c:pt idx="1">
                  <c:v>4</c:v>
                </c:pt>
                <c:pt idx="2">
                  <c:v>5</c:v>
                </c:pt>
                <c:pt idx="3">
                  <c:v>6</c:v>
                </c:pt>
                <c:pt idx="4">
                  <c:v>7</c:v>
                </c:pt>
                <c:pt idx="5">
                  <c:v>8</c:v>
                </c:pt>
                <c:pt idx="6">
                  <c:v>9</c:v>
                </c:pt>
                <c:pt idx="7">
                  <c:v>10</c:v>
                </c:pt>
                <c:pt idx="8">
                  <c:v>11</c:v>
                </c:pt>
              </c:strCache>
            </c:strRef>
          </c:cat>
          <c:val>
            <c:numRef>
              <c:f>'Pivot-Analysis'!$I$10:$I$19</c:f>
              <c:numCache>
                <c:formatCode>0.00</c:formatCode>
                <c:ptCount val="9"/>
                <c:pt idx="0">
                  <c:v>151.1</c:v>
                </c:pt>
                <c:pt idx="1">
                  <c:v>188.95238095238096</c:v>
                </c:pt>
                <c:pt idx="2">
                  <c:v>171.75862068965517</c:v>
                </c:pt>
                <c:pt idx="3">
                  <c:v>174.92857142857142</c:v>
                </c:pt>
                <c:pt idx="4">
                  <c:v>181.33333333333334</c:v>
                </c:pt>
                <c:pt idx="5">
                  <c:v>170.84090909090909</c:v>
                </c:pt>
                <c:pt idx="6">
                  <c:v>176.12820512820514</c:v>
                </c:pt>
                <c:pt idx="7">
                  <c:v>177</c:v>
                </c:pt>
                <c:pt idx="8">
                  <c:v>166.64705882352942</c:v>
                </c:pt>
              </c:numCache>
            </c:numRef>
          </c:val>
          <c:smooth val="0"/>
          <c:extLst>
            <c:ext xmlns:c16="http://schemas.microsoft.com/office/drawing/2014/chart" uri="{C3380CC4-5D6E-409C-BE32-E72D297353CC}">
              <c16:uniqueId val="{00000000-14BA-4E39-98BD-CEF910BABE0E}"/>
            </c:ext>
          </c:extLst>
        </c:ser>
        <c:dLbls>
          <c:showLegendKey val="0"/>
          <c:showVal val="0"/>
          <c:showCatName val="0"/>
          <c:showSerName val="0"/>
          <c:showPercent val="0"/>
          <c:showBubbleSize val="0"/>
        </c:dLbls>
        <c:marker val="1"/>
        <c:smooth val="0"/>
        <c:axId val="251160224"/>
        <c:axId val="251160704"/>
      </c:lineChart>
      <c:catAx>
        <c:axId val="25116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160704"/>
        <c:crosses val="autoZero"/>
        <c:auto val="1"/>
        <c:lblAlgn val="ctr"/>
        <c:lblOffset val="100"/>
        <c:noMultiLvlLbl val="0"/>
      </c:catAx>
      <c:valAx>
        <c:axId val="2511607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16022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75000"/>
          <a:lumOff val="25000"/>
        </a:schemeClr>
      </a:solidFill>
      <a:round/>
    </a:ln>
    <a:effectLst>
      <a:outerShdw blurRad="50800" dist="50800" dir="5400000" algn="ctr" rotWithShape="0">
        <a:schemeClr val="tx1">
          <a:lumMod val="75000"/>
          <a:lumOff val="2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220980</xdr:colOff>
      <xdr:row>19</xdr:row>
      <xdr:rowOff>38100</xdr:rowOff>
    </xdr:from>
    <xdr:to>
      <xdr:col>7</xdr:col>
      <xdr:colOff>266700</xdr:colOff>
      <xdr:row>34</xdr:row>
      <xdr:rowOff>38100</xdr:rowOff>
    </xdr:to>
    <xdr:graphicFrame macro="">
      <xdr:nvGraphicFramePr>
        <xdr:cNvPr id="2" name="Chart 1">
          <a:extLst>
            <a:ext uri="{FF2B5EF4-FFF2-40B4-BE49-F238E27FC236}">
              <a16:creationId xmlns:a16="http://schemas.microsoft.com/office/drawing/2014/main" id="{7653F90A-0D67-42C4-919A-42399AD0D1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480060</xdr:colOff>
      <xdr:row>19</xdr:row>
      <xdr:rowOff>22860</xdr:rowOff>
    </xdr:from>
    <xdr:to>
      <xdr:col>15</xdr:col>
      <xdr:colOff>518160</xdr:colOff>
      <xdr:row>34</xdr:row>
      <xdr:rowOff>22860</xdr:rowOff>
    </xdr:to>
    <xdr:graphicFrame macro="">
      <xdr:nvGraphicFramePr>
        <xdr:cNvPr id="4" name="Chart 3">
          <a:extLst>
            <a:ext uri="{FF2B5EF4-FFF2-40B4-BE49-F238E27FC236}">
              <a16:creationId xmlns:a16="http://schemas.microsoft.com/office/drawing/2014/main" id="{B2974A69-4B71-42D4-BA6F-765FFD4F1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220980</xdr:colOff>
      <xdr:row>38</xdr:row>
      <xdr:rowOff>0</xdr:rowOff>
    </xdr:from>
    <xdr:to>
      <xdr:col>7</xdr:col>
      <xdr:colOff>304800</xdr:colOff>
      <xdr:row>52</xdr:row>
      <xdr:rowOff>114300</xdr:rowOff>
    </xdr:to>
    <xdr:graphicFrame macro="">
      <xdr:nvGraphicFramePr>
        <xdr:cNvPr id="6" name="Chart 5">
          <a:extLst>
            <a:ext uri="{FF2B5EF4-FFF2-40B4-BE49-F238E27FC236}">
              <a16:creationId xmlns:a16="http://schemas.microsoft.com/office/drawing/2014/main" id="{51085938-A2E0-47BA-B177-BE3FE5407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38</xdr:row>
      <xdr:rowOff>0</xdr:rowOff>
    </xdr:from>
    <xdr:to>
      <xdr:col>15</xdr:col>
      <xdr:colOff>525780</xdr:colOff>
      <xdr:row>53</xdr:row>
      <xdr:rowOff>0</xdr:rowOff>
    </xdr:to>
    <xdr:graphicFrame macro="">
      <xdr:nvGraphicFramePr>
        <xdr:cNvPr id="8" name="Chart 7">
          <a:extLst>
            <a:ext uri="{FF2B5EF4-FFF2-40B4-BE49-F238E27FC236}">
              <a16:creationId xmlns:a16="http://schemas.microsoft.com/office/drawing/2014/main" id="{3EE80C58-A753-4DEF-8A87-4E04D83383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76200</xdr:colOff>
      <xdr:row>19</xdr:row>
      <xdr:rowOff>15240</xdr:rowOff>
    </xdr:from>
    <xdr:to>
      <xdr:col>23</xdr:col>
      <xdr:colOff>472440</xdr:colOff>
      <xdr:row>34</xdr:row>
      <xdr:rowOff>15240</xdr:rowOff>
    </xdr:to>
    <xdr:graphicFrame macro="">
      <xdr:nvGraphicFramePr>
        <xdr:cNvPr id="10" name="Chart 9">
          <a:extLst>
            <a:ext uri="{FF2B5EF4-FFF2-40B4-BE49-F238E27FC236}">
              <a16:creationId xmlns:a16="http://schemas.microsoft.com/office/drawing/2014/main" id="{86D2601D-E6D4-4A74-B7A5-9E84EABEAB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0</xdr:colOff>
      <xdr:row>38</xdr:row>
      <xdr:rowOff>0</xdr:rowOff>
    </xdr:from>
    <xdr:to>
      <xdr:col>23</xdr:col>
      <xdr:colOff>487680</xdr:colOff>
      <xdr:row>53</xdr:row>
      <xdr:rowOff>0</xdr:rowOff>
    </xdr:to>
    <xdr:graphicFrame macro="">
      <xdr:nvGraphicFramePr>
        <xdr:cNvPr id="14" name="Chart 13">
          <a:extLst>
            <a:ext uri="{FF2B5EF4-FFF2-40B4-BE49-F238E27FC236}">
              <a16:creationId xmlns:a16="http://schemas.microsoft.com/office/drawing/2014/main" id="{FA55EA54-5B57-4081-9AB5-98FC7BAF4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158675</xdr:colOff>
      <xdr:row>6</xdr:row>
      <xdr:rowOff>60513</xdr:rowOff>
    </xdr:from>
    <xdr:to>
      <xdr:col>4</xdr:col>
      <xdr:colOff>376517</xdr:colOff>
      <xdr:row>10</xdr:row>
      <xdr:rowOff>140747</xdr:rowOff>
    </xdr:to>
    <mc:AlternateContent xmlns:mc="http://schemas.openxmlformats.org/markup-compatibility/2006" xmlns:a14="http://schemas.microsoft.com/office/drawing/2010/main">
      <mc:Choice Requires="a14">
        <xdr:graphicFrame macro="">
          <xdr:nvGraphicFramePr>
            <xdr:cNvPr id="23" name="region">
              <a:extLst>
                <a:ext uri="{FF2B5EF4-FFF2-40B4-BE49-F238E27FC236}">
                  <a16:creationId xmlns:a16="http://schemas.microsoft.com/office/drawing/2014/main" id="{16D33993-2369-01C5-46B8-E5C41F37AF2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8275" y="1136278"/>
              <a:ext cx="2046642" cy="7974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580912</xdr:colOff>
      <xdr:row>6</xdr:row>
      <xdr:rowOff>65892</xdr:rowOff>
    </xdr:from>
    <xdr:to>
      <xdr:col>10</xdr:col>
      <xdr:colOff>197223</xdr:colOff>
      <xdr:row>10</xdr:row>
      <xdr:rowOff>168986</xdr:rowOff>
    </xdr:to>
    <mc:AlternateContent xmlns:mc="http://schemas.openxmlformats.org/markup-compatibility/2006" xmlns:a14="http://schemas.microsoft.com/office/drawing/2010/main">
      <mc:Choice Requires="a14">
        <xdr:graphicFrame macro="">
          <xdr:nvGraphicFramePr>
            <xdr:cNvPr id="24" name="join_date">
              <a:extLst>
                <a:ext uri="{FF2B5EF4-FFF2-40B4-BE49-F238E27FC236}">
                  <a16:creationId xmlns:a16="http://schemas.microsoft.com/office/drawing/2014/main" id="{A949F073-A6E3-CA16-E7EE-DBE288A6CDDD}"/>
                </a:ext>
              </a:extLst>
            </xdr:cNvPr>
            <xdr:cNvGraphicFramePr/>
          </xdr:nvGraphicFramePr>
          <xdr:xfrm>
            <a:off x="0" y="0"/>
            <a:ext cx="0" cy="0"/>
          </xdr:xfrm>
          <a:graphic>
            <a:graphicData uri="http://schemas.microsoft.com/office/drawing/2010/slicer">
              <sle:slicer xmlns:sle="http://schemas.microsoft.com/office/drawing/2010/slicer" name="join_date"/>
            </a:graphicData>
          </a:graphic>
        </xdr:graphicFrame>
      </mc:Choice>
      <mc:Fallback xmlns="">
        <xdr:sp macro="" textlink="">
          <xdr:nvSpPr>
            <xdr:cNvPr id="0" name=""/>
            <xdr:cNvSpPr>
              <a:spLocks noTextEdit="1"/>
            </xdr:cNvSpPr>
          </xdr:nvSpPr>
          <xdr:spPr>
            <a:xfrm>
              <a:off x="4238512" y="1141657"/>
              <a:ext cx="2054711" cy="8202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36756</xdr:colOff>
      <xdr:row>6</xdr:row>
      <xdr:rowOff>129990</xdr:rowOff>
    </xdr:from>
    <xdr:to>
      <xdr:col>16</xdr:col>
      <xdr:colOff>197224</xdr:colOff>
      <xdr:row>10</xdr:row>
      <xdr:rowOff>175710</xdr:rowOff>
    </xdr:to>
    <mc:AlternateContent xmlns:mc="http://schemas.openxmlformats.org/markup-compatibility/2006" xmlns:a14="http://schemas.microsoft.com/office/drawing/2010/main">
      <mc:Choice Requires="a14">
        <xdr:graphicFrame macro="">
          <xdr:nvGraphicFramePr>
            <xdr:cNvPr id="25" name="fraud_association">
              <a:extLst>
                <a:ext uri="{FF2B5EF4-FFF2-40B4-BE49-F238E27FC236}">
                  <a16:creationId xmlns:a16="http://schemas.microsoft.com/office/drawing/2014/main" id="{3DAE3291-566D-93BE-2567-006D10FE4088}"/>
                </a:ext>
              </a:extLst>
            </xdr:cNvPr>
            <xdr:cNvGraphicFramePr/>
          </xdr:nvGraphicFramePr>
          <xdr:xfrm>
            <a:off x="0" y="0"/>
            <a:ext cx="0" cy="0"/>
          </xdr:xfrm>
          <a:graphic>
            <a:graphicData uri="http://schemas.microsoft.com/office/drawing/2010/slicer">
              <sle:slicer xmlns:sle="http://schemas.microsoft.com/office/drawing/2010/slicer" name="fraud_association"/>
            </a:graphicData>
          </a:graphic>
        </xdr:graphicFrame>
      </mc:Choice>
      <mc:Fallback xmlns="">
        <xdr:sp macro="" textlink="">
          <xdr:nvSpPr>
            <xdr:cNvPr id="0" name=""/>
            <xdr:cNvSpPr>
              <a:spLocks noTextEdit="1"/>
            </xdr:cNvSpPr>
          </xdr:nvSpPr>
          <xdr:spPr>
            <a:xfrm>
              <a:off x="7961556" y="1205755"/>
              <a:ext cx="1989268" cy="7628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411031</xdr:colOff>
      <xdr:row>6</xdr:row>
      <xdr:rowOff>150607</xdr:rowOff>
    </xdr:from>
    <xdr:to>
      <xdr:col>21</xdr:col>
      <xdr:colOff>573740</xdr:colOff>
      <xdr:row>10</xdr:row>
      <xdr:rowOff>179293</xdr:rowOff>
    </xdr:to>
    <mc:AlternateContent xmlns:mc="http://schemas.openxmlformats.org/markup-compatibility/2006" xmlns:a14="http://schemas.microsoft.com/office/drawing/2010/main">
      <mc:Choice Requires="a14">
        <xdr:graphicFrame macro="">
          <xdr:nvGraphicFramePr>
            <xdr:cNvPr id="26" name="Experience_Years">
              <a:extLst>
                <a:ext uri="{FF2B5EF4-FFF2-40B4-BE49-F238E27FC236}">
                  <a16:creationId xmlns:a16="http://schemas.microsoft.com/office/drawing/2014/main" id="{ED044269-4499-4DCA-4736-4442486B8212}"/>
                </a:ext>
              </a:extLst>
            </xdr:cNvPr>
            <xdr:cNvGraphicFramePr/>
          </xdr:nvGraphicFramePr>
          <xdr:xfrm>
            <a:off x="0" y="0"/>
            <a:ext cx="0" cy="0"/>
          </xdr:xfrm>
          <a:graphic>
            <a:graphicData uri="http://schemas.microsoft.com/office/drawing/2010/slicer">
              <sle:slicer xmlns:sle="http://schemas.microsoft.com/office/drawing/2010/slicer" name="Experience_Years"/>
            </a:graphicData>
          </a:graphic>
        </xdr:graphicFrame>
      </mc:Choice>
      <mc:Fallback xmlns="">
        <xdr:sp macro="" textlink="">
          <xdr:nvSpPr>
            <xdr:cNvPr id="0" name=""/>
            <xdr:cNvSpPr>
              <a:spLocks noTextEdit="1"/>
            </xdr:cNvSpPr>
          </xdr:nvSpPr>
          <xdr:spPr>
            <a:xfrm>
              <a:off x="11383831" y="1226372"/>
              <a:ext cx="1991509" cy="7458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107577</xdr:colOff>
      <xdr:row>12</xdr:row>
      <xdr:rowOff>152403</xdr:rowOff>
    </xdr:from>
    <xdr:to>
      <xdr:col>4</xdr:col>
      <xdr:colOff>143436</xdr:colOff>
      <xdr:row>17</xdr:row>
      <xdr:rowOff>53791</xdr:rowOff>
    </xdr:to>
    <xdr:sp macro="" textlink="J3">
      <xdr:nvSpPr>
        <xdr:cNvPr id="34" name="Rectangle: Rounded Corners 33">
          <a:extLst>
            <a:ext uri="{FF2B5EF4-FFF2-40B4-BE49-F238E27FC236}">
              <a16:creationId xmlns:a16="http://schemas.microsoft.com/office/drawing/2014/main" id="{D7859FA5-2E88-4871-902E-8212FB4FA9DE}"/>
            </a:ext>
          </a:extLst>
        </xdr:cNvPr>
        <xdr:cNvSpPr/>
      </xdr:nvSpPr>
      <xdr:spPr>
        <a:xfrm>
          <a:off x="717177" y="2303932"/>
          <a:ext cx="1864659" cy="797859"/>
        </a:xfrm>
        <a:prstGeom prst="roundRect">
          <a:avLst/>
        </a:prstGeom>
        <a:solidFill>
          <a:schemeClr val="accent2">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US" sz="1100" b="0" i="0" u="none" strike="noStrike">
              <a:solidFill>
                <a:srgbClr val="000000"/>
              </a:solidFill>
              <a:latin typeface="Calibri"/>
              <a:ea typeface="Calibri"/>
              <a:cs typeface="Calibri"/>
            </a:rPr>
            <a:t>Total</a:t>
          </a:r>
          <a:r>
            <a:rPr lang="en-US" sz="1100" b="0" i="0" u="none" strike="noStrike" baseline="0">
              <a:solidFill>
                <a:srgbClr val="000000"/>
              </a:solidFill>
              <a:latin typeface="Calibri"/>
              <a:ea typeface="Calibri"/>
              <a:cs typeface="Calibri"/>
            </a:rPr>
            <a:t> Agent</a:t>
          </a:r>
          <a:endParaRPr lang="en-US" sz="1100" b="0" i="0" u="none" strike="noStrike">
            <a:solidFill>
              <a:srgbClr val="000000"/>
            </a:solidFill>
            <a:latin typeface="Calibri"/>
            <a:ea typeface="Calibri"/>
            <a:cs typeface="Calibri"/>
          </a:endParaRPr>
        </a:p>
        <a:p>
          <a:pPr algn="ctr"/>
          <a:endParaRPr lang="en-US" sz="1100" b="0" i="0" u="none" strike="noStrike">
            <a:solidFill>
              <a:srgbClr val="000000"/>
            </a:solidFill>
            <a:latin typeface="Calibri"/>
            <a:ea typeface="Calibri"/>
            <a:cs typeface="Calibri"/>
          </a:endParaRPr>
        </a:p>
        <a:p>
          <a:pPr algn="ctr"/>
          <a:fld id="{FBE4AFB1-C96C-4C5C-9A81-C209091FF42B}" type="TxLink">
            <a:rPr lang="en-US" sz="1100" b="0" i="0" u="none" strike="noStrike">
              <a:solidFill>
                <a:srgbClr val="000000"/>
              </a:solidFill>
              <a:latin typeface="Calibri"/>
              <a:ea typeface="Calibri"/>
              <a:cs typeface="Calibri"/>
            </a:rPr>
            <a:pPr algn="ctr"/>
            <a:t>300</a:t>
          </a:fld>
          <a:endParaRPr lang="en-IN" sz="1600" b="1">
            <a:solidFill>
              <a:schemeClr val="tx1">
                <a:lumMod val="95000"/>
                <a:lumOff val="5000"/>
              </a:schemeClr>
            </a:solidFill>
          </a:endParaRPr>
        </a:p>
      </xdr:txBody>
    </xdr:sp>
    <xdr:clientData/>
  </xdr:twoCellAnchor>
  <xdr:twoCellAnchor>
    <xdr:from>
      <xdr:col>6</xdr:col>
      <xdr:colOff>89647</xdr:colOff>
      <xdr:row>12</xdr:row>
      <xdr:rowOff>170330</xdr:rowOff>
    </xdr:from>
    <xdr:to>
      <xdr:col>9</xdr:col>
      <xdr:colOff>125506</xdr:colOff>
      <xdr:row>17</xdr:row>
      <xdr:rowOff>71718</xdr:rowOff>
    </xdr:to>
    <xdr:sp macro="" textlink="J4">
      <xdr:nvSpPr>
        <xdr:cNvPr id="36" name="Rectangle: Rounded Corners 35">
          <a:extLst>
            <a:ext uri="{FF2B5EF4-FFF2-40B4-BE49-F238E27FC236}">
              <a16:creationId xmlns:a16="http://schemas.microsoft.com/office/drawing/2014/main" id="{F3E2B9F3-356F-46BC-B389-F6C029C91538}"/>
            </a:ext>
          </a:extLst>
        </xdr:cNvPr>
        <xdr:cNvSpPr/>
      </xdr:nvSpPr>
      <xdr:spPr>
        <a:xfrm>
          <a:off x="3747247" y="2321859"/>
          <a:ext cx="1864659" cy="797859"/>
        </a:xfrm>
        <a:prstGeom prst="roundRect">
          <a:avLst/>
        </a:prstGeom>
        <a:solidFill>
          <a:schemeClr val="accent2">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1100" b="0" i="0" u="none" strike="noStrike">
              <a:solidFill>
                <a:srgbClr val="000000"/>
              </a:solidFill>
              <a:latin typeface="Calibri"/>
              <a:ea typeface="Calibri"/>
              <a:cs typeface="Calibri"/>
            </a:rPr>
            <a:t>                   </a:t>
          </a:r>
        </a:p>
        <a:p>
          <a:pPr algn="l"/>
          <a:r>
            <a:rPr lang="en-US" sz="1100" b="0" i="0" u="none" strike="noStrike">
              <a:solidFill>
                <a:srgbClr val="000000"/>
              </a:solidFill>
              <a:latin typeface="Calibri"/>
              <a:ea typeface="Calibri"/>
              <a:cs typeface="Calibri"/>
            </a:rPr>
            <a:t>                  </a:t>
          </a:r>
        </a:p>
        <a:p>
          <a:pPr algn="l"/>
          <a:r>
            <a:rPr lang="en-US" sz="1100" b="0" i="0" u="none" strike="noStrike">
              <a:solidFill>
                <a:srgbClr val="000000"/>
              </a:solidFill>
              <a:latin typeface="Calibri"/>
              <a:ea typeface="Calibri"/>
              <a:cs typeface="Calibri"/>
            </a:rPr>
            <a:t>                   </a:t>
          </a:r>
          <a:fld id="{10590271-A1D0-4613-9816-A86DACF42956}" type="TxLink">
            <a:rPr lang="en-US" sz="1100" b="0" i="0" u="none" strike="noStrike">
              <a:solidFill>
                <a:srgbClr val="000000"/>
              </a:solidFill>
              <a:latin typeface="Calibri"/>
              <a:ea typeface="Calibri"/>
              <a:cs typeface="Calibri"/>
            </a:rPr>
            <a:pPr algn="l"/>
            <a:t>52792</a:t>
          </a:fld>
          <a:endParaRPr lang="en-IN" sz="1100"/>
        </a:p>
      </xdr:txBody>
    </xdr:sp>
    <xdr:clientData/>
  </xdr:twoCellAnchor>
  <xdr:twoCellAnchor>
    <xdr:from>
      <xdr:col>10</xdr:col>
      <xdr:colOff>528917</xdr:colOff>
      <xdr:row>13</xdr:row>
      <xdr:rowOff>0</xdr:rowOff>
    </xdr:from>
    <xdr:to>
      <xdr:col>13</xdr:col>
      <xdr:colOff>564776</xdr:colOff>
      <xdr:row>17</xdr:row>
      <xdr:rowOff>80683</xdr:rowOff>
    </xdr:to>
    <xdr:sp macro="" textlink="J5">
      <xdr:nvSpPr>
        <xdr:cNvPr id="38" name="Rectangle: Rounded Corners 37">
          <a:extLst>
            <a:ext uri="{FF2B5EF4-FFF2-40B4-BE49-F238E27FC236}">
              <a16:creationId xmlns:a16="http://schemas.microsoft.com/office/drawing/2014/main" id="{49B6F8EE-D499-45A4-80EC-504E845B4620}"/>
            </a:ext>
          </a:extLst>
        </xdr:cNvPr>
        <xdr:cNvSpPr/>
      </xdr:nvSpPr>
      <xdr:spPr>
        <a:xfrm>
          <a:off x="6624917" y="2330824"/>
          <a:ext cx="1864659" cy="797859"/>
        </a:xfrm>
        <a:prstGeom prst="roundRect">
          <a:avLst/>
        </a:prstGeom>
        <a:solidFill>
          <a:schemeClr val="accent2">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b="0" i="0" u="none" strike="noStrike">
            <a:solidFill>
              <a:srgbClr val="000000"/>
            </a:solidFill>
            <a:latin typeface="Calibri"/>
            <a:ea typeface="Calibri"/>
            <a:cs typeface="Calibri"/>
          </a:endParaRPr>
        </a:p>
        <a:p>
          <a:pPr algn="l"/>
          <a:endParaRPr lang="en-US" sz="1100" b="0"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               </a:t>
          </a:r>
          <a:fld id="{9458DFD8-73FE-4BBA-BE56-53B6299F65FF}" type="TxLink">
            <a:rPr lang="en-US" sz="1100" b="0" i="0" u="none" strike="noStrike">
              <a:solidFill>
                <a:srgbClr val="000000"/>
              </a:solidFill>
              <a:latin typeface="Calibri"/>
              <a:ea typeface="Calibri"/>
              <a:cs typeface="Calibri"/>
            </a:rPr>
            <a:pPr algn="l"/>
            <a:t>27655.87787</a:t>
          </a:fld>
          <a:endParaRPr lang="en-IN" sz="1100"/>
        </a:p>
      </xdr:txBody>
    </xdr:sp>
    <xdr:clientData/>
  </xdr:twoCellAnchor>
  <xdr:twoCellAnchor>
    <xdr:from>
      <xdr:col>15</xdr:col>
      <xdr:colOff>295836</xdr:colOff>
      <xdr:row>13</xdr:row>
      <xdr:rowOff>17929</xdr:rowOff>
    </xdr:from>
    <xdr:to>
      <xdr:col>18</xdr:col>
      <xdr:colOff>331695</xdr:colOff>
      <xdr:row>17</xdr:row>
      <xdr:rowOff>98612</xdr:rowOff>
    </xdr:to>
    <xdr:sp macro="" textlink="J6">
      <xdr:nvSpPr>
        <xdr:cNvPr id="40" name="Rectangle: Rounded Corners 39">
          <a:extLst>
            <a:ext uri="{FF2B5EF4-FFF2-40B4-BE49-F238E27FC236}">
              <a16:creationId xmlns:a16="http://schemas.microsoft.com/office/drawing/2014/main" id="{461763E4-8869-4333-BF46-4033AE5C4401}"/>
            </a:ext>
          </a:extLst>
        </xdr:cNvPr>
        <xdr:cNvSpPr/>
      </xdr:nvSpPr>
      <xdr:spPr>
        <a:xfrm>
          <a:off x="9439836" y="2348753"/>
          <a:ext cx="1864659" cy="797859"/>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ea typeface="Calibri"/>
            <a:cs typeface="Calibri"/>
          </a:endParaRPr>
        </a:p>
        <a:p>
          <a:pPr algn="l"/>
          <a:endParaRPr lang="en-US" sz="1100" b="0"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                    </a:t>
          </a:r>
          <a:r>
            <a:rPr lang="en-US" sz="1100" b="0" i="0" u="none" strike="noStrike" baseline="0">
              <a:solidFill>
                <a:srgbClr val="000000"/>
              </a:solidFill>
              <a:latin typeface="Calibri"/>
              <a:ea typeface="Calibri"/>
              <a:cs typeface="Calibri"/>
            </a:rPr>
            <a:t> </a:t>
          </a:r>
          <a:fld id="{E970554C-B7A8-4492-9C1B-14165B0DC284}" type="TxLink">
            <a:rPr lang="en-US" sz="1100" b="0" i="0" u="none" strike="noStrike">
              <a:solidFill>
                <a:srgbClr val="000000"/>
              </a:solidFill>
              <a:latin typeface="Calibri"/>
              <a:ea typeface="Calibri"/>
              <a:cs typeface="Calibri"/>
            </a:rPr>
            <a:pPr algn="l"/>
            <a:t>7866</a:t>
          </a:fld>
          <a:endParaRPr lang="en-IN" sz="1100"/>
        </a:p>
      </xdr:txBody>
    </xdr:sp>
    <xdr:clientData/>
  </xdr:twoCellAnchor>
  <xdr:twoCellAnchor>
    <xdr:from>
      <xdr:col>20</xdr:col>
      <xdr:colOff>134470</xdr:colOff>
      <xdr:row>13</xdr:row>
      <xdr:rowOff>0</xdr:rowOff>
    </xdr:from>
    <xdr:to>
      <xdr:col>23</xdr:col>
      <xdr:colOff>170329</xdr:colOff>
      <xdr:row>17</xdr:row>
      <xdr:rowOff>80683</xdr:rowOff>
    </xdr:to>
    <xdr:sp macro="" textlink="J7">
      <xdr:nvSpPr>
        <xdr:cNvPr id="42" name="Rectangle: Rounded Corners 41">
          <a:extLst>
            <a:ext uri="{FF2B5EF4-FFF2-40B4-BE49-F238E27FC236}">
              <a16:creationId xmlns:a16="http://schemas.microsoft.com/office/drawing/2014/main" id="{B27784FA-DCC8-4886-981D-DB569F16E653}"/>
            </a:ext>
          </a:extLst>
        </xdr:cNvPr>
        <xdr:cNvSpPr/>
      </xdr:nvSpPr>
      <xdr:spPr>
        <a:xfrm>
          <a:off x="12326470" y="2330824"/>
          <a:ext cx="1864659" cy="797859"/>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ea typeface="Calibri"/>
            <a:cs typeface="Calibri"/>
          </a:endParaRPr>
        </a:p>
        <a:p>
          <a:pPr algn="l"/>
          <a:endParaRPr lang="en-US" sz="1100" b="0"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              </a:t>
          </a:r>
          <a:fld id="{B0CF4B29-24B0-4FD4-93F5-BA0AAFC09768}" type="TxLink">
            <a:rPr lang="en-US" sz="1100" b="0" i="0" u="none" strike="noStrike">
              <a:solidFill>
                <a:srgbClr val="000000"/>
              </a:solidFill>
              <a:latin typeface="Calibri"/>
              <a:ea typeface="Calibri"/>
              <a:cs typeface="Calibri"/>
            </a:rPr>
            <a:pPr algn="l"/>
            <a:t>4.534883721</a:t>
          </a:fld>
          <a:endParaRPr lang="en-IN" sz="1100"/>
        </a:p>
      </xdr:txBody>
    </xdr:sp>
    <xdr:clientData/>
  </xdr:twoCellAnchor>
  <xdr:twoCellAnchor>
    <xdr:from>
      <xdr:col>1</xdr:col>
      <xdr:colOff>152399</xdr:colOff>
      <xdr:row>13</xdr:row>
      <xdr:rowOff>53788</xdr:rowOff>
    </xdr:from>
    <xdr:to>
      <xdr:col>4</xdr:col>
      <xdr:colOff>98612</xdr:colOff>
      <xdr:row>15</xdr:row>
      <xdr:rowOff>26894</xdr:rowOff>
    </xdr:to>
    <xdr:sp macro="" textlink="">
      <xdr:nvSpPr>
        <xdr:cNvPr id="44" name="Rectangle 43">
          <a:extLst>
            <a:ext uri="{FF2B5EF4-FFF2-40B4-BE49-F238E27FC236}">
              <a16:creationId xmlns:a16="http://schemas.microsoft.com/office/drawing/2014/main" id="{1E29F478-3A7C-8CC7-B9D7-4533691208C1}"/>
            </a:ext>
          </a:extLst>
        </xdr:cNvPr>
        <xdr:cNvSpPr/>
      </xdr:nvSpPr>
      <xdr:spPr>
        <a:xfrm>
          <a:off x="761999" y="2384612"/>
          <a:ext cx="1775013" cy="331694"/>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Total Agents</a:t>
          </a:r>
        </a:p>
      </xdr:txBody>
    </xdr:sp>
    <xdr:clientData/>
  </xdr:twoCellAnchor>
  <xdr:twoCellAnchor>
    <xdr:from>
      <xdr:col>6</xdr:col>
      <xdr:colOff>125506</xdr:colOff>
      <xdr:row>13</xdr:row>
      <xdr:rowOff>53788</xdr:rowOff>
    </xdr:from>
    <xdr:to>
      <xdr:col>9</xdr:col>
      <xdr:colOff>71719</xdr:colOff>
      <xdr:row>15</xdr:row>
      <xdr:rowOff>26894</xdr:rowOff>
    </xdr:to>
    <xdr:sp macro="" textlink="">
      <xdr:nvSpPr>
        <xdr:cNvPr id="45" name="Rectangle 44">
          <a:extLst>
            <a:ext uri="{FF2B5EF4-FFF2-40B4-BE49-F238E27FC236}">
              <a16:creationId xmlns:a16="http://schemas.microsoft.com/office/drawing/2014/main" id="{DF4AB039-E85E-4B55-8AE7-F88CAFF6511C}"/>
            </a:ext>
          </a:extLst>
        </xdr:cNvPr>
        <xdr:cNvSpPr/>
      </xdr:nvSpPr>
      <xdr:spPr>
        <a:xfrm>
          <a:off x="3783106" y="2384612"/>
          <a:ext cx="1775013" cy="331694"/>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Total Policies Sold</a:t>
          </a:r>
        </a:p>
      </xdr:txBody>
    </xdr:sp>
    <xdr:clientData/>
  </xdr:twoCellAnchor>
  <xdr:twoCellAnchor>
    <xdr:from>
      <xdr:col>10</xdr:col>
      <xdr:colOff>582706</xdr:colOff>
      <xdr:row>13</xdr:row>
      <xdr:rowOff>62753</xdr:rowOff>
    </xdr:from>
    <xdr:to>
      <xdr:col>13</xdr:col>
      <xdr:colOff>528919</xdr:colOff>
      <xdr:row>15</xdr:row>
      <xdr:rowOff>35859</xdr:rowOff>
    </xdr:to>
    <xdr:sp macro="" textlink="">
      <xdr:nvSpPr>
        <xdr:cNvPr id="46" name="Rectangle 45">
          <a:extLst>
            <a:ext uri="{FF2B5EF4-FFF2-40B4-BE49-F238E27FC236}">
              <a16:creationId xmlns:a16="http://schemas.microsoft.com/office/drawing/2014/main" id="{4823662C-3CB2-47F4-8787-498B173444BD}"/>
            </a:ext>
          </a:extLst>
        </xdr:cNvPr>
        <xdr:cNvSpPr/>
      </xdr:nvSpPr>
      <xdr:spPr>
        <a:xfrm>
          <a:off x="6678706" y="2393577"/>
          <a:ext cx="1775013" cy="331694"/>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Average Prenium</a:t>
          </a:r>
        </a:p>
      </xdr:txBody>
    </xdr:sp>
    <xdr:clientData/>
  </xdr:twoCellAnchor>
  <xdr:twoCellAnchor>
    <xdr:from>
      <xdr:col>15</xdr:col>
      <xdr:colOff>340660</xdr:colOff>
      <xdr:row>13</xdr:row>
      <xdr:rowOff>89647</xdr:rowOff>
    </xdr:from>
    <xdr:to>
      <xdr:col>18</xdr:col>
      <xdr:colOff>286873</xdr:colOff>
      <xdr:row>15</xdr:row>
      <xdr:rowOff>62753</xdr:rowOff>
    </xdr:to>
    <xdr:sp macro="" textlink="">
      <xdr:nvSpPr>
        <xdr:cNvPr id="47" name="Rectangle 46">
          <a:extLst>
            <a:ext uri="{FF2B5EF4-FFF2-40B4-BE49-F238E27FC236}">
              <a16:creationId xmlns:a16="http://schemas.microsoft.com/office/drawing/2014/main" id="{541AEFD1-20C0-49B1-90BC-4B0D4FF779E2}"/>
            </a:ext>
          </a:extLst>
        </xdr:cNvPr>
        <xdr:cNvSpPr/>
      </xdr:nvSpPr>
      <xdr:spPr>
        <a:xfrm>
          <a:off x="9484660" y="2420471"/>
          <a:ext cx="1775013" cy="331694"/>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Lapsed Policies</a:t>
          </a:r>
        </a:p>
      </xdr:txBody>
    </xdr:sp>
    <xdr:clientData/>
  </xdr:twoCellAnchor>
  <xdr:twoCellAnchor>
    <xdr:from>
      <xdr:col>20</xdr:col>
      <xdr:colOff>188258</xdr:colOff>
      <xdr:row>13</xdr:row>
      <xdr:rowOff>80682</xdr:rowOff>
    </xdr:from>
    <xdr:to>
      <xdr:col>23</xdr:col>
      <xdr:colOff>134471</xdr:colOff>
      <xdr:row>15</xdr:row>
      <xdr:rowOff>53788</xdr:rowOff>
    </xdr:to>
    <xdr:sp macro="" textlink="">
      <xdr:nvSpPr>
        <xdr:cNvPr id="48" name="Rectangle 47">
          <a:extLst>
            <a:ext uri="{FF2B5EF4-FFF2-40B4-BE49-F238E27FC236}">
              <a16:creationId xmlns:a16="http://schemas.microsoft.com/office/drawing/2014/main" id="{833AEA48-5215-470F-AFD0-F7A6C6CB0214}"/>
            </a:ext>
          </a:extLst>
        </xdr:cNvPr>
        <xdr:cNvSpPr/>
      </xdr:nvSpPr>
      <xdr:spPr>
        <a:xfrm>
          <a:off x="12380258" y="2411506"/>
          <a:ext cx="1775013" cy="331694"/>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Average Fraud Score</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11" refreshedDate="46224.731209143516" createdVersion="8" refreshedVersion="8" minRefreshableVersion="3" recordCount="300" xr:uid="{07631516-0530-450D-98E8-461BF1B63DA8}">
  <cacheSource type="worksheet">
    <worksheetSource name="Sheet1"/>
  </cacheSource>
  <cacheFields count="8">
    <cacheField name="agent_id" numFmtId="0">
      <sharedItems count="300">
        <s v="AGT5000"/>
        <s v="AGT5001"/>
        <s v="AGT5002"/>
        <s v="AGT5003"/>
        <s v="AGT5004"/>
        <s v="AGT5005"/>
        <s v="AGT5006"/>
        <s v="AGT5007"/>
        <s v="AGT5008"/>
        <s v="AGT5009"/>
        <s v="AGT5010"/>
        <s v="AGT5011"/>
        <s v="AGT5012"/>
        <s v="AGT5013"/>
        <s v="AGT5014"/>
        <s v="AGT5015"/>
        <s v="AGT5016"/>
        <s v="AGT5017"/>
        <s v="AGT5018"/>
        <s v="AGT5019"/>
        <s v="AGT5020"/>
        <s v="AGT5021"/>
        <s v="AGT5022"/>
        <s v="AGT5023"/>
        <s v="AGT5024"/>
        <s v="AGT5025"/>
        <s v="AGT5026"/>
        <s v="AGT5027"/>
        <s v="AGT5028"/>
        <s v="AGT5029"/>
        <s v="AGT5030"/>
        <s v="AGT5031"/>
        <s v="AGT5032"/>
        <s v="AGT5033"/>
        <s v="AGT5034"/>
        <s v="AGT5035"/>
        <s v="AGT5036"/>
        <s v="AGT5037"/>
        <s v="AGT5038"/>
        <s v="AGT5039"/>
        <s v="AGT5040"/>
        <s v="AGT5041"/>
        <s v="AGT5042"/>
        <s v="AGT5043"/>
        <s v="AGT5044"/>
        <s v="AGT5045"/>
        <s v="AGT5046"/>
        <s v="AGT5047"/>
        <s v="AGT5048"/>
        <s v="AGT5049"/>
        <s v="AGT5050"/>
        <s v="AGT5051"/>
        <s v="AGT5052"/>
        <s v="AGT5053"/>
        <s v="AGT5054"/>
        <s v="AGT5055"/>
        <s v="AGT5056"/>
        <s v="AGT5057"/>
        <s v="AGT5058"/>
        <s v="AGT5059"/>
        <s v="AGT5060"/>
        <s v="AGT5061"/>
        <s v="AGT5062"/>
        <s v="AGT5063"/>
        <s v="AGT5064"/>
        <s v="AGT5065"/>
        <s v="AGT5066"/>
        <s v="AGT5067"/>
        <s v="AGT5068"/>
        <s v="AGT5069"/>
        <s v="AGT5070"/>
        <s v="AGT5071"/>
        <s v="AGT5072"/>
        <s v="AGT5073"/>
        <s v="AGT5074"/>
        <s v="AGT5075"/>
        <s v="AGT5076"/>
        <s v="AGT5077"/>
        <s v="AGT5078"/>
        <s v="AGT5079"/>
        <s v="AGT5080"/>
        <s v="AGT5081"/>
        <s v="AGT5082"/>
        <s v="AGT5083"/>
        <s v="AGT5084"/>
        <s v="AGT5085"/>
        <s v="AGT5086"/>
        <s v="AGT5087"/>
        <s v="AGT5088"/>
        <s v="AGT5089"/>
        <s v="AGT5090"/>
        <s v="AGT5091"/>
        <s v="AGT5092"/>
        <s v="AGT5093"/>
        <s v="AGT5094"/>
        <s v="AGT5095"/>
        <s v="AGT5096"/>
        <s v="AGT5097"/>
        <s v="AGT5098"/>
        <s v="AGT5099"/>
        <s v="AGT5100"/>
        <s v="AGT5101"/>
        <s v="AGT5102"/>
        <s v="AGT5103"/>
        <s v="AGT5104"/>
        <s v="AGT5105"/>
        <s v="AGT5106"/>
        <s v="AGT5107"/>
        <s v="AGT5108"/>
        <s v="AGT5109"/>
        <s v="AGT5110"/>
        <s v="AGT5111"/>
        <s v="AGT5112"/>
        <s v="AGT5113"/>
        <s v="AGT5114"/>
        <s v="AGT5115"/>
        <s v="AGT5116"/>
        <s v="AGT5117"/>
        <s v="AGT5118"/>
        <s v="AGT5119"/>
        <s v="AGT5120"/>
        <s v="AGT5121"/>
        <s v="AGT5122"/>
        <s v="AGT5123"/>
        <s v="AGT5124"/>
        <s v="AGT5125"/>
        <s v="AGT5126"/>
        <s v="AGT5127"/>
        <s v="AGT5128"/>
        <s v="AGT5129"/>
        <s v="AGT5130"/>
        <s v="AGT5131"/>
        <s v="AGT5132"/>
        <s v="AGT5133"/>
        <s v="AGT5134"/>
        <s v="AGT5135"/>
        <s v="AGT5136"/>
        <s v="AGT5137"/>
        <s v="AGT5138"/>
        <s v="AGT5139"/>
        <s v="AGT5140"/>
        <s v="AGT5141"/>
        <s v="AGT5142"/>
        <s v="AGT5143"/>
        <s v="AGT5144"/>
        <s v="AGT5145"/>
        <s v="AGT5146"/>
        <s v="AGT5147"/>
        <s v="AGT5148"/>
        <s v="AGT5149"/>
        <s v="AGT5150"/>
        <s v="AGT5151"/>
        <s v="AGT5152"/>
        <s v="AGT5153"/>
        <s v="AGT5154"/>
        <s v="AGT5155"/>
        <s v="AGT5156"/>
        <s v="AGT5157"/>
        <s v="AGT5158"/>
        <s v="AGT5159"/>
        <s v="AGT5160"/>
        <s v="AGT5161"/>
        <s v="AGT5162"/>
        <s v="AGT5163"/>
        <s v="AGT5164"/>
        <s v="AGT5165"/>
        <s v="AGT5166"/>
        <s v="AGT5167"/>
        <s v="AGT5168"/>
        <s v="AGT5169"/>
        <s v="AGT5170"/>
        <s v="AGT5171"/>
        <s v="AGT5172"/>
        <s v="AGT5173"/>
        <s v="AGT5174"/>
        <s v="AGT5175"/>
        <s v="AGT5176"/>
        <s v="AGT5177"/>
        <s v="AGT5178"/>
        <s v="AGT5179"/>
        <s v="AGT5180"/>
        <s v="AGT5181"/>
        <s v="AGT5182"/>
        <s v="AGT5183"/>
        <s v="AGT5184"/>
        <s v="AGT5185"/>
        <s v="AGT5186"/>
        <s v="AGT5187"/>
        <s v="AGT5188"/>
        <s v="AGT5189"/>
        <s v="AGT5190"/>
        <s v="AGT5191"/>
        <s v="AGT5192"/>
        <s v="AGT5193"/>
        <s v="AGT5194"/>
        <s v="AGT5195"/>
        <s v="AGT5196"/>
        <s v="AGT5197"/>
        <s v="AGT5198"/>
        <s v="AGT5199"/>
        <s v="AGT5200"/>
        <s v="AGT5201"/>
        <s v="AGT5202"/>
        <s v="AGT5203"/>
        <s v="AGT5204"/>
        <s v="AGT5205"/>
        <s v="AGT5206"/>
        <s v="AGT5207"/>
        <s v="AGT5208"/>
        <s v="AGT5209"/>
        <s v="AGT5210"/>
        <s v="AGT5211"/>
        <s v="AGT5212"/>
        <s v="AGT5213"/>
        <s v="AGT5214"/>
        <s v="AGT5215"/>
        <s v="AGT5216"/>
        <s v="AGT5217"/>
        <s v="AGT5218"/>
        <s v="AGT5219"/>
        <s v="AGT5220"/>
        <s v="AGT5221"/>
        <s v="AGT5222"/>
        <s v="AGT5223"/>
        <s v="AGT5224"/>
        <s v="AGT5225"/>
        <s v="AGT5226"/>
        <s v="AGT5227"/>
        <s v="AGT5228"/>
        <s v="AGT5229"/>
        <s v="AGT5230"/>
        <s v="AGT5231"/>
        <s v="AGT5232"/>
        <s v="AGT5233"/>
        <s v="AGT5234"/>
        <s v="AGT5235"/>
        <s v="AGT5236"/>
        <s v="AGT5237"/>
        <s v="AGT5238"/>
        <s v="AGT5239"/>
        <s v="AGT5240"/>
        <s v="AGT5241"/>
        <s v="AGT5242"/>
        <s v="AGT5243"/>
        <s v="AGT5244"/>
        <s v="AGT5245"/>
        <s v="AGT5246"/>
        <s v="AGT5247"/>
        <s v="AGT5248"/>
        <s v="AGT5249"/>
        <s v="AGT5250"/>
        <s v="AGT5251"/>
        <s v="AGT5252"/>
        <s v="AGT5253"/>
        <s v="AGT5254"/>
        <s v="AGT5255"/>
        <s v="AGT5256"/>
        <s v="AGT5257"/>
        <s v="AGT5258"/>
        <s v="AGT5259"/>
        <s v="AGT5260"/>
        <s v="AGT5261"/>
        <s v="AGT5262"/>
        <s v="AGT5263"/>
        <s v="AGT5264"/>
        <s v="AGT5265"/>
        <s v="AGT5266"/>
        <s v="AGT5267"/>
        <s v="AGT5268"/>
        <s v="AGT5269"/>
        <s v="AGT5270"/>
        <s v="AGT5271"/>
        <s v="AGT5272"/>
        <s v="AGT5273"/>
        <s v="AGT5274"/>
        <s v="AGT5275"/>
        <s v="AGT5276"/>
        <s v="AGT5277"/>
        <s v="AGT5278"/>
        <s v="AGT5279"/>
        <s v="AGT5280"/>
        <s v="AGT5281"/>
        <s v="AGT5282"/>
        <s v="AGT5283"/>
        <s v="AGT5284"/>
        <s v="AGT5285"/>
        <s v="AGT5286"/>
        <s v="AGT5287"/>
        <s v="AGT5288"/>
        <s v="AGT5289"/>
        <s v="AGT5290"/>
        <s v="AGT5291"/>
        <s v="AGT5292"/>
        <s v="AGT5293"/>
        <s v="AGT5294"/>
        <s v="AGT5295"/>
        <s v="AGT5296"/>
        <s v="AGT5297"/>
        <s v="AGT5298"/>
        <s v="AGT5299"/>
      </sharedItems>
    </cacheField>
    <cacheField name="region" numFmtId="0">
      <sharedItems count="6">
        <s v="North"/>
        <s v="South"/>
        <s v="North-East"/>
        <s v="West"/>
        <s v="Central"/>
        <s v="East"/>
      </sharedItems>
    </cacheField>
    <cacheField name="join_date" numFmtId="14">
      <sharedItems containsSemiMixedTypes="0" containsNonDate="0" containsDate="1" containsString="0" minDate="2015-01-22T00:00:00" maxDate="2022-12-15T00:00:00" count="283">
        <d v="2016-02-15T00:00:00"/>
        <d v="2016-09-05T00:00:00"/>
        <d v="2016-06-26T00:00:00"/>
        <d v="2016-04-23T00:00:00"/>
        <d v="2022-11-16T00:00:00"/>
        <d v="2021-04-11T00:00:00"/>
        <d v="2021-11-20T00:00:00"/>
        <d v="2018-07-29T00:00:00"/>
        <d v="2015-05-27T00:00:00"/>
        <d v="2015-11-10T00:00:00"/>
        <d v="2015-10-07T00:00:00"/>
        <d v="2019-04-01T00:00:00"/>
        <d v="2017-03-13T00:00:00"/>
        <d v="2021-08-05T00:00:00"/>
        <d v="2015-01-22T00:00:00"/>
        <d v="2020-03-12T00:00:00"/>
        <d v="2021-11-28T00:00:00"/>
        <d v="2020-05-07T00:00:00"/>
        <d v="2015-06-12T00:00:00"/>
        <d v="2018-02-27T00:00:00"/>
        <d v="2018-06-02T00:00:00"/>
        <d v="2015-12-01T00:00:00"/>
        <d v="2017-07-28T00:00:00"/>
        <d v="2021-04-07T00:00:00"/>
        <d v="2016-09-13T00:00:00"/>
        <d v="2016-04-04T00:00:00"/>
        <d v="2019-04-11T00:00:00"/>
        <d v="2016-07-07T00:00:00"/>
        <d v="2018-09-11T00:00:00"/>
        <d v="2022-01-29T00:00:00"/>
        <d v="2016-05-12T00:00:00"/>
        <d v="2020-01-02T00:00:00"/>
        <d v="2016-03-20T00:00:00"/>
        <d v="2020-06-08T00:00:00"/>
        <d v="2016-09-30T00:00:00"/>
        <d v="2017-11-03T00:00:00"/>
        <d v="2021-09-03T00:00:00"/>
        <d v="2018-07-18T00:00:00"/>
        <d v="2015-05-28T00:00:00"/>
        <d v="2022-12-02T00:00:00"/>
        <d v="2016-10-03T00:00:00"/>
        <d v="2015-12-09T00:00:00"/>
        <d v="2022-06-10T00:00:00"/>
        <d v="2018-08-26T00:00:00"/>
        <d v="2022-02-20T00:00:00"/>
        <d v="2015-07-26T00:00:00"/>
        <d v="2022-10-19T00:00:00"/>
        <d v="2018-11-15T00:00:00"/>
        <d v="2018-09-08T00:00:00"/>
        <d v="2016-11-29T00:00:00"/>
        <d v="2016-08-03T00:00:00"/>
        <d v="2022-04-19T00:00:00"/>
        <d v="2019-09-12T00:00:00"/>
        <d v="2017-09-30T00:00:00"/>
        <d v="2017-01-04T00:00:00"/>
        <d v="2016-04-17T00:00:00"/>
        <d v="2020-03-11T00:00:00"/>
        <d v="2018-08-05T00:00:00"/>
        <d v="2020-08-23T00:00:00"/>
        <d v="2020-07-31T00:00:00"/>
        <d v="2022-09-12T00:00:00"/>
        <d v="2016-09-21T00:00:00"/>
        <d v="2016-09-25T00:00:00"/>
        <d v="2019-06-29T00:00:00"/>
        <d v="2022-09-28T00:00:00"/>
        <d v="2021-11-26T00:00:00"/>
        <d v="2016-06-17T00:00:00"/>
        <d v="2017-08-20T00:00:00"/>
        <d v="2020-11-16T00:00:00"/>
        <d v="2020-01-16T00:00:00"/>
        <d v="2020-03-08T00:00:00"/>
        <d v="2018-06-12T00:00:00"/>
        <d v="2016-11-15T00:00:00"/>
        <d v="2020-09-21T00:00:00"/>
        <d v="2020-06-26T00:00:00"/>
        <d v="2015-02-14T00:00:00"/>
        <d v="2017-03-10T00:00:00"/>
        <d v="2015-09-11T00:00:00"/>
        <d v="2018-05-10T00:00:00"/>
        <d v="2019-11-07T00:00:00"/>
        <d v="2015-05-09T00:00:00"/>
        <d v="2021-06-27T00:00:00"/>
        <d v="2019-09-06T00:00:00"/>
        <d v="2020-01-14T00:00:00"/>
        <d v="2016-12-16T00:00:00"/>
        <d v="2019-03-30T00:00:00"/>
        <d v="2022-02-04T00:00:00"/>
        <d v="2022-12-14T00:00:00"/>
        <d v="2019-11-14T00:00:00"/>
        <d v="2018-07-01T00:00:00"/>
        <d v="2021-09-16T00:00:00"/>
        <d v="2022-02-23T00:00:00"/>
        <d v="2017-11-18T00:00:00"/>
        <d v="2020-07-11T00:00:00"/>
        <d v="2019-08-27T00:00:00"/>
        <d v="2021-09-04T00:00:00"/>
        <d v="2022-02-26T00:00:00"/>
        <d v="2017-12-20T00:00:00"/>
        <d v="2018-06-01T00:00:00"/>
        <d v="2018-11-10T00:00:00"/>
        <d v="2020-03-06T00:00:00"/>
        <d v="2016-04-28T00:00:00"/>
        <d v="2022-09-18T00:00:00"/>
        <d v="2020-01-19T00:00:00"/>
        <d v="2018-11-12T00:00:00"/>
        <d v="2017-11-09T00:00:00"/>
        <d v="2020-03-22T00:00:00"/>
        <d v="2021-07-11T00:00:00"/>
        <d v="2022-02-16T00:00:00"/>
        <d v="2020-11-04T00:00:00"/>
        <d v="2017-05-30T00:00:00"/>
        <d v="2016-12-11T00:00:00"/>
        <d v="2019-03-27T00:00:00"/>
        <d v="2020-12-28T00:00:00"/>
        <d v="2018-03-31T00:00:00"/>
        <d v="2020-08-08T00:00:00"/>
        <d v="2021-08-30T00:00:00"/>
        <d v="2019-10-21T00:00:00"/>
        <d v="2018-06-04T00:00:00"/>
        <d v="2022-01-16T00:00:00"/>
        <d v="2022-04-06T00:00:00"/>
        <d v="2017-02-13T00:00:00"/>
        <d v="2015-05-04T00:00:00"/>
        <d v="2015-04-25T00:00:00"/>
        <d v="2022-03-19T00:00:00"/>
        <d v="2018-05-14T00:00:00"/>
        <d v="2019-04-25T00:00:00"/>
        <d v="2018-08-29T00:00:00"/>
        <d v="2018-04-18T00:00:00"/>
        <d v="2017-04-04T00:00:00"/>
        <d v="2021-03-15T00:00:00"/>
        <d v="2017-10-16T00:00:00"/>
        <d v="2018-09-25T00:00:00"/>
        <d v="2017-09-29T00:00:00"/>
        <d v="2018-11-30T00:00:00"/>
        <d v="2019-09-05T00:00:00"/>
        <d v="2016-10-25T00:00:00"/>
        <d v="2020-11-15T00:00:00"/>
        <d v="2019-08-29T00:00:00"/>
        <d v="2020-06-06T00:00:00"/>
        <d v="2019-02-18T00:00:00"/>
        <d v="2021-10-13T00:00:00"/>
        <d v="2016-09-01T00:00:00"/>
        <d v="2022-11-06T00:00:00"/>
        <d v="2021-02-19T00:00:00"/>
        <d v="2016-04-08T00:00:00"/>
        <d v="2017-08-11T00:00:00"/>
        <d v="2020-03-26T00:00:00"/>
        <d v="2019-06-13T00:00:00"/>
        <d v="2021-11-09T00:00:00"/>
        <d v="2019-02-05T00:00:00"/>
        <d v="2020-02-15T00:00:00"/>
        <d v="2015-02-02T00:00:00"/>
        <d v="2018-06-26T00:00:00"/>
        <d v="2016-04-16T00:00:00"/>
        <d v="2018-12-29T00:00:00"/>
        <d v="2020-12-04T00:00:00"/>
        <d v="2015-10-11T00:00:00"/>
        <d v="2017-09-23T00:00:00"/>
        <d v="2018-01-24T00:00:00"/>
        <d v="2021-02-25T00:00:00"/>
        <d v="2021-02-11T00:00:00"/>
        <d v="2019-07-17T00:00:00"/>
        <d v="2015-06-09T00:00:00"/>
        <d v="2015-09-20T00:00:00"/>
        <d v="2017-04-07T00:00:00"/>
        <d v="2020-01-12T00:00:00"/>
        <d v="2019-02-01T00:00:00"/>
        <d v="2019-02-20T00:00:00"/>
        <d v="2021-10-16T00:00:00"/>
        <d v="2016-05-09T00:00:00"/>
        <d v="2015-09-21T00:00:00"/>
        <d v="2022-05-09T00:00:00"/>
        <d v="2021-03-30T00:00:00"/>
        <d v="2015-09-12T00:00:00"/>
        <d v="2022-03-24T00:00:00"/>
        <d v="2017-06-24T00:00:00"/>
        <d v="2015-05-26T00:00:00"/>
        <d v="2020-02-25T00:00:00"/>
        <d v="2017-07-11T00:00:00"/>
        <d v="2015-02-27T00:00:00"/>
        <d v="2019-03-17T00:00:00"/>
        <d v="2019-06-15T00:00:00"/>
        <d v="2018-03-30T00:00:00"/>
        <d v="2020-01-03T00:00:00"/>
        <d v="2019-08-19T00:00:00"/>
        <d v="2017-02-11T00:00:00"/>
        <d v="2015-02-04T00:00:00"/>
        <d v="2020-11-25T00:00:00"/>
        <d v="2019-04-17T00:00:00"/>
        <d v="2016-11-06T00:00:00"/>
        <d v="2019-12-29T00:00:00"/>
        <d v="2017-07-16T00:00:00"/>
        <d v="2022-03-11T00:00:00"/>
        <d v="2015-12-26T00:00:00"/>
        <d v="2017-10-06T00:00:00"/>
        <d v="2015-09-09T00:00:00"/>
        <d v="2018-10-23T00:00:00"/>
        <d v="2021-09-10T00:00:00"/>
        <d v="2020-05-02T00:00:00"/>
        <d v="2018-02-05T00:00:00"/>
        <d v="2017-12-26T00:00:00"/>
        <d v="2019-11-04T00:00:00"/>
        <d v="2018-04-10T00:00:00"/>
        <d v="2021-08-21T00:00:00"/>
        <d v="2015-05-06T00:00:00"/>
        <d v="2022-07-08T00:00:00"/>
        <d v="2019-04-12T00:00:00"/>
        <d v="2018-02-26T00:00:00"/>
        <d v="2020-09-04T00:00:00"/>
        <d v="2017-04-06T00:00:00"/>
        <d v="2015-09-17T00:00:00"/>
        <d v="2020-07-29T00:00:00"/>
        <d v="2022-12-12T00:00:00"/>
        <d v="2016-07-04T00:00:00"/>
        <d v="2021-01-21T00:00:00"/>
        <d v="2018-12-28T00:00:00"/>
        <d v="2018-03-10T00:00:00"/>
        <d v="2020-04-27T00:00:00"/>
        <d v="2017-10-05T00:00:00"/>
        <d v="2021-07-19T00:00:00"/>
        <d v="2020-06-24T00:00:00"/>
        <d v="2016-07-01T00:00:00"/>
        <d v="2021-08-11T00:00:00"/>
        <d v="2021-10-22T00:00:00"/>
        <d v="2021-04-28T00:00:00"/>
        <d v="2021-08-12T00:00:00"/>
        <d v="2017-01-01T00:00:00"/>
        <d v="2018-03-24T00:00:00"/>
        <d v="2018-11-13T00:00:00"/>
        <d v="2018-04-23T00:00:00"/>
        <d v="2022-04-21T00:00:00"/>
        <d v="2016-09-12T00:00:00"/>
        <d v="2015-03-29T00:00:00"/>
        <d v="2016-04-06T00:00:00"/>
        <d v="2022-02-18T00:00:00"/>
        <d v="2021-11-08T00:00:00"/>
        <d v="2016-04-30T00:00:00"/>
        <d v="2020-04-22T00:00:00"/>
        <d v="2020-11-27T00:00:00"/>
        <d v="2018-02-19T00:00:00"/>
        <d v="2017-05-05T00:00:00"/>
        <d v="2022-04-11T00:00:00"/>
        <d v="2018-11-19T00:00:00"/>
        <d v="2022-11-21T00:00:00"/>
        <d v="2021-02-16T00:00:00"/>
        <d v="2019-04-24T00:00:00"/>
        <d v="2019-11-01T00:00:00"/>
        <d v="2016-12-24T00:00:00"/>
        <d v="2017-08-28T00:00:00"/>
        <d v="2018-10-18T00:00:00"/>
        <d v="2022-07-14T00:00:00"/>
        <d v="2016-06-07T00:00:00"/>
        <d v="2018-12-09T00:00:00"/>
        <d v="2021-09-02T00:00:00"/>
        <d v="2022-05-22T00:00:00"/>
        <d v="2022-03-04T00:00:00"/>
        <d v="2019-06-28T00:00:00"/>
        <d v="2017-04-24T00:00:00"/>
        <d v="2020-06-19T00:00:00"/>
        <d v="2017-06-12T00:00:00"/>
        <d v="2016-12-20T00:00:00"/>
        <d v="2016-10-09T00:00:00"/>
        <d v="2019-01-23T00:00:00"/>
        <d v="2020-06-27T00:00:00"/>
        <d v="2016-05-18T00:00:00"/>
        <d v="2016-01-25T00:00:00"/>
        <d v="2016-04-24T00:00:00"/>
        <d v="2019-12-28T00:00:00"/>
        <d v="2016-05-14T00:00:00"/>
        <d v="2017-08-31T00:00:00"/>
        <d v="2021-04-01T00:00:00"/>
        <d v="2019-08-12T00:00:00"/>
        <d v="2018-04-19T00:00:00"/>
        <d v="2022-02-01T00:00:00"/>
        <d v="2016-05-24T00:00:00"/>
        <d v="2015-12-21T00:00:00"/>
        <d v="2019-10-23T00:00:00"/>
        <d v="2018-06-19T00:00:00"/>
        <d v="2017-06-21T00:00:00"/>
        <d v="2020-07-22T00:00:00"/>
        <d v="2020-02-18T00:00:00"/>
        <d v="2017-08-04T00:00:00"/>
      </sharedItems>
    </cacheField>
    <cacheField name="total_policies_sold" numFmtId="0">
      <sharedItems containsSemiMixedTypes="0" containsString="0" containsNumber="1" containsInteger="1" minValue="50" maxValue="299"/>
    </cacheField>
    <cacheField name="lapsed_policies" numFmtId="0">
      <sharedItems containsSemiMixedTypes="0" containsString="0" containsNumber="1" containsInteger="1" minValue="0" maxValue="85"/>
    </cacheField>
    <cacheField name="avg_premium_sold" numFmtId="0">
      <sharedItems containsSemiMixedTypes="0" containsString="0" containsNumber="1" minValue="5005.97" maxValue="49984.7"/>
    </cacheField>
    <cacheField name="fraud_association" numFmtId="0">
      <sharedItems containsSemiMixedTypes="0" containsString="0" containsNumber="1" containsInteger="1" minValue="0" maxValue="9" count="10">
        <n v="2"/>
        <n v="5"/>
        <n v="3"/>
        <n v="6"/>
        <n v="4"/>
        <n v="8"/>
        <n v="0"/>
        <n v="9"/>
        <n v="1"/>
        <n v="7"/>
      </sharedItems>
    </cacheField>
    <cacheField name="Experience_Years" numFmtId="0">
      <sharedItems containsSemiMixedTypes="0" containsString="0" containsNumber="1" containsInteger="1" minValue="3" maxValue="11" count="9">
        <n v="10"/>
        <n v="9"/>
        <n v="3"/>
        <n v="5"/>
        <n v="4"/>
        <n v="7"/>
        <n v="11"/>
        <n v="6"/>
        <n v="8"/>
      </sharedItems>
    </cacheField>
  </cacheFields>
  <extLst>
    <ext xmlns:x14="http://schemas.microsoft.com/office/spreadsheetml/2009/9/main" uri="{725AE2AE-9491-48be-B2B4-4EB974FC3084}">
      <x14:pivotCacheDefinition pivotCacheId="11631446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n v="196"/>
    <n v="42"/>
    <n v="37018.35"/>
    <x v="0"/>
    <x v="0"/>
  </r>
  <r>
    <x v="1"/>
    <x v="0"/>
    <x v="1"/>
    <n v="189"/>
    <n v="28"/>
    <n v="48370.36"/>
    <x v="1"/>
    <x v="1"/>
  </r>
  <r>
    <x v="2"/>
    <x v="1"/>
    <x v="2"/>
    <n v="66"/>
    <n v="0"/>
    <n v="10489.65"/>
    <x v="2"/>
    <x v="0"/>
  </r>
  <r>
    <x v="3"/>
    <x v="2"/>
    <x v="3"/>
    <n v="250"/>
    <n v="3"/>
    <n v="12415.84"/>
    <x v="3"/>
    <x v="0"/>
  </r>
  <r>
    <x v="4"/>
    <x v="1"/>
    <x v="4"/>
    <n v="263"/>
    <n v="69"/>
    <n v="24057.14"/>
    <x v="4"/>
    <x v="2"/>
  </r>
  <r>
    <x v="5"/>
    <x v="3"/>
    <x v="5"/>
    <n v="122"/>
    <n v="30"/>
    <n v="47203.01"/>
    <x v="5"/>
    <x v="3"/>
  </r>
  <r>
    <x v="6"/>
    <x v="1"/>
    <x v="6"/>
    <n v="121"/>
    <n v="9"/>
    <n v="34370.199999999997"/>
    <x v="1"/>
    <x v="4"/>
  </r>
  <r>
    <x v="7"/>
    <x v="0"/>
    <x v="7"/>
    <n v="281"/>
    <n v="43"/>
    <n v="22272.080000000002"/>
    <x v="6"/>
    <x v="5"/>
  </r>
  <r>
    <x v="8"/>
    <x v="0"/>
    <x v="8"/>
    <n v="95"/>
    <n v="1"/>
    <n v="41526.04"/>
    <x v="5"/>
    <x v="6"/>
  </r>
  <r>
    <x v="9"/>
    <x v="0"/>
    <x v="9"/>
    <n v="78"/>
    <n v="18"/>
    <n v="23533.56"/>
    <x v="7"/>
    <x v="0"/>
  </r>
  <r>
    <x v="10"/>
    <x v="4"/>
    <x v="10"/>
    <n v="198"/>
    <n v="42"/>
    <n v="42112.09"/>
    <x v="2"/>
    <x v="0"/>
  </r>
  <r>
    <x v="11"/>
    <x v="2"/>
    <x v="11"/>
    <n v="190"/>
    <n v="38"/>
    <n v="18546.41"/>
    <x v="3"/>
    <x v="5"/>
  </r>
  <r>
    <x v="12"/>
    <x v="4"/>
    <x v="12"/>
    <n v="133"/>
    <n v="9"/>
    <n v="49655.93"/>
    <x v="2"/>
    <x v="1"/>
  </r>
  <r>
    <x v="13"/>
    <x v="5"/>
    <x v="13"/>
    <n v="91"/>
    <n v="3"/>
    <n v="33781.519999999997"/>
    <x v="4"/>
    <x v="4"/>
  </r>
  <r>
    <x v="14"/>
    <x v="0"/>
    <x v="14"/>
    <n v="153"/>
    <n v="15"/>
    <n v="46025.27"/>
    <x v="8"/>
    <x v="6"/>
  </r>
  <r>
    <x v="15"/>
    <x v="3"/>
    <x v="15"/>
    <n v="134"/>
    <n v="30"/>
    <n v="5500.34"/>
    <x v="5"/>
    <x v="7"/>
  </r>
  <r>
    <x v="16"/>
    <x v="3"/>
    <x v="16"/>
    <n v="292"/>
    <n v="39"/>
    <n v="33845.519999999997"/>
    <x v="3"/>
    <x v="4"/>
  </r>
  <r>
    <x v="17"/>
    <x v="4"/>
    <x v="17"/>
    <n v="186"/>
    <n v="20"/>
    <n v="28027.759999999998"/>
    <x v="0"/>
    <x v="7"/>
  </r>
  <r>
    <x v="18"/>
    <x v="0"/>
    <x v="18"/>
    <n v="139"/>
    <n v="13"/>
    <n v="27457.439999999999"/>
    <x v="1"/>
    <x v="6"/>
  </r>
  <r>
    <x v="19"/>
    <x v="0"/>
    <x v="19"/>
    <n v="260"/>
    <n v="4"/>
    <n v="42252.38"/>
    <x v="9"/>
    <x v="8"/>
  </r>
  <r>
    <x v="20"/>
    <x v="4"/>
    <x v="20"/>
    <n v="292"/>
    <n v="19"/>
    <n v="44069.11"/>
    <x v="0"/>
    <x v="8"/>
  </r>
  <r>
    <x v="21"/>
    <x v="0"/>
    <x v="21"/>
    <n v="107"/>
    <n v="26"/>
    <n v="19963.41"/>
    <x v="5"/>
    <x v="0"/>
  </r>
  <r>
    <x v="22"/>
    <x v="3"/>
    <x v="22"/>
    <n v="212"/>
    <n v="43"/>
    <n v="14539.41"/>
    <x v="8"/>
    <x v="8"/>
  </r>
  <r>
    <x v="23"/>
    <x v="1"/>
    <x v="23"/>
    <n v="204"/>
    <n v="5"/>
    <n v="41549.599999999999"/>
    <x v="1"/>
    <x v="3"/>
  </r>
  <r>
    <x v="24"/>
    <x v="1"/>
    <x v="24"/>
    <n v="267"/>
    <n v="16"/>
    <n v="46581.91"/>
    <x v="3"/>
    <x v="1"/>
  </r>
  <r>
    <x v="25"/>
    <x v="5"/>
    <x v="25"/>
    <n v="74"/>
    <n v="6"/>
    <n v="35478.699999999997"/>
    <x v="8"/>
    <x v="0"/>
  </r>
  <r>
    <x v="26"/>
    <x v="4"/>
    <x v="26"/>
    <n v="81"/>
    <n v="23"/>
    <n v="48773.43"/>
    <x v="5"/>
    <x v="5"/>
  </r>
  <r>
    <x v="27"/>
    <x v="5"/>
    <x v="27"/>
    <n v="122"/>
    <n v="35"/>
    <n v="22153.87"/>
    <x v="8"/>
    <x v="0"/>
  </r>
  <r>
    <x v="28"/>
    <x v="4"/>
    <x v="28"/>
    <n v="222"/>
    <n v="10"/>
    <n v="17636.53"/>
    <x v="7"/>
    <x v="5"/>
  </r>
  <r>
    <x v="29"/>
    <x v="4"/>
    <x v="29"/>
    <n v="250"/>
    <n v="45"/>
    <n v="20497.91"/>
    <x v="4"/>
    <x v="4"/>
  </r>
  <r>
    <x v="30"/>
    <x v="3"/>
    <x v="30"/>
    <n v="203"/>
    <n v="23"/>
    <n v="17443.900000000001"/>
    <x v="1"/>
    <x v="0"/>
  </r>
  <r>
    <x v="31"/>
    <x v="3"/>
    <x v="31"/>
    <n v="292"/>
    <n v="18"/>
    <n v="8209.32"/>
    <x v="4"/>
    <x v="7"/>
  </r>
  <r>
    <x v="32"/>
    <x v="1"/>
    <x v="32"/>
    <n v="141"/>
    <n v="36"/>
    <n v="22604.02"/>
    <x v="4"/>
    <x v="0"/>
  </r>
  <r>
    <x v="33"/>
    <x v="0"/>
    <x v="33"/>
    <n v="66"/>
    <n v="3"/>
    <n v="40479.839999999997"/>
    <x v="9"/>
    <x v="7"/>
  </r>
  <r>
    <x v="34"/>
    <x v="0"/>
    <x v="34"/>
    <n v="198"/>
    <n v="51"/>
    <n v="10843.67"/>
    <x v="9"/>
    <x v="1"/>
  </r>
  <r>
    <x v="35"/>
    <x v="5"/>
    <x v="35"/>
    <n v="224"/>
    <n v="14"/>
    <n v="48483.43"/>
    <x v="4"/>
    <x v="8"/>
  </r>
  <r>
    <x v="36"/>
    <x v="5"/>
    <x v="36"/>
    <n v="272"/>
    <n v="43"/>
    <n v="33627.82"/>
    <x v="6"/>
    <x v="4"/>
  </r>
  <r>
    <x v="37"/>
    <x v="3"/>
    <x v="37"/>
    <n v="207"/>
    <n v="32"/>
    <n v="14856.9"/>
    <x v="7"/>
    <x v="8"/>
  </r>
  <r>
    <x v="38"/>
    <x v="5"/>
    <x v="38"/>
    <n v="60"/>
    <n v="3"/>
    <n v="36377.51"/>
    <x v="7"/>
    <x v="6"/>
  </r>
  <r>
    <x v="39"/>
    <x v="1"/>
    <x v="39"/>
    <n v="52"/>
    <n v="12"/>
    <n v="42920.49"/>
    <x v="1"/>
    <x v="2"/>
  </r>
  <r>
    <x v="40"/>
    <x v="5"/>
    <x v="40"/>
    <n v="131"/>
    <n v="3"/>
    <n v="28771.56"/>
    <x v="4"/>
    <x v="1"/>
  </r>
  <r>
    <x v="41"/>
    <x v="2"/>
    <x v="41"/>
    <n v="149"/>
    <n v="39"/>
    <n v="43245.59"/>
    <x v="2"/>
    <x v="0"/>
  </r>
  <r>
    <x v="42"/>
    <x v="4"/>
    <x v="42"/>
    <n v="296"/>
    <n v="8"/>
    <n v="9982.32"/>
    <x v="0"/>
    <x v="4"/>
  </r>
  <r>
    <x v="43"/>
    <x v="1"/>
    <x v="43"/>
    <n v="98"/>
    <n v="28"/>
    <n v="46360.37"/>
    <x v="4"/>
    <x v="5"/>
  </r>
  <r>
    <x v="44"/>
    <x v="5"/>
    <x v="44"/>
    <n v="209"/>
    <n v="24"/>
    <n v="8575.2800000000007"/>
    <x v="6"/>
    <x v="4"/>
  </r>
  <r>
    <x v="45"/>
    <x v="4"/>
    <x v="45"/>
    <n v="281"/>
    <n v="53"/>
    <n v="47522.400000000001"/>
    <x v="7"/>
    <x v="0"/>
  </r>
  <r>
    <x v="46"/>
    <x v="5"/>
    <x v="46"/>
    <n v="94"/>
    <n v="10"/>
    <n v="39246.31"/>
    <x v="0"/>
    <x v="2"/>
  </r>
  <r>
    <x v="47"/>
    <x v="3"/>
    <x v="47"/>
    <n v="122"/>
    <n v="9"/>
    <n v="9034.98"/>
    <x v="9"/>
    <x v="5"/>
  </r>
  <r>
    <x v="48"/>
    <x v="4"/>
    <x v="48"/>
    <n v="58"/>
    <n v="2"/>
    <n v="12093.78"/>
    <x v="5"/>
    <x v="5"/>
  </r>
  <r>
    <x v="49"/>
    <x v="0"/>
    <x v="49"/>
    <n v="180"/>
    <n v="45"/>
    <n v="23745.58"/>
    <x v="7"/>
    <x v="1"/>
  </r>
  <r>
    <x v="50"/>
    <x v="5"/>
    <x v="50"/>
    <n v="268"/>
    <n v="11"/>
    <n v="46369.63"/>
    <x v="4"/>
    <x v="1"/>
  </r>
  <r>
    <x v="51"/>
    <x v="5"/>
    <x v="51"/>
    <n v="174"/>
    <n v="15"/>
    <n v="10618.25"/>
    <x v="8"/>
    <x v="4"/>
  </r>
  <r>
    <x v="52"/>
    <x v="1"/>
    <x v="52"/>
    <n v="261"/>
    <n v="66"/>
    <n v="24451.360000000001"/>
    <x v="4"/>
    <x v="7"/>
  </r>
  <r>
    <x v="53"/>
    <x v="1"/>
    <x v="53"/>
    <n v="165"/>
    <n v="22"/>
    <n v="30361.52"/>
    <x v="8"/>
    <x v="8"/>
  </r>
  <r>
    <x v="54"/>
    <x v="5"/>
    <x v="54"/>
    <n v="202"/>
    <n v="53"/>
    <n v="34911.61"/>
    <x v="9"/>
    <x v="1"/>
  </r>
  <r>
    <x v="55"/>
    <x v="1"/>
    <x v="55"/>
    <n v="154"/>
    <n v="41"/>
    <n v="23569.5"/>
    <x v="1"/>
    <x v="0"/>
  </r>
  <r>
    <x v="56"/>
    <x v="2"/>
    <x v="56"/>
    <n v="50"/>
    <n v="7"/>
    <n v="27832.34"/>
    <x v="5"/>
    <x v="7"/>
  </r>
  <r>
    <x v="57"/>
    <x v="2"/>
    <x v="57"/>
    <n v="293"/>
    <n v="6"/>
    <n v="43613.17"/>
    <x v="3"/>
    <x v="5"/>
  </r>
  <r>
    <x v="58"/>
    <x v="5"/>
    <x v="58"/>
    <n v="146"/>
    <n v="19"/>
    <n v="9194.1299999999992"/>
    <x v="2"/>
    <x v="3"/>
  </r>
  <r>
    <x v="59"/>
    <x v="3"/>
    <x v="59"/>
    <n v="73"/>
    <n v="10"/>
    <n v="39488.86"/>
    <x v="1"/>
    <x v="3"/>
  </r>
  <r>
    <x v="60"/>
    <x v="0"/>
    <x v="60"/>
    <n v="83"/>
    <n v="22"/>
    <n v="9710.07"/>
    <x v="6"/>
    <x v="2"/>
  </r>
  <r>
    <x v="61"/>
    <x v="1"/>
    <x v="61"/>
    <n v="73"/>
    <n v="5"/>
    <n v="39437.58"/>
    <x v="2"/>
    <x v="1"/>
  </r>
  <r>
    <x v="62"/>
    <x v="0"/>
    <x v="62"/>
    <n v="292"/>
    <n v="35"/>
    <n v="13903.3"/>
    <x v="4"/>
    <x v="1"/>
  </r>
  <r>
    <x v="63"/>
    <x v="0"/>
    <x v="63"/>
    <n v="222"/>
    <n v="58"/>
    <n v="29841.91"/>
    <x v="1"/>
    <x v="5"/>
  </r>
  <r>
    <x v="64"/>
    <x v="0"/>
    <x v="64"/>
    <n v="171"/>
    <n v="22"/>
    <n v="24644.57"/>
    <x v="8"/>
    <x v="2"/>
  </r>
  <r>
    <x v="65"/>
    <x v="1"/>
    <x v="65"/>
    <n v="236"/>
    <n v="11"/>
    <n v="7085.31"/>
    <x v="6"/>
    <x v="4"/>
  </r>
  <r>
    <x v="66"/>
    <x v="2"/>
    <x v="66"/>
    <n v="233"/>
    <n v="6"/>
    <n v="9499.86"/>
    <x v="0"/>
    <x v="0"/>
  </r>
  <r>
    <x v="67"/>
    <x v="0"/>
    <x v="67"/>
    <n v="254"/>
    <n v="35"/>
    <n v="15933.77"/>
    <x v="6"/>
    <x v="8"/>
  </r>
  <r>
    <x v="68"/>
    <x v="0"/>
    <x v="68"/>
    <n v="153"/>
    <n v="28"/>
    <n v="34634.639999999999"/>
    <x v="4"/>
    <x v="3"/>
  </r>
  <r>
    <x v="69"/>
    <x v="3"/>
    <x v="69"/>
    <n v="265"/>
    <n v="40"/>
    <n v="8661.49"/>
    <x v="7"/>
    <x v="7"/>
  </r>
  <r>
    <x v="70"/>
    <x v="3"/>
    <x v="70"/>
    <n v="175"/>
    <n v="47"/>
    <n v="18022.02"/>
    <x v="9"/>
    <x v="7"/>
  </r>
  <r>
    <x v="71"/>
    <x v="5"/>
    <x v="71"/>
    <n v="132"/>
    <n v="18"/>
    <n v="45352.53"/>
    <x v="9"/>
    <x v="8"/>
  </r>
  <r>
    <x v="72"/>
    <x v="4"/>
    <x v="72"/>
    <n v="91"/>
    <n v="10"/>
    <n v="49756.05"/>
    <x v="3"/>
    <x v="1"/>
  </r>
  <r>
    <x v="73"/>
    <x v="1"/>
    <x v="73"/>
    <n v="245"/>
    <n v="52"/>
    <n v="19732.46"/>
    <x v="0"/>
    <x v="3"/>
  </r>
  <r>
    <x v="74"/>
    <x v="2"/>
    <x v="74"/>
    <n v="66"/>
    <n v="11"/>
    <n v="33479.269999999997"/>
    <x v="2"/>
    <x v="7"/>
  </r>
  <r>
    <x v="75"/>
    <x v="4"/>
    <x v="75"/>
    <n v="60"/>
    <n v="6"/>
    <n v="28192.27"/>
    <x v="5"/>
    <x v="6"/>
  </r>
  <r>
    <x v="76"/>
    <x v="3"/>
    <x v="76"/>
    <n v="267"/>
    <n v="3"/>
    <n v="11625.4"/>
    <x v="0"/>
    <x v="1"/>
  </r>
  <r>
    <x v="77"/>
    <x v="4"/>
    <x v="77"/>
    <n v="267"/>
    <n v="74"/>
    <n v="41037.379999999997"/>
    <x v="3"/>
    <x v="0"/>
  </r>
  <r>
    <x v="78"/>
    <x v="0"/>
    <x v="78"/>
    <n v="193"/>
    <n v="36"/>
    <n v="15870.41"/>
    <x v="5"/>
    <x v="8"/>
  </r>
  <r>
    <x v="79"/>
    <x v="4"/>
    <x v="79"/>
    <n v="289"/>
    <n v="84"/>
    <n v="38713.449999999997"/>
    <x v="7"/>
    <x v="7"/>
  </r>
  <r>
    <x v="80"/>
    <x v="1"/>
    <x v="80"/>
    <n v="287"/>
    <n v="73"/>
    <n v="32015.13"/>
    <x v="1"/>
    <x v="6"/>
  </r>
  <r>
    <x v="81"/>
    <x v="2"/>
    <x v="81"/>
    <n v="74"/>
    <n v="15"/>
    <n v="36632.080000000002"/>
    <x v="1"/>
    <x v="3"/>
  </r>
  <r>
    <x v="82"/>
    <x v="3"/>
    <x v="82"/>
    <n v="269"/>
    <n v="19"/>
    <n v="8244.15"/>
    <x v="6"/>
    <x v="7"/>
  </r>
  <r>
    <x v="83"/>
    <x v="3"/>
    <x v="83"/>
    <n v="80"/>
    <n v="14"/>
    <n v="42395.25"/>
    <x v="2"/>
    <x v="7"/>
  </r>
  <r>
    <x v="84"/>
    <x v="3"/>
    <x v="84"/>
    <n v="194"/>
    <n v="56"/>
    <n v="13197.24"/>
    <x v="3"/>
    <x v="1"/>
  </r>
  <r>
    <x v="85"/>
    <x v="4"/>
    <x v="85"/>
    <n v="75"/>
    <n v="9"/>
    <n v="29002.3"/>
    <x v="4"/>
    <x v="5"/>
  </r>
  <r>
    <x v="86"/>
    <x v="0"/>
    <x v="86"/>
    <n v="107"/>
    <n v="14"/>
    <n v="35431.230000000003"/>
    <x v="7"/>
    <x v="4"/>
  </r>
  <r>
    <x v="87"/>
    <x v="1"/>
    <x v="87"/>
    <n v="235"/>
    <n v="37"/>
    <n v="12042.3"/>
    <x v="9"/>
    <x v="2"/>
  </r>
  <r>
    <x v="88"/>
    <x v="4"/>
    <x v="88"/>
    <n v="192"/>
    <n v="10"/>
    <n v="37987.230000000003"/>
    <x v="2"/>
    <x v="7"/>
  </r>
  <r>
    <x v="89"/>
    <x v="2"/>
    <x v="89"/>
    <n v="141"/>
    <n v="21"/>
    <n v="37207.17"/>
    <x v="8"/>
    <x v="8"/>
  </r>
  <r>
    <x v="90"/>
    <x v="4"/>
    <x v="90"/>
    <n v="61"/>
    <n v="15"/>
    <n v="36461.82"/>
    <x v="4"/>
    <x v="4"/>
  </r>
  <r>
    <x v="91"/>
    <x v="0"/>
    <x v="91"/>
    <n v="149"/>
    <n v="28"/>
    <n v="33506.129999999997"/>
    <x v="7"/>
    <x v="4"/>
  </r>
  <r>
    <x v="92"/>
    <x v="0"/>
    <x v="92"/>
    <n v="63"/>
    <n v="3"/>
    <n v="17653.05"/>
    <x v="9"/>
    <x v="8"/>
  </r>
  <r>
    <x v="93"/>
    <x v="2"/>
    <x v="93"/>
    <n v="115"/>
    <n v="25"/>
    <n v="29570.83"/>
    <x v="7"/>
    <x v="7"/>
  </r>
  <r>
    <x v="94"/>
    <x v="0"/>
    <x v="94"/>
    <n v="186"/>
    <n v="0"/>
    <n v="32496.07"/>
    <x v="0"/>
    <x v="7"/>
  </r>
  <r>
    <x v="95"/>
    <x v="5"/>
    <x v="95"/>
    <n v="197"/>
    <n v="12"/>
    <n v="34211.949999999997"/>
    <x v="1"/>
    <x v="4"/>
  </r>
  <r>
    <x v="96"/>
    <x v="5"/>
    <x v="92"/>
    <n v="100"/>
    <n v="21"/>
    <n v="42272.02"/>
    <x v="6"/>
    <x v="8"/>
  </r>
  <r>
    <x v="97"/>
    <x v="5"/>
    <x v="96"/>
    <n v="240"/>
    <n v="46"/>
    <n v="48223.08"/>
    <x v="6"/>
    <x v="4"/>
  </r>
  <r>
    <x v="98"/>
    <x v="4"/>
    <x v="97"/>
    <n v="205"/>
    <n v="48"/>
    <n v="16446.02"/>
    <x v="3"/>
    <x v="8"/>
  </r>
  <r>
    <x v="99"/>
    <x v="2"/>
    <x v="98"/>
    <n v="62"/>
    <n v="12"/>
    <n v="29769.55"/>
    <x v="2"/>
    <x v="8"/>
  </r>
  <r>
    <x v="100"/>
    <x v="3"/>
    <x v="99"/>
    <n v="57"/>
    <n v="16"/>
    <n v="33036.370000000003"/>
    <x v="5"/>
    <x v="5"/>
  </r>
  <r>
    <x v="101"/>
    <x v="3"/>
    <x v="100"/>
    <n v="87"/>
    <n v="25"/>
    <n v="38599.230000000003"/>
    <x v="0"/>
    <x v="7"/>
  </r>
  <r>
    <x v="102"/>
    <x v="2"/>
    <x v="101"/>
    <n v="190"/>
    <n v="24"/>
    <n v="29628.66"/>
    <x v="3"/>
    <x v="0"/>
  </r>
  <r>
    <x v="103"/>
    <x v="1"/>
    <x v="102"/>
    <n v="140"/>
    <n v="0"/>
    <n v="6683.84"/>
    <x v="4"/>
    <x v="2"/>
  </r>
  <r>
    <x v="104"/>
    <x v="2"/>
    <x v="103"/>
    <n v="299"/>
    <n v="73"/>
    <n v="34125.56"/>
    <x v="0"/>
    <x v="7"/>
  </r>
  <r>
    <x v="105"/>
    <x v="0"/>
    <x v="104"/>
    <n v="70"/>
    <n v="6"/>
    <n v="39984.620000000003"/>
    <x v="3"/>
    <x v="5"/>
  </r>
  <r>
    <x v="106"/>
    <x v="1"/>
    <x v="105"/>
    <n v="174"/>
    <n v="47"/>
    <n v="49417.58"/>
    <x v="5"/>
    <x v="8"/>
  </r>
  <r>
    <x v="107"/>
    <x v="1"/>
    <x v="106"/>
    <n v="95"/>
    <n v="3"/>
    <n v="41953.31"/>
    <x v="6"/>
    <x v="7"/>
  </r>
  <r>
    <x v="108"/>
    <x v="4"/>
    <x v="107"/>
    <n v="169"/>
    <n v="21"/>
    <n v="9134.67"/>
    <x v="1"/>
    <x v="3"/>
  </r>
  <r>
    <x v="109"/>
    <x v="1"/>
    <x v="108"/>
    <n v="56"/>
    <n v="5"/>
    <n v="36133.870000000003"/>
    <x v="8"/>
    <x v="4"/>
  </r>
  <r>
    <x v="110"/>
    <x v="1"/>
    <x v="109"/>
    <n v="272"/>
    <n v="74"/>
    <n v="8949.1200000000008"/>
    <x v="1"/>
    <x v="3"/>
  </r>
  <r>
    <x v="111"/>
    <x v="3"/>
    <x v="110"/>
    <n v="50"/>
    <n v="1"/>
    <n v="28511.3"/>
    <x v="6"/>
    <x v="1"/>
  </r>
  <r>
    <x v="112"/>
    <x v="1"/>
    <x v="111"/>
    <n v="97"/>
    <n v="14"/>
    <n v="39731.31"/>
    <x v="4"/>
    <x v="1"/>
  </r>
  <r>
    <x v="113"/>
    <x v="3"/>
    <x v="112"/>
    <n v="272"/>
    <n v="10"/>
    <n v="6038.16"/>
    <x v="7"/>
    <x v="5"/>
  </r>
  <r>
    <x v="114"/>
    <x v="3"/>
    <x v="57"/>
    <n v="251"/>
    <n v="33"/>
    <n v="34381.550000000003"/>
    <x v="5"/>
    <x v="5"/>
  </r>
  <r>
    <x v="115"/>
    <x v="5"/>
    <x v="113"/>
    <n v="163"/>
    <n v="5"/>
    <n v="38911.279999999999"/>
    <x v="4"/>
    <x v="3"/>
  </r>
  <r>
    <x v="116"/>
    <x v="2"/>
    <x v="114"/>
    <n v="295"/>
    <n v="39"/>
    <n v="11406.97"/>
    <x v="0"/>
    <x v="8"/>
  </r>
  <r>
    <x v="117"/>
    <x v="1"/>
    <x v="115"/>
    <n v="262"/>
    <n v="18"/>
    <n v="26835.86"/>
    <x v="6"/>
    <x v="3"/>
  </r>
  <r>
    <x v="118"/>
    <x v="5"/>
    <x v="116"/>
    <n v="298"/>
    <n v="65"/>
    <n v="34593.11"/>
    <x v="2"/>
    <x v="4"/>
  </r>
  <r>
    <x v="119"/>
    <x v="5"/>
    <x v="117"/>
    <n v="107"/>
    <n v="31"/>
    <n v="15421.58"/>
    <x v="4"/>
    <x v="7"/>
  </r>
  <r>
    <x v="120"/>
    <x v="2"/>
    <x v="118"/>
    <n v="298"/>
    <n v="84"/>
    <n v="25674.15"/>
    <x v="4"/>
    <x v="8"/>
  </r>
  <r>
    <x v="121"/>
    <x v="5"/>
    <x v="119"/>
    <n v="269"/>
    <n v="55"/>
    <n v="5819.39"/>
    <x v="3"/>
    <x v="4"/>
  </r>
  <r>
    <x v="122"/>
    <x v="5"/>
    <x v="120"/>
    <n v="188"/>
    <n v="44"/>
    <n v="18919.810000000001"/>
    <x v="2"/>
    <x v="4"/>
  </r>
  <r>
    <x v="123"/>
    <x v="0"/>
    <x v="121"/>
    <n v="176"/>
    <n v="28"/>
    <n v="40275.53"/>
    <x v="4"/>
    <x v="1"/>
  </r>
  <r>
    <x v="124"/>
    <x v="2"/>
    <x v="122"/>
    <n v="169"/>
    <n v="28"/>
    <n v="39484.629999999997"/>
    <x v="8"/>
    <x v="6"/>
  </r>
  <r>
    <x v="125"/>
    <x v="2"/>
    <x v="123"/>
    <n v="112"/>
    <n v="3"/>
    <n v="10164.870000000001"/>
    <x v="4"/>
    <x v="6"/>
  </r>
  <r>
    <x v="126"/>
    <x v="1"/>
    <x v="124"/>
    <n v="114"/>
    <n v="1"/>
    <n v="38879.97"/>
    <x v="8"/>
    <x v="4"/>
  </r>
  <r>
    <x v="127"/>
    <x v="0"/>
    <x v="125"/>
    <n v="131"/>
    <n v="10"/>
    <n v="44502.69"/>
    <x v="3"/>
    <x v="8"/>
  </r>
  <r>
    <x v="128"/>
    <x v="1"/>
    <x v="126"/>
    <n v="54"/>
    <n v="12"/>
    <n v="10432.73"/>
    <x v="8"/>
    <x v="5"/>
  </r>
  <r>
    <x v="129"/>
    <x v="3"/>
    <x v="127"/>
    <n v="77"/>
    <n v="20"/>
    <n v="14570.54"/>
    <x v="3"/>
    <x v="5"/>
  </r>
  <r>
    <x v="130"/>
    <x v="4"/>
    <x v="128"/>
    <n v="74"/>
    <n v="1"/>
    <n v="6352.81"/>
    <x v="2"/>
    <x v="8"/>
  </r>
  <r>
    <x v="131"/>
    <x v="5"/>
    <x v="129"/>
    <n v="116"/>
    <n v="20"/>
    <n v="9380.3700000000008"/>
    <x v="7"/>
    <x v="1"/>
  </r>
  <r>
    <x v="132"/>
    <x v="4"/>
    <x v="130"/>
    <n v="216"/>
    <n v="41"/>
    <n v="31188.69"/>
    <x v="5"/>
    <x v="3"/>
  </r>
  <r>
    <x v="133"/>
    <x v="1"/>
    <x v="110"/>
    <n v="193"/>
    <n v="41"/>
    <n v="46337.29"/>
    <x v="8"/>
    <x v="1"/>
  </r>
  <r>
    <x v="134"/>
    <x v="1"/>
    <x v="131"/>
    <n v="108"/>
    <n v="31"/>
    <n v="23696.59"/>
    <x v="9"/>
    <x v="8"/>
  </r>
  <r>
    <x v="135"/>
    <x v="5"/>
    <x v="132"/>
    <n v="287"/>
    <n v="42"/>
    <n v="44729.63"/>
    <x v="0"/>
    <x v="5"/>
  </r>
  <r>
    <x v="136"/>
    <x v="2"/>
    <x v="133"/>
    <n v="223"/>
    <n v="12"/>
    <n v="34604.11"/>
    <x v="2"/>
    <x v="8"/>
  </r>
  <r>
    <x v="137"/>
    <x v="1"/>
    <x v="134"/>
    <n v="131"/>
    <n v="0"/>
    <n v="10746.96"/>
    <x v="0"/>
    <x v="5"/>
  </r>
  <r>
    <x v="138"/>
    <x v="3"/>
    <x v="135"/>
    <n v="88"/>
    <n v="22"/>
    <n v="27215.89"/>
    <x v="6"/>
    <x v="7"/>
  </r>
  <r>
    <x v="139"/>
    <x v="4"/>
    <x v="136"/>
    <n v="153"/>
    <n v="36"/>
    <n v="39014.559999999998"/>
    <x v="3"/>
    <x v="1"/>
  </r>
  <r>
    <x v="140"/>
    <x v="1"/>
    <x v="137"/>
    <n v="139"/>
    <n v="33"/>
    <n v="37964.019999999997"/>
    <x v="0"/>
    <x v="3"/>
  </r>
  <r>
    <x v="141"/>
    <x v="4"/>
    <x v="138"/>
    <n v="235"/>
    <n v="26"/>
    <n v="42343.5"/>
    <x v="3"/>
    <x v="7"/>
  </r>
  <r>
    <x v="142"/>
    <x v="5"/>
    <x v="139"/>
    <n v="116"/>
    <n v="20"/>
    <n v="25797.84"/>
    <x v="2"/>
    <x v="7"/>
  </r>
  <r>
    <x v="143"/>
    <x v="2"/>
    <x v="140"/>
    <n v="231"/>
    <n v="29"/>
    <n v="9306.15"/>
    <x v="2"/>
    <x v="5"/>
  </r>
  <r>
    <x v="144"/>
    <x v="5"/>
    <x v="141"/>
    <n v="197"/>
    <n v="41"/>
    <n v="20322.59"/>
    <x v="3"/>
    <x v="4"/>
  </r>
  <r>
    <x v="145"/>
    <x v="2"/>
    <x v="142"/>
    <n v="126"/>
    <n v="34"/>
    <n v="9396.42"/>
    <x v="9"/>
    <x v="1"/>
  </r>
  <r>
    <x v="146"/>
    <x v="2"/>
    <x v="14"/>
    <n v="225"/>
    <n v="50"/>
    <n v="49136.21"/>
    <x v="0"/>
    <x v="6"/>
  </r>
  <r>
    <x v="147"/>
    <x v="1"/>
    <x v="143"/>
    <n v="134"/>
    <n v="24"/>
    <n v="16780.43"/>
    <x v="4"/>
    <x v="2"/>
  </r>
  <r>
    <x v="148"/>
    <x v="4"/>
    <x v="144"/>
    <n v="179"/>
    <n v="44"/>
    <n v="7787.08"/>
    <x v="0"/>
    <x v="3"/>
  </r>
  <r>
    <x v="149"/>
    <x v="0"/>
    <x v="145"/>
    <n v="171"/>
    <n v="1"/>
    <n v="43760.53"/>
    <x v="3"/>
    <x v="0"/>
  </r>
  <r>
    <x v="150"/>
    <x v="1"/>
    <x v="146"/>
    <n v="254"/>
    <n v="69"/>
    <n v="29959.46"/>
    <x v="9"/>
    <x v="8"/>
  </r>
  <r>
    <x v="151"/>
    <x v="2"/>
    <x v="147"/>
    <n v="63"/>
    <n v="6"/>
    <n v="6698.51"/>
    <x v="4"/>
    <x v="7"/>
  </r>
  <r>
    <x v="152"/>
    <x v="2"/>
    <x v="148"/>
    <n v="148"/>
    <n v="18"/>
    <n v="30130.81"/>
    <x v="8"/>
    <x v="5"/>
  </r>
  <r>
    <x v="153"/>
    <x v="0"/>
    <x v="149"/>
    <n v="242"/>
    <n v="16"/>
    <n v="41429.58"/>
    <x v="8"/>
    <x v="4"/>
  </r>
  <r>
    <x v="154"/>
    <x v="0"/>
    <x v="150"/>
    <n v="184"/>
    <n v="54"/>
    <n v="49984.7"/>
    <x v="2"/>
    <x v="5"/>
  </r>
  <r>
    <x v="155"/>
    <x v="2"/>
    <x v="151"/>
    <n v="196"/>
    <n v="14"/>
    <n v="19925.32"/>
    <x v="3"/>
    <x v="7"/>
  </r>
  <r>
    <x v="156"/>
    <x v="3"/>
    <x v="152"/>
    <n v="182"/>
    <n v="29"/>
    <n v="29934.98"/>
    <x v="4"/>
    <x v="6"/>
  </r>
  <r>
    <x v="157"/>
    <x v="0"/>
    <x v="153"/>
    <n v="204"/>
    <n v="27"/>
    <n v="8477.58"/>
    <x v="2"/>
    <x v="8"/>
  </r>
  <r>
    <x v="158"/>
    <x v="0"/>
    <x v="154"/>
    <n v="100"/>
    <n v="23"/>
    <n v="45667.28"/>
    <x v="3"/>
    <x v="0"/>
  </r>
  <r>
    <x v="159"/>
    <x v="0"/>
    <x v="155"/>
    <n v="139"/>
    <n v="1"/>
    <n v="23812.91"/>
    <x v="3"/>
    <x v="5"/>
  </r>
  <r>
    <x v="160"/>
    <x v="2"/>
    <x v="156"/>
    <n v="117"/>
    <n v="2"/>
    <n v="31135.119999999999"/>
    <x v="9"/>
    <x v="3"/>
  </r>
  <r>
    <x v="161"/>
    <x v="0"/>
    <x v="44"/>
    <n v="260"/>
    <n v="1"/>
    <n v="49319.6"/>
    <x v="3"/>
    <x v="4"/>
  </r>
  <r>
    <x v="162"/>
    <x v="3"/>
    <x v="61"/>
    <n v="92"/>
    <n v="0"/>
    <n v="24339.08"/>
    <x v="4"/>
    <x v="1"/>
  </r>
  <r>
    <x v="163"/>
    <x v="1"/>
    <x v="157"/>
    <n v="217"/>
    <n v="25"/>
    <n v="36969.39"/>
    <x v="3"/>
    <x v="0"/>
  </r>
  <r>
    <x v="164"/>
    <x v="5"/>
    <x v="158"/>
    <n v="70"/>
    <n v="20"/>
    <n v="14408.18"/>
    <x v="2"/>
    <x v="8"/>
  </r>
  <r>
    <x v="165"/>
    <x v="4"/>
    <x v="159"/>
    <n v="253"/>
    <n v="58"/>
    <n v="35669.31"/>
    <x v="0"/>
    <x v="8"/>
  </r>
  <r>
    <x v="166"/>
    <x v="1"/>
    <x v="160"/>
    <n v="292"/>
    <n v="5"/>
    <n v="42765.59"/>
    <x v="6"/>
    <x v="3"/>
  </r>
  <r>
    <x v="167"/>
    <x v="0"/>
    <x v="145"/>
    <n v="219"/>
    <n v="2"/>
    <n v="41731.47"/>
    <x v="1"/>
    <x v="0"/>
  </r>
  <r>
    <x v="168"/>
    <x v="5"/>
    <x v="161"/>
    <n v="174"/>
    <n v="51"/>
    <n v="12287.75"/>
    <x v="2"/>
    <x v="3"/>
  </r>
  <r>
    <x v="169"/>
    <x v="3"/>
    <x v="162"/>
    <n v="152"/>
    <n v="33"/>
    <n v="23205.48"/>
    <x v="7"/>
    <x v="5"/>
  </r>
  <r>
    <x v="170"/>
    <x v="5"/>
    <x v="163"/>
    <n v="54"/>
    <n v="11"/>
    <n v="6947.87"/>
    <x v="8"/>
    <x v="6"/>
  </r>
  <r>
    <x v="171"/>
    <x v="4"/>
    <x v="164"/>
    <n v="240"/>
    <n v="43"/>
    <n v="32118.91"/>
    <x v="9"/>
    <x v="0"/>
  </r>
  <r>
    <x v="172"/>
    <x v="3"/>
    <x v="165"/>
    <n v="94"/>
    <n v="14"/>
    <n v="32941.550000000003"/>
    <x v="7"/>
    <x v="1"/>
  </r>
  <r>
    <x v="173"/>
    <x v="4"/>
    <x v="166"/>
    <n v="199"/>
    <n v="6"/>
    <n v="20570.759999999998"/>
    <x v="8"/>
    <x v="7"/>
  </r>
  <r>
    <x v="174"/>
    <x v="2"/>
    <x v="167"/>
    <n v="280"/>
    <n v="8"/>
    <n v="40365.89"/>
    <x v="6"/>
    <x v="5"/>
  </r>
  <r>
    <x v="175"/>
    <x v="0"/>
    <x v="168"/>
    <n v="290"/>
    <n v="52"/>
    <n v="18258.32"/>
    <x v="8"/>
    <x v="5"/>
  </r>
  <r>
    <x v="176"/>
    <x v="3"/>
    <x v="169"/>
    <n v="230"/>
    <n v="55"/>
    <n v="30164.63"/>
    <x v="0"/>
    <x v="4"/>
  </r>
  <r>
    <x v="177"/>
    <x v="1"/>
    <x v="170"/>
    <n v="133"/>
    <n v="36"/>
    <n v="19090.759999999998"/>
    <x v="8"/>
    <x v="0"/>
  </r>
  <r>
    <x v="178"/>
    <x v="5"/>
    <x v="171"/>
    <n v="134"/>
    <n v="7"/>
    <n v="14835.28"/>
    <x v="7"/>
    <x v="0"/>
  </r>
  <r>
    <x v="179"/>
    <x v="0"/>
    <x v="172"/>
    <n v="72"/>
    <n v="7"/>
    <n v="46999.58"/>
    <x v="2"/>
    <x v="4"/>
  </r>
  <r>
    <x v="180"/>
    <x v="4"/>
    <x v="173"/>
    <n v="156"/>
    <n v="19"/>
    <n v="15938.02"/>
    <x v="3"/>
    <x v="3"/>
  </r>
  <r>
    <x v="181"/>
    <x v="0"/>
    <x v="174"/>
    <n v="75"/>
    <n v="4"/>
    <n v="44003.24"/>
    <x v="0"/>
    <x v="0"/>
  </r>
  <r>
    <x v="182"/>
    <x v="0"/>
    <x v="175"/>
    <n v="90"/>
    <n v="25"/>
    <n v="32907.85"/>
    <x v="0"/>
    <x v="4"/>
  </r>
  <r>
    <x v="183"/>
    <x v="4"/>
    <x v="97"/>
    <n v="110"/>
    <n v="13"/>
    <n v="7533.92"/>
    <x v="3"/>
    <x v="8"/>
  </r>
  <r>
    <x v="184"/>
    <x v="5"/>
    <x v="176"/>
    <n v="246"/>
    <n v="32"/>
    <n v="18674.7"/>
    <x v="5"/>
    <x v="1"/>
  </r>
  <r>
    <x v="185"/>
    <x v="0"/>
    <x v="177"/>
    <n v="273"/>
    <n v="77"/>
    <n v="6715.89"/>
    <x v="6"/>
    <x v="6"/>
  </r>
  <r>
    <x v="186"/>
    <x v="1"/>
    <x v="178"/>
    <n v="137"/>
    <n v="37"/>
    <n v="20444.240000000002"/>
    <x v="7"/>
    <x v="7"/>
  </r>
  <r>
    <x v="187"/>
    <x v="3"/>
    <x v="179"/>
    <n v="133"/>
    <n v="7"/>
    <n v="5835.05"/>
    <x v="7"/>
    <x v="1"/>
  </r>
  <r>
    <x v="188"/>
    <x v="1"/>
    <x v="180"/>
    <n v="296"/>
    <n v="75"/>
    <n v="49968.47"/>
    <x v="3"/>
    <x v="6"/>
  </r>
  <r>
    <x v="189"/>
    <x v="2"/>
    <x v="181"/>
    <n v="141"/>
    <n v="7"/>
    <n v="11230.72"/>
    <x v="5"/>
    <x v="5"/>
  </r>
  <r>
    <x v="190"/>
    <x v="5"/>
    <x v="182"/>
    <n v="255"/>
    <n v="75"/>
    <n v="25680.45"/>
    <x v="2"/>
    <x v="5"/>
  </r>
  <r>
    <x v="191"/>
    <x v="4"/>
    <x v="183"/>
    <n v="224"/>
    <n v="32"/>
    <n v="45151.51"/>
    <x v="9"/>
    <x v="8"/>
  </r>
  <r>
    <x v="192"/>
    <x v="1"/>
    <x v="184"/>
    <n v="165"/>
    <n v="37"/>
    <n v="38466.33"/>
    <x v="7"/>
    <x v="7"/>
  </r>
  <r>
    <x v="193"/>
    <x v="2"/>
    <x v="185"/>
    <n v="185"/>
    <n v="27"/>
    <n v="22720.16"/>
    <x v="5"/>
    <x v="7"/>
  </r>
  <r>
    <x v="194"/>
    <x v="2"/>
    <x v="186"/>
    <n v="272"/>
    <n v="60"/>
    <n v="49719.67"/>
    <x v="2"/>
    <x v="1"/>
  </r>
  <r>
    <x v="195"/>
    <x v="4"/>
    <x v="187"/>
    <n v="174"/>
    <n v="6"/>
    <n v="27594.41"/>
    <x v="9"/>
    <x v="6"/>
  </r>
  <r>
    <x v="196"/>
    <x v="2"/>
    <x v="188"/>
    <n v="125"/>
    <n v="30"/>
    <n v="25009.35"/>
    <x v="7"/>
    <x v="3"/>
  </r>
  <r>
    <x v="197"/>
    <x v="1"/>
    <x v="189"/>
    <n v="277"/>
    <n v="2"/>
    <n v="21024.3"/>
    <x v="9"/>
    <x v="5"/>
  </r>
  <r>
    <x v="198"/>
    <x v="1"/>
    <x v="190"/>
    <n v="105"/>
    <n v="25"/>
    <n v="26663.66"/>
    <x v="5"/>
    <x v="1"/>
  </r>
  <r>
    <x v="199"/>
    <x v="3"/>
    <x v="191"/>
    <n v="59"/>
    <n v="14"/>
    <n v="5362.85"/>
    <x v="3"/>
    <x v="7"/>
  </r>
  <r>
    <x v="200"/>
    <x v="3"/>
    <x v="192"/>
    <n v="135"/>
    <n v="32"/>
    <n v="16245.97"/>
    <x v="6"/>
    <x v="1"/>
  </r>
  <r>
    <x v="201"/>
    <x v="2"/>
    <x v="193"/>
    <n v="232"/>
    <n v="14"/>
    <n v="20545.759999999998"/>
    <x v="9"/>
    <x v="4"/>
  </r>
  <r>
    <x v="202"/>
    <x v="0"/>
    <x v="194"/>
    <n v="261"/>
    <n v="67"/>
    <n v="17328.07"/>
    <x v="1"/>
    <x v="0"/>
  </r>
  <r>
    <x v="203"/>
    <x v="5"/>
    <x v="195"/>
    <n v="101"/>
    <n v="21"/>
    <n v="48092.29"/>
    <x v="7"/>
    <x v="8"/>
  </r>
  <r>
    <x v="204"/>
    <x v="0"/>
    <x v="196"/>
    <n v="126"/>
    <n v="24"/>
    <n v="42533.91"/>
    <x v="8"/>
    <x v="0"/>
  </r>
  <r>
    <x v="205"/>
    <x v="3"/>
    <x v="197"/>
    <n v="239"/>
    <n v="46"/>
    <n v="33455"/>
    <x v="0"/>
    <x v="5"/>
  </r>
  <r>
    <x v="206"/>
    <x v="1"/>
    <x v="198"/>
    <n v="268"/>
    <n v="10"/>
    <n v="49548.01"/>
    <x v="5"/>
    <x v="4"/>
  </r>
  <r>
    <x v="207"/>
    <x v="4"/>
    <x v="199"/>
    <n v="283"/>
    <n v="82"/>
    <n v="5005.97"/>
    <x v="6"/>
    <x v="7"/>
  </r>
  <r>
    <x v="208"/>
    <x v="0"/>
    <x v="200"/>
    <n v="108"/>
    <n v="28"/>
    <n v="38810.28"/>
    <x v="8"/>
    <x v="8"/>
  </r>
  <r>
    <x v="209"/>
    <x v="0"/>
    <x v="201"/>
    <n v="59"/>
    <n v="11"/>
    <n v="7422.02"/>
    <x v="4"/>
    <x v="8"/>
  </r>
  <r>
    <x v="210"/>
    <x v="1"/>
    <x v="202"/>
    <n v="151"/>
    <n v="11"/>
    <n v="38799"/>
    <x v="6"/>
    <x v="7"/>
  </r>
  <r>
    <x v="211"/>
    <x v="2"/>
    <x v="203"/>
    <n v="225"/>
    <n v="32"/>
    <n v="12882.99"/>
    <x v="4"/>
    <x v="8"/>
  </r>
  <r>
    <x v="212"/>
    <x v="1"/>
    <x v="204"/>
    <n v="295"/>
    <n v="14"/>
    <n v="31903.21"/>
    <x v="3"/>
    <x v="4"/>
  </r>
  <r>
    <x v="213"/>
    <x v="1"/>
    <x v="205"/>
    <n v="171"/>
    <n v="27"/>
    <n v="28472.48"/>
    <x v="4"/>
    <x v="6"/>
  </r>
  <r>
    <x v="214"/>
    <x v="3"/>
    <x v="206"/>
    <n v="292"/>
    <n v="14"/>
    <n v="7429.03"/>
    <x v="1"/>
    <x v="4"/>
  </r>
  <r>
    <x v="215"/>
    <x v="5"/>
    <x v="207"/>
    <n v="119"/>
    <n v="15"/>
    <n v="36493.589999999997"/>
    <x v="2"/>
    <x v="5"/>
  </r>
  <r>
    <x v="216"/>
    <x v="0"/>
    <x v="208"/>
    <n v="249"/>
    <n v="70"/>
    <n v="17136.95"/>
    <x v="6"/>
    <x v="8"/>
  </r>
  <r>
    <x v="217"/>
    <x v="1"/>
    <x v="209"/>
    <n v="66"/>
    <n v="15"/>
    <n v="38700.660000000003"/>
    <x v="4"/>
    <x v="3"/>
  </r>
  <r>
    <x v="218"/>
    <x v="2"/>
    <x v="210"/>
    <n v="172"/>
    <n v="16"/>
    <n v="31190.55"/>
    <x v="9"/>
    <x v="1"/>
  </r>
  <r>
    <x v="219"/>
    <x v="2"/>
    <x v="209"/>
    <n v="148"/>
    <n v="41"/>
    <n v="31530.66"/>
    <x v="2"/>
    <x v="3"/>
  </r>
  <r>
    <x v="220"/>
    <x v="2"/>
    <x v="211"/>
    <n v="152"/>
    <n v="40"/>
    <n v="10494.51"/>
    <x v="1"/>
    <x v="0"/>
  </r>
  <r>
    <x v="221"/>
    <x v="3"/>
    <x v="212"/>
    <n v="218"/>
    <n v="0"/>
    <n v="18257.009999999998"/>
    <x v="2"/>
    <x v="3"/>
  </r>
  <r>
    <x v="222"/>
    <x v="5"/>
    <x v="213"/>
    <n v="92"/>
    <n v="10"/>
    <n v="41356.65"/>
    <x v="7"/>
    <x v="2"/>
  </r>
  <r>
    <x v="223"/>
    <x v="2"/>
    <x v="214"/>
    <n v="64"/>
    <n v="1"/>
    <n v="13737.82"/>
    <x v="7"/>
    <x v="0"/>
  </r>
  <r>
    <x v="224"/>
    <x v="2"/>
    <x v="215"/>
    <n v="188"/>
    <n v="35"/>
    <n v="6126.5"/>
    <x v="8"/>
    <x v="3"/>
  </r>
  <r>
    <x v="225"/>
    <x v="2"/>
    <x v="36"/>
    <n v="104"/>
    <n v="7"/>
    <n v="39955.599999999999"/>
    <x v="7"/>
    <x v="4"/>
  </r>
  <r>
    <x v="226"/>
    <x v="5"/>
    <x v="153"/>
    <n v="227"/>
    <n v="10"/>
    <n v="43640.61"/>
    <x v="7"/>
    <x v="8"/>
  </r>
  <r>
    <x v="227"/>
    <x v="0"/>
    <x v="216"/>
    <n v="257"/>
    <n v="31"/>
    <n v="8835.4"/>
    <x v="6"/>
    <x v="5"/>
  </r>
  <r>
    <x v="228"/>
    <x v="4"/>
    <x v="217"/>
    <n v="177"/>
    <n v="20"/>
    <n v="11215.99"/>
    <x v="0"/>
    <x v="8"/>
  </r>
  <r>
    <x v="229"/>
    <x v="2"/>
    <x v="218"/>
    <n v="149"/>
    <n v="32"/>
    <n v="47105"/>
    <x v="7"/>
    <x v="7"/>
  </r>
  <r>
    <x v="230"/>
    <x v="5"/>
    <x v="219"/>
    <n v="69"/>
    <n v="14"/>
    <n v="44819.32"/>
    <x v="6"/>
    <x v="8"/>
  </r>
  <r>
    <x v="231"/>
    <x v="4"/>
    <x v="220"/>
    <n v="113"/>
    <n v="14"/>
    <n v="45620.9"/>
    <x v="2"/>
    <x v="3"/>
  </r>
  <r>
    <x v="232"/>
    <x v="5"/>
    <x v="221"/>
    <n v="213"/>
    <n v="18"/>
    <n v="43729.63"/>
    <x v="2"/>
    <x v="7"/>
  </r>
  <r>
    <x v="233"/>
    <x v="5"/>
    <x v="222"/>
    <n v="237"/>
    <n v="4"/>
    <n v="22135.57"/>
    <x v="5"/>
    <x v="0"/>
  </r>
  <r>
    <x v="234"/>
    <x v="4"/>
    <x v="223"/>
    <n v="245"/>
    <n v="1"/>
    <n v="47711.78"/>
    <x v="4"/>
    <x v="4"/>
  </r>
  <r>
    <x v="235"/>
    <x v="3"/>
    <x v="136"/>
    <n v="287"/>
    <n v="77"/>
    <n v="39142.85"/>
    <x v="8"/>
    <x v="1"/>
  </r>
  <r>
    <x v="236"/>
    <x v="2"/>
    <x v="118"/>
    <n v="88"/>
    <n v="2"/>
    <n v="15053.45"/>
    <x v="1"/>
    <x v="8"/>
  </r>
  <r>
    <x v="237"/>
    <x v="5"/>
    <x v="224"/>
    <n v="130"/>
    <n v="30"/>
    <n v="39342.21"/>
    <x v="9"/>
    <x v="4"/>
  </r>
  <r>
    <x v="238"/>
    <x v="3"/>
    <x v="225"/>
    <n v="191"/>
    <n v="7"/>
    <n v="49367.97"/>
    <x v="7"/>
    <x v="3"/>
  </r>
  <r>
    <x v="239"/>
    <x v="4"/>
    <x v="226"/>
    <n v="259"/>
    <n v="12"/>
    <n v="32918.65"/>
    <x v="0"/>
    <x v="4"/>
  </r>
  <r>
    <x v="240"/>
    <x v="4"/>
    <x v="227"/>
    <n v="197"/>
    <n v="33"/>
    <n v="31909.41"/>
    <x v="4"/>
    <x v="1"/>
  </r>
  <r>
    <x v="241"/>
    <x v="1"/>
    <x v="228"/>
    <n v="297"/>
    <n v="85"/>
    <n v="10580.67"/>
    <x v="4"/>
    <x v="8"/>
  </r>
  <r>
    <x v="242"/>
    <x v="5"/>
    <x v="229"/>
    <n v="208"/>
    <n v="32"/>
    <n v="48400.99"/>
    <x v="7"/>
    <x v="5"/>
  </r>
  <r>
    <x v="243"/>
    <x v="2"/>
    <x v="230"/>
    <n v="141"/>
    <n v="18"/>
    <n v="30437.53"/>
    <x v="6"/>
    <x v="8"/>
  </r>
  <r>
    <x v="244"/>
    <x v="0"/>
    <x v="231"/>
    <n v="173"/>
    <n v="41"/>
    <n v="43809.85"/>
    <x v="5"/>
    <x v="4"/>
  </r>
  <r>
    <x v="245"/>
    <x v="5"/>
    <x v="232"/>
    <n v="262"/>
    <n v="43"/>
    <n v="5275.48"/>
    <x v="8"/>
    <x v="1"/>
  </r>
  <r>
    <x v="246"/>
    <x v="0"/>
    <x v="233"/>
    <n v="154"/>
    <n v="8"/>
    <n v="29017.3"/>
    <x v="2"/>
    <x v="6"/>
  </r>
  <r>
    <x v="247"/>
    <x v="0"/>
    <x v="234"/>
    <n v="232"/>
    <n v="26"/>
    <n v="7680.16"/>
    <x v="5"/>
    <x v="0"/>
  </r>
  <r>
    <x v="248"/>
    <x v="5"/>
    <x v="235"/>
    <n v="90"/>
    <n v="5"/>
    <n v="26793.56"/>
    <x v="2"/>
    <x v="4"/>
  </r>
  <r>
    <x v="249"/>
    <x v="4"/>
    <x v="236"/>
    <n v="53"/>
    <n v="9"/>
    <n v="18469.240000000002"/>
    <x v="1"/>
    <x v="4"/>
  </r>
  <r>
    <x v="250"/>
    <x v="3"/>
    <x v="237"/>
    <n v="215"/>
    <n v="24"/>
    <n v="39146.9"/>
    <x v="3"/>
    <x v="0"/>
  </r>
  <r>
    <x v="251"/>
    <x v="0"/>
    <x v="238"/>
    <n v="219"/>
    <n v="62"/>
    <n v="13526.32"/>
    <x v="3"/>
    <x v="7"/>
  </r>
  <r>
    <x v="252"/>
    <x v="3"/>
    <x v="239"/>
    <n v="201"/>
    <n v="52"/>
    <n v="9676.89"/>
    <x v="6"/>
    <x v="3"/>
  </r>
  <r>
    <x v="253"/>
    <x v="5"/>
    <x v="240"/>
    <n v="110"/>
    <n v="21"/>
    <n v="18072.990000000002"/>
    <x v="4"/>
    <x v="8"/>
  </r>
  <r>
    <x v="254"/>
    <x v="5"/>
    <x v="241"/>
    <n v="187"/>
    <n v="0"/>
    <n v="35808.589999999997"/>
    <x v="9"/>
    <x v="1"/>
  </r>
  <r>
    <x v="255"/>
    <x v="4"/>
    <x v="242"/>
    <n v="103"/>
    <n v="1"/>
    <n v="21219.24"/>
    <x v="3"/>
    <x v="4"/>
  </r>
  <r>
    <x v="256"/>
    <x v="0"/>
    <x v="243"/>
    <n v="144"/>
    <n v="4"/>
    <n v="39019.440000000002"/>
    <x v="5"/>
    <x v="5"/>
  </r>
  <r>
    <x v="257"/>
    <x v="3"/>
    <x v="244"/>
    <n v="247"/>
    <n v="67"/>
    <n v="15844.58"/>
    <x v="4"/>
    <x v="2"/>
  </r>
  <r>
    <x v="258"/>
    <x v="4"/>
    <x v="245"/>
    <n v="226"/>
    <n v="19"/>
    <n v="45379.74"/>
    <x v="5"/>
    <x v="3"/>
  </r>
  <r>
    <x v="259"/>
    <x v="3"/>
    <x v="246"/>
    <n v="175"/>
    <n v="42"/>
    <n v="29606.83"/>
    <x v="3"/>
    <x v="5"/>
  </r>
  <r>
    <x v="260"/>
    <x v="1"/>
    <x v="247"/>
    <n v="245"/>
    <n v="14"/>
    <n v="25939.599999999999"/>
    <x v="6"/>
    <x v="7"/>
  </r>
  <r>
    <x v="261"/>
    <x v="4"/>
    <x v="248"/>
    <n v="258"/>
    <n v="56"/>
    <n v="18254.88"/>
    <x v="0"/>
    <x v="1"/>
  </r>
  <r>
    <x v="262"/>
    <x v="1"/>
    <x v="249"/>
    <n v="247"/>
    <n v="2"/>
    <n v="18068.099999999999"/>
    <x v="6"/>
    <x v="8"/>
  </r>
  <r>
    <x v="263"/>
    <x v="4"/>
    <x v="250"/>
    <n v="267"/>
    <n v="73"/>
    <n v="18946.759999999998"/>
    <x v="9"/>
    <x v="5"/>
  </r>
  <r>
    <x v="264"/>
    <x v="1"/>
    <x v="187"/>
    <n v="229"/>
    <n v="67"/>
    <n v="35260.6"/>
    <x v="1"/>
    <x v="6"/>
  </r>
  <r>
    <x v="265"/>
    <x v="0"/>
    <x v="251"/>
    <n v="78"/>
    <n v="20"/>
    <n v="17365.439999999999"/>
    <x v="7"/>
    <x v="4"/>
  </r>
  <r>
    <x v="266"/>
    <x v="2"/>
    <x v="252"/>
    <n v="268"/>
    <n v="72"/>
    <n v="48750.86"/>
    <x v="9"/>
    <x v="0"/>
  </r>
  <r>
    <x v="267"/>
    <x v="2"/>
    <x v="243"/>
    <n v="227"/>
    <n v="51"/>
    <n v="22084.47"/>
    <x v="4"/>
    <x v="5"/>
  </r>
  <r>
    <x v="268"/>
    <x v="2"/>
    <x v="253"/>
    <n v="77"/>
    <n v="1"/>
    <n v="21422.71"/>
    <x v="9"/>
    <x v="5"/>
  </r>
  <r>
    <x v="269"/>
    <x v="1"/>
    <x v="254"/>
    <n v="243"/>
    <n v="13"/>
    <n v="34617.86"/>
    <x v="1"/>
    <x v="4"/>
  </r>
  <r>
    <x v="270"/>
    <x v="5"/>
    <x v="255"/>
    <n v="295"/>
    <n v="2"/>
    <n v="15644.42"/>
    <x v="9"/>
    <x v="4"/>
  </r>
  <r>
    <x v="271"/>
    <x v="1"/>
    <x v="256"/>
    <n v="257"/>
    <n v="56"/>
    <n v="11801.15"/>
    <x v="4"/>
    <x v="4"/>
  </r>
  <r>
    <x v="272"/>
    <x v="5"/>
    <x v="257"/>
    <n v="270"/>
    <n v="41"/>
    <n v="11109.13"/>
    <x v="5"/>
    <x v="5"/>
  </r>
  <r>
    <x v="273"/>
    <x v="2"/>
    <x v="258"/>
    <n v="211"/>
    <n v="24"/>
    <n v="43851.91"/>
    <x v="8"/>
    <x v="1"/>
  </r>
  <r>
    <x v="274"/>
    <x v="3"/>
    <x v="259"/>
    <n v="109"/>
    <n v="15"/>
    <n v="21529.71"/>
    <x v="8"/>
    <x v="7"/>
  </r>
  <r>
    <x v="275"/>
    <x v="2"/>
    <x v="260"/>
    <n v="136"/>
    <n v="4"/>
    <n v="23267.45"/>
    <x v="8"/>
    <x v="1"/>
  </r>
  <r>
    <x v="276"/>
    <x v="0"/>
    <x v="261"/>
    <n v="133"/>
    <n v="37"/>
    <n v="45061.63"/>
    <x v="3"/>
    <x v="1"/>
  </r>
  <r>
    <x v="277"/>
    <x v="5"/>
    <x v="262"/>
    <n v="299"/>
    <n v="30"/>
    <n v="33119.199999999997"/>
    <x v="8"/>
    <x v="1"/>
  </r>
  <r>
    <x v="278"/>
    <x v="5"/>
    <x v="263"/>
    <n v="151"/>
    <n v="30"/>
    <n v="8419.17"/>
    <x v="5"/>
    <x v="5"/>
  </r>
  <r>
    <x v="279"/>
    <x v="4"/>
    <x v="264"/>
    <n v="287"/>
    <n v="69"/>
    <n v="16122.65"/>
    <x v="4"/>
    <x v="7"/>
  </r>
  <r>
    <x v="280"/>
    <x v="0"/>
    <x v="265"/>
    <n v="144"/>
    <n v="25"/>
    <n v="24430.7"/>
    <x v="1"/>
    <x v="0"/>
  </r>
  <r>
    <x v="281"/>
    <x v="1"/>
    <x v="266"/>
    <n v="138"/>
    <n v="39"/>
    <n v="28916.15"/>
    <x v="8"/>
    <x v="0"/>
  </r>
  <r>
    <x v="282"/>
    <x v="2"/>
    <x v="267"/>
    <n v="210"/>
    <n v="33"/>
    <n v="40481.4"/>
    <x v="2"/>
    <x v="0"/>
  </r>
  <r>
    <x v="283"/>
    <x v="0"/>
    <x v="268"/>
    <n v="202"/>
    <n v="8"/>
    <n v="43305.96"/>
    <x v="5"/>
    <x v="7"/>
  </r>
  <r>
    <x v="284"/>
    <x v="5"/>
    <x v="269"/>
    <n v="236"/>
    <n v="22"/>
    <n v="15182.29"/>
    <x v="0"/>
    <x v="0"/>
  </r>
  <r>
    <x v="285"/>
    <x v="3"/>
    <x v="270"/>
    <n v="84"/>
    <n v="6"/>
    <n v="41884.519999999997"/>
    <x v="4"/>
    <x v="8"/>
  </r>
  <r>
    <x v="286"/>
    <x v="2"/>
    <x v="258"/>
    <n v="114"/>
    <n v="15"/>
    <n v="35123.35"/>
    <x v="7"/>
    <x v="1"/>
  </r>
  <r>
    <x v="287"/>
    <x v="5"/>
    <x v="271"/>
    <n v="157"/>
    <n v="42"/>
    <n v="23963.41"/>
    <x v="6"/>
    <x v="3"/>
  </r>
  <r>
    <x v="288"/>
    <x v="1"/>
    <x v="272"/>
    <n v="220"/>
    <n v="43"/>
    <n v="27770.28"/>
    <x v="7"/>
    <x v="7"/>
  </r>
  <r>
    <x v="289"/>
    <x v="1"/>
    <x v="273"/>
    <n v="136"/>
    <n v="33"/>
    <n v="46062.35"/>
    <x v="7"/>
    <x v="8"/>
  </r>
  <r>
    <x v="290"/>
    <x v="4"/>
    <x v="274"/>
    <n v="108"/>
    <n v="16"/>
    <n v="9719"/>
    <x v="7"/>
    <x v="4"/>
  </r>
  <r>
    <x v="291"/>
    <x v="1"/>
    <x v="275"/>
    <n v="150"/>
    <n v="7"/>
    <n v="7740.21"/>
    <x v="1"/>
    <x v="0"/>
  </r>
  <r>
    <x v="292"/>
    <x v="5"/>
    <x v="276"/>
    <n v="295"/>
    <n v="55"/>
    <n v="22685.84"/>
    <x v="8"/>
    <x v="0"/>
  </r>
  <r>
    <x v="293"/>
    <x v="5"/>
    <x v="277"/>
    <n v="297"/>
    <n v="69"/>
    <n v="23005.11"/>
    <x v="0"/>
    <x v="7"/>
  </r>
  <r>
    <x v="294"/>
    <x v="4"/>
    <x v="278"/>
    <n v="84"/>
    <n v="2"/>
    <n v="29840.35"/>
    <x v="5"/>
    <x v="8"/>
  </r>
  <r>
    <x v="295"/>
    <x v="5"/>
    <x v="279"/>
    <n v="140"/>
    <n v="3"/>
    <n v="16665.09"/>
    <x v="9"/>
    <x v="1"/>
  </r>
  <r>
    <x v="296"/>
    <x v="4"/>
    <x v="280"/>
    <n v="192"/>
    <n v="29"/>
    <n v="5932.15"/>
    <x v="3"/>
    <x v="3"/>
  </r>
  <r>
    <x v="297"/>
    <x v="4"/>
    <x v="199"/>
    <n v="83"/>
    <n v="1"/>
    <n v="44193.13"/>
    <x v="2"/>
    <x v="7"/>
  </r>
  <r>
    <x v="298"/>
    <x v="0"/>
    <x v="281"/>
    <n v="232"/>
    <n v="61"/>
    <n v="30842.05"/>
    <x v="3"/>
    <x v="7"/>
  </r>
  <r>
    <x v="299"/>
    <x v="0"/>
    <x v="282"/>
    <n v="187"/>
    <n v="22"/>
    <n v="11319.87"/>
    <x v="3"/>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760071-AFE0-4041-9B62-52C0C9D6C20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H9:I19" firstHeaderRow="1" firstDataRow="1" firstDataCol="1"/>
  <pivotFields count="8">
    <pivotField showAll="0"/>
    <pivotField showAll="0">
      <items count="7">
        <item x="4"/>
        <item x="5"/>
        <item x="0"/>
        <item x="2"/>
        <item x="1"/>
        <item x="3"/>
        <item t="default"/>
      </items>
    </pivotField>
    <pivotField numFmtId="14" showAll="0">
      <items count="284">
        <item x="14"/>
        <item x="152"/>
        <item x="187"/>
        <item x="75"/>
        <item x="180"/>
        <item x="233"/>
        <item x="123"/>
        <item x="122"/>
        <item x="205"/>
        <item x="80"/>
        <item x="177"/>
        <item x="8"/>
        <item x="38"/>
        <item x="163"/>
        <item x="18"/>
        <item x="45"/>
        <item x="196"/>
        <item x="77"/>
        <item x="174"/>
        <item x="211"/>
        <item x="164"/>
        <item x="171"/>
        <item x="10"/>
        <item x="157"/>
        <item x="9"/>
        <item x="21"/>
        <item x="41"/>
        <item x="276"/>
        <item x="194"/>
        <item x="266"/>
        <item x="0"/>
        <item x="32"/>
        <item x="25"/>
        <item x="234"/>
        <item x="145"/>
        <item x="154"/>
        <item x="55"/>
        <item x="3"/>
        <item x="267"/>
        <item x="101"/>
        <item x="237"/>
        <item x="170"/>
        <item x="30"/>
        <item x="269"/>
        <item x="265"/>
        <item x="275"/>
        <item x="252"/>
        <item x="66"/>
        <item x="2"/>
        <item x="222"/>
        <item x="214"/>
        <item x="27"/>
        <item x="50"/>
        <item x="142"/>
        <item x="1"/>
        <item x="232"/>
        <item x="24"/>
        <item x="61"/>
        <item x="62"/>
        <item x="34"/>
        <item x="40"/>
        <item x="262"/>
        <item x="136"/>
        <item x="190"/>
        <item x="72"/>
        <item x="49"/>
        <item x="111"/>
        <item x="84"/>
        <item x="261"/>
        <item x="248"/>
        <item x="227"/>
        <item x="54"/>
        <item x="186"/>
        <item x="121"/>
        <item x="76"/>
        <item x="12"/>
        <item x="129"/>
        <item x="210"/>
        <item x="165"/>
        <item x="258"/>
        <item x="241"/>
        <item x="110"/>
        <item x="260"/>
        <item x="279"/>
        <item x="176"/>
        <item x="179"/>
        <item x="192"/>
        <item x="22"/>
        <item x="282"/>
        <item x="146"/>
        <item x="67"/>
        <item x="249"/>
        <item x="270"/>
        <item x="158"/>
        <item x="133"/>
        <item x="53"/>
        <item x="219"/>
        <item x="195"/>
        <item x="131"/>
        <item x="35"/>
        <item x="105"/>
        <item x="92"/>
        <item x="97"/>
        <item x="201"/>
        <item x="159"/>
        <item x="200"/>
        <item x="240"/>
        <item x="208"/>
        <item x="19"/>
        <item x="217"/>
        <item x="228"/>
        <item x="183"/>
        <item x="114"/>
        <item x="203"/>
        <item x="128"/>
        <item x="273"/>
        <item x="230"/>
        <item x="78"/>
        <item x="125"/>
        <item x="98"/>
        <item x="20"/>
        <item x="118"/>
        <item x="71"/>
        <item x="278"/>
        <item x="153"/>
        <item x="89"/>
        <item x="37"/>
        <item x="7"/>
        <item x="57"/>
        <item x="43"/>
        <item x="127"/>
        <item x="48"/>
        <item x="28"/>
        <item x="132"/>
        <item x="250"/>
        <item x="197"/>
        <item x="99"/>
        <item x="104"/>
        <item x="229"/>
        <item x="47"/>
        <item x="243"/>
        <item x="134"/>
        <item x="253"/>
        <item x="216"/>
        <item x="155"/>
        <item x="263"/>
        <item x="167"/>
        <item x="150"/>
        <item x="140"/>
        <item x="168"/>
        <item x="181"/>
        <item x="112"/>
        <item x="85"/>
        <item x="11"/>
        <item x="26"/>
        <item x="207"/>
        <item x="189"/>
        <item x="246"/>
        <item x="126"/>
        <item x="148"/>
        <item x="182"/>
        <item x="257"/>
        <item x="63"/>
        <item x="162"/>
        <item x="272"/>
        <item x="185"/>
        <item x="94"/>
        <item x="138"/>
        <item x="135"/>
        <item x="82"/>
        <item x="52"/>
        <item x="117"/>
        <item x="277"/>
        <item x="247"/>
        <item x="202"/>
        <item x="79"/>
        <item x="88"/>
        <item x="268"/>
        <item x="191"/>
        <item x="31"/>
        <item x="184"/>
        <item x="166"/>
        <item x="83"/>
        <item x="69"/>
        <item x="103"/>
        <item x="151"/>
        <item x="281"/>
        <item x="178"/>
        <item x="100"/>
        <item x="70"/>
        <item x="56"/>
        <item x="15"/>
        <item x="106"/>
        <item x="147"/>
        <item x="238"/>
        <item x="218"/>
        <item x="199"/>
        <item x="17"/>
        <item x="139"/>
        <item x="33"/>
        <item x="259"/>
        <item x="221"/>
        <item x="74"/>
        <item x="264"/>
        <item x="93"/>
        <item x="280"/>
        <item x="212"/>
        <item x="59"/>
        <item x="115"/>
        <item x="58"/>
        <item x="209"/>
        <item x="73"/>
        <item x="109"/>
        <item x="137"/>
        <item x="68"/>
        <item x="188"/>
        <item x="239"/>
        <item x="156"/>
        <item x="113"/>
        <item x="215"/>
        <item x="161"/>
        <item x="245"/>
        <item x="144"/>
        <item x="160"/>
        <item x="130"/>
        <item x="173"/>
        <item x="271"/>
        <item x="23"/>
        <item x="5"/>
        <item x="225"/>
        <item x="81"/>
        <item x="107"/>
        <item x="220"/>
        <item x="13"/>
        <item x="223"/>
        <item x="226"/>
        <item x="204"/>
        <item x="116"/>
        <item x="254"/>
        <item x="36"/>
        <item x="95"/>
        <item x="198"/>
        <item x="90"/>
        <item x="141"/>
        <item x="169"/>
        <item x="224"/>
        <item x="236"/>
        <item x="149"/>
        <item x="6"/>
        <item x="65"/>
        <item x="16"/>
        <item x="119"/>
        <item x="29"/>
        <item x="274"/>
        <item x="86"/>
        <item x="108"/>
        <item x="235"/>
        <item x="44"/>
        <item x="91"/>
        <item x="96"/>
        <item x="256"/>
        <item x="193"/>
        <item x="124"/>
        <item x="175"/>
        <item x="120"/>
        <item x="242"/>
        <item x="51"/>
        <item x="231"/>
        <item x="172"/>
        <item x="255"/>
        <item x="42"/>
        <item x="206"/>
        <item x="251"/>
        <item x="60"/>
        <item x="102"/>
        <item x="64"/>
        <item x="46"/>
        <item x="143"/>
        <item x="4"/>
        <item x="244"/>
        <item x="39"/>
        <item x="213"/>
        <item x="87"/>
        <item t="default"/>
      </items>
    </pivotField>
    <pivotField dataField="1" showAll="0"/>
    <pivotField showAll="0"/>
    <pivotField showAll="0"/>
    <pivotField showAll="0">
      <items count="11">
        <item x="6"/>
        <item x="8"/>
        <item x="0"/>
        <item x="2"/>
        <item x="4"/>
        <item x="1"/>
        <item x="3"/>
        <item x="9"/>
        <item x="5"/>
        <item x="7"/>
        <item t="default"/>
      </items>
    </pivotField>
    <pivotField axis="axisRow" showAll="0">
      <items count="10">
        <item x="2"/>
        <item x="4"/>
        <item x="3"/>
        <item x="7"/>
        <item x="5"/>
        <item x="8"/>
        <item x="1"/>
        <item x="0"/>
        <item x="6"/>
        <item t="default"/>
      </items>
    </pivotField>
  </pivotFields>
  <rowFields count="1">
    <field x="7"/>
  </rowFields>
  <rowItems count="10">
    <i>
      <x/>
    </i>
    <i>
      <x v="1"/>
    </i>
    <i>
      <x v="2"/>
    </i>
    <i>
      <x v="3"/>
    </i>
    <i>
      <x v="4"/>
    </i>
    <i>
      <x v="5"/>
    </i>
    <i>
      <x v="6"/>
    </i>
    <i>
      <x v="7"/>
    </i>
    <i>
      <x v="8"/>
    </i>
    <i t="grand">
      <x/>
    </i>
  </rowItems>
  <colItems count="1">
    <i/>
  </colItems>
  <dataFields count="1">
    <dataField name="Average of total_policies_sold" fld="3" subtotal="average" baseField="7" baseItem="2" numFmtId="2"/>
  </dataFields>
  <formats count="12">
    <format dxfId="12">
      <pivotArea type="all" dataOnly="0" outline="0" fieldPosition="0"/>
    </format>
    <format dxfId="11">
      <pivotArea outline="0" collapsedLevelsAreSubtotals="1" fieldPosition="0"/>
    </format>
    <format dxfId="10">
      <pivotArea field="7" type="button" dataOnly="0" labelOnly="1" outline="0" axis="axisRow" fieldPosition="0"/>
    </format>
    <format dxfId="9">
      <pivotArea dataOnly="0" labelOnly="1" fieldPosition="0">
        <references count="1">
          <reference field="7" count="0"/>
        </references>
      </pivotArea>
    </format>
    <format dxfId="8">
      <pivotArea dataOnly="0" labelOnly="1" grandRow="1" outline="0" fieldPosition="0"/>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field="7" type="button" dataOnly="0" labelOnly="1" outline="0" axis="axisRow" fieldPosition="0"/>
    </format>
    <format dxfId="3">
      <pivotArea dataOnly="0" labelOnly="1" fieldPosition="0">
        <references count="1">
          <reference field="7" count="0"/>
        </references>
      </pivotArea>
    </format>
    <format dxfId="2">
      <pivotArea dataOnly="0" labelOnly="1" grandRow="1" outline="0" fieldPosition="0"/>
    </format>
    <format dxfId="1">
      <pivotArea dataOnly="0" labelOnly="1" outline="0" axis="axisValues" fieldPosition="0"/>
    </format>
  </format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BB6643-8AFE-44AF-B1E6-7A06FD49955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9:C16" firstHeaderRow="1" firstDataRow="1" firstDataCol="1"/>
  <pivotFields count="8">
    <pivotField showAll="0"/>
    <pivotField axis="axisRow" showAll="0">
      <items count="7">
        <item x="4"/>
        <item x="5"/>
        <item x="0"/>
        <item x="2"/>
        <item x="1"/>
        <item x="3"/>
        <item t="default"/>
      </items>
    </pivotField>
    <pivotField numFmtId="14" showAll="0">
      <items count="284">
        <item x="14"/>
        <item x="152"/>
        <item x="187"/>
        <item x="75"/>
        <item x="180"/>
        <item x="233"/>
        <item x="123"/>
        <item x="122"/>
        <item x="205"/>
        <item x="80"/>
        <item x="177"/>
        <item x="8"/>
        <item x="38"/>
        <item x="163"/>
        <item x="18"/>
        <item x="45"/>
        <item x="196"/>
        <item x="77"/>
        <item x="174"/>
        <item x="211"/>
        <item x="164"/>
        <item x="171"/>
        <item x="10"/>
        <item x="157"/>
        <item x="9"/>
        <item x="21"/>
        <item x="41"/>
        <item x="276"/>
        <item x="194"/>
        <item x="266"/>
        <item x="0"/>
        <item x="32"/>
        <item x="25"/>
        <item x="234"/>
        <item x="145"/>
        <item x="154"/>
        <item x="55"/>
        <item x="3"/>
        <item x="267"/>
        <item x="101"/>
        <item x="237"/>
        <item x="170"/>
        <item x="30"/>
        <item x="269"/>
        <item x="265"/>
        <item x="275"/>
        <item x="252"/>
        <item x="66"/>
        <item x="2"/>
        <item x="222"/>
        <item x="214"/>
        <item x="27"/>
        <item x="50"/>
        <item x="142"/>
        <item x="1"/>
        <item x="232"/>
        <item x="24"/>
        <item x="61"/>
        <item x="62"/>
        <item x="34"/>
        <item x="40"/>
        <item x="262"/>
        <item x="136"/>
        <item x="190"/>
        <item x="72"/>
        <item x="49"/>
        <item x="111"/>
        <item x="84"/>
        <item x="261"/>
        <item x="248"/>
        <item x="227"/>
        <item x="54"/>
        <item x="186"/>
        <item x="121"/>
        <item x="76"/>
        <item x="12"/>
        <item x="129"/>
        <item x="210"/>
        <item x="165"/>
        <item x="258"/>
        <item x="241"/>
        <item x="110"/>
        <item x="260"/>
        <item x="279"/>
        <item x="176"/>
        <item x="179"/>
        <item x="192"/>
        <item x="22"/>
        <item x="282"/>
        <item x="146"/>
        <item x="67"/>
        <item x="249"/>
        <item x="270"/>
        <item x="158"/>
        <item x="133"/>
        <item x="53"/>
        <item x="219"/>
        <item x="195"/>
        <item x="131"/>
        <item x="35"/>
        <item x="105"/>
        <item x="92"/>
        <item x="97"/>
        <item x="201"/>
        <item x="159"/>
        <item x="200"/>
        <item x="240"/>
        <item x="208"/>
        <item x="19"/>
        <item x="217"/>
        <item x="228"/>
        <item x="183"/>
        <item x="114"/>
        <item x="203"/>
        <item x="128"/>
        <item x="273"/>
        <item x="230"/>
        <item x="78"/>
        <item x="125"/>
        <item x="98"/>
        <item x="20"/>
        <item x="118"/>
        <item x="71"/>
        <item x="278"/>
        <item x="153"/>
        <item x="89"/>
        <item x="37"/>
        <item x="7"/>
        <item x="57"/>
        <item x="43"/>
        <item x="127"/>
        <item x="48"/>
        <item x="28"/>
        <item x="132"/>
        <item x="250"/>
        <item x="197"/>
        <item x="99"/>
        <item x="104"/>
        <item x="229"/>
        <item x="47"/>
        <item x="243"/>
        <item x="134"/>
        <item x="253"/>
        <item x="216"/>
        <item x="155"/>
        <item x="263"/>
        <item x="167"/>
        <item x="150"/>
        <item x="140"/>
        <item x="168"/>
        <item x="181"/>
        <item x="112"/>
        <item x="85"/>
        <item x="11"/>
        <item x="26"/>
        <item x="207"/>
        <item x="189"/>
        <item x="246"/>
        <item x="126"/>
        <item x="148"/>
        <item x="182"/>
        <item x="257"/>
        <item x="63"/>
        <item x="162"/>
        <item x="272"/>
        <item x="185"/>
        <item x="94"/>
        <item x="138"/>
        <item x="135"/>
        <item x="82"/>
        <item x="52"/>
        <item x="117"/>
        <item x="277"/>
        <item x="247"/>
        <item x="202"/>
        <item x="79"/>
        <item x="88"/>
        <item x="268"/>
        <item x="191"/>
        <item x="31"/>
        <item x="184"/>
        <item x="166"/>
        <item x="83"/>
        <item x="69"/>
        <item x="103"/>
        <item x="151"/>
        <item x="281"/>
        <item x="178"/>
        <item x="100"/>
        <item x="70"/>
        <item x="56"/>
        <item x="15"/>
        <item x="106"/>
        <item x="147"/>
        <item x="238"/>
        <item x="218"/>
        <item x="199"/>
        <item x="17"/>
        <item x="139"/>
        <item x="33"/>
        <item x="259"/>
        <item x="221"/>
        <item x="74"/>
        <item x="264"/>
        <item x="93"/>
        <item x="280"/>
        <item x="212"/>
        <item x="59"/>
        <item x="115"/>
        <item x="58"/>
        <item x="209"/>
        <item x="73"/>
        <item x="109"/>
        <item x="137"/>
        <item x="68"/>
        <item x="188"/>
        <item x="239"/>
        <item x="156"/>
        <item x="113"/>
        <item x="215"/>
        <item x="161"/>
        <item x="245"/>
        <item x="144"/>
        <item x="160"/>
        <item x="130"/>
        <item x="173"/>
        <item x="271"/>
        <item x="23"/>
        <item x="5"/>
        <item x="225"/>
        <item x="81"/>
        <item x="107"/>
        <item x="220"/>
        <item x="13"/>
        <item x="223"/>
        <item x="226"/>
        <item x="204"/>
        <item x="116"/>
        <item x="254"/>
        <item x="36"/>
        <item x="95"/>
        <item x="198"/>
        <item x="90"/>
        <item x="141"/>
        <item x="169"/>
        <item x="224"/>
        <item x="236"/>
        <item x="149"/>
        <item x="6"/>
        <item x="65"/>
        <item x="16"/>
        <item x="119"/>
        <item x="29"/>
        <item x="274"/>
        <item x="86"/>
        <item x="108"/>
        <item x="235"/>
        <item x="44"/>
        <item x="91"/>
        <item x="96"/>
        <item x="256"/>
        <item x="193"/>
        <item x="124"/>
        <item x="175"/>
        <item x="120"/>
        <item x="242"/>
        <item x="51"/>
        <item x="231"/>
        <item x="172"/>
        <item x="255"/>
        <item x="42"/>
        <item x="206"/>
        <item x="251"/>
        <item x="60"/>
        <item x="102"/>
        <item x="64"/>
        <item x="46"/>
        <item x="143"/>
        <item x="4"/>
        <item x="244"/>
        <item x="39"/>
        <item x="213"/>
        <item x="87"/>
        <item t="default"/>
      </items>
    </pivotField>
    <pivotField showAll="0"/>
    <pivotField showAll="0"/>
    <pivotField showAll="0"/>
    <pivotField dataField="1" showAll="0">
      <items count="11">
        <item x="6"/>
        <item x="8"/>
        <item x="0"/>
        <item x="2"/>
        <item x="4"/>
        <item x="1"/>
        <item x="3"/>
        <item x="9"/>
        <item x="5"/>
        <item x="7"/>
        <item t="default"/>
      </items>
    </pivotField>
    <pivotField showAll="0">
      <items count="10">
        <item x="2"/>
        <item x="4"/>
        <item x="3"/>
        <item x="7"/>
        <item x="5"/>
        <item x="8"/>
        <item x="1"/>
        <item x="0"/>
        <item x="6"/>
        <item t="default"/>
      </items>
    </pivotField>
  </pivotFields>
  <rowFields count="1">
    <field x="1"/>
  </rowFields>
  <rowItems count="7">
    <i>
      <x/>
    </i>
    <i>
      <x v="1"/>
    </i>
    <i>
      <x v="2"/>
    </i>
    <i>
      <x v="3"/>
    </i>
    <i>
      <x v="4"/>
    </i>
    <i>
      <x v="5"/>
    </i>
    <i t="grand">
      <x/>
    </i>
  </rowItems>
  <colItems count="1">
    <i/>
  </colItems>
  <dataFields count="1">
    <dataField name="Average of fraud_association" fld="6" subtotal="average" baseField="1" baseItem="0" numFmtId="2"/>
  </dataFields>
  <formats count="15">
    <format dxfId="27">
      <pivotArea type="all" dataOnly="0" outline="0" fieldPosition="0"/>
    </format>
    <format dxfId="26">
      <pivotArea outline="0" collapsedLevelsAreSubtotals="1" fieldPosition="0"/>
    </format>
    <format dxfId="25">
      <pivotArea field="1" type="button" dataOnly="0" labelOnly="1" outline="0" axis="axisRow" fieldPosition="0"/>
    </format>
    <format dxfId="24">
      <pivotArea dataOnly="0" labelOnly="1" fieldPosition="0">
        <references count="1">
          <reference field="1" count="0"/>
        </references>
      </pivotArea>
    </format>
    <format dxfId="23">
      <pivotArea dataOnly="0" labelOnly="1" grandRow="1" outline="0"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field="1" type="button" dataOnly="0" labelOnly="1" outline="0" axis="axisRow" fieldPosition="0"/>
    </format>
    <format dxfId="18">
      <pivotArea dataOnly="0" labelOnly="1" fieldPosition="0">
        <references count="1">
          <reference field="1" count="0"/>
        </references>
      </pivotArea>
    </format>
    <format dxfId="17">
      <pivotArea dataOnly="0" labelOnly="1" grandRow="1" outline="0" fieldPosition="0"/>
    </format>
    <format dxfId="16">
      <pivotArea dataOnly="0" labelOnly="1" outline="0" axis="axisValues" fieldPosition="0"/>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s>
  <chartFormats count="3">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65B6E6-CD41-4BA0-B553-4D019F91114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27:N34" firstHeaderRow="1" firstDataRow="1" firstDataCol="1"/>
  <pivotFields count="8">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axis="axisRow" showAll="0">
      <items count="7">
        <item x="4"/>
        <item x="5"/>
        <item x="0"/>
        <item x="2"/>
        <item x="1"/>
        <item x="3"/>
        <item t="default"/>
      </items>
    </pivotField>
    <pivotField numFmtId="14" showAll="0">
      <items count="284">
        <item x="14"/>
        <item x="152"/>
        <item x="187"/>
        <item x="75"/>
        <item x="180"/>
        <item x="233"/>
        <item x="123"/>
        <item x="122"/>
        <item x="205"/>
        <item x="80"/>
        <item x="177"/>
        <item x="8"/>
        <item x="38"/>
        <item x="163"/>
        <item x="18"/>
        <item x="45"/>
        <item x="196"/>
        <item x="77"/>
        <item x="174"/>
        <item x="211"/>
        <item x="164"/>
        <item x="171"/>
        <item x="10"/>
        <item x="157"/>
        <item x="9"/>
        <item x="21"/>
        <item x="41"/>
        <item x="276"/>
        <item x="194"/>
        <item x="266"/>
        <item x="0"/>
        <item x="32"/>
        <item x="25"/>
        <item x="234"/>
        <item x="145"/>
        <item x="154"/>
        <item x="55"/>
        <item x="3"/>
        <item x="267"/>
        <item x="101"/>
        <item x="237"/>
        <item x="170"/>
        <item x="30"/>
        <item x="269"/>
        <item x="265"/>
        <item x="275"/>
        <item x="252"/>
        <item x="66"/>
        <item x="2"/>
        <item x="222"/>
        <item x="214"/>
        <item x="27"/>
        <item x="50"/>
        <item x="142"/>
        <item x="1"/>
        <item x="232"/>
        <item x="24"/>
        <item x="61"/>
        <item x="62"/>
        <item x="34"/>
        <item x="40"/>
        <item x="262"/>
        <item x="136"/>
        <item x="190"/>
        <item x="72"/>
        <item x="49"/>
        <item x="111"/>
        <item x="84"/>
        <item x="261"/>
        <item x="248"/>
        <item x="227"/>
        <item x="54"/>
        <item x="186"/>
        <item x="121"/>
        <item x="76"/>
        <item x="12"/>
        <item x="129"/>
        <item x="210"/>
        <item x="165"/>
        <item x="258"/>
        <item x="241"/>
        <item x="110"/>
        <item x="260"/>
        <item x="279"/>
        <item x="176"/>
        <item x="179"/>
        <item x="192"/>
        <item x="22"/>
        <item x="282"/>
        <item x="146"/>
        <item x="67"/>
        <item x="249"/>
        <item x="270"/>
        <item x="158"/>
        <item x="133"/>
        <item x="53"/>
        <item x="219"/>
        <item x="195"/>
        <item x="131"/>
        <item x="35"/>
        <item x="105"/>
        <item x="92"/>
        <item x="97"/>
        <item x="201"/>
        <item x="159"/>
        <item x="200"/>
        <item x="240"/>
        <item x="208"/>
        <item x="19"/>
        <item x="217"/>
        <item x="228"/>
        <item x="183"/>
        <item x="114"/>
        <item x="203"/>
        <item x="128"/>
        <item x="273"/>
        <item x="230"/>
        <item x="78"/>
        <item x="125"/>
        <item x="98"/>
        <item x="20"/>
        <item x="118"/>
        <item x="71"/>
        <item x="278"/>
        <item x="153"/>
        <item x="89"/>
        <item x="37"/>
        <item x="7"/>
        <item x="57"/>
        <item x="43"/>
        <item x="127"/>
        <item x="48"/>
        <item x="28"/>
        <item x="132"/>
        <item x="250"/>
        <item x="197"/>
        <item x="99"/>
        <item x="104"/>
        <item x="229"/>
        <item x="47"/>
        <item x="243"/>
        <item x="134"/>
        <item x="253"/>
        <item x="216"/>
        <item x="155"/>
        <item x="263"/>
        <item x="167"/>
        <item x="150"/>
        <item x="140"/>
        <item x="168"/>
        <item x="181"/>
        <item x="112"/>
        <item x="85"/>
        <item x="11"/>
        <item x="26"/>
        <item x="207"/>
        <item x="189"/>
        <item x="246"/>
        <item x="126"/>
        <item x="148"/>
        <item x="182"/>
        <item x="257"/>
        <item x="63"/>
        <item x="162"/>
        <item x="272"/>
        <item x="185"/>
        <item x="94"/>
        <item x="138"/>
        <item x="135"/>
        <item x="82"/>
        <item x="52"/>
        <item x="117"/>
        <item x="277"/>
        <item x="247"/>
        <item x="202"/>
        <item x="79"/>
        <item x="88"/>
        <item x="268"/>
        <item x="191"/>
        <item x="31"/>
        <item x="184"/>
        <item x="166"/>
        <item x="83"/>
        <item x="69"/>
        <item x="103"/>
        <item x="151"/>
        <item x="281"/>
        <item x="178"/>
        <item x="100"/>
        <item x="70"/>
        <item x="56"/>
        <item x="15"/>
        <item x="106"/>
        <item x="147"/>
        <item x="238"/>
        <item x="218"/>
        <item x="199"/>
        <item x="17"/>
        <item x="139"/>
        <item x="33"/>
        <item x="259"/>
        <item x="221"/>
        <item x="74"/>
        <item x="264"/>
        <item x="93"/>
        <item x="280"/>
        <item x="212"/>
        <item x="59"/>
        <item x="115"/>
        <item x="58"/>
        <item x="209"/>
        <item x="73"/>
        <item x="109"/>
        <item x="137"/>
        <item x="68"/>
        <item x="188"/>
        <item x="239"/>
        <item x="156"/>
        <item x="113"/>
        <item x="215"/>
        <item x="161"/>
        <item x="245"/>
        <item x="144"/>
        <item x="160"/>
        <item x="130"/>
        <item x="173"/>
        <item x="271"/>
        <item x="23"/>
        <item x="5"/>
        <item x="225"/>
        <item x="81"/>
        <item x="107"/>
        <item x="220"/>
        <item x="13"/>
        <item x="223"/>
        <item x="226"/>
        <item x="204"/>
        <item x="116"/>
        <item x="254"/>
        <item x="36"/>
        <item x="95"/>
        <item x="198"/>
        <item x="90"/>
        <item x="141"/>
        <item x="169"/>
        <item x="224"/>
        <item x="236"/>
        <item x="149"/>
        <item x="6"/>
        <item x="65"/>
        <item x="16"/>
        <item x="119"/>
        <item x="29"/>
        <item x="274"/>
        <item x="86"/>
        <item x="108"/>
        <item x="235"/>
        <item x="44"/>
        <item x="91"/>
        <item x="96"/>
        <item x="256"/>
        <item x="193"/>
        <item x="124"/>
        <item x="175"/>
        <item x="120"/>
        <item x="242"/>
        <item x="51"/>
        <item x="231"/>
        <item x="172"/>
        <item x="255"/>
        <item x="42"/>
        <item x="206"/>
        <item x="251"/>
        <item x="60"/>
        <item x="102"/>
        <item x="64"/>
        <item x="46"/>
        <item x="143"/>
        <item x="4"/>
        <item x="244"/>
        <item x="39"/>
        <item x="213"/>
        <item x="87"/>
        <item t="default"/>
      </items>
    </pivotField>
    <pivotField showAll="0"/>
    <pivotField showAll="0"/>
    <pivotField showAll="0"/>
    <pivotField showAll="0">
      <items count="11">
        <item x="6"/>
        <item x="8"/>
        <item x="0"/>
        <item x="2"/>
        <item x="4"/>
        <item x="1"/>
        <item x="3"/>
        <item x="9"/>
        <item x="5"/>
        <item x="7"/>
        <item t="default"/>
      </items>
    </pivotField>
    <pivotField showAll="0">
      <items count="10">
        <item x="2"/>
        <item x="4"/>
        <item x="3"/>
        <item x="7"/>
        <item x="5"/>
        <item x="8"/>
        <item x="1"/>
        <item x="0"/>
        <item x="6"/>
        <item t="default"/>
      </items>
    </pivotField>
  </pivotFields>
  <rowFields count="1">
    <field x="1"/>
  </rowFields>
  <rowItems count="7">
    <i>
      <x/>
    </i>
    <i>
      <x v="1"/>
    </i>
    <i>
      <x v="2"/>
    </i>
    <i>
      <x v="3"/>
    </i>
    <i>
      <x v="4"/>
    </i>
    <i>
      <x v="5"/>
    </i>
    <i t="grand">
      <x/>
    </i>
  </rowItems>
  <colItems count="1">
    <i/>
  </colItems>
  <dataFields count="1">
    <dataField name="Count of agent_id" fld="0" subtotal="count" baseField="0" baseItem="0"/>
  </dataFields>
  <formats count="12">
    <format dxfId="39">
      <pivotArea type="all" dataOnly="0" outline="0" fieldPosition="0"/>
    </format>
    <format dxfId="38">
      <pivotArea outline="0" collapsedLevelsAreSubtotals="1" fieldPosition="0"/>
    </format>
    <format dxfId="37">
      <pivotArea field="1" type="button" dataOnly="0" labelOnly="1" outline="0" axis="axisRow" fieldPosition="0"/>
    </format>
    <format dxfId="36">
      <pivotArea dataOnly="0" labelOnly="1" fieldPosition="0">
        <references count="1">
          <reference field="1" count="0"/>
        </references>
      </pivotArea>
    </format>
    <format dxfId="35">
      <pivotArea dataOnly="0" labelOnly="1" grandRow="1" outline="0"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field="1" type="button" dataOnly="0" labelOnly="1" outline="0" axis="axisRow" fieldPosition="0"/>
    </format>
    <format dxfId="30">
      <pivotArea dataOnly="0" labelOnly="1" fieldPosition="0">
        <references count="1">
          <reference field="1" count="0"/>
        </references>
      </pivotArea>
    </format>
    <format dxfId="29">
      <pivotArea dataOnly="0" labelOnly="1" grandRow="1" outline="0" fieldPosition="0"/>
    </format>
    <format dxfId="28">
      <pivotArea dataOnly="0" labelOnly="1" outline="0" axis="axisValues" fieldPosition="0"/>
    </format>
  </formats>
  <chartFormats count="7">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 count="1" selected="0">
            <x v="0"/>
          </reference>
        </references>
      </pivotArea>
    </chartFormat>
    <chartFormat chart="4" format="10">
      <pivotArea type="data" outline="0" fieldPosition="0">
        <references count="2">
          <reference field="4294967294" count="1" selected="0">
            <x v="0"/>
          </reference>
          <reference field="1" count="1" selected="0">
            <x v="1"/>
          </reference>
        </references>
      </pivotArea>
    </chartFormat>
    <chartFormat chart="4" format="11">
      <pivotArea type="data" outline="0" fieldPosition="0">
        <references count="2">
          <reference field="4294967294" count="1" selected="0">
            <x v="0"/>
          </reference>
          <reference field="1" count="1" selected="0">
            <x v="2"/>
          </reference>
        </references>
      </pivotArea>
    </chartFormat>
    <chartFormat chart="4" format="12">
      <pivotArea type="data" outline="0" fieldPosition="0">
        <references count="2">
          <reference field="4294967294" count="1" selected="0">
            <x v="0"/>
          </reference>
          <reference field="1" count="1" selected="0">
            <x v="3"/>
          </reference>
        </references>
      </pivotArea>
    </chartFormat>
    <chartFormat chart="4" format="13">
      <pivotArea type="data" outline="0" fieldPosition="0">
        <references count="2">
          <reference field="4294967294" count="1" selected="0">
            <x v="0"/>
          </reference>
          <reference field="1" count="1" selected="0">
            <x v="4"/>
          </reference>
        </references>
      </pivotArea>
    </chartFormat>
    <chartFormat chart="4" format="1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7A171D-665A-4471-AC68-6C5E70EDC56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9:N16" firstHeaderRow="1" firstDataRow="1" firstDataCol="1"/>
  <pivotFields count="8">
    <pivotField showAll="0"/>
    <pivotField axis="axisRow" showAll="0">
      <items count="7">
        <item x="4"/>
        <item x="5"/>
        <item x="0"/>
        <item x="2"/>
        <item x="1"/>
        <item x="3"/>
        <item t="default"/>
      </items>
    </pivotField>
    <pivotField numFmtId="14" showAll="0">
      <items count="284">
        <item x="14"/>
        <item x="152"/>
        <item x="187"/>
        <item x="75"/>
        <item x="180"/>
        <item x="233"/>
        <item x="123"/>
        <item x="122"/>
        <item x="205"/>
        <item x="80"/>
        <item x="177"/>
        <item x="8"/>
        <item x="38"/>
        <item x="163"/>
        <item x="18"/>
        <item x="45"/>
        <item x="196"/>
        <item x="77"/>
        <item x="174"/>
        <item x="211"/>
        <item x="164"/>
        <item x="171"/>
        <item x="10"/>
        <item x="157"/>
        <item x="9"/>
        <item x="21"/>
        <item x="41"/>
        <item x="276"/>
        <item x="194"/>
        <item x="266"/>
        <item x="0"/>
        <item x="32"/>
        <item x="25"/>
        <item x="234"/>
        <item x="145"/>
        <item x="154"/>
        <item x="55"/>
        <item x="3"/>
        <item x="267"/>
        <item x="101"/>
        <item x="237"/>
        <item x="170"/>
        <item x="30"/>
        <item x="269"/>
        <item x="265"/>
        <item x="275"/>
        <item x="252"/>
        <item x="66"/>
        <item x="2"/>
        <item x="222"/>
        <item x="214"/>
        <item x="27"/>
        <item x="50"/>
        <item x="142"/>
        <item x="1"/>
        <item x="232"/>
        <item x="24"/>
        <item x="61"/>
        <item x="62"/>
        <item x="34"/>
        <item x="40"/>
        <item x="262"/>
        <item x="136"/>
        <item x="190"/>
        <item x="72"/>
        <item x="49"/>
        <item x="111"/>
        <item x="84"/>
        <item x="261"/>
        <item x="248"/>
        <item x="227"/>
        <item x="54"/>
        <item x="186"/>
        <item x="121"/>
        <item x="76"/>
        <item x="12"/>
        <item x="129"/>
        <item x="210"/>
        <item x="165"/>
        <item x="258"/>
        <item x="241"/>
        <item x="110"/>
        <item x="260"/>
        <item x="279"/>
        <item x="176"/>
        <item x="179"/>
        <item x="192"/>
        <item x="22"/>
        <item x="282"/>
        <item x="146"/>
        <item x="67"/>
        <item x="249"/>
        <item x="270"/>
        <item x="158"/>
        <item x="133"/>
        <item x="53"/>
        <item x="219"/>
        <item x="195"/>
        <item x="131"/>
        <item x="35"/>
        <item x="105"/>
        <item x="92"/>
        <item x="97"/>
        <item x="201"/>
        <item x="159"/>
        <item x="200"/>
        <item x="240"/>
        <item x="208"/>
        <item x="19"/>
        <item x="217"/>
        <item x="228"/>
        <item x="183"/>
        <item x="114"/>
        <item x="203"/>
        <item x="128"/>
        <item x="273"/>
        <item x="230"/>
        <item x="78"/>
        <item x="125"/>
        <item x="98"/>
        <item x="20"/>
        <item x="118"/>
        <item x="71"/>
        <item x="278"/>
        <item x="153"/>
        <item x="89"/>
        <item x="37"/>
        <item x="7"/>
        <item x="57"/>
        <item x="43"/>
        <item x="127"/>
        <item x="48"/>
        <item x="28"/>
        <item x="132"/>
        <item x="250"/>
        <item x="197"/>
        <item x="99"/>
        <item x="104"/>
        <item x="229"/>
        <item x="47"/>
        <item x="243"/>
        <item x="134"/>
        <item x="253"/>
        <item x="216"/>
        <item x="155"/>
        <item x="263"/>
        <item x="167"/>
        <item x="150"/>
        <item x="140"/>
        <item x="168"/>
        <item x="181"/>
        <item x="112"/>
        <item x="85"/>
        <item x="11"/>
        <item x="26"/>
        <item x="207"/>
        <item x="189"/>
        <item x="246"/>
        <item x="126"/>
        <item x="148"/>
        <item x="182"/>
        <item x="257"/>
        <item x="63"/>
        <item x="162"/>
        <item x="272"/>
        <item x="185"/>
        <item x="94"/>
        <item x="138"/>
        <item x="135"/>
        <item x="82"/>
        <item x="52"/>
        <item x="117"/>
        <item x="277"/>
        <item x="247"/>
        <item x="202"/>
        <item x="79"/>
        <item x="88"/>
        <item x="268"/>
        <item x="191"/>
        <item x="31"/>
        <item x="184"/>
        <item x="166"/>
        <item x="83"/>
        <item x="69"/>
        <item x="103"/>
        <item x="151"/>
        <item x="281"/>
        <item x="178"/>
        <item x="100"/>
        <item x="70"/>
        <item x="56"/>
        <item x="15"/>
        <item x="106"/>
        <item x="147"/>
        <item x="238"/>
        <item x="218"/>
        <item x="199"/>
        <item x="17"/>
        <item x="139"/>
        <item x="33"/>
        <item x="259"/>
        <item x="221"/>
        <item x="74"/>
        <item x="264"/>
        <item x="93"/>
        <item x="280"/>
        <item x="212"/>
        <item x="59"/>
        <item x="115"/>
        <item x="58"/>
        <item x="209"/>
        <item x="73"/>
        <item x="109"/>
        <item x="137"/>
        <item x="68"/>
        <item x="188"/>
        <item x="239"/>
        <item x="156"/>
        <item x="113"/>
        <item x="215"/>
        <item x="161"/>
        <item x="245"/>
        <item x="144"/>
        <item x="160"/>
        <item x="130"/>
        <item x="173"/>
        <item x="271"/>
        <item x="23"/>
        <item x="5"/>
        <item x="225"/>
        <item x="81"/>
        <item x="107"/>
        <item x="220"/>
        <item x="13"/>
        <item x="223"/>
        <item x="226"/>
        <item x="204"/>
        <item x="116"/>
        <item x="254"/>
        <item x="36"/>
        <item x="95"/>
        <item x="198"/>
        <item x="90"/>
        <item x="141"/>
        <item x="169"/>
        <item x="224"/>
        <item x="236"/>
        <item x="149"/>
        <item x="6"/>
        <item x="65"/>
        <item x="16"/>
        <item x="119"/>
        <item x="29"/>
        <item x="274"/>
        <item x="86"/>
        <item x="108"/>
        <item x="235"/>
        <item x="44"/>
        <item x="91"/>
        <item x="96"/>
        <item x="256"/>
        <item x="193"/>
        <item x="124"/>
        <item x="175"/>
        <item x="120"/>
        <item x="242"/>
        <item x="51"/>
        <item x="231"/>
        <item x="172"/>
        <item x="255"/>
        <item x="42"/>
        <item x="206"/>
        <item x="251"/>
        <item x="60"/>
        <item x="102"/>
        <item x="64"/>
        <item x="46"/>
        <item x="143"/>
        <item x="4"/>
        <item x="244"/>
        <item x="39"/>
        <item x="213"/>
        <item x="87"/>
        <item t="default"/>
      </items>
    </pivotField>
    <pivotField showAll="0"/>
    <pivotField dataField="1" showAll="0"/>
    <pivotField showAll="0"/>
    <pivotField showAll="0">
      <items count="11">
        <item x="6"/>
        <item x="8"/>
        <item x="0"/>
        <item x="2"/>
        <item x="4"/>
        <item x="1"/>
        <item x="3"/>
        <item x="9"/>
        <item x="5"/>
        <item x="7"/>
        <item t="default"/>
      </items>
    </pivotField>
    <pivotField showAll="0">
      <items count="10">
        <item x="2"/>
        <item x="4"/>
        <item x="3"/>
        <item x="7"/>
        <item x="5"/>
        <item x="8"/>
        <item x="1"/>
        <item x="0"/>
        <item x="6"/>
        <item t="default"/>
      </items>
    </pivotField>
  </pivotFields>
  <rowFields count="1">
    <field x="1"/>
  </rowFields>
  <rowItems count="7">
    <i>
      <x/>
    </i>
    <i>
      <x v="1"/>
    </i>
    <i>
      <x v="2"/>
    </i>
    <i>
      <x v="3"/>
    </i>
    <i>
      <x v="4"/>
    </i>
    <i>
      <x v="5"/>
    </i>
    <i t="grand">
      <x/>
    </i>
  </rowItems>
  <colItems count="1">
    <i/>
  </colItems>
  <dataFields count="1">
    <dataField name="Sum of lapsed_policies" fld="4" baseField="0" baseItem="0"/>
  </dataFields>
  <formats count="12">
    <format dxfId="51">
      <pivotArea type="all" dataOnly="0" outline="0" fieldPosition="0"/>
    </format>
    <format dxfId="50">
      <pivotArea outline="0" collapsedLevelsAreSubtotals="1" fieldPosition="0"/>
    </format>
    <format dxfId="49">
      <pivotArea field="1" type="button" dataOnly="0" labelOnly="1" outline="0" axis="axisRow" fieldPosition="0"/>
    </format>
    <format dxfId="48">
      <pivotArea dataOnly="0" labelOnly="1" fieldPosition="0">
        <references count="1">
          <reference field="1" count="0"/>
        </references>
      </pivotArea>
    </format>
    <format dxfId="47">
      <pivotArea dataOnly="0" labelOnly="1" grandRow="1" outline="0"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field="1" type="button" dataOnly="0" labelOnly="1" outline="0" axis="axisRow" fieldPosition="0"/>
    </format>
    <format dxfId="42">
      <pivotArea dataOnly="0" labelOnly="1" fieldPosition="0">
        <references count="1">
          <reference field="1" count="0"/>
        </references>
      </pivotArea>
    </format>
    <format dxfId="41">
      <pivotArea dataOnly="0" labelOnly="1" grandRow="1" outline="0" fieldPosition="0"/>
    </format>
    <format dxfId="40">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675982-7E90-4BF0-B1B7-1BA3EDD7E2F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27:I38" firstHeaderRow="1" firstDataRow="1" firstDataCol="1"/>
  <pivotFields count="8">
    <pivotField showAll="0"/>
    <pivotField showAll="0">
      <items count="7">
        <item x="4"/>
        <item x="5"/>
        <item x="0"/>
        <item x="2"/>
        <item x="1"/>
        <item x="3"/>
        <item t="default"/>
      </items>
    </pivotField>
    <pivotField numFmtId="14" showAll="0">
      <items count="284">
        <item x="14"/>
        <item x="152"/>
        <item x="187"/>
        <item x="75"/>
        <item x="180"/>
        <item x="233"/>
        <item x="123"/>
        <item x="122"/>
        <item x="205"/>
        <item x="80"/>
        <item x="177"/>
        <item x="8"/>
        <item x="38"/>
        <item x="163"/>
        <item x="18"/>
        <item x="45"/>
        <item x="196"/>
        <item x="77"/>
        <item x="174"/>
        <item x="211"/>
        <item x="164"/>
        <item x="171"/>
        <item x="10"/>
        <item x="157"/>
        <item x="9"/>
        <item x="21"/>
        <item x="41"/>
        <item x="276"/>
        <item x="194"/>
        <item x="266"/>
        <item x="0"/>
        <item x="32"/>
        <item x="25"/>
        <item x="234"/>
        <item x="145"/>
        <item x="154"/>
        <item x="55"/>
        <item x="3"/>
        <item x="267"/>
        <item x="101"/>
        <item x="237"/>
        <item x="170"/>
        <item x="30"/>
        <item x="269"/>
        <item x="265"/>
        <item x="275"/>
        <item x="252"/>
        <item x="66"/>
        <item x="2"/>
        <item x="222"/>
        <item x="214"/>
        <item x="27"/>
        <item x="50"/>
        <item x="142"/>
        <item x="1"/>
        <item x="232"/>
        <item x="24"/>
        <item x="61"/>
        <item x="62"/>
        <item x="34"/>
        <item x="40"/>
        <item x="262"/>
        <item x="136"/>
        <item x="190"/>
        <item x="72"/>
        <item x="49"/>
        <item x="111"/>
        <item x="84"/>
        <item x="261"/>
        <item x="248"/>
        <item x="227"/>
        <item x="54"/>
        <item x="186"/>
        <item x="121"/>
        <item x="76"/>
        <item x="12"/>
        <item x="129"/>
        <item x="210"/>
        <item x="165"/>
        <item x="258"/>
        <item x="241"/>
        <item x="110"/>
        <item x="260"/>
        <item x="279"/>
        <item x="176"/>
        <item x="179"/>
        <item x="192"/>
        <item x="22"/>
        <item x="282"/>
        <item x="146"/>
        <item x="67"/>
        <item x="249"/>
        <item x="270"/>
        <item x="158"/>
        <item x="133"/>
        <item x="53"/>
        <item x="219"/>
        <item x="195"/>
        <item x="131"/>
        <item x="35"/>
        <item x="105"/>
        <item x="92"/>
        <item x="97"/>
        <item x="201"/>
        <item x="159"/>
        <item x="200"/>
        <item x="240"/>
        <item x="208"/>
        <item x="19"/>
        <item x="217"/>
        <item x="228"/>
        <item x="183"/>
        <item x="114"/>
        <item x="203"/>
        <item x="128"/>
        <item x="273"/>
        <item x="230"/>
        <item x="78"/>
        <item x="125"/>
        <item x="98"/>
        <item x="20"/>
        <item x="118"/>
        <item x="71"/>
        <item x="278"/>
        <item x="153"/>
        <item x="89"/>
        <item x="37"/>
        <item x="7"/>
        <item x="57"/>
        <item x="43"/>
        <item x="127"/>
        <item x="48"/>
        <item x="28"/>
        <item x="132"/>
        <item x="250"/>
        <item x="197"/>
        <item x="99"/>
        <item x="104"/>
        <item x="229"/>
        <item x="47"/>
        <item x="243"/>
        <item x="134"/>
        <item x="253"/>
        <item x="216"/>
        <item x="155"/>
        <item x="263"/>
        <item x="167"/>
        <item x="150"/>
        <item x="140"/>
        <item x="168"/>
        <item x="181"/>
        <item x="112"/>
        <item x="85"/>
        <item x="11"/>
        <item x="26"/>
        <item x="207"/>
        <item x="189"/>
        <item x="246"/>
        <item x="126"/>
        <item x="148"/>
        <item x="182"/>
        <item x="257"/>
        <item x="63"/>
        <item x="162"/>
        <item x="272"/>
        <item x="185"/>
        <item x="94"/>
        <item x="138"/>
        <item x="135"/>
        <item x="82"/>
        <item x="52"/>
        <item x="117"/>
        <item x="277"/>
        <item x="247"/>
        <item x="202"/>
        <item x="79"/>
        <item x="88"/>
        <item x="268"/>
        <item x="191"/>
        <item x="31"/>
        <item x="184"/>
        <item x="166"/>
        <item x="83"/>
        <item x="69"/>
        <item x="103"/>
        <item x="151"/>
        <item x="281"/>
        <item x="178"/>
        <item x="100"/>
        <item x="70"/>
        <item x="56"/>
        <item x="15"/>
        <item x="106"/>
        <item x="147"/>
        <item x="238"/>
        <item x="218"/>
        <item x="199"/>
        <item x="17"/>
        <item x="139"/>
        <item x="33"/>
        <item x="259"/>
        <item x="221"/>
        <item x="74"/>
        <item x="264"/>
        <item x="93"/>
        <item x="280"/>
        <item x="212"/>
        <item x="59"/>
        <item x="115"/>
        <item x="58"/>
        <item x="209"/>
        <item x="73"/>
        <item x="109"/>
        <item x="137"/>
        <item x="68"/>
        <item x="188"/>
        <item x="239"/>
        <item x="156"/>
        <item x="113"/>
        <item x="215"/>
        <item x="161"/>
        <item x="245"/>
        <item x="144"/>
        <item x="160"/>
        <item x="130"/>
        <item x="173"/>
        <item x="271"/>
        <item x="23"/>
        <item x="5"/>
        <item x="225"/>
        <item x="81"/>
        <item x="107"/>
        <item x="220"/>
        <item x="13"/>
        <item x="223"/>
        <item x="226"/>
        <item x="204"/>
        <item x="116"/>
        <item x="254"/>
        <item x="36"/>
        <item x="95"/>
        <item x="198"/>
        <item x="90"/>
        <item x="141"/>
        <item x="169"/>
        <item x="224"/>
        <item x="236"/>
        <item x="149"/>
        <item x="6"/>
        <item x="65"/>
        <item x="16"/>
        <item x="119"/>
        <item x="29"/>
        <item x="274"/>
        <item x="86"/>
        <item x="108"/>
        <item x="235"/>
        <item x="44"/>
        <item x="91"/>
        <item x="96"/>
        <item x="256"/>
        <item x="193"/>
        <item x="124"/>
        <item x="175"/>
        <item x="120"/>
        <item x="242"/>
        <item x="51"/>
        <item x="231"/>
        <item x="172"/>
        <item x="255"/>
        <item x="42"/>
        <item x="206"/>
        <item x="251"/>
        <item x="60"/>
        <item x="102"/>
        <item x="64"/>
        <item x="46"/>
        <item x="143"/>
        <item x="4"/>
        <item x="244"/>
        <item x="39"/>
        <item x="213"/>
        <item x="87"/>
        <item t="default"/>
      </items>
    </pivotField>
    <pivotField dataField="1" showAll="0"/>
    <pivotField showAll="0"/>
    <pivotField showAll="0"/>
    <pivotField axis="axisRow" showAll="0">
      <items count="11">
        <item x="6"/>
        <item x="8"/>
        <item x="0"/>
        <item x="2"/>
        <item x="4"/>
        <item x="1"/>
        <item x="3"/>
        <item x="9"/>
        <item x="5"/>
        <item x="7"/>
        <item t="default"/>
      </items>
    </pivotField>
    <pivotField showAll="0">
      <items count="10">
        <item x="2"/>
        <item x="4"/>
        <item x="3"/>
        <item x="7"/>
        <item x="5"/>
        <item x="8"/>
        <item x="1"/>
        <item x="0"/>
        <item x="6"/>
        <item t="default"/>
      </items>
    </pivotField>
  </pivotFields>
  <rowFields count="1">
    <field x="6"/>
  </rowFields>
  <rowItems count="11">
    <i>
      <x/>
    </i>
    <i>
      <x v="1"/>
    </i>
    <i>
      <x v="2"/>
    </i>
    <i>
      <x v="3"/>
    </i>
    <i>
      <x v="4"/>
    </i>
    <i>
      <x v="5"/>
    </i>
    <i>
      <x v="6"/>
    </i>
    <i>
      <x v="7"/>
    </i>
    <i>
      <x v="8"/>
    </i>
    <i>
      <x v="9"/>
    </i>
    <i t="grand">
      <x/>
    </i>
  </rowItems>
  <colItems count="1">
    <i/>
  </colItems>
  <dataFields count="1">
    <dataField name="Average of total_policies_sold" fld="3" subtotal="average" baseField="6" baseItem="0" numFmtId="2"/>
  </dataFields>
  <formats count="12">
    <format dxfId="63">
      <pivotArea type="all" dataOnly="0" outline="0" fieldPosition="0"/>
    </format>
    <format dxfId="62">
      <pivotArea outline="0" collapsedLevelsAreSubtotals="1" fieldPosition="0"/>
    </format>
    <format dxfId="61">
      <pivotArea field="6" type="button" dataOnly="0" labelOnly="1" outline="0" axis="axisRow" fieldPosition="0"/>
    </format>
    <format dxfId="60">
      <pivotArea dataOnly="0" labelOnly="1" fieldPosition="0">
        <references count="1">
          <reference field="6" count="0"/>
        </references>
      </pivotArea>
    </format>
    <format dxfId="59">
      <pivotArea dataOnly="0" labelOnly="1" grandRow="1" outline="0"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6" type="button" dataOnly="0" labelOnly="1" outline="0" axis="axisRow" fieldPosition="0"/>
    </format>
    <format dxfId="54">
      <pivotArea dataOnly="0" labelOnly="1" fieldPosition="0">
        <references count="1">
          <reference field="6" count="0"/>
        </references>
      </pivotArea>
    </format>
    <format dxfId="53">
      <pivotArea dataOnly="0" labelOnly="1" grandRow="1" outline="0" fieldPosition="0"/>
    </format>
    <format dxfId="52">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6D3C38-41E1-49FC-9DF0-A2B5A254781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7:C34" firstHeaderRow="1" firstDataRow="1" firstDataCol="1"/>
  <pivotFields count="8">
    <pivotField showAll="0"/>
    <pivotField axis="axisRow" showAll="0">
      <items count="7">
        <item x="4"/>
        <item x="5"/>
        <item x="0"/>
        <item x="2"/>
        <item x="1"/>
        <item x="3"/>
        <item t="default"/>
      </items>
    </pivotField>
    <pivotField numFmtId="14" showAll="0">
      <items count="284">
        <item x="14"/>
        <item x="152"/>
        <item x="187"/>
        <item x="75"/>
        <item x="180"/>
        <item x="233"/>
        <item x="123"/>
        <item x="122"/>
        <item x="205"/>
        <item x="80"/>
        <item x="177"/>
        <item x="8"/>
        <item x="38"/>
        <item x="163"/>
        <item x="18"/>
        <item x="45"/>
        <item x="196"/>
        <item x="77"/>
        <item x="174"/>
        <item x="211"/>
        <item x="164"/>
        <item x="171"/>
        <item x="10"/>
        <item x="157"/>
        <item x="9"/>
        <item x="21"/>
        <item x="41"/>
        <item x="276"/>
        <item x="194"/>
        <item x="266"/>
        <item x="0"/>
        <item x="32"/>
        <item x="25"/>
        <item x="234"/>
        <item x="145"/>
        <item x="154"/>
        <item x="55"/>
        <item x="3"/>
        <item x="267"/>
        <item x="101"/>
        <item x="237"/>
        <item x="170"/>
        <item x="30"/>
        <item x="269"/>
        <item x="265"/>
        <item x="275"/>
        <item x="252"/>
        <item x="66"/>
        <item x="2"/>
        <item x="222"/>
        <item x="214"/>
        <item x="27"/>
        <item x="50"/>
        <item x="142"/>
        <item x="1"/>
        <item x="232"/>
        <item x="24"/>
        <item x="61"/>
        <item x="62"/>
        <item x="34"/>
        <item x="40"/>
        <item x="262"/>
        <item x="136"/>
        <item x="190"/>
        <item x="72"/>
        <item x="49"/>
        <item x="111"/>
        <item x="84"/>
        <item x="261"/>
        <item x="248"/>
        <item x="227"/>
        <item x="54"/>
        <item x="186"/>
        <item x="121"/>
        <item x="76"/>
        <item x="12"/>
        <item x="129"/>
        <item x="210"/>
        <item x="165"/>
        <item x="258"/>
        <item x="241"/>
        <item x="110"/>
        <item x="260"/>
        <item x="279"/>
        <item x="176"/>
        <item x="179"/>
        <item x="192"/>
        <item x="22"/>
        <item x="282"/>
        <item x="146"/>
        <item x="67"/>
        <item x="249"/>
        <item x="270"/>
        <item x="158"/>
        <item x="133"/>
        <item x="53"/>
        <item x="219"/>
        <item x="195"/>
        <item x="131"/>
        <item x="35"/>
        <item x="105"/>
        <item x="92"/>
        <item x="97"/>
        <item x="201"/>
        <item x="159"/>
        <item x="200"/>
        <item x="240"/>
        <item x="208"/>
        <item x="19"/>
        <item x="217"/>
        <item x="228"/>
        <item x="183"/>
        <item x="114"/>
        <item x="203"/>
        <item x="128"/>
        <item x="273"/>
        <item x="230"/>
        <item x="78"/>
        <item x="125"/>
        <item x="98"/>
        <item x="20"/>
        <item x="118"/>
        <item x="71"/>
        <item x="278"/>
        <item x="153"/>
        <item x="89"/>
        <item x="37"/>
        <item x="7"/>
        <item x="57"/>
        <item x="43"/>
        <item x="127"/>
        <item x="48"/>
        <item x="28"/>
        <item x="132"/>
        <item x="250"/>
        <item x="197"/>
        <item x="99"/>
        <item x="104"/>
        <item x="229"/>
        <item x="47"/>
        <item x="243"/>
        <item x="134"/>
        <item x="253"/>
        <item x="216"/>
        <item x="155"/>
        <item x="263"/>
        <item x="167"/>
        <item x="150"/>
        <item x="140"/>
        <item x="168"/>
        <item x="181"/>
        <item x="112"/>
        <item x="85"/>
        <item x="11"/>
        <item x="26"/>
        <item x="207"/>
        <item x="189"/>
        <item x="246"/>
        <item x="126"/>
        <item x="148"/>
        <item x="182"/>
        <item x="257"/>
        <item x="63"/>
        <item x="162"/>
        <item x="272"/>
        <item x="185"/>
        <item x="94"/>
        <item x="138"/>
        <item x="135"/>
        <item x="82"/>
        <item x="52"/>
        <item x="117"/>
        <item x="277"/>
        <item x="247"/>
        <item x="202"/>
        <item x="79"/>
        <item x="88"/>
        <item x="268"/>
        <item x="191"/>
        <item x="31"/>
        <item x="184"/>
        <item x="166"/>
        <item x="83"/>
        <item x="69"/>
        <item x="103"/>
        <item x="151"/>
        <item x="281"/>
        <item x="178"/>
        <item x="100"/>
        <item x="70"/>
        <item x="56"/>
        <item x="15"/>
        <item x="106"/>
        <item x="147"/>
        <item x="238"/>
        <item x="218"/>
        <item x="199"/>
        <item x="17"/>
        <item x="139"/>
        <item x="33"/>
        <item x="259"/>
        <item x="221"/>
        <item x="74"/>
        <item x="264"/>
        <item x="93"/>
        <item x="280"/>
        <item x="212"/>
        <item x="59"/>
        <item x="115"/>
        <item x="58"/>
        <item x="209"/>
        <item x="73"/>
        <item x="109"/>
        <item x="137"/>
        <item x="68"/>
        <item x="188"/>
        <item x="239"/>
        <item x="156"/>
        <item x="113"/>
        <item x="215"/>
        <item x="161"/>
        <item x="245"/>
        <item x="144"/>
        <item x="160"/>
        <item x="130"/>
        <item x="173"/>
        <item x="271"/>
        <item x="23"/>
        <item x="5"/>
        <item x="225"/>
        <item x="81"/>
        <item x="107"/>
        <item x="220"/>
        <item x="13"/>
        <item x="223"/>
        <item x="226"/>
        <item x="204"/>
        <item x="116"/>
        <item x="254"/>
        <item x="36"/>
        <item x="95"/>
        <item x="198"/>
        <item x="90"/>
        <item x="141"/>
        <item x="169"/>
        <item x="224"/>
        <item x="236"/>
        <item x="149"/>
        <item x="6"/>
        <item x="65"/>
        <item x="16"/>
        <item x="119"/>
        <item x="29"/>
        <item x="274"/>
        <item x="86"/>
        <item x="108"/>
        <item x="235"/>
        <item x="44"/>
        <item x="91"/>
        <item x="96"/>
        <item x="256"/>
        <item x="193"/>
        <item x="124"/>
        <item x="175"/>
        <item x="120"/>
        <item x="242"/>
        <item x="51"/>
        <item x="231"/>
        <item x="172"/>
        <item x="255"/>
        <item x="42"/>
        <item x="206"/>
        <item x="251"/>
        <item x="60"/>
        <item x="102"/>
        <item x="64"/>
        <item x="46"/>
        <item x="143"/>
        <item x="4"/>
        <item x="244"/>
        <item x="39"/>
        <item x="213"/>
        <item x="87"/>
        <item t="default"/>
      </items>
    </pivotField>
    <pivotField showAll="0"/>
    <pivotField showAll="0"/>
    <pivotField dataField="1" showAll="0"/>
    <pivotField showAll="0">
      <items count="11">
        <item x="6"/>
        <item x="8"/>
        <item x="0"/>
        <item x="2"/>
        <item x="4"/>
        <item x="1"/>
        <item x="3"/>
        <item x="9"/>
        <item x="5"/>
        <item x="7"/>
        <item t="default"/>
      </items>
    </pivotField>
    <pivotField showAll="0">
      <items count="10">
        <item x="2"/>
        <item x="4"/>
        <item x="3"/>
        <item x="7"/>
        <item x="5"/>
        <item x="8"/>
        <item x="1"/>
        <item x="0"/>
        <item x="6"/>
        <item t="default"/>
      </items>
    </pivotField>
  </pivotFields>
  <rowFields count="1">
    <field x="1"/>
  </rowFields>
  <rowItems count="7">
    <i>
      <x/>
    </i>
    <i>
      <x v="1"/>
    </i>
    <i>
      <x v="2"/>
    </i>
    <i>
      <x v="3"/>
    </i>
    <i>
      <x v="4"/>
    </i>
    <i>
      <x v="5"/>
    </i>
    <i t="grand">
      <x/>
    </i>
  </rowItems>
  <colItems count="1">
    <i/>
  </colItems>
  <dataFields count="1">
    <dataField name="Average of avg_premium_sold" fld="5" subtotal="average" baseField="1" baseItem="0" numFmtId="2"/>
  </dataFields>
  <formats count="15">
    <format dxfId="78">
      <pivotArea type="all" dataOnly="0" outline="0" fieldPosition="0"/>
    </format>
    <format dxfId="77">
      <pivotArea outline="0" collapsedLevelsAreSubtotals="1" fieldPosition="0"/>
    </format>
    <format dxfId="76">
      <pivotArea field="1" type="button" dataOnly="0" labelOnly="1" outline="0" axis="axisRow" fieldPosition="0"/>
    </format>
    <format dxfId="75">
      <pivotArea dataOnly="0" labelOnly="1" fieldPosition="0">
        <references count="1">
          <reference field="1" count="0"/>
        </references>
      </pivotArea>
    </format>
    <format dxfId="74">
      <pivotArea dataOnly="0" labelOnly="1" grandRow="1" outline="0" fieldPosition="0"/>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field="1" type="button" dataOnly="0" labelOnly="1" outline="0" axis="axisRow" fieldPosition="0"/>
    </format>
    <format dxfId="69">
      <pivotArea dataOnly="0" labelOnly="1" fieldPosition="0">
        <references count="1">
          <reference field="1" count="0"/>
        </references>
      </pivotArea>
    </format>
    <format dxfId="68">
      <pivotArea dataOnly="0" labelOnly="1" grandRow="1" outline="0" fieldPosition="0"/>
    </format>
    <format dxfId="67">
      <pivotArea dataOnly="0" labelOnly="1" outline="0" axis="axisValues" fieldPosition="0"/>
    </format>
    <format dxfId="66">
      <pivotArea field="1" type="button" dataOnly="0" labelOnly="1" outline="0" axis="axisRow" fieldPosition="0"/>
    </format>
    <format dxfId="65">
      <pivotArea dataOnly="0" labelOnly="1" fieldPosition="0">
        <references count="1">
          <reference field="1" count="0"/>
        </references>
      </pivotArea>
    </format>
    <format dxfId="64">
      <pivotArea dataOnly="0" labelOnly="1" grandRow="1" outline="0"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3C360E3B-BF3C-478B-B6E8-A2CE3011F75B}" autoFormatId="16" applyNumberFormats="0" applyBorderFormats="0" applyFontFormats="0" applyPatternFormats="0" applyAlignmentFormats="0" applyWidthHeightFormats="0">
  <queryTableRefresh nextId="10" unboundColumnsRight="1">
    <queryTableFields count="8">
      <queryTableField id="1" name="agent_id" tableColumnId="1"/>
      <queryTableField id="2" name="region" tableColumnId="2"/>
      <queryTableField id="3" name="join_date" tableColumnId="3"/>
      <queryTableField id="4" name="total_policies_sold" tableColumnId="4"/>
      <queryTableField id="5" name="lapsed_policies" tableColumnId="5"/>
      <queryTableField id="6" name="avg_premium_sold" tableColumnId="6"/>
      <queryTableField id="7" name="fraud_association" tableColumnId="7"/>
      <queryTableField id="8" dataBound="0"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AEB8DF-DD3F-4AEF-ADFA-457C7AC85A10}" sourceName="region">
  <pivotTables>
    <pivotTable tabId="6" name="PivotTable10"/>
    <pivotTable tabId="6" name="PivotTable11"/>
    <pivotTable tabId="6" name="PivotTable12"/>
    <pivotTable tabId="6" name="PivotTable13"/>
    <pivotTable tabId="6" name="PivotTable14"/>
    <pivotTable tabId="6" name="PivotTable15"/>
  </pivotTables>
  <data>
    <tabular pivotCacheId="1163144690">
      <items count="6">
        <i x="4" s="1"/>
        <i x="5" s="1"/>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in_date" xr10:uid="{B671E3E0-6C06-44C0-9187-9E103D9AAE6C}" sourceName="join_date">
  <pivotTables>
    <pivotTable tabId="6" name="PivotTable10"/>
    <pivotTable tabId="6" name="PivotTable11"/>
    <pivotTable tabId="6" name="PivotTable12"/>
    <pivotTable tabId="6" name="PivotTable13"/>
    <pivotTable tabId="6" name="PivotTable14"/>
    <pivotTable tabId="6" name="PivotTable15"/>
  </pivotTables>
  <data>
    <tabular pivotCacheId="1163144690">
      <items count="283">
        <i x="14" s="1"/>
        <i x="152" s="1"/>
        <i x="187" s="1"/>
        <i x="75" s="1"/>
        <i x="180" s="1"/>
        <i x="233" s="1"/>
        <i x="123" s="1"/>
        <i x="122" s="1"/>
        <i x="205" s="1"/>
        <i x="80" s="1"/>
        <i x="177" s="1"/>
        <i x="8" s="1"/>
        <i x="38" s="1"/>
        <i x="163" s="1"/>
        <i x="18" s="1"/>
        <i x="45" s="1"/>
        <i x="196" s="1"/>
        <i x="77" s="1"/>
        <i x="174" s="1"/>
        <i x="211" s="1"/>
        <i x="164" s="1"/>
        <i x="171" s="1"/>
        <i x="10" s="1"/>
        <i x="157" s="1"/>
        <i x="9" s="1"/>
        <i x="21" s="1"/>
        <i x="41" s="1"/>
        <i x="276" s="1"/>
        <i x="194" s="1"/>
        <i x="266" s="1"/>
        <i x="0" s="1"/>
        <i x="32" s="1"/>
        <i x="25" s="1"/>
        <i x="234" s="1"/>
        <i x="145" s="1"/>
        <i x="154" s="1"/>
        <i x="55" s="1"/>
        <i x="3" s="1"/>
        <i x="267" s="1"/>
        <i x="101" s="1"/>
        <i x="237" s="1"/>
        <i x="170" s="1"/>
        <i x="30" s="1"/>
        <i x="269" s="1"/>
        <i x="265" s="1"/>
        <i x="275" s="1"/>
        <i x="252" s="1"/>
        <i x="66" s="1"/>
        <i x="2" s="1"/>
        <i x="222" s="1"/>
        <i x="214" s="1"/>
        <i x="27" s="1"/>
        <i x="50" s="1"/>
        <i x="142" s="1"/>
        <i x="1" s="1"/>
        <i x="232" s="1"/>
        <i x="24" s="1"/>
        <i x="61" s="1"/>
        <i x="62" s="1"/>
        <i x="34" s="1"/>
        <i x="40" s="1"/>
        <i x="262" s="1"/>
        <i x="136" s="1"/>
        <i x="190" s="1"/>
        <i x="72" s="1"/>
        <i x="49" s="1"/>
        <i x="111" s="1"/>
        <i x="84" s="1"/>
        <i x="261" s="1"/>
        <i x="248" s="1"/>
        <i x="227" s="1"/>
        <i x="54" s="1"/>
        <i x="186" s="1"/>
        <i x="121" s="1"/>
        <i x="76" s="1"/>
        <i x="12" s="1"/>
        <i x="129" s="1"/>
        <i x="210" s="1"/>
        <i x="165" s="1"/>
        <i x="258" s="1"/>
        <i x="241" s="1"/>
        <i x="110" s="1"/>
        <i x="260" s="1"/>
        <i x="279" s="1"/>
        <i x="176" s="1"/>
        <i x="179" s="1"/>
        <i x="192" s="1"/>
        <i x="22" s="1"/>
        <i x="282" s="1"/>
        <i x="146" s="1"/>
        <i x="67" s="1"/>
        <i x="249" s="1"/>
        <i x="270" s="1"/>
        <i x="158" s="1"/>
        <i x="133" s="1"/>
        <i x="53" s="1"/>
        <i x="219" s="1"/>
        <i x="195" s="1"/>
        <i x="131" s="1"/>
        <i x="35" s="1"/>
        <i x="105" s="1"/>
        <i x="92" s="1"/>
        <i x="97" s="1"/>
        <i x="201" s="1"/>
        <i x="159" s="1"/>
        <i x="200" s="1"/>
        <i x="240" s="1"/>
        <i x="208" s="1"/>
        <i x="19" s="1"/>
        <i x="217" s="1"/>
        <i x="228" s="1"/>
        <i x="183" s="1"/>
        <i x="114" s="1"/>
        <i x="203" s="1"/>
        <i x="128" s="1"/>
        <i x="273" s="1"/>
        <i x="230" s="1"/>
        <i x="78" s="1"/>
        <i x="125" s="1"/>
        <i x="98" s="1"/>
        <i x="20" s="1"/>
        <i x="118" s="1"/>
        <i x="71" s="1"/>
        <i x="278" s="1"/>
        <i x="153" s="1"/>
        <i x="89" s="1"/>
        <i x="37" s="1"/>
        <i x="7" s="1"/>
        <i x="57" s="1"/>
        <i x="43" s="1"/>
        <i x="127" s="1"/>
        <i x="48" s="1"/>
        <i x="28" s="1"/>
        <i x="132" s="1"/>
        <i x="250" s="1"/>
        <i x="197" s="1"/>
        <i x="99" s="1"/>
        <i x="104" s="1"/>
        <i x="229" s="1"/>
        <i x="47" s="1"/>
        <i x="243" s="1"/>
        <i x="134" s="1"/>
        <i x="253" s="1"/>
        <i x="216" s="1"/>
        <i x="155" s="1"/>
        <i x="263" s="1"/>
        <i x="167" s="1"/>
        <i x="150" s="1"/>
        <i x="140" s="1"/>
        <i x="168" s="1"/>
        <i x="181" s="1"/>
        <i x="112" s="1"/>
        <i x="85" s="1"/>
        <i x="11" s="1"/>
        <i x="26" s="1"/>
        <i x="207" s="1"/>
        <i x="189" s="1"/>
        <i x="246" s="1"/>
        <i x="126" s="1"/>
        <i x="148" s="1"/>
        <i x="182" s="1"/>
        <i x="257" s="1"/>
        <i x="63" s="1"/>
        <i x="162" s="1"/>
        <i x="272" s="1"/>
        <i x="185" s="1"/>
        <i x="94" s="1"/>
        <i x="138" s="1"/>
        <i x="135" s="1"/>
        <i x="82" s="1"/>
        <i x="52" s="1"/>
        <i x="117" s="1"/>
        <i x="277" s="1"/>
        <i x="247" s="1"/>
        <i x="202" s="1"/>
        <i x="79" s="1"/>
        <i x="88" s="1"/>
        <i x="268" s="1"/>
        <i x="191" s="1"/>
        <i x="31" s="1"/>
        <i x="184" s="1"/>
        <i x="166" s="1"/>
        <i x="83" s="1"/>
        <i x="69" s="1"/>
        <i x="103" s="1"/>
        <i x="151" s="1"/>
        <i x="281" s="1"/>
        <i x="178" s="1"/>
        <i x="100" s="1"/>
        <i x="70" s="1"/>
        <i x="56" s="1"/>
        <i x="15" s="1"/>
        <i x="106" s="1"/>
        <i x="147" s="1"/>
        <i x="238" s="1"/>
        <i x="218" s="1"/>
        <i x="199" s="1"/>
        <i x="17" s="1"/>
        <i x="139" s="1"/>
        <i x="33" s="1"/>
        <i x="259" s="1"/>
        <i x="221" s="1"/>
        <i x="74" s="1"/>
        <i x="264" s="1"/>
        <i x="93" s="1"/>
        <i x="280" s="1"/>
        <i x="212" s="1"/>
        <i x="59" s="1"/>
        <i x="115" s="1"/>
        <i x="58" s="1"/>
        <i x="209" s="1"/>
        <i x="73" s="1"/>
        <i x="109" s="1"/>
        <i x="137" s="1"/>
        <i x="68" s="1"/>
        <i x="188" s="1"/>
        <i x="239" s="1"/>
        <i x="156" s="1"/>
        <i x="113" s="1"/>
        <i x="215" s="1"/>
        <i x="161" s="1"/>
        <i x="245" s="1"/>
        <i x="144" s="1"/>
        <i x="160" s="1"/>
        <i x="130" s="1"/>
        <i x="173" s="1"/>
        <i x="271" s="1"/>
        <i x="23" s="1"/>
        <i x="5" s="1"/>
        <i x="225" s="1"/>
        <i x="81" s="1"/>
        <i x="107" s="1"/>
        <i x="220" s="1"/>
        <i x="13" s="1"/>
        <i x="223" s="1"/>
        <i x="226" s="1"/>
        <i x="204" s="1"/>
        <i x="116" s="1"/>
        <i x="254" s="1"/>
        <i x="36" s="1"/>
        <i x="95" s="1"/>
        <i x="198" s="1"/>
        <i x="90" s="1"/>
        <i x="141" s="1"/>
        <i x="169" s="1"/>
        <i x="224" s="1"/>
        <i x="236" s="1"/>
        <i x="149" s="1"/>
        <i x="6" s="1"/>
        <i x="65" s="1"/>
        <i x="16" s="1"/>
        <i x="119" s="1"/>
        <i x="29" s="1"/>
        <i x="274" s="1"/>
        <i x="86" s="1"/>
        <i x="108" s="1"/>
        <i x="235" s="1"/>
        <i x="44" s="1"/>
        <i x="91" s="1"/>
        <i x="96" s="1"/>
        <i x="256" s="1"/>
        <i x="193" s="1"/>
        <i x="124" s="1"/>
        <i x="175" s="1"/>
        <i x="120" s="1"/>
        <i x="242" s="1"/>
        <i x="51" s="1"/>
        <i x="231" s="1"/>
        <i x="172" s="1"/>
        <i x="255" s="1"/>
        <i x="42" s="1"/>
        <i x="206" s="1"/>
        <i x="251" s="1"/>
        <i x="60" s="1"/>
        <i x="102" s="1"/>
        <i x="64" s="1"/>
        <i x="46" s="1"/>
        <i x="143" s="1"/>
        <i x="4" s="1"/>
        <i x="244" s="1"/>
        <i x="39" s="1"/>
        <i x="213" s="1"/>
        <i x="8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aud_association" xr10:uid="{577CCA06-AD51-44DB-8E68-2ECD7118FCFA}" sourceName="fraud_association">
  <pivotTables>
    <pivotTable tabId="6" name="PivotTable10"/>
    <pivotTable tabId="6" name="PivotTable11"/>
    <pivotTable tabId="6" name="PivotTable12"/>
    <pivotTable tabId="6" name="PivotTable13"/>
    <pivotTable tabId="6" name="PivotTable14"/>
    <pivotTable tabId="6" name="PivotTable15"/>
  </pivotTables>
  <data>
    <tabular pivotCacheId="1163144690">
      <items count="10">
        <i x="6" s="1"/>
        <i x="8" s="1"/>
        <i x="0" s="1"/>
        <i x="2" s="1"/>
        <i x="4" s="1"/>
        <i x="1" s="1"/>
        <i x="3" s="1"/>
        <i x="9" s="1"/>
        <i x="5"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Years" xr10:uid="{4BC94450-1A8D-4B2E-9F60-BF811EB76F9A}" sourceName="Experience_Years">
  <pivotTables>
    <pivotTable tabId="6" name="PivotTable10"/>
    <pivotTable tabId="6" name="PivotTable11"/>
    <pivotTable tabId="6" name="PivotTable12"/>
    <pivotTable tabId="6" name="PivotTable13"/>
    <pivotTable tabId="6" name="PivotTable14"/>
    <pivotTable tabId="6" name="PivotTable15"/>
  </pivotTables>
  <data>
    <tabular pivotCacheId="1163144690">
      <items count="9">
        <i x="2" s="1"/>
        <i x="4" s="1"/>
        <i x="3" s="1"/>
        <i x="7" s="1"/>
        <i x="5" s="1"/>
        <i x="8"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0BAAE81-F2FE-4D6D-9734-D6ECE82FBFEC}" cache="Slicer_region" caption="region" startItem="4" columnCount="2" style="SlicerStyleLight4" rowHeight="234950"/>
  <slicer name="join_date" xr10:uid="{C728807A-8936-41B7-A2BB-E8F35DE740AA}" cache="Slicer_join_date" caption="join_date" style="SlicerStyleLight4" rowHeight="234950"/>
  <slicer name="fraud_association" xr10:uid="{F2566D4B-3DC8-4F72-AB8E-4A4CCAD34C4D}" cache="Slicer_fraud_association" caption="fraud_association" columnCount="2" style="SlicerStyleLight4" rowHeight="234950"/>
  <slicer name="Experience_Years" xr10:uid="{1A7CD032-5F54-4874-B2DC-5D2646240CFE}" cache="Slicer_Experience_Years" caption="Experience_Years" columnCount="2" style="SlicerStyleLigh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09CFFC-6C91-4E18-AAE2-B7002EA7286A}" name="Sheet1" displayName="Sheet1" ref="A1:H301" tableType="queryTable" totalsRowShown="0">
  <autoFilter ref="A1:H301" xr:uid="{A809CFFC-6C91-4E18-AAE2-B7002EA7286A}"/>
  <tableColumns count="8">
    <tableColumn id="1" xr3:uid="{1EAE76FB-DAF8-4B10-8ED4-121B949F7CA3}" uniqueName="1" name="agent_id" queryTableFieldId="1" dataDxfId="82"/>
    <tableColumn id="2" xr3:uid="{289D9233-8319-4DAF-80CF-FD474443B492}" uniqueName="2" name="region" queryTableFieldId="2" dataDxfId="81"/>
    <tableColumn id="3" xr3:uid="{D41F2A04-F262-4BFC-88D3-89705729ECA9}" uniqueName="3" name="join_date" queryTableFieldId="3" dataDxfId="80"/>
    <tableColumn id="4" xr3:uid="{9F8B5051-EBC6-4DAD-B805-9A7979A92E02}" uniqueName="4" name="total_policies_sold" queryTableFieldId="4"/>
    <tableColumn id="5" xr3:uid="{35D1E733-B423-4ABF-BEDA-749ACB93F41C}" uniqueName="5" name="lapsed_policies" queryTableFieldId="5"/>
    <tableColumn id="6" xr3:uid="{69071E6B-C154-4B67-AD21-113BE22CE221}" uniqueName="6" name="avg_premium_sold" queryTableFieldId="6"/>
    <tableColumn id="7" xr3:uid="{8DB96F99-84D2-4975-93D7-F7D18EB8F277}" uniqueName="7" name="fraud_association" queryTableFieldId="7"/>
    <tableColumn id="8" xr3:uid="{8E9F9CC3-8184-4454-A18F-48D42EB77DB3}" uniqueName="8" name="Experience_Years" queryTableFieldId="8" dataDxfId="79">
      <calculatedColumnFormula>DATEDIF(Sheet1[[#This Row],[join_date]],TODAY(),"Y")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DE194-7CEE-4953-AA08-444B70C2B1CA}">
  <dimension ref="A1:G301"/>
  <sheetViews>
    <sheetView topLeftCell="A16" workbookViewId="0">
      <selection activeCell="J5" sqref="J5"/>
    </sheetView>
  </sheetViews>
  <sheetFormatPr defaultRowHeight="14.4" x14ac:dyDescent="0.3"/>
  <cols>
    <col min="1" max="1" width="11.6640625" customWidth="1"/>
    <col min="2" max="2" width="13.5546875" customWidth="1"/>
    <col min="3" max="3" width="18.109375" bestFit="1" customWidth="1"/>
    <col min="4" max="4" width="16.6640625" bestFit="1" customWidth="1"/>
    <col min="5" max="5" width="13.77734375" bestFit="1" customWidth="1"/>
    <col min="6" max="6" width="20.44140625" customWidth="1"/>
    <col min="7" max="7" width="16" bestFit="1" customWidth="1"/>
  </cols>
  <sheetData>
    <row r="1" spans="1:7" x14ac:dyDescent="0.3">
      <c r="A1" s="2" t="s">
        <v>0</v>
      </c>
      <c r="B1" s="2" t="s">
        <v>1</v>
      </c>
      <c r="C1" s="2" t="s">
        <v>2</v>
      </c>
      <c r="D1" s="2" t="s">
        <v>3</v>
      </c>
      <c r="E1" s="2" t="s">
        <v>4</v>
      </c>
      <c r="F1" s="2" t="s">
        <v>5</v>
      </c>
      <c r="G1" s="2" t="s">
        <v>6</v>
      </c>
    </row>
    <row r="2" spans="1:7" x14ac:dyDescent="0.3">
      <c r="A2" t="s">
        <v>7</v>
      </c>
      <c r="B2" t="s">
        <v>8</v>
      </c>
      <c r="C2" s="3">
        <v>42415</v>
      </c>
      <c r="D2">
        <v>196</v>
      </c>
      <c r="E2">
        <v>42</v>
      </c>
      <c r="F2">
        <v>37018.35</v>
      </c>
      <c r="G2">
        <v>8</v>
      </c>
    </row>
    <row r="3" spans="1:7" x14ac:dyDescent="0.3">
      <c r="A3" t="s">
        <v>9</v>
      </c>
      <c r="B3" t="s">
        <v>8</v>
      </c>
      <c r="C3" s="3">
        <v>42618</v>
      </c>
      <c r="D3">
        <v>189</v>
      </c>
      <c r="E3">
        <v>28</v>
      </c>
      <c r="F3">
        <v>48370.36</v>
      </c>
      <c r="G3">
        <v>5</v>
      </c>
    </row>
    <row r="4" spans="1:7" x14ac:dyDescent="0.3">
      <c r="A4" t="s">
        <v>10</v>
      </c>
      <c r="B4" t="s">
        <v>11</v>
      </c>
      <c r="C4" s="3">
        <v>42547</v>
      </c>
      <c r="D4">
        <v>66</v>
      </c>
      <c r="E4">
        <v>0</v>
      </c>
      <c r="F4">
        <v>10489.65</v>
      </c>
      <c r="G4">
        <v>3</v>
      </c>
    </row>
    <row r="5" spans="1:7" x14ac:dyDescent="0.3">
      <c r="A5" t="s">
        <v>12</v>
      </c>
      <c r="B5" t="s">
        <v>13</v>
      </c>
      <c r="C5" s="3">
        <v>42483</v>
      </c>
      <c r="D5">
        <v>250</v>
      </c>
      <c r="E5">
        <v>3</v>
      </c>
      <c r="F5">
        <v>12415.84</v>
      </c>
      <c r="G5">
        <v>6</v>
      </c>
    </row>
    <row r="6" spans="1:7" x14ac:dyDescent="0.3">
      <c r="A6" t="s">
        <v>14</v>
      </c>
      <c r="B6" t="s">
        <v>11</v>
      </c>
      <c r="C6" s="3">
        <v>44881</v>
      </c>
      <c r="D6">
        <v>263</v>
      </c>
      <c r="E6">
        <v>69</v>
      </c>
      <c r="F6">
        <v>24057.14</v>
      </c>
      <c r="G6">
        <v>4</v>
      </c>
    </row>
    <row r="7" spans="1:7" x14ac:dyDescent="0.3">
      <c r="A7" t="s">
        <v>15</v>
      </c>
      <c r="B7" t="s">
        <v>16</v>
      </c>
      <c r="C7" s="3">
        <v>44297</v>
      </c>
      <c r="D7">
        <v>122</v>
      </c>
      <c r="E7">
        <v>30</v>
      </c>
      <c r="F7">
        <v>47203.01</v>
      </c>
      <c r="G7">
        <v>8</v>
      </c>
    </row>
    <row r="8" spans="1:7" x14ac:dyDescent="0.3">
      <c r="A8" t="s">
        <v>17</v>
      </c>
      <c r="B8" t="s">
        <v>11</v>
      </c>
      <c r="C8" s="3">
        <v>44520</v>
      </c>
      <c r="D8">
        <v>121</v>
      </c>
      <c r="E8">
        <v>9</v>
      </c>
      <c r="F8">
        <v>34370.199999999997</v>
      </c>
      <c r="G8">
        <v>5</v>
      </c>
    </row>
    <row r="9" spans="1:7" x14ac:dyDescent="0.3">
      <c r="A9" t="s">
        <v>18</v>
      </c>
      <c r="B9" t="s">
        <v>8</v>
      </c>
      <c r="C9" s="3">
        <v>43310</v>
      </c>
      <c r="D9">
        <v>281</v>
      </c>
      <c r="E9">
        <v>43</v>
      </c>
      <c r="F9">
        <v>22272.080000000002</v>
      </c>
      <c r="G9">
        <v>0</v>
      </c>
    </row>
    <row r="10" spans="1:7" x14ac:dyDescent="0.3">
      <c r="A10" t="s">
        <v>19</v>
      </c>
      <c r="B10" t="s">
        <v>8</v>
      </c>
      <c r="C10" s="3">
        <v>42151</v>
      </c>
      <c r="D10">
        <v>95</v>
      </c>
      <c r="E10">
        <v>1</v>
      </c>
      <c r="F10">
        <v>41526.04</v>
      </c>
      <c r="G10">
        <v>8</v>
      </c>
    </row>
    <row r="11" spans="1:7" x14ac:dyDescent="0.3">
      <c r="A11" t="s">
        <v>20</v>
      </c>
      <c r="B11" t="s">
        <v>8</v>
      </c>
      <c r="C11" s="3">
        <v>42318</v>
      </c>
      <c r="D11">
        <v>78</v>
      </c>
      <c r="E11">
        <v>18</v>
      </c>
      <c r="F11">
        <v>23533.56</v>
      </c>
      <c r="G11">
        <v>9</v>
      </c>
    </row>
    <row r="12" spans="1:7" x14ac:dyDescent="0.3">
      <c r="A12" t="s">
        <v>21</v>
      </c>
      <c r="B12" t="s">
        <v>22</v>
      </c>
      <c r="C12" s="3">
        <v>42284</v>
      </c>
      <c r="D12">
        <v>198</v>
      </c>
      <c r="E12">
        <v>42</v>
      </c>
      <c r="F12">
        <v>42112.09</v>
      </c>
      <c r="G12">
        <v>3</v>
      </c>
    </row>
    <row r="13" spans="1:7" x14ac:dyDescent="0.3">
      <c r="A13" t="s">
        <v>23</v>
      </c>
      <c r="B13" t="s">
        <v>13</v>
      </c>
      <c r="C13" s="3">
        <v>43556</v>
      </c>
      <c r="D13">
        <v>190</v>
      </c>
      <c r="E13">
        <v>38</v>
      </c>
      <c r="F13">
        <v>18546.41</v>
      </c>
      <c r="G13">
        <v>6</v>
      </c>
    </row>
    <row r="14" spans="1:7" x14ac:dyDescent="0.3">
      <c r="A14" t="s">
        <v>24</v>
      </c>
      <c r="B14" t="s">
        <v>22</v>
      </c>
      <c r="C14" s="3">
        <v>42807</v>
      </c>
      <c r="D14">
        <v>133</v>
      </c>
      <c r="E14">
        <v>9</v>
      </c>
      <c r="F14">
        <v>49655.93</v>
      </c>
      <c r="G14">
        <v>3</v>
      </c>
    </row>
    <row r="15" spans="1:7" x14ac:dyDescent="0.3">
      <c r="A15" t="s">
        <v>25</v>
      </c>
      <c r="B15" t="s">
        <v>26</v>
      </c>
      <c r="C15" s="3">
        <v>44413</v>
      </c>
      <c r="D15">
        <v>91</v>
      </c>
      <c r="E15">
        <v>3</v>
      </c>
      <c r="F15">
        <v>33781.519999999997</v>
      </c>
      <c r="G15">
        <v>4</v>
      </c>
    </row>
    <row r="16" spans="1:7" x14ac:dyDescent="0.3">
      <c r="A16" t="s">
        <v>27</v>
      </c>
      <c r="B16" t="s">
        <v>8</v>
      </c>
      <c r="C16" s="3">
        <v>42026</v>
      </c>
      <c r="D16">
        <v>153</v>
      </c>
      <c r="E16">
        <v>15</v>
      </c>
      <c r="F16">
        <v>46025.27</v>
      </c>
      <c r="G16">
        <v>1</v>
      </c>
    </row>
    <row r="17" spans="1:7" x14ac:dyDescent="0.3">
      <c r="A17" t="s">
        <v>28</v>
      </c>
      <c r="B17" t="s">
        <v>16</v>
      </c>
      <c r="C17" s="3">
        <v>43902</v>
      </c>
      <c r="D17">
        <v>134</v>
      </c>
      <c r="E17">
        <v>30</v>
      </c>
      <c r="F17">
        <v>5500.34</v>
      </c>
      <c r="G17">
        <v>8</v>
      </c>
    </row>
    <row r="18" spans="1:7" x14ac:dyDescent="0.3">
      <c r="A18" t="s">
        <v>29</v>
      </c>
      <c r="B18" t="s">
        <v>16</v>
      </c>
      <c r="C18" s="3">
        <v>44528</v>
      </c>
      <c r="D18">
        <v>292</v>
      </c>
      <c r="E18">
        <v>39</v>
      </c>
      <c r="F18">
        <v>33845.519999999997</v>
      </c>
      <c r="G18">
        <v>6</v>
      </c>
    </row>
    <row r="19" spans="1:7" x14ac:dyDescent="0.3">
      <c r="A19" t="s">
        <v>30</v>
      </c>
      <c r="B19" t="s">
        <v>22</v>
      </c>
      <c r="C19" s="3">
        <v>43958</v>
      </c>
      <c r="D19">
        <v>186</v>
      </c>
      <c r="E19">
        <v>20</v>
      </c>
      <c r="F19">
        <v>28027.759999999998</v>
      </c>
      <c r="G19">
        <v>2</v>
      </c>
    </row>
    <row r="20" spans="1:7" x14ac:dyDescent="0.3">
      <c r="A20" t="s">
        <v>31</v>
      </c>
      <c r="B20" t="s">
        <v>8</v>
      </c>
      <c r="C20" s="3">
        <v>42167</v>
      </c>
      <c r="D20">
        <v>139</v>
      </c>
      <c r="E20">
        <v>13</v>
      </c>
      <c r="F20">
        <v>27457.439999999999</v>
      </c>
      <c r="G20">
        <v>5</v>
      </c>
    </row>
    <row r="21" spans="1:7" x14ac:dyDescent="0.3">
      <c r="A21" t="s">
        <v>32</v>
      </c>
      <c r="B21" t="s">
        <v>8</v>
      </c>
      <c r="C21" s="3">
        <v>43158</v>
      </c>
      <c r="D21">
        <v>260</v>
      </c>
      <c r="E21">
        <v>4</v>
      </c>
      <c r="F21">
        <v>42252.38</v>
      </c>
      <c r="G21">
        <v>7</v>
      </c>
    </row>
    <row r="22" spans="1:7" x14ac:dyDescent="0.3">
      <c r="A22" t="s">
        <v>33</v>
      </c>
      <c r="B22" t="s">
        <v>22</v>
      </c>
      <c r="C22" s="3">
        <v>43253</v>
      </c>
      <c r="D22">
        <v>292</v>
      </c>
      <c r="E22">
        <v>19</v>
      </c>
      <c r="F22">
        <v>44069.11</v>
      </c>
      <c r="G22">
        <v>2</v>
      </c>
    </row>
    <row r="23" spans="1:7" x14ac:dyDescent="0.3">
      <c r="A23" t="s">
        <v>34</v>
      </c>
      <c r="B23" t="s">
        <v>8</v>
      </c>
      <c r="C23" s="3">
        <v>42339</v>
      </c>
      <c r="D23">
        <v>107</v>
      </c>
      <c r="E23">
        <v>26</v>
      </c>
      <c r="F23">
        <v>19963.41</v>
      </c>
      <c r="G23">
        <v>8</v>
      </c>
    </row>
    <row r="24" spans="1:7" x14ac:dyDescent="0.3">
      <c r="A24" t="s">
        <v>35</v>
      </c>
      <c r="B24" t="s">
        <v>16</v>
      </c>
      <c r="C24" s="3">
        <v>42944</v>
      </c>
      <c r="D24">
        <v>212</v>
      </c>
      <c r="E24">
        <v>43</v>
      </c>
      <c r="F24">
        <v>14539.41</v>
      </c>
      <c r="G24">
        <v>1</v>
      </c>
    </row>
    <row r="25" spans="1:7" x14ac:dyDescent="0.3">
      <c r="A25" t="s">
        <v>36</v>
      </c>
      <c r="B25" t="s">
        <v>11</v>
      </c>
      <c r="C25" s="3">
        <v>44293</v>
      </c>
      <c r="D25">
        <v>204</v>
      </c>
      <c r="E25">
        <v>5</v>
      </c>
      <c r="F25">
        <v>41549.599999999999</v>
      </c>
      <c r="G25">
        <v>5</v>
      </c>
    </row>
    <row r="26" spans="1:7" x14ac:dyDescent="0.3">
      <c r="A26" t="s">
        <v>37</v>
      </c>
      <c r="B26" t="s">
        <v>11</v>
      </c>
      <c r="C26" s="3">
        <v>42626</v>
      </c>
      <c r="D26">
        <v>267</v>
      </c>
      <c r="E26">
        <v>16</v>
      </c>
      <c r="F26">
        <v>46581.91</v>
      </c>
      <c r="G26">
        <v>6</v>
      </c>
    </row>
    <row r="27" spans="1:7" x14ac:dyDescent="0.3">
      <c r="A27" t="s">
        <v>38</v>
      </c>
      <c r="B27" t="s">
        <v>26</v>
      </c>
      <c r="C27" s="3">
        <v>42464</v>
      </c>
      <c r="D27">
        <v>74</v>
      </c>
      <c r="E27">
        <v>6</v>
      </c>
      <c r="F27">
        <v>35478.699999999997</v>
      </c>
      <c r="G27">
        <v>1</v>
      </c>
    </row>
    <row r="28" spans="1:7" x14ac:dyDescent="0.3">
      <c r="A28" t="s">
        <v>39</v>
      </c>
      <c r="B28" t="s">
        <v>22</v>
      </c>
      <c r="C28" s="3">
        <v>43566</v>
      </c>
      <c r="D28">
        <v>81</v>
      </c>
      <c r="E28">
        <v>23</v>
      </c>
      <c r="F28">
        <v>48773.43</v>
      </c>
      <c r="G28">
        <v>8</v>
      </c>
    </row>
    <row r="29" spans="1:7" x14ac:dyDescent="0.3">
      <c r="A29" t="s">
        <v>40</v>
      </c>
      <c r="B29" t="s">
        <v>26</v>
      </c>
      <c r="C29" s="3">
        <v>42558</v>
      </c>
      <c r="D29">
        <v>122</v>
      </c>
      <c r="E29">
        <v>35</v>
      </c>
      <c r="F29">
        <v>22153.87</v>
      </c>
      <c r="G29">
        <v>1</v>
      </c>
    </row>
    <row r="30" spans="1:7" x14ac:dyDescent="0.3">
      <c r="A30" t="s">
        <v>41</v>
      </c>
      <c r="B30" t="s">
        <v>22</v>
      </c>
      <c r="C30" s="3">
        <v>43354</v>
      </c>
      <c r="D30">
        <v>222</v>
      </c>
      <c r="E30">
        <v>10</v>
      </c>
      <c r="F30">
        <v>17636.53</v>
      </c>
      <c r="G30">
        <v>9</v>
      </c>
    </row>
    <row r="31" spans="1:7" x14ac:dyDescent="0.3">
      <c r="A31" t="s">
        <v>42</v>
      </c>
      <c r="B31" t="s">
        <v>22</v>
      </c>
      <c r="C31" s="3">
        <v>44590</v>
      </c>
      <c r="D31">
        <v>250</v>
      </c>
      <c r="E31">
        <v>45</v>
      </c>
      <c r="F31">
        <v>20497.91</v>
      </c>
      <c r="G31">
        <v>4</v>
      </c>
    </row>
    <row r="32" spans="1:7" x14ac:dyDescent="0.3">
      <c r="A32" t="s">
        <v>43</v>
      </c>
      <c r="B32" t="s">
        <v>16</v>
      </c>
      <c r="C32" s="3">
        <v>42502</v>
      </c>
      <c r="D32">
        <v>203</v>
      </c>
      <c r="E32">
        <v>23</v>
      </c>
      <c r="F32">
        <v>17443.900000000001</v>
      </c>
      <c r="G32">
        <v>5</v>
      </c>
    </row>
    <row r="33" spans="1:7" x14ac:dyDescent="0.3">
      <c r="A33" t="s">
        <v>44</v>
      </c>
      <c r="B33" t="s">
        <v>16</v>
      </c>
      <c r="C33" s="3">
        <v>43832</v>
      </c>
      <c r="D33">
        <v>292</v>
      </c>
      <c r="E33">
        <v>18</v>
      </c>
      <c r="F33">
        <v>8209.32</v>
      </c>
      <c r="G33">
        <v>4</v>
      </c>
    </row>
    <row r="34" spans="1:7" x14ac:dyDescent="0.3">
      <c r="A34" t="s">
        <v>45</v>
      </c>
      <c r="B34" t="s">
        <v>11</v>
      </c>
      <c r="C34" s="3">
        <v>42449</v>
      </c>
      <c r="D34">
        <v>141</v>
      </c>
      <c r="E34">
        <v>36</v>
      </c>
      <c r="F34">
        <v>22604.02</v>
      </c>
      <c r="G34">
        <v>4</v>
      </c>
    </row>
    <row r="35" spans="1:7" x14ac:dyDescent="0.3">
      <c r="A35" t="s">
        <v>46</v>
      </c>
      <c r="B35" t="s">
        <v>8</v>
      </c>
      <c r="C35" s="3">
        <v>43990</v>
      </c>
      <c r="D35">
        <v>66</v>
      </c>
      <c r="E35">
        <v>3</v>
      </c>
      <c r="F35">
        <v>40479.839999999997</v>
      </c>
      <c r="G35">
        <v>7</v>
      </c>
    </row>
    <row r="36" spans="1:7" x14ac:dyDescent="0.3">
      <c r="A36" t="s">
        <v>47</v>
      </c>
      <c r="B36" t="s">
        <v>8</v>
      </c>
      <c r="C36" s="3">
        <v>42643</v>
      </c>
      <c r="D36">
        <v>198</v>
      </c>
      <c r="E36">
        <v>51</v>
      </c>
      <c r="F36">
        <v>10843.67</v>
      </c>
      <c r="G36">
        <v>7</v>
      </c>
    </row>
    <row r="37" spans="1:7" x14ac:dyDescent="0.3">
      <c r="A37" t="s">
        <v>48</v>
      </c>
      <c r="B37" t="s">
        <v>26</v>
      </c>
      <c r="C37" s="3">
        <v>43042</v>
      </c>
      <c r="D37">
        <v>224</v>
      </c>
      <c r="E37">
        <v>14</v>
      </c>
      <c r="F37">
        <v>48483.43</v>
      </c>
      <c r="G37">
        <v>4</v>
      </c>
    </row>
    <row r="38" spans="1:7" x14ac:dyDescent="0.3">
      <c r="A38" t="s">
        <v>49</v>
      </c>
      <c r="B38" t="s">
        <v>26</v>
      </c>
      <c r="C38" s="3">
        <v>44442</v>
      </c>
      <c r="D38">
        <v>272</v>
      </c>
      <c r="E38">
        <v>43</v>
      </c>
      <c r="F38">
        <v>33627.82</v>
      </c>
      <c r="G38">
        <v>0</v>
      </c>
    </row>
    <row r="39" spans="1:7" x14ac:dyDescent="0.3">
      <c r="A39" t="s">
        <v>50</v>
      </c>
      <c r="B39" t="s">
        <v>16</v>
      </c>
      <c r="C39" s="3">
        <v>43299</v>
      </c>
      <c r="D39">
        <v>207</v>
      </c>
      <c r="E39">
        <v>32</v>
      </c>
      <c r="F39">
        <v>14856.9</v>
      </c>
      <c r="G39">
        <v>9</v>
      </c>
    </row>
    <row r="40" spans="1:7" x14ac:dyDescent="0.3">
      <c r="A40" t="s">
        <v>51</v>
      </c>
      <c r="B40" t="s">
        <v>26</v>
      </c>
      <c r="C40" s="3">
        <v>42152</v>
      </c>
      <c r="D40">
        <v>60</v>
      </c>
      <c r="E40">
        <v>3</v>
      </c>
      <c r="F40">
        <v>36377.51</v>
      </c>
      <c r="G40">
        <v>9</v>
      </c>
    </row>
    <row r="41" spans="1:7" x14ac:dyDescent="0.3">
      <c r="A41" t="s">
        <v>52</v>
      </c>
      <c r="B41" t="s">
        <v>11</v>
      </c>
      <c r="C41" s="3">
        <v>44897</v>
      </c>
      <c r="D41">
        <v>52</v>
      </c>
      <c r="E41">
        <v>12</v>
      </c>
      <c r="F41">
        <v>42920.49</v>
      </c>
      <c r="G41">
        <v>5</v>
      </c>
    </row>
    <row r="42" spans="1:7" x14ac:dyDescent="0.3">
      <c r="A42" t="s">
        <v>53</v>
      </c>
      <c r="B42" t="s">
        <v>26</v>
      </c>
      <c r="C42" s="3">
        <v>42646</v>
      </c>
      <c r="D42">
        <v>131</v>
      </c>
      <c r="E42">
        <v>3</v>
      </c>
      <c r="F42">
        <v>28771.56</v>
      </c>
      <c r="G42">
        <v>4</v>
      </c>
    </row>
    <row r="43" spans="1:7" x14ac:dyDescent="0.3">
      <c r="A43" t="s">
        <v>54</v>
      </c>
      <c r="B43" t="s">
        <v>13</v>
      </c>
      <c r="C43" s="3">
        <v>42347</v>
      </c>
      <c r="D43">
        <v>149</v>
      </c>
      <c r="E43">
        <v>39</v>
      </c>
      <c r="F43">
        <v>43245.59</v>
      </c>
      <c r="G43">
        <v>3</v>
      </c>
    </row>
    <row r="44" spans="1:7" x14ac:dyDescent="0.3">
      <c r="A44" t="s">
        <v>55</v>
      </c>
      <c r="B44" t="s">
        <v>22</v>
      </c>
      <c r="C44" s="3">
        <v>44722</v>
      </c>
      <c r="D44">
        <v>296</v>
      </c>
      <c r="E44">
        <v>8</v>
      </c>
      <c r="F44">
        <v>9982.32</v>
      </c>
      <c r="G44">
        <v>2</v>
      </c>
    </row>
    <row r="45" spans="1:7" x14ac:dyDescent="0.3">
      <c r="A45" t="s">
        <v>56</v>
      </c>
      <c r="B45" t="s">
        <v>11</v>
      </c>
      <c r="C45" s="3">
        <v>43338</v>
      </c>
      <c r="D45">
        <v>98</v>
      </c>
      <c r="E45">
        <v>28</v>
      </c>
      <c r="F45">
        <v>46360.37</v>
      </c>
      <c r="G45">
        <v>4</v>
      </c>
    </row>
    <row r="46" spans="1:7" x14ac:dyDescent="0.3">
      <c r="A46" t="s">
        <v>57</v>
      </c>
      <c r="B46" t="s">
        <v>26</v>
      </c>
      <c r="C46" s="3">
        <v>44612</v>
      </c>
      <c r="D46">
        <v>209</v>
      </c>
      <c r="E46">
        <v>24</v>
      </c>
      <c r="F46">
        <v>8575.2800000000007</v>
      </c>
      <c r="G46">
        <v>0</v>
      </c>
    </row>
    <row r="47" spans="1:7" x14ac:dyDescent="0.3">
      <c r="A47" t="s">
        <v>58</v>
      </c>
      <c r="B47" t="s">
        <v>22</v>
      </c>
      <c r="C47" s="3">
        <v>42211</v>
      </c>
      <c r="D47">
        <v>281</v>
      </c>
      <c r="E47">
        <v>53</v>
      </c>
      <c r="F47">
        <v>47522.400000000001</v>
      </c>
      <c r="G47">
        <v>9</v>
      </c>
    </row>
    <row r="48" spans="1:7" x14ac:dyDescent="0.3">
      <c r="A48" t="s">
        <v>59</v>
      </c>
      <c r="B48" t="s">
        <v>26</v>
      </c>
      <c r="C48" s="3">
        <v>44853</v>
      </c>
      <c r="D48">
        <v>94</v>
      </c>
      <c r="E48">
        <v>10</v>
      </c>
      <c r="F48">
        <v>39246.31</v>
      </c>
      <c r="G48">
        <v>2</v>
      </c>
    </row>
    <row r="49" spans="1:7" x14ac:dyDescent="0.3">
      <c r="A49" t="s">
        <v>60</v>
      </c>
      <c r="B49" t="s">
        <v>16</v>
      </c>
      <c r="C49" s="3">
        <v>43419</v>
      </c>
      <c r="D49">
        <v>122</v>
      </c>
      <c r="E49">
        <v>9</v>
      </c>
      <c r="F49">
        <v>9034.98</v>
      </c>
      <c r="G49">
        <v>7</v>
      </c>
    </row>
    <row r="50" spans="1:7" x14ac:dyDescent="0.3">
      <c r="A50" t="s">
        <v>61</v>
      </c>
      <c r="B50" t="s">
        <v>22</v>
      </c>
      <c r="C50" s="3">
        <v>43351</v>
      </c>
      <c r="D50">
        <v>58</v>
      </c>
      <c r="E50">
        <v>2</v>
      </c>
      <c r="F50">
        <v>12093.78</v>
      </c>
      <c r="G50">
        <v>8</v>
      </c>
    </row>
    <row r="51" spans="1:7" x14ac:dyDescent="0.3">
      <c r="A51" t="s">
        <v>62</v>
      </c>
      <c r="B51" t="s">
        <v>8</v>
      </c>
      <c r="C51" s="3">
        <v>42703</v>
      </c>
      <c r="D51">
        <v>180</v>
      </c>
      <c r="E51">
        <v>45</v>
      </c>
      <c r="F51">
        <v>23745.58</v>
      </c>
      <c r="G51">
        <v>9</v>
      </c>
    </row>
    <row r="52" spans="1:7" x14ac:dyDescent="0.3">
      <c r="A52" t="s">
        <v>63</v>
      </c>
      <c r="B52" t="s">
        <v>26</v>
      </c>
      <c r="C52" s="3">
        <v>42585</v>
      </c>
      <c r="D52">
        <v>268</v>
      </c>
      <c r="E52">
        <v>11</v>
      </c>
      <c r="F52">
        <v>46369.63</v>
      </c>
      <c r="G52">
        <v>4</v>
      </c>
    </row>
    <row r="53" spans="1:7" x14ac:dyDescent="0.3">
      <c r="A53" t="s">
        <v>64</v>
      </c>
      <c r="B53" t="s">
        <v>26</v>
      </c>
      <c r="C53" s="3">
        <v>44670</v>
      </c>
      <c r="D53">
        <v>174</v>
      </c>
      <c r="E53">
        <v>15</v>
      </c>
      <c r="F53">
        <v>10618.25</v>
      </c>
      <c r="G53">
        <v>1</v>
      </c>
    </row>
    <row r="54" spans="1:7" x14ac:dyDescent="0.3">
      <c r="A54" t="s">
        <v>65</v>
      </c>
      <c r="B54" t="s">
        <v>11</v>
      </c>
      <c r="C54" s="3">
        <v>43720</v>
      </c>
      <c r="D54">
        <v>261</v>
      </c>
      <c r="E54">
        <v>66</v>
      </c>
      <c r="F54">
        <v>24451.360000000001</v>
      </c>
      <c r="G54">
        <v>4</v>
      </c>
    </row>
    <row r="55" spans="1:7" x14ac:dyDescent="0.3">
      <c r="A55" t="s">
        <v>66</v>
      </c>
      <c r="B55" t="s">
        <v>11</v>
      </c>
      <c r="C55" s="3">
        <v>43008</v>
      </c>
      <c r="D55">
        <v>165</v>
      </c>
      <c r="E55">
        <v>22</v>
      </c>
      <c r="F55">
        <v>30361.52</v>
      </c>
      <c r="G55">
        <v>1</v>
      </c>
    </row>
    <row r="56" spans="1:7" x14ac:dyDescent="0.3">
      <c r="A56" t="s">
        <v>67</v>
      </c>
      <c r="B56" t="s">
        <v>26</v>
      </c>
      <c r="C56" s="3">
        <v>42739</v>
      </c>
      <c r="D56">
        <v>202</v>
      </c>
      <c r="E56">
        <v>53</v>
      </c>
      <c r="F56">
        <v>34911.61</v>
      </c>
      <c r="G56">
        <v>7</v>
      </c>
    </row>
    <row r="57" spans="1:7" x14ac:dyDescent="0.3">
      <c r="A57" t="s">
        <v>68</v>
      </c>
      <c r="B57" t="s">
        <v>11</v>
      </c>
      <c r="C57" s="3">
        <v>42477</v>
      </c>
      <c r="D57">
        <v>154</v>
      </c>
      <c r="E57">
        <v>41</v>
      </c>
      <c r="F57">
        <v>23569.5</v>
      </c>
      <c r="G57">
        <v>5</v>
      </c>
    </row>
    <row r="58" spans="1:7" x14ac:dyDescent="0.3">
      <c r="A58" t="s">
        <v>69</v>
      </c>
      <c r="B58" t="s">
        <v>13</v>
      </c>
      <c r="C58" s="3">
        <v>43901</v>
      </c>
      <c r="D58">
        <v>50</v>
      </c>
      <c r="E58">
        <v>7</v>
      </c>
      <c r="F58">
        <v>27832.34</v>
      </c>
      <c r="G58">
        <v>8</v>
      </c>
    </row>
    <row r="59" spans="1:7" x14ac:dyDescent="0.3">
      <c r="A59" t="s">
        <v>70</v>
      </c>
      <c r="B59" t="s">
        <v>13</v>
      </c>
      <c r="C59" s="3">
        <v>43317</v>
      </c>
      <c r="D59">
        <v>293</v>
      </c>
      <c r="E59">
        <v>6</v>
      </c>
      <c r="F59">
        <v>43613.17</v>
      </c>
      <c r="G59">
        <v>6</v>
      </c>
    </row>
    <row r="60" spans="1:7" x14ac:dyDescent="0.3">
      <c r="A60" t="s">
        <v>71</v>
      </c>
      <c r="B60" t="s">
        <v>26</v>
      </c>
      <c r="C60" s="3">
        <v>44066</v>
      </c>
      <c r="D60">
        <v>146</v>
      </c>
      <c r="E60">
        <v>19</v>
      </c>
      <c r="F60">
        <v>9194.1299999999992</v>
      </c>
      <c r="G60">
        <v>3</v>
      </c>
    </row>
    <row r="61" spans="1:7" x14ac:dyDescent="0.3">
      <c r="A61" t="s">
        <v>72</v>
      </c>
      <c r="B61" t="s">
        <v>16</v>
      </c>
      <c r="C61" s="3">
        <v>44043</v>
      </c>
      <c r="D61">
        <v>73</v>
      </c>
      <c r="E61">
        <v>10</v>
      </c>
      <c r="F61">
        <v>39488.86</v>
      </c>
      <c r="G61">
        <v>5</v>
      </c>
    </row>
    <row r="62" spans="1:7" x14ac:dyDescent="0.3">
      <c r="A62" t="s">
        <v>73</v>
      </c>
      <c r="B62" t="s">
        <v>8</v>
      </c>
      <c r="C62" s="3">
        <v>44816</v>
      </c>
      <c r="D62">
        <v>83</v>
      </c>
      <c r="E62">
        <v>22</v>
      </c>
      <c r="F62">
        <v>9710.07</v>
      </c>
      <c r="G62">
        <v>0</v>
      </c>
    </row>
    <row r="63" spans="1:7" x14ac:dyDescent="0.3">
      <c r="A63" t="s">
        <v>74</v>
      </c>
      <c r="B63" t="s">
        <v>11</v>
      </c>
      <c r="C63" s="3">
        <v>42634</v>
      </c>
      <c r="D63">
        <v>73</v>
      </c>
      <c r="E63">
        <v>5</v>
      </c>
      <c r="F63">
        <v>39437.58</v>
      </c>
      <c r="G63">
        <v>3</v>
      </c>
    </row>
    <row r="64" spans="1:7" x14ac:dyDescent="0.3">
      <c r="A64" t="s">
        <v>75</v>
      </c>
      <c r="B64" t="s">
        <v>8</v>
      </c>
      <c r="C64" s="3">
        <v>42638</v>
      </c>
      <c r="D64">
        <v>292</v>
      </c>
      <c r="E64">
        <v>35</v>
      </c>
      <c r="F64">
        <v>13903.3</v>
      </c>
      <c r="G64">
        <v>4</v>
      </c>
    </row>
    <row r="65" spans="1:7" x14ac:dyDescent="0.3">
      <c r="A65" t="s">
        <v>76</v>
      </c>
      <c r="B65" t="s">
        <v>8</v>
      </c>
      <c r="C65" s="3">
        <v>43645</v>
      </c>
      <c r="D65">
        <v>222</v>
      </c>
      <c r="E65">
        <v>58</v>
      </c>
      <c r="F65">
        <v>29841.91</v>
      </c>
      <c r="G65">
        <v>5</v>
      </c>
    </row>
    <row r="66" spans="1:7" x14ac:dyDescent="0.3">
      <c r="A66" t="s">
        <v>77</v>
      </c>
      <c r="B66" t="s">
        <v>8</v>
      </c>
      <c r="C66" s="3">
        <v>44832</v>
      </c>
      <c r="D66">
        <v>171</v>
      </c>
      <c r="E66">
        <v>22</v>
      </c>
      <c r="F66">
        <v>24644.57</v>
      </c>
      <c r="G66">
        <v>1</v>
      </c>
    </row>
    <row r="67" spans="1:7" x14ac:dyDescent="0.3">
      <c r="A67" t="s">
        <v>78</v>
      </c>
      <c r="B67" t="s">
        <v>11</v>
      </c>
      <c r="C67" s="3">
        <v>44526</v>
      </c>
      <c r="D67">
        <v>236</v>
      </c>
      <c r="E67">
        <v>11</v>
      </c>
      <c r="F67">
        <v>7085.31</v>
      </c>
      <c r="G67">
        <v>0</v>
      </c>
    </row>
    <row r="68" spans="1:7" x14ac:dyDescent="0.3">
      <c r="A68" t="s">
        <v>79</v>
      </c>
      <c r="B68" t="s">
        <v>13</v>
      </c>
      <c r="C68" s="3">
        <v>42538</v>
      </c>
      <c r="D68">
        <v>233</v>
      </c>
      <c r="E68">
        <v>6</v>
      </c>
      <c r="F68">
        <v>9499.86</v>
      </c>
      <c r="G68">
        <v>2</v>
      </c>
    </row>
    <row r="69" spans="1:7" x14ac:dyDescent="0.3">
      <c r="A69" t="s">
        <v>80</v>
      </c>
      <c r="B69" t="s">
        <v>8</v>
      </c>
      <c r="C69" s="3">
        <v>42967</v>
      </c>
      <c r="D69">
        <v>254</v>
      </c>
      <c r="E69">
        <v>35</v>
      </c>
      <c r="F69">
        <v>15933.77</v>
      </c>
      <c r="G69">
        <v>0</v>
      </c>
    </row>
    <row r="70" spans="1:7" x14ac:dyDescent="0.3">
      <c r="A70" t="s">
        <v>81</v>
      </c>
      <c r="B70" t="s">
        <v>8</v>
      </c>
      <c r="C70" s="3">
        <v>44151</v>
      </c>
      <c r="D70">
        <v>153</v>
      </c>
      <c r="E70">
        <v>28</v>
      </c>
      <c r="F70">
        <v>34634.639999999999</v>
      </c>
      <c r="G70">
        <v>4</v>
      </c>
    </row>
    <row r="71" spans="1:7" x14ac:dyDescent="0.3">
      <c r="A71" t="s">
        <v>82</v>
      </c>
      <c r="B71" t="s">
        <v>16</v>
      </c>
      <c r="C71" s="3">
        <v>43846</v>
      </c>
      <c r="D71">
        <v>265</v>
      </c>
      <c r="E71">
        <v>40</v>
      </c>
      <c r="F71">
        <v>8661.49</v>
      </c>
      <c r="G71">
        <v>9</v>
      </c>
    </row>
    <row r="72" spans="1:7" x14ac:dyDescent="0.3">
      <c r="A72" t="s">
        <v>83</v>
      </c>
      <c r="B72" t="s">
        <v>16</v>
      </c>
      <c r="C72" s="3">
        <v>43898</v>
      </c>
      <c r="D72">
        <v>175</v>
      </c>
      <c r="E72">
        <v>47</v>
      </c>
      <c r="F72">
        <v>18022.02</v>
      </c>
      <c r="G72">
        <v>7</v>
      </c>
    </row>
    <row r="73" spans="1:7" x14ac:dyDescent="0.3">
      <c r="A73" t="s">
        <v>84</v>
      </c>
      <c r="B73" t="s">
        <v>26</v>
      </c>
      <c r="C73" s="3">
        <v>43263</v>
      </c>
      <c r="D73">
        <v>132</v>
      </c>
      <c r="E73">
        <v>18</v>
      </c>
      <c r="F73">
        <v>45352.53</v>
      </c>
      <c r="G73">
        <v>7</v>
      </c>
    </row>
    <row r="74" spans="1:7" x14ac:dyDescent="0.3">
      <c r="A74" t="s">
        <v>85</v>
      </c>
      <c r="B74" t="s">
        <v>22</v>
      </c>
      <c r="C74" s="3">
        <v>42689</v>
      </c>
      <c r="D74">
        <v>91</v>
      </c>
      <c r="E74">
        <v>10</v>
      </c>
      <c r="F74">
        <v>49756.05</v>
      </c>
      <c r="G74">
        <v>6</v>
      </c>
    </row>
    <row r="75" spans="1:7" x14ac:dyDescent="0.3">
      <c r="A75" t="s">
        <v>86</v>
      </c>
      <c r="B75" t="s">
        <v>11</v>
      </c>
      <c r="C75" s="3">
        <v>44095</v>
      </c>
      <c r="D75">
        <v>245</v>
      </c>
      <c r="E75">
        <v>52</v>
      </c>
      <c r="F75">
        <v>19732.46</v>
      </c>
      <c r="G75">
        <v>2</v>
      </c>
    </row>
    <row r="76" spans="1:7" x14ac:dyDescent="0.3">
      <c r="A76" t="s">
        <v>87</v>
      </c>
      <c r="B76" t="s">
        <v>13</v>
      </c>
      <c r="C76" s="3">
        <v>44008</v>
      </c>
      <c r="D76">
        <v>66</v>
      </c>
      <c r="E76">
        <v>11</v>
      </c>
      <c r="F76">
        <v>33479.269999999997</v>
      </c>
      <c r="G76">
        <v>3</v>
      </c>
    </row>
    <row r="77" spans="1:7" x14ac:dyDescent="0.3">
      <c r="A77" t="s">
        <v>88</v>
      </c>
      <c r="B77" t="s">
        <v>22</v>
      </c>
      <c r="C77" s="3">
        <v>42049</v>
      </c>
      <c r="D77">
        <v>60</v>
      </c>
      <c r="E77">
        <v>6</v>
      </c>
      <c r="F77">
        <v>28192.27</v>
      </c>
      <c r="G77">
        <v>8</v>
      </c>
    </row>
    <row r="78" spans="1:7" x14ac:dyDescent="0.3">
      <c r="A78" t="s">
        <v>89</v>
      </c>
      <c r="B78" t="s">
        <v>16</v>
      </c>
      <c r="C78" s="3">
        <v>42804</v>
      </c>
      <c r="D78">
        <v>267</v>
      </c>
      <c r="E78">
        <v>3</v>
      </c>
      <c r="F78">
        <v>11625.4</v>
      </c>
      <c r="G78">
        <v>2</v>
      </c>
    </row>
    <row r="79" spans="1:7" x14ac:dyDescent="0.3">
      <c r="A79" t="s">
        <v>90</v>
      </c>
      <c r="B79" t="s">
        <v>22</v>
      </c>
      <c r="C79" s="3">
        <v>42258</v>
      </c>
      <c r="D79">
        <v>267</v>
      </c>
      <c r="E79">
        <v>74</v>
      </c>
      <c r="F79">
        <v>41037.379999999997</v>
      </c>
      <c r="G79">
        <v>6</v>
      </c>
    </row>
    <row r="80" spans="1:7" x14ac:dyDescent="0.3">
      <c r="A80" t="s">
        <v>91</v>
      </c>
      <c r="B80" t="s">
        <v>8</v>
      </c>
      <c r="C80" s="3">
        <v>43230</v>
      </c>
      <c r="D80">
        <v>193</v>
      </c>
      <c r="E80">
        <v>36</v>
      </c>
      <c r="F80">
        <v>15870.41</v>
      </c>
      <c r="G80">
        <v>8</v>
      </c>
    </row>
    <row r="81" spans="1:7" x14ac:dyDescent="0.3">
      <c r="A81" t="s">
        <v>92</v>
      </c>
      <c r="B81" t="s">
        <v>22</v>
      </c>
      <c r="C81" s="3">
        <v>43776</v>
      </c>
      <c r="D81">
        <v>289</v>
      </c>
      <c r="E81">
        <v>84</v>
      </c>
      <c r="F81">
        <v>38713.449999999997</v>
      </c>
      <c r="G81">
        <v>9</v>
      </c>
    </row>
    <row r="82" spans="1:7" x14ac:dyDescent="0.3">
      <c r="A82" t="s">
        <v>93</v>
      </c>
      <c r="B82" t="s">
        <v>11</v>
      </c>
      <c r="C82" s="3">
        <v>42133</v>
      </c>
      <c r="D82">
        <v>287</v>
      </c>
      <c r="E82">
        <v>73</v>
      </c>
      <c r="F82">
        <v>32015.13</v>
      </c>
      <c r="G82">
        <v>5</v>
      </c>
    </row>
    <row r="83" spans="1:7" x14ac:dyDescent="0.3">
      <c r="A83" t="s">
        <v>94</v>
      </c>
      <c r="B83" t="s">
        <v>13</v>
      </c>
      <c r="C83" s="3">
        <v>44374</v>
      </c>
      <c r="D83">
        <v>74</v>
      </c>
      <c r="E83">
        <v>15</v>
      </c>
      <c r="F83">
        <v>36632.080000000002</v>
      </c>
      <c r="G83">
        <v>5</v>
      </c>
    </row>
    <row r="84" spans="1:7" x14ac:dyDescent="0.3">
      <c r="A84" t="s">
        <v>95</v>
      </c>
      <c r="B84" t="s">
        <v>16</v>
      </c>
      <c r="C84" s="3">
        <v>43714</v>
      </c>
      <c r="D84">
        <v>269</v>
      </c>
      <c r="E84">
        <v>19</v>
      </c>
      <c r="F84">
        <v>8244.15</v>
      </c>
      <c r="G84">
        <v>0</v>
      </c>
    </row>
    <row r="85" spans="1:7" x14ac:dyDescent="0.3">
      <c r="A85" t="s">
        <v>96</v>
      </c>
      <c r="B85" t="s">
        <v>16</v>
      </c>
      <c r="C85" s="3">
        <v>43844</v>
      </c>
      <c r="D85">
        <v>80</v>
      </c>
      <c r="E85">
        <v>14</v>
      </c>
      <c r="F85">
        <v>42395.25</v>
      </c>
      <c r="G85">
        <v>3</v>
      </c>
    </row>
    <row r="86" spans="1:7" x14ac:dyDescent="0.3">
      <c r="A86" t="s">
        <v>97</v>
      </c>
      <c r="B86" t="s">
        <v>16</v>
      </c>
      <c r="C86" s="3">
        <v>42720</v>
      </c>
      <c r="D86">
        <v>194</v>
      </c>
      <c r="E86">
        <v>56</v>
      </c>
      <c r="F86">
        <v>13197.24</v>
      </c>
      <c r="G86">
        <v>6</v>
      </c>
    </row>
    <row r="87" spans="1:7" x14ac:dyDescent="0.3">
      <c r="A87" t="s">
        <v>98</v>
      </c>
      <c r="B87" t="s">
        <v>22</v>
      </c>
      <c r="C87" s="3">
        <v>43554</v>
      </c>
      <c r="D87">
        <v>75</v>
      </c>
      <c r="E87">
        <v>9</v>
      </c>
      <c r="F87">
        <v>29002.3</v>
      </c>
      <c r="G87">
        <v>4</v>
      </c>
    </row>
    <row r="88" spans="1:7" x14ac:dyDescent="0.3">
      <c r="A88" t="s">
        <v>99</v>
      </c>
      <c r="B88" t="s">
        <v>8</v>
      </c>
      <c r="C88" s="3">
        <v>44596</v>
      </c>
      <c r="D88">
        <v>107</v>
      </c>
      <c r="E88">
        <v>14</v>
      </c>
      <c r="F88">
        <v>35431.230000000003</v>
      </c>
      <c r="G88">
        <v>9</v>
      </c>
    </row>
    <row r="89" spans="1:7" x14ac:dyDescent="0.3">
      <c r="A89" t="s">
        <v>100</v>
      </c>
      <c r="B89" t="s">
        <v>11</v>
      </c>
      <c r="C89" s="3">
        <v>44909</v>
      </c>
      <c r="D89">
        <v>235</v>
      </c>
      <c r="E89">
        <v>37</v>
      </c>
      <c r="F89">
        <v>12042.3</v>
      </c>
      <c r="G89">
        <v>7</v>
      </c>
    </row>
    <row r="90" spans="1:7" x14ac:dyDescent="0.3">
      <c r="A90" t="s">
        <v>101</v>
      </c>
      <c r="B90" t="s">
        <v>22</v>
      </c>
      <c r="C90" s="3">
        <v>43783</v>
      </c>
      <c r="D90">
        <v>192</v>
      </c>
      <c r="E90">
        <v>10</v>
      </c>
      <c r="F90">
        <v>37987.230000000003</v>
      </c>
      <c r="G90">
        <v>3</v>
      </c>
    </row>
    <row r="91" spans="1:7" x14ac:dyDescent="0.3">
      <c r="A91" t="s">
        <v>102</v>
      </c>
      <c r="B91" t="s">
        <v>13</v>
      </c>
      <c r="C91" s="3">
        <v>43282</v>
      </c>
      <c r="D91">
        <v>141</v>
      </c>
      <c r="E91">
        <v>21</v>
      </c>
      <c r="F91">
        <v>37207.17</v>
      </c>
      <c r="G91">
        <v>1</v>
      </c>
    </row>
    <row r="92" spans="1:7" x14ac:dyDescent="0.3">
      <c r="A92" t="s">
        <v>103</v>
      </c>
      <c r="B92" t="s">
        <v>22</v>
      </c>
      <c r="C92" s="3">
        <v>44455</v>
      </c>
      <c r="D92">
        <v>61</v>
      </c>
      <c r="E92">
        <v>15</v>
      </c>
      <c r="F92">
        <v>36461.82</v>
      </c>
      <c r="G92">
        <v>4</v>
      </c>
    </row>
    <row r="93" spans="1:7" x14ac:dyDescent="0.3">
      <c r="A93" t="s">
        <v>104</v>
      </c>
      <c r="B93" t="s">
        <v>8</v>
      </c>
      <c r="C93" s="3">
        <v>44615</v>
      </c>
      <c r="D93">
        <v>149</v>
      </c>
      <c r="E93">
        <v>28</v>
      </c>
      <c r="F93">
        <v>33506.129999999997</v>
      </c>
      <c r="G93">
        <v>9</v>
      </c>
    </row>
    <row r="94" spans="1:7" x14ac:dyDescent="0.3">
      <c r="A94" t="s">
        <v>105</v>
      </c>
      <c r="B94" t="s">
        <v>8</v>
      </c>
      <c r="C94" s="3">
        <v>43057</v>
      </c>
      <c r="D94">
        <v>63</v>
      </c>
      <c r="E94">
        <v>3</v>
      </c>
      <c r="F94">
        <v>17653.05</v>
      </c>
      <c r="G94">
        <v>7</v>
      </c>
    </row>
    <row r="95" spans="1:7" x14ac:dyDescent="0.3">
      <c r="A95" t="s">
        <v>106</v>
      </c>
      <c r="B95" t="s">
        <v>13</v>
      </c>
      <c r="C95" s="3">
        <v>44023</v>
      </c>
      <c r="D95">
        <v>115</v>
      </c>
      <c r="E95">
        <v>25</v>
      </c>
      <c r="F95">
        <v>29570.83</v>
      </c>
      <c r="G95">
        <v>9</v>
      </c>
    </row>
    <row r="96" spans="1:7" x14ac:dyDescent="0.3">
      <c r="A96" t="s">
        <v>107</v>
      </c>
      <c r="B96" t="s">
        <v>8</v>
      </c>
      <c r="C96" s="3">
        <v>43704</v>
      </c>
      <c r="D96">
        <v>186</v>
      </c>
      <c r="E96">
        <v>0</v>
      </c>
      <c r="F96">
        <v>32496.07</v>
      </c>
      <c r="G96">
        <v>2</v>
      </c>
    </row>
    <row r="97" spans="1:7" x14ac:dyDescent="0.3">
      <c r="A97" t="s">
        <v>108</v>
      </c>
      <c r="B97" t="s">
        <v>26</v>
      </c>
      <c r="C97" s="3">
        <v>44443</v>
      </c>
      <c r="D97">
        <v>197</v>
      </c>
      <c r="E97">
        <v>12</v>
      </c>
      <c r="F97">
        <v>34211.949999999997</v>
      </c>
      <c r="G97">
        <v>5</v>
      </c>
    </row>
    <row r="98" spans="1:7" x14ac:dyDescent="0.3">
      <c r="A98" t="s">
        <v>109</v>
      </c>
      <c r="B98" t="s">
        <v>26</v>
      </c>
      <c r="C98" s="3">
        <v>43057</v>
      </c>
      <c r="D98">
        <v>100</v>
      </c>
      <c r="E98">
        <v>21</v>
      </c>
      <c r="F98">
        <v>42272.02</v>
      </c>
      <c r="G98">
        <v>0</v>
      </c>
    </row>
    <row r="99" spans="1:7" x14ac:dyDescent="0.3">
      <c r="A99" t="s">
        <v>110</v>
      </c>
      <c r="B99" t="s">
        <v>26</v>
      </c>
      <c r="C99" s="3">
        <v>44618</v>
      </c>
      <c r="D99">
        <v>240</v>
      </c>
      <c r="E99">
        <v>46</v>
      </c>
      <c r="F99">
        <v>48223.08</v>
      </c>
      <c r="G99">
        <v>0</v>
      </c>
    </row>
    <row r="100" spans="1:7" x14ac:dyDescent="0.3">
      <c r="A100" t="s">
        <v>111</v>
      </c>
      <c r="B100" t="s">
        <v>22</v>
      </c>
      <c r="C100" s="3">
        <v>43089</v>
      </c>
      <c r="D100">
        <v>205</v>
      </c>
      <c r="E100">
        <v>48</v>
      </c>
      <c r="F100">
        <v>16446.02</v>
      </c>
      <c r="G100">
        <v>6</v>
      </c>
    </row>
    <row r="101" spans="1:7" x14ac:dyDescent="0.3">
      <c r="A101" t="s">
        <v>112</v>
      </c>
      <c r="B101" t="s">
        <v>13</v>
      </c>
      <c r="C101" s="3">
        <v>43252</v>
      </c>
      <c r="D101">
        <v>62</v>
      </c>
      <c r="E101">
        <v>12</v>
      </c>
      <c r="F101">
        <v>29769.55</v>
      </c>
      <c r="G101">
        <v>3</v>
      </c>
    </row>
    <row r="102" spans="1:7" x14ac:dyDescent="0.3">
      <c r="A102" t="s">
        <v>113</v>
      </c>
      <c r="B102" t="s">
        <v>16</v>
      </c>
      <c r="C102" s="3">
        <v>43414</v>
      </c>
      <c r="D102">
        <v>57</v>
      </c>
      <c r="E102">
        <v>16</v>
      </c>
      <c r="F102">
        <v>33036.370000000003</v>
      </c>
      <c r="G102">
        <v>8</v>
      </c>
    </row>
    <row r="103" spans="1:7" x14ac:dyDescent="0.3">
      <c r="A103" t="s">
        <v>114</v>
      </c>
      <c r="B103" t="s">
        <v>16</v>
      </c>
      <c r="C103" s="3">
        <v>43896</v>
      </c>
      <c r="D103">
        <v>87</v>
      </c>
      <c r="E103">
        <v>25</v>
      </c>
      <c r="F103">
        <v>38599.230000000003</v>
      </c>
      <c r="G103">
        <v>2</v>
      </c>
    </row>
    <row r="104" spans="1:7" x14ac:dyDescent="0.3">
      <c r="A104" t="s">
        <v>115</v>
      </c>
      <c r="B104" t="s">
        <v>13</v>
      </c>
      <c r="C104" s="3">
        <v>42488</v>
      </c>
      <c r="D104">
        <v>190</v>
      </c>
      <c r="E104">
        <v>24</v>
      </c>
      <c r="F104">
        <v>29628.66</v>
      </c>
      <c r="G104">
        <v>6</v>
      </c>
    </row>
    <row r="105" spans="1:7" x14ac:dyDescent="0.3">
      <c r="A105" t="s">
        <v>116</v>
      </c>
      <c r="B105" t="s">
        <v>11</v>
      </c>
      <c r="C105" s="3">
        <v>44822</v>
      </c>
      <c r="D105">
        <v>140</v>
      </c>
      <c r="E105">
        <v>0</v>
      </c>
      <c r="F105">
        <v>6683.84</v>
      </c>
      <c r="G105">
        <v>4</v>
      </c>
    </row>
    <row r="106" spans="1:7" x14ac:dyDescent="0.3">
      <c r="A106" t="s">
        <v>117</v>
      </c>
      <c r="B106" t="s">
        <v>13</v>
      </c>
      <c r="C106" s="3">
        <v>43849</v>
      </c>
      <c r="D106">
        <v>299</v>
      </c>
      <c r="E106">
        <v>73</v>
      </c>
      <c r="F106">
        <v>34125.56</v>
      </c>
      <c r="G106">
        <v>2</v>
      </c>
    </row>
    <row r="107" spans="1:7" x14ac:dyDescent="0.3">
      <c r="A107" t="s">
        <v>118</v>
      </c>
      <c r="B107" t="s">
        <v>8</v>
      </c>
      <c r="C107" s="3">
        <v>43416</v>
      </c>
      <c r="D107">
        <v>70</v>
      </c>
      <c r="E107">
        <v>6</v>
      </c>
      <c r="F107">
        <v>39984.620000000003</v>
      </c>
      <c r="G107">
        <v>6</v>
      </c>
    </row>
    <row r="108" spans="1:7" x14ac:dyDescent="0.3">
      <c r="A108" t="s">
        <v>119</v>
      </c>
      <c r="B108" t="s">
        <v>11</v>
      </c>
      <c r="C108" s="3">
        <v>43048</v>
      </c>
      <c r="D108">
        <v>174</v>
      </c>
      <c r="E108">
        <v>47</v>
      </c>
      <c r="F108">
        <v>49417.58</v>
      </c>
      <c r="G108">
        <v>8</v>
      </c>
    </row>
    <row r="109" spans="1:7" x14ac:dyDescent="0.3">
      <c r="A109" t="s">
        <v>120</v>
      </c>
      <c r="B109" t="s">
        <v>11</v>
      </c>
      <c r="C109" s="3">
        <v>43912</v>
      </c>
      <c r="D109">
        <v>95</v>
      </c>
      <c r="E109">
        <v>3</v>
      </c>
      <c r="F109">
        <v>41953.31</v>
      </c>
      <c r="G109">
        <v>0</v>
      </c>
    </row>
    <row r="110" spans="1:7" x14ac:dyDescent="0.3">
      <c r="A110" t="s">
        <v>121</v>
      </c>
      <c r="B110" t="s">
        <v>22</v>
      </c>
      <c r="C110" s="3">
        <v>44388</v>
      </c>
      <c r="D110">
        <v>169</v>
      </c>
      <c r="E110">
        <v>21</v>
      </c>
      <c r="F110">
        <v>9134.67</v>
      </c>
      <c r="G110">
        <v>5</v>
      </c>
    </row>
    <row r="111" spans="1:7" x14ac:dyDescent="0.3">
      <c r="A111" t="s">
        <v>122</v>
      </c>
      <c r="B111" t="s">
        <v>11</v>
      </c>
      <c r="C111" s="3">
        <v>44608</v>
      </c>
      <c r="D111">
        <v>56</v>
      </c>
      <c r="E111">
        <v>5</v>
      </c>
      <c r="F111">
        <v>36133.870000000003</v>
      </c>
      <c r="G111">
        <v>1</v>
      </c>
    </row>
    <row r="112" spans="1:7" x14ac:dyDescent="0.3">
      <c r="A112" t="s">
        <v>123</v>
      </c>
      <c r="B112" t="s">
        <v>11</v>
      </c>
      <c r="C112" s="3">
        <v>44139</v>
      </c>
      <c r="D112">
        <v>272</v>
      </c>
      <c r="E112">
        <v>74</v>
      </c>
      <c r="F112">
        <v>8949.1200000000008</v>
      </c>
      <c r="G112">
        <v>5</v>
      </c>
    </row>
    <row r="113" spans="1:7" x14ac:dyDescent="0.3">
      <c r="A113" t="s">
        <v>124</v>
      </c>
      <c r="B113" t="s">
        <v>16</v>
      </c>
      <c r="C113" s="3">
        <v>42885</v>
      </c>
      <c r="D113">
        <v>50</v>
      </c>
      <c r="E113">
        <v>1</v>
      </c>
      <c r="F113">
        <v>28511.3</v>
      </c>
      <c r="G113">
        <v>0</v>
      </c>
    </row>
    <row r="114" spans="1:7" x14ac:dyDescent="0.3">
      <c r="A114" t="s">
        <v>125</v>
      </c>
      <c r="B114" t="s">
        <v>11</v>
      </c>
      <c r="C114" s="3">
        <v>42715</v>
      </c>
      <c r="D114">
        <v>97</v>
      </c>
      <c r="E114">
        <v>14</v>
      </c>
      <c r="F114">
        <v>39731.31</v>
      </c>
      <c r="G114">
        <v>4</v>
      </c>
    </row>
    <row r="115" spans="1:7" x14ac:dyDescent="0.3">
      <c r="A115" t="s">
        <v>126</v>
      </c>
      <c r="B115" t="s">
        <v>16</v>
      </c>
      <c r="C115" s="3">
        <v>43551</v>
      </c>
      <c r="D115">
        <v>272</v>
      </c>
      <c r="E115">
        <v>10</v>
      </c>
      <c r="F115">
        <v>6038.16</v>
      </c>
      <c r="G115">
        <v>9</v>
      </c>
    </row>
    <row r="116" spans="1:7" x14ac:dyDescent="0.3">
      <c r="A116" t="s">
        <v>127</v>
      </c>
      <c r="B116" t="s">
        <v>16</v>
      </c>
      <c r="C116" s="3">
        <v>43317</v>
      </c>
      <c r="D116">
        <v>251</v>
      </c>
      <c r="E116">
        <v>33</v>
      </c>
      <c r="F116">
        <v>34381.550000000003</v>
      </c>
      <c r="G116">
        <v>8</v>
      </c>
    </row>
    <row r="117" spans="1:7" x14ac:dyDescent="0.3">
      <c r="A117" t="s">
        <v>128</v>
      </c>
      <c r="B117" t="s">
        <v>26</v>
      </c>
      <c r="C117" s="3">
        <v>44193</v>
      </c>
      <c r="D117">
        <v>163</v>
      </c>
      <c r="E117">
        <v>5</v>
      </c>
      <c r="F117">
        <v>38911.279999999999</v>
      </c>
      <c r="G117">
        <v>4</v>
      </c>
    </row>
    <row r="118" spans="1:7" x14ac:dyDescent="0.3">
      <c r="A118" t="s">
        <v>129</v>
      </c>
      <c r="B118" t="s">
        <v>13</v>
      </c>
      <c r="C118" s="3">
        <v>43190</v>
      </c>
      <c r="D118">
        <v>295</v>
      </c>
      <c r="E118">
        <v>39</v>
      </c>
      <c r="F118">
        <v>11406.97</v>
      </c>
      <c r="G118">
        <v>2</v>
      </c>
    </row>
    <row r="119" spans="1:7" x14ac:dyDescent="0.3">
      <c r="A119" t="s">
        <v>130</v>
      </c>
      <c r="B119" t="s">
        <v>11</v>
      </c>
      <c r="C119" s="3">
        <v>44051</v>
      </c>
      <c r="D119">
        <v>262</v>
      </c>
      <c r="E119">
        <v>18</v>
      </c>
      <c r="F119">
        <v>26835.86</v>
      </c>
      <c r="G119">
        <v>0</v>
      </c>
    </row>
    <row r="120" spans="1:7" x14ac:dyDescent="0.3">
      <c r="A120" t="s">
        <v>131</v>
      </c>
      <c r="B120" t="s">
        <v>26</v>
      </c>
      <c r="C120" s="3">
        <v>44438</v>
      </c>
      <c r="D120">
        <v>298</v>
      </c>
      <c r="E120">
        <v>65</v>
      </c>
      <c r="F120">
        <v>34593.11</v>
      </c>
      <c r="G120">
        <v>3</v>
      </c>
    </row>
    <row r="121" spans="1:7" x14ac:dyDescent="0.3">
      <c r="A121" t="s">
        <v>132</v>
      </c>
      <c r="B121" t="s">
        <v>26</v>
      </c>
      <c r="C121" s="3">
        <v>43759</v>
      </c>
      <c r="D121">
        <v>107</v>
      </c>
      <c r="E121">
        <v>31</v>
      </c>
      <c r="F121">
        <v>15421.58</v>
      </c>
      <c r="G121">
        <v>4</v>
      </c>
    </row>
    <row r="122" spans="1:7" x14ac:dyDescent="0.3">
      <c r="A122" t="s">
        <v>133</v>
      </c>
      <c r="B122" t="s">
        <v>13</v>
      </c>
      <c r="C122" s="3">
        <v>43255</v>
      </c>
      <c r="D122">
        <v>298</v>
      </c>
      <c r="E122">
        <v>84</v>
      </c>
      <c r="F122">
        <v>25674.15</v>
      </c>
      <c r="G122">
        <v>4</v>
      </c>
    </row>
    <row r="123" spans="1:7" x14ac:dyDescent="0.3">
      <c r="A123" t="s">
        <v>134</v>
      </c>
      <c r="B123" t="s">
        <v>26</v>
      </c>
      <c r="C123" s="3">
        <v>44577</v>
      </c>
      <c r="D123">
        <v>269</v>
      </c>
      <c r="E123">
        <v>55</v>
      </c>
      <c r="F123">
        <v>5819.39</v>
      </c>
      <c r="G123">
        <v>6</v>
      </c>
    </row>
    <row r="124" spans="1:7" x14ac:dyDescent="0.3">
      <c r="A124" t="s">
        <v>135</v>
      </c>
      <c r="B124" t="s">
        <v>26</v>
      </c>
      <c r="C124" s="3">
        <v>44657</v>
      </c>
      <c r="D124">
        <v>188</v>
      </c>
      <c r="E124">
        <v>44</v>
      </c>
      <c r="F124">
        <v>18919.810000000001</v>
      </c>
      <c r="G124">
        <v>3</v>
      </c>
    </row>
    <row r="125" spans="1:7" x14ac:dyDescent="0.3">
      <c r="A125" t="s">
        <v>136</v>
      </c>
      <c r="B125" t="s">
        <v>8</v>
      </c>
      <c r="C125" s="3">
        <v>42779</v>
      </c>
      <c r="D125">
        <v>176</v>
      </c>
      <c r="E125">
        <v>28</v>
      </c>
      <c r="F125">
        <v>40275.53</v>
      </c>
      <c r="G125">
        <v>4</v>
      </c>
    </row>
    <row r="126" spans="1:7" x14ac:dyDescent="0.3">
      <c r="A126" t="s">
        <v>137</v>
      </c>
      <c r="B126" t="s">
        <v>13</v>
      </c>
      <c r="C126" s="3">
        <v>42128</v>
      </c>
      <c r="D126">
        <v>169</v>
      </c>
      <c r="E126">
        <v>28</v>
      </c>
      <c r="F126">
        <v>39484.629999999997</v>
      </c>
      <c r="G126">
        <v>1</v>
      </c>
    </row>
    <row r="127" spans="1:7" x14ac:dyDescent="0.3">
      <c r="A127" t="s">
        <v>138</v>
      </c>
      <c r="B127" t="s">
        <v>13</v>
      </c>
      <c r="C127" s="3">
        <v>42119</v>
      </c>
      <c r="D127">
        <v>112</v>
      </c>
      <c r="E127">
        <v>3</v>
      </c>
      <c r="F127">
        <v>10164.870000000001</v>
      </c>
      <c r="G127">
        <v>4</v>
      </c>
    </row>
    <row r="128" spans="1:7" x14ac:dyDescent="0.3">
      <c r="A128" t="s">
        <v>139</v>
      </c>
      <c r="B128" t="s">
        <v>11</v>
      </c>
      <c r="C128" s="3">
        <v>44639</v>
      </c>
      <c r="D128">
        <v>114</v>
      </c>
      <c r="E128">
        <v>1</v>
      </c>
      <c r="F128">
        <v>38879.97</v>
      </c>
      <c r="G128">
        <v>1</v>
      </c>
    </row>
    <row r="129" spans="1:7" x14ac:dyDescent="0.3">
      <c r="A129" t="s">
        <v>140</v>
      </c>
      <c r="B129" t="s">
        <v>8</v>
      </c>
      <c r="C129" s="3">
        <v>43234</v>
      </c>
      <c r="D129">
        <v>131</v>
      </c>
      <c r="E129">
        <v>10</v>
      </c>
      <c r="F129">
        <v>44502.69</v>
      </c>
      <c r="G129">
        <v>6</v>
      </c>
    </row>
    <row r="130" spans="1:7" x14ac:dyDescent="0.3">
      <c r="A130" t="s">
        <v>141</v>
      </c>
      <c r="B130" t="s">
        <v>11</v>
      </c>
      <c r="C130" s="3">
        <v>43580</v>
      </c>
      <c r="D130">
        <v>54</v>
      </c>
      <c r="E130">
        <v>12</v>
      </c>
      <c r="F130">
        <v>10432.73</v>
      </c>
      <c r="G130">
        <v>1</v>
      </c>
    </row>
    <row r="131" spans="1:7" x14ac:dyDescent="0.3">
      <c r="A131" t="s">
        <v>142</v>
      </c>
      <c r="B131" t="s">
        <v>16</v>
      </c>
      <c r="C131" s="3">
        <v>43341</v>
      </c>
      <c r="D131">
        <v>77</v>
      </c>
      <c r="E131">
        <v>20</v>
      </c>
      <c r="F131">
        <v>14570.54</v>
      </c>
      <c r="G131">
        <v>6</v>
      </c>
    </row>
    <row r="132" spans="1:7" x14ac:dyDescent="0.3">
      <c r="A132" t="s">
        <v>143</v>
      </c>
      <c r="B132" t="s">
        <v>22</v>
      </c>
      <c r="C132" s="3">
        <v>43208</v>
      </c>
      <c r="D132">
        <v>74</v>
      </c>
      <c r="E132">
        <v>1</v>
      </c>
      <c r="F132">
        <v>6352.81</v>
      </c>
      <c r="G132">
        <v>3</v>
      </c>
    </row>
    <row r="133" spans="1:7" x14ac:dyDescent="0.3">
      <c r="A133" t="s">
        <v>144</v>
      </c>
      <c r="B133" t="s">
        <v>26</v>
      </c>
      <c r="C133" s="3">
        <v>42829</v>
      </c>
      <c r="D133">
        <v>116</v>
      </c>
      <c r="E133">
        <v>20</v>
      </c>
      <c r="F133">
        <v>9380.3700000000008</v>
      </c>
      <c r="G133">
        <v>9</v>
      </c>
    </row>
    <row r="134" spans="1:7" x14ac:dyDescent="0.3">
      <c r="A134" t="s">
        <v>145</v>
      </c>
      <c r="B134" t="s">
        <v>22</v>
      </c>
      <c r="C134" s="3">
        <v>44270</v>
      </c>
      <c r="D134">
        <v>216</v>
      </c>
      <c r="E134">
        <v>41</v>
      </c>
      <c r="F134">
        <v>31188.69</v>
      </c>
      <c r="G134">
        <v>8</v>
      </c>
    </row>
    <row r="135" spans="1:7" x14ac:dyDescent="0.3">
      <c r="A135" t="s">
        <v>146</v>
      </c>
      <c r="B135" t="s">
        <v>11</v>
      </c>
      <c r="C135" s="3">
        <v>42885</v>
      </c>
      <c r="D135">
        <v>193</v>
      </c>
      <c r="E135">
        <v>41</v>
      </c>
      <c r="F135">
        <v>46337.29</v>
      </c>
      <c r="G135">
        <v>1</v>
      </c>
    </row>
    <row r="136" spans="1:7" x14ac:dyDescent="0.3">
      <c r="A136" t="s">
        <v>147</v>
      </c>
      <c r="B136" t="s">
        <v>11</v>
      </c>
      <c r="C136" s="3">
        <v>43024</v>
      </c>
      <c r="D136">
        <v>108</v>
      </c>
      <c r="E136">
        <v>31</v>
      </c>
      <c r="F136">
        <v>23696.59</v>
      </c>
      <c r="G136">
        <v>7</v>
      </c>
    </row>
    <row r="137" spans="1:7" x14ac:dyDescent="0.3">
      <c r="A137" t="s">
        <v>148</v>
      </c>
      <c r="B137" t="s">
        <v>26</v>
      </c>
      <c r="C137" s="3">
        <v>43368</v>
      </c>
      <c r="D137">
        <v>287</v>
      </c>
      <c r="E137">
        <v>42</v>
      </c>
      <c r="F137">
        <v>44729.63</v>
      </c>
      <c r="G137">
        <v>2</v>
      </c>
    </row>
    <row r="138" spans="1:7" x14ac:dyDescent="0.3">
      <c r="A138" t="s">
        <v>149</v>
      </c>
      <c r="B138" t="s">
        <v>13</v>
      </c>
      <c r="C138" s="3">
        <v>43007</v>
      </c>
      <c r="D138">
        <v>223</v>
      </c>
      <c r="E138">
        <v>12</v>
      </c>
      <c r="F138">
        <v>34604.11</v>
      </c>
      <c r="G138">
        <v>3</v>
      </c>
    </row>
    <row r="139" spans="1:7" x14ac:dyDescent="0.3">
      <c r="A139" t="s">
        <v>150</v>
      </c>
      <c r="B139" t="s">
        <v>11</v>
      </c>
      <c r="C139" s="3">
        <v>43434</v>
      </c>
      <c r="D139">
        <v>131</v>
      </c>
      <c r="E139">
        <v>0</v>
      </c>
      <c r="F139">
        <v>10746.96</v>
      </c>
      <c r="G139">
        <v>2</v>
      </c>
    </row>
    <row r="140" spans="1:7" x14ac:dyDescent="0.3">
      <c r="A140" t="s">
        <v>151</v>
      </c>
      <c r="B140" t="s">
        <v>16</v>
      </c>
      <c r="C140" s="3">
        <v>43713</v>
      </c>
      <c r="D140">
        <v>88</v>
      </c>
      <c r="E140">
        <v>22</v>
      </c>
      <c r="F140">
        <v>27215.89</v>
      </c>
      <c r="G140">
        <v>0</v>
      </c>
    </row>
    <row r="141" spans="1:7" x14ac:dyDescent="0.3">
      <c r="A141" t="s">
        <v>152</v>
      </c>
      <c r="B141" t="s">
        <v>22</v>
      </c>
      <c r="C141" s="3">
        <v>42668</v>
      </c>
      <c r="D141">
        <v>153</v>
      </c>
      <c r="E141">
        <v>36</v>
      </c>
      <c r="F141">
        <v>39014.559999999998</v>
      </c>
      <c r="G141">
        <v>6</v>
      </c>
    </row>
    <row r="142" spans="1:7" x14ac:dyDescent="0.3">
      <c r="A142" t="s">
        <v>153</v>
      </c>
      <c r="B142" t="s">
        <v>11</v>
      </c>
      <c r="C142" s="3">
        <v>44150</v>
      </c>
      <c r="D142">
        <v>139</v>
      </c>
      <c r="E142">
        <v>33</v>
      </c>
      <c r="F142">
        <v>37964.019999999997</v>
      </c>
      <c r="G142">
        <v>2</v>
      </c>
    </row>
    <row r="143" spans="1:7" x14ac:dyDescent="0.3">
      <c r="A143" t="s">
        <v>154</v>
      </c>
      <c r="B143" t="s">
        <v>22</v>
      </c>
      <c r="C143" s="3">
        <v>43706</v>
      </c>
      <c r="D143">
        <v>235</v>
      </c>
      <c r="E143">
        <v>26</v>
      </c>
      <c r="F143">
        <v>42343.5</v>
      </c>
      <c r="G143">
        <v>6</v>
      </c>
    </row>
    <row r="144" spans="1:7" x14ac:dyDescent="0.3">
      <c r="A144" t="s">
        <v>155</v>
      </c>
      <c r="B144" t="s">
        <v>26</v>
      </c>
      <c r="C144" s="3">
        <v>43988</v>
      </c>
      <c r="D144">
        <v>116</v>
      </c>
      <c r="E144">
        <v>20</v>
      </c>
      <c r="F144">
        <v>25797.84</v>
      </c>
      <c r="G144">
        <v>3</v>
      </c>
    </row>
    <row r="145" spans="1:7" x14ac:dyDescent="0.3">
      <c r="A145" t="s">
        <v>156</v>
      </c>
      <c r="B145" t="s">
        <v>13</v>
      </c>
      <c r="C145" s="3">
        <v>43514</v>
      </c>
      <c r="D145">
        <v>231</v>
      </c>
      <c r="E145">
        <v>29</v>
      </c>
      <c r="F145">
        <v>9306.15</v>
      </c>
      <c r="G145">
        <v>3</v>
      </c>
    </row>
    <row r="146" spans="1:7" x14ac:dyDescent="0.3">
      <c r="A146" t="s">
        <v>157</v>
      </c>
      <c r="B146" t="s">
        <v>26</v>
      </c>
      <c r="C146" s="3">
        <v>44482</v>
      </c>
      <c r="D146">
        <v>197</v>
      </c>
      <c r="E146">
        <v>41</v>
      </c>
      <c r="F146">
        <v>20322.59</v>
      </c>
      <c r="G146">
        <v>6</v>
      </c>
    </row>
    <row r="147" spans="1:7" x14ac:dyDescent="0.3">
      <c r="A147" t="s">
        <v>158</v>
      </c>
      <c r="B147" t="s">
        <v>13</v>
      </c>
      <c r="C147" s="3">
        <v>42614</v>
      </c>
      <c r="D147">
        <v>126</v>
      </c>
      <c r="E147">
        <v>34</v>
      </c>
      <c r="F147">
        <v>9396.42</v>
      </c>
      <c r="G147">
        <v>7</v>
      </c>
    </row>
    <row r="148" spans="1:7" x14ac:dyDescent="0.3">
      <c r="A148" t="s">
        <v>159</v>
      </c>
      <c r="B148" t="s">
        <v>13</v>
      </c>
      <c r="C148" s="3">
        <v>42026</v>
      </c>
      <c r="D148">
        <v>225</v>
      </c>
      <c r="E148">
        <v>50</v>
      </c>
      <c r="F148">
        <v>49136.21</v>
      </c>
      <c r="G148">
        <v>2</v>
      </c>
    </row>
    <row r="149" spans="1:7" x14ac:dyDescent="0.3">
      <c r="A149" t="s">
        <v>160</v>
      </c>
      <c r="B149" t="s">
        <v>11</v>
      </c>
      <c r="C149" s="3">
        <v>44871</v>
      </c>
      <c r="D149">
        <v>134</v>
      </c>
      <c r="E149">
        <v>24</v>
      </c>
      <c r="F149">
        <v>16780.43</v>
      </c>
      <c r="G149">
        <v>4</v>
      </c>
    </row>
    <row r="150" spans="1:7" x14ac:dyDescent="0.3">
      <c r="A150" t="s">
        <v>161</v>
      </c>
      <c r="B150" t="s">
        <v>22</v>
      </c>
      <c r="C150" s="3">
        <v>44246</v>
      </c>
      <c r="D150">
        <v>179</v>
      </c>
      <c r="E150">
        <v>44</v>
      </c>
      <c r="F150">
        <v>7787.08</v>
      </c>
      <c r="G150">
        <v>2</v>
      </c>
    </row>
    <row r="151" spans="1:7" x14ac:dyDescent="0.3">
      <c r="A151" t="s">
        <v>162</v>
      </c>
      <c r="B151" t="s">
        <v>8</v>
      </c>
      <c r="C151" s="3">
        <v>42468</v>
      </c>
      <c r="D151">
        <v>171</v>
      </c>
      <c r="E151">
        <v>1</v>
      </c>
      <c r="F151">
        <v>43760.53</v>
      </c>
      <c r="G151">
        <v>6</v>
      </c>
    </row>
    <row r="152" spans="1:7" x14ac:dyDescent="0.3">
      <c r="A152" t="s">
        <v>163</v>
      </c>
      <c r="B152" t="s">
        <v>11</v>
      </c>
      <c r="C152" s="3">
        <v>42958</v>
      </c>
      <c r="D152">
        <v>254</v>
      </c>
      <c r="E152">
        <v>69</v>
      </c>
      <c r="F152">
        <v>29959.46</v>
      </c>
      <c r="G152">
        <v>7</v>
      </c>
    </row>
    <row r="153" spans="1:7" x14ac:dyDescent="0.3">
      <c r="A153" t="s">
        <v>164</v>
      </c>
      <c r="B153" t="s">
        <v>13</v>
      </c>
      <c r="C153" s="3">
        <v>43916</v>
      </c>
      <c r="D153">
        <v>63</v>
      </c>
      <c r="E153">
        <v>6</v>
      </c>
      <c r="F153">
        <v>6698.51</v>
      </c>
      <c r="G153">
        <v>4</v>
      </c>
    </row>
    <row r="154" spans="1:7" x14ac:dyDescent="0.3">
      <c r="A154" t="s">
        <v>165</v>
      </c>
      <c r="B154" t="s">
        <v>13</v>
      </c>
      <c r="C154" s="3">
        <v>43629</v>
      </c>
      <c r="D154">
        <v>148</v>
      </c>
      <c r="E154">
        <v>18</v>
      </c>
      <c r="F154">
        <v>30130.81</v>
      </c>
      <c r="G154">
        <v>1</v>
      </c>
    </row>
    <row r="155" spans="1:7" x14ac:dyDescent="0.3">
      <c r="A155" t="s">
        <v>166</v>
      </c>
      <c r="B155" t="s">
        <v>8</v>
      </c>
      <c r="C155" s="3">
        <v>44509</v>
      </c>
      <c r="D155">
        <v>242</v>
      </c>
      <c r="E155">
        <v>16</v>
      </c>
      <c r="F155">
        <v>41429.58</v>
      </c>
      <c r="G155">
        <v>1</v>
      </c>
    </row>
    <row r="156" spans="1:7" x14ac:dyDescent="0.3">
      <c r="A156" t="s">
        <v>167</v>
      </c>
      <c r="B156" t="s">
        <v>8</v>
      </c>
      <c r="C156" s="3">
        <v>43501</v>
      </c>
      <c r="D156">
        <v>184</v>
      </c>
      <c r="E156">
        <v>54</v>
      </c>
      <c r="F156">
        <v>49984.7</v>
      </c>
      <c r="G156">
        <v>3</v>
      </c>
    </row>
    <row r="157" spans="1:7" x14ac:dyDescent="0.3">
      <c r="A157" t="s">
        <v>168</v>
      </c>
      <c r="B157" t="s">
        <v>13</v>
      </c>
      <c r="C157" s="3">
        <v>43876</v>
      </c>
      <c r="D157">
        <v>196</v>
      </c>
      <c r="E157">
        <v>14</v>
      </c>
      <c r="F157">
        <v>19925.32</v>
      </c>
      <c r="G157">
        <v>6</v>
      </c>
    </row>
    <row r="158" spans="1:7" x14ac:dyDescent="0.3">
      <c r="A158" t="s">
        <v>169</v>
      </c>
      <c r="B158" t="s">
        <v>16</v>
      </c>
      <c r="C158" s="3">
        <v>42037</v>
      </c>
      <c r="D158">
        <v>182</v>
      </c>
      <c r="E158">
        <v>29</v>
      </c>
      <c r="F158">
        <v>29934.98</v>
      </c>
      <c r="G158">
        <v>4</v>
      </c>
    </row>
    <row r="159" spans="1:7" x14ac:dyDescent="0.3">
      <c r="A159" t="s">
        <v>170</v>
      </c>
      <c r="B159" t="s">
        <v>8</v>
      </c>
      <c r="C159" s="3">
        <v>43277</v>
      </c>
      <c r="D159">
        <v>204</v>
      </c>
      <c r="E159">
        <v>27</v>
      </c>
      <c r="F159">
        <v>8477.58</v>
      </c>
      <c r="G159">
        <v>3</v>
      </c>
    </row>
    <row r="160" spans="1:7" x14ac:dyDescent="0.3">
      <c r="A160" t="s">
        <v>171</v>
      </c>
      <c r="B160" t="s">
        <v>8</v>
      </c>
      <c r="C160" s="3">
        <v>42476</v>
      </c>
      <c r="D160">
        <v>100</v>
      </c>
      <c r="E160">
        <v>23</v>
      </c>
      <c r="F160">
        <v>45667.28</v>
      </c>
      <c r="G160">
        <v>6</v>
      </c>
    </row>
    <row r="161" spans="1:7" x14ac:dyDescent="0.3">
      <c r="A161" t="s">
        <v>172</v>
      </c>
      <c r="B161" t="s">
        <v>8</v>
      </c>
      <c r="C161" s="3">
        <v>43463</v>
      </c>
      <c r="D161">
        <v>139</v>
      </c>
      <c r="E161">
        <v>1</v>
      </c>
      <c r="F161">
        <v>23812.91</v>
      </c>
      <c r="G161">
        <v>6</v>
      </c>
    </row>
    <row r="162" spans="1:7" x14ac:dyDescent="0.3">
      <c r="A162" t="s">
        <v>173</v>
      </c>
      <c r="B162" t="s">
        <v>13</v>
      </c>
      <c r="C162" s="3">
        <v>44169</v>
      </c>
      <c r="D162">
        <v>117</v>
      </c>
      <c r="E162">
        <v>2</v>
      </c>
      <c r="F162">
        <v>31135.119999999999</v>
      </c>
      <c r="G162">
        <v>7</v>
      </c>
    </row>
    <row r="163" spans="1:7" x14ac:dyDescent="0.3">
      <c r="A163" t="s">
        <v>174</v>
      </c>
      <c r="B163" t="s">
        <v>8</v>
      </c>
      <c r="C163" s="3">
        <v>44612</v>
      </c>
      <c r="D163">
        <v>260</v>
      </c>
      <c r="E163">
        <v>1</v>
      </c>
      <c r="F163">
        <v>49319.6</v>
      </c>
      <c r="G163">
        <v>6</v>
      </c>
    </row>
    <row r="164" spans="1:7" x14ac:dyDescent="0.3">
      <c r="A164" t="s">
        <v>175</v>
      </c>
      <c r="B164" t="s">
        <v>16</v>
      </c>
      <c r="C164" s="3">
        <v>42634</v>
      </c>
      <c r="D164">
        <v>92</v>
      </c>
      <c r="E164">
        <v>0</v>
      </c>
      <c r="F164">
        <v>24339.08</v>
      </c>
      <c r="G164">
        <v>4</v>
      </c>
    </row>
    <row r="165" spans="1:7" x14ac:dyDescent="0.3">
      <c r="A165" t="s">
        <v>176</v>
      </c>
      <c r="B165" t="s">
        <v>11</v>
      </c>
      <c r="C165" s="3">
        <v>42288</v>
      </c>
      <c r="D165">
        <v>217</v>
      </c>
      <c r="E165">
        <v>25</v>
      </c>
      <c r="F165">
        <v>36969.39</v>
      </c>
      <c r="G165">
        <v>6</v>
      </c>
    </row>
    <row r="166" spans="1:7" x14ac:dyDescent="0.3">
      <c r="A166" t="s">
        <v>177</v>
      </c>
      <c r="B166" t="s">
        <v>26</v>
      </c>
      <c r="C166" s="3">
        <v>43001</v>
      </c>
      <c r="D166">
        <v>70</v>
      </c>
      <c r="E166">
        <v>20</v>
      </c>
      <c r="F166">
        <v>14408.18</v>
      </c>
      <c r="G166">
        <v>3</v>
      </c>
    </row>
    <row r="167" spans="1:7" x14ac:dyDescent="0.3">
      <c r="A167" t="s">
        <v>178</v>
      </c>
      <c r="B167" t="s">
        <v>22</v>
      </c>
      <c r="C167" s="3">
        <v>43124</v>
      </c>
      <c r="D167">
        <v>253</v>
      </c>
      <c r="E167">
        <v>58</v>
      </c>
      <c r="F167">
        <v>35669.31</v>
      </c>
      <c r="G167">
        <v>2</v>
      </c>
    </row>
    <row r="168" spans="1:7" x14ac:dyDescent="0.3">
      <c r="A168" t="s">
        <v>179</v>
      </c>
      <c r="B168" t="s">
        <v>11</v>
      </c>
      <c r="C168" s="3">
        <v>44252</v>
      </c>
      <c r="D168">
        <v>292</v>
      </c>
      <c r="E168">
        <v>5</v>
      </c>
      <c r="F168">
        <v>42765.59</v>
      </c>
      <c r="G168">
        <v>0</v>
      </c>
    </row>
    <row r="169" spans="1:7" x14ac:dyDescent="0.3">
      <c r="A169" t="s">
        <v>180</v>
      </c>
      <c r="B169" t="s">
        <v>8</v>
      </c>
      <c r="C169" s="3">
        <v>42468</v>
      </c>
      <c r="D169">
        <v>219</v>
      </c>
      <c r="E169">
        <v>2</v>
      </c>
      <c r="F169">
        <v>41731.47</v>
      </c>
      <c r="G169">
        <v>5</v>
      </c>
    </row>
    <row r="170" spans="1:7" x14ac:dyDescent="0.3">
      <c r="A170" t="s">
        <v>181</v>
      </c>
      <c r="B170" t="s">
        <v>26</v>
      </c>
      <c r="C170" s="3">
        <v>44238</v>
      </c>
      <c r="D170">
        <v>174</v>
      </c>
      <c r="E170">
        <v>51</v>
      </c>
      <c r="F170">
        <v>12287.75</v>
      </c>
      <c r="G170">
        <v>3</v>
      </c>
    </row>
    <row r="171" spans="1:7" x14ac:dyDescent="0.3">
      <c r="A171" t="s">
        <v>182</v>
      </c>
      <c r="B171" t="s">
        <v>16</v>
      </c>
      <c r="C171" s="3">
        <v>43663</v>
      </c>
      <c r="D171">
        <v>152</v>
      </c>
      <c r="E171">
        <v>33</v>
      </c>
      <c r="F171">
        <v>23205.48</v>
      </c>
      <c r="G171">
        <v>9</v>
      </c>
    </row>
    <row r="172" spans="1:7" x14ac:dyDescent="0.3">
      <c r="A172" t="s">
        <v>183</v>
      </c>
      <c r="B172" t="s">
        <v>26</v>
      </c>
      <c r="C172" s="3">
        <v>42164</v>
      </c>
      <c r="D172">
        <v>54</v>
      </c>
      <c r="E172">
        <v>11</v>
      </c>
      <c r="F172">
        <v>6947.87</v>
      </c>
      <c r="G172">
        <v>1</v>
      </c>
    </row>
    <row r="173" spans="1:7" x14ac:dyDescent="0.3">
      <c r="A173" t="s">
        <v>184</v>
      </c>
      <c r="B173" t="s">
        <v>22</v>
      </c>
      <c r="C173" s="3">
        <v>42267</v>
      </c>
      <c r="D173">
        <v>240</v>
      </c>
      <c r="E173">
        <v>43</v>
      </c>
      <c r="F173">
        <v>32118.91</v>
      </c>
      <c r="G173">
        <v>7</v>
      </c>
    </row>
    <row r="174" spans="1:7" x14ac:dyDescent="0.3">
      <c r="A174" t="s">
        <v>185</v>
      </c>
      <c r="B174" t="s">
        <v>16</v>
      </c>
      <c r="C174" s="3">
        <v>42832</v>
      </c>
      <c r="D174">
        <v>94</v>
      </c>
      <c r="E174">
        <v>14</v>
      </c>
      <c r="F174">
        <v>32941.550000000003</v>
      </c>
      <c r="G174">
        <v>9</v>
      </c>
    </row>
    <row r="175" spans="1:7" x14ac:dyDescent="0.3">
      <c r="A175" t="s">
        <v>186</v>
      </c>
      <c r="B175" t="s">
        <v>22</v>
      </c>
      <c r="C175" s="3">
        <v>43842</v>
      </c>
      <c r="D175">
        <v>199</v>
      </c>
      <c r="E175">
        <v>6</v>
      </c>
      <c r="F175">
        <v>20570.759999999998</v>
      </c>
      <c r="G175">
        <v>1</v>
      </c>
    </row>
    <row r="176" spans="1:7" x14ac:dyDescent="0.3">
      <c r="A176" t="s">
        <v>187</v>
      </c>
      <c r="B176" t="s">
        <v>13</v>
      </c>
      <c r="C176" s="3">
        <v>43497</v>
      </c>
      <c r="D176">
        <v>280</v>
      </c>
      <c r="E176">
        <v>8</v>
      </c>
      <c r="F176">
        <v>40365.89</v>
      </c>
      <c r="G176">
        <v>0</v>
      </c>
    </row>
    <row r="177" spans="1:7" x14ac:dyDescent="0.3">
      <c r="A177" t="s">
        <v>188</v>
      </c>
      <c r="B177" t="s">
        <v>8</v>
      </c>
      <c r="C177" s="3">
        <v>43516</v>
      </c>
      <c r="D177">
        <v>290</v>
      </c>
      <c r="E177">
        <v>52</v>
      </c>
      <c r="F177">
        <v>18258.32</v>
      </c>
      <c r="G177">
        <v>1</v>
      </c>
    </row>
    <row r="178" spans="1:7" x14ac:dyDescent="0.3">
      <c r="A178" t="s">
        <v>189</v>
      </c>
      <c r="B178" t="s">
        <v>16</v>
      </c>
      <c r="C178" s="3">
        <v>44485</v>
      </c>
      <c r="D178">
        <v>230</v>
      </c>
      <c r="E178">
        <v>55</v>
      </c>
      <c r="F178">
        <v>30164.63</v>
      </c>
      <c r="G178">
        <v>2</v>
      </c>
    </row>
    <row r="179" spans="1:7" x14ac:dyDescent="0.3">
      <c r="A179" t="s">
        <v>190</v>
      </c>
      <c r="B179" t="s">
        <v>11</v>
      </c>
      <c r="C179" s="3">
        <v>42499</v>
      </c>
      <c r="D179">
        <v>133</v>
      </c>
      <c r="E179">
        <v>36</v>
      </c>
      <c r="F179">
        <v>19090.759999999998</v>
      </c>
      <c r="G179">
        <v>1</v>
      </c>
    </row>
    <row r="180" spans="1:7" x14ac:dyDescent="0.3">
      <c r="A180" t="s">
        <v>191</v>
      </c>
      <c r="B180" t="s">
        <v>26</v>
      </c>
      <c r="C180" s="3">
        <v>42268</v>
      </c>
      <c r="D180">
        <v>134</v>
      </c>
      <c r="E180">
        <v>7</v>
      </c>
      <c r="F180">
        <v>14835.28</v>
      </c>
      <c r="G180">
        <v>9</v>
      </c>
    </row>
    <row r="181" spans="1:7" x14ac:dyDescent="0.3">
      <c r="A181" t="s">
        <v>192</v>
      </c>
      <c r="B181" t="s">
        <v>8</v>
      </c>
      <c r="C181" s="3">
        <v>44690</v>
      </c>
      <c r="D181">
        <v>72</v>
      </c>
      <c r="E181">
        <v>7</v>
      </c>
      <c r="F181">
        <v>46999.58</v>
      </c>
      <c r="G181">
        <v>3</v>
      </c>
    </row>
    <row r="182" spans="1:7" x14ac:dyDescent="0.3">
      <c r="A182" t="s">
        <v>193</v>
      </c>
      <c r="B182" t="s">
        <v>22</v>
      </c>
      <c r="C182" s="3">
        <v>44285</v>
      </c>
      <c r="D182">
        <v>156</v>
      </c>
      <c r="E182">
        <v>19</v>
      </c>
      <c r="F182">
        <v>15938.02</v>
      </c>
      <c r="G182">
        <v>6</v>
      </c>
    </row>
    <row r="183" spans="1:7" x14ac:dyDescent="0.3">
      <c r="A183" t="s">
        <v>194</v>
      </c>
      <c r="B183" t="s">
        <v>8</v>
      </c>
      <c r="C183" s="3">
        <v>42259</v>
      </c>
      <c r="D183">
        <v>75</v>
      </c>
      <c r="E183">
        <v>4</v>
      </c>
      <c r="F183">
        <v>44003.24</v>
      </c>
      <c r="G183">
        <v>2</v>
      </c>
    </row>
    <row r="184" spans="1:7" x14ac:dyDescent="0.3">
      <c r="A184" t="s">
        <v>195</v>
      </c>
      <c r="B184" t="s">
        <v>8</v>
      </c>
      <c r="C184" s="3">
        <v>44644</v>
      </c>
      <c r="D184">
        <v>90</v>
      </c>
      <c r="E184">
        <v>25</v>
      </c>
      <c r="F184">
        <v>32907.85</v>
      </c>
      <c r="G184">
        <v>2</v>
      </c>
    </row>
    <row r="185" spans="1:7" x14ac:dyDescent="0.3">
      <c r="A185" t="s">
        <v>196</v>
      </c>
      <c r="B185" t="s">
        <v>22</v>
      </c>
      <c r="C185" s="3">
        <v>43089</v>
      </c>
      <c r="D185">
        <v>110</v>
      </c>
      <c r="E185">
        <v>13</v>
      </c>
      <c r="F185">
        <v>7533.92</v>
      </c>
      <c r="G185">
        <v>6</v>
      </c>
    </row>
    <row r="186" spans="1:7" x14ac:dyDescent="0.3">
      <c r="A186" t="s">
        <v>197</v>
      </c>
      <c r="B186" t="s">
        <v>26</v>
      </c>
      <c r="C186" s="3">
        <v>42910</v>
      </c>
      <c r="D186">
        <v>246</v>
      </c>
      <c r="E186">
        <v>32</v>
      </c>
      <c r="F186">
        <v>18674.7</v>
      </c>
      <c r="G186">
        <v>8</v>
      </c>
    </row>
    <row r="187" spans="1:7" x14ac:dyDescent="0.3">
      <c r="A187" t="s">
        <v>198</v>
      </c>
      <c r="B187" t="s">
        <v>8</v>
      </c>
      <c r="C187" s="3">
        <v>42150</v>
      </c>
      <c r="D187">
        <v>273</v>
      </c>
      <c r="E187">
        <v>77</v>
      </c>
      <c r="F187">
        <v>6715.89</v>
      </c>
      <c r="G187">
        <v>0</v>
      </c>
    </row>
    <row r="188" spans="1:7" x14ac:dyDescent="0.3">
      <c r="A188" t="s">
        <v>199</v>
      </c>
      <c r="B188" t="s">
        <v>11</v>
      </c>
      <c r="C188" s="3">
        <v>43886</v>
      </c>
      <c r="D188">
        <v>137</v>
      </c>
      <c r="E188">
        <v>37</v>
      </c>
      <c r="F188">
        <v>20444.240000000002</v>
      </c>
      <c r="G188">
        <v>9</v>
      </c>
    </row>
    <row r="189" spans="1:7" x14ac:dyDescent="0.3">
      <c r="A189" t="s">
        <v>200</v>
      </c>
      <c r="B189" t="s">
        <v>16</v>
      </c>
      <c r="C189" s="3">
        <v>42927</v>
      </c>
      <c r="D189">
        <v>133</v>
      </c>
      <c r="E189">
        <v>7</v>
      </c>
      <c r="F189">
        <v>5835.05</v>
      </c>
      <c r="G189">
        <v>9</v>
      </c>
    </row>
    <row r="190" spans="1:7" x14ac:dyDescent="0.3">
      <c r="A190" t="s">
        <v>201</v>
      </c>
      <c r="B190" t="s">
        <v>11</v>
      </c>
      <c r="C190" s="3">
        <v>42062</v>
      </c>
      <c r="D190">
        <v>296</v>
      </c>
      <c r="E190">
        <v>75</v>
      </c>
      <c r="F190">
        <v>49968.47</v>
      </c>
      <c r="G190">
        <v>6</v>
      </c>
    </row>
    <row r="191" spans="1:7" x14ac:dyDescent="0.3">
      <c r="A191" t="s">
        <v>202</v>
      </c>
      <c r="B191" t="s">
        <v>13</v>
      </c>
      <c r="C191" s="3">
        <v>43541</v>
      </c>
      <c r="D191">
        <v>141</v>
      </c>
      <c r="E191">
        <v>7</v>
      </c>
      <c r="F191">
        <v>11230.72</v>
      </c>
      <c r="G191">
        <v>8</v>
      </c>
    </row>
    <row r="192" spans="1:7" x14ac:dyDescent="0.3">
      <c r="A192" t="s">
        <v>203</v>
      </c>
      <c r="B192" t="s">
        <v>26</v>
      </c>
      <c r="C192" s="3">
        <v>43631</v>
      </c>
      <c r="D192">
        <v>255</v>
      </c>
      <c r="E192">
        <v>75</v>
      </c>
      <c r="F192">
        <v>25680.45</v>
      </c>
      <c r="G192">
        <v>3</v>
      </c>
    </row>
    <row r="193" spans="1:7" x14ac:dyDescent="0.3">
      <c r="A193" t="s">
        <v>204</v>
      </c>
      <c r="B193" t="s">
        <v>22</v>
      </c>
      <c r="C193" s="3">
        <v>43189</v>
      </c>
      <c r="D193">
        <v>224</v>
      </c>
      <c r="E193">
        <v>32</v>
      </c>
      <c r="F193">
        <v>45151.51</v>
      </c>
      <c r="G193">
        <v>7</v>
      </c>
    </row>
    <row r="194" spans="1:7" x14ac:dyDescent="0.3">
      <c r="A194" t="s">
        <v>205</v>
      </c>
      <c r="B194" t="s">
        <v>11</v>
      </c>
      <c r="C194" s="3">
        <v>43833</v>
      </c>
      <c r="D194">
        <v>165</v>
      </c>
      <c r="E194">
        <v>37</v>
      </c>
      <c r="F194">
        <v>38466.33</v>
      </c>
      <c r="G194">
        <v>9</v>
      </c>
    </row>
    <row r="195" spans="1:7" x14ac:dyDescent="0.3">
      <c r="A195" t="s">
        <v>206</v>
      </c>
      <c r="B195" t="s">
        <v>13</v>
      </c>
      <c r="C195" s="3">
        <v>43696</v>
      </c>
      <c r="D195">
        <v>185</v>
      </c>
      <c r="E195">
        <v>27</v>
      </c>
      <c r="F195">
        <v>22720.16</v>
      </c>
      <c r="G195">
        <v>8</v>
      </c>
    </row>
    <row r="196" spans="1:7" x14ac:dyDescent="0.3">
      <c r="A196" t="s">
        <v>207</v>
      </c>
      <c r="B196" t="s">
        <v>13</v>
      </c>
      <c r="C196" s="3">
        <v>42777</v>
      </c>
      <c r="D196">
        <v>272</v>
      </c>
      <c r="E196">
        <v>60</v>
      </c>
      <c r="F196">
        <v>49719.67</v>
      </c>
      <c r="G196">
        <v>3</v>
      </c>
    </row>
    <row r="197" spans="1:7" x14ac:dyDescent="0.3">
      <c r="A197" t="s">
        <v>208</v>
      </c>
      <c r="B197" t="s">
        <v>22</v>
      </c>
      <c r="C197" s="3">
        <v>42039</v>
      </c>
      <c r="D197">
        <v>174</v>
      </c>
      <c r="E197">
        <v>6</v>
      </c>
      <c r="F197">
        <v>27594.41</v>
      </c>
      <c r="G197">
        <v>7</v>
      </c>
    </row>
    <row r="198" spans="1:7" x14ac:dyDescent="0.3">
      <c r="A198" t="s">
        <v>209</v>
      </c>
      <c r="B198" t="s">
        <v>13</v>
      </c>
      <c r="C198" s="3">
        <v>44160</v>
      </c>
      <c r="D198">
        <v>125</v>
      </c>
      <c r="E198">
        <v>30</v>
      </c>
      <c r="F198">
        <v>25009.35</v>
      </c>
      <c r="G198">
        <v>9</v>
      </c>
    </row>
    <row r="199" spans="1:7" x14ac:dyDescent="0.3">
      <c r="A199" t="s">
        <v>210</v>
      </c>
      <c r="B199" t="s">
        <v>11</v>
      </c>
      <c r="C199" s="3">
        <v>43572</v>
      </c>
      <c r="D199">
        <v>277</v>
      </c>
      <c r="E199">
        <v>2</v>
      </c>
      <c r="F199">
        <v>21024.3</v>
      </c>
      <c r="G199">
        <v>7</v>
      </c>
    </row>
    <row r="200" spans="1:7" x14ac:dyDescent="0.3">
      <c r="A200" t="s">
        <v>211</v>
      </c>
      <c r="B200" t="s">
        <v>11</v>
      </c>
      <c r="C200" s="3">
        <v>42680</v>
      </c>
      <c r="D200">
        <v>105</v>
      </c>
      <c r="E200">
        <v>25</v>
      </c>
      <c r="F200">
        <v>26663.66</v>
      </c>
      <c r="G200">
        <v>8</v>
      </c>
    </row>
    <row r="201" spans="1:7" x14ac:dyDescent="0.3">
      <c r="A201" t="s">
        <v>212</v>
      </c>
      <c r="B201" t="s">
        <v>16</v>
      </c>
      <c r="C201" s="3">
        <v>43828</v>
      </c>
      <c r="D201">
        <v>59</v>
      </c>
      <c r="E201">
        <v>14</v>
      </c>
      <c r="F201">
        <v>5362.85</v>
      </c>
      <c r="G201">
        <v>6</v>
      </c>
    </row>
    <row r="202" spans="1:7" x14ac:dyDescent="0.3">
      <c r="A202" t="s">
        <v>213</v>
      </c>
      <c r="B202" t="s">
        <v>16</v>
      </c>
      <c r="C202" s="3">
        <v>42932</v>
      </c>
      <c r="D202">
        <v>135</v>
      </c>
      <c r="E202">
        <v>32</v>
      </c>
      <c r="F202">
        <v>16245.97</v>
      </c>
      <c r="G202">
        <v>0</v>
      </c>
    </row>
    <row r="203" spans="1:7" x14ac:dyDescent="0.3">
      <c r="A203" t="s">
        <v>214</v>
      </c>
      <c r="B203" t="s">
        <v>13</v>
      </c>
      <c r="C203" s="3">
        <v>44631</v>
      </c>
      <c r="D203">
        <v>232</v>
      </c>
      <c r="E203">
        <v>14</v>
      </c>
      <c r="F203">
        <v>20545.759999999998</v>
      </c>
      <c r="G203">
        <v>7</v>
      </c>
    </row>
    <row r="204" spans="1:7" x14ac:dyDescent="0.3">
      <c r="A204" t="s">
        <v>215</v>
      </c>
      <c r="B204" t="s">
        <v>8</v>
      </c>
      <c r="C204" s="3">
        <v>42364</v>
      </c>
      <c r="D204">
        <v>261</v>
      </c>
      <c r="E204">
        <v>67</v>
      </c>
      <c r="F204">
        <v>17328.07</v>
      </c>
      <c r="G204">
        <v>5</v>
      </c>
    </row>
    <row r="205" spans="1:7" x14ac:dyDescent="0.3">
      <c r="A205" t="s">
        <v>216</v>
      </c>
      <c r="B205" t="s">
        <v>26</v>
      </c>
      <c r="C205" s="3">
        <v>43014</v>
      </c>
      <c r="D205">
        <v>101</v>
      </c>
      <c r="E205">
        <v>21</v>
      </c>
      <c r="F205">
        <v>48092.29</v>
      </c>
      <c r="G205">
        <v>9</v>
      </c>
    </row>
    <row r="206" spans="1:7" x14ac:dyDescent="0.3">
      <c r="A206" t="s">
        <v>217</v>
      </c>
      <c r="B206" t="s">
        <v>8</v>
      </c>
      <c r="C206" s="3">
        <v>42256</v>
      </c>
      <c r="D206">
        <v>126</v>
      </c>
      <c r="E206">
        <v>24</v>
      </c>
      <c r="F206">
        <v>42533.91</v>
      </c>
      <c r="G206">
        <v>1</v>
      </c>
    </row>
    <row r="207" spans="1:7" x14ac:dyDescent="0.3">
      <c r="A207" t="s">
        <v>218</v>
      </c>
      <c r="B207" t="s">
        <v>16</v>
      </c>
      <c r="C207" s="3">
        <v>43396</v>
      </c>
      <c r="D207">
        <v>239</v>
      </c>
      <c r="E207">
        <v>46</v>
      </c>
      <c r="F207">
        <v>33455</v>
      </c>
      <c r="G207">
        <v>2</v>
      </c>
    </row>
    <row r="208" spans="1:7" x14ac:dyDescent="0.3">
      <c r="A208" t="s">
        <v>219</v>
      </c>
      <c r="B208" t="s">
        <v>11</v>
      </c>
      <c r="C208" s="3">
        <v>44449</v>
      </c>
      <c r="D208">
        <v>268</v>
      </c>
      <c r="E208">
        <v>10</v>
      </c>
      <c r="F208">
        <v>49548.01</v>
      </c>
      <c r="G208">
        <v>8</v>
      </c>
    </row>
    <row r="209" spans="1:7" x14ac:dyDescent="0.3">
      <c r="A209" t="s">
        <v>220</v>
      </c>
      <c r="B209" t="s">
        <v>22</v>
      </c>
      <c r="C209" s="3">
        <v>43953</v>
      </c>
      <c r="D209">
        <v>283</v>
      </c>
      <c r="E209">
        <v>82</v>
      </c>
      <c r="F209">
        <v>5005.97</v>
      </c>
      <c r="G209">
        <v>0</v>
      </c>
    </row>
    <row r="210" spans="1:7" x14ac:dyDescent="0.3">
      <c r="A210" t="s">
        <v>221</v>
      </c>
      <c r="B210" t="s">
        <v>8</v>
      </c>
      <c r="C210" s="3">
        <v>43136</v>
      </c>
      <c r="D210">
        <v>108</v>
      </c>
      <c r="E210">
        <v>28</v>
      </c>
      <c r="F210">
        <v>38810.28</v>
      </c>
      <c r="G210">
        <v>1</v>
      </c>
    </row>
    <row r="211" spans="1:7" x14ac:dyDescent="0.3">
      <c r="A211" t="s">
        <v>222</v>
      </c>
      <c r="B211" t="s">
        <v>8</v>
      </c>
      <c r="C211" s="3">
        <v>43095</v>
      </c>
      <c r="D211">
        <v>59</v>
      </c>
      <c r="E211">
        <v>11</v>
      </c>
      <c r="F211">
        <v>7422.02</v>
      </c>
      <c r="G211">
        <v>4</v>
      </c>
    </row>
    <row r="212" spans="1:7" x14ac:dyDescent="0.3">
      <c r="A212" t="s">
        <v>223</v>
      </c>
      <c r="B212" t="s">
        <v>11</v>
      </c>
      <c r="C212" s="3">
        <v>43773</v>
      </c>
      <c r="D212">
        <v>151</v>
      </c>
      <c r="E212">
        <v>11</v>
      </c>
      <c r="F212">
        <v>38799</v>
      </c>
      <c r="G212">
        <v>0</v>
      </c>
    </row>
    <row r="213" spans="1:7" x14ac:dyDescent="0.3">
      <c r="A213" t="s">
        <v>224</v>
      </c>
      <c r="B213" t="s">
        <v>13</v>
      </c>
      <c r="C213" s="3">
        <v>43200</v>
      </c>
      <c r="D213">
        <v>225</v>
      </c>
      <c r="E213">
        <v>32</v>
      </c>
      <c r="F213">
        <v>12882.99</v>
      </c>
      <c r="G213">
        <v>4</v>
      </c>
    </row>
    <row r="214" spans="1:7" x14ac:dyDescent="0.3">
      <c r="A214" t="s">
        <v>225</v>
      </c>
      <c r="B214" t="s">
        <v>11</v>
      </c>
      <c r="C214" s="3">
        <v>44429</v>
      </c>
      <c r="D214">
        <v>295</v>
      </c>
      <c r="E214">
        <v>14</v>
      </c>
      <c r="F214">
        <v>31903.21</v>
      </c>
      <c r="G214">
        <v>6</v>
      </c>
    </row>
    <row r="215" spans="1:7" x14ac:dyDescent="0.3">
      <c r="A215" t="s">
        <v>226</v>
      </c>
      <c r="B215" t="s">
        <v>11</v>
      </c>
      <c r="C215" s="3">
        <v>42130</v>
      </c>
      <c r="D215">
        <v>171</v>
      </c>
      <c r="E215">
        <v>27</v>
      </c>
      <c r="F215">
        <v>28472.48</v>
      </c>
      <c r="G215">
        <v>4</v>
      </c>
    </row>
    <row r="216" spans="1:7" x14ac:dyDescent="0.3">
      <c r="A216" t="s">
        <v>227</v>
      </c>
      <c r="B216" t="s">
        <v>16</v>
      </c>
      <c r="C216" s="3">
        <v>44750</v>
      </c>
      <c r="D216">
        <v>292</v>
      </c>
      <c r="E216">
        <v>14</v>
      </c>
      <c r="F216">
        <v>7429.03</v>
      </c>
      <c r="G216">
        <v>5</v>
      </c>
    </row>
    <row r="217" spans="1:7" x14ac:dyDescent="0.3">
      <c r="A217" t="s">
        <v>228</v>
      </c>
      <c r="B217" t="s">
        <v>26</v>
      </c>
      <c r="C217" s="3">
        <v>43567</v>
      </c>
      <c r="D217">
        <v>119</v>
      </c>
      <c r="E217">
        <v>15</v>
      </c>
      <c r="F217">
        <v>36493.589999999997</v>
      </c>
      <c r="G217">
        <v>3</v>
      </c>
    </row>
    <row r="218" spans="1:7" x14ac:dyDescent="0.3">
      <c r="A218" t="s">
        <v>229</v>
      </c>
      <c r="B218" t="s">
        <v>8</v>
      </c>
      <c r="C218" s="3">
        <v>43157</v>
      </c>
      <c r="D218">
        <v>249</v>
      </c>
      <c r="E218">
        <v>70</v>
      </c>
      <c r="F218">
        <v>17136.95</v>
      </c>
      <c r="G218">
        <v>0</v>
      </c>
    </row>
    <row r="219" spans="1:7" x14ac:dyDescent="0.3">
      <c r="A219" t="s">
        <v>230</v>
      </c>
      <c r="B219" t="s">
        <v>11</v>
      </c>
      <c r="C219" s="3">
        <v>44078</v>
      </c>
      <c r="D219">
        <v>66</v>
      </c>
      <c r="E219">
        <v>15</v>
      </c>
      <c r="F219">
        <v>38700.660000000003</v>
      </c>
      <c r="G219">
        <v>4</v>
      </c>
    </row>
    <row r="220" spans="1:7" x14ac:dyDescent="0.3">
      <c r="A220" t="s">
        <v>231</v>
      </c>
      <c r="B220" t="s">
        <v>13</v>
      </c>
      <c r="C220" s="3">
        <v>42831</v>
      </c>
      <c r="D220">
        <v>172</v>
      </c>
      <c r="E220">
        <v>16</v>
      </c>
      <c r="F220">
        <v>31190.55</v>
      </c>
      <c r="G220">
        <v>7</v>
      </c>
    </row>
    <row r="221" spans="1:7" x14ac:dyDescent="0.3">
      <c r="A221" t="s">
        <v>232</v>
      </c>
      <c r="B221" t="s">
        <v>13</v>
      </c>
      <c r="C221" s="3">
        <v>44078</v>
      </c>
      <c r="D221">
        <v>148</v>
      </c>
      <c r="E221">
        <v>41</v>
      </c>
      <c r="F221">
        <v>31530.66</v>
      </c>
      <c r="G221">
        <v>3</v>
      </c>
    </row>
    <row r="222" spans="1:7" x14ac:dyDescent="0.3">
      <c r="A222" t="s">
        <v>233</v>
      </c>
      <c r="B222" t="s">
        <v>13</v>
      </c>
      <c r="C222" s="3">
        <v>42264</v>
      </c>
      <c r="D222">
        <v>152</v>
      </c>
      <c r="E222">
        <v>40</v>
      </c>
      <c r="F222">
        <v>10494.51</v>
      </c>
      <c r="G222">
        <v>5</v>
      </c>
    </row>
    <row r="223" spans="1:7" x14ac:dyDescent="0.3">
      <c r="A223" t="s">
        <v>234</v>
      </c>
      <c r="B223" t="s">
        <v>16</v>
      </c>
      <c r="C223" s="3">
        <v>44041</v>
      </c>
      <c r="D223">
        <v>218</v>
      </c>
      <c r="E223">
        <v>0</v>
      </c>
      <c r="F223">
        <v>18257.009999999998</v>
      </c>
      <c r="G223">
        <v>3</v>
      </c>
    </row>
    <row r="224" spans="1:7" x14ac:dyDescent="0.3">
      <c r="A224" t="s">
        <v>235</v>
      </c>
      <c r="B224" t="s">
        <v>26</v>
      </c>
      <c r="C224" s="3">
        <v>44907</v>
      </c>
      <c r="D224">
        <v>92</v>
      </c>
      <c r="E224">
        <v>10</v>
      </c>
      <c r="F224">
        <v>41356.65</v>
      </c>
      <c r="G224">
        <v>9</v>
      </c>
    </row>
    <row r="225" spans="1:7" x14ac:dyDescent="0.3">
      <c r="A225" t="s">
        <v>236</v>
      </c>
      <c r="B225" t="s">
        <v>13</v>
      </c>
      <c r="C225" s="3">
        <v>42555</v>
      </c>
      <c r="D225">
        <v>64</v>
      </c>
      <c r="E225">
        <v>1</v>
      </c>
      <c r="F225">
        <v>13737.82</v>
      </c>
      <c r="G225">
        <v>9</v>
      </c>
    </row>
    <row r="226" spans="1:7" x14ac:dyDescent="0.3">
      <c r="A226" t="s">
        <v>237</v>
      </c>
      <c r="B226" t="s">
        <v>13</v>
      </c>
      <c r="C226" s="3">
        <v>44217</v>
      </c>
      <c r="D226">
        <v>188</v>
      </c>
      <c r="E226">
        <v>35</v>
      </c>
      <c r="F226">
        <v>6126.5</v>
      </c>
      <c r="G226">
        <v>1</v>
      </c>
    </row>
    <row r="227" spans="1:7" x14ac:dyDescent="0.3">
      <c r="A227" t="s">
        <v>238</v>
      </c>
      <c r="B227" t="s">
        <v>13</v>
      </c>
      <c r="C227" s="3">
        <v>44442</v>
      </c>
      <c r="D227">
        <v>104</v>
      </c>
      <c r="E227">
        <v>7</v>
      </c>
      <c r="F227">
        <v>39955.599999999999</v>
      </c>
      <c r="G227">
        <v>9</v>
      </c>
    </row>
    <row r="228" spans="1:7" x14ac:dyDescent="0.3">
      <c r="A228" t="s">
        <v>239</v>
      </c>
      <c r="B228" t="s">
        <v>26</v>
      </c>
      <c r="C228" s="3">
        <v>43277</v>
      </c>
      <c r="D228">
        <v>227</v>
      </c>
      <c r="E228">
        <v>10</v>
      </c>
      <c r="F228">
        <v>43640.61</v>
      </c>
      <c r="G228">
        <v>9</v>
      </c>
    </row>
    <row r="229" spans="1:7" x14ac:dyDescent="0.3">
      <c r="A229" t="s">
        <v>240</v>
      </c>
      <c r="B229" t="s">
        <v>8</v>
      </c>
      <c r="C229" s="3">
        <v>43462</v>
      </c>
      <c r="D229">
        <v>257</v>
      </c>
      <c r="E229">
        <v>31</v>
      </c>
      <c r="F229">
        <v>8835.4</v>
      </c>
      <c r="G229">
        <v>0</v>
      </c>
    </row>
    <row r="230" spans="1:7" x14ac:dyDescent="0.3">
      <c r="A230" t="s">
        <v>241</v>
      </c>
      <c r="B230" t="s">
        <v>22</v>
      </c>
      <c r="C230" s="3">
        <v>43169</v>
      </c>
      <c r="D230">
        <v>177</v>
      </c>
      <c r="E230">
        <v>20</v>
      </c>
      <c r="F230">
        <v>11215.99</v>
      </c>
      <c r="G230">
        <v>2</v>
      </c>
    </row>
    <row r="231" spans="1:7" x14ac:dyDescent="0.3">
      <c r="A231" t="s">
        <v>242</v>
      </c>
      <c r="B231" t="s">
        <v>13</v>
      </c>
      <c r="C231" s="3">
        <v>43948</v>
      </c>
      <c r="D231">
        <v>149</v>
      </c>
      <c r="E231">
        <v>32</v>
      </c>
      <c r="F231">
        <v>47105</v>
      </c>
      <c r="G231">
        <v>9</v>
      </c>
    </row>
    <row r="232" spans="1:7" x14ac:dyDescent="0.3">
      <c r="A232" t="s">
        <v>243</v>
      </c>
      <c r="B232" t="s">
        <v>26</v>
      </c>
      <c r="C232" s="3">
        <v>43013</v>
      </c>
      <c r="D232">
        <v>69</v>
      </c>
      <c r="E232">
        <v>14</v>
      </c>
      <c r="F232">
        <v>44819.32</v>
      </c>
      <c r="G232">
        <v>0</v>
      </c>
    </row>
    <row r="233" spans="1:7" x14ac:dyDescent="0.3">
      <c r="A233" t="s">
        <v>244</v>
      </c>
      <c r="B233" t="s">
        <v>22</v>
      </c>
      <c r="C233" s="3">
        <v>44396</v>
      </c>
      <c r="D233">
        <v>113</v>
      </c>
      <c r="E233">
        <v>14</v>
      </c>
      <c r="F233">
        <v>45620.9</v>
      </c>
      <c r="G233">
        <v>3</v>
      </c>
    </row>
    <row r="234" spans="1:7" x14ac:dyDescent="0.3">
      <c r="A234" t="s">
        <v>245</v>
      </c>
      <c r="B234" t="s">
        <v>26</v>
      </c>
      <c r="C234" s="3">
        <v>44006</v>
      </c>
      <c r="D234">
        <v>213</v>
      </c>
      <c r="E234">
        <v>18</v>
      </c>
      <c r="F234">
        <v>43729.63</v>
      </c>
      <c r="G234">
        <v>3</v>
      </c>
    </row>
    <row r="235" spans="1:7" x14ac:dyDescent="0.3">
      <c r="A235" t="s">
        <v>246</v>
      </c>
      <c r="B235" t="s">
        <v>26</v>
      </c>
      <c r="C235" s="3">
        <v>42552</v>
      </c>
      <c r="D235">
        <v>237</v>
      </c>
      <c r="E235">
        <v>4</v>
      </c>
      <c r="F235">
        <v>22135.57</v>
      </c>
      <c r="G235">
        <v>8</v>
      </c>
    </row>
    <row r="236" spans="1:7" x14ac:dyDescent="0.3">
      <c r="A236" t="s">
        <v>247</v>
      </c>
      <c r="B236" t="s">
        <v>22</v>
      </c>
      <c r="C236" s="3">
        <v>44419</v>
      </c>
      <c r="D236">
        <v>245</v>
      </c>
      <c r="E236">
        <v>1</v>
      </c>
      <c r="F236">
        <v>47711.78</v>
      </c>
      <c r="G236">
        <v>4</v>
      </c>
    </row>
    <row r="237" spans="1:7" x14ac:dyDescent="0.3">
      <c r="A237" t="s">
        <v>248</v>
      </c>
      <c r="B237" t="s">
        <v>16</v>
      </c>
      <c r="C237" s="3">
        <v>42668</v>
      </c>
      <c r="D237">
        <v>287</v>
      </c>
      <c r="E237">
        <v>77</v>
      </c>
      <c r="F237">
        <v>39142.85</v>
      </c>
      <c r="G237">
        <v>1</v>
      </c>
    </row>
    <row r="238" spans="1:7" x14ac:dyDescent="0.3">
      <c r="A238" t="s">
        <v>249</v>
      </c>
      <c r="B238" t="s">
        <v>13</v>
      </c>
      <c r="C238" s="3">
        <v>43255</v>
      </c>
      <c r="D238">
        <v>88</v>
      </c>
      <c r="E238">
        <v>2</v>
      </c>
      <c r="F238">
        <v>15053.45</v>
      </c>
      <c r="G238">
        <v>5</v>
      </c>
    </row>
    <row r="239" spans="1:7" x14ac:dyDescent="0.3">
      <c r="A239" t="s">
        <v>250</v>
      </c>
      <c r="B239" t="s">
        <v>26</v>
      </c>
      <c r="C239" s="3">
        <v>44491</v>
      </c>
      <c r="D239">
        <v>130</v>
      </c>
      <c r="E239">
        <v>30</v>
      </c>
      <c r="F239">
        <v>39342.21</v>
      </c>
      <c r="G239">
        <v>7</v>
      </c>
    </row>
    <row r="240" spans="1:7" x14ac:dyDescent="0.3">
      <c r="A240" t="s">
        <v>251</v>
      </c>
      <c r="B240" t="s">
        <v>16</v>
      </c>
      <c r="C240" s="3">
        <v>44314</v>
      </c>
      <c r="D240">
        <v>191</v>
      </c>
      <c r="E240">
        <v>7</v>
      </c>
      <c r="F240">
        <v>49367.97</v>
      </c>
      <c r="G240">
        <v>9</v>
      </c>
    </row>
    <row r="241" spans="1:7" x14ac:dyDescent="0.3">
      <c r="A241" t="s">
        <v>252</v>
      </c>
      <c r="B241" t="s">
        <v>22</v>
      </c>
      <c r="C241" s="3">
        <v>44420</v>
      </c>
      <c r="D241">
        <v>259</v>
      </c>
      <c r="E241">
        <v>12</v>
      </c>
      <c r="F241">
        <v>32918.65</v>
      </c>
      <c r="G241">
        <v>2</v>
      </c>
    </row>
    <row r="242" spans="1:7" x14ac:dyDescent="0.3">
      <c r="A242" t="s">
        <v>253</v>
      </c>
      <c r="B242" t="s">
        <v>22</v>
      </c>
      <c r="C242" s="3">
        <v>42736</v>
      </c>
      <c r="D242">
        <v>197</v>
      </c>
      <c r="E242">
        <v>33</v>
      </c>
      <c r="F242">
        <v>31909.41</v>
      </c>
      <c r="G242">
        <v>4</v>
      </c>
    </row>
    <row r="243" spans="1:7" x14ac:dyDescent="0.3">
      <c r="A243" t="s">
        <v>254</v>
      </c>
      <c r="B243" t="s">
        <v>11</v>
      </c>
      <c r="C243" s="3">
        <v>43183</v>
      </c>
      <c r="D243">
        <v>297</v>
      </c>
      <c r="E243">
        <v>85</v>
      </c>
      <c r="F243">
        <v>10580.67</v>
      </c>
      <c r="G243">
        <v>4</v>
      </c>
    </row>
    <row r="244" spans="1:7" x14ac:dyDescent="0.3">
      <c r="A244" t="s">
        <v>255</v>
      </c>
      <c r="B244" t="s">
        <v>26</v>
      </c>
      <c r="C244" s="3">
        <v>43417</v>
      </c>
      <c r="D244">
        <v>208</v>
      </c>
      <c r="E244">
        <v>32</v>
      </c>
      <c r="F244">
        <v>48400.99</v>
      </c>
      <c r="G244">
        <v>9</v>
      </c>
    </row>
    <row r="245" spans="1:7" x14ac:dyDescent="0.3">
      <c r="A245" t="s">
        <v>256</v>
      </c>
      <c r="B245" t="s">
        <v>13</v>
      </c>
      <c r="C245" s="3">
        <v>43213</v>
      </c>
      <c r="D245">
        <v>141</v>
      </c>
      <c r="E245">
        <v>18</v>
      </c>
      <c r="F245">
        <v>30437.53</v>
      </c>
      <c r="G245">
        <v>0</v>
      </c>
    </row>
    <row r="246" spans="1:7" x14ac:dyDescent="0.3">
      <c r="A246" t="s">
        <v>257</v>
      </c>
      <c r="B246" t="s">
        <v>8</v>
      </c>
      <c r="C246" s="3">
        <v>44672</v>
      </c>
      <c r="D246">
        <v>173</v>
      </c>
      <c r="E246">
        <v>41</v>
      </c>
      <c r="F246">
        <v>43809.85</v>
      </c>
      <c r="G246">
        <v>8</v>
      </c>
    </row>
    <row r="247" spans="1:7" x14ac:dyDescent="0.3">
      <c r="A247" t="s">
        <v>258</v>
      </c>
      <c r="B247" t="s">
        <v>26</v>
      </c>
      <c r="C247" s="3">
        <v>42625</v>
      </c>
      <c r="D247">
        <v>262</v>
      </c>
      <c r="E247">
        <v>43</v>
      </c>
      <c r="F247">
        <v>5275.48</v>
      </c>
      <c r="G247">
        <v>1</v>
      </c>
    </row>
    <row r="248" spans="1:7" x14ac:dyDescent="0.3">
      <c r="A248" t="s">
        <v>259</v>
      </c>
      <c r="B248" t="s">
        <v>8</v>
      </c>
      <c r="C248" s="3">
        <v>42092</v>
      </c>
      <c r="D248">
        <v>154</v>
      </c>
      <c r="E248">
        <v>8</v>
      </c>
      <c r="F248">
        <v>29017.3</v>
      </c>
      <c r="G248">
        <v>3</v>
      </c>
    </row>
    <row r="249" spans="1:7" x14ac:dyDescent="0.3">
      <c r="A249" t="s">
        <v>260</v>
      </c>
      <c r="B249" t="s">
        <v>8</v>
      </c>
      <c r="C249" s="3">
        <v>42466</v>
      </c>
      <c r="D249">
        <v>232</v>
      </c>
      <c r="E249">
        <v>26</v>
      </c>
      <c r="F249">
        <v>7680.16</v>
      </c>
      <c r="G249">
        <v>8</v>
      </c>
    </row>
    <row r="250" spans="1:7" x14ac:dyDescent="0.3">
      <c r="A250" t="s">
        <v>261</v>
      </c>
      <c r="B250" t="s">
        <v>26</v>
      </c>
      <c r="C250" s="3">
        <v>44610</v>
      </c>
      <c r="D250">
        <v>90</v>
      </c>
      <c r="E250">
        <v>5</v>
      </c>
      <c r="F250">
        <v>26793.56</v>
      </c>
      <c r="G250">
        <v>3</v>
      </c>
    </row>
    <row r="251" spans="1:7" x14ac:dyDescent="0.3">
      <c r="A251" t="s">
        <v>262</v>
      </c>
      <c r="B251" t="s">
        <v>22</v>
      </c>
      <c r="C251" s="3">
        <v>44508</v>
      </c>
      <c r="D251">
        <v>53</v>
      </c>
      <c r="E251">
        <v>9</v>
      </c>
      <c r="F251">
        <v>18469.240000000002</v>
      </c>
      <c r="G251">
        <v>5</v>
      </c>
    </row>
    <row r="252" spans="1:7" x14ac:dyDescent="0.3">
      <c r="A252" t="s">
        <v>263</v>
      </c>
      <c r="B252" t="s">
        <v>16</v>
      </c>
      <c r="C252" s="3">
        <v>42490</v>
      </c>
      <c r="D252">
        <v>215</v>
      </c>
      <c r="E252">
        <v>24</v>
      </c>
      <c r="F252">
        <v>39146.9</v>
      </c>
      <c r="G252">
        <v>6</v>
      </c>
    </row>
    <row r="253" spans="1:7" x14ac:dyDescent="0.3">
      <c r="A253" t="s">
        <v>264</v>
      </c>
      <c r="B253" t="s">
        <v>8</v>
      </c>
      <c r="C253" s="3">
        <v>43943</v>
      </c>
      <c r="D253">
        <v>219</v>
      </c>
      <c r="E253">
        <v>62</v>
      </c>
      <c r="F253">
        <v>13526.32</v>
      </c>
      <c r="G253">
        <v>6</v>
      </c>
    </row>
    <row r="254" spans="1:7" x14ac:dyDescent="0.3">
      <c r="A254" t="s">
        <v>265</v>
      </c>
      <c r="B254" t="s">
        <v>16</v>
      </c>
      <c r="C254" s="3">
        <v>44162</v>
      </c>
      <c r="D254">
        <v>201</v>
      </c>
      <c r="E254">
        <v>52</v>
      </c>
      <c r="F254">
        <v>9676.89</v>
      </c>
      <c r="G254">
        <v>0</v>
      </c>
    </row>
    <row r="255" spans="1:7" x14ac:dyDescent="0.3">
      <c r="A255" t="s">
        <v>266</v>
      </c>
      <c r="B255" t="s">
        <v>26</v>
      </c>
      <c r="C255" s="3">
        <v>43150</v>
      </c>
      <c r="D255">
        <v>110</v>
      </c>
      <c r="E255">
        <v>21</v>
      </c>
      <c r="F255">
        <v>18072.990000000002</v>
      </c>
      <c r="G255">
        <v>4</v>
      </c>
    </row>
    <row r="256" spans="1:7" x14ac:dyDescent="0.3">
      <c r="A256" t="s">
        <v>267</v>
      </c>
      <c r="B256" t="s">
        <v>26</v>
      </c>
      <c r="C256" s="3">
        <v>42860</v>
      </c>
      <c r="D256">
        <v>187</v>
      </c>
      <c r="E256">
        <v>0</v>
      </c>
      <c r="F256">
        <v>35808.589999999997</v>
      </c>
      <c r="G256">
        <v>7</v>
      </c>
    </row>
    <row r="257" spans="1:7" x14ac:dyDescent="0.3">
      <c r="A257" t="s">
        <v>268</v>
      </c>
      <c r="B257" t="s">
        <v>22</v>
      </c>
      <c r="C257" s="3">
        <v>44662</v>
      </c>
      <c r="D257">
        <v>103</v>
      </c>
      <c r="E257">
        <v>1</v>
      </c>
      <c r="F257">
        <v>21219.24</v>
      </c>
      <c r="G257">
        <v>6</v>
      </c>
    </row>
    <row r="258" spans="1:7" x14ac:dyDescent="0.3">
      <c r="A258" t="s">
        <v>269</v>
      </c>
      <c r="B258" t="s">
        <v>8</v>
      </c>
      <c r="C258" s="3">
        <v>43423</v>
      </c>
      <c r="D258">
        <v>144</v>
      </c>
      <c r="E258">
        <v>4</v>
      </c>
      <c r="F258">
        <v>39019.440000000002</v>
      </c>
      <c r="G258">
        <v>8</v>
      </c>
    </row>
    <row r="259" spans="1:7" x14ac:dyDescent="0.3">
      <c r="A259" t="s">
        <v>270</v>
      </c>
      <c r="B259" t="s">
        <v>16</v>
      </c>
      <c r="C259" s="3">
        <v>44886</v>
      </c>
      <c r="D259">
        <v>247</v>
      </c>
      <c r="E259">
        <v>67</v>
      </c>
      <c r="F259">
        <v>15844.58</v>
      </c>
      <c r="G259">
        <v>4</v>
      </c>
    </row>
    <row r="260" spans="1:7" x14ac:dyDescent="0.3">
      <c r="A260" t="s">
        <v>271</v>
      </c>
      <c r="B260" t="s">
        <v>22</v>
      </c>
      <c r="C260" s="3">
        <v>44243</v>
      </c>
      <c r="D260">
        <v>226</v>
      </c>
      <c r="E260">
        <v>19</v>
      </c>
      <c r="F260">
        <v>45379.74</v>
      </c>
      <c r="G260">
        <v>8</v>
      </c>
    </row>
    <row r="261" spans="1:7" x14ac:dyDescent="0.3">
      <c r="A261" t="s">
        <v>272</v>
      </c>
      <c r="B261" t="s">
        <v>16</v>
      </c>
      <c r="C261" s="3">
        <v>43579</v>
      </c>
      <c r="D261">
        <v>175</v>
      </c>
      <c r="E261">
        <v>42</v>
      </c>
      <c r="F261">
        <v>29606.83</v>
      </c>
      <c r="G261">
        <v>6</v>
      </c>
    </row>
    <row r="262" spans="1:7" x14ac:dyDescent="0.3">
      <c r="A262" t="s">
        <v>273</v>
      </c>
      <c r="B262" t="s">
        <v>11</v>
      </c>
      <c r="C262" s="3">
        <v>43770</v>
      </c>
      <c r="D262">
        <v>245</v>
      </c>
      <c r="E262">
        <v>14</v>
      </c>
      <c r="F262">
        <v>25939.599999999999</v>
      </c>
      <c r="G262">
        <v>0</v>
      </c>
    </row>
    <row r="263" spans="1:7" x14ac:dyDescent="0.3">
      <c r="A263" t="s">
        <v>274</v>
      </c>
      <c r="B263" t="s">
        <v>22</v>
      </c>
      <c r="C263" s="3">
        <v>42728</v>
      </c>
      <c r="D263">
        <v>258</v>
      </c>
      <c r="E263">
        <v>56</v>
      </c>
      <c r="F263">
        <v>18254.88</v>
      </c>
      <c r="G263">
        <v>2</v>
      </c>
    </row>
    <row r="264" spans="1:7" x14ac:dyDescent="0.3">
      <c r="A264" t="s">
        <v>275</v>
      </c>
      <c r="B264" t="s">
        <v>11</v>
      </c>
      <c r="C264" s="3">
        <v>42975</v>
      </c>
      <c r="D264">
        <v>247</v>
      </c>
      <c r="E264">
        <v>2</v>
      </c>
      <c r="F264">
        <v>18068.099999999999</v>
      </c>
      <c r="G264">
        <v>0</v>
      </c>
    </row>
    <row r="265" spans="1:7" x14ac:dyDescent="0.3">
      <c r="A265" t="s">
        <v>276</v>
      </c>
      <c r="B265" t="s">
        <v>22</v>
      </c>
      <c r="C265" s="3">
        <v>43391</v>
      </c>
      <c r="D265">
        <v>267</v>
      </c>
      <c r="E265">
        <v>73</v>
      </c>
      <c r="F265">
        <v>18946.759999999998</v>
      </c>
      <c r="G265">
        <v>7</v>
      </c>
    </row>
    <row r="266" spans="1:7" x14ac:dyDescent="0.3">
      <c r="A266" t="s">
        <v>277</v>
      </c>
      <c r="B266" t="s">
        <v>11</v>
      </c>
      <c r="C266" s="3">
        <v>42039</v>
      </c>
      <c r="D266">
        <v>229</v>
      </c>
      <c r="E266">
        <v>67</v>
      </c>
      <c r="F266">
        <v>35260.6</v>
      </c>
      <c r="G266">
        <v>5</v>
      </c>
    </row>
    <row r="267" spans="1:7" x14ac:dyDescent="0.3">
      <c r="A267" t="s">
        <v>278</v>
      </c>
      <c r="B267" t="s">
        <v>8</v>
      </c>
      <c r="C267" s="3">
        <v>44756</v>
      </c>
      <c r="D267">
        <v>78</v>
      </c>
      <c r="E267">
        <v>20</v>
      </c>
      <c r="F267">
        <v>17365.439999999999</v>
      </c>
      <c r="G267">
        <v>9</v>
      </c>
    </row>
    <row r="268" spans="1:7" x14ac:dyDescent="0.3">
      <c r="A268" t="s">
        <v>279</v>
      </c>
      <c r="B268" t="s">
        <v>13</v>
      </c>
      <c r="C268" s="3">
        <v>42528</v>
      </c>
      <c r="D268">
        <v>268</v>
      </c>
      <c r="E268">
        <v>72</v>
      </c>
      <c r="F268">
        <v>48750.86</v>
      </c>
      <c r="G268">
        <v>7</v>
      </c>
    </row>
    <row r="269" spans="1:7" x14ac:dyDescent="0.3">
      <c r="A269" t="s">
        <v>280</v>
      </c>
      <c r="B269" t="s">
        <v>13</v>
      </c>
      <c r="C269" s="3">
        <v>43423</v>
      </c>
      <c r="D269">
        <v>227</v>
      </c>
      <c r="E269">
        <v>51</v>
      </c>
      <c r="F269">
        <v>22084.47</v>
      </c>
      <c r="G269">
        <v>4</v>
      </c>
    </row>
    <row r="270" spans="1:7" x14ac:dyDescent="0.3">
      <c r="A270" t="s">
        <v>281</v>
      </c>
      <c r="B270" t="s">
        <v>13</v>
      </c>
      <c r="C270" s="3">
        <v>43443</v>
      </c>
      <c r="D270">
        <v>77</v>
      </c>
      <c r="E270">
        <v>1</v>
      </c>
      <c r="F270">
        <v>21422.71</v>
      </c>
      <c r="G270">
        <v>7</v>
      </c>
    </row>
    <row r="271" spans="1:7" x14ac:dyDescent="0.3">
      <c r="A271" t="s">
        <v>282</v>
      </c>
      <c r="B271" t="s">
        <v>11</v>
      </c>
      <c r="C271" s="3">
        <v>44441</v>
      </c>
      <c r="D271">
        <v>243</v>
      </c>
      <c r="E271">
        <v>13</v>
      </c>
      <c r="F271">
        <v>34617.86</v>
      </c>
      <c r="G271">
        <v>5</v>
      </c>
    </row>
    <row r="272" spans="1:7" x14ac:dyDescent="0.3">
      <c r="A272" t="s">
        <v>283</v>
      </c>
      <c r="B272" t="s">
        <v>26</v>
      </c>
      <c r="C272" s="3">
        <v>44703</v>
      </c>
      <c r="D272">
        <v>295</v>
      </c>
      <c r="E272">
        <v>2</v>
      </c>
      <c r="F272">
        <v>15644.42</v>
      </c>
      <c r="G272">
        <v>7</v>
      </c>
    </row>
    <row r="273" spans="1:7" x14ac:dyDescent="0.3">
      <c r="A273" t="s">
        <v>284</v>
      </c>
      <c r="B273" t="s">
        <v>11</v>
      </c>
      <c r="C273" s="3">
        <v>44624</v>
      </c>
      <c r="D273">
        <v>257</v>
      </c>
      <c r="E273">
        <v>56</v>
      </c>
      <c r="F273">
        <v>11801.15</v>
      </c>
      <c r="G273">
        <v>4</v>
      </c>
    </row>
    <row r="274" spans="1:7" x14ac:dyDescent="0.3">
      <c r="A274" t="s">
        <v>285</v>
      </c>
      <c r="B274" t="s">
        <v>26</v>
      </c>
      <c r="C274" s="3">
        <v>43644</v>
      </c>
      <c r="D274">
        <v>270</v>
      </c>
      <c r="E274">
        <v>41</v>
      </c>
      <c r="F274">
        <v>11109.13</v>
      </c>
      <c r="G274">
        <v>8</v>
      </c>
    </row>
    <row r="275" spans="1:7" x14ac:dyDescent="0.3">
      <c r="A275" t="s">
        <v>286</v>
      </c>
      <c r="B275" t="s">
        <v>13</v>
      </c>
      <c r="C275" s="3">
        <v>42849</v>
      </c>
      <c r="D275">
        <v>211</v>
      </c>
      <c r="E275">
        <v>24</v>
      </c>
      <c r="F275">
        <v>43851.91</v>
      </c>
      <c r="G275">
        <v>1</v>
      </c>
    </row>
    <row r="276" spans="1:7" x14ac:dyDescent="0.3">
      <c r="A276" t="s">
        <v>287</v>
      </c>
      <c r="B276" t="s">
        <v>16</v>
      </c>
      <c r="C276" s="3">
        <v>44001</v>
      </c>
      <c r="D276">
        <v>109</v>
      </c>
      <c r="E276">
        <v>15</v>
      </c>
      <c r="F276">
        <v>21529.71</v>
      </c>
      <c r="G276">
        <v>1</v>
      </c>
    </row>
    <row r="277" spans="1:7" x14ac:dyDescent="0.3">
      <c r="A277" t="s">
        <v>288</v>
      </c>
      <c r="B277" t="s">
        <v>13</v>
      </c>
      <c r="C277" s="3">
        <v>42898</v>
      </c>
      <c r="D277">
        <v>136</v>
      </c>
      <c r="E277">
        <v>4</v>
      </c>
      <c r="F277">
        <v>23267.45</v>
      </c>
      <c r="G277">
        <v>1</v>
      </c>
    </row>
    <row r="278" spans="1:7" x14ac:dyDescent="0.3">
      <c r="A278" t="s">
        <v>289</v>
      </c>
      <c r="B278" t="s">
        <v>8</v>
      </c>
      <c r="C278" s="3">
        <v>42724</v>
      </c>
      <c r="D278">
        <v>133</v>
      </c>
      <c r="E278">
        <v>37</v>
      </c>
      <c r="F278">
        <v>45061.63</v>
      </c>
      <c r="G278">
        <v>6</v>
      </c>
    </row>
    <row r="279" spans="1:7" x14ac:dyDescent="0.3">
      <c r="A279" t="s">
        <v>290</v>
      </c>
      <c r="B279" t="s">
        <v>26</v>
      </c>
      <c r="C279" s="3">
        <v>42652</v>
      </c>
      <c r="D279">
        <v>299</v>
      </c>
      <c r="E279">
        <v>30</v>
      </c>
      <c r="F279">
        <v>33119.199999999997</v>
      </c>
      <c r="G279">
        <v>1</v>
      </c>
    </row>
    <row r="280" spans="1:7" x14ac:dyDescent="0.3">
      <c r="A280" t="s">
        <v>291</v>
      </c>
      <c r="B280" t="s">
        <v>26</v>
      </c>
      <c r="C280" s="3">
        <v>43488</v>
      </c>
      <c r="D280">
        <v>151</v>
      </c>
      <c r="E280">
        <v>30</v>
      </c>
      <c r="F280">
        <v>8419.17</v>
      </c>
      <c r="G280">
        <v>8</v>
      </c>
    </row>
    <row r="281" spans="1:7" x14ac:dyDescent="0.3">
      <c r="A281" t="s">
        <v>292</v>
      </c>
      <c r="B281" t="s">
        <v>22</v>
      </c>
      <c r="C281" s="3">
        <v>44009</v>
      </c>
      <c r="D281">
        <v>287</v>
      </c>
      <c r="E281">
        <v>69</v>
      </c>
      <c r="F281">
        <v>16122.65</v>
      </c>
      <c r="G281">
        <v>4</v>
      </c>
    </row>
    <row r="282" spans="1:7" x14ac:dyDescent="0.3">
      <c r="A282" t="s">
        <v>293</v>
      </c>
      <c r="B282" t="s">
        <v>8</v>
      </c>
      <c r="C282" s="3">
        <v>42508</v>
      </c>
      <c r="D282">
        <v>144</v>
      </c>
      <c r="E282">
        <v>25</v>
      </c>
      <c r="F282">
        <v>24430.7</v>
      </c>
      <c r="G282">
        <v>5</v>
      </c>
    </row>
    <row r="283" spans="1:7" x14ac:dyDescent="0.3">
      <c r="A283" t="s">
        <v>294</v>
      </c>
      <c r="B283" t="s">
        <v>11</v>
      </c>
      <c r="C283" s="3">
        <v>42394</v>
      </c>
      <c r="D283">
        <v>138</v>
      </c>
      <c r="E283">
        <v>39</v>
      </c>
      <c r="F283">
        <v>28916.15</v>
      </c>
      <c r="G283">
        <v>1</v>
      </c>
    </row>
    <row r="284" spans="1:7" x14ac:dyDescent="0.3">
      <c r="A284" t="s">
        <v>295</v>
      </c>
      <c r="B284" t="s">
        <v>13</v>
      </c>
      <c r="C284" s="3">
        <v>42484</v>
      </c>
      <c r="D284">
        <v>210</v>
      </c>
      <c r="E284">
        <v>33</v>
      </c>
      <c r="F284">
        <v>40481.4</v>
      </c>
      <c r="G284">
        <v>3</v>
      </c>
    </row>
    <row r="285" spans="1:7" x14ac:dyDescent="0.3">
      <c r="A285" t="s">
        <v>296</v>
      </c>
      <c r="B285" t="s">
        <v>8</v>
      </c>
      <c r="C285" s="3">
        <v>43827</v>
      </c>
      <c r="D285">
        <v>202</v>
      </c>
      <c r="E285">
        <v>8</v>
      </c>
      <c r="F285">
        <v>43305.96</v>
      </c>
      <c r="G285">
        <v>8</v>
      </c>
    </row>
    <row r="286" spans="1:7" x14ac:dyDescent="0.3">
      <c r="A286" t="s">
        <v>297</v>
      </c>
      <c r="B286" t="s">
        <v>26</v>
      </c>
      <c r="C286" s="3">
        <v>42504</v>
      </c>
      <c r="D286">
        <v>236</v>
      </c>
      <c r="E286">
        <v>22</v>
      </c>
      <c r="F286">
        <v>15182.29</v>
      </c>
      <c r="G286">
        <v>2</v>
      </c>
    </row>
    <row r="287" spans="1:7" x14ac:dyDescent="0.3">
      <c r="A287" t="s">
        <v>298</v>
      </c>
      <c r="B287" t="s">
        <v>16</v>
      </c>
      <c r="C287" s="3">
        <v>42978</v>
      </c>
      <c r="D287">
        <v>84</v>
      </c>
      <c r="E287">
        <v>6</v>
      </c>
      <c r="F287">
        <v>41884.519999999997</v>
      </c>
      <c r="G287">
        <v>4</v>
      </c>
    </row>
    <row r="288" spans="1:7" x14ac:dyDescent="0.3">
      <c r="A288" t="s">
        <v>299</v>
      </c>
      <c r="B288" t="s">
        <v>13</v>
      </c>
      <c r="C288" s="3">
        <v>42849</v>
      </c>
      <c r="D288">
        <v>114</v>
      </c>
      <c r="E288">
        <v>15</v>
      </c>
      <c r="F288">
        <v>35123.35</v>
      </c>
      <c r="G288">
        <v>9</v>
      </c>
    </row>
    <row r="289" spans="1:7" x14ac:dyDescent="0.3">
      <c r="A289" t="s">
        <v>300</v>
      </c>
      <c r="B289" t="s">
        <v>26</v>
      </c>
      <c r="C289" s="3">
        <v>44287</v>
      </c>
      <c r="D289">
        <v>157</v>
      </c>
      <c r="E289">
        <v>42</v>
      </c>
      <c r="F289">
        <v>23963.41</v>
      </c>
      <c r="G289">
        <v>0</v>
      </c>
    </row>
    <row r="290" spans="1:7" x14ac:dyDescent="0.3">
      <c r="A290" t="s">
        <v>301</v>
      </c>
      <c r="B290" t="s">
        <v>11</v>
      </c>
      <c r="C290" s="3">
        <v>43689</v>
      </c>
      <c r="D290">
        <v>220</v>
      </c>
      <c r="E290">
        <v>43</v>
      </c>
      <c r="F290">
        <v>27770.28</v>
      </c>
      <c r="G290">
        <v>9</v>
      </c>
    </row>
    <row r="291" spans="1:7" x14ac:dyDescent="0.3">
      <c r="A291" t="s">
        <v>302</v>
      </c>
      <c r="B291" t="s">
        <v>11</v>
      </c>
      <c r="C291" s="3">
        <v>43209</v>
      </c>
      <c r="D291">
        <v>136</v>
      </c>
      <c r="E291">
        <v>33</v>
      </c>
      <c r="F291">
        <v>46062.35</v>
      </c>
      <c r="G291">
        <v>9</v>
      </c>
    </row>
    <row r="292" spans="1:7" x14ac:dyDescent="0.3">
      <c r="A292" t="s">
        <v>303</v>
      </c>
      <c r="B292" t="s">
        <v>22</v>
      </c>
      <c r="C292" s="3">
        <v>44593</v>
      </c>
      <c r="D292">
        <v>108</v>
      </c>
      <c r="E292">
        <v>16</v>
      </c>
      <c r="F292">
        <v>9719</v>
      </c>
      <c r="G292">
        <v>9</v>
      </c>
    </row>
    <row r="293" spans="1:7" x14ac:dyDescent="0.3">
      <c r="A293" t="s">
        <v>304</v>
      </c>
      <c r="B293" t="s">
        <v>11</v>
      </c>
      <c r="C293" s="3">
        <v>42514</v>
      </c>
      <c r="D293">
        <v>150</v>
      </c>
      <c r="E293">
        <v>7</v>
      </c>
      <c r="F293">
        <v>7740.21</v>
      </c>
      <c r="G293">
        <v>5</v>
      </c>
    </row>
    <row r="294" spans="1:7" x14ac:dyDescent="0.3">
      <c r="A294" t="s">
        <v>305</v>
      </c>
      <c r="B294" t="s">
        <v>26</v>
      </c>
      <c r="C294" s="3">
        <v>42359</v>
      </c>
      <c r="D294">
        <v>295</v>
      </c>
      <c r="E294">
        <v>55</v>
      </c>
      <c r="F294">
        <v>22685.84</v>
      </c>
      <c r="G294">
        <v>1</v>
      </c>
    </row>
    <row r="295" spans="1:7" x14ac:dyDescent="0.3">
      <c r="A295" t="s">
        <v>306</v>
      </c>
      <c r="B295" t="s">
        <v>26</v>
      </c>
      <c r="C295" s="3">
        <v>43761</v>
      </c>
      <c r="D295">
        <v>297</v>
      </c>
      <c r="E295">
        <v>69</v>
      </c>
      <c r="F295">
        <v>23005.11</v>
      </c>
      <c r="G295">
        <v>2</v>
      </c>
    </row>
    <row r="296" spans="1:7" x14ac:dyDescent="0.3">
      <c r="A296" t="s">
        <v>307</v>
      </c>
      <c r="B296" t="s">
        <v>22</v>
      </c>
      <c r="C296" s="3">
        <v>43270</v>
      </c>
      <c r="D296">
        <v>84</v>
      </c>
      <c r="E296">
        <v>2</v>
      </c>
      <c r="F296">
        <v>29840.35</v>
      </c>
      <c r="G296">
        <v>8</v>
      </c>
    </row>
    <row r="297" spans="1:7" x14ac:dyDescent="0.3">
      <c r="A297" t="s">
        <v>308</v>
      </c>
      <c r="B297" t="s">
        <v>26</v>
      </c>
      <c r="C297" s="3">
        <v>42907</v>
      </c>
      <c r="D297">
        <v>140</v>
      </c>
      <c r="E297">
        <v>3</v>
      </c>
      <c r="F297">
        <v>16665.09</v>
      </c>
      <c r="G297">
        <v>7</v>
      </c>
    </row>
    <row r="298" spans="1:7" x14ac:dyDescent="0.3">
      <c r="A298" t="s">
        <v>309</v>
      </c>
      <c r="B298" t="s">
        <v>22</v>
      </c>
      <c r="C298" s="3">
        <v>44034</v>
      </c>
      <c r="D298">
        <v>192</v>
      </c>
      <c r="E298">
        <v>29</v>
      </c>
      <c r="F298">
        <v>5932.15</v>
      </c>
      <c r="G298">
        <v>6</v>
      </c>
    </row>
    <row r="299" spans="1:7" x14ac:dyDescent="0.3">
      <c r="A299" t="s">
        <v>310</v>
      </c>
      <c r="B299" t="s">
        <v>22</v>
      </c>
      <c r="C299" s="3">
        <v>43953</v>
      </c>
      <c r="D299">
        <v>83</v>
      </c>
      <c r="E299">
        <v>1</v>
      </c>
      <c r="F299">
        <v>44193.13</v>
      </c>
      <c r="G299">
        <v>3</v>
      </c>
    </row>
    <row r="300" spans="1:7" x14ac:dyDescent="0.3">
      <c r="A300" t="s">
        <v>311</v>
      </c>
      <c r="B300" t="s">
        <v>8</v>
      </c>
      <c r="C300" s="3">
        <v>43879</v>
      </c>
      <c r="D300">
        <v>232</v>
      </c>
      <c r="E300">
        <v>61</v>
      </c>
      <c r="F300">
        <v>30842.05</v>
      </c>
      <c r="G300">
        <v>6</v>
      </c>
    </row>
    <row r="301" spans="1:7" x14ac:dyDescent="0.3">
      <c r="A301" t="s">
        <v>312</v>
      </c>
      <c r="B301" t="s">
        <v>8</v>
      </c>
      <c r="C301" s="3">
        <v>42951</v>
      </c>
      <c r="D301">
        <v>187</v>
      </c>
      <c r="E301">
        <v>22</v>
      </c>
      <c r="F301">
        <v>11319.87</v>
      </c>
      <c r="G301">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9863C-A3E0-440A-A5C6-4246EBE7C2C6}">
  <dimension ref="A1:J301"/>
  <sheetViews>
    <sheetView tabSelected="1" workbookViewId="0">
      <selection activeCell="O19" sqref="O19"/>
    </sheetView>
  </sheetViews>
  <sheetFormatPr defaultRowHeight="14.4" x14ac:dyDescent="0.3"/>
  <cols>
    <col min="1" max="1" width="10.5546875" bestFit="1" customWidth="1"/>
    <col min="2" max="2" width="11.5546875" customWidth="1"/>
    <col min="3" max="3" width="14" customWidth="1"/>
    <col min="4" max="4" width="18.88671875" bestFit="1" customWidth="1"/>
    <col min="5" max="5" width="16" bestFit="1" customWidth="1"/>
    <col min="6" max="6" width="19.5546875" bestFit="1" customWidth="1"/>
    <col min="7" max="7" width="18.21875" bestFit="1" customWidth="1"/>
    <col min="8" max="8" width="17.88671875" bestFit="1" customWidth="1"/>
  </cols>
  <sheetData>
    <row r="1" spans="1:10" x14ac:dyDescent="0.3">
      <c r="A1" t="s">
        <v>0</v>
      </c>
      <c r="B1" t="s">
        <v>1</v>
      </c>
      <c r="C1" t="s">
        <v>2</v>
      </c>
      <c r="D1" t="s">
        <v>3</v>
      </c>
      <c r="E1" t="s">
        <v>4</v>
      </c>
      <c r="F1" t="s">
        <v>5</v>
      </c>
      <c r="G1" t="s">
        <v>6</v>
      </c>
      <c r="H1" t="s">
        <v>318</v>
      </c>
    </row>
    <row r="2" spans="1:10" x14ac:dyDescent="0.3">
      <c r="A2" t="s">
        <v>7</v>
      </c>
      <c r="B2" t="s">
        <v>8</v>
      </c>
      <c r="C2" s="1">
        <v>42415</v>
      </c>
      <c r="D2">
        <v>196</v>
      </c>
      <c r="E2">
        <v>42</v>
      </c>
      <c r="F2">
        <v>37018.35</v>
      </c>
      <c r="G2">
        <v>2</v>
      </c>
      <c r="H2">
        <f ca="1">DATEDIF(Sheet1[[#This Row],[join_date]],TODAY(),"Y")</f>
        <v>10</v>
      </c>
    </row>
    <row r="3" spans="1:10" x14ac:dyDescent="0.3">
      <c r="A3" t="s">
        <v>9</v>
      </c>
      <c r="B3" t="s">
        <v>8</v>
      </c>
      <c r="C3" s="1">
        <v>42618</v>
      </c>
      <c r="D3">
        <v>189</v>
      </c>
      <c r="E3">
        <v>28</v>
      </c>
      <c r="F3">
        <v>48370.36</v>
      </c>
      <c r="G3">
        <v>5</v>
      </c>
      <c r="H3">
        <f ca="1">DATEDIF(Sheet1[[#This Row],[join_date]],TODAY(),"Y")</f>
        <v>9</v>
      </c>
    </row>
    <row r="4" spans="1:10" x14ac:dyDescent="0.3">
      <c r="A4" t="s">
        <v>10</v>
      </c>
      <c r="B4" t="s">
        <v>11</v>
      </c>
      <c r="C4" s="1">
        <v>42547</v>
      </c>
      <c r="D4">
        <v>66</v>
      </c>
      <c r="E4">
        <v>0</v>
      </c>
      <c r="F4">
        <v>10489.65</v>
      </c>
      <c r="G4">
        <v>3</v>
      </c>
      <c r="H4">
        <f ca="1">DATEDIF(Sheet1[[#This Row],[join_date]],TODAY(),"Y")</f>
        <v>10</v>
      </c>
    </row>
    <row r="5" spans="1:10" x14ac:dyDescent="0.3">
      <c r="A5" t="s">
        <v>12</v>
      </c>
      <c r="B5" t="s">
        <v>13</v>
      </c>
      <c r="C5" s="1">
        <v>42483</v>
      </c>
      <c r="D5">
        <v>250</v>
      </c>
      <c r="E5">
        <v>3</v>
      </c>
      <c r="F5">
        <v>12415.84</v>
      </c>
      <c r="G5">
        <v>6</v>
      </c>
      <c r="H5">
        <f ca="1">DATEDIF(Sheet1[[#This Row],[join_date]],TODAY(),"Y")</f>
        <v>10</v>
      </c>
    </row>
    <row r="6" spans="1:10" ht="13.2" customHeight="1" x14ac:dyDescent="0.3">
      <c r="A6" t="s">
        <v>14</v>
      </c>
      <c r="B6" t="s">
        <v>11</v>
      </c>
      <c r="C6" s="1">
        <v>44881</v>
      </c>
      <c r="D6">
        <v>263</v>
      </c>
      <c r="E6">
        <v>69</v>
      </c>
      <c r="F6">
        <v>24057.14</v>
      </c>
      <c r="G6">
        <v>4</v>
      </c>
      <c r="H6">
        <f ca="1">DATEDIF(Sheet1[[#This Row],[join_date]],TODAY(),"Y")</f>
        <v>3</v>
      </c>
      <c r="J6" s="4"/>
    </row>
    <row r="7" spans="1:10" x14ac:dyDescent="0.3">
      <c r="A7" t="s">
        <v>15</v>
      </c>
      <c r="B7" t="s">
        <v>16</v>
      </c>
      <c r="C7" s="1">
        <v>44297</v>
      </c>
      <c r="D7">
        <v>122</v>
      </c>
      <c r="E7">
        <v>30</v>
      </c>
      <c r="F7">
        <v>47203.01</v>
      </c>
      <c r="G7">
        <v>8</v>
      </c>
      <c r="H7">
        <f ca="1">DATEDIF(Sheet1[[#This Row],[join_date]],TODAY(),"Y")</f>
        <v>5</v>
      </c>
      <c r="J7" s="4"/>
    </row>
    <row r="8" spans="1:10" x14ac:dyDescent="0.3">
      <c r="A8" t="s">
        <v>17</v>
      </c>
      <c r="B8" t="s">
        <v>11</v>
      </c>
      <c r="C8" s="1">
        <v>44520</v>
      </c>
      <c r="D8">
        <v>121</v>
      </c>
      <c r="E8">
        <v>9</v>
      </c>
      <c r="F8">
        <v>34370.199999999997</v>
      </c>
      <c r="G8">
        <v>5</v>
      </c>
      <c r="H8">
        <f ca="1">DATEDIF(Sheet1[[#This Row],[join_date]],TODAY(),"Y")</f>
        <v>4</v>
      </c>
    </row>
    <row r="9" spans="1:10" x14ac:dyDescent="0.3">
      <c r="A9" t="s">
        <v>18</v>
      </c>
      <c r="B9" t="s">
        <v>8</v>
      </c>
      <c r="C9" s="1">
        <v>43310</v>
      </c>
      <c r="D9">
        <v>281</v>
      </c>
      <c r="E9">
        <v>43</v>
      </c>
      <c r="F9">
        <v>22272.080000000002</v>
      </c>
      <c r="G9">
        <v>0</v>
      </c>
      <c r="H9">
        <f ca="1">DATEDIF(Sheet1[[#This Row],[join_date]],TODAY(),"Y")</f>
        <v>8</v>
      </c>
    </row>
    <row r="10" spans="1:10" x14ac:dyDescent="0.3">
      <c r="A10" t="s">
        <v>19</v>
      </c>
      <c r="B10" t="s">
        <v>8</v>
      </c>
      <c r="C10" s="1">
        <v>42151</v>
      </c>
      <c r="D10">
        <v>95</v>
      </c>
      <c r="E10">
        <v>1</v>
      </c>
      <c r="F10">
        <v>41526.04</v>
      </c>
      <c r="G10">
        <v>8</v>
      </c>
      <c r="H10">
        <f ca="1">DATEDIF(Sheet1[[#This Row],[join_date]],TODAY(),"Y")</f>
        <v>11</v>
      </c>
    </row>
    <row r="11" spans="1:10" x14ac:dyDescent="0.3">
      <c r="A11" t="s">
        <v>20</v>
      </c>
      <c r="B11" t="s">
        <v>8</v>
      </c>
      <c r="C11" s="1">
        <v>42318</v>
      </c>
      <c r="D11">
        <v>78</v>
      </c>
      <c r="E11">
        <v>18</v>
      </c>
      <c r="F11">
        <v>23533.56</v>
      </c>
      <c r="G11">
        <v>9</v>
      </c>
      <c r="H11">
        <f ca="1">DATEDIF(Sheet1[[#This Row],[join_date]],TODAY(),"Y")</f>
        <v>10</v>
      </c>
    </row>
    <row r="12" spans="1:10" x14ac:dyDescent="0.3">
      <c r="A12" t="s">
        <v>21</v>
      </c>
      <c r="B12" t="s">
        <v>22</v>
      </c>
      <c r="C12" s="1">
        <v>42284</v>
      </c>
      <c r="D12">
        <v>198</v>
      </c>
      <c r="E12">
        <v>42</v>
      </c>
      <c r="F12">
        <v>42112.09</v>
      </c>
      <c r="G12">
        <v>3</v>
      </c>
      <c r="H12">
        <f ca="1">DATEDIF(Sheet1[[#This Row],[join_date]],TODAY(),"Y")</f>
        <v>10</v>
      </c>
    </row>
    <row r="13" spans="1:10" x14ac:dyDescent="0.3">
      <c r="A13" t="s">
        <v>23</v>
      </c>
      <c r="B13" t="s">
        <v>13</v>
      </c>
      <c r="C13" s="1">
        <v>43556</v>
      </c>
      <c r="D13">
        <v>190</v>
      </c>
      <c r="E13">
        <v>38</v>
      </c>
      <c r="F13">
        <v>18546.41</v>
      </c>
      <c r="G13">
        <v>6</v>
      </c>
      <c r="H13">
        <f ca="1">DATEDIF(Sheet1[[#This Row],[join_date]],TODAY(),"Y")</f>
        <v>7</v>
      </c>
    </row>
    <row r="14" spans="1:10" x14ac:dyDescent="0.3">
      <c r="A14" t="s">
        <v>24</v>
      </c>
      <c r="B14" t="s">
        <v>22</v>
      </c>
      <c r="C14" s="1">
        <v>42807</v>
      </c>
      <c r="D14">
        <v>133</v>
      </c>
      <c r="E14">
        <v>9</v>
      </c>
      <c r="F14">
        <v>49655.93</v>
      </c>
      <c r="G14">
        <v>3</v>
      </c>
      <c r="H14">
        <f ca="1">DATEDIF(Sheet1[[#This Row],[join_date]],TODAY(),"Y")</f>
        <v>9</v>
      </c>
    </row>
    <row r="15" spans="1:10" x14ac:dyDescent="0.3">
      <c r="A15" t="s">
        <v>25</v>
      </c>
      <c r="B15" t="s">
        <v>26</v>
      </c>
      <c r="C15" s="1">
        <v>44413</v>
      </c>
      <c r="D15">
        <v>91</v>
      </c>
      <c r="E15">
        <v>3</v>
      </c>
      <c r="F15">
        <v>33781.519999999997</v>
      </c>
      <c r="G15">
        <v>4</v>
      </c>
      <c r="H15">
        <f ca="1">DATEDIF(Sheet1[[#This Row],[join_date]],TODAY(),"Y")</f>
        <v>4</v>
      </c>
    </row>
    <row r="16" spans="1:10" x14ac:dyDescent="0.3">
      <c r="A16" t="s">
        <v>27</v>
      </c>
      <c r="B16" t="s">
        <v>8</v>
      </c>
      <c r="C16" s="1">
        <v>42026</v>
      </c>
      <c r="D16">
        <v>153</v>
      </c>
      <c r="E16">
        <v>15</v>
      </c>
      <c r="F16">
        <v>46025.27</v>
      </c>
      <c r="G16">
        <v>1</v>
      </c>
      <c r="H16">
        <f ca="1">DATEDIF(Sheet1[[#This Row],[join_date]],TODAY(),"Y")</f>
        <v>11</v>
      </c>
    </row>
    <row r="17" spans="1:8" x14ac:dyDescent="0.3">
      <c r="A17" t="s">
        <v>28</v>
      </c>
      <c r="B17" t="s">
        <v>16</v>
      </c>
      <c r="C17" s="1">
        <v>43902</v>
      </c>
      <c r="D17">
        <v>134</v>
      </c>
      <c r="E17">
        <v>30</v>
      </c>
      <c r="F17">
        <v>5500.34</v>
      </c>
      <c r="G17">
        <v>8</v>
      </c>
      <c r="H17">
        <f ca="1">DATEDIF(Sheet1[[#This Row],[join_date]],TODAY(),"Y")</f>
        <v>6</v>
      </c>
    </row>
    <row r="18" spans="1:8" x14ac:dyDescent="0.3">
      <c r="A18" t="s">
        <v>29</v>
      </c>
      <c r="B18" t="s">
        <v>16</v>
      </c>
      <c r="C18" s="1">
        <v>44528</v>
      </c>
      <c r="D18">
        <v>292</v>
      </c>
      <c r="E18">
        <v>39</v>
      </c>
      <c r="F18">
        <v>33845.519999999997</v>
      </c>
      <c r="G18">
        <v>6</v>
      </c>
      <c r="H18">
        <f ca="1">DATEDIF(Sheet1[[#This Row],[join_date]],TODAY(),"Y")</f>
        <v>4</v>
      </c>
    </row>
    <row r="19" spans="1:8" x14ac:dyDescent="0.3">
      <c r="A19" t="s">
        <v>30</v>
      </c>
      <c r="B19" t="s">
        <v>22</v>
      </c>
      <c r="C19" s="1">
        <v>43958</v>
      </c>
      <c r="D19">
        <v>186</v>
      </c>
      <c r="E19">
        <v>20</v>
      </c>
      <c r="F19">
        <v>28027.759999999998</v>
      </c>
      <c r="G19">
        <v>2</v>
      </c>
      <c r="H19">
        <f ca="1">DATEDIF(Sheet1[[#This Row],[join_date]],TODAY(),"Y")</f>
        <v>6</v>
      </c>
    </row>
    <row r="20" spans="1:8" x14ac:dyDescent="0.3">
      <c r="A20" t="s">
        <v>31</v>
      </c>
      <c r="B20" t="s">
        <v>8</v>
      </c>
      <c r="C20" s="1">
        <v>42167</v>
      </c>
      <c r="D20">
        <v>139</v>
      </c>
      <c r="E20">
        <v>13</v>
      </c>
      <c r="F20">
        <v>27457.439999999999</v>
      </c>
      <c r="G20">
        <v>5</v>
      </c>
      <c r="H20">
        <f ca="1">DATEDIF(Sheet1[[#This Row],[join_date]],TODAY(),"Y")</f>
        <v>11</v>
      </c>
    </row>
    <row r="21" spans="1:8" x14ac:dyDescent="0.3">
      <c r="A21" t="s">
        <v>32</v>
      </c>
      <c r="B21" t="s">
        <v>8</v>
      </c>
      <c r="C21" s="1">
        <v>43158</v>
      </c>
      <c r="D21">
        <v>260</v>
      </c>
      <c r="E21">
        <v>4</v>
      </c>
      <c r="F21">
        <v>42252.38</v>
      </c>
      <c r="G21">
        <v>7</v>
      </c>
      <c r="H21">
        <f ca="1">DATEDIF(Sheet1[[#This Row],[join_date]],TODAY(),"Y")</f>
        <v>8</v>
      </c>
    </row>
    <row r="22" spans="1:8" x14ac:dyDescent="0.3">
      <c r="A22" t="s">
        <v>33</v>
      </c>
      <c r="B22" t="s">
        <v>22</v>
      </c>
      <c r="C22" s="1">
        <v>43253</v>
      </c>
      <c r="D22">
        <v>292</v>
      </c>
      <c r="E22">
        <v>19</v>
      </c>
      <c r="F22">
        <v>44069.11</v>
      </c>
      <c r="G22">
        <v>2</v>
      </c>
      <c r="H22">
        <f ca="1">DATEDIF(Sheet1[[#This Row],[join_date]],TODAY(),"Y")</f>
        <v>8</v>
      </c>
    </row>
    <row r="23" spans="1:8" x14ac:dyDescent="0.3">
      <c r="A23" t="s">
        <v>34</v>
      </c>
      <c r="B23" t="s">
        <v>8</v>
      </c>
      <c r="C23" s="1">
        <v>42339</v>
      </c>
      <c r="D23">
        <v>107</v>
      </c>
      <c r="E23">
        <v>26</v>
      </c>
      <c r="F23">
        <v>19963.41</v>
      </c>
      <c r="G23">
        <v>8</v>
      </c>
      <c r="H23">
        <f ca="1">DATEDIF(Sheet1[[#This Row],[join_date]],TODAY(),"Y")</f>
        <v>10</v>
      </c>
    </row>
    <row r="24" spans="1:8" x14ac:dyDescent="0.3">
      <c r="A24" t="s">
        <v>35</v>
      </c>
      <c r="B24" t="s">
        <v>16</v>
      </c>
      <c r="C24" s="1">
        <v>42944</v>
      </c>
      <c r="D24">
        <v>212</v>
      </c>
      <c r="E24">
        <v>43</v>
      </c>
      <c r="F24">
        <v>14539.41</v>
      </c>
      <c r="G24">
        <v>1</v>
      </c>
      <c r="H24">
        <f ca="1">DATEDIF(Sheet1[[#This Row],[join_date]],TODAY(),"Y")</f>
        <v>9</v>
      </c>
    </row>
    <row r="25" spans="1:8" x14ac:dyDescent="0.3">
      <c r="A25" t="s">
        <v>36</v>
      </c>
      <c r="B25" t="s">
        <v>11</v>
      </c>
      <c r="C25" s="1">
        <v>44293</v>
      </c>
      <c r="D25">
        <v>204</v>
      </c>
      <c r="E25">
        <v>5</v>
      </c>
      <c r="F25">
        <v>41549.599999999999</v>
      </c>
      <c r="G25">
        <v>5</v>
      </c>
      <c r="H25">
        <f ca="1">DATEDIF(Sheet1[[#This Row],[join_date]],TODAY(),"Y")</f>
        <v>5</v>
      </c>
    </row>
    <row r="26" spans="1:8" x14ac:dyDescent="0.3">
      <c r="A26" t="s">
        <v>37</v>
      </c>
      <c r="B26" t="s">
        <v>11</v>
      </c>
      <c r="C26" s="1">
        <v>42626</v>
      </c>
      <c r="D26">
        <v>267</v>
      </c>
      <c r="E26">
        <v>16</v>
      </c>
      <c r="F26">
        <v>46581.91</v>
      </c>
      <c r="G26">
        <v>6</v>
      </c>
      <c r="H26">
        <f ca="1">DATEDIF(Sheet1[[#This Row],[join_date]],TODAY(),"Y")</f>
        <v>9</v>
      </c>
    </row>
    <row r="27" spans="1:8" x14ac:dyDescent="0.3">
      <c r="A27" t="s">
        <v>38</v>
      </c>
      <c r="B27" t="s">
        <v>26</v>
      </c>
      <c r="C27" s="1">
        <v>42464</v>
      </c>
      <c r="D27">
        <v>74</v>
      </c>
      <c r="E27">
        <v>6</v>
      </c>
      <c r="F27">
        <v>35478.699999999997</v>
      </c>
      <c r="G27">
        <v>1</v>
      </c>
      <c r="H27">
        <f ca="1">DATEDIF(Sheet1[[#This Row],[join_date]],TODAY(),"Y")</f>
        <v>10</v>
      </c>
    </row>
    <row r="28" spans="1:8" x14ac:dyDescent="0.3">
      <c r="A28" t="s">
        <v>39</v>
      </c>
      <c r="B28" t="s">
        <v>22</v>
      </c>
      <c r="C28" s="1">
        <v>43566</v>
      </c>
      <c r="D28">
        <v>81</v>
      </c>
      <c r="E28">
        <v>23</v>
      </c>
      <c r="F28">
        <v>48773.43</v>
      </c>
      <c r="G28">
        <v>8</v>
      </c>
      <c r="H28">
        <f ca="1">DATEDIF(Sheet1[[#This Row],[join_date]],TODAY(),"Y")</f>
        <v>7</v>
      </c>
    </row>
    <row r="29" spans="1:8" x14ac:dyDescent="0.3">
      <c r="A29" t="s">
        <v>40</v>
      </c>
      <c r="B29" t="s">
        <v>26</v>
      </c>
      <c r="C29" s="1">
        <v>42558</v>
      </c>
      <c r="D29">
        <v>122</v>
      </c>
      <c r="E29">
        <v>35</v>
      </c>
      <c r="F29">
        <v>22153.87</v>
      </c>
      <c r="G29">
        <v>1</v>
      </c>
      <c r="H29">
        <f ca="1">DATEDIF(Sheet1[[#This Row],[join_date]],TODAY(),"Y")</f>
        <v>10</v>
      </c>
    </row>
    <row r="30" spans="1:8" x14ac:dyDescent="0.3">
      <c r="A30" t="s">
        <v>41</v>
      </c>
      <c r="B30" t="s">
        <v>22</v>
      </c>
      <c r="C30" s="1">
        <v>43354</v>
      </c>
      <c r="D30">
        <v>222</v>
      </c>
      <c r="E30">
        <v>10</v>
      </c>
      <c r="F30">
        <v>17636.53</v>
      </c>
      <c r="G30">
        <v>9</v>
      </c>
      <c r="H30">
        <f ca="1">DATEDIF(Sheet1[[#This Row],[join_date]],TODAY(),"Y")</f>
        <v>7</v>
      </c>
    </row>
    <row r="31" spans="1:8" x14ac:dyDescent="0.3">
      <c r="A31" t="s">
        <v>42</v>
      </c>
      <c r="B31" t="s">
        <v>22</v>
      </c>
      <c r="C31" s="1">
        <v>44590</v>
      </c>
      <c r="D31">
        <v>250</v>
      </c>
      <c r="E31">
        <v>45</v>
      </c>
      <c r="F31">
        <v>20497.91</v>
      </c>
      <c r="G31">
        <v>4</v>
      </c>
      <c r="H31">
        <f ca="1">DATEDIF(Sheet1[[#This Row],[join_date]],TODAY(),"Y")</f>
        <v>4</v>
      </c>
    </row>
    <row r="32" spans="1:8" x14ac:dyDescent="0.3">
      <c r="A32" t="s">
        <v>43</v>
      </c>
      <c r="B32" t="s">
        <v>16</v>
      </c>
      <c r="C32" s="1">
        <v>42502</v>
      </c>
      <c r="D32">
        <v>203</v>
      </c>
      <c r="E32">
        <v>23</v>
      </c>
      <c r="F32">
        <v>17443.900000000001</v>
      </c>
      <c r="G32">
        <v>5</v>
      </c>
      <c r="H32">
        <f ca="1">DATEDIF(Sheet1[[#This Row],[join_date]],TODAY(),"Y")</f>
        <v>10</v>
      </c>
    </row>
    <row r="33" spans="1:8" x14ac:dyDescent="0.3">
      <c r="A33" t="s">
        <v>44</v>
      </c>
      <c r="B33" t="s">
        <v>16</v>
      </c>
      <c r="C33" s="1">
        <v>43832</v>
      </c>
      <c r="D33">
        <v>292</v>
      </c>
      <c r="E33">
        <v>18</v>
      </c>
      <c r="F33">
        <v>8209.32</v>
      </c>
      <c r="G33">
        <v>4</v>
      </c>
      <c r="H33">
        <f ca="1">DATEDIF(Sheet1[[#This Row],[join_date]],TODAY(),"Y")</f>
        <v>6</v>
      </c>
    </row>
    <row r="34" spans="1:8" x14ac:dyDescent="0.3">
      <c r="A34" t="s">
        <v>45</v>
      </c>
      <c r="B34" t="s">
        <v>11</v>
      </c>
      <c r="C34" s="1">
        <v>42449</v>
      </c>
      <c r="D34">
        <v>141</v>
      </c>
      <c r="E34">
        <v>36</v>
      </c>
      <c r="F34">
        <v>22604.02</v>
      </c>
      <c r="G34">
        <v>4</v>
      </c>
      <c r="H34">
        <f ca="1">DATEDIF(Sheet1[[#This Row],[join_date]],TODAY(),"Y")</f>
        <v>10</v>
      </c>
    </row>
    <row r="35" spans="1:8" x14ac:dyDescent="0.3">
      <c r="A35" t="s">
        <v>46</v>
      </c>
      <c r="B35" t="s">
        <v>8</v>
      </c>
      <c r="C35" s="1">
        <v>43990</v>
      </c>
      <c r="D35">
        <v>66</v>
      </c>
      <c r="E35">
        <v>3</v>
      </c>
      <c r="F35">
        <v>40479.839999999997</v>
      </c>
      <c r="G35">
        <v>7</v>
      </c>
      <c r="H35">
        <f ca="1">DATEDIF(Sheet1[[#This Row],[join_date]],TODAY(),"Y")</f>
        <v>6</v>
      </c>
    </row>
    <row r="36" spans="1:8" x14ac:dyDescent="0.3">
      <c r="A36" t="s">
        <v>47</v>
      </c>
      <c r="B36" t="s">
        <v>8</v>
      </c>
      <c r="C36" s="1">
        <v>42643</v>
      </c>
      <c r="D36">
        <v>198</v>
      </c>
      <c r="E36">
        <v>51</v>
      </c>
      <c r="F36">
        <v>10843.67</v>
      </c>
      <c r="G36">
        <v>7</v>
      </c>
      <c r="H36">
        <f ca="1">DATEDIF(Sheet1[[#This Row],[join_date]],TODAY(),"Y")</f>
        <v>9</v>
      </c>
    </row>
    <row r="37" spans="1:8" x14ac:dyDescent="0.3">
      <c r="A37" t="s">
        <v>48</v>
      </c>
      <c r="B37" t="s">
        <v>26</v>
      </c>
      <c r="C37" s="1">
        <v>43042</v>
      </c>
      <c r="D37">
        <v>224</v>
      </c>
      <c r="E37">
        <v>14</v>
      </c>
      <c r="F37">
        <v>48483.43</v>
      </c>
      <c r="G37">
        <v>4</v>
      </c>
      <c r="H37">
        <f ca="1">DATEDIF(Sheet1[[#This Row],[join_date]],TODAY(),"Y")</f>
        <v>8</v>
      </c>
    </row>
    <row r="38" spans="1:8" x14ac:dyDescent="0.3">
      <c r="A38" t="s">
        <v>49</v>
      </c>
      <c r="B38" t="s">
        <v>26</v>
      </c>
      <c r="C38" s="1">
        <v>44442</v>
      </c>
      <c r="D38">
        <v>272</v>
      </c>
      <c r="E38">
        <v>43</v>
      </c>
      <c r="F38">
        <v>33627.82</v>
      </c>
      <c r="G38">
        <v>0</v>
      </c>
      <c r="H38">
        <f ca="1">DATEDIF(Sheet1[[#This Row],[join_date]],TODAY(),"Y")</f>
        <v>4</v>
      </c>
    </row>
    <row r="39" spans="1:8" x14ac:dyDescent="0.3">
      <c r="A39" t="s">
        <v>50</v>
      </c>
      <c r="B39" t="s">
        <v>16</v>
      </c>
      <c r="C39" s="1">
        <v>43299</v>
      </c>
      <c r="D39">
        <v>207</v>
      </c>
      <c r="E39">
        <v>32</v>
      </c>
      <c r="F39">
        <v>14856.9</v>
      </c>
      <c r="G39">
        <v>9</v>
      </c>
      <c r="H39">
        <f ca="1">DATEDIF(Sheet1[[#This Row],[join_date]],TODAY(),"Y")</f>
        <v>8</v>
      </c>
    </row>
    <row r="40" spans="1:8" x14ac:dyDescent="0.3">
      <c r="A40" t="s">
        <v>51</v>
      </c>
      <c r="B40" t="s">
        <v>26</v>
      </c>
      <c r="C40" s="1">
        <v>42152</v>
      </c>
      <c r="D40">
        <v>60</v>
      </c>
      <c r="E40">
        <v>3</v>
      </c>
      <c r="F40">
        <v>36377.51</v>
      </c>
      <c r="G40">
        <v>9</v>
      </c>
      <c r="H40">
        <f ca="1">DATEDIF(Sheet1[[#This Row],[join_date]],TODAY(),"Y")</f>
        <v>11</v>
      </c>
    </row>
    <row r="41" spans="1:8" x14ac:dyDescent="0.3">
      <c r="A41" t="s">
        <v>52</v>
      </c>
      <c r="B41" t="s">
        <v>11</v>
      </c>
      <c r="C41" s="1">
        <v>44897</v>
      </c>
      <c r="D41">
        <v>52</v>
      </c>
      <c r="E41">
        <v>12</v>
      </c>
      <c r="F41">
        <v>42920.49</v>
      </c>
      <c r="G41">
        <v>5</v>
      </c>
      <c r="H41">
        <f ca="1">DATEDIF(Sheet1[[#This Row],[join_date]],TODAY(),"Y")</f>
        <v>3</v>
      </c>
    </row>
    <row r="42" spans="1:8" x14ac:dyDescent="0.3">
      <c r="A42" t="s">
        <v>53</v>
      </c>
      <c r="B42" t="s">
        <v>26</v>
      </c>
      <c r="C42" s="1">
        <v>42646</v>
      </c>
      <c r="D42">
        <v>131</v>
      </c>
      <c r="E42">
        <v>3</v>
      </c>
      <c r="F42">
        <v>28771.56</v>
      </c>
      <c r="G42">
        <v>4</v>
      </c>
      <c r="H42">
        <f ca="1">DATEDIF(Sheet1[[#This Row],[join_date]],TODAY(),"Y")</f>
        <v>9</v>
      </c>
    </row>
    <row r="43" spans="1:8" x14ac:dyDescent="0.3">
      <c r="A43" t="s">
        <v>54</v>
      </c>
      <c r="B43" t="s">
        <v>13</v>
      </c>
      <c r="C43" s="1">
        <v>42347</v>
      </c>
      <c r="D43">
        <v>149</v>
      </c>
      <c r="E43">
        <v>39</v>
      </c>
      <c r="F43">
        <v>43245.59</v>
      </c>
      <c r="G43">
        <v>3</v>
      </c>
      <c r="H43">
        <f ca="1">DATEDIF(Sheet1[[#This Row],[join_date]],TODAY(),"Y")</f>
        <v>10</v>
      </c>
    </row>
    <row r="44" spans="1:8" x14ac:dyDescent="0.3">
      <c r="A44" t="s">
        <v>55</v>
      </c>
      <c r="B44" t="s">
        <v>22</v>
      </c>
      <c r="C44" s="1">
        <v>44722</v>
      </c>
      <c r="D44">
        <v>296</v>
      </c>
      <c r="E44">
        <v>8</v>
      </c>
      <c r="F44">
        <v>9982.32</v>
      </c>
      <c r="G44">
        <v>2</v>
      </c>
      <c r="H44">
        <f ca="1">DATEDIF(Sheet1[[#This Row],[join_date]],TODAY(),"Y")</f>
        <v>4</v>
      </c>
    </row>
    <row r="45" spans="1:8" x14ac:dyDescent="0.3">
      <c r="A45" t="s">
        <v>56</v>
      </c>
      <c r="B45" t="s">
        <v>11</v>
      </c>
      <c r="C45" s="1">
        <v>43338</v>
      </c>
      <c r="D45">
        <v>98</v>
      </c>
      <c r="E45">
        <v>28</v>
      </c>
      <c r="F45">
        <v>46360.37</v>
      </c>
      <c r="G45">
        <v>4</v>
      </c>
      <c r="H45">
        <f ca="1">DATEDIF(Sheet1[[#This Row],[join_date]],TODAY(),"Y")</f>
        <v>7</v>
      </c>
    </row>
    <row r="46" spans="1:8" x14ac:dyDescent="0.3">
      <c r="A46" t="s">
        <v>57</v>
      </c>
      <c r="B46" t="s">
        <v>26</v>
      </c>
      <c r="C46" s="1">
        <v>44612</v>
      </c>
      <c r="D46">
        <v>209</v>
      </c>
      <c r="E46">
        <v>24</v>
      </c>
      <c r="F46">
        <v>8575.2800000000007</v>
      </c>
      <c r="G46">
        <v>0</v>
      </c>
      <c r="H46">
        <f ca="1">DATEDIF(Sheet1[[#This Row],[join_date]],TODAY(),"Y")</f>
        <v>4</v>
      </c>
    </row>
    <row r="47" spans="1:8" x14ac:dyDescent="0.3">
      <c r="A47" t="s">
        <v>58</v>
      </c>
      <c r="B47" t="s">
        <v>22</v>
      </c>
      <c r="C47" s="1">
        <v>42211</v>
      </c>
      <c r="D47">
        <v>281</v>
      </c>
      <c r="E47">
        <v>53</v>
      </c>
      <c r="F47">
        <v>47522.400000000001</v>
      </c>
      <c r="G47">
        <v>9</v>
      </c>
      <c r="H47">
        <f ca="1">DATEDIF(Sheet1[[#This Row],[join_date]],TODAY(),"Y")</f>
        <v>11</v>
      </c>
    </row>
    <row r="48" spans="1:8" x14ac:dyDescent="0.3">
      <c r="A48" t="s">
        <v>59</v>
      </c>
      <c r="B48" t="s">
        <v>26</v>
      </c>
      <c r="C48" s="1">
        <v>44853</v>
      </c>
      <c r="D48">
        <v>94</v>
      </c>
      <c r="E48">
        <v>10</v>
      </c>
      <c r="F48">
        <v>39246.31</v>
      </c>
      <c r="G48">
        <v>2</v>
      </c>
      <c r="H48">
        <f ca="1">DATEDIF(Sheet1[[#This Row],[join_date]],TODAY(),"Y")</f>
        <v>3</v>
      </c>
    </row>
    <row r="49" spans="1:8" x14ac:dyDescent="0.3">
      <c r="A49" t="s">
        <v>60</v>
      </c>
      <c r="B49" t="s">
        <v>16</v>
      </c>
      <c r="C49" s="1">
        <v>43419</v>
      </c>
      <c r="D49">
        <v>122</v>
      </c>
      <c r="E49">
        <v>9</v>
      </c>
      <c r="F49">
        <v>9034.98</v>
      </c>
      <c r="G49">
        <v>7</v>
      </c>
      <c r="H49">
        <f ca="1">DATEDIF(Sheet1[[#This Row],[join_date]],TODAY(),"Y")</f>
        <v>7</v>
      </c>
    </row>
    <row r="50" spans="1:8" x14ac:dyDescent="0.3">
      <c r="A50" t="s">
        <v>61</v>
      </c>
      <c r="B50" t="s">
        <v>22</v>
      </c>
      <c r="C50" s="1">
        <v>43351</v>
      </c>
      <c r="D50">
        <v>58</v>
      </c>
      <c r="E50">
        <v>2</v>
      </c>
      <c r="F50">
        <v>12093.78</v>
      </c>
      <c r="G50">
        <v>8</v>
      </c>
      <c r="H50">
        <f ca="1">DATEDIF(Sheet1[[#This Row],[join_date]],TODAY(),"Y")</f>
        <v>7</v>
      </c>
    </row>
    <row r="51" spans="1:8" x14ac:dyDescent="0.3">
      <c r="A51" t="s">
        <v>62</v>
      </c>
      <c r="B51" t="s">
        <v>8</v>
      </c>
      <c r="C51" s="1">
        <v>42703</v>
      </c>
      <c r="D51">
        <v>180</v>
      </c>
      <c r="E51">
        <v>45</v>
      </c>
      <c r="F51">
        <v>23745.58</v>
      </c>
      <c r="G51">
        <v>9</v>
      </c>
      <c r="H51">
        <f ca="1">DATEDIF(Sheet1[[#This Row],[join_date]],TODAY(),"Y")</f>
        <v>9</v>
      </c>
    </row>
    <row r="52" spans="1:8" x14ac:dyDescent="0.3">
      <c r="A52" t="s">
        <v>63</v>
      </c>
      <c r="B52" t="s">
        <v>26</v>
      </c>
      <c r="C52" s="1">
        <v>42585</v>
      </c>
      <c r="D52">
        <v>268</v>
      </c>
      <c r="E52">
        <v>11</v>
      </c>
      <c r="F52">
        <v>46369.63</v>
      </c>
      <c r="G52">
        <v>4</v>
      </c>
      <c r="H52">
        <f ca="1">DATEDIF(Sheet1[[#This Row],[join_date]],TODAY(),"Y")</f>
        <v>9</v>
      </c>
    </row>
    <row r="53" spans="1:8" x14ac:dyDescent="0.3">
      <c r="A53" t="s">
        <v>64</v>
      </c>
      <c r="B53" t="s">
        <v>26</v>
      </c>
      <c r="C53" s="1">
        <v>44670</v>
      </c>
      <c r="D53">
        <v>174</v>
      </c>
      <c r="E53">
        <v>15</v>
      </c>
      <c r="F53">
        <v>10618.25</v>
      </c>
      <c r="G53">
        <v>1</v>
      </c>
      <c r="H53">
        <f ca="1">DATEDIF(Sheet1[[#This Row],[join_date]],TODAY(),"Y")</f>
        <v>4</v>
      </c>
    </row>
    <row r="54" spans="1:8" x14ac:dyDescent="0.3">
      <c r="A54" t="s">
        <v>65</v>
      </c>
      <c r="B54" t="s">
        <v>11</v>
      </c>
      <c r="C54" s="1">
        <v>43720</v>
      </c>
      <c r="D54">
        <v>261</v>
      </c>
      <c r="E54">
        <v>66</v>
      </c>
      <c r="F54">
        <v>24451.360000000001</v>
      </c>
      <c r="G54">
        <v>4</v>
      </c>
      <c r="H54">
        <f ca="1">DATEDIF(Sheet1[[#This Row],[join_date]],TODAY(),"Y")</f>
        <v>6</v>
      </c>
    </row>
    <row r="55" spans="1:8" x14ac:dyDescent="0.3">
      <c r="A55" t="s">
        <v>66</v>
      </c>
      <c r="B55" t="s">
        <v>11</v>
      </c>
      <c r="C55" s="1">
        <v>43008</v>
      </c>
      <c r="D55">
        <v>165</v>
      </c>
      <c r="E55">
        <v>22</v>
      </c>
      <c r="F55">
        <v>30361.52</v>
      </c>
      <c r="G55">
        <v>1</v>
      </c>
      <c r="H55">
        <f ca="1">DATEDIF(Sheet1[[#This Row],[join_date]],TODAY(),"Y")</f>
        <v>8</v>
      </c>
    </row>
    <row r="56" spans="1:8" x14ac:dyDescent="0.3">
      <c r="A56" t="s">
        <v>67</v>
      </c>
      <c r="B56" t="s">
        <v>26</v>
      </c>
      <c r="C56" s="1">
        <v>42739</v>
      </c>
      <c r="D56">
        <v>202</v>
      </c>
      <c r="E56">
        <v>53</v>
      </c>
      <c r="F56">
        <v>34911.61</v>
      </c>
      <c r="G56">
        <v>7</v>
      </c>
      <c r="H56">
        <f ca="1">DATEDIF(Sheet1[[#This Row],[join_date]],TODAY(),"Y")</f>
        <v>9</v>
      </c>
    </row>
    <row r="57" spans="1:8" x14ac:dyDescent="0.3">
      <c r="A57" t="s">
        <v>68</v>
      </c>
      <c r="B57" t="s">
        <v>11</v>
      </c>
      <c r="C57" s="1">
        <v>42477</v>
      </c>
      <c r="D57">
        <v>154</v>
      </c>
      <c r="E57">
        <v>41</v>
      </c>
      <c r="F57">
        <v>23569.5</v>
      </c>
      <c r="G57">
        <v>5</v>
      </c>
      <c r="H57">
        <f ca="1">DATEDIF(Sheet1[[#This Row],[join_date]],TODAY(),"Y")</f>
        <v>10</v>
      </c>
    </row>
    <row r="58" spans="1:8" x14ac:dyDescent="0.3">
      <c r="A58" t="s">
        <v>69</v>
      </c>
      <c r="B58" t="s">
        <v>13</v>
      </c>
      <c r="C58" s="1">
        <v>43901</v>
      </c>
      <c r="D58">
        <v>50</v>
      </c>
      <c r="E58">
        <v>7</v>
      </c>
      <c r="F58">
        <v>27832.34</v>
      </c>
      <c r="G58">
        <v>8</v>
      </c>
      <c r="H58">
        <f ca="1">DATEDIF(Sheet1[[#This Row],[join_date]],TODAY(),"Y")</f>
        <v>6</v>
      </c>
    </row>
    <row r="59" spans="1:8" x14ac:dyDescent="0.3">
      <c r="A59" t="s">
        <v>70</v>
      </c>
      <c r="B59" t="s">
        <v>13</v>
      </c>
      <c r="C59" s="1">
        <v>43317</v>
      </c>
      <c r="D59">
        <v>293</v>
      </c>
      <c r="E59">
        <v>6</v>
      </c>
      <c r="F59">
        <v>43613.17</v>
      </c>
      <c r="G59">
        <v>6</v>
      </c>
      <c r="H59">
        <f ca="1">DATEDIF(Sheet1[[#This Row],[join_date]],TODAY(),"Y")</f>
        <v>7</v>
      </c>
    </row>
    <row r="60" spans="1:8" x14ac:dyDescent="0.3">
      <c r="A60" t="s">
        <v>71</v>
      </c>
      <c r="B60" t="s">
        <v>26</v>
      </c>
      <c r="C60" s="1">
        <v>44066</v>
      </c>
      <c r="D60">
        <v>146</v>
      </c>
      <c r="E60">
        <v>19</v>
      </c>
      <c r="F60">
        <v>9194.1299999999992</v>
      </c>
      <c r="G60">
        <v>3</v>
      </c>
      <c r="H60">
        <f ca="1">DATEDIF(Sheet1[[#This Row],[join_date]],TODAY(),"Y")</f>
        <v>5</v>
      </c>
    </row>
    <row r="61" spans="1:8" x14ac:dyDescent="0.3">
      <c r="A61" t="s">
        <v>72</v>
      </c>
      <c r="B61" t="s">
        <v>16</v>
      </c>
      <c r="C61" s="1">
        <v>44043</v>
      </c>
      <c r="D61">
        <v>73</v>
      </c>
      <c r="E61">
        <v>10</v>
      </c>
      <c r="F61">
        <v>39488.86</v>
      </c>
      <c r="G61">
        <v>5</v>
      </c>
      <c r="H61">
        <f ca="1">DATEDIF(Sheet1[[#This Row],[join_date]],TODAY(),"Y")</f>
        <v>5</v>
      </c>
    </row>
    <row r="62" spans="1:8" x14ac:dyDescent="0.3">
      <c r="A62" t="s">
        <v>73</v>
      </c>
      <c r="B62" t="s">
        <v>8</v>
      </c>
      <c r="C62" s="1">
        <v>44816</v>
      </c>
      <c r="D62">
        <v>83</v>
      </c>
      <c r="E62">
        <v>22</v>
      </c>
      <c r="F62">
        <v>9710.07</v>
      </c>
      <c r="G62">
        <v>0</v>
      </c>
      <c r="H62">
        <f ca="1">DATEDIF(Sheet1[[#This Row],[join_date]],TODAY(),"Y")</f>
        <v>3</v>
      </c>
    </row>
    <row r="63" spans="1:8" x14ac:dyDescent="0.3">
      <c r="A63" t="s">
        <v>74</v>
      </c>
      <c r="B63" t="s">
        <v>11</v>
      </c>
      <c r="C63" s="1">
        <v>42634</v>
      </c>
      <c r="D63">
        <v>73</v>
      </c>
      <c r="E63">
        <v>5</v>
      </c>
      <c r="F63">
        <v>39437.58</v>
      </c>
      <c r="G63">
        <v>3</v>
      </c>
      <c r="H63">
        <f ca="1">DATEDIF(Sheet1[[#This Row],[join_date]],TODAY(),"Y")</f>
        <v>9</v>
      </c>
    </row>
    <row r="64" spans="1:8" x14ac:dyDescent="0.3">
      <c r="A64" t="s">
        <v>75</v>
      </c>
      <c r="B64" t="s">
        <v>8</v>
      </c>
      <c r="C64" s="1">
        <v>42638</v>
      </c>
      <c r="D64">
        <v>292</v>
      </c>
      <c r="E64">
        <v>35</v>
      </c>
      <c r="F64">
        <v>13903.3</v>
      </c>
      <c r="G64">
        <v>4</v>
      </c>
      <c r="H64">
        <f ca="1">DATEDIF(Sheet1[[#This Row],[join_date]],TODAY(),"Y")</f>
        <v>9</v>
      </c>
    </row>
    <row r="65" spans="1:8" x14ac:dyDescent="0.3">
      <c r="A65" t="s">
        <v>76</v>
      </c>
      <c r="B65" t="s">
        <v>8</v>
      </c>
      <c r="C65" s="1">
        <v>43645</v>
      </c>
      <c r="D65">
        <v>222</v>
      </c>
      <c r="E65">
        <v>58</v>
      </c>
      <c r="F65">
        <v>29841.91</v>
      </c>
      <c r="G65">
        <v>5</v>
      </c>
      <c r="H65">
        <f ca="1">DATEDIF(Sheet1[[#This Row],[join_date]],TODAY(),"Y")</f>
        <v>7</v>
      </c>
    </row>
    <row r="66" spans="1:8" x14ac:dyDescent="0.3">
      <c r="A66" t="s">
        <v>77</v>
      </c>
      <c r="B66" t="s">
        <v>8</v>
      </c>
      <c r="C66" s="1">
        <v>44832</v>
      </c>
      <c r="D66">
        <v>171</v>
      </c>
      <c r="E66">
        <v>22</v>
      </c>
      <c r="F66">
        <v>24644.57</v>
      </c>
      <c r="G66">
        <v>1</v>
      </c>
      <c r="H66">
        <f ca="1">DATEDIF(Sheet1[[#This Row],[join_date]],TODAY(),"Y")</f>
        <v>3</v>
      </c>
    </row>
    <row r="67" spans="1:8" x14ac:dyDescent="0.3">
      <c r="A67" t="s">
        <v>78</v>
      </c>
      <c r="B67" t="s">
        <v>11</v>
      </c>
      <c r="C67" s="1">
        <v>44526</v>
      </c>
      <c r="D67">
        <v>236</v>
      </c>
      <c r="E67">
        <v>11</v>
      </c>
      <c r="F67">
        <v>7085.31</v>
      </c>
      <c r="G67">
        <v>0</v>
      </c>
      <c r="H67">
        <f ca="1">DATEDIF(Sheet1[[#This Row],[join_date]],TODAY(),"Y")</f>
        <v>4</v>
      </c>
    </row>
    <row r="68" spans="1:8" x14ac:dyDescent="0.3">
      <c r="A68" t="s">
        <v>79</v>
      </c>
      <c r="B68" t="s">
        <v>13</v>
      </c>
      <c r="C68" s="1">
        <v>42538</v>
      </c>
      <c r="D68">
        <v>233</v>
      </c>
      <c r="E68">
        <v>6</v>
      </c>
      <c r="F68">
        <v>9499.86</v>
      </c>
      <c r="G68">
        <v>2</v>
      </c>
      <c r="H68">
        <f ca="1">DATEDIF(Sheet1[[#This Row],[join_date]],TODAY(),"Y")</f>
        <v>10</v>
      </c>
    </row>
    <row r="69" spans="1:8" x14ac:dyDescent="0.3">
      <c r="A69" t="s">
        <v>80</v>
      </c>
      <c r="B69" t="s">
        <v>8</v>
      </c>
      <c r="C69" s="1">
        <v>42967</v>
      </c>
      <c r="D69">
        <v>254</v>
      </c>
      <c r="E69">
        <v>35</v>
      </c>
      <c r="F69">
        <v>15933.77</v>
      </c>
      <c r="G69">
        <v>0</v>
      </c>
      <c r="H69">
        <f ca="1">DATEDIF(Sheet1[[#This Row],[join_date]],TODAY(),"Y")</f>
        <v>8</v>
      </c>
    </row>
    <row r="70" spans="1:8" x14ac:dyDescent="0.3">
      <c r="A70" t="s">
        <v>81</v>
      </c>
      <c r="B70" t="s">
        <v>8</v>
      </c>
      <c r="C70" s="1">
        <v>44151</v>
      </c>
      <c r="D70">
        <v>153</v>
      </c>
      <c r="E70">
        <v>28</v>
      </c>
      <c r="F70">
        <v>34634.639999999999</v>
      </c>
      <c r="G70">
        <v>4</v>
      </c>
      <c r="H70">
        <f ca="1">DATEDIF(Sheet1[[#This Row],[join_date]],TODAY(),"Y")</f>
        <v>5</v>
      </c>
    </row>
    <row r="71" spans="1:8" x14ac:dyDescent="0.3">
      <c r="A71" t="s">
        <v>82</v>
      </c>
      <c r="B71" t="s">
        <v>16</v>
      </c>
      <c r="C71" s="1">
        <v>43846</v>
      </c>
      <c r="D71">
        <v>265</v>
      </c>
      <c r="E71">
        <v>40</v>
      </c>
      <c r="F71">
        <v>8661.49</v>
      </c>
      <c r="G71">
        <v>9</v>
      </c>
      <c r="H71">
        <f ca="1">DATEDIF(Sheet1[[#This Row],[join_date]],TODAY(),"Y")</f>
        <v>6</v>
      </c>
    </row>
    <row r="72" spans="1:8" x14ac:dyDescent="0.3">
      <c r="A72" t="s">
        <v>83</v>
      </c>
      <c r="B72" t="s">
        <v>16</v>
      </c>
      <c r="C72" s="1">
        <v>43898</v>
      </c>
      <c r="D72">
        <v>175</v>
      </c>
      <c r="E72">
        <v>47</v>
      </c>
      <c r="F72">
        <v>18022.02</v>
      </c>
      <c r="G72">
        <v>7</v>
      </c>
      <c r="H72">
        <f ca="1">DATEDIF(Sheet1[[#This Row],[join_date]],TODAY(),"Y")</f>
        <v>6</v>
      </c>
    </row>
    <row r="73" spans="1:8" x14ac:dyDescent="0.3">
      <c r="A73" t="s">
        <v>84</v>
      </c>
      <c r="B73" t="s">
        <v>26</v>
      </c>
      <c r="C73" s="1">
        <v>43263</v>
      </c>
      <c r="D73">
        <v>132</v>
      </c>
      <c r="E73">
        <v>18</v>
      </c>
      <c r="F73">
        <v>45352.53</v>
      </c>
      <c r="G73">
        <v>7</v>
      </c>
      <c r="H73">
        <f ca="1">DATEDIF(Sheet1[[#This Row],[join_date]],TODAY(),"Y")</f>
        <v>8</v>
      </c>
    </row>
    <row r="74" spans="1:8" x14ac:dyDescent="0.3">
      <c r="A74" t="s">
        <v>85</v>
      </c>
      <c r="B74" t="s">
        <v>22</v>
      </c>
      <c r="C74" s="1">
        <v>42689</v>
      </c>
      <c r="D74">
        <v>91</v>
      </c>
      <c r="E74">
        <v>10</v>
      </c>
      <c r="F74">
        <v>49756.05</v>
      </c>
      <c r="G74">
        <v>6</v>
      </c>
      <c r="H74">
        <f ca="1">DATEDIF(Sheet1[[#This Row],[join_date]],TODAY(),"Y")</f>
        <v>9</v>
      </c>
    </row>
    <row r="75" spans="1:8" x14ac:dyDescent="0.3">
      <c r="A75" t="s">
        <v>86</v>
      </c>
      <c r="B75" t="s">
        <v>11</v>
      </c>
      <c r="C75" s="1">
        <v>44095</v>
      </c>
      <c r="D75">
        <v>245</v>
      </c>
      <c r="E75">
        <v>52</v>
      </c>
      <c r="F75">
        <v>19732.46</v>
      </c>
      <c r="G75">
        <v>2</v>
      </c>
      <c r="H75">
        <f ca="1">DATEDIF(Sheet1[[#This Row],[join_date]],TODAY(),"Y")</f>
        <v>5</v>
      </c>
    </row>
    <row r="76" spans="1:8" x14ac:dyDescent="0.3">
      <c r="A76" t="s">
        <v>87</v>
      </c>
      <c r="B76" t="s">
        <v>13</v>
      </c>
      <c r="C76" s="1">
        <v>44008</v>
      </c>
      <c r="D76">
        <v>66</v>
      </c>
      <c r="E76">
        <v>11</v>
      </c>
      <c r="F76">
        <v>33479.269999999997</v>
      </c>
      <c r="G76">
        <v>3</v>
      </c>
      <c r="H76">
        <f ca="1">DATEDIF(Sheet1[[#This Row],[join_date]],TODAY(),"Y")</f>
        <v>6</v>
      </c>
    </row>
    <row r="77" spans="1:8" x14ac:dyDescent="0.3">
      <c r="A77" t="s">
        <v>88</v>
      </c>
      <c r="B77" t="s">
        <v>22</v>
      </c>
      <c r="C77" s="1">
        <v>42049</v>
      </c>
      <c r="D77">
        <v>60</v>
      </c>
      <c r="E77">
        <v>6</v>
      </c>
      <c r="F77">
        <v>28192.27</v>
      </c>
      <c r="G77">
        <v>8</v>
      </c>
      <c r="H77">
        <f ca="1">DATEDIF(Sheet1[[#This Row],[join_date]],TODAY(),"Y")</f>
        <v>11</v>
      </c>
    </row>
    <row r="78" spans="1:8" x14ac:dyDescent="0.3">
      <c r="A78" t="s">
        <v>89</v>
      </c>
      <c r="B78" t="s">
        <v>16</v>
      </c>
      <c r="C78" s="1">
        <v>42804</v>
      </c>
      <c r="D78">
        <v>267</v>
      </c>
      <c r="E78">
        <v>3</v>
      </c>
      <c r="F78">
        <v>11625.4</v>
      </c>
      <c r="G78">
        <v>2</v>
      </c>
      <c r="H78">
        <f ca="1">DATEDIF(Sheet1[[#This Row],[join_date]],TODAY(),"Y")</f>
        <v>9</v>
      </c>
    </row>
    <row r="79" spans="1:8" x14ac:dyDescent="0.3">
      <c r="A79" t="s">
        <v>90</v>
      </c>
      <c r="B79" t="s">
        <v>22</v>
      </c>
      <c r="C79" s="1">
        <v>42258</v>
      </c>
      <c r="D79">
        <v>267</v>
      </c>
      <c r="E79">
        <v>74</v>
      </c>
      <c r="F79">
        <v>41037.379999999997</v>
      </c>
      <c r="G79">
        <v>6</v>
      </c>
      <c r="H79">
        <f ca="1">DATEDIF(Sheet1[[#This Row],[join_date]],TODAY(),"Y")</f>
        <v>10</v>
      </c>
    </row>
    <row r="80" spans="1:8" x14ac:dyDescent="0.3">
      <c r="A80" t="s">
        <v>91</v>
      </c>
      <c r="B80" t="s">
        <v>8</v>
      </c>
      <c r="C80" s="1">
        <v>43230</v>
      </c>
      <c r="D80">
        <v>193</v>
      </c>
      <c r="E80">
        <v>36</v>
      </c>
      <c r="F80">
        <v>15870.41</v>
      </c>
      <c r="G80">
        <v>8</v>
      </c>
      <c r="H80">
        <f ca="1">DATEDIF(Sheet1[[#This Row],[join_date]],TODAY(),"Y")</f>
        <v>8</v>
      </c>
    </row>
    <row r="81" spans="1:8" x14ac:dyDescent="0.3">
      <c r="A81" t="s">
        <v>92</v>
      </c>
      <c r="B81" t="s">
        <v>22</v>
      </c>
      <c r="C81" s="1">
        <v>43776</v>
      </c>
      <c r="D81">
        <v>289</v>
      </c>
      <c r="E81">
        <v>84</v>
      </c>
      <c r="F81">
        <v>38713.449999999997</v>
      </c>
      <c r="G81">
        <v>9</v>
      </c>
      <c r="H81">
        <f ca="1">DATEDIF(Sheet1[[#This Row],[join_date]],TODAY(),"Y")</f>
        <v>6</v>
      </c>
    </row>
    <row r="82" spans="1:8" x14ac:dyDescent="0.3">
      <c r="A82" t="s">
        <v>93</v>
      </c>
      <c r="B82" t="s">
        <v>11</v>
      </c>
      <c r="C82" s="1">
        <v>42133</v>
      </c>
      <c r="D82">
        <v>287</v>
      </c>
      <c r="E82">
        <v>73</v>
      </c>
      <c r="F82">
        <v>32015.13</v>
      </c>
      <c r="G82">
        <v>5</v>
      </c>
      <c r="H82">
        <f ca="1">DATEDIF(Sheet1[[#This Row],[join_date]],TODAY(),"Y")</f>
        <v>11</v>
      </c>
    </row>
    <row r="83" spans="1:8" x14ac:dyDescent="0.3">
      <c r="A83" t="s">
        <v>94</v>
      </c>
      <c r="B83" t="s">
        <v>13</v>
      </c>
      <c r="C83" s="1">
        <v>44374</v>
      </c>
      <c r="D83">
        <v>74</v>
      </c>
      <c r="E83">
        <v>15</v>
      </c>
      <c r="F83">
        <v>36632.080000000002</v>
      </c>
      <c r="G83">
        <v>5</v>
      </c>
      <c r="H83">
        <f ca="1">DATEDIF(Sheet1[[#This Row],[join_date]],TODAY(),"Y")</f>
        <v>5</v>
      </c>
    </row>
    <row r="84" spans="1:8" x14ac:dyDescent="0.3">
      <c r="A84" t="s">
        <v>95</v>
      </c>
      <c r="B84" t="s">
        <v>16</v>
      </c>
      <c r="C84" s="1">
        <v>43714</v>
      </c>
      <c r="D84">
        <v>269</v>
      </c>
      <c r="E84">
        <v>19</v>
      </c>
      <c r="F84">
        <v>8244.15</v>
      </c>
      <c r="G84">
        <v>0</v>
      </c>
      <c r="H84">
        <f ca="1">DATEDIF(Sheet1[[#This Row],[join_date]],TODAY(),"Y")</f>
        <v>6</v>
      </c>
    </row>
    <row r="85" spans="1:8" x14ac:dyDescent="0.3">
      <c r="A85" t="s">
        <v>96</v>
      </c>
      <c r="B85" t="s">
        <v>16</v>
      </c>
      <c r="C85" s="1">
        <v>43844</v>
      </c>
      <c r="D85">
        <v>80</v>
      </c>
      <c r="E85">
        <v>14</v>
      </c>
      <c r="F85">
        <v>42395.25</v>
      </c>
      <c r="G85">
        <v>3</v>
      </c>
      <c r="H85">
        <f ca="1">DATEDIF(Sheet1[[#This Row],[join_date]],TODAY(),"Y")</f>
        <v>6</v>
      </c>
    </row>
    <row r="86" spans="1:8" x14ac:dyDescent="0.3">
      <c r="A86" t="s">
        <v>97</v>
      </c>
      <c r="B86" t="s">
        <v>16</v>
      </c>
      <c r="C86" s="1">
        <v>42720</v>
      </c>
      <c r="D86">
        <v>194</v>
      </c>
      <c r="E86">
        <v>56</v>
      </c>
      <c r="F86">
        <v>13197.24</v>
      </c>
      <c r="G86">
        <v>6</v>
      </c>
      <c r="H86">
        <f ca="1">DATEDIF(Sheet1[[#This Row],[join_date]],TODAY(),"Y")</f>
        <v>9</v>
      </c>
    </row>
    <row r="87" spans="1:8" x14ac:dyDescent="0.3">
      <c r="A87" t="s">
        <v>98</v>
      </c>
      <c r="B87" t="s">
        <v>22</v>
      </c>
      <c r="C87" s="1">
        <v>43554</v>
      </c>
      <c r="D87">
        <v>75</v>
      </c>
      <c r="E87">
        <v>9</v>
      </c>
      <c r="F87">
        <v>29002.3</v>
      </c>
      <c r="G87">
        <v>4</v>
      </c>
      <c r="H87">
        <f ca="1">DATEDIF(Sheet1[[#This Row],[join_date]],TODAY(),"Y")</f>
        <v>7</v>
      </c>
    </row>
    <row r="88" spans="1:8" x14ac:dyDescent="0.3">
      <c r="A88" t="s">
        <v>99</v>
      </c>
      <c r="B88" t="s">
        <v>8</v>
      </c>
      <c r="C88" s="1">
        <v>44596</v>
      </c>
      <c r="D88">
        <v>107</v>
      </c>
      <c r="E88">
        <v>14</v>
      </c>
      <c r="F88">
        <v>35431.230000000003</v>
      </c>
      <c r="G88">
        <v>9</v>
      </c>
      <c r="H88">
        <f ca="1">DATEDIF(Sheet1[[#This Row],[join_date]],TODAY(),"Y")</f>
        <v>4</v>
      </c>
    </row>
    <row r="89" spans="1:8" x14ac:dyDescent="0.3">
      <c r="A89" t="s">
        <v>100</v>
      </c>
      <c r="B89" t="s">
        <v>11</v>
      </c>
      <c r="C89" s="1">
        <v>44909</v>
      </c>
      <c r="D89">
        <v>235</v>
      </c>
      <c r="E89">
        <v>37</v>
      </c>
      <c r="F89">
        <v>12042.3</v>
      </c>
      <c r="G89">
        <v>7</v>
      </c>
      <c r="H89">
        <f ca="1">DATEDIF(Sheet1[[#This Row],[join_date]],TODAY(),"Y")</f>
        <v>3</v>
      </c>
    </row>
    <row r="90" spans="1:8" x14ac:dyDescent="0.3">
      <c r="A90" t="s">
        <v>101</v>
      </c>
      <c r="B90" t="s">
        <v>22</v>
      </c>
      <c r="C90" s="1">
        <v>43783</v>
      </c>
      <c r="D90">
        <v>192</v>
      </c>
      <c r="E90">
        <v>10</v>
      </c>
      <c r="F90">
        <v>37987.230000000003</v>
      </c>
      <c r="G90">
        <v>3</v>
      </c>
      <c r="H90">
        <f ca="1">DATEDIF(Sheet1[[#This Row],[join_date]],TODAY(),"Y")</f>
        <v>6</v>
      </c>
    </row>
    <row r="91" spans="1:8" x14ac:dyDescent="0.3">
      <c r="A91" t="s">
        <v>102</v>
      </c>
      <c r="B91" t="s">
        <v>13</v>
      </c>
      <c r="C91" s="1">
        <v>43282</v>
      </c>
      <c r="D91">
        <v>141</v>
      </c>
      <c r="E91">
        <v>21</v>
      </c>
      <c r="F91">
        <v>37207.17</v>
      </c>
      <c r="G91">
        <v>1</v>
      </c>
      <c r="H91">
        <f ca="1">DATEDIF(Sheet1[[#This Row],[join_date]],TODAY(),"Y")</f>
        <v>8</v>
      </c>
    </row>
    <row r="92" spans="1:8" x14ac:dyDescent="0.3">
      <c r="A92" t="s">
        <v>103</v>
      </c>
      <c r="B92" t="s">
        <v>22</v>
      </c>
      <c r="C92" s="1">
        <v>44455</v>
      </c>
      <c r="D92">
        <v>61</v>
      </c>
      <c r="E92">
        <v>15</v>
      </c>
      <c r="F92">
        <v>36461.82</v>
      </c>
      <c r="G92">
        <v>4</v>
      </c>
      <c r="H92">
        <f ca="1">DATEDIF(Sheet1[[#This Row],[join_date]],TODAY(),"Y")</f>
        <v>4</v>
      </c>
    </row>
    <row r="93" spans="1:8" x14ac:dyDescent="0.3">
      <c r="A93" t="s">
        <v>104</v>
      </c>
      <c r="B93" t="s">
        <v>8</v>
      </c>
      <c r="C93" s="1">
        <v>44615</v>
      </c>
      <c r="D93">
        <v>149</v>
      </c>
      <c r="E93">
        <v>28</v>
      </c>
      <c r="F93">
        <v>33506.129999999997</v>
      </c>
      <c r="G93">
        <v>9</v>
      </c>
      <c r="H93">
        <f ca="1">DATEDIF(Sheet1[[#This Row],[join_date]],TODAY(),"Y")</f>
        <v>4</v>
      </c>
    </row>
    <row r="94" spans="1:8" x14ac:dyDescent="0.3">
      <c r="A94" t="s">
        <v>105</v>
      </c>
      <c r="B94" t="s">
        <v>8</v>
      </c>
      <c r="C94" s="1">
        <v>43057</v>
      </c>
      <c r="D94">
        <v>63</v>
      </c>
      <c r="E94">
        <v>3</v>
      </c>
      <c r="F94">
        <v>17653.05</v>
      </c>
      <c r="G94">
        <v>7</v>
      </c>
      <c r="H94">
        <f ca="1">DATEDIF(Sheet1[[#This Row],[join_date]],TODAY(),"Y")</f>
        <v>8</v>
      </c>
    </row>
    <row r="95" spans="1:8" x14ac:dyDescent="0.3">
      <c r="A95" t="s">
        <v>106</v>
      </c>
      <c r="B95" t="s">
        <v>13</v>
      </c>
      <c r="C95" s="1">
        <v>44023</v>
      </c>
      <c r="D95">
        <v>115</v>
      </c>
      <c r="E95">
        <v>25</v>
      </c>
      <c r="F95">
        <v>29570.83</v>
      </c>
      <c r="G95">
        <v>9</v>
      </c>
      <c r="H95">
        <f ca="1">DATEDIF(Sheet1[[#This Row],[join_date]],TODAY(),"Y")</f>
        <v>6</v>
      </c>
    </row>
    <row r="96" spans="1:8" x14ac:dyDescent="0.3">
      <c r="A96" t="s">
        <v>107</v>
      </c>
      <c r="B96" t="s">
        <v>8</v>
      </c>
      <c r="C96" s="1">
        <v>43704</v>
      </c>
      <c r="D96">
        <v>186</v>
      </c>
      <c r="E96">
        <v>0</v>
      </c>
      <c r="F96">
        <v>32496.07</v>
      </c>
      <c r="G96">
        <v>2</v>
      </c>
      <c r="H96">
        <f ca="1">DATEDIF(Sheet1[[#This Row],[join_date]],TODAY(),"Y")</f>
        <v>6</v>
      </c>
    </row>
    <row r="97" spans="1:8" x14ac:dyDescent="0.3">
      <c r="A97" t="s">
        <v>108</v>
      </c>
      <c r="B97" t="s">
        <v>26</v>
      </c>
      <c r="C97" s="1">
        <v>44443</v>
      </c>
      <c r="D97">
        <v>197</v>
      </c>
      <c r="E97">
        <v>12</v>
      </c>
      <c r="F97">
        <v>34211.949999999997</v>
      </c>
      <c r="G97">
        <v>5</v>
      </c>
      <c r="H97">
        <f ca="1">DATEDIF(Sheet1[[#This Row],[join_date]],TODAY(),"Y")</f>
        <v>4</v>
      </c>
    </row>
    <row r="98" spans="1:8" x14ac:dyDescent="0.3">
      <c r="A98" t="s">
        <v>109</v>
      </c>
      <c r="B98" t="s">
        <v>26</v>
      </c>
      <c r="C98" s="1">
        <v>43057</v>
      </c>
      <c r="D98">
        <v>100</v>
      </c>
      <c r="E98">
        <v>21</v>
      </c>
      <c r="F98">
        <v>42272.02</v>
      </c>
      <c r="G98">
        <v>0</v>
      </c>
      <c r="H98">
        <f ca="1">DATEDIF(Sheet1[[#This Row],[join_date]],TODAY(),"Y")</f>
        <v>8</v>
      </c>
    </row>
    <row r="99" spans="1:8" x14ac:dyDescent="0.3">
      <c r="A99" t="s">
        <v>110</v>
      </c>
      <c r="B99" t="s">
        <v>26</v>
      </c>
      <c r="C99" s="1">
        <v>44618</v>
      </c>
      <c r="D99">
        <v>240</v>
      </c>
      <c r="E99">
        <v>46</v>
      </c>
      <c r="F99">
        <v>48223.08</v>
      </c>
      <c r="G99">
        <v>0</v>
      </c>
      <c r="H99">
        <f ca="1">DATEDIF(Sheet1[[#This Row],[join_date]],TODAY(),"Y")</f>
        <v>4</v>
      </c>
    </row>
    <row r="100" spans="1:8" x14ac:dyDescent="0.3">
      <c r="A100" t="s">
        <v>111</v>
      </c>
      <c r="B100" t="s">
        <v>22</v>
      </c>
      <c r="C100" s="1">
        <v>43089</v>
      </c>
      <c r="D100">
        <v>205</v>
      </c>
      <c r="E100">
        <v>48</v>
      </c>
      <c r="F100">
        <v>16446.02</v>
      </c>
      <c r="G100">
        <v>6</v>
      </c>
      <c r="H100">
        <f ca="1">DATEDIF(Sheet1[[#This Row],[join_date]],TODAY(),"Y")</f>
        <v>8</v>
      </c>
    </row>
    <row r="101" spans="1:8" x14ac:dyDescent="0.3">
      <c r="A101" t="s">
        <v>112</v>
      </c>
      <c r="B101" t="s">
        <v>13</v>
      </c>
      <c r="C101" s="1">
        <v>43252</v>
      </c>
      <c r="D101">
        <v>62</v>
      </c>
      <c r="E101">
        <v>12</v>
      </c>
      <c r="F101">
        <v>29769.55</v>
      </c>
      <c r="G101">
        <v>3</v>
      </c>
      <c r="H101">
        <f ca="1">DATEDIF(Sheet1[[#This Row],[join_date]],TODAY(),"Y")</f>
        <v>8</v>
      </c>
    </row>
    <row r="102" spans="1:8" x14ac:dyDescent="0.3">
      <c r="A102" t="s">
        <v>113</v>
      </c>
      <c r="B102" t="s">
        <v>16</v>
      </c>
      <c r="C102" s="1">
        <v>43414</v>
      </c>
      <c r="D102">
        <v>57</v>
      </c>
      <c r="E102">
        <v>16</v>
      </c>
      <c r="F102">
        <v>33036.370000000003</v>
      </c>
      <c r="G102">
        <v>8</v>
      </c>
      <c r="H102">
        <f ca="1">DATEDIF(Sheet1[[#This Row],[join_date]],TODAY(),"Y")</f>
        <v>7</v>
      </c>
    </row>
    <row r="103" spans="1:8" x14ac:dyDescent="0.3">
      <c r="A103" t="s">
        <v>114</v>
      </c>
      <c r="B103" t="s">
        <v>16</v>
      </c>
      <c r="C103" s="1">
        <v>43896</v>
      </c>
      <c r="D103">
        <v>87</v>
      </c>
      <c r="E103">
        <v>25</v>
      </c>
      <c r="F103">
        <v>38599.230000000003</v>
      </c>
      <c r="G103">
        <v>2</v>
      </c>
      <c r="H103">
        <f ca="1">DATEDIF(Sheet1[[#This Row],[join_date]],TODAY(),"Y")</f>
        <v>6</v>
      </c>
    </row>
    <row r="104" spans="1:8" x14ac:dyDescent="0.3">
      <c r="A104" t="s">
        <v>115</v>
      </c>
      <c r="B104" t="s">
        <v>13</v>
      </c>
      <c r="C104" s="1">
        <v>42488</v>
      </c>
      <c r="D104">
        <v>190</v>
      </c>
      <c r="E104">
        <v>24</v>
      </c>
      <c r="F104">
        <v>29628.66</v>
      </c>
      <c r="G104">
        <v>6</v>
      </c>
      <c r="H104">
        <f ca="1">DATEDIF(Sheet1[[#This Row],[join_date]],TODAY(),"Y")</f>
        <v>10</v>
      </c>
    </row>
    <row r="105" spans="1:8" x14ac:dyDescent="0.3">
      <c r="A105" t="s">
        <v>116</v>
      </c>
      <c r="B105" t="s">
        <v>11</v>
      </c>
      <c r="C105" s="1">
        <v>44822</v>
      </c>
      <c r="D105">
        <v>140</v>
      </c>
      <c r="E105">
        <v>0</v>
      </c>
      <c r="F105">
        <v>6683.84</v>
      </c>
      <c r="G105">
        <v>4</v>
      </c>
      <c r="H105">
        <f ca="1">DATEDIF(Sheet1[[#This Row],[join_date]],TODAY(),"Y")</f>
        <v>3</v>
      </c>
    </row>
    <row r="106" spans="1:8" x14ac:dyDescent="0.3">
      <c r="A106" t="s">
        <v>117</v>
      </c>
      <c r="B106" t="s">
        <v>13</v>
      </c>
      <c r="C106" s="1">
        <v>43849</v>
      </c>
      <c r="D106">
        <v>299</v>
      </c>
      <c r="E106">
        <v>73</v>
      </c>
      <c r="F106">
        <v>34125.56</v>
      </c>
      <c r="G106">
        <v>2</v>
      </c>
      <c r="H106">
        <f ca="1">DATEDIF(Sheet1[[#This Row],[join_date]],TODAY(),"Y")</f>
        <v>6</v>
      </c>
    </row>
    <row r="107" spans="1:8" x14ac:dyDescent="0.3">
      <c r="A107" t="s">
        <v>118</v>
      </c>
      <c r="B107" t="s">
        <v>8</v>
      </c>
      <c r="C107" s="1">
        <v>43416</v>
      </c>
      <c r="D107">
        <v>70</v>
      </c>
      <c r="E107">
        <v>6</v>
      </c>
      <c r="F107">
        <v>39984.620000000003</v>
      </c>
      <c r="G107">
        <v>6</v>
      </c>
      <c r="H107">
        <f ca="1">DATEDIF(Sheet1[[#This Row],[join_date]],TODAY(),"Y")</f>
        <v>7</v>
      </c>
    </row>
    <row r="108" spans="1:8" x14ac:dyDescent="0.3">
      <c r="A108" t="s">
        <v>119</v>
      </c>
      <c r="B108" t="s">
        <v>11</v>
      </c>
      <c r="C108" s="1">
        <v>43048</v>
      </c>
      <c r="D108">
        <v>174</v>
      </c>
      <c r="E108">
        <v>47</v>
      </c>
      <c r="F108">
        <v>49417.58</v>
      </c>
      <c r="G108">
        <v>8</v>
      </c>
      <c r="H108">
        <f ca="1">DATEDIF(Sheet1[[#This Row],[join_date]],TODAY(),"Y")</f>
        <v>8</v>
      </c>
    </row>
    <row r="109" spans="1:8" x14ac:dyDescent="0.3">
      <c r="A109" t="s">
        <v>120</v>
      </c>
      <c r="B109" t="s">
        <v>11</v>
      </c>
      <c r="C109" s="1">
        <v>43912</v>
      </c>
      <c r="D109">
        <v>95</v>
      </c>
      <c r="E109">
        <v>3</v>
      </c>
      <c r="F109">
        <v>41953.31</v>
      </c>
      <c r="G109">
        <v>0</v>
      </c>
      <c r="H109">
        <f ca="1">DATEDIF(Sheet1[[#This Row],[join_date]],TODAY(),"Y")</f>
        <v>6</v>
      </c>
    </row>
    <row r="110" spans="1:8" x14ac:dyDescent="0.3">
      <c r="A110" t="s">
        <v>121</v>
      </c>
      <c r="B110" t="s">
        <v>22</v>
      </c>
      <c r="C110" s="1">
        <v>44388</v>
      </c>
      <c r="D110">
        <v>169</v>
      </c>
      <c r="E110">
        <v>21</v>
      </c>
      <c r="F110">
        <v>9134.67</v>
      </c>
      <c r="G110">
        <v>5</v>
      </c>
      <c r="H110">
        <f ca="1">DATEDIF(Sheet1[[#This Row],[join_date]],TODAY(),"Y")</f>
        <v>5</v>
      </c>
    </row>
    <row r="111" spans="1:8" x14ac:dyDescent="0.3">
      <c r="A111" t="s">
        <v>122</v>
      </c>
      <c r="B111" t="s">
        <v>11</v>
      </c>
      <c r="C111" s="1">
        <v>44608</v>
      </c>
      <c r="D111">
        <v>56</v>
      </c>
      <c r="E111">
        <v>5</v>
      </c>
      <c r="F111">
        <v>36133.870000000003</v>
      </c>
      <c r="G111">
        <v>1</v>
      </c>
      <c r="H111">
        <f ca="1">DATEDIF(Sheet1[[#This Row],[join_date]],TODAY(),"Y")</f>
        <v>4</v>
      </c>
    </row>
    <row r="112" spans="1:8" x14ac:dyDescent="0.3">
      <c r="A112" t="s">
        <v>123</v>
      </c>
      <c r="B112" t="s">
        <v>11</v>
      </c>
      <c r="C112" s="1">
        <v>44139</v>
      </c>
      <c r="D112">
        <v>272</v>
      </c>
      <c r="E112">
        <v>74</v>
      </c>
      <c r="F112">
        <v>8949.1200000000008</v>
      </c>
      <c r="G112">
        <v>5</v>
      </c>
      <c r="H112">
        <f ca="1">DATEDIF(Sheet1[[#This Row],[join_date]],TODAY(),"Y")</f>
        <v>5</v>
      </c>
    </row>
    <row r="113" spans="1:8" x14ac:dyDescent="0.3">
      <c r="A113" t="s">
        <v>124</v>
      </c>
      <c r="B113" t="s">
        <v>16</v>
      </c>
      <c r="C113" s="1">
        <v>42885</v>
      </c>
      <c r="D113">
        <v>50</v>
      </c>
      <c r="E113">
        <v>1</v>
      </c>
      <c r="F113">
        <v>28511.3</v>
      </c>
      <c r="G113">
        <v>0</v>
      </c>
      <c r="H113">
        <f ca="1">DATEDIF(Sheet1[[#This Row],[join_date]],TODAY(),"Y")</f>
        <v>9</v>
      </c>
    </row>
    <row r="114" spans="1:8" x14ac:dyDescent="0.3">
      <c r="A114" t="s">
        <v>125</v>
      </c>
      <c r="B114" t="s">
        <v>11</v>
      </c>
      <c r="C114" s="1">
        <v>42715</v>
      </c>
      <c r="D114">
        <v>97</v>
      </c>
      <c r="E114">
        <v>14</v>
      </c>
      <c r="F114">
        <v>39731.31</v>
      </c>
      <c r="G114">
        <v>4</v>
      </c>
      <c r="H114">
        <f ca="1">DATEDIF(Sheet1[[#This Row],[join_date]],TODAY(),"Y")</f>
        <v>9</v>
      </c>
    </row>
    <row r="115" spans="1:8" x14ac:dyDescent="0.3">
      <c r="A115" t="s">
        <v>126</v>
      </c>
      <c r="B115" t="s">
        <v>16</v>
      </c>
      <c r="C115" s="1">
        <v>43551</v>
      </c>
      <c r="D115">
        <v>272</v>
      </c>
      <c r="E115">
        <v>10</v>
      </c>
      <c r="F115">
        <v>6038.16</v>
      </c>
      <c r="G115">
        <v>9</v>
      </c>
      <c r="H115">
        <f ca="1">DATEDIF(Sheet1[[#This Row],[join_date]],TODAY(),"Y")</f>
        <v>7</v>
      </c>
    </row>
    <row r="116" spans="1:8" x14ac:dyDescent="0.3">
      <c r="A116" t="s">
        <v>127</v>
      </c>
      <c r="B116" t="s">
        <v>16</v>
      </c>
      <c r="C116" s="1">
        <v>43317</v>
      </c>
      <c r="D116">
        <v>251</v>
      </c>
      <c r="E116">
        <v>33</v>
      </c>
      <c r="F116">
        <v>34381.550000000003</v>
      </c>
      <c r="G116">
        <v>8</v>
      </c>
      <c r="H116">
        <f ca="1">DATEDIF(Sheet1[[#This Row],[join_date]],TODAY(),"Y")</f>
        <v>7</v>
      </c>
    </row>
    <row r="117" spans="1:8" x14ac:dyDescent="0.3">
      <c r="A117" t="s">
        <v>128</v>
      </c>
      <c r="B117" t="s">
        <v>26</v>
      </c>
      <c r="C117" s="1">
        <v>44193</v>
      </c>
      <c r="D117">
        <v>163</v>
      </c>
      <c r="E117">
        <v>5</v>
      </c>
      <c r="F117">
        <v>38911.279999999999</v>
      </c>
      <c r="G117">
        <v>4</v>
      </c>
      <c r="H117">
        <f ca="1">DATEDIF(Sheet1[[#This Row],[join_date]],TODAY(),"Y")</f>
        <v>5</v>
      </c>
    </row>
    <row r="118" spans="1:8" x14ac:dyDescent="0.3">
      <c r="A118" t="s">
        <v>129</v>
      </c>
      <c r="B118" t="s">
        <v>13</v>
      </c>
      <c r="C118" s="1">
        <v>43190</v>
      </c>
      <c r="D118">
        <v>295</v>
      </c>
      <c r="E118">
        <v>39</v>
      </c>
      <c r="F118">
        <v>11406.97</v>
      </c>
      <c r="G118">
        <v>2</v>
      </c>
      <c r="H118">
        <f ca="1">DATEDIF(Sheet1[[#This Row],[join_date]],TODAY(),"Y")</f>
        <v>8</v>
      </c>
    </row>
    <row r="119" spans="1:8" x14ac:dyDescent="0.3">
      <c r="A119" t="s">
        <v>130</v>
      </c>
      <c r="B119" t="s">
        <v>11</v>
      </c>
      <c r="C119" s="1">
        <v>44051</v>
      </c>
      <c r="D119">
        <v>262</v>
      </c>
      <c r="E119">
        <v>18</v>
      </c>
      <c r="F119">
        <v>26835.86</v>
      </c>
      <c r="G119">
        <v>0</v>
      </c>
      <c r="H119">
        <f ca="1">DATEDIF(Sheet1[[#This Row],[join_date]],TODAY(),"Y")</f>
        <v>5</v>
      </c>
    </row>
    <row r="120" spans="1:8" x14ac:dyDescent="0.3">
      <c r="A120" t="s">
        <v>131</v>
      </c>
      <c r="B120" t="s">
        <v>26</v>
      </c>
      <c r="C120" s="1">
        <v>44438</v>
      </c>
      <c r="D120">
        <v>298</v>
      </c>
      <c r="E120">
        <v>65</v>
      </c>
      <c r="F120">
        <v>34593.11</v>
      </c>
      <c r="G120">
        <v>3</v>
      </c>
      <c r="H120">
        <f ca="1">DATEDIF(Sheet1[[#This Row],[join_date]],TODAY(),"Y")</f>
        <v>4</v>
      </c>
    </row>
    <row r="121" spans="1:8" x14ac:dyDescent="0.3">
      <c r="A121" t="s">
        <v>132</v>
      </c>
      <c r="B121" t="s">
        <v>26</v>
      </c>
      <c r="C121" s="1">
        <v>43759</v>
      </c>
      <c r="D121">
        <v>107</v>
      </c>
      <c r="E121">
        <v>31</v>
      </c>
      <c r="F121">
        <v>15421.58</v>
      </c>
      <c r="G121">
        <v>4</v>
      </c>
      <c r="H121">
        <f ca="1">DATEDIF(Sheet1[[#This Row],[join_date]],TODAY(),"Y")</f>
        <v>6</v>
      </c>
    </row>
    <row r="122" spans="1:8" x14ac:dyDescent="0.3">
      <c r="A122" t="s">
        <v>133</v>
      </c>
      <c r="B122" t="s">
        <v>13</v>
      </c>
      <c r="C122" s="1">
        <v>43255</v>
      </c>
      <c r="D122">
        <v>298</v>
      </c>
      <c r="E122">
        <v>84</v>
      </c>
      <c r="F122">
        <v>25674.15</v>
      </c>
      <c r="G122">
        <v>4</v>
      </c>
      <c r="H122">
        <f ca="1">DATEDIF(Sheet1[[#This Row],[join_date]],TODAY(),"Y")</f>
        <v>8</v>
      </c>
    </row>
    <row r="123" spans="1:8" x14ac:dyDescent="0.3">
      <c r="A123" t="s">
        <v>134</v>
      </c>
      <c r="B123" t="s">
        <v>26</v>
      </c>
      <c r="C123" s="1">
        <v>44577</v>
      </c>
      <c r="D123">
        <v>269</v>
      </c>
      <c r="E123">
        <v>55</v>
      </c>
      <c r="F123">
        <v>5819.39</v>
      </c>
      <c r="G123">
        <v>6</v>
      </c>
      <c r="H123">
        <f ca="1">DATEDIF(Sheet1[[#This Row],[join_date]],TODAY(),"Y")</f>
        <v>4</v>
      </c>
    </row>
    <row r="124" spans="1:8" x14ac:dyDescent="0.3">
      <c r="A124" t="s">
        <v>135</v>
      </c>
      <c r="B124" t="s">
        <v>26</v>
      </c>
      <c r="C124" s="1">
        <v>44657</v>
      </c>
      <c r="D124">
        <v>188</v>
      </c>
      <c r="E124">
        <v>44</v>
      </c>
      <c r="F124">
        <v>18919.810000000001</v>
      </c>
      <c r="G124">
        <v>3</v>
      </c>
      <c r="H124">
        <f ca="1">DATEDIF(Sheet1[[#This Row],[join_date]],TODAY(),"Y")</f>
        <v>4</v>
      </c>
    </row>
    <row r="125" spans="1:8" x14ac:dyDescent="0.3">
      <c r="A125" t="s">
        <v>136</v>
      </c>
      <c r="B125" t="s">
        <v>8</v>
      </c>
      <c r="C125" s="1">
        <v>42779</v>
      </c>
      <c r="D125">
        <v>176</v>
      </c>
      <c r="E125">
        <v>28</v>
      </c>
      <c r="F125">
        <v>40275.53</v>
      </c>
      <c r="G125">
        <v>4</v>
      </c>
      <c r="H125">
        <f ca="1">DATEDIF(Sheet1[[#This Row],[join_date]],TODAY(),"Y")</f>
        <v>9</v>
      </c>
    </row>
    <row r="126" spans="1:8" x14ac:dyDescent="0.3">
      <c r="A126" t="s">
        <v>137</v>
      </c>
      <c r="B126" t="s">
        <v>13</v>
      </c>
      <c r="C126" s="1">
        <v>42128</v>
      </c>
      <c r="D126">
        <v>169</v>
      </c>
      <c r="E126">
        <v>28</v>
      </c>
      <c r="F126">
        <v>39484.629999999997</v>
      </c>
      <c r="G126">
        <v>1</v>
      </c>
      <c r="H126">
        <f ca="1">DATEDIF(Sheet1[[#This Row],[join_date]],TODAY(),"Y")</f>
        <v>11</v>
      </c>
    </row>
    <row r="127" spans="1:8" x14ac:dyDescent="0.3">
      <c r="A127" t="s">
        <v>138</v>
      </c>
      <c r="B127" t="s">
        <v>13</v>
      </c>
      <c r="C127" s="1">
        <v>42119</v>
      </c>
      <c r="D127">
        <v>112</v>
      </c>
      <c r="E127">
        <v>3</v>
      </c>
      <c r="F127">
        <v>10164.870000000001</v>
      </c>
      <c r="G127">
        <v>4</v>
      </c>
      <c r="H127">
        <f ca="1">DATEDIF(Sheet1[[#This Row],[join_date]],TODAY(),"Y")</f>
        <v>11</v>
      </c>
    </row>
    <row r="128" spans="1:8" x14ac:dyDescent="0.3">
      <c r="A128" t="s">
        <v>139</v>
      </c>
      <c r="B128" t="s">
        <v>11</v>
      </c>
      <c r="C128" s="1">
        <v>44639</v>
      </c>
      <c r="D128">
        <v>114</v>
      </c>
      <c r="E128">
        <v>1</v>
      </c>
      <c r="F128">
        <v>38879.97</v>
      </c>
      <c r="G128">
        <v>1</v>
      </c>
      <c r="H128">
        <f ca="1">DATEDIF(Sheet1[[#This Row],[join_date]],TODAY(),"Y")</f>
        <v>4</v>
      </c>
    </row>
    <row r="129" spans="1:8" x14ac:dyDescent="0.3">
      <c r="A129" t="s">
        <v>140</v>
      </c>
      <c r="B129" t="s">
        <v>8</v>
      </c>
      <c r="C129" s="1">
        <v>43234</v>
      </c>
      <c r="D129">
        <v>131</v>
      </c>
      <c r="E129">
        <v>10</v>
      </c>
      <c r="F129">
        <v>44502.69</v>
      </c>
      <c r="G129">
        <v>6</v>
      </c>
      <c r="H129">
        <f ca="1">DATEDIF(Sheet1[[#This Row],[join_date]],TODAY(),"Y")</f>
        <v>8</v>
      </c>
    </row>
    <row r="130" spans="1:8" x14ac:dyDescent="0.3">
      <c r="A130" t="s">
        <v>141</v>
      </c>
      <c r="B130" t="s">
        <v>11</v>
      </c>
      <c r="C130" s="1">
        <v>43580</v>
      </c>
      <c r="D130">
        <v>54</v>
      </c>
      <c r="E130">
        <v>12</v>
      </c>
      <c r="F130">
        <v>10432.73</v>
      </c>
      <c r="G130">
        <v>1</v>
      </c>
      <c r="H130">
        <f ca="1">DATEDIF(Sheet1[[#This Row],[join_date]],TODAY(),"Y")</f>
        <v>7</v>
      </c>
    </row>
    <row r="131" spans="1:8" x14ac:dyDescent="0.3">
      <c r="A131" t="s">
        <v>142</v>
      </c>
      <c r="B131" t="s">
        <v>16</v>
      </c>
      <c r="C131" s="1">
        <v>43341</v>
      </c>
      <c r="D131">
        <v>77</v>
      </c>
      <c r="E131">
        <v>20</v>
      </c>
      <c r="F131">
        <v>14570.54</v>
      </c>
      <c r="G131">
        <v>6</v>
      </c>
      <c r="H131">
        <f ca="1">DATEDIF(Sheet1[[#This Row],[join_date]],TODAY(),"Y")</f>
        <v>7</v>
      </c>
    </row>
    <row r="132" spans="1:8" x14ac:dyDescent="0.3">
      <c r="A132" t="s">
        <v>143</v>
      </c>
      <c r="B132" t="s">
        <v>22</v>
      </c>
      <c r="C132" s="1">
        <v>43208</v>
      </c>
      <c r="D132">
        <v>74</v>
      </c>
      <c r="E132">
        <v>1</v>
      </c>
      <c r="F132">
        <v>6352.81</v>
      </c>
      <c r="G132">
        <v>3</v>
      </c>
      <c r="H132">
        <f ca="1">DATEDIF(Sheet1[[#This Row],[join_date]],TODAY(),"Y")</f>
        <v>8</v>
      </c>
    </row>
    <row r="133" spans="1:8" x14ac:dyDescent="0.3">
      <c r="A133" t="s">
        <v>144</v>
      </c>
      <c r="B133" t="s">
        <v>26</v>
      </c>
      <c r="C133" s="1">
        <v>42829</v>
      </c>
      <c r="D133">
        <v>116</v>
      </c>
      <c r="E133">
        <v>20</v>
      </c>
      <c r="F133">
        <v>9380.3700000000008</v>
      </c>
      <c r="G133">
        <v>9</v>
      </c>
      <c r="H133">
        <f ca="1">DATEDIF(Sheet1[[#This Row],[join_date]],TODAY(),"Y")</f>
        <v>9</v>
      </c>
    </row>
    <row r="134" spans="1:8" x14ac:dyDescent="0.3">
      <c r="A134" t="s">
        <v>145</v>
      </c>
      <c r="B134" t="s">
        <v>22</v>
      </c>
      <c r="C134" s="1">
        <v>44270</v>
      </c>
      <c r="D134">
        <v>216</v>
      </c>
      <c r="E134">
        <v>41</v>
      </c>
      <c r="F134">
        <v>31188.69</v>
      </c>
      <c r="G134">
        <v>8</v>
      </c>
      <c r="H134">
        <f ca="1">DATEDIF(Sheet1[[#This Row],[join_date]],TODAY(),"Y")</f>
        <v>5</v>
      </c>
    </row>
    <row r="135" spans="1:8" x14ac:dyDescent="0.3">
      <c r="A135" t="s">
        <v>146</v>
      </c>
      <c r="B135" t="s">
        <v>11</v>
      </c>
      <c r="C135" s="1">
        <v>42885</v>
      </c>
      <c r="D135">
        <v>193</v>
      </c>
      <c r="E135">
        <v>41</v>
      </c>
      <c r="F135">
        <v>46337.29</v>
      </c>
      <c r="G135">
        <v>1</v>
      </c>
      <c r="H135">
        <f ca="1">DATEDIF(Sheet1[[#This Row],[join_date]],TODAY(),"Y")</f>
        <v>9</v>
      </c>
    </row>
    <row r="136" spans="1:8" x14ac:dyDescent="0.3">
      <c r="A136" t="s">
        <v>147</v>
      </c>
      <c r="B136" t="s">
        <v>11</v>
      </c>
      <c r="C136" s="1">
        <v>43024</v>
      </c>
      <c r="D136">
        <v>108</v>
      </c>
      <c r="E136">
        <v>31</v>
      </c>
      <c r="F136">
        <v>23696.59</v>
      </c>
      <c r="G136">
        <v>7</v>
      </c>
      <c r="H136">
        <f ca="1">DATEDIF(Sheet1[[#This Row],[join_date]],TODAY(),"Y")</f>
        <v>8</v>
      </c>
    </row>
    <row r="137" spans="1:8" x14ac:dyDescent="0.3">
      <c r="A137" t="s">
        <v>148</v>
      </c>
      <c r="B137" t="s">
        <v>26</v>
      </c>
      <c r="C137" s="1">
        <v>43368</v>
      </c>
      <c r="D137">
        <v>287</v>
      </c>
      <c r="E137">
        <v>42</v>
      </c>
      <c r="F137">
        <v>44729.63</v>
      </c>
      <c r="G137">
        <v>2</v>
      </c>
      <c r="H137">
        <f ca="1">DATEDIF(Sheet1[[#This Row],[join_date]],TODAY(),"Y")</f>
        <v>7</v>
      </c>
    </row>
    <row r="138" spans="1:8" x14ac:dyDescent="0.3">
      <c r="A138" t="s">
        <v>149</v>
      </c>
      <c r="B138" t="s">
        <v>13</v>
      </c>
      <c r="C138" s="1">
        <v>43007</v>
      </c>
      <c r="D138">
        <v>223</v>
      </c>
      <c r="E138">
        <v>12</v>
      </c>
      <c r="F138">
        <v>34604.11</v>
      </c>
      <c r="G138">
        <v>3</v>
      </c>
      <c r="H138">
        <f ca="1">DATEDIF(Sheet1[[#This Row],[join_date]],TODAY(),"Y")</f>
        <v>8</v>
      </c>
    </row>
    <row r="139" spans="1:8" x14ac:dyDescent="0.3">
      <c r="A139" t="s">
        <v>150</v>
      </c>
      <c r="B139" t="s">
        <v>11</v>
      </c>
      <c r="C139" s="1">
        <v>43434</v>
      </c>
      <c r="D139">
        <v>131</v>
      </c>
      <c r="E139">
        <v>0</v>
      </c>
      <c r="F139">
        <v>10746.96</v>
      </c>
      <c r="G139">
        <v>2</v>
      </c>
      <c r="H139">
        <f ca="1">DATEDIF(Sheet1[[#This Row],[join_date]],TODAY(),"Y")</f>
        <v>7</v>
      </c>
    </row>
    <row r="140" spans="1:8" x14ac:dyDescent="0.3">
      <c r="A140" t="s">
        <v>151</v>
      </c>
      <c r="B140" t="s">
        <v>16</v>
      </c>
      <c r="C140" s="1">
        <v>43713</v>
      </c>
      <c r="D140">
        <v>88</v>
      </c>
      <c r="E140">
        <v>22</v>
      </c>
      <c r="F140">
        <v>27215.89</v>
      </c>
      <c r="G140">
        <v>0</v>
      </c>
      <c r="H140">
        <f ca="1">DATEDIF(Sheet1[[#This Row],[join_date]],TODAY(),"Y")</f>
        <v>6</v>
      </c>
    </row>
    <row r="141" spans="1:8" x14ac:dyDescent="0.3">
      <c r="A141" t="s">
        <v>152</v>
      </c>
      <c r="B141" t="s">
        <v>22</v>
      </c>
      <c r="C141" s="1">
        <v>42668</v>
      </c>
      <c r="D141">
        <v>153</v>
      </c>
      <c r="E141">
        <v>36</v>
      </c>
      <c r="F141">
        <v>39014.559999999998</v>
      </c>
      <c r="G141">
        <v>6</v>
      </c>
      <c r="H141">
        <f ca="1">DATEDIF(Sheet1[[#This Row],[join_date]],TODAY(),"Y")</f>
        <v>9</v>
      </c>
    </row>
    <row r="142" spans="1:8" x14ac:dyDescent="0.3">
      <c r="A142" t="s">
        <v>153</v>
      </c>
      <c r="B142" t="s">
        <v>11</v>
      </c>
      <c r="C142" s="1">
        <v>44150</v>
      </c>
      <c r="D142">
        <v>139</v>
      </c>
      <c r="E142">
        <v>33</v>
      </c>
      <c r="F142">
        <v>37964.019999999997</v>
      </c>
      <c r="G142">
        <v>2</v>
      </c>
      <c r="H142">
        <f ca="1">DATEDIF(Sheet1[[#This Row],[join_date]],TODAY(),"Y")</f>
        <v>5</v>
      </c>
    </row>
    <row r="143" spans="1:8" x14ac:dyDescent="0.3">
      <c r="A143" t="s">
        <v>154</v>
      </c>
      <c r="B143" t="s">
        <v>22</v>
      </c>
      <c r="C143" s="1">
        <v>43706</v>
      </c>
      <c r="D143">
        <v>235</v>
      </c>
      <c r="E143">
        <v>26</v>
      </c>
      <c r="F143">
        <v>42343.5</v>
      </c>
      <c r="G143">
        <v>6</v>
      </c>
      <c r="H143">
        <f ca="1">DATEDIF(Sheet1[[#This Row],[join_date]],TODAY(),"Y")</f>
        <v>6</v>
      </c>
    </row>
    <row r="144" spans="1:8" x14ac:dyDescent="0.3">
      <c r="A144" t="s">
        <v>155</v>
      </c>
      <c r="B144" t="s">
        <v>26</v>
      </c>
      <c r="C144" s="1">
        <v>43988</v>
      </c>
      <c r="D144">
        <v>116</v>
      </c>
      <c r="E144">
        <v>20</v>
      </c>
      <c r="F144">
        <v>25797.84</v>
      </c>
      <c r="G144">
        <v>3</v>
      </c>
      <c r="H144">
        <f ca="1">DATEDIF(Sheet1[[#This Row],[join_date]],TODAY(),"Y")</f>
        <v>6</v>
      </c>
    </row>
    <row r="145" spans="1:8" x14ac:dyDescent="0.3">
      <c r="A145" t="s">
        <v>156</v>
      </c>
      <c r="B145" t="s">
        <v>13</v>
      </c>
      <c r="C145" s="1">
        <v>43514</v>
      </c>
      <c r="D145">
        <v>231</v>
      </c>
      <c r="E145">
        <v>29</v>
      </c>
      <c r="F145">
        <v>9306.15</v>
      </c>
      <c r="G145">
        <v>3</v>
      </c>
      <c r="H145">
        <f ca="1">DATEDIF(Sheet1[[#This Row],[join_date]],TODAY(),"Y")</f>
        <v>7</v>
      </c>
    </row>
    <row r="146" spans="1:8" x14ac:dyDescent="0.3">
      <c r="A146" t="s">
        <v>157</v>
      </c>
      <c r="B146" t="s">
        <v>26</v>
      </c>
      <c r="C146" s="1">
        <v>44482</v>
      </c>
      <c r="D146">
        <v>197</v>
      </c>
      <c r="E146">
        <v>41</v>
      </c>
      <c r="F146">
        <v>20322.59</v>
      </c>
      <c r="G146">
        <v>6</v>
      </c>
      <c r="H146">
        <f ca="1">DATEDIF(Sheet1[[#This Row],[join_date]],TODAY(),"Y")</f>
        <v>4</v>
      </c>
    </row>
    <row r="147" spans="1:8" x14ac:dyDescent="0.3">
      <c r="A147" t="s">
        <v>158</v>
      </c>
      <c r="B147" t="s">
        <v>13</v>
      </c>
      <c r="C147" s="1">
        <v>42614</v>
      </c>
      <c r="D147">
        <v>126</v>
      </c>
      <c r="E147">
        <v>34</v>
      </c>
      <c r="F147">
        <v>9396.42</v>
      </c>
      <c r="G147">
        <v>7</v>
      </c>
      <c r="H147">
        <f ca="1">DATEDIF(Sheet1[[#This Row],[join_date]],TODAY(),"Y")</f>
        <v>9</v>
      </c>
    </row>
    <row r="148" spans="1:8" x14ac:dyDescent="0.3">
      <c r="A148" t="s">
        <v>159</v>
      </c>
      <c r="B148" t="s">
        <v>13</v>
      </c>
      <c r="C148" s="1">
        <v>42026</v>
      </c>
      <c r="D148">
        <v>225</v>
      </c>
      <c r="E148">
        <v>50</v>
      </c>
      <c r="F148">
        <v>49136.21</v>
      </c>
      <c r="G148">
        <v>2</v>
      </c>
      <c r="H148">
        <f ca="1">DATEDIF(Sheet1[[#This Row],[join_date]],TODAY(),"Y")</f>
        <v>11</v>
      </c>
    </row>
    <row r="149" spans="1:8" x14ac:dyDescent="0.3">
      <c r="A149" t="s">
        <v>160</v>
      </c>
      <c r="B149" t="s">
        <v>11</v>
      </c>
      <c r="C149" s="1">
        <v>44871</v>
      </c>
      <c r="D149">
        <v>134</v>
      </c>
      <c r="E149">
        <v>24</v>
      </c>
      <c r="F149">
        <v>16780.43</v>
      </c>
      <c r="G149">
        <v>4</v>
      </c>
      <c r="H149">
        <f ca="1">DATEDIF(Sheet1[[#This Row],[join_date]],TODAY(),"Y")</f>
        <v>3</v>
      </c>
    </row>
    <row r="150" spans="1:8" x14ac:dyDescent="0.3">
      <c r="A150" t="s">
        <v>161</v>
      </c>
      <c r="B150" t="s">
        <v>22</v>
      </c>
      <c r="C150" s="1">
        <v>44246</v>
      </c>
      <c r="D150">
        <v>179</v>
      </c>
      <c r="E150">
        <v>44</v>
      </c>
      <c r="F150">
        <v>7787.08</v>
      </c>
      <c r="G150">
        <v>2</v>
      </c>
      <c r="H150">
        <f ca="1">DATEDIF(Sheet1[[#This Row],[join_date]],TODAY(),"Y")</f>
        <v>5</v>
      </c>
    </row>
    <row r="151" spans="1:8" x14ac:dyDescent="0.3">
      <c r="A151" t="s">
        <v>162</v>
      </c>
      <c r="B151" t="s">
        <v>8</v>
      </c>
      <c r="C151" s="1">
        <v>42468</v>
      </c>
      <c r="D151">
        <v>171</v>
      </c>
      <c r="E151">
        <v>1</v>
      </c>
      <c r="F151">
        <v>43760.53</v>
      </c>
      <c r="G151">
        <v>6</v>
      </c>
      <c r="H151">
        <f ca="1">DATEDIF(Sheet1[[#This Row],[join_date]],TODAY(),"Y")</f>
        <v>10</v>
      </c>
    </row>
    <row r="152" spans="1:8" x14ac:dyDescent="0.3">
      <c r="A152" t="s">
        <v>163</v>
      </c>
      <c r="B152" t="s">
        <v>11</v>
      </c>
      <c r="C152" s="1">
        <v>42958</v>
      </c>
      <c r="D152">
        <v>254</v>
      </c>
      <c r="E152">
        <v>69</v>
      </c>
      <c r="F152">
        <v>29959.46</v>
      </c>
      <c r="G152">
        <v>7</v>
      </c>
      <c r="H152">
        <f ca="1">DATEDIF(Sheet1[[#This Row],[join_date]],TODAY(),"Y")</f>
        <v>8</v>
      </c>
    </row>
    <row r="153" spans="1:8" x14ac:dyDescent="0.3">
      <c r="A153" t="s">
        <v>164</v>
      </c>
      <c r="B153" t="s">
        <v>13</v>
      </c>
      <c r="C153" s="1">
        <v>43916</v>
      </c>
      <c r="D153">
        <v>63</v>
      </c>
      <c r="E153">
        <v>6</v>
      </c>
      <c r="F153">
        <v>6698.51</v>
      </c>
      <c r="G153">
        <v>4</v>
      </c>
      <c r="H153">
        <f ca="1">DATEDIF(Sheet1[[#This Row],[join_date]],TODAY(),"Y")</f>
        <v>6</v>
      </c>
    </row>
    <row r="154" spans="1:8" x14ac:dyDescent="0.3">
      <c r="A154" t="s">
        <v>165</v>
      </c>
      <c r="B154" t="s">
        <v>13</v>
      </c>
      <c r="C154" s="1">
        <v>43629</v>
      </c>
      <c r="D154">
        <v>148</v>
      </c>
      <c r="E154">
        <v>18</v>
      </c>
      <c r="F154">
        <v>30130.81</v>
      </c>
      <c r="G154">
        <v>1</v>
      </c>
      <c r="H154">
        <f ca="1">DATEDIF(Sheet1[[#This Row],[join_date]],TODAY(),"Y")</f>
        <v>7</v>
      </c>
    </row>
    <row r="155" spans="1:8" x14ac:dyDescent="0.3">
      <c r="A155" t="s">
        <v>166</v>
      </c>
      <c r="B155" t="s">
        <v>8</v>
      </c>
      <c r="C155" s="1">
        <v>44509</v>
      </c>
      <c r="D155">
        <v>242</v>
      </c>
      <c r="E155">
        <v>16</v>
      </c>
      <c r="F155">
        <v>41429.58</v>
      </c>
      <c r="G155">
        <v>1</v>
      </c>
      <c r="H155">
        <f ca="1">DATEDIF(Sheet1[[#This Row],[join_date]],TODAY(),"Y")</f>
        <v>4</v>
      </c>
    </row>
    <row r="156" spans="1:8" x14ac:dyDescent="0.3">
      <c r="A156" t="s">
        <v>167</v>
      </c>
      <c r="B156" t="s">
        <v>8</v>
      </c>
      <c r="C156" s="1">
        <v>43501</v>
      </c>
      <c r="D156">
        <v>184</v>
      </c>
      <c r="E156">
        <v>54</v>
      </c>
      <c r="F156">
        <v>49984.7</v>
      </c>
      <c r="G156">
        <v>3</v>
      </c>
      <c r="H156">
        <f ca="1">DATEDIF(Sheet1[[#This Row],[join_date]],TODAY(),"Y")</f>
        <v>7</v>
      </c>
    </row>
    <row r="157" spans="1:8" x14ac:dyDescent="0.3">
      <c r="A157" t="s">
        <v>168</v>
      </c>
      <c r="B157" t="s">
        <v>13</v>
      </c>
      <c r="C157" s="1">
        <v>43876</v>
      </c>
      <c r="D157">
        <v>196</v>
      </c>
      <c r="E157">
        <v>14</v>
      </c>
      <c r="F157">
        <v>19925.32</v>
      </c>
      <c r="G157">
        <v>6</v>
      </c>
      <c r="H157">
        <f ca="1">DATEDIF(Sheet1[[#This Row],[join_date]],TODAY(),"Y")</f>
        <v>6</v>
      </c>
    </row>
    <row r="158" spans="1:8" x14ac:dyDescent="0.3">
      <c r="A158" t="s">
        <v>169</v>
      </c>
      <c r="B158" t="s">
        <v>16</v>
      </c>
      <c r="C158" s="1">
        <v>42037</v>
      </c>
      <c r="D158">
        <v>182</v>
      </c>
      <c r="E158">
        <v>29</v>
      </c>
      <c r="F158">
        <v>29934.98</v>
      </c>
      <c r="G158">
        <v>4</v>
      </c>
      <c r="H158">
        <f ca="1">DATEDIF(Sheet1[[#This Row],[join_date]],TODAY(),"Y")</f>
        <v>11</v>
      </c>
    </row>
    <row r="159" spans="1:8" x14ac:dyDescent="0.3">
      <c r="A159" t="s">
        <v>170</v>
      </c>
      <c r="B159" t="s">
        <v>8</v>
      </c>
      <c r="C159" s="1">
        <v>43277</v>
      </c>
      <c r="D159">
        <v>204</v>
      </c>
      <c r="E159">
        <v>27</v>
      </c>
      <c r="F159">
        <v>8477.58</v>
      </c>
      <c r="G159">
        <v>3</v>
      </c>
      <c r="H159">
        <f ca="1">DATEDIF(Sheet1[[#This Row],[join_date]],TODAY(),"Y")</f>
        <v>8</v>
      </c>
    </row>
    <row r="160" spans="1:8" x14ac:dyDescent="0.3">
      <c r="A160" t="s">
        <v>171</v>
      </c>
      <c r="B160" t="s">
        <v>8</v>
      </c>
      <c r="C160" s="1">
        <v>42476</v>
      </c>
      <c r="D160">
        <v>100</v>
      </c>
      <c r="E160">
        <v>23</v>
      </c>
      <c r="F160">
        <v>45667.28</v>
      </c>
      <c r="G160">
        <v>6</v>
      </c>
      <c r="H160">
        <f ca="1">DATEDIF(Sheet1[[#This Row],[join_date]],TODAY(),"Y")</f>
        <v>10</v>
      </c>
    </row>
    <row r="161" spans="1:8" x14ac:dyDescent="0.3">
      <c r="A161" t="s">
        <v>172</v>
      </c>
      <c r="B161" t="s">
        <v>8</v>
      </c>
      <c r="C161" s="1">
        <v>43463</v>
      </c>
      <c r="D161">
        <v>139</v>
      </c>
      <c r="E161">
        <v>1</v>
      </c>
      <c r="F161">
        <v>23812.91</v>
      </c>
      <c r="G161">
        <v>6</v>
      </c>
      <c r="H161">
        <f ca="1">DATEDIF(Sheet1[[#This Row],[join_date]],TODAY(),"Y")</f>
        <v>7</v>
      </c>
    </row>
    <row r="162" spans="1:8" x14ac:dyDescent="0.3">
      <c r="A162" t="s">
        <v>173</v>
      </c>
      <c r="B162" t="s">
        <v>13</v>
      </c>
      <c r="C162" s="1">
        <v>44169</v>
      </c>
      <c r="D162">
        <v>117</v>
      </c>
      <c r="E162">
        <v>2</v>
      </c>
      <c r="F162">
        <v>31135.119999999999</v>
      </c>
      <c r="G162">
        <v>7</v>
      </c>
      <c r="H162">
        <f ca="1">DATEDIF(Sheet1[[#This Row],[join_date]],TODAY(),"Y")</f>
        <v>5</v>
      </c>
    </row>
    <row r="163" spans="1:8" x14ac:dyDescent="0.3">
      <c r="A163" t="s">
        <v>174</v>
      </c>
      <c r="B163" t="s">
        <v>8</v>
      </c>
      <c r="C163" s="1">
        <v>44612</v>
      </c>
      <c r="D163">
        <v>260</v>
      </c>
      <c r="E163">
        <v>1</v>
      </c>
      <c r="F163">
        <v>49319.6</v>
      </c>
      <c r="G163">
        <v>6</v>
      </c>
      <c r="H163">
        <f ca="1">DATEDIF(Sheet1[[#This Row],[join_date]],TODAY(),"Y")</f>
        <v>4</v>
      </c>
    </row>
    <row r="164" spans="1:8" x14ac:dyDescent="0.3">
      <c r="A164" t="s">
        <v>175</v>
      </c>
      <c r="B164" t="s">
        <v>16</v>
      </c>
      <c r="C164" s="1">
        <v>42634</v>
      </c>
      <c r="D164">
        <v>92</v>
      </c>
      <c r="E164">
        <v>0</v>
      </c>
      <c r="F164">
        <v>24339.08</v>
      </c>
      <c r="G164">
        <v>4</v>
      </c>
      <c r="H164">
        <f ca="1">DATEDIF(Sheet1[[#This Row],[join_date]],TODAY(),"Y")</f>
        <v>9</v>
      </c>
    </row>
    <row r="165" spans="1:8" x14ac:dyDescent="0.3">
      <c r="A165" t="s">
        <v>176</v>
      </c>
      <c r="B165" t="s">
        <v>11</v>
      </c>
      <c r="C165" s="1">
        <v>42288</v>
      </c>
      <c r="D165">
        <v>217</v>
      </c>
      <c r="E165">
        <v>25</v>
      </c>
      <c r="F165">
        <v>36969.39</v>
      </c>
      <c r="G165">
        <v>6</v>
      </c>
      <c r="H165">
        <f ca="1">DATEDIF(Sheet1[[#This Row],[join_date]],TODAY(),"Y")</f>
        <v>10</v>
      </c>
    </row>
    <row r="166" spans="1:8" x14ac:dyDescent="0.3">
      <c r="A166" t="s">
        <v>177</v>
      </c>
      <c r="B166" t="s">
        <v>26</v>
      </c>
      <c r="C166" s="1">
        <v>43001</v>
      </c>
      <c r="D166">
        <v>70</v>
      </c>
      <c r="E166">
        <v>20</v>
      </c>
      <c r="F166">
        <v>14408.18</v>
      </c>
      <c r="G166">
        <v>3</v>
      </c>
      <c r="H166">
        <f ca="1">DATEDIF(Sheet1[[#This Row],[join_date]],TODAY(),"Y")</f>
        <v>8</v>
      </c>
    </row>
    <row r="167" spans="1:8" x14ac:dyDescent="0.3">
      <c r="A167" t="s">
        <v>178</v>
      </c>
      <c r="B167" t="s">
        <v>22</v>
      </c>
      <c r="C167" s="1">
        <v>43124</v>
      </c>
      <c r="D167">
        <v>253</v>
      </c>
      <c r="E167">
        <v>58</v>
      </c>
      <c r="F167">
        <v>35669.31</v>
      </c>
      <c r="G167">
        <v>2</v>
      </c>
      <c r="H167">
        <f ca="1">DATEDIF(Sheet1[[#This Row],[join_date]],TODAY(),"Y")</f>
        <v>8</v>
      </c>
    </row>
    <row r="168" spans="1:8" x14ac:dyDescent="0.3">
      <c r="A168" t="s">
        <v>179</v>
      </c>
      <c r="B168" t="s">
        <v>11</v>
      </c>
      <c r="C168" s="1">
        <v>44252</v>
      </c>
      <c r="D168">
        <v>292</v>
      </c>
      <c r="E168">
        <v>5</v>
      </c>
      <c r="F168">
        <v>42765.59</v>
      </c>
      <c r="G168">
        <v>0</v>
      </c>
      <c r="H168">
        <f ca="1">DATEDIF(Sheet1[[#This Row],[join_date]],TODAY(),"Y")</f>
        <v>5</v>
      </c>
    </row>
    <row r="169" spans="1:8" x14ac:dyDescent="0.3">
      <c r="A169" t="s">
        <v>180</v>
      </c>
      <c r="B169" t="s">
        <v>8</v>
      </c>
      <c r="C169" s="1">
        <v>42468</v>
      </c>
      <c r="D169">
        <v>219</v>
      </c>
      <c r="E169">
        <v>2</v>
      </c>
      <c r="F169">
        <v>41731.47</v>
      </c>
      <c r="G169">
        <v>5</v>
      </c>
      <c r="H169">
        <f ca="1">DATEDIF(Sheet1[[#This Row],[join_date]],TODAY(),"Y")</f>
        <v>10</v>
      </c>
    </row>
    <row r="170" spans="1:8" x14ac:dyDescent="0.3">
      <c r="A170" t="s">
        <v>181</v>
      </c>
      <c r="B170" t="s">
        <v>26</v>
      </c>
      <c r="C170" s="1">
        <v>44238</v>
      </c>
      <c r="D170">
        <v>174</v>
      </c>
      <c r="E170">
        <v>51</v>
      </c>
      <c r="F170">
        <v>12287.75</v>
      </c>
      <c r="G170">
        <v>3</v>
      </c>
      <c r="H170">
        <f ca="1">DATEDIF(Sheet1[[#This Row],[join_date]],TODAY(),"Y")</f>
        <v>5</v>
      </c>
    </row>
    <row r="171" spans="1:8" x14ac:dyDescent="0.3">
      <c r="A171" t="s">
        <v>182</v>
      </c>
      <c r="B171" t="s">
        <v>16</v>
      </c>
      <c r="C171" s="1">
        <v>43663</v>
      </c>
      <c r="D171">
        <v>152</v>
      </c>
      <c r="E171">
        <v>33</v>
      </c>
      <c r="F171">
        <v>23205.48</v>
      </c>
      <c r="G171">
        <v>9</v>
      </c>
      <c r="H171">
        <f ca="1">DATEDIF(Sheet1[[#This Row],[join_date]],TODAY(),"Y")</f>
        <v>7</v>
      </c>
    </row>
    <row r="172" spans="1:8" x14ac:dyDescent="0.3">
      <c r="A172" t="s">
        <v>183</v>
      </c>
      <c r="B172" t="s">
        <v>26</v>
      </c>
      <c r="C172" s="1">
        <v>42164</v>
      </c>
      <c r="D172">
        <v>54</v>
      </c>
      <c r="E172">
        <v>11</v>
      </c>
      <c r="F172">
        <v>6947.87</v>
      </c>
      <c r="G172">
        <v>1</v>
      </c>
      <c r="H172">
        <f ca="1">DATEDIF(Sheet1[[#This Row],[join_date]],TODAY(),"Y")</f>
        <v>11</v>
      </c>
    </row>
    <row r="173" spans="1:8" x14ac:dyDescent="0.3">
      <c r="A173" t="s">
        <v>184</v>
      </c>
      <c r="B173" t="s">
        <v>22</v>
      </c>
      <c r="C173" s="1">
        <v>42267</v>
      </c>
      <c r="D173">
        <v>240</v>
      </c>
      <c r="E173">
        <v>43</v>
      </c>
      <c r="F173">
        <v>32118.91</v>
      </c>
      <c r="G173">
        <v>7</v>
      </c>
      <c r="H173">
        <f ca="1">DATEDIF(Sheet1[[#This Row],[join_date]],TODAY(),"Y")</f>
        <v>10</v>
      </c>
    </row>
    <row r="174" spans="1:8" x14ac:dyDescent="0.3">
      <c r="A174" t="s">
        <v>185</v>
      </c>
      <c r="B174" t="s">
        <v>16</v>
      </c>
      <c r="C174" s="1">
        <v>42832</v>
      </c>
      <c r="D174">
        <v>94</v>
      </c>
      <c r="E174">
        <v>14</v>
      </c>
      <c r="F174">
        <v>32941.550000000003</v>
      </c>
      <c r="G174">
        <v>9</v>
      </c>
      <c r="H174">
        <f ca="1">DATEDIF(Sheet1[[#This Row],[join_date]],TODAY(),"Y")</f>
        <v>9</v>
      </c>
    </row>
    <row r="175" spans="1:8" x14ac:dyDescent="0.3">
      <c r="A175" t="s">
        <v>186</v>
      </c>
      <c r="B175" t="s">
        <v>22</v>
      </c>
      <c r="C175" s="1">
        <v>43842</v>
      </c>
      <c r="D175">
        <v>199</v>
      </c>
      <c r="E175">
        <v>6</v>
      </c>
      <c r="F175">
        <v>20570.759999999998</v>
      </c>
      <c r="G175">
        <v>1</v>
      </c>
      <c r="H175">
        <f ca="1">DATEDIF(Sheet1[[#This Row],[join_date]],TODAY(),"Y")</f>
        <v>6</v>
      </c>
    </row>
    <row r="176" spans="1:8" x14ac:dyDescent="0.3">
      <c r="A176" t="s">
        <v>187</v>
      </c>
      <c r="B176" t="s">
        <v>13</v>
      </c>
      <c r="C176" s="1">
        <v>43497</v>
      </c>
      <c r="D176">
        <v>280</v>
      </c>
      <c r="E176">
        <v>8</v>
      </c>
      <c r="F176">
        <v>40365.89</v>
      </c>
      <c r="G176">
        <v>0</v>
      </c>
      <c r="H176">
        <f ca="1">DATEDIF(Sheet1[[#This Row],[join_date]],TODAY(),"Y")</f>
        <v>7</v>
      </c>
    </row>
    <row r="177" spans="1:8" x14ac:dyDescent="0.3">
      <c r="A177" t="s">
        <v>188</v>
      </c>
      <c r="B177" t="s">
        <v>8</v>
      </c>
      <c r="C177" s="1">
        <v>43516</v>
      </c>
      <c r="D177">
        <v>290</v>
      </c>
      <c r="E177">
        <v>52</v>
      </c>
      <c r="F177">
        <v>18258.32</v>
      </c>
      <c r="G177">
        <v>1</v>
      </c>
      <c r="H177">
        <f ca="1">DATEDIF(Sheet1[[#This Row],[join_date]],TODAY(),"Y")</f>
        <v>7</v>
      </c>
    </row>
    <row r="178" spans="1:8" x14ac:dyDescent="0.3">
      <c r="A178" t="s">
        <v>189</v>
      </c>
      <c r="B178" t="s">
        <v>16</v>
      </c>
      <c r="C178" s="1">
        <v>44485</v>
      </c>
      <c r="D178">
        <v>230</v>
      </c>
      <c r="E178">
        <v>55</v>
      </c>
      <c r="F178">
        <v>30164.63</v>
      </c>
      <c r="G178">
        <v>2</v>
      </c>
      <c r="H178">
        <f ca="1">DATEDIF(Sheet1[[#This Row],[join_date]],TODAY(),"Y")</f>
        <v>4</v>
      </c>
    </row>
    <row r="179" spans="1:8" x14ac:dyDescent="0.3">
      <c r="A179" t="s">
        <v>190</v>
      </c>
      <c r="B179" t="s">
        <v>11</v>
      </c>
      <c r="C179" s="1">
        <v>42499</v>
      </c>
      <c r="D179">
        <v>133</v>
      </c>
      <c r="E179">
        <v>36</v>
      </c>
      <c r="F179">
        <v>19090.759999999998</v>
      </c>
      <c r="G179">
        <v>1</v>
      </c>
      <c r="H179">
        <f ca="1">DATEDIF(Sheet1[[#This Row],[join_date]],TODAY(),"Y")</f>
        <v>10</v>
      </c>
    </row>
    <row r="180" spans="1:8" x14ac:dyDescent="0.3">
      <c r="A180" t="s">
        <v>191</v>
      </c>
      <c r="B180" t="s">
        <v>26</v>
      </c>
      <c r="C180" s="1">
        <v>42268</v>
      </c>
      <c r="D180">
        <v>134</v>
      </c>
      <c r="E180">
        <v>7</v>
      </c>
      <c r="F180">
        <v>14835.28</v>
      </c>
      <c r="G180">
        <v>9</v>
      </c>
      <c r="H180">
        <f ca="1">DATEDIF(Sheet1[[#This Row],[join_date]],TODAY(),"Y")</f>
        <v>10</v>
      </c>
    </row>
    <row r="181" spans="1:8" x14ac:dyDescent="0.3">
      <c r="A181" t="s">
        <v>192</v>
      </c>
      <c r="B181" t="s">
        <v>8</v>
      </c>
      <c r="C181" s="1">
        <v>44690</v>
      </c>
      <c r="D181">
        <v>72</v>
      </c>
      <c r="E181">
        <v>7</v>
      </c>
      <c r="F181">
        <v>46999.58</v>
      </c>
      <c r="G181">
        <v>3</v>
      </c>
      <c r="H181">
        <f ca="1">DATEDIF(Sheet1[[#This Row],[join_date]],TODAY(),"Y")</f>
        <v>4</v>
      </c>
    </row>
    <row r="182" spans="1:8" x14ac:dyDescent="0.3">
      <c r="A182" t="s">
        <v>193</v>
      </c>
      <c r="B182" t="s">
        <v>22</v>
      </c>
      <c r="C182" s="1">
        <v>44285</v>
      </c>
      <c r="D182">
        <v>156</v>
      </c>
      <c r="E182">
        <v>19</v>
      </c>
      <c r="F182">
        <v>15938.02</v>
      </c>
      <c r="G182">
        <v>6</v>
      </c>
      <c r="H182">
        <f ca="1">DATEDIF(Sheet1[[#This Row],[join_date]],TODAY(),"Y")</f>
        <v>5</v>
      </c>
    </row>
    <row r="183" spans="1:8" x14ac:dyDescent="0.3">
      <c r="A183" t="s">
        <v>194</v>
      </c>
      <c r="B183" t="s">
        <v>8</v>
      </c>
      <c r="C183" s="1">
        <v>42259</v>
      </c>
      <c r="D183">
        <v>75</v>
      </c>
      <c r="E183">
        <v>4</v>
      </c>
      <c r="F183">
        <v>44003.24</v>
      </c>
      <c r="G183">
        <v>2</v>
      </c>
      <c r="H183">
        <f ca="1">DATEDIF(Sheet1[[#This Row],[join_date]],TODAY(),"Y")</f>
        <v>10</v>
      </c>
    </row>
    <row r="184" spans="1:8" x14ac:dyDescent="0.3">
      <c r="A184" t="s">
        <v>195</v>
      </c>
      <c r="B184" t="s">
        <v>8</v>
      </c>
      <c r="C184" s="1">
        <v>44644</v>
      </c>
      <c r="D184">
        <v>90</v>
      </c>
      <c r="E184">
        <v>25</v>
      </c>
      <c r="F184">
        <v>32907.85</v>
      </c>
      <c r="G184">
        <v>2</v>
      </c>
      <c r="H184">
        <f ca="1">DATEDIF(Sheet1[[#This Row],[join_date]],TODAY(),"Y")</f>
        <v>4</v>
      </c>
    </row>
    <row r="185" spans="1:8" x14ac:dyDescent="0.3">
      <c r="A185" t="s">
        <v>196</v>
      </c>
      <c r="B185" t="s">
        <v>22</v>
      </c>
      <c r="C185" s="1">
        <v>43089</v>
      </c>
      <c r="D185">
        <v>110</v>
      </c>
      <c r="E185">
        <v>13</v>
      </c>
      <c r="F185">
        <v>7533.92</v>
      </c>
      <c r="G185">
        <v>6</v>
      </c>
      <c r="H185">
        <f ca="1">DATEDIF(Sheet1[[#This Row],[join_date]],TODAY(),"Y")</f>
        <v>8</v>
      </c>
    </row>
    <row r="186" spans="1:8" x14ac:dyDescent="0.3">
      <c r="A186" t="s">
        <v>197</v>
      </c>
      <c r="B186" t="s">
        <v>26</v>
      </c>
      <c r="C186" s="1">
        <v>42910</v>
      </c>
      <c r="D186">
        <v>246</v>
      </c>
      <c r="E186">
        <v>32</v>
      </c>
      <c r="F186">
        <v>18674.7</v>
      </c>
      <c r="G186">
        <v>8</v>
      </c>
      <c r="H186">
        <f ca="1">DATEDIF(Sheet1[[#This Row],[join_date]],TODAY(),"Y")</f>
        <v>9</v>
      </c>
    </row>
    <row r="187" spans="1:8" x14ac:dyDescent="0.3">
      <c r="A187" t="s">
        <v>198</v>
      </c>
      <c r="B187" t="s">
        <v>8</v>
      </c>
      <c r="C187" s="1">
        <v>42150</v>
      </c>
      <c r="D187">
        <v>273</v>
      </c>
      <c r="E187">
        <v>77</v>
      </c>
      <c r="F187">
        <v>6715.89</v>
      </c>
      <c r="G187">
        <v>0</v>
      </c>
      <c r="H187">
        <f ca="1">DATEDIF(Sheet1[[#This Row],[join_date]],TODAY(),"Y")</f>
        <v>11</v>
      </c>
    </row>
    <row r="188" spans="1:8" x14ac:dyDescent="0.3">
      <c r="A188" t="s">
        <v>199</v>
      </c>
      <c r="B188" t="s">
        <v>11</v>
      </c>
      <c r="C188" s="1">
        <v>43886</v>
      </c>
      <c r="D188">
        <v>137</v>
      </c>
      <c r="E188">
        <v>37</v>
      </c>
      <c r="F188">
        <v>20444.240000000002</v>
      </c>
      <c r="G188">
        <v>9</v>
      </c>
      <c r="H188">
        <f ca="1">DATEDIF(Sheet1[[#This Row],[join_date]],TODAY(),"Y")</f>
        <v>6</v>
      </c>
    </row>
    <row r="189" spans="1:8" x14ac:dyDescent="0.3">
      <c r="A189" t="s">
        <v>200</v>
      </c>
      <c r="B189" t="s">
        <v>16</v>
      </c>
      <c r="C189" s="1">
        <v>42927</v>
      </c>
      <c r="D189">
        <v>133</v>
      </c>
      <c r="E189">
        <v>7</v>
      </c>
      <c r="F189">
        <v>5835.05</v>
      </c>
      <c r="G189">
        <v>9</v>
      </c>
      <c r="H189">
        <f ca="1">DATEDIF(Sheet1[[#This Row],[join_date]],TODAY(),"Y")</f>
        <v>9</v>
      </c>
    </row>
    <row r="190" spans="1:8" x14ac:dyDescent="0.3">
      <c r="A190" t="s">
        <v>201</v>
      </c>
      <c r="B190" t="s">
        <v>11</v>
      </c>
      <c r="C190" s="1">
        <v>42062</v>
      </c>
      <c r="D190">
        <v>296</v>
      </c>
      <c r="E190">
        <v>75</v>
      </c>
      <c r="F190">
        <v>49968.47</v>
      </c>
      <c r="G190">
        <v>6</v>
      </c>
      <c r="H190">
        <f ca="1">DATEDIF(Sheet1[[#This Row],[join_date]],TODAY(),"Y")</f>
        <v>11</v>
      </c>
    </row>
    <row r="191" spans="1:8" x14ac:dyDescent="0.3">
      <c r="A191" t="s">
        <v>202</v>
      </c>
      <c r="B191" t="s">
        <v>13</v>
      </c>
      <c r="C191" s="1">
        <v>43541</v>
      </c>
      <c r="D191">
        <v>141</v>
      </c>
      <c r="E191">
        <v>7</v>
      </c>
      <c r="F191">
        <v>11230.72</v>
      </c>
      <c r="G191">
        <v>8</v>
      </c>
      <c r="H191">
        <f ca="1">DATEDIF(Sheet1[[#This Row],[join_date]],TODAY(),"Y")</f>
        <v>7</v>
      </c>
    </row>
    <row r="192" spans="1:8" x14ac:dyDescent="0.3">
      <c r="A192" t="s">
        <v>203</v>
      </c>
      <c r="B192" t="s">
        <v>26</v>
      </c>
      <c r="C192" s="1">
        <v>43631</v>
      </c>
      <c r="D192">
        <v>255</v>
      </c>
      <c r="E192">
        <v>75</v>
      </c>
      <c r="F192">
        <v>25680.45</v>
      </c>
      <c r="G192">
        <v>3</v>
      </c>
      <c r="H192">
        <f ca="1">DATEDIF(Sheet1[[#This Row],[join_date]],TODAY(),"Y")</f>
        <v>7</v>
      </c>
    </row>
    <row r="193" spans="1:8" x14ac:dyDescent="0.3">
      <c r="A193" t="s">
        <v>204</v>
      </c>
      <c r="B193" t="s">
        <v>22</v>
      </c>
      <c r="C193" s="1">
        <v>43189</v>
      </c>
      <c r="D193">
        <v>224</v>
      </c>
      <c r="E193">
        <v>32</v>
      </c>
      <c r="F193">
        <v>45151.51</v>
      </c>
      <c r="G193">
        <v>7</v>
      </c>
      <c r="H193">
        <f ca="1">DATEDIF(Sheet1[[#This Row],[join_date]],TODAY(),"Y")</f>
        <v>8</v>
      </c>
    </row>
    <row r="194" spans="1:8" x14ac:dyDescent="0.3">
      <c r="A194" t="s">
        <v>205</v>
      </c>
      <c r="B194" t="s">
        <v>11</v>
      </c>
      <c r="C194" s="1">
        <v>43833</v>
      </c>
      <c r="D194">
        <v>165</v>
      </c>
      <c r="E194">
        <v>37</v>
      </c>
      <c r="F194">
        <v>38466.33</v>
      </c>
      <c r="G194">
        <v>9</v>
      </c>
      <c r="H194">
        <f ca="1">DATEDIF(Sheet1[[#This Row],[join_date]],TODAY(),"Y")</f>
        <v>6</v>
      </c>
    </row>
    <row r="195" spans="1:8" x14ac:dyDescent="0.3">
      <c r="A195" t="s">
        <v>206</v>
      </c>
      <c r="B195" t="s">
        <v>13</v>
      </c>
      <c r="C195" s="1">
        <v>43696</v>
      </c>
      <c r="D195">
        <v>185</v>
      </c>
      <c r="E195">
        <v>27</v>
      </c>
      <c r="F195">
        <v>22720.16</v>
      </c>
      <c r="G195">
        <v>8</v>
      </c>
      <c r="H195">
        <f ca="1">DATEDIF(Sheet1[[#This Row],[join_date]],TODAY(),"Y")</f>
        <v>6</v>
      </c>
    </row>
    <row r="196" spans="1:8" x14ac:dyDescent="0.3">
      <c r="A196" t="s">
        <v>207</v>
      </c>
      <c r="B196" t="s">
        <v>13</v>
      </c>
      <c r="C196" s="1">
        <v>42777</v>
      </c>
      <c r="D196">
        <v>272</v>
      </c>
      <c r="E196">
        <v>60</v>
      </c>
      <c r="F196">
        <v>49719.67</v>
      </c>
      <c r="G196">
        <v>3</v>
      </c>
      <c r="H196">
        <f ca="1">DATEDIF(Sheet1[[#This Row],[join_date]],TODAY(),"Y")</f>
        <v>9</v>
      </c>
    </row>
    <row r="197" spans="1:8" x14ac:dyDescent="0.3">
      <c r="A197" t="s">
        <v>208</v>
      </c>
      <c r="B197" t="s">
        <v>22</v>
      </c>
      <c r="C197" s="1">
        <v>42039</v>
      </c>
      <c r="D197">
        <v>174</v>
      </c>
      <c r="E197">
        <v>6</v>
      </c>
      <c r="F197">
        <v>27594.41</v>
      </c>
      <c r="G197">
        <v>7</v>
      </c>
      <c r="H197">
        <f ca="1">DATEDIF(Sheet1[[#This Row],[join_date]],TODAY(),"Y")</f>
        <v>11</v>
      </c>
    </row>
    <row r="198" spans="1:8" x14ac:dyDescent="0.3">
      <c r="A198" t="s">
        <v>209</v>
      </c>
      <c r="B198" t="s">
        <v>13</v>
      </c>
      <c r="C198" s="1">
        <v>44160</v>
      </c>
      <c r="D198">
        <v>125</v>
      </c>
      <c r="E198">
        <v>30</v>
      </c>
      <c r="F198">
        <v>25009.35</v>
      </c>
      <c r="G198">
        <v>9</v>
      </c>
      <c r="H198">
        <f ca="1">DATEDIF(Sheet1[[#This Row],[join_date]],TODAY(),"Y")</f>
        <v>5</v>
      </c>
    </row>
    <row r="199" spans="1:8" x14ac:dyDescent="0.3">
      <c r="A199" t="s">
        <v>210</v>
      </c>
      <c r="B199" t="s">
        <v>11</v>
      </c>
      <c r="C199" s="1">
        <v>43572</v>
      </c>
      <c r="D199">
        <v>277</v>
      </c>
      <c r="E199">
        <v>2</v>
      </c>
      <c r="F199">
        <v>21024.3</v>
      </c>
      <c r="G199">
        <v>7</v>
      </c>
      <c r="H199">
        <f ca="1">DATEDIF(Sheet1[[#This Row],[join_date]],TODAY(),"Y")</f>
        <v>7</v>
      </c>
    </row>
    <row r="200" spans="1:8" x14ac:dyDescent="0.3">
      <c r="A200" t="s">
        <v>211</v>
      </c>
      <c r="B200" t="s">
        <v>11</v>
      </c>
      <c r="C200" s="1">
        <v>42680</v>
      </c>
      <c r="D200">
        <v>105</v>
      </c>
      <c r="E200">
        <v>25</v>
      </c>
      <c r="F200">
        <v>26663.66</v>
      </c>
      <c r="G200">
        <v>8</v>
      </c>
      <c r="H200">
        <f ca="1">DATEDIF(Sheet1[[#This Row],[join_date]],TODAY(),"Y")</f>
        <v>9</v>
      </c>
    </row>
    <row r="201" spans="1:8" x14ac:dyDescent="0.3">
      <c r="A201" t="s">
        <v>212</v>
      </c>
      <c r="B201" t="s">
        <v>16</v>
      </c>
      <c r="C201" s="1">
        <v>43828</v>
      </c>
      <c r="D201">
        <v>59</v>
      </c>
      <c r="E201">
        <v>14</v>
      </c>
      <c r="F201">
        <v>5362.85</v>
      </c>
      <c r="G201">
        <v>6</v>
      </c>
      <c r="H201">
        <f ca="1">DATEDIF(Sheet1[[#This Row],[join_date]],TODAY(),"Y")</f>
        <v>6</v>
      </c>
    </row>
    <row r="202" spans="1:8" x14ac:dyDescent="0.3">
      <c r="A202" t="s">
        <v>213</v>
      </c>
      <c r="B202" t="s">
        <v>16</v>
      </c>
      <c r="C202" s="1">
        <v>42932</v>
      </c>
      <c r="D202">
        <v>135</v>
      </c>
      <c r="E202">
        <v>32</v>
      </c>
      <c r="F202">
        <v>16245.97</v>
      </c>
      <c r="G202">
        <v>0</v>
      </c>
      <c r="H202">
        <f ca="1">DATEDIF(Sheet1[[#This Row],[join_date]],TODAY(),"Y")</f>
        <v>9</v>
      </c>
    </row>
    <row r="203" spans="1:8" x14ac:dyDescent="0.3">
      <c r="A203" t="s">
        <v>214</v>
      </c>
      <c r="B203" t="s">
        <v>13</v>
      </c>
      <c r="C203" s="1">
        <v>44631</v>
      </c>
      <c r="D203">
        <v>232</v>
      </c>
      <c r="E203">
        <v>14</v>
      </c>
      <c r="F203">
        <v>20545.759999999998</v>
      </c>
      <c r="G203">
        <v>7</v>
      </c>
      <c r="H203">
        <f ca="1">DATEDIF(Sheet1[[#This Row],[join_date]],TODAY(),"Y")</f>
        <v>4</v>
      </c>
    </row>
    <row r="204" spans="1:8" x14ac:dyDescent="0.3">
      <c r="A204" t="s">
        <v>215</v>
      </c>
      <c r="B204" t="s">
        <v>8</v>
      </c>
      <c r="C204" s="1">
        <v>42364</v>
      </c>
      <c r="D204">
        <v>261</v>
      </c>
      <c r="E204">
        <v>67</v>
      </c>
      <c r="F204">
        <v>17328.07</v>
      </c>
      <c r="G204">
        <v>5</v>
      </c>
      <c r="H204">
        <f ca="1">DATEDIF(Sheet1[[#This Row],[join_date]],TODAY(),"Y")</f>
        <v>10</v>
      </c>
    </row>
    <row r="205" spans="1:8" x14ac:dyDescent="0.3">
      <c r="A205" t="s">
        <v>216</v>
      </c>
      <c r="B205" t="s">
        <v>26</v>
      </c>
      <c r="C205" s="1">
        <v>43014</v>
      </c>
      <c r="D205">
        <v>101</v>
      </c>
      <c r="E205">
        <v>21</v>
      </c>
      <c r="F205">
        <v>48092.29</v>
      </c>
      <c r="G205">
        <v>9</v>
      </c>
      <c r="H205">
        <f ca="1">DATEDIF(Sheet1[[#This Row],[join_date]],TODAY(),"Y")</f>
        <v>8</v>
      </c>
    </row>
    <row r="206" spans="1:8" x14ac:dyDescent="0.3">
      <c r="A206" t="s">
        <v>217</v>
      </c>
      <c r="B206" t="s">
        <v>8</v>
      </c>
      <c r="C206" s="1">
        <v>42256</v>
      </c>
      <c r="D206">
        <v>126</v>
      </c>
      <c r="E206">
        <v>24</v>
      </c>
      <c r="F206">
        <v>42533.91</v>
      </c>
      <c r="G206">
        <v>1</v>
      </c>
      <c r="H206">
        <f ca="1">DATEDIF(Sheet1[[#This Row],[join_date]],TODAY(),"Y")</f>
        <v>10</v>
      </c>
    </row>
    <row r="207" spans="1:8" x14ac:dyDescent="0.3">
      <c r="A207" t="s">
        <v>218</v>
      </c>
      <c r="B207" t="s">
        <v>16</v>
      </c>
      <c r="C207" s="1">
        <v>43396</v>
      </c>
      <c r="D207">
        <v>239</v>
      </c>
      <c r="E207">
        <v>46</v>
      </c>
      <c r="F207">
        <v>33455</v>
      </c>
      <c r="G207">
        <v>2</v>
      </c>
      <c r="H207">
        <f ca="1">DATEDIF(Sheet1[[#This Row],[join_date]],TODAY(),"Y")</f>
        <v>7</v>
      </c>
    </row>
    <row r="208" spans="1:8" x14ac:dyDescent="0.3">
      <c r="A208" t="s">
        <v>219</v>
      </c>
      <c r="B208" t="s">
        <v>11</v>
      </c>
      <c r="C208" s="1">
        <v>44449</v>
      </c>
      <c r="D208">
        <v>268</v>
      </c>
      <c r="E208">
        <v>10</v>
      </c>
      <c r="F208">
        <v>49548.01</v>
      </c>
      <c r="G208">
        <v>8</v>
      </c>
      <c r="H208">
        <f ca="1">DATEDIF(Sheet1[[#This Row],[join_date]],TODAY(),"Y")</f>
        <v>4</v>
      </c>
    </row>
    <row r="209" spans="1:8" x14ac:dyDescent="0.3">
      <c r="A209" t="s">
        <v>220</v>
      </c>
      <c r="B209" t="s">
        <v>22</v>
      </c>
      <c r="C209" s="1">
        <v>43953</v>
      </c>
      <c r="D209">
        <v>283</v>
      </c>
      <c r="E209">
        <v>82</v>
      </c>
      <c r="F209">
        <v>5005.97</v>
      </c>
      <c r="G209">
        <v>0</v>
      </c>
      <c r="H209">
        <f ca="1">DATEDIF(Sheet1[[#This Row],[join_date]],TODAY(),"Y")</f>
        <v>6</v>
      </c>
    </row>
    <row r="210" spans="1:8" x14ac:dyDescent="0.3">
      <c r="A210" t="s">
        <v>221</v>
      </c>
      <c r="B210" t="s">
        <v>8</v>
      </c>
      <c r="C210" s="1">
        <v>43136</v>
      </c>
      <c r="D210">
        <v>108</v>
      </c>
      <c r="E210">
        <v>28</v>
      </c>
      <c r="F210">
        <v>38810.28</v>
      </c>
      <c r="G210">
        <v>1</v>
      </c>
      <c r="H210">
        <f ca="1">DATEDIF(Sheet1[[#This Row],[join_date]],TODAY(),"Y")</f>
        <v>8</v>
      </c>
    </row>
    <row r="211" spans="1:8" x14ac:dyDescent="0.3">
      <c r="A211" t="s">
        <v>222</v>
      </c>
      <c r="B211" t="s">
        <v>8</v>
      </c>
      <c r="C211" s="1">
        <v>43095</v>
      </c>
      <c r="D211">
        <v>59</v>
      </c>
      <c r="E211">
        <v>11</v>
      </c>
      <c r="F211">
        <v>7422.02</v>
      </c>
      <c r="G211">
        <v>4</v>
      </c>
      <c r="H211">
        <f ca="1">DATEDIF(Sheet1[[#This Row],[join_date]],TODAY(),"Y")</f>
        <v>8</v>
      </c>
    </row>
    <row r="212" spans="1:8" x14ac:dyDescent="0.3">
      <c r="A212" t="s">
        <v>223</v>
      </c>
      <c r="B212" t="s">
        <v>11</v>
      </c>
      <c r="C212" s="1">
        <v>43773</v>
      </c>
      <c r="D212">
        <v>151</v>
      </c>
      <c r="E212">
        <v>11</v>
      </c>
      <c r="F212">
        <v>38799</v>
      </c>
      <c r="G212">
        <v>0</v>
      </c>
      <c r="H212">
        <f ca="1">DATEDIF(Sheet1[[#This Row],[join_date]],TODAY(),"Y")</f>
        <v>6</v>
      </c>
    </row>
    <row r="213" spans="1:8" x14ac:dyDescent="0.3">
      <c r="A213" t="s">
        <v>224</v>
      </c>
      <c r="B213" t="s">
        <v>13</v>
      </c>
      <c r="C213" s="1">
        <v>43200</v>
      </c>
      <c r="D213">
        <v>225</v>
      </c>
      <c r="E213">
        <v>32</v>
      </c>
      <c r="F213">
        <v>12882.99</v>
      </c>
      <c r="G213">
        <v>4</v>
      </c>
      <c r="H213">
        <f ca="1">DATEDIF(Sheet1[[#This Row],[join_date]],TODAY(),"Y")</f>
        <v>8</v>
      </c>
    </row>
    <row r="214" spans="1:8" x14ac:dyDescent="0.3">
      <c r="A214" t="s">
        <v>225</v>
      </c>
      <c r="B214" t="s">
        <v>11</v>
      </c>
      <c r="C214" s="1">
        <v>44429</v>
      </c>
      <c r="D214">
        <v>295</v>
      </c>
      <c r="E214">
        <v>14</v>
      </c>
      <c r="F214">
        <v>31903.21</v>
      </c>
      <c r="G214">
        <v>6</v>
      </c>
      <c r="H214">
        <f ca="1">DATEDIF(Sheet1[[#This Row],[join_date]],TODAY(),"Y")</f>
        <v>4</v>
      </c>
    </row>
    <row r="215" spans="1:8" x14ac:dyDescent="0.3">
      <c r="A215" t="s">
        <v>226</v>
      </c>
      <c r="B215" t="s">
        <v>11</v>
      </c>
      <c r="C215" s="1">
        <v>42130</v>
      </c>
      <c r="D215">
        <v>171</v>
      </c>
      <c r="E215">
        <v>27</v>
      </c>
      <c r="F215">
        <v>28472.48</v>
      </c>
      <c r="G215">
        <v>4</v>
      </c>
      <c r="H215">
        <f ca="1">DATEDIF(Sheet1[[#This Row],[join_date]],TODAY(),"Y")</f>
        <v>11</v>
      </c>
    </row>
    <row r="216" spans="1:8" x14ac:dyDescent="0.3">
      <c r="A216" t="s">
        <v>227</v>
      </c>
      <c r="B216" t="s">
        <v>16</v>
      </c>
      <c r="C216" s="1">
        <v>44750</v>
      </c>
      <c r="D216">
        <v>292</v>
      </c>
      <c r="E216">
        <v>14</v>
      </c>
      <c r="F216">
        <v>7429.03</v>
      </c>
      <c r="G216">
        <v>5</v>
      </c>
      <c r="H216">
        <f ca="1">DATEDIF(Sheet1[[#This Row],[join_date]],TODAY(),"Y")</f>
        <v>4</v>
      </c>
    </row>
    <row r="217" spans="1:8" x14ac:dyDescent="0.3">
      <c r="A217" t="s">
        <v>228</v>
      </c>
      <c r="B217" t="s">
        <v>26</v>
      </c>
      <c r="C217" s="1">
        <v>43567</v>
      </c>
      <c r="D217">
        <v>119</v>
      </c>
      <c r="E217">
        <v>15</v>
      </c>
      <c r="F217">
        <v>36493.589999999997</v>
      </c>
      <c r="G217">
        <v>3</v>
      </c>
      <c r="H217">
        <f ca="1">DATEDIF(Sheet1[[#This Row],[join_date]],TODAY(),"Y")</f>
        <v>7</v>
      </c>
    </row>
    <row r="218" spans="1:8" x14ac:dyDescent="0.3">
      <c r="A218" t="s">
        <v>229</v>
      </c>
      <c r="B218" t="s">
        <v>8</v>
      </c>
      <c r="C218" s="1">
        <v>43157</v>
      </c>
      <c r="D218">
        <v>249</v>
      </c>
      <c r="E218">
        <v>70</v>
      </c>
      <c r="F218">
        <v>17136.95</v>
      </c>
      <c r="G218">
        <v>0</v>
      </c>
      <c r="H218">
        <f ca="1">DATEDIF(Sheet1[[#This Row],[join_date]],TODAY(),"Y")</f>
        <v>8</v>
      </c>
    </row>
    <row r="219" spans="1:8" x14ac:dyDescent="0.3">
      <c r="A219" t="s">
        <v>230</v>
      </c>
      <c r="B219" t="s">
        <v>11</v>
      </c>
      <c r="C219" s="1">
        <v>44078</v>
      </c>
      <c r="D219">
        <v>66</v>
      </c>
      <c r="E219">
        <v>15</v>
      </c>
      <c r="F219">
        <v>38700.660000000003</v>
      </c>
      <c r="G219">
        <v>4</v>
      </c>
      <c r="H219">
        <f ca="1">DATEDIF(Sheet1[[#This Row],[join_date]],TODAY(),"Y")</f>
        <v>5</v>
      </c>
    </row>
    <row r="220" spans="1:8" x14ac:dyDescent="0.3">
      <c r="A220" t="s">
        <v>231</v>
      </c>
      <c r="B220" t="s">
        <v>13</v>
      </c>
      <c r="C220" s="1">
        <v>42831</v>
      </c>
      <c r="D220">
        <v>172</v>
      </c>
      <c r="E220">
        <v>16</v>
      </c>
      <c r="F220">
        <v>31190.55</v>
      </c>
      <c r="G220">
        <v>7</v>
      </c>
      <c r="H220">
        <f ca="1">DATEDIF(Sheet1[[#This Row],[join_date]],TODAY(),"Y")</f>
        <v>9</v>
      </c>
    </row>
    <row r="221" spans="1:8" x14ac:dyDescent="0.3">
      <c r="A221" t="s">
        <v>232</v>
      </c>
      <c r="B221" t="s">
        <v>13</v>
      </c>
      <c r="C221" s="1">
        <v>44078</v>
      </c>
      <c r="D221">
        <v>148</v>
      </c>
      <c r="E221">
        <v>41</v>
      </c>
      <c r="F221">
        <v>31530.66</v>
      </c>
      <c r="G221">
        <v>3</v>
      </c>
      <c r="H221">
        <f ca="1">DATEDIF(Sheet1[[#This Row],[join_date]],TODAY(),"Y")</f>
        <v>5</v>
      </c>
    </row>
    <row r="222" spans="1:8" x14ac:dyDescent="0.3">
      <c r="A222" t="s">
        <v>233</v>
      </c>
      <c r="B222" t="s">
        <v>13</v>
      </c>
      <c r="C222" s="1">
        <v>42264</v>
      </c>
      <c r="D222">
        <v>152</v>
      </c>
      <c r="E222">
        <v>40</v>
      </c>
      <c r="F222">
        <v>10494.51</v>
      </c>
      <c r="G222">
        <v>5</v>
      </c>
      <c r="H222">
        <f ca="1">DATEDIF(Sheet1[[#This Row],[join_date]],TODAY(),"Y")</f>
        <v>10</v>
      </c>
    </row>
    <row r="223" spans="1:8" x14ac:dyDescent="0.3">
      <c r="A223" t="s">
        <v>234</v>
      </c>
      <c r="B223" t="s">
        <v>16</v>
      </c>
      <c r="C223" s="1">
        <v>44041</v>
      </c>
      <c r="D223">
        <v>218</v>
      </c>
      <c r="E223">
        <v>0</v>
      </c>
      <c r="F223">
        <v>18257.009999999998</v>
      </c>
      <c r="G223">
        <v>3</v>
      </c>
      <c r="H223">
        <f ca="1">DATEDIF(Sheet1[[#This Row],[join_date]],TODAY(),"Y")</f>
        <v>6</v>
      </c>
    </row>
    <row r="224" spans="1:8" x14ac:dyDescent="0.3">
      <c r="A224" t="s">
        <v>235</v>
      </c>
      <c r="B224" t="s">
        <v>26</v>
      </c>
      <c r="C224" s="1">
        <v>44907</v>
      </c>
      <c r="D224">
        <v>92</v>
      </c>
      <c r="E224">
        <v>10</v>
      </c>
      <c r="F224">
        <v>41356.65</v>
      </c>
      <c r="G224">
        <v>9</v>
      </c>
      <c r="H224">
        <f ca="1">DATEDIF(Sheet1[[#This Row],[join_date]],TODAY(),"Y")</f>
        <v>3</v>
      </c>
    </row>
    <row r="225" spans="1:8" x14ac:dyDescent="0.3">
      <c r="A225" t="s">
        <v>236</v>
      </c>
      <c r="B225" t="s">
        <v>13</v>
      </c>
      <c r="C225" s="1">
        <v>42555</v>
      </c>
      <c r="D225">
        <v>64</v>
      </c>
      <c r="E225">
        <v>1</v>
      </c>
      <c r="F225">
        <v>13737.82</v>
      </c>
      <c r="G225">
        <v>9</v>
      </c>
      <c r="H225">
        <f ca="1">DATEDIF(Sheet1[[#This Row],[join_date]],TODAY(),"Y")</f>
        <v>10</v>
      </c>
    </row>
    <row r="226" spans="1:8" x14ac:dyDescent="0.3">
      <c r="A226" t="s">
        <v>237</v>
      </c>
      <c r="B226" t="s">
        <v>13</v>
      </c>
      <c r="C226" s="1">
        <v>44217</v>
      </c>
      <c r="D226">
        <v>188</v>
      </c>
      <c r="E226">
        <v>35</v>
      </c>
      <c r="F226">
        <v>6126.5</v>
      </c>
      <c r="G226">
        <v>1</v>
      </c>
      <c r="H226">
        <f ca="1">DATEDIF(Sheet1[[#This Row],[join_date]],TODAY(),"Y")</f>
        <v>5</v>
      </c>
    </row>
    <row r="227" spans="1:8" x14ac:dyDescent="0.3">
      <c r="A227" t="s">
        <v>238</v>
      </c>
      <c r="B227" t="s">
        <v>13</v>
      </c>
      <c r="C227" s="1">
        <v>44442</v>
      </c>
      <c r="D227">
        <v>104</v>
      </c>
      <c r="E227">
        <v>7</v>
      </c>
      <c r="F227">
        <v>39955.599999999999</v>
      </c>
      <c r="G227">
        <v>9</v>
      </c>
      <c r="H227">
        <f ca="1">DATEDIF(Sheet1[[#This Row],[join_date]],TODAY(),"Y")</f>
        <v>4</v>
      </c>
    </row>
    <row r="228" spans="1:8" x14ac:dyDescent="0.3">
      <c r="A228" t="s">
        <v>239</v>
      </c>
      <c r="B228" t="s">
        <v>26</v>
      </c>
      <c r="C228" s="1">
        <v>43277</v>
      </c>
      <c r="D228">
        <v>227</v>
      </c>
      <c r="E228">
        <v>10</v>
      </c>
      <c r="F228">
        <v>43640.61</v>
      </c>
      <c r="G228">
        <v>9</v>
      </c>
      <c r="H228">
        <f ca="1">DATEDIF(Sheet1[[#This Row],[join_date]],TODAY(),"Y")</f>
        <v>8</v>
      </c>
    </row>
    <row r="229" spans="1:8" x14ac:dyDescent="0.3">
      <c r="A229" t="s">
        <v>240</v>
      </c>
      <c r="B229" t="s">
        <v>8</v>
      </c>
      <c r="C229" s="1">
        <v>43462</v>
      </c>
      <c r="D229">
        <v>257</v>
      </c>
      <c r="E229">
        <v>31</v>
      </c>
      <c r="F229">
        <v>8835.4</v>
      </c>
      <c r="G229">
        <v>0</v>
      </c>
      <c r="H229">
        <f ca="1">DATEDIF(Sheet1[[#This Row],[join_date]],TODAY(),"Y")</f>
        <v>7</v>
      </c>
    </row>
    <row r="230" spans="1:8" x14ac:dyDescent="0.3">
      <c r="A230" t="s">
        <v>241</v>
      </c>
      <c r="B230" t="s">
        <v>22</v>
      </c>
      <c r="C230" s="1">
        <v>43169</v>
      </c>
      <c r="D230">
        <v>177</v>
      </c>
      <c r="E230">
        <v>20</v>
      </c>
      <c r="F230">
        <v>11215.99</v>
      </c>
      <c r="G230">
        <v>2</v>
      </c>
      <c r="H230">
        <f ca="1">DATEDIF(Sheet1[[#This Row],[join_date]],TODAY(),"Y")</f>
        <v>8</v>
      </c>
    </row>
    <row r="231" spans="1:8" x14ac:dyDescent="0.3">
      <c r="A231" t="s">
        <v>242</v>
      </c>
      <c r="B231" t="s">
        <v>13</v>
      </c>
      <c r="C231" s="1">
        <v>43948</v>
      </c>
      <c r="D231">
        <v>149</v>
      </c>
      <c r="E231">
        <v>32</v>
      </c>
      <c r="F231">
        <v>47105</v>
      </c>
      <c r="G231">
        <v>9</v>
      </c>
      <c r="H231">
        <f ca="1">DATEDIF(Sheet1[[#This Row],[join_date]],TODAY(),"Y")</f>
        <v>6</v>
      </c>
    </row>
    <row r="232" spans="1:8" x14ac:dyDescent="0.3">
      <c r="A232" t="s">
        <v>243</v>
      </c>
      <c r="B232" t="s">
        <v>26</v>
      </c>
      <c r="C232" s="1">
        <v>43013</v>
      </c>
      <c r="D232">
        <v>69</v>
      </c>
      <c r="E232">
        <v>14</v>
      </c>
      <c r="F232">
        <v>44819.32</v>
      </c>
      <c r="G232">
        <v>0</v>
      </c>
      <c r="H232">
        <f ca="1">DATEDIF(Sheet1[[#This Row],[join_date]],TODAY(),"Y")</f>
        <v>8</v>
      </c>
    </row>
    <row r="233" spans="1:8" x14ac:dyDescent="0.3">
      <c r="A233" t="s">
        <v>244</v>
      </c>
      <c r="B233" t="s">
        <v>22</v>
      </c>
      <c r="C233" s="1">
        <v>44396</v>
      </c>
      <c r="D233">
        <v>113</v>
      </c>
      <c r="E233">
        <v>14</v>
      </c>
      <c r="F233">
        <v>45620.9</v>
      </c>
      <c r="G233">
        <v>3</v>
      </c>
      <c r="H233">
        <f ca="1">DATEDIF(Sheet1[[#This Row],[join_date]],TODAY(),"Y")</f>
        <v>5</v>
      </c>
    </row>
    <row r="234" spans="1:8" x14ac:dyDescent="0.3">
      <c r="A234" t="s">
        <v>245</v>
      </c>
      <c r="B234" t="s">
        <v>26</v>
      </c>
      <c r="C234" s="1">
        <v>44006</v>
      </c>
      <c r="D234">
        <v>213</v>
      </c>
      <c r="E234">
        <v>18</v>
      </c>
      <c r="F234">
        <v>43729.63</v>
      </c>
      <c r="G234">
        <v>3</v>
      </c>
      <c r="H234">
        <f ca="1">DATEDIF(Sheet1[[#This Row],[join_date]],TODAY(),"Y")</f>
        <v>6</v>
      </c>
    </row>
    <row r="235" spans="1:8" x14ac:dyDescent="0.3">
      <c r="A235" t="s">
        <v>246</v>
      </c>
      <c r="B235" t="s">
        <v>26</v>
      </c>
      <c r="C235" s="1">
        <v>42552</v>
      </c>
      <c r="D235">
        <v>237</v>
      </c>
      <c r="E235">
        <v>4</v>
      </c>
      <c r="F235">
        <v>22135.57</v>
      </c>
      <c r="G235">
        <v>8</v>
      </c>
      <c r="H235">
        <f ca="1">DATEDIF(Sheet1[[#This Row],[join_date]],TODAY(),"Y")</f>
        <v>10</v>
      </c>
    </row>
    <row r="236" spans="1:8" x14ac:dyDescent="0.3">
      <c r="A236" t="s">
        <v>247</v>
      </c>
      <c r="B236" t="s">
        <v>22</v>
      </c>
      <c r="C236" s="1">
        <v>44419</v>
      </c>
      <c r="D236">
        <v>245</v>
      </c>
      <c r="E236">
        <v>1</v>
      </c>
      <c r="F236">
        <v>47711.78</v>
      </c>
      <c r="G236">
        <v>4</v>
      </c>
      <c r="H236">
        <f ca="1">DATEDIF(Sheet1[[#This Row],[join_date]],TODAY(),"Y")</f>
        <v>4</v>
      </c>
    </row>
    <row r="237" spans="1:8" x14ac:dyDescent="0.3">
      <c r="A237" t="s">
        <v>248</v>
      </c>
      <c r="B237" t="s">
        <v>16</v>
      </c>
      <c r="C237" s="1">
        <v>42668</v>
      </c>
      <c r="D237">
        <v>287</v>
      </c>
      <c r="E237">
        <v>77</v>
      </c>
      <c r="F237">
        <v>39142.85</v>
      </c>
      <c r="G237">
        <v>1</v>
      </c>
      <c r="H237">
        <f ca="1">DATEDIF(Sheet1[[#This Row],[join_date]],TODAY(),"Y")</f>
        <v>9</v>
      </c>
    </row>
    <row r="238" spans="1:8" x14ac:dyDescent="0.3">
      <c r="A238" t="s">
        <v>249</v>
      </c>
      <c r="B238" t="s">
        <v>13</v>
      </c>
      <c r="C238" s="1">
        <v>43255</v>
      </c>
      <c r="D238">
        <v>88</v>
      </c>
      <c r="E238">
        <v>2</v>
      </c>
      <c r="F238">
        <v>15053.45</v>
      </c>
      <c r="G238">
        <v>5</v>
      </c>
      <c r="H238">
        <f ca="1">DATEDIF(Sheet1[[#This Row],[join_date]],TODAY(),"Y")</f>
        <v>8</v>
      </c>
    </row>
    <row r="239" spans="1:8" x14ac:dyDescent="0.3">
      <c r="A239" t="s">
        <v>250</v>
      </c>
      <c r="B239" t="s">
        <v>26</v>
      </c>
      <c r="C239" s="1">
        <v>44491</v>
      </c>
      <c r="D239">
        <v>130</v>
      </c>
      <c r="E239">
        <v>30</v>
      </c>
      <c r="F239">
        <v>39342.21</v>
      </c>
      <c r="G239">
        <v>7</v>
      </c>
      <c r="H239">
        <f ca="1">DATEDIF(Sheet1[[#This Row],[join_date]],TODAY(),"Y")</f>
        <v>4</v>
      </c>
    </row>
    <row r="240" spans="1:8" x14ac:dyDescent="0.3">
      <c r="A240" t="s">
        <v>251</v>
      </c>
      <c r="B240" t="s">
        <v>16</v>
      </c>
      <c r="C240" s="1">
        <v>44314</v>
      </c>
      <c r="D240">
        <v>191</v>
      </c>
      <c r="E240">
        <v>7</v>
      </c>
      <c r="F240">
        <v>49367.97</v>
      </c>
      <c r="G240">
        <v>9</v>
      </c>
      <c r="H240">
        <f ca="1">DATEDIF(Sheet1[[#This Row],[join_date]],TODAY(),"Y")</f>
        <v>5</v>
      </c>
    </row>
    <row r="241" spans="1:8" x14ac:dyDescent="0.3">
      <c r="A241" t="s">
        <v>252</v>
      </c>
      <c r="B241" t="s">
        <v>22</v>
      </c>
      <c r="C241" s="1">
        <v>44420</v>
      </c>
      <c r="D241">
        <v>259</v>
      </c>
      <c r="E241">
        <v>12</v>
      </c>
      <c r="F241">
        <v>32918.65</v>
      </c>
      <c r="G241">
        <v>2</v>
      </c>
      <c r="H241">
        <f ca="1">DATEDIF(Sheet1[[#This Row],[join_date]],TODAY(),"Y")</f>
        <v>4</v>
      </c>
    </row>
    <row r="242" spans="1:8" x14ac:dyDescent="0.3">
      <c r="A242" t="s">
        <v>253</v>
      </c>
      <c r="B242" t="s">
        <v>22</v>
      </c>
      <c r="C242" s="1">
        <v>42736</v>
      </c>
      <c r="D242">
        <v>197</v>
      </c>
      <c r="E242">
        <v>33</v>
      </c>
      <c r="F242">
        <v>31909.41</v>
      </c>
      <c r="G242">
        <v>4</v>
      </c>
      <c r="H242">
        <f ca="1">DATEDIF(Sheet1[[#This Row],[join_date]],TODAY(),"Y")</f>
        <v>9</v>
      </c>
    </row>
    <row r="243" spans="1:8" x14ac:dyDescent="0.3">
      <c r="A243" t="s">
        <v>254</v>
      </c>
      <c r="B243" t="s">
        <v>11</v>
      </c>
      <c r="C243" s="1">
        <v>43183</v>
      </c>
      <c r="D243">
        <v>297</v>
      </c>
      <c r="E243">
        <v>85</v>
      </c>
      <c r="F243">
        <v>10580.67</v>
      </c>
      <c r="G243">
        <v>4</v>
      </c>
      <c r="H243">
        <f ca="1">DATEDIF(Sheet1[[#This Row],[join_date]],TODAY(),"Y")</f>
        <v>8</v>
      </c>
    </row>
    <row r="244" spans="1:8" x14ac:dyDescent="0.3">
      <c r="A244" t="s">
        <v>255</v>
      </c>
      <c r="B244" t="s">
        <v>26</v>
      </c>
      <c r="C244" s="1">
        <v>43417</v>
      </c>
      <c r="D244">
        <v>208</v>
      </c>
      <c r="E244">
        <v>32</v>
      </c>
      <c r="F244">
        <v>48400.99</v>
      </c>
      <c r="G244">
        <v>9</v>
      </c>
      <c r="H244">
        <f ca="1">DATEDIF(Sheet1[[#This Row],[join_date]],TODAY(),"Y")</f>
        <v>7</v>
      </c>
    </row>
    <row r="245" spans="1:8" x14ac:dyDescent="0.3">
      <c r="A245" t="s">
        <v>256</v>
      </c>
      <c r="B245" t="s">
        <v>13</v>
      </c>
      <c r="C245" s="1">
        <v>43213</v>
      </c>
      <c r="D245">
        <v>141</v>
      </c>
      <c r="E245">
        <v>18</v>
      </c>
      <c r="F245">
        <v>30437.53</v>
      </c>
      <c r="G245">
        <v>0</v>
      </c>
      <c r="H245">
        <f ca="1">DATEDIF(Sheet1[[#This Row],[join_date]],TODAY(),"Y")</f>
        <v>8</v>
      </c>
    </row>
    <row r="246" spans="1:8" x14ac:dyDescent="0.3">
      <c r="A246" t="s">
        <v>257</v>
      </c>
      <c r="B246" t="s">
        <v>8</v>
      </c>
      <c r="C246" s="1">
        <v>44672</v>
      </c>
      <c r="D246">
        <v>173</v>
      </c>
      <c r="E246">
        <v>41</v>
      </c>
      <c r="F246">
        <v>43809.85</v>
      </c>
      <c r="G246">
        <v>8</v>
      </c>
      <c r="H246">
        <f ca="1">DATEDIF(Sheet1[[#This Row],[join_date]],TODAY(),"Y")</f>
        <v>4</v>
      </c>
    </row>
    <row r="247" spans="1:8" x14ac:dyDescent="0.3">
      <c r="A247" t="s">
        <v>258</v>
      </c>
      <c r="B247" t="s">
        <v>26</v>
      </c>
      <c r="C247" s="1">
        <v>42625</v>
      </c>
      <c r="D247">
        <v>262</v>
      </c>
      <c r="E247">
        <v>43</v>
      </c>
      <c r="F247">
        <v>5275.48</v>
      </c>
      <c r="G247">
        <v>1</v>
      </c>
      <c r="H247">
        <f ca="1">DATEDIF(Sheet1[[#This Row],[join_date]],TODAY(),"Y")</f>
        <v>9</v>
      </c>
    </row>
    <row r="248" spans="1:8" x14ac:dyDescent="0.3">
      <c r="A248" t="s">
        <v>259</v>
      </c>
      <c r="B248" t="s">
        <v>8</v>
      </c>
      <c r="C248" s="1">
        <v>42092</v>
      </c>
      <c r="D248">
        <v>154</v>
      </c>
      <c r="E248">
        <v>8</v>
      </c>
      <c r="F248">
        <v>29017.3</v>
      </c>
      <c r="G248">
        <v>3</v>
      </c>
      <c r="H248">
        <f ca="1">DATEDIF(Sheet1[[#This Row],[join_date]],TODAY(),"Y")</f>
        <v>11</v>
      </c>
    </row>
    <row r="249" spans="1:8" x14ac:dyDescent="0.3">
      <c r="A249" t="s">
        <v>260</v>
      </c>
      <c r="B249" t="s">
        <v>8</v>
      </c>
      <c r="C249" s="1">
        <v>42466</v>
      </c>
      <c r="D249">
        <v>232</v>
      </c>
      <c r="E249">
        <v>26</v>
      </c>
      <c r="F249">
        <v>7680.16</v>
      </c>
      <c r="G249">
        <v>8</v>
      </c>
      <c r="H249">
        <f ca="1">DATEDIF(Sheet1[[#This Row],[join_date]],TODAY(),"Y")</f>
        <v>10</v>
      </c>
    </row>
    <row r="250" spans="1:8" x14ac:dyDescent="0.3">
      <c r="A250" t="s">
        <v>261</v>
      </c>
      <c r="B250" t="s">
        <v>26</v>
      </c>
      <c r="C250" s="1">
        <v>44610</v>
      </c>
      <c r="D250">
        <v>90</v>
      </c>
      <c r="E250">
        <v>5</v>
      </c>
      <c r="F250">
        <v>26793.56</v>
      </c>
      <c r="G250">
        <v>3</v>
      </c>
      <c r="H250">
        <f ca="1">DATEDIF(Sheet1[[#This Row],[join_date]],TODAY(),"Y")</f>
        <v>4</v>
      </c>
    </row>
    <row r="251" spans="1:8" x14ac:dyDescent="0.3">
      <c r="A251" t="s">
        <v>262</v>
      </c>
      <c r="B251" t="s">
        <v>22</v>
      </c>
      <c r="C251" s="1">
        <v>44508</v>
      </c>
      <c r="D251">
        <v>53</v>
      </c>
      <c r="E251">
        <v>9</v>
      </c>
      <c r="F251">
        <v>18469.240000000002</v>
      </c>
      <c r="G251">
        <v>5</v>
      </c>
      <c r="H251">
        <f ca="1">DATEDIF(Sheet1[[#This Row],[join_date]],TODAY(),"Y")</f>
        <v>4</v>
      </c>
    </row>
    <row r="252" spans="1:8" x14ac:dyDescent="0.3">
      <c r="A252" t="s">
        <v>263</v>
      </c>
      <c r="B252" t="s">
        <v>16</v>
      </c>
      <c r="C252" s="1">
        <v>42490</v>
      </c>
      <c r="D252">
        <v>215</v>
      </c>
      <c r="E252">
        <v>24</v>
      </c>
      <c r="F252">
        <v>39146.9</v>
      </c>
      <c r="G252">
        <v>6</v>
      </c>
      <c r="H252">
        <f ca="1">DATEDIF(Sheet1[[#This Row],[join_date]],TODAY(),"Y")</f>
        <v>10</v>
      </c>
    </row>
    <row r="253" spans="1:8" x14ac:dyDescent="0.3">
      <c r="A253" t="s">
        <v>264</v>
      </c>
      <c r="B253" t="s">
        <v>8</v>
      </c>
      <c r="C253" s="1">
        <v>43943</v>
      </c>
      <c r="D253">
        <v>219</v>
      </c>
      <c r="E253">
        <v>62</v>
      </c>
      <c r="F253">
        <v>13526.32</v>
      </c>
      <c r="G253">
        <v>6</v>
      </c>
      <c r="H253">
        <f ca="1">DATEDIF(Sheet1[[#This Row],[join_date]],TODAY(),"Y")</f>
        <v>6</v>
      </c>
    </row>
    <row r="254" spans="1:8" x14ac:dyDescent="0.3">
      <c r="A254" t="s">
        <v>265</v>
      </c>
      <c r="B254" t="s">
        <v>16</v>
      </c>
      <c r="C254" s="1">
        <v>44162</v>
      </c>
      <c r="D254">
        <v>201</v>
      </c>
      <c r="E254">
        <v>52</v>
      </c>
      <c r="F254">
        <v>9676.89</v>
      </c>
      <c r="G254">
        <v>0</v>
      </c>
      <c r="H254">
        <f ca="1">DATEDIF(Sheet1[[#This Row],[join_date]],TODAY(),"Y")</f>
        <v>5</v>
      </c>
    </row>
    <row r="255" spans="1:8" x14ac:dyDescent="0.3">
      <c r="A255" t="s">
        <v>266</v>
      </c>
      <c r="B255" t="s">
        <v>26</v>
      </c>
      <c r="C255" s="1">
        <v>43150</v>
      </c>
      <c r="D255">
        <v>110</v>
      </c>
      <c r="E255">
        <v>21</v>
      </c>
      <c r="F255">
        <v>18072.990000000002</v>
      </c>
      <c r="G255">
        <v>4</v>
      </c>
      <c r="H255">
        <f ca="1">DATEDIF(Sheet1[[#This Row],[join_date]],TODAY(),"Y")</f>
        <v>8</v>
      </c>
    </row>
    <row r="256" spans="1:8" x14ac:dyDescent="0.3">
      <c r="A256" t="s">
        <v>267</v>
      </c>
      <c r="B256" t="s">
        <v>26</v>
      </c>
      <c r="C256" s="1">
        <v>42860</v>
      </c>
      <c r="D256">
        <v>187</v>
      </c>
      <c r="E256">
        <v>0</v>
      </c>
      <c r="F256">
        <v>35808.589999999997</v>
      </c>
      <c r="G256">
        <v>7</v>
      </c>
      <c r="H256">
        <f ca="1">DATEDIF(Sheet1[[#This Row],[join_date]],TODAY(),"Y")</f>
        <v>9</v>
      </c>
    </row>
    <row r="257" spans="1:8" x14ac:dyDescent="0.3">
      <c r="A257" t="s">
        <v>268</v>
      </c>
      <c r="B257" t="s">
        <v>22</v>
      </c>
      <c r="C257" s="1">
        <v>44662</v>
      </c>
      <c r="D257">
        <v>103</v>
      </c>
      <c r="E257">
        <v>1</v>
      </c>
      <c r="F257">
        <v>21219.24</v>
      </c>
      <c r="G257">
        <v>6</v>
      </c>
      <c r="H257">
        <f ca="1">DATEDIF(Sheet1[[#This Row],[join_date]],TODAY(),"Y")</f>
        <v>4</v>
      </c>
    </row>
    <row r="258" spans="1:8" x14ac:dyDescent="0.3">
      <c r="A258" t="s">
        <v>269</v>
      </c>
      <c r="B258" t="s">
        <v>8</v>
      </c>
      <c r="C258" s="1">
        <v>43423</v>
      </c>
      <c r="D258">
        <v>144</v>
      </c>
      <c r="E258">
        <v>4</v>
      </c>
      <c r="F258">
        <v>39019.440000000002</v>
      </c>
      <c r="G258">
        <v>8</v>
      </c>
      <c r="H258">
        <f ca="1">DATEDIF(Sheet1[[#This Row],[join_date]],TODAY(),"Y")</f>
        <v>7</v>
      </c>
    </row>
    <row r="259" spans="1:8" x14ac:dyDescent="0.3">
      <c r="A259" t="s">
        <v>270</v>
      </c>
      <c r="B259" t="s">
        <v>16</v>
      </c>
      <c r="C259" s="1">
        <v>44886</v>
      </c>
      <c r="D259">
        <v>247</v>
      </c>
      <c r="E259">
        <v>67</v>
      </c>
      <c r="F259">
        <v>15844.58</v>
      </c>
      <c r="G259">
        <v>4</v>
      </c>
      <c r="H259">
        <f ca="1">DATEDIF(Sheet1[[#This Row],[join_date]],TODAY(),"Y")</f>
        <v>3</v>
      </c>
    </row>
    <row r="260" spans="1:8" x14ac:dyDescent="0.3">
      <c r="A260" t="s">
        <v>271</v>
      </c>
      <c r="B260" t="s">
        <v>22</v>
      </c>
      <c r="C260" s="1">
        <v>44243</v>
      </c>
      <c r="D260">
        <v>226</v>
      </c>
      <c r="E260">
        <v>19</v>
      </c>
      <c r="F260">
        <v>45379.74</v>
      </c>
      <c r="G260">
        <v>8</v>
      </c>
      <c r="H260">
        <f ca="1">DATEDIF(Sheet1[[#This Row],[join_date]],TODAY(),"Y")</f>
        <v>5</v>
      </c>
    </row>
    <row r="261" spans="1:8" x14ac:dyDescent="0.3">
      <c r="A261" t="s">
        <v>272</v>
      </c>
      <c r="B261" t="s">
        <v>16</v>
      </c>
      <c r="C261" s="1">
        <v>43579</v>
      </c>
      <c r="D261">
        <v>175</v>
      </c>
      <c r="E261">
        <v>42</v>
      </c>
      <c r="F261">
        <v>29606.83</v>
      </c>
      <c r="G261">
        <v>6</v>
      </c>
      <c r="H261">
        <f ca="1">DATEDIF(Sheet1[[#This Row],[join_date]],TODAY(),"Y")</f>
        <v>7</v>
      </c>
    </row>
    <row r="262" spans="1:8" x14ac:dyDescent="0.3">
      <c r="A262" t="s">
        <v>273</v>
      </c>
      <c r="B262" t="s">
        <v>11</v>
      </c>
      <c r="C262" s="1">
        <v>43770</v>
      </c>
      <c r="D262">
        <v>245</v>
      </c>
      <c r="E262">
        <v>14</v>
      </c>
      <c r="F262">
        <v>25939.599999999999</v>
      </c>
      <c r="G262">
        <v>0</v>
      </c>
      <c r="H262">
        <f ca="1">DATEDIF(Sheet1[[#This Row],[join_date]],TODAY(),"Y")</f>
        <v>6</v>
      </c>
    </row>
    <row r="263" spans="1:8" x14ac:dyDescent="0.3">
      <c r="A263" t="s">
        <v>274</v>
      </c>
      <c r="B263" t="s">
        <v>22</v>
      </c>
      <c r="C263" s="1">
        <v>42728</v>
      </c>
      <c r="D263">
        <v>258</v>
      </c>
      <c r="E263">
        <v>56</v>
      </c>
      <c r="F263">
        <v>18254.88</v>
      </c>
      <c r="G263">
        <v>2</v>
      </c>
      <c r="H263">
        <f ca="1">DATEDIF(Sheet1[[#This Row],[join_date]],TODAY(),"Y")</f>
        <v>9</v>
      </c>
    </row>
    <row r="264" spans="1:8" x14ac:dyDescent="0.3">
      <c r="A264" t="s">
        <v>275</v>
      </c>
      <c r="B264" t="s">
        <v>11</v>
      </c>
      <c r="C264" s="1">
        <v>42975</v>
      </c>
      <c r="D264">
        <v>247</v>
      </c>
      <c r="E264">
        <v>2</v>
      </c>
      <c r="F264">
        <v>18068.099999999999</v>
      </c>
      <c r="G264">
        <v>0</v>
      </c>
      <c r="H264">
        <f ca="1">DATEDIF(Sheet1[[#This Row],[join_date]],TODAY(),"Y")</f>
        <v>8</v>
      </c>
    </row>
    <row r="265" spans="1:8" x14ac:dyDescent="0.3">
      <c r="A265" t="s">
        <v>276</v>
      </c>
      <c r="B265" t="s">
        <v>22</v>
      </c>
      <c r="C265" s="1">
        <v>43391</v>
      </c>
      <c r="D265">
        <v>267</v>
      </c>
      <c r="E265">
        <v>73</v>
      </c>
      <c r="F265">
        <v>18946.759999999998</v>
      </c>
      <c r="G265">
        <v>7</v>
      </c>
      <c r="H265">
        <f ca="1">DATEDIF(Sheet1[[#This Row],[join_date]],TODAY(),"Y")</f>
        <v>7</v>
      </c>
    </row>
    <row r="266" spans="1:8" x14ac:dyDescent="0.3">
      <c r="A266" t="s">
        <v>277</v>
      </c>
      <c r="B266" t="s">
        <v>11</v>
      </c>
      <c r="C266" s="1">
        <v>42039</v>
      </c>
      <c r="D266">
        <v>229</v>
      </c>
      <c r="E266">
        <v>67</v>
      </c>
      <c r="F266">
        <v>35260.6</v>
      </c>
      <c r="G266">
        <v>5</v>
      </c>
      <c r="H266">
        <f ca="1">DATEDIF(Sheet1[[#This Row],[join_date]],TODAY(),"Y")</f>
        <v>11</v>
      </c>
    </row>
    <row r="267" spans="1:8" x14ac:dyDescent="0.3">
      <c r="A267" t="s">
        <v>278</v>
      </c>
      <c r="B267" t="s">
        <v>8</v>
      </c>
      <c r="C267" s="1">
        <v>44756</v>
      </c>
      <c r="D267">
        <v>78</v>
      </c>
      <c r="E267">
        <v>20</v>
      </c>
      <c r="F267">
        <v>17365.439999999999</v>
      </c>
      <c r="G267">
        <v>9</v>
      </c>
      <c r="H267">
        <f ca="1">DATEDIF(Sheet1[[#This Row],[join_date]],TODAY(),"Y")</f>
        <v>4</v>
      </c>
    </row>
    <row r="268" spans="1:8" x14ac:dyDescent="0.3">
      <c r="A268" t="s">
        <v>279</v>
      </c>
      <c r="B268" t="s">
        <v>13</v>
      </c>
      <c r="C268" s="1">
        <v>42528</v>
      </c>
      <c r="D268">
        <v>268</v>
      </c>
      <c r="E268">
        <v>72</v>
      </c>
      <c r="F268">
        <v>48750.86</v>
      </c>
      <c r="G268">
        <v>7</v>
      </c>
      <c r="H268">
        <f ca="1">DATEDIF(Sheet1[[#This Row],[join_date]],TODAY(),"Y")</f>
        <v>10</v>
      </c>
    </row>
    <row r="269" spans="1:8" x14ac:dyDescent="0.3">
      <c r="A269" t="s">
        <v>280</v>
      </c>
      <c r="B269" t="s">
        <v>13</v>
      </c>
      <c r="C269" s="1">
        <v>43423</v>
      </c>
      <c r="D269">
        <v>227</v>
      </c>
      <c r="E269">
        <v>51</v>
      </c>
      <c r="F269">
        <v>22084.47</v>
      </c>
      <c r="G269">
        <v>4</v>
      </c>
      <c r="H269">
        <f ca="1">DATEDIF(Sheet1[[#This Row],[join_date]],TODAY(),"Y")</f>
        <v>7</v>
      </c>
    </row>
    <row r="270" spans="1:8" x14ac:dyDescent="0.3">
      <c r="A270" t="s">
        <v>281</v>
      </c>
      <c r="B270" t="s">
        <v>13</v>
      </c>
      <c r="C270" s="1">
        <v>43443</v>
      </c>
      <c r="D270">
        <v>77</v>
      </c>
      <c r="E270">
        <v>1</v>
      </c>
      <c r="F270">
        <v>21422.71</v>
      </c>
      <c r="G270">
        <v>7</v>
      </c>
      <c r="H270">
        <f ca="1">DATEDIF(Sheet1[[#This Row],[join_date]],TODAY(),"Y")</f>
        <v>7</v>
      </c>
    </row>
    <row r="271" spans="1:8" x14ac:dyDescent="0.3">
      <c r="A271" t="s">
        <v>282</v>
      </c>
      <c r="B271" t="s">
        <v>11</v>
      </c>
      <c r="C271" s="1">
        <v>44441</v>
      </c>
      <c r="D271">
        <v>243</v>
      </c>
      <c r="E271">
        <v>13</v>
      </c>
      <c r="F271">
        <v>34617.86</v>
      </c>
      <c r="G271">
        <v>5</v>
      </c>
      <c r="H271">
        <f ca="1">DATEDIF(Sheet1[[#This Row],[join_date]],TODAY(),"Y")</f>
        <v>4</v>
      </c>
    </row>
    <row r="272" spans="1:8" x14ac:dyDescent="0.3">
      <c r="A272" t="s">
        <v>283</v>
      </c>
      <c r="B272" t="s">
        <v>26</v>
      </c>
      <c r="C272" s="1">
        <v>44703</v>
      </c>
      <c r="D272">
        <v>295</v>
      </c>
      <c r="E272">
        <v>2</v>
      </c>
      <c r="F272">
        <v>15644.42</v>
      </c>
      <c r="G272">
        <v>7</v>
      </c>
      <c r="H272">
        <f ca="1">DATEDIF(Sheet1[[#This Row],[join_date]],TODAY(),"Y")</f>
        <v>4</v>
      </c>
    </row>
    <row r="273" spans="1:8" x14ac:dyDescent="0.3">
      <c r="A273" t="s">
        <v>284</v>
      </c>
      <c r="B273" t="s">
        <v>11</v>
      </c>
      <c r="C273" s="1">
        <v>44624</v>
      </c>
      <c r="D273">
        <v>257</v>
      </c>
      <c r="E273">
        <v>56</v>
      </c>
      <c r="F273">
        <v>11801.15</v>
      </c>
      <c r="G273">
        <v>4</v>
      </c>
      <c r="H273">
        <f ca="1">DATEDIF(Sheet1[[#This Row],[join_date]],TODAY(),"Y")</f>
        <v>4</v>
      </c>
    </row>
    <row r="274" spans="1:8" x14ac:dyDescent="0.3">
      <c r="A274" t="s">
        <v>285</v>
      </c>
      <c r="B274" t="s">
        <v>26</v>
      </c>
      <c r="C274" s="1">
        <v>43644</v>
      </c>
      <c r="D274">
        <v>270</v>
      </c>
      <c r="E274">
        <v>41</v>
      </c>
      <c r="F274">
        <v>11109.13</v>
      </c>
      <c r="G274">
        <v>8</v>
      </c>
      <c r="H274">
        <f ca="1">DATEDIF(Sheet1[[#This Row],[join_date]],TODAY(),"Y")</f>
        <v>7</v>
      </c>
    </row>
    <row r="275" spans="1:8" x14ac:dyDescent="0.3">
      <c r="A275" t="s">
        <v>286</v>
      </c>
      <c r="B275" t="s">
        <v>13</v>
      </c>
      <c r="C275" s="1">
        <v>42849</v>
      </c>
      <c r="D275">
        <v>211</v>
      </c>
      <c r="E275">
        <v>24</v>
      </c>
      <c r="F275">
        <v>43851.91</v>
      </c>
      <c r="G275">
        <v>1</v>
      </c>
      <c r="H275">
        <f ca="1">DATEDIF(Sheet1[[#This Row],[join_date]],TODAY(),"Y")</f>
        <v>9</v>
      </c>
    </row>
    <row r="276" spans="1:8" x14ac:dyDescent="0.3">
      <c r="A276" t="s">
        <v>287</v>
      </c>
      <c r="B276" t="s">
        <v>16</v>
      </c>
      <c r="C276" s="1">
        <v>44001</v>
      </c>
      <c r="D276">
        <v>109</v>
      </c>
      <c r="E276">
        <v>15</v>
      </c>
      <c r="F276">
        <v>21529.71</v>
      </c>
      <c r="G276">
        <v>1</v>
      </c>
      <c r="H276">
        <f ca="1">DATEDIF(Sheet1[[#This Row],[join_date]],TODAY(),"Y")</f>
        <v>6</v>
      </c>
    </row>
    <row r="277" spans="1:8" x14ac:dyDescent="0.3">
      <c r="A277" t="s">
        <v>288</v>
      </c>
      <c r="B277" t="s">
        <v>13</v>
      </c>
      <c r="C277" s="1">
        <v>42898</v>
      </c>
      <c r="D277">
        <v>136</v>
      </c>
      <c r="E277">
        <v>4</v>
      </c>
      <c r="F277">
        <v>23267.45</v>
      </c>
      <c r="G277">
        <v>1</v>
      </c>
      <c r="H277">
        <f ca="1">DATEDIF(Sheet1[[#This Row],[join_date]],TODAY(),"Y")</f>
        <v>9</v>
      </c>
    </row>
    <row r="278" spans="1:8" x14ac:dyDescent="0.3">
      <c r="A278" t="s">
        <v>289</v>
      </c>
      <c r="B278" t="s">
        <v>8</v>
      </c>
      <c r="C278" s="1">
        <v>42724</v>
      </c>
      <c r="D278">
        <v>133</v>
      </c>
      <c r="E278">
        <v>37</v>
      </c>
      <c r="F278">
        <v>45061.63</v>
      </c>
      <c r="G278">
        <v>6</v>
      </c>
      <c r="H278">
        <f ca="1">DATEDIF(Sheet1[[#This Row],[join_date]],TODAY(),"Y")</f>
        <v>9</v>
      </c>
    </row>
    <row r="279" spans="1:8" x14ac:dyDescent="0.3">
      <c r="A279" t="s">
        <v>290</v>
      </c>
      <c r="B279" t="s">
        <v>26</v>
      </c>
      <c r="C279" s="1">
        <v>42652</v>
      </c>
      <c r="D279">
        <v>299</v>
      </c>
      <c r="E279">
        <v>30</v>
      </c>
      <c r="F279">
        <v>33119.199999999997</v>
      </c>
      <c r="G279">
        <v>1</v>
      </c>
      <c r="H279">
        <f ca="1">DATEDIF(Sheet1[[#This Row],[join_date]],TODAY(),"Y")</f>
        <v>9</v>
      </c>
    </row>
    <row r="280" spans="1:8" x14ac:dyDescent="0.3">
      <c r="A280" t="s">
        <v>291</v>
      </c>
      <c r="B280" t="s">
        <v>26</v>
      </c>
      <c r="C280" s="1">
        <v>43488</v>
      </c>
      <c r="D280">
        <v>151</v>
      </c>
      <c r="E280">
        <v>30</v>
      </c>
      <c r="F280">
        <v>8419.17</v>
      </c>
      <c r="G280">
        <v>8</v>
      </c>
      <c r="H280">
        <f ca="1">DATEDIF(Sheet1[[#This Row],[join_date]],TODAY(),"Y")</f>
        <v>7</v>
      </c>
    </row>
    <row r="281" spans="1:8" x14ac:dyDescent="0.3">
      <c r="A281" t="s">
        <v>292</v>
      </c>
      <c r="B281" t="s">
        <v>22</v>
      </c>
      <c r="C281" s="1">
        <v>44009</v>
      </c>
      <c r="D281">
        <v>287</v>
      </c>
      <c r="E281">
        <v>69</v>
      </c>
      <c r="F281">
        <v>16122.65</v>
      </c>
      <c r="G281">
        <v>4</v>
      </c>
      <c r="H281">
        <f ca="1">DATEDIF(Sheet1[[#This Row],[join_date]],TODAY(),"Y")</f>
        <v>6</v>
      </c>
    </row>
    <row r="282" spans="1:8" x14ac:dyDescent="0.3">
      <c r="A282" t="s">
        <v>293</v>
      </c>
      <c r="B282" t="s">
        <v>8</v>
      </c>
      <c r="C282" s="1">
        <v>42508</v>
      </c>
      <c r="D282">
        <v>144</v>
      </c>
      <c r="E282">
        <v>25</v>
      </c>
      <c r="F282">
        <v>24430.7</v>
      </c>
      <c r="G282">
        <v>5</v>
      </c>
      <c r="H282">
        <f ca="1">DATEDIF(Sheet1[[#This Row],[join_date]],TODAY(),"Y")</f>
        <v>10</v>
      </c>
    </row>
    <row r="283" spans="1:8" x14ac:dyDescent="0.3">
      <c r="A283" t="s">
        <v>294</v>
      </c>
      <c r="B283" t="s">
        <v>11</v>
      </c>
      <c r="C283" s="1">
        <v>42394</v>
      </c>
      <c r="D283">
        <v>138</v>
      </c>
      <c r="E283">
        <v>39</v>
      </c>
      <c r="F283">
        <v>28916.15</v>
      </c>
      <c r="G283">
        <v>1</v>
      </c>
      <c r="H283">
        <f ca="1">DATEDIF(Sheet1[[#This Row],[join_date]],TODAY(),"Y")</f>
        <v>10</v>
      </c>
    </row>
    <row r="284" spans="1:8" x14ac:dyDescent="0.3">
      <c r="A284" t="s">
        <v>295</v>
      </c>
      <c r="B284" t="s">
        <v>13</v>
      </c>
      <c r="C284" s="1">
        <v>42484</v>
      </c>
      <c r="D284">
        <v>210</v>
      </c>
      <c r="E284">
        <v>33</v>
      </c>
      <c r="F284">
        <v>40481.4</v>
      </c>
      <c r="G284">
        <v>3</v>
      </c>
      <c r="H284">
        <f ca="1">DATEDIF(Sheet1[[#This Row],[join_date]],TODAY(),"Y")</f>
        <v>10</v>
      </c>
    </row>
    <row r="285" spans="1:8" x14ac:dyDescent="0.3">
      <c r="A285" t="s">
        <v>296</v>
      </c>
      <c r="B285" t="s">
        <v>8</v>
      </c>
      <c r="C285" s="1">
        <v>43827</v>
      </c>
      <c r="D285">
        <v>202</v>
      </c>
      <c r="E285">
        <v>8</v>
      </c>
      <c r="F285">
        <v>43305.96</v>
      </c>
      <c r="G285">
        <v>8</v>
      </c>
      <c r="H285">
        <f ca="1">DATEDIF(Sheet1[[#This Row],[join_date]],TODAY(),"Y")</f>
        <v>6</v>
      </c>
    </row>
    <row r="286" spans="1:8" x14ac:dyDescent="0.3">
      <c r="A286" t="s">
        <v>297</v>
      </c>
      <c r="B286" t="s">
        <v>26</v>
      </c>
      <c r="C286" s="1">
        <v>42504</v>
      </c>
      <c r="D286">
        <v>236</v>
      </c>
      <c r="E286">
        <v>22</v>
      </c>
      <c r="F286">
        <v>15182.29</v>
      </c>
      <c r="G286">
        <v>2</v>
      </c>
      <c r="H286">
        <f ca="1">DATEDIF(Sheet1[[#This Row],[join_date]],TODAY(),"Y")</f>
        <v>10</v>
      </c>
    </row>
    <row r="287" spans="1:8" x14ac:dyDescent="0.3">
      <c r="A287" t="s">
        <v>298</v>
      </c>
      <c r="B287" t="s">
        <v>16</v>
      </c>
      <c r="C287" s="1">
        <v>42978</v>
      </c>
      <c r="D287">
        <v>84</v>
      </c>
      <c r="E287">
        <v>6</v>
      </c>
      <c r="F287">
        <v>41884.519999999997</v>
      </c>
      <c r="G287">
        <v>4</v>
      </c>
      <c r="H287">
        <f ca="1">DATEDIF(Sheet1[[#This Row],[join_date]],TODAY(),"Y")</f>
        <v>8</v>
      </c>
    </row>
    <row r="288" spans="1:8" x14ac:dyDescent="0.3">
      <c r="A288" t="s">
        <v>299</v>
      </c>
      <c r="B288" t="s">
        <v>13</v>
      </c>
      <c r="C288" s="1">
        <v>42849</v>
      </c>
      <c r="D288">
        <v>114</v>
      </c>
      <c r="E288">
        <v>15</v>
      </c>
      <c r="F288">
        <v>35123.35</v>
      </c>
      <c r="G288">
        <v>9</v>
      </c>
      <c r="H288">
        <f ca="1">DATEDIF(Sheet1[[#This Row],[join_date]],TODAY(),"Y")</f>
        <v>9</v>
      </c>
    </row>
    <row r="289" spans="1:8" x14ac:dyDescent="0.3">
      <c r="A289" t="s">
        <v>300</v>
      </c>
      <c r="B289" t="s">
        <v>26</v>
      </c>
      <c r="C289" s="1">
        <v>44287</v>
      </c>
      <c r="D289">
        <v>157</v>
      </c>
      <c r="E289">
        <v>42</v>
      </c>
      <c r="F289">
        <v>23963.41</v>
      </c>
      <c r="G289">
        <v>0</v>
      </c>
      <c r="H289">
        <f ca="1">DATEDIF(Sheet1[[#This Row],[join_date]],TODAY(),"Y")</f>
        <v>5</v>
      </c>
    </row>
    <row r="290" spans="1:8" x14ac:dyDescent="0.3">
      <c r="A290" t="s">
        <v>301</v>
      </c>
      <c r="B290" t="s">
        <v>11</v>
      </c>
      <c r="C290" s="1">
        <v>43689</v>
      </c>
      <c r="D290">
        <v>220</v>
      </c>
      <c r="E290">
        <v>43</v>
      </c>
      <c r="F290">
        <v>27770.28</v>
      </c>
      <c r="G290">
        <v>9</v>
      </c>
      <c r="H290">
        <f ca="1">DATEDIF(Sheet1[[#This Row],[join_date]],TODAY(),"Y")</f>
        <v>6</v>
      </c>
    </row>
    <row r="291" spans="1:8" x14ac:dyDescent="0.3">
      <c r="A291" t="s">
        <v>302</v>
      </c>
      <c r="B291" t="s">
        <v>11</v>
      </c>
      <c r="C291" s="1">
        <v>43209</v>
      </c>
      <c r="D291">
        <v>136</v>
      </c>
      <c r="E291">
        <v>33</v>
      </c>
      <c r="F291">
        <v>46062.35</v>
      </c>
      <c r="G291">
        <v>9</v>
      </c>
      <c r="H291">
        <f ca="1">DATEDIF(Sheet1[[#This Row],[join_date]],TODAY(),"Y")</f>
        <v>8</v>
      </c>
    </row>
    <row r="292" spans="1:8" x14ac:dyDescent="0.3">
      <c r="A292" t="s">
        <v>303</v>
      </c>
      <c r="B292" t="s">
        <v>22</v>
      </c>
      <c r="C292" s="1">
        <v>44593</v>
      </c>
      <c r="D292">
        <v>108</v>
      </c>
      <c r="E292">
        <v>16</v>
      </c>
      <c r="F292">
        <v>9719</v>
      </c>
      <c r="G292">
        <v>9</v>
      </c>
      <c r="H292">
        <f ca="1">DATEDIF(Sheet1[[#This Row],[join_date]],TODAY(),"Y")</f>
        <v>4</v>
      </c>
    </row>
    <row r="293" spans="1:8" x14ac:dyDescent="0.3">
      <c r="A293" t="s">
        <v>304</v>
      </c>
      <c r="B293" t="s">
        <v>11</v>
      </c>
      <c r="C293" s="1">
        <v>42514</v>
      </c>
      <c r="D293">
        <v>150</v>
      </c>
      <c r="E293">
        <v>7</v>
      </c>
      <c r="F293">
        <v>7740.21</v>
      </c>
      <c r="G293">
        <v>5</v>
      </c>
      <c r="H293">
        <f ca="1">DATEDIF(Sheet1[[#This Row],[join_date]],TODAY(),"Y")</f>
        <v>10</v>
      </c>
    </row>
    <row r="294" spans="1:8" x14ac:dyDescent="0.3">
      <c r="A294" t="s">
        <v>305</v>
      </c>
      <c r="B294" t="s">
        <v>26</v>
      </c>
      <c r="C294" s="1">
        <v>42359</v>
      </c>
      <c r="D294">
        <v>295</v>
      </c>
      <c r="E294">
        <v>55</v>
      </c>
      <c r="F294">
        <v>22685.84</v>
      </c>
      <c r="G294">
        <v>1</v>
      </c>
      <c r="H294">
        <f ca="1">DATEDIF(Sheet1[[#This Row],[join_date]],TODAY(),"Y")</f>
        <v>10</v>
      </c>
    </row>
    <row r="295" spans="1:8" x14ac:dyDescent="0.3">
      <c r="A295" t="s">
        <v>306</v>
      </c>
      <c r="B295" t="s">
        <v>26</v>
      </c>
      <c r="C295" s="1">
        <v>43761</v>
      </c>
      <c r="D295">
        <v>297</v>
      </c>
      <c r="E295">
        <v>69</v>
      </c>
      <c r="F295">
        <v>23005.11</v>
      </c>
      <c r="G295">
        <v>2</v>
      </c>
      <c r="H295">
        <f ca="1">DATEDIF(Sheet1[[#This Row],[join_date]],TODAY(),"Y")</f>
        <v>6</v>
      </c>
    </row>
    <row r="296" spans="1:8" x14ac:dyDescent="0.3">
      <c r="A296" t="s">
        <v>307</v>
      </c>
      <c r="B296" t="s">
        <v>22</v>
      </c>
      <c r="C296" s="1">
        <v>43270</v>
      </c>
      <c r="D296">
        <v>84</v>
      </c>
      <c r="E296">
        <v>2</v>
      </c>
      <c r="F296">
        <v>29840.35</v>
      </c>
      <c r="G296">
        <v>8</v>
      </c>
      <c r="H296">
        <f ca="1">DATEDIF(Sheet1[[#This Row],[join_date]],TODAY(),"Y")</f>
        <v>8</v>
      </c>
    </row>
    <row r="297" spans="1:8" x14ac:dyDescent="0.3">
      <c r="A297" t="s">
        <v>308</v>
      </c>
      <c r="B297" t="s">
        <v>26</v>
      </c>
      <c r="C297" s="1">
        <v>42907</v>
      </c>
      <c r="D297">
        <v>140</v>
      </c>
      <c r="E297">
        <v>3</v>
      </c>
      <c r="F297">
        <v>16665.09</v>
      </c>
      <c r="G297">
        <v>7</v>
      </c>
      <c r="H297">
        <f ca="1">DATEDIF(Sheet1[[#This Row],[join_date]],TODAY(),"Y")</f>
        <v>9</v>
      </c>
    </row>
    <row r="298" spans="1:8" x14ac:dyDescent="0.3">
      <c r="A298" t="s">
        <v>309</v>
      </c>
      <c r="B298" t="s">
        <v>22</v>
      </c>
      <c r="C298" s="1">
        <v>44034</v>
      </c>
      <c r="D298">
        <v>192</v>
      </c>
      <c r="E298">
        <v>29</v>
      </c>
      <c r="F298">
        <v>5932.15</v>
      </c>
      <c r="G298">
        <v>6</v>
      </c>
      <c r="H298">
        <f ca="1">DATEDIF(Sheet1[[#This Row],[join_date]],TODAY(),"Y")</f>
        <v>6</v>
      </c>
    </row>
    <row r="299" spans="1:8" x14ac:dyDescent="0.3">
      <c r="A299" t="s">
        <v>310</v>
      </c>
      <c r="B299" t="s">
        <v>22</v>
      </c>
      <c r="C299" s="1">
        <v>43953</v>
      </c>
      <c r="D299">
        <v>83</v>
      </c>
      <c r="E299">
        <v>1</v>
      </c>
      <c r="F299">
        <v>44193.13</v>
      </c>
      <c r="G299">
        <v>3</v>
      </c>
      <c r="H299">
        <f ca="1">DATEDIF(Sheet1[[#This Row],[join_date]],TODAY(),"Y")</f>
        <v>6</v>
      </c>
    </row>
    <row r="300" spans="1:8" x14ac:dyDescent="0.3">
      <c r="A300" t="s">
        <v>311</v>
      </c>
      <c r="B300" t="s">
        <v>8</v>
      </c>
      <c r="C300" s="1">
        <v>43879</v>
      </c>
      <c r="D300">
        <v>232</v>
      </c>
      <c r="E300">
        <v>61</v>
      </c>
      <c r="F300">
        <v>30842.05</v>
      </c>
      <c r="G300">
        <v>6</v>
      </c>
      <c r="H300">
        <f ca="1">DATEDIF(Sheet1[[#This Row],[join_date]],TODAY(),"Y")</f>
        <v>6</v>
      </c>
    </row>
    <row r="301" spans="1:8" x14ac:dyDescent="0.3">
      <c r="A301" t="s">
        <v>312</v>
      </c>
      <c r="B301" t="s">
        <v>8</v>
      </c>
      <c r="C301" s="1">
        <v>42951</v>
      </c>
      <c r="D301">
        <v>187</v>
      </c>
      <c r="E301">
        <v>22</v>
      </c>
      <c r="F301">
        <v>11319.87</v>
      </c>
      <c r="G301">
        <v>6</v>
      </c>
      <c r="H301">
        <f ca="1">DATEDIF(Sheet1[[#This Row],[join_date]],TODAY(),"Y")</f>
        <v>8</v>
      </c>
    </row>
  </sheetData>
  <conditionalFormatting sqref="D2:D301">
    <cfRule type="colorScale" priority="1">
      <colorScale>
        <cfvo type="min"/>
        <cfvo type="percentile" val="50"/>
        <cfvo type="max"/>
        <color rgb="FFF8696B"/>
        <color rgb="FFFFEB84"/>
        <color rgb="FF63BE7B"/>
      </colorScale>
    </cfRule>
    <cfRule type="cellIs" dxfId="0" priority="2" operator="lessThan">
      <formula>100</formula>
    </cfRule>
  </conditionalFormatting>
  <conditionalFormatting sqref="G2:G301">
    <cfRule type="colorScale" priority="5">
      <colorScale>
        <cfvo type="min"/>
        <cfvo type="max"/>
        <color rgb="FFFCFCFF"/>
        <color rgb="FFF8696B"/>
      </colorScale>
    </cfRule>
  </conditionalFormatting>
  <conditionalFormatting sqref="H2:H301">
    <cfRule type="dataBar" priority="3">
      <dataBar>
        <cfvo type="min"/>
        <cfvo type="max"/>
        <color rgb="FF63C384"/>
      </dataBar>
      <extLst>
        <ext xmlns:x14="http://schemas.microsoft.com/office/spreadsheetml/2009/9/main" uri="{B025F937-C7B1-47D3-B67F-A62EFF666E3E}">
          <x14:id>{6C61B7F4-748B-40C6-B587-8021BBE2C5FB}</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6C61B7F4-748B-40C6-B587-8021BBE2C5FB}">
            <x14:dataBar minLength="0" maxLength="100" border="1" negativeBarBorderColorSameAsPositive="0">
              <x14:cfvo type="autoMin"/>
              <x14:cfvo type="autoMax"/>
              <x14:borderColor rgb="FF63C384"/>
              <x14:negativeFillColor rgb="FFFF0000"/>
              <x14:negativeBorderColor rgb="FFFF0000"/>
              <x14:axisColor rgb="FF000000"/>
            </x14:dataBar>
          </x14:cfRule>
          <xm:sqref>H2:H301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CC662-BEB1-4E19-85D1-62E6403C5C4C}">
  <dimension ref="B2:N38"/>
  <sheetViews>
    <sheetView showGridLines="0" workbookViewId="0">
      <selection activeCell="D10" sqref="D10"/>
    </sheetView>
  </sheetViews>
  <sheetFormatPr defaultRowHeight="14.4" x14ac:dyDescent="0.3"/>
  <cols>
    <col min="1" max="1" width="8.88671875" style="22"/>
    <col min="2" max="2" width="12.5546875" style="22" bestFit="1" customWidth="1"/>
    <col min="3" max="3" width="27.109375" style="22" bestFit="1" customWidth="1"/>
    <col min="4" max="7" width="8.88671875" style="22"/>
    <col min="8" max="8" width="12.5546875" style="22" bestFit="1" customWidth="1"/>
    <col min="9" max="9" width="26.5546875" style="22" bestFit="1" customWidth="1"/>
    <col min="10" max="12" width="8.88671875" style="22"/>
    <col min="13" max="13" width="12.5546875" style="22" bestFit="1" customWidth="1"/>
    <col min="14" max="14" width="16.21875" style="22" bestFit="1" customWidth="1"/>
    <col min="15" max="16384" width="8.88671875" style="22"/>
  </cols>
  <sheetData>
    <row r="2" spans="2:14" ht="15" thickBot="1" x14ac:dyDescent="0.35"/>
    <row r="3" spans="2:14" ht="29.4" thickBot="1" x14ac:dyDescent="0.6">
      <c r="F3" s="36" t="s">
        <v>359</v>
      </c>
      <c r="G3" s="37"/>
      <c r="H3" s="37"/>
      <c r="I3" s="37"/>
      <c r="J3" s="37"/>
      <c r="K3" s="38"/>
    </row>
    <row r="7" spans="2:14" ht="15" thickBot="1" x14ac:dyDescent="0.35">
      <c r="B7" s="34" t="s">
        <v>325</v>
      </c>
      <c r="C7" s="35"/>
      <c r="H7" s="34" t="s">
        <v>320</v>
      </c>
      <c r="I7" s="35"/>
      <c r="M7" s="34" t="s">
        <v>322</v>
      </c>
      <c r="N7" s="35"/>
    </row>
    <row r="8" spans="2:14" ht="15" thickBot="1" x14ac:dyDescent="0.35"/>
    <row r="9" spans="2:14" ht="15" thickBot="1" x14ac:dyDescent="0.35">
      <c r="B9" s="26" t="s">
        <v>313</v>
      </c>
      <c r="C9" s="26" t="s">
        <v>317</v>
      </c>
      <c r="H9" s="26" t="s">
        <v>313</v>
      </c>
      <c r="I9" s="26" t="s">
        <v>319</v>
      </c>
      <c r="M9" s="26" t="s">
        <v>313</v>
      </c>
      <c r="N9" s="26" t="s">
        <v>315</v>
      </c>
    </row>
    <row r="10" spans="2:14" x14ac:dyDescent="0.3">
      <c r="B10" s="27" t="s">
        <v>22</v>
      </c>
      <c r="C10" s="23">
        <v>5</v>
      </c>
      <c r="H10" s="27">
        <v>3</v>
      </c>
      <c r="I10" s="23">
        <v>151.1</v>
      </c>
      <c r="M10" s="27" t="s">
        <v>22</v>
      </c>
      <c r="N10" s="31">
        <v>1270</v>
      </c>
    </row>
    <row r="11" spans="2:14" x14ac:dyDescent="0.3">
      <c r="B11" s="28" t="s">
        <v>26</v>
      </c>
      <c r="C11" s="24">
        <v>4.2037037037037033</v>
      </c>
      <c r="H11" s="28">
        <v>4</v>
      </c>
      <c r="I11" s="24">
        <v>188.95238095238096</v>
      </c>
      <c r="M11" s="28" t="s">
        <v>26</v>
      </c>
      <c r="N11" s="32">
        <v>1372</v>
      </c>
    </row>
    <row r="12" spans="2:14" x14ac:dyDescent="0.3">
      <c r="B12" s="28" t="s">
        <v>8</v>
      </c>
      <c r="C12" s="24">
        <v>4.6607142857142856</v>
      </c>
      <c r="H12" s="28">
        <v>5</v>
      </c>
      <c r="I12" s="24">
        <v>171.75862068965517</v>
      </c>
      <c r="M12" s="28" t="s">
        <v>8</v>
      </c>
      <c r="N12" s="32">
        <v>1449</v>
      </c>
    </row>
    <row r="13" spans="2:14" x14ac:dyDescent="0.3">
      <c r="B13" s="28" t="s">
        <v>13</v>
      </c>
      <c r="C13" s="24">
        <v>4.645833333333333</v>
      </c>
      <c r="H13" s="28">
        <v>6</v>
      </c>
      <c r="I13" s="24">
        <v>174.92857142857142</v>
      </c>
      <c r="M13" s="28" t="s">
        <v>13</v>
      </c>
      <c r="N13" s="32">
        <v>1169</v>
      </c>
    </row>
    <row r="14" spans="2:14" x14ac:dyDescent="0.3">
      <c r="B14" s="28" t="s">
        <v>11</v>
      </c>
      <c r="C14" s="24">
        <v>4.0740740740740744</v>
      </c>
      <c r="H14" s="28">
        <v>7</v>
      </c>
      <c r="I14" s="24">
        <v>181.33333333333334</v>
      </c>
      <c r="M14" s="28" t="s">
        <v>11</v>
      </c>
      <c r="N14" s="32">
        <v>1532</v>
      </c>
    </row>
    <row r="15" spans="2:14" ht="15" thickBot="1" x14ac:dyDescent="0.35">
      <c r="B15" s="29" t="s">
        <v>16</v>
      </c>
      <c r="C15" s="24">
        <v>4.8048780487804876</v>
      </c>
      <c r="H15" s="28">
        <v>8</v>
      </c>
      <c r="I15" s="24">
        <v>170.84090909090909</v>
      </c>
      <c r="M15" s="29" t="s">
        <v>16</v>
      </c>
      <c r="N15" s="32">
        <v>1074</v>
      </c>
    </row>
    <row r="16" spans="2:14" ht="15" thickBot="1" x14ac:dyDescent="0.35">
      <c r="B16" s="30" t="s">
        <v>314</v>
      </c>
      <c r="C16" s="25">
        <v>4.543333333333333</v>
      </c>
      <c r="H16" s="28">
        <v>9</v>
      </c>
      <c r="I16" s="24">
        <v>176.12820512820514</v>
      </c>
      <c r="M16" s="30" t="s">
        <v>314</v>
      </c>
      <c r="N16" s="33">
        <v>7866</v>
      </c>
    </row>
    <row r="17" spans="2:14" x14ac:dyDescent="0.3">
      <c r="H17" s="28">
        <v>10</v>
      </c>
      <c r="I17" s="24">
        <v>177</v>
      </c>
    </row>
    <row r="18" spans="2:14" ht="15" thickBot="1" x14ac:dyDescent="0.35">
      <c r="H18" s="29">
        <v>11</v>
      </c>
      <c r="I18" s="24">
        <v>166.64705882352942</v>
      </c>
    </row>
    <row r="19" spans="2:14" ht="15" thickBot="1" x14ac:dyDescent="0.35">
      <c r="H19" s="30" t="s">
        <v>314</v>
      </c>
      <c r="I19" s="25">
        <v>175.97333333333333</v>
      </c>
    </row>
    <row r="25" spans="2:14" ht="15" thickBot="1" x14ac:dyDescent="0.35">
      <c r="B25" s="34" t="s">
        <v>328</v>
      </c>
      <c r="C25" s="35"/>
      <c r="H25" s="34" t="s">
        <v>321</v>
      </c>
      <c r="I25" s="35"/>
      <c r="M25" s="34" t="s">
        <v>324</v>
      </c>
      <c r="N25" s="35"/>
    </row>
    <row r="26" spans="2:14" ht="15" thickBot="1" x14ac:dyDescent="0.35"/>
    <row r="27" spans="2:14" ht="15" thickBot="1" x14ac:dyDescent="0.35">
      <c r="B27" s="26" t="s">
        <v>313</v>
      </c>
      <c r="C27" s="26" t="s">
        <v>316</v>
      </c>
      <c r="H27" s="26" t="s">
        <v>313</v>
      </c>
      <c r="I27" s="26" t="s">
        <v>319</v>
      </c>
      <c r="M27" s="26" t="s">
        <v>313</v>
      </c>
      <c r="N27" s="26" t="s">
        <v>323</v>
      </c>
    </row>
    <row r="28" spans="2:14" x14ac:dyDescent="0.3">
      <c r="B28" s="27" t="s">
        <v>22</v>
      </c>
      <c r="C28" s="23">
        <v>28102.675957446798</v>
      </c>
      <c r="H28" s="27">
        <v>0</v>
      </c>
      <c r="I28" s="23">
        <v>200.7037037037037</v>
      </c>
      <c r="M28" s="27" t="s">
        <v>22</v>
      </c>
      <c r="N28" s="31">
        <v>47</v>
      </c>
    </row>
    <row r="29" spans="2:14" x14ac:dyDescent="0.3">
      <c r="B29" s="28" t="s">
        <v>26</v>
      </c>
      <c r="C29" s="24">
        <v>27558.040185185182</v>
      </c>
      <c r="H29" s="28">
        <v>1</v>
      </c>
      <c r="I29" s="24">
        <v>167.43333333333334</v>
      </c>
      <c r="M29" s="28" t="s">
        <v>26</v>
      </c>
      <c r="N29" s="32">
        <v>54</v>
      </c>
    </row>
    <row r="30" spans="2:14" x14ac:dyDescent="0.3">
      <c r="B30" s="28" t="s">
        <v>8</v>
      </c>
      <c r="C30" s="24">
        <v>29685.533035714285</v>
      </c>
      <c r="H30" s="28">
        <v>2</v>
      </c>
      <c r="I30" s="24">
        <v>213</v>
      </c>
      <c r="M30" s="28" t="s">
        <v>8</v>
      </c>
      <c r="N30" s="32">
        <v>56</v>
      </c>
    </row>
    <row r="31" spans="2:14" x14ac:dyDescent="0.3">
      <c r="B31" s="28" t="s">
        <v>13</v>
      </c>
      <c r="C31" s="24">
        <v>27202.456458333327</v>
      </c>
      <c r="H31" s="28">
        <v>3</v>
      </c>
      <c r="I31" s="24">
        <v>152.3125</v>
      </c>
      <c r="M31" s="28" t="s">
        <v>13</v>
      </c>
      <c r="N31" s="32">
        <v>48</v>
      </c>
    </row>
    <row r="32" spans="2:14" x14ac:dyDescent="0.3">
      <c r="B32" s="28" t="s">
        <v>11</v>
      </c>
      <c r="C32" s="24">
        <v>29105.628703703707</v>
      </c>
      <c r="H32" s="28">
        <v>4</v>
      </c>
      <c r="I32" s="24">
        <v>174.63157894736841</v>
      </c>
      <c r="M32" s="28" t="s">
        <v>11</v>
      </c>
      <c r="N32" s="32">
        <v>54</v>
      </c>
    </row>
    <row r="33" spans="2:14" ht="15" thickBot="1" x14ac:dyDescent="0.35">
      <c r="B33" s="29" t="s">
        <v>16</v>
      </c>
      <c r="C33" s="24">
        <v>23121.749024390236</v>
      </c>
      <c r="H33" s="28">
        <v>5</v>
      </c>
      <c r="I33" s="24">
        <v>174.45833333333334</v>
      </c>
      <c r="M33" s="29" t="s">
        <v>16</v>
      </c>
      <c r="N33" s="32">
        <v>41</v>
      </c>
    </row>
    <row r="34" spans="2:14" ht="15" thickBot="1" x14ac:dyDescent="0.35">
      <c r="B34" s="30" t="s">
        <v>314</v>
      </c>
      <c r="C34" s="25">
        <v>27655.877866666659</v>
      </c>
      <c r="H34" s="28">
        <v>6</v>
      </c>
      <c r="I34" s="24">
        <v>189.61111111111111</v>
      </c>
      <c r="M34" s="30" t="s">
        <v>314</v>
      </c>
      <c r="N34" s="33">
        <v>300</v>
      </c>
    </row>
    <row r="35" spans="2:14" x14ac:dyDescent="0.3">
      <c r="H35" s="28">
        <v>7</v>
      </c>
      <c r="I35" s="24">
        <v>182.34615384615384</v>
      </c>
    </row>
    <row r="36" spans="2:14" x14ac:dyDescent="0.3">
      <c r="H36" s="28">
        <v>8</v>
      </c>
      <c r="I36" s="24">
        <v>157.85185185185185</v>
      </c>
    </row>
    <row r="37" spans="2:14" ht="15" thickBot="1" x14ac:dyDescent="0.35">
      <c r="H37" s="29">
        <v>9</v>
      </c>
      <c r="I37" s="24">
        <v>153.72727272727272</v>
      </c>
    </row>
    <row r="38" spans="2:14" ht="15" thickBot="1" x14ac:dyDescent="0.35">
      <c r="H38" s="30" t="s">
        <v>314</v>
      </c>
      <c r="I38" s="25">
        <v>175.97333333333333</v>
      </c>
    </row>
  </sheetData>
  <mergeCells count="7">
    <mergeCell ref="M7:N7"/>
    <mergeCell ref="M25:N25"/>
    <mergeCell ref="F3:K3"/>
    <mergeCell ref="B7:C7"/>
    <mergeCell ref="H7:I7"/>
    <mergeCell ref="B25:C25"/>
    <mergeCell ref="H25:I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C6664-680F-4BC0-B069-AA41BE8574A1}">
  <dimension ref="B2:V5"/>
  <sheetViews>
    <sheetView showGridLines="0" zoomScale="85" zoomScaleNormal="85" workbookViewId="0">
      <selection activeCell="I21" sqref="I21"/>
    </sheetView>
  </sheetViews>
  <sheetFormatPr defaultRowHeight="14.4" x14ac:dyDescent="0.3"/>
  <cols>
    <col min="1" max="16384" width="8.88671875" style="22"/>
  </cols>
  <sheetData>
    <row r="2" spans="2:22" ht="15" thickBot="1" x14ac:dyDescent="0.35"/>
    <row r="3" spans="2:22" x14ac:dyDescent="0.3">
      <c r="B3" s="39" t="s">
        <v>326</v>
      </c>
      <c r="C3" s="40"/>
      <c r="D3" s="40"/>
      <c r="E3" s="40"/>
      <c r="F3" s="40"/>
      <c r="G3" s="40"/>
      <c r="H3" s="40"/>
      <c r="I3" s="40"/>
      <c r="J3" s="40"/>
      <c r="K3" s="40"/>
      <c r="L3" s="40"/>
      <c r="M3" s="40"/>
      <c r="N3" s="40"/>
      <c r="O3" s="40"/>
      <c r="P3" s="40"/>
      <c r="Q3" s="40"/>
      <c r="R3" s="40"/>
      <c r="S3" s="40"/>
      <c r="T3" s="40"/>
      <c r="U3" s="40"/>
      <c r="V3" s="41"/>
    </row>
    <row r="4" spans="2:22" x14ac:dyDescent="0.3">
      <c r="B4" s="42"/>
      <c r="C4" s="43"/>
      <c r="D4" s="43"/>
      <c r="E4" s="43"/>
      <c r="F4" s="43"/>
      <c r="G4" s="43"/>
      <c r="H4" s="43"/>
      <c r="I4" s="43"/>
      <c r="J4" s="43"/>
      <c r="K4" s="43"/>
      <c r="L4" s="43"/>
      <c r="M4" s="43"/>
      <c r="N4" s="43"/>
      <c r="O4" s="43"/>
      <c r="P4" s="43"/>
      <c r="Q4" s="43"/>
      <c r="R4" s="43"/>
      <c r="S4" s="43"/>
      <c r="T4" s="43"/>
      <c r="U4" s="43"/>
      <c r="V4" s="44"/>
    </row>
    <row r="5" spans="2:22" ht="15" thickBot="1" x14ac:dyDescent="0.35">
      <c r="B5" s="45"/>
      <c r="C5" s="46"/>
      <c r="D5" s="46"/>
      <c r="E5" s="46"/>
      <c r="F5" s="46"/>
      <c r="G5" s="46"/>
      <c r="H5" s="46"/>
      <c r="I5" s="46"/>
      <c r="J5" s="46"/>
      <c r="K5" s="46"/>
      <c r="L5" s="46"/>
      <c r="M5" s="46"/>
      <c r="N5" s="46"/>
      <c r="O5" s="46"/>
      <c r="P5" s="46"/>
      <c r="Q5" s="46"/>
      <c r="R5" s="46"/>
      <c r="S5" s="46"/>
      <c r="T5" s="46"/>
      <c r="U5" s="46"/>
      <c r="V5" s="47"/>
    </row>
  </sheetData>
  <mergeCells count="1">
    <mergeCell ref="B3:V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7809C-0B01-4489-9073-E7206AB34EB9}">
  <dimension ref="C1:P72"/>
  <sheetViews>
    <sheetView showGridLines="0" workbookViewId="0">
      <selection activeCell="Q26" sqref="Q26"/>
    </sheetView>
  </sheetViews>
  <sheetFormatPr defaultRowHeight="14.4" x14ac:dyDescent="0.3"/>
  <cols>
    <col min="1" max="15" width="8.88671875" style="5"/>
    <col min="16" max="16" width="10" style="5" customWidth="1"/>
    <col min="17" max="16384" width="8.88671875" style="5"/>
  </cols>
  <sheetData>
    <row r="1" spans="3:13" ht="15" thickBot="1" x14ac:dyDescent="0.35"/>
    <row r="2" spans="3:13" x14ac:dyDescent="0.3">
      <c r="D2" s="48" t="s">
        <v>327</v>
      </c>
      <c r="E2" s="49"/>
      <c r="F2" s="49"/>
      <c r="G2" s="49"/>
      <c r="H2" s="49"/>
      <c r="I2" s="49"/>
      <c r="J2" s="49"/>
      <c r="K2" s="49"/>
      <c r="L2" s="50"/>
    </row>
    <row r="3" spans="3:13" ht="15" thickBot="1" x14ac:dyDescent="0.35">
      <c r="D3" s="51"/>
      <c r="E3" s="52"/>
      <c r="F3" s="52"/>
      <c r="G3" s="52"/>
      <c r="H3" s="52"/>
      <c r="I3" s="52"/>
      <c r="J3" s="52"/>
      <c r="K3" s="52"/>
      <c r="L3" s="53"/>
    </row>
    <row r="6" spans="3:13" x14ac:dyDescent="0.3">
      <c r="C6" s="54" t="s">
        <v>329</v>
      </c>
      <c r="D6" s="55"/>
      <c r="E6" s="55"/>
      <c r="F6" s="55"/>
      <c r="G6" s="55"/>
      <c r="H6" s="55"/>
      <c r="I6" s="55"/>
      <c r="J6" s="55"/>
      <c r="K6" s="55"/>
      <c r="L6" s="55"/>
      <c r="M6" s="56"/>
    </row>
    <row r="7" spans="3:13" x14ac:dyDescent="0.3">
      <c r="C7" s="57"/>
      <c r="D7" s="58"/>
      <c r="E7" s="58"/>
      <c r="F7" s="58"/>
      <c r="G7" s="58"/>
      <c r="H7" s="58"/>
      <c r="I7" s="58"/>
      <c r="J7" s="58"/>
      <c r="K7" s="58"/>
      <c r="L7" s="58"/>
      <c r="M7" s="59"/>
    </row>
    <row r="8" spans="3:13" x14ac:dyDescent="0.3">
      <c r="C8" s="57"/>
      <c r="D8" s="58"/>
      <c r="E8" s="58"/>
      <c r="F8" s="58"/>
      <c r="G8" s="58"/>
      <c r="H8" s="58"/>
      <c r="I8" s="58"/>
      <c r="J8" s="58"/>
      <c r="K8" s="58"/>
      <c r="L8" s="58"/>
      <c r="M8" s="59"/>
    </row>
    <row r="9" spans="3:13" x14ac:dyDescent="0.3">
      <c r="C9" s="57"/>
      <c r="D9" s="58"/>
      <c r="E9" s="58"/>
      <c r="F9" s="58"/>
      <c r="G9" s="58"/>
      <c r="H9" s="58"/>
      <c r="I9" s="58"/>
      <c r="J9" s="58"/>
      <c r="K9" s="58"/>
      <c r="L9" s="58"/>
      <c r="M9" s="59"/>
    </row>
    <row r="10" spans="3:13" x14ac:dyDescent="0.3">
      <c r="C10" s="57"/>
      <c r="D10" s="58"/>
      <c r="E10" s="58"/>
      <c r="F10" s="58"/>
      <c r="G10" s="58"/>
      <c r="H10" s="58"/>
      <c r="I10" s="58"/>
      <c r="J10" s="58"/>
      <c r="K10" s="58"/>
      <c r="L10" s="58"/>
      <c r="M10" s="59"/>
    </row>
    <row r="11" spans="3:13" x14ac:dyDescent="0.3">
      <c r="C11" s="57"/>
      <c r="D11" s="58"/>
      <c r="E11" s="58"/>
      <c r="F11" s="58"/>
      <c r="G11" s="58"/>
      <c r="H11" s="58"/>
      <c r="I11" s="58"/>
      <c r="J11" s="58"/>
      <c r="K11" s="58"/>
      <c r="L11" s="58"/>
      <c r="M11" s="59"/>
    </row>
    <row r="12" spans="3:13" x14ac:dyDescent="0.3">
      <c r="C12" s="57"/>
      <c r="D12" s="58"/>
      <c r="E12" s="58"/>
      <c r="F12" s="58"/>
      <c r="G12" s="58"/>
      <c r="H12" s="58"/>
      <c r="I12" s="58"/>
      <c r="J12" s="58"/>
      <c r="K12" s="58"/>
      <c r="L12" s="58"/>
      <c r="M12" s="59"/>
    </row>
    <row r="13" spans="3:13" x14ac:dyDescent="0.3">
      <c r="C13" s="57"/>
      <c r="D13" s="58"/>
      <c r="E13" s="58"/>
      <c r="F13" s="58"/>
      <c r="G13" s="58"/>
      <c r="H13" s="58"/>
      <c r="I13" s="58"/>
      <c r="J13" s="58"/>
      <c r="K13" s="58"/>
      <c r="L13" s="58"/>
      <c r="M13" s="59"/>
    </row>
    <row r="14" spans="3:13" x14ac:dyDescent="0.3">
      <c r="C14" s="57"/>
      <c r="D14" s="58"/>
      <c r="E14" s="58"/>
      <c r="F14" s="58"/>
      <c r="G14" s="58"/>
      <c r="H14" s="58"/>
      <c r="I14" s="58"/>
      <c r="J14" s="58"/>
      <c r="K14" s="58"/>
      <c r="L14" s="58"/>
      <c r="M14" s="59"/>
    </row>
    <row r="15" spans="3:13" x14ac:dyDescent="0.3">
      <c r="C15" s="57"/>
      <c r="D15" s="58"/>
      <c r="E15" s="58"/>
      <c r="F15" s="58"/>
      <c r="G15" s="58"/>
      <c r="H15" s="58"/>
      <c r="I15" s="58"/>
      <c r="J15" s="58"/>
      <c r="K15" s="58"/>
      <c r="L15" s="58"/>
      <c r="M15" s="59"/>
    </row>
    <row r="16" spans="3:13" x14ac:dyDescent="0.3">
      <c r="C16" s="60"/>
      <c r="D16" s="61"/>
      <c r="E16" s="61"/>
      <c r="F16" s="61"/>
      <c r="G16" s="61"/>
      <c r="H16" s="61"/>
      <c r="I16" s="61"/>
      <c r="J16" s="61"/>
      <c r="K16" s="61"/>
      <c r="L16" s="61"/>
      <c r="M16" s="62"/>
    </row>
    <row r="18" spans="3:16" ht="23.4" x14ac:dyDescent="0.45">
      <c r="C18" s="6" t="s">
        <v>325</v>
      </c>
    </row>
    <row r="20" spans="3:16" x14ac:dyDescent="0.3">
      <c r="C20" s="7" t="s">
        <v>330</v>
      </c>
      <c r="D20" s="8"/>
      <c r="E20" s="8"/>
      <c r="F20" s="8"/>
      <c r="G20" s="8"/>
      <c r="H20" s="8"/>
      <c r="I20" s="8"/>
      <c r="J20" s="8"/>
      <c r="K20" s="8"/>
      <c r="L20" s="8"/>
      <c r="M20" s="8"/>
      <c r="N20" s="8"/>
      <c r="O20" s="8"/>
      <c r="P20" s="9"/>
    </row>
    <row r="21" spans="3:16" ht="15.6" x14ac:dyDescent="0.3">
      <c r="C21" s="10" t="s">
        <v>331</v>
      </c>
      <c r="P21" s="11"/>
    </row>
    <row r="22" spans="3:16" x14ac:dyDescent="0.3">
      <c r="C22" s="12" t="s">
        <v>332</v>
      </c>
      <c r="P22" s="11"/>
    </row>
    <row r="23" spans="3:16" ht="15.6" x14ac:dyDescent="0.3">
      <c r="C23" s="13" t="s">
        <v>333</v>
      </c>
      <c r="P23" s="11"/>
    </row>
    <row r="24" spans="3:16" x14ac:dyDescent="0.3">
      <c r="C24" s="14"/>
      <c r="D24" s="15"/>
      <c r="E24" s="15"/>
      <c r="F24" s="15"/>
      <c r="G24" s="15"/>
      <c r="H24" s="15"/>
      <c r="I24" s="15"/>
      <c r="J24" s="15"/>
      <c r="K24" s="15"/>
      <c r="L24" s="15"/>
      <c r="M24" s="15"/>
      <c r="N24" s="15"/>
      <c r="O24" s="15"/>
      <c r="P24" s="16"/>
    </row>
    <row r="26" spans="3:16" ht="15.6" x14ac:dyDescent="0.3">
      <c r="C26" s="63" t="s">
        <v>334</v>
      </c>
      <c r="D26" s="64"/>
      <c r="E26" s="64"/>
      <c r="F26" s="64"/>
      <c r="G26" s="64"/>
      <c r="H26" s="64"/>
      <c r="I26" s="64"/>
      <c r="J26" s="64"/>
      <c r="K26" s="64"/>
      <c r="L26" s="64"/>
      <c r="M26" s="64"/>
      <c r="N26" s="64"/>
      <c r="O26" s="64"/>
      <c r="P26" s="64"/>
    </row>
    <row r="29" spans="3:16" ht="23.4" x14ac:dyDescent="0.45">
      <c r="C29" s="6" t="s">
        <v>328</v>
      </c>
    </row>
    <row r="31" spans="3:16" ht="15.6" x14ac:dyDescent="0.3">
      <c r="C31" s="17" t="s">
        <v>335</v>
      </c>
      <c r="D31" s="8"/>
      <c r="E31" s="8"/>
      <c r="F31" s="8"/>
      <c r="G31" s="8"/>
      <c r="H31" s="8"/>
      <c r="I31" s="8"/>
      <c r="J31" s="8"/>
      <c r="K31" s="8"/>
      <c r="L31" s="8"/>
      <c r="M31" s="8"/>
      <c r="N31" s="8"/>
      <c r="O31" s="8"/>
      <c r="P31" s="9"/>
    </row>
    <row r="32" spans="3:16" ht="15.6" x14ac:dyDescent="0.3">
      <c r="C32" s="13" t="s">
        <v>336</v>
      </c>
      <c r="P32" s="11"/>
    </row>
    <row r="33" spans="3:16" ht="15.6" x14ac:dyDescent="0.3">
      <c r="C33" s="18" t="s">
        <v>337</v>
      </c>
      <c r="D33" s="15"/>
      <c r="E33" s="15"/>
      <c r="F33" s="15"/>
      <c r="G33" s="15"/>
      <c r="H33" s="15"/>
      <c r="I33" s="15"/>
      <c r="J33" s="15"/>
      <c r="K33" s="15"/>
      <c r="L33" s="15"/>
      <c r="M33" s="15"/>
      <c r="N33" s="15"/>
      <c r="O33" s="15"/>
      <c r="P33" s="16"/>
    </row>
    <row r="35" spans="3:16" x14ac:dyDescent="0.3">
      <c r="C35" s="19" t="s">
        <v>338</v>
      </c>
    </row>
    <row r="38" spans="3:16" ht="23.4" x14ac:dyDescent="0.45">
      <c r="C38" s="6" t="s">
        <v>339</v>
      </c>
    </row>
    <row r="40" spans="3:16" ht="15.6" x14ac:dyDescent="0.3">
      <c r="C40" s="17" t="s">
        <v>340</v>
      </c>
      <c r="D40" s="8"/>
      <c r="E40" s="8"/>
      <c r="F40" s="8"/>
      <c r="G40" s="8"/>
      <c r="H40" s="8"/>
      <c r="I40" s="8"/>
      <c r="J40" s="8"/>
      <c r="K40" s="8"/>
      <c r="L40" s="8"/>
      <c r="M40" s="8"/>
      <c r="N40" s="8"/>
      <c r="O40" s="8"/>
      <c r="P40" s="9"/>
    </row>
    <row r="41" spans="3:16" ht="15.6" x14ac:dyDescent="0.3">
      <c r="C41" s="13" t="s">
        <v>341</v>
      </c>
      <c r="P41" s="11"/>
    </row>
    <row r="42" spans="3:16" ht="15.6" x14ac:dyDescent="0.3">
      <c r="C42" s="13" t="s">
        <v>342</v>
      </c>
      <c r="P42" s="11"/>
    </row>
    <row r="43" spans="3:16" ht="15.6" x14ac:dyDescent="0.3">
      <c r="C43" s="18" t="s">
        <v>343</v>
      </c>
      <c r="D43" s="15"/>
      <c r="E43" s="15"/>
      <c r="F43" s="15"/>
      <c r="G43" s="15"/>
      <c r="H43" s="15"/>
      <c r="I43" s="15"/>
      <c r="J43" s="15"/>
      <c r="K43" s="15"/>
      <c r="L43" s="15"/>
      <c r="M43" s="15"/>
      <c r="N43" s="15"/>
      <c r="O43" s="15"/>
      <c r="P43" s="16"/>
    </row>
    <row r="45" spans="3:16" x14ac:dyDescent="0.3">
      <c r="C45" s="20" t="s">
        <v>344</v>
      </c>
    </row>
    <row r="48" spans="3:16" ht="23.4" x14ac:dyDescent="0.45">
      <c r="C48" s="6" t="s">
        <v>345</v>
      </c>
    </row>
    <row r="50" spans="3:16" ht="15.6" x14ac:dyDescent="0.3">
      <c r="C50" s="17" t="s">
        <v>346</v>
      </c>
      <c r="D50" s="8"/>
      <c r="E50" s="8"/>
      <c r="F50" s="8"/>
      <c r="G50" s="8"/>
      <c r="H50" s="8"/>
      <c r="I50" s="8"/>
      <c r="J50" s="8"/>
      <c r="K50" s="8"/>
      <c r="L50" s="8"/>
      <c r="M50" s="8"/>
      <c r="N50" s="8"/>
      <c r="O50" s="8"/>
      <c r="P50" s="9"/>
    </row>
    <row r="51" spans="3:16" x14ac:dyDescent="0.3">
      <c r="C51" s="12" t="s">
        <v>347</v>
      </c>
      <c r="P51" s="11"/>
    </row>
    <row r="52" spans="3:16" ht="15.6" x14ac:dyDescent="0.3">
      <c r="C52" s="18" t="s">
        <v>348</v>
      </c>
      <c r="D52" s="15"/>
      <c r="E52" s="15"/>
      <c r="F52" s="15"/>
      <c r="G52" s="15"/>
      <c r="H52" s="15"/>
      <c r="I52" s="15"/>
      <c r="J52" s="15"/>
      <c r="K52" s="15"/>
      <c r="L52" s="15"/>
      <c r="M52" s="15"/>
      <c r="N52" s="15"/>
      <c r="O52" s="15"/>
      <c r="P52" s="16"/>
    </row>
    <row r="54" spans="3:16" x14ac:dyDescent="0.3">
      <c r="C54" s="20" t="s">
        <v>349</v>
      </c>
    </row>
    <row r="57" spans="3:16" ht="23.4" x14ac:dyDescent="0.45">
      <c r="C57" s="6" t="s">
        <v>322</v>
      </c>
    </row>
    <row r="59" spans="3:16" x14ac:dyDescent="0.3">
      <c r="C59" s="7" t="s">
        <v>350</v>
      </c>
      <c r="D59" s="8"/>
      <c r="E59" s="8"/>
      <c r="F59" s="8"/>
      <c r="G59" s="8"/>
      <c r="H59" s="8"/>
      <c r="I59" s="8"/>
      <c r="J59" s="8"/>
      <c r="K59" s="8"/>
      <c r="L59" s="8"/>
      <c r="M59" s="8"/>
      <c r="N59" s="8"/>
      <c r="O59" s="8"/>
      <c r="P59" s="9"/>
    </row>
    <row r="60" spans="3:16" x14ac:dyDescent="0.3">
      <c r="C60" s="12" t="s">
        <v>351</v>
      </c>
      <c r="P60" s="11"/>
    </row>
    <row r="61" spans="3:16" x14ac:dyDescent="0.3">
      <c r="C61" s="14" t="s">
        <v>352</v>
      </c>
      <c r="D61" s="15"/>
      <c r="E61" s="15"/>
      <c r="F61" s="15"/>
      <c r="G61" s="15"/>
      <c r="H61" s="15"/>
      <c r="I61" s="15"/>
      <c r="J61" s="15"/>
      <c r="K61" s="15"/>
      <c r="L61" s="15"/>
      <c r="M61" s="15"/>
      <c r="N61" s="15"/>
      <c r="O61" s="15"/>
      <c r="P61" s="16"/>
    </row>
    <row r="63" spans="3:16" x14ac:dyDescent="0.3">
      <c r="C63" s="20" t="s">
        <v>353</v>
      </c>
    </row>
    <row r="66" spans="3:16" ht="23.4" x14ac:dyDescent="0.45">
      <c r="C66" s="21" t="s">
        <v>354</v>
      </c>
    </row>
    <row r="68" spans="3:16" x14ac:dyDescent="0.3">
      <c r="C68" s="7" t="s">
        <v>355</v>
      </c>
      <c r="D68" s="8"/>
      <c r="E68" s="8"/>
      <c r="F68" s="8"/>
      <c r="G68" s="8"/>
      <c r="H68" s="8"/>
      <c r="I68" s="8"/>
      <c r="J68" s="8"/>
      <c r="K68" s="8"/>
      <c r="L68" s="8"/>
      <c r="M68" s="8"/>
      <c r="N68" s="8"/>
      <c r="O68" s="8"/>
      <c r="P68" s="9"/>
    </row>
    <row r="69" spans="3:16" x14ac:dyDescent="0.3">
      <c r="C69" s="12" t="s">
        <v>356</v>
      </c>
      <c r="P69" s="11"/>
    </row>
    <row r="70" spans="3:16" x14ac:dyDescent="0.3">
      <c r="C70" s="14" t="s">
        <v>357</v>
      </c>
      <c r="D70" s="15"/>
      <c r="E70" s="15"/>
      <c r="F70" s="15"/>
      <c r="G70" s="15"/>
      <c r="H70" s="15"/>
      <c r="I70" s="15"/>
      <c r="J70" s="15"/>
      <c r="K70" s="15"/>
      <c r="L70" s="15"/>
      <c r="M70" s="15"/>
      <c r="N70" s="15"/>
      <c r="O70" s="15"/>
      <c r="P70" s="16"/>
    </row>
    <row r="72" spans="3:16" x14ac:dyDescent="0.3">
      <c r="C72" s="20" t="s">
        <v>358</v>
      </c>
    </row>
  </sheetData>
  <mergeCells count="3">
    <mergeCell ref="D2:L3"/>
    <mergeCell ref="C6:M16"/>
    <mergeCell ref="C26:P2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CE0B2E-AF48-4ACA-B976-1A92515EE84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Agentinfo_Cleaned</vt:lpstr>
      <vt:lpstr>Pivot-Analysis</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barua</dc:creator>
  <cp:lastModifiedBy>rohit barua</cp:lastModifiedBy>
  <dcterms:created xsi:type="dcterms:W3CDTF">2026-07-20T18:05:17Z</dcterms:created>
  <dcterms:modified xsi:type="dcterms:W3CDTF">2026-07-29T15:35:58Z</dcterms:modified>
</cp:coreProperties>
</file>